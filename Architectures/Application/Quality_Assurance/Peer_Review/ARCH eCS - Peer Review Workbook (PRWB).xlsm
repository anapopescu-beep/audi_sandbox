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cts\eCS\Architectures\Application\Quality_Assurance\Peer_Review\"/>
    </mc:Choice>
  </mc:AlternateContent>
  <xr:revisionPtr revIDLastSave="0" documentId="13_ncr:1_{2C57493E-5A4E-4582-BD74-9F63FA605D10}" xr6:coauthVersionLast="47" xr6:coauthVersionMax="47" xr10:uidLastSave="{00000000-0000-0000-0000-000000000000}"/>
  <bookViews>
    <workbookView xWindow="-120" yWindow="-120" windowWidth="29040" windowHeight="15990" activeTab="5"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AD checklist" sheetId="240"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6">'SAD checklist'!$A$5:$A$51</definedName>
    <definedName name="Review.ratings" localSheetId="6">'SAD checklist'!$C$5:$C$51</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6">'SAD checklist'!$B$2</definedName>
    <definedName name="Template.Question" localSheetId="6">'SAD checklist'!#REF!</definedName>
    <definedName name="Template.Section" localSheetId="6">'SAD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6">'SAD checklist'!$B$2</definedName>
    <definedName name="Title.Checklist.Actions.Responsible" localSheetId="6">[1]!Table1[[#Headers],[Actions
(description)]]</definedName>
    <definedName name="Title.Checklist.Guide.HowToRate" localSheetId="6">'SAD checklist'!$N$3</definedName>
    <definedName name="Title.Checklist.Guide.WhatToCheck" localSheetId="6">'SAD checklist'!$M$3</definedName>
    <definedName name="Title.Checklist.ManualQuestion" localSheetId="6">'SAD checklist'!$B$49</definedName>
    <definedName name="Title.Checklist.NoteForAuditor" localSheetId="6">'SAD checklist'!$M$2</definedName>
    <definedName name="Title.Checklist.Question" localSheetId="6">'SAD checklist'!$B$4</definedName>
    <definedName name="Title.Checklist.QuestionReference" localSheetId="6">'SAD checklist'!$A$2</definedName>
    <definedName name="Title.Checklist.Rate" localSheetId="6">'SAD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6">'SAD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7" i="16" l="1"/>
  <c r="E44" i="16"/>
  <c r="E37" i="16"/>
  <c r="E11" i="42"/>
  <c r="K3" i="240"/>
  <c r="I3" i="240"/>
  <c r="H3" i="240"/>
  <c r="E3" i="42"/>
  <c r="E4" i="42"/>
  <c r="E5" i="42"/>
  <c r="E6" i="42"/>
  <c r="E7" i="42"/>
  <c r="E8" i="42"/>
  <c r="E10" i="42"/>
  <c r="E12" i="42"/>
  <c r="J3" i="240"/>
  <c r="G3" i="240"/>
  <c r="C3" i="240"/>
  <c r="D3" i="240"/>
  <c r="E3" i="240"/>
  <c r="F3" i="240"/>
  <c r="F10" i="38"/>
  <c r="A5" i="38"/>
  <c r="E7" i="38"/>
  <c r="AE7" i="38"/>
  <c r="AB7" i="38"/>
  <c r="AB5" i="38"/>
  <c r="W7" i="38"/>
  <c r="W5" i="38"/>
  <c r="A7" i="38"/>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D3" authorId="0" shapeId="0" xr:uid="{1106F978-2C64-42B0-B106-1A5AEB8178EE}">
      <text>
        <r>
          <rPr>
            <b/>
            <sz val="9"/>
            <color indexed="81"/>
            <rFont val="Tahoma"/>
            <family val="2"/>
          </rPr>
          <t>Overview :</t>
        </r>
        <r>
          <rPr>
            <sz val="9"/>
            <color indexed="81"/>
            <rFont val="Tahoma"/>
            <family val="2"/>
          </rPr>
          <t xml:space="preserve">
Pourcentage of "yes" answers out of applicable answers</t>
        </r>
      </text>
    </comment>
    <comment ref="E3" authorId="0" shapeId="0" xr:uid="{1DE3C536-9E40-44B4-A591-1566E7D68DED}">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 ref="D51" authorId="0" shapeId="0" xr:uid="{CD5E6F22-7095-48B3-8F53-9FBC65696BE9}">
      <text>
        <r>
          <rPr>
            <b/>
            <sz val="9"/>
            <color indexed="81"/>
            <rFont val="Tahoma"/>
            <family val="2"/>
          </rPr>
          <t>This cell must be blank</t>
        </r>
      </text>
    </comment>
    <comment ref="E51" authorId="0" shapeId="0" xr:uid="{D5366537-B0B9-484A-AB83-54B3F0767B65}">
      <text>
        <r>
          <rPr>
            <b/>
            <sz val="9"/>
            <color indexed="81"/>
            <rFont val="Tahoma"/>
            <family val="2"/>
          </rPr>
          <t>This cell must be blank</t>
        </r>
      </text>
    </comment>
  </commentList>
</comments>
</file>

<file path=xl/sharedStrings.xml><?xml version="1.0" encoding="utf-8"?>
<sst xmlns="http://schemas.openxmlformats.org/spreadsheetml/2006/main" count="1350" uniqueCount="470">
  <si>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</si>
  <si>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</si>
  <si>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</si>
  <si>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</si>
  <si>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</si>
  <si>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</si>
  <si>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</si>
  <si>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</si>
  <si>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</si>
  <si>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</si>
  <si>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</si>
  <si>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</si>
  <si>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</si>
  <si>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</si>
  <si>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</si>
  <si>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</si>
  <si>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</si>
  <si>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</si>
  <si>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</si>
  <si>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</si>
  <si>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</si>
  <si>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</si>
  <si>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</si>
  <si>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</si>
  <si>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</si>
  <si>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</si>
  <si>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</si>
  <si>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</si>
  <si>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</si>
  <si>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</si>
  <si>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</si>
  <si>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</si>
  <si>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</si>
  <si>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</si>
  <si>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</si>
  <si>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</si>
  <si>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</si>
  <si>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</si>
  <si>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</si>
  <si>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</si>
  <si>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</si>
  <si>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</si>
  <si>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</si>
  <si>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</si>
  <si>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</si>
  <si>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</si>
  <si>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</si>
  <si>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</si>
  <si>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</si>
  <si>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</si>
  <si>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</si>
  <si>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</si>
  <si>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</si>
  <si>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</si>
  <si>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</si>
  <si>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</si>
  <si>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</si>
  <si>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</si>
  <si>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</si>
  <si>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</si>
  <si>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</si>
  <si>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</si>
  <si>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</si>
  <si>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</si>
  <si>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</si>
  <si>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</si>
  <si>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</si>
  <si>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</si>
  <si>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</si>
  <si>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</si>
  <si>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</si>
  <si>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</si>
  <si>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</si>
  <si>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</si>
  <si>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</si>
  <si>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</si>
  <si>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</si>
  <si>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</si>
  <si>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</si>
  <si>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</si>
  <si>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</si>
  <si>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</si>
  <si>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</si>
  <si>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</si>
  <si>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</si>
  <si>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</si>
  <si>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</si>
  <si>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</si>
  <si>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</si>
  <si>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</si>
  <si>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</si>
  <si>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</si>
  <si>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</si>
  <si>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</si>
  <si>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</si>
  <si>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</si>
  <si>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</si>
  <si>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</si>
  <si>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</si>
  <si>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</si>
  <si>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</si>
  <si>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</si>
  <si>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</si>
  <si>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</si>
  <si>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</si>
  <si>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</si>
  <si>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</si>
  <si>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</si>
  <si>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</si>
  <si>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</si>
  <si>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</si>
  <si>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</si>
  <si>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</si>
  <si>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</si>
  <si>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</si>
  <si>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</si>
  <si>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</si>
  <si>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</si>
  <si>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</si>
  <si>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</si>
  <si>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</si>
  <si>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</si>
  <si>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</si>
  <si>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</si>
  <si>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</si>
  <si>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</si>
  <si>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</si>
  <si>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</si>
  <si>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</si>
  <si>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</si>
  <si>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</si>
  <si>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</si>
  <si>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</si>
  <si>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</si>
  <si>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</si>
  <si>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</si>
  <si>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</si>
  <si>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</si>
  <si>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</si>
  <si>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</si>
  <si>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</si>
  <si>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</si>
  <si>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</si>
  <si>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</si>
  <si>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</si>
  <si>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</si>
  <si>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</si>
  <si>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</si>
  <si>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</si>
  <si>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</si>
  <si>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</si>
  <si>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</si>
  <si>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</si>
  <si>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</si>
  <si>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</si>
  <si>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</si>
  <si>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</si>
  <si>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</si>
  <si>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</si>
  <si>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</si>
  <si>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</si>
  <si>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</si>
  <si>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</si>
  <si>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</si>
  <si>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</si>
  <si>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</si>
  <si>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</si>
  <si>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</si>
  <si>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</si>
  <si>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</si>
  <si>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</si>
  <si>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</si>
  <si>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</si>
  <si>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</si>
  <si>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</si>
  <si>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</si>
  <si>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</si>
  <si>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</si>
  <si>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</si>
  <si>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</si>
  <si>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</si>
  <si>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</si>
  <si>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</si>
  <si>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</si>
  <si>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</si>
  <si>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</si>
  <si>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</si>
  <si>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</si>
  <si>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</si>
  <si>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</si>
  <si>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</si>
  <si>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</si>
  <si>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</si>
  <si>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</si>
  <si>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</si>
  <si>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</si>
  <si>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</si>
  <si>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</si>
  <si>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</si>
  <si>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</si>
  <si>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</si>
  <si>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</si>
  <si>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</si>
  <si>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</si>
  <si>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</si>
  <si>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</si>
  <si>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</si>
  <si>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</si>
  <si>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</si>
  <si>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</si>
  <si>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</si>
  <si>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</si>
  <si>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</si>
  <si>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</si>
  <si>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</si>
  <si>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</si>
  <si>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</si>
  <si>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</si>
  <si>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</si>
  <si>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</si>
  <si>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</si>
  <si>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</si>
  <si>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</si>
  <si>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</si>
  <si>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</si>
  <si>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</si>
  <si>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</si>
  <si>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</si>
  <si>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</si>
  <si>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</si>
  <si>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</si>
  <si>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</si>
  <si>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t xml:space="preserve">Justification
</t>
    </r>
    <r>
      <rPr>
        <sz val="10"/>
        <color theme="0"/>
        <rFont val="Arial"/>
        <family val="2"/>
      </rPr>
      <t>(if not OK)</t>
    </r>
  </si>
  <si>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</si>
  <si>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</si>
  <si>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</si>
  <si>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</si>
  <si>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</si>
  <si>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</si>
  <si>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</si>
  <si>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</si>
  <si>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</si>
  <si>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</si>
  <si>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</si>
  <si>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</si>
  <si>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</si>
  <si>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</si>
  <si>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</si>
  <si>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</si>
  <si>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</si>
  <si>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</si>
  <si>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</si>
  <si>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</si>
  <si>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</si>
  <si>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</si>
  <si>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</si>
  <si>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</si>
  <si>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</si>
  <si>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</si>
  <si>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</si>
  <si>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</si>
  <si>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</si>
  <si>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</si>
  <si>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</si>
  <si>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</si>
  <si>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</si>
  <si>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</si>
  <si>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</si>
  <si>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</si>
  <si>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</si>
  <si>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</si>
  <si>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</si>
  <si>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</si>
  <si>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</si>
  <si>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</si>
  <si>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</si>
  <si>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</si>
  <si>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</si>
  <si>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</si>
  <si>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</si>
  <si>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</si>
  <si>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</si>
  <si>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</si>
  <si>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</si>
  <si>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</si>
  <si>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</si>
  <si>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</si>
  <si>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</si>
  <si>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</si>
  <si>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</si>
  <si>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</si>
  <si>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</si>
  <si>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</si>
  <si>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</si>
  <si>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</si>
  <si>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</si>
  <si>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</si>
  <si>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</si>
  <si>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</si>
  <si>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</si>
  <si>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</si>
  <si>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</si>
  <si>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</si>
  <si>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</si>
  <si>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</si>
  <si>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</si>
  <si>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</si>
  <si>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</si>
  <si>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</si>
  <si>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</si>
  <si>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</si>
  <si>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</si>
  <si>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</si>
  <si>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</si>
  <si>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</si>
  <si>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</si>
  <si>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</si>
  <si>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</si>
  <si>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</si>
  <si>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</si>
  <si>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</si>
  <si>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</si>
  <si>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</si>
  <si>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</si>
  <si>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</si>
  <si>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XX-R-PM-0578</t>
  </si>
  <si>
    <t>XX-R-PM-0514</t>
  </si>
  <si>
    <t>XX-R-PM-0512</t>
  </si>
  <si>
    <t>XX-R-ARC-0524</t>
  </si>
  <si>
    <t>XX-R-ARC-0525</t>
  </si>
  <si>
    <t>XX-R-ARC-0526</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</si>
  <si>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</si>
  <si>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</si>
  <si>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</si>
  <si>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</si>
  <si>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</si>
  <si>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</si>
  <si>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</si>
  <si>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</si>
  <si>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</si>
  <si>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</si>
  <si>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</si>
  <si>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</si>
  <si>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</si>
  <si>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</si>
  <si>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</si>
  <si>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</si>
  <si>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</si>
  <si>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</si>
  <si>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</si>
  <si>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</si>
  <si>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</si>
  <si>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</si>
  <si>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</si>
  <si>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 xml:space="preserve">SW Requirement package not available </t>
  </si>
  <si>
    <t>eCS_SW_Arhitecture.eapx</t>
  </si>
  <si>
    <t>Architecture Element ID not consistent with SW03PRO000 - Software Architecture Design (SAD).docx</t>
  </si>
  <si>
    <t>Vlad Chioveanu</t>
  </si>
  <si>
    <t xml:space="preserve">Inputs and outputs of a runnable shall be splited </t>
  </si>
  <si>
    <t># Architecture Element ID
ARCH_SW_AdcIf_ptrrAsrAdcServices_Adc_Calibrate -&gt; handling of inputs and outputs need rework</t>
  </si>
  <si>
    <t>ARCH eCS - Peer Review Workbook (PRWB).xlsm</t>
  </si>
  <si>
    <t>IoHwAb - rework needed for input output values (shall be treated as inputs-outputs for interfaces instead of module)</t>
  </si>
  <si>
    <t>ARCH_SW_IoHwAb_pseSolenoidCharacterstics inteface input parameters shall be in raw units</t>
  </si>
  <si>
    <t>eCS_SW_Arhitecture.eapx - ATM module</t>
  </si>
  <si>
    <t>Multiple Architecture Element ID describe the called function behavior instead of inteface funcionality</t>
  </si>
  <si>
    <t>Output interface of ATM module shall be described</t>
  </si>
  <si>
    <t>eCS_SW_Arhitecture.eapx - CIL module</t>
  </si>
  <si>
    <t>ARCH_SW_CIL_psrVehicleInputs_u16Vx and not cleared described as output</t>
  </si>
  <si>
    <t>ptrpAsrOsServices and psrSensitivityOpt interface has no descripsion</t>
  </si>
  <si>
    <t>ARCH_SW_CIL_pclRawAdcServices input range is not defined</t>
  </si>
  <si>
    <t>ARCH_SW_CIL_pclDemGetDtcCode interface has no description</t>
  </si>
  <si>
    <t>ARCH_SW_CIL_P_CAN_NM_EcuToNetwork has no description</t>
  </si>
  <si>
    <t>ARCH_SW_CIL_R_CAN_NM_NetworkToEcu has no description</t>
  </si>
  <si>
    <t>eCS_SW_Arhitecture.eapx - DIA module</t>
  </si>
  <si>
    <t>prrSensitivityOpt and psrSensitivityOpt port has no description</t>
  </si>
  <si>
    <t>All DIA ports shall respect the Software Architectural Design Strategy</t>
  </si>
  <si>
    <t>NA: TBD</t>
  </si>
  <si>
    <t>03.10.2022</t>
  </si>
  <si>
    <t>VCH</t>
  </si>
  <si>
    <t>DPU</t>
  </si>
  <si>
    <t>AAN</t>
  </si>
  <si>
    <t>07.10.2022</t>
  </si>
  <si>
    <t>20.10.2022</t>
  </si>
  <si>
    <t>25.10.2022</t>
  </si>
  <si>
    <t>26.10.2022</t>
  </si>
  <si>
    <t>interface described instead of function after rework</t>
  </si>
  <si>
    <t>Dan Nitulescu</t>
  </si>
  <si>
    <t>outputs were described</t>
  </si>
  <si>
    <t>fixed</t>
  </si>
  <si>
    <t>ARCH_SW_CIL_pclDemGetDtcCod reworked</t>
  </si>
  <si>
    <t>25/10/2022</t>
  </si>
  <si>
    <t>done</t>
  </si>
  <si>
    <t>Architecture was updated for R1.1</t>
  </si>
  <si>
    <t>Dan Dustinta</t>
  </si>
  <si>
    <t>1.3.1.1.1.4</t>
  </si>
  <si>
    <t>no findings</t>
  </si>
  <si>
    <t>Gabriel Brasoveanu</t>
  </si>
  <si>
    <t>eCS_SW_Arhitecture.eapx - v1.3.1.1.1.4</t>
  </si>
  <si>
    <t>1.3.1.1.1.18</t>
  </si>
  <si>
    <t xml:space="preserve">ARCH_SW_CIL_RP_IF_AB_eCS_Aktuatortest_Reihe2_FA_XIX_Grundumfang_XIX_eCS shall be treated in as a FuSa element (runnable) </t>
  </si>
  <si>
    <t>Cornel Albu</t>
  </si>
  <si>
    <t>eCS_SW_Arhitecture.eapx - v1.3.1.1.1.18</t>
  </si>
  <si>
    <t>25.05.2023</t>
  </si>
  <si>
    <t>CAL</t>
  </si>
  <si>
    <t>David Puscasu</t>
  </si>
  <si>
    <t xml:space="preserve">ARCH_SW_CIL_RP_IF_AB_eCS_Aktuatortest_Reihe2_BF_XIX_Grundumfang_XIX_eCS shall be treated in as a FuSa element (runnable) </t>
  </si>
  <si>
    <t xml:space="preserve">ARCH_SW_CIL_RP_IF_AB_eCS_Aktuatortest_FA_XIX_Grundumfang_XIX_eCS shall be treated in as a FuSa element (runnable) </t>
  </si>
  <si>
    <t xml:space="preserve">ARCH_SW_CIL_RP_IF_AB_eCS_Aktuatortest_BF_XIX_Grundumfang_XIX_eCS shall be treated in as a FuSa element (runnable) </t>
  </si>
  <si>
    <t>eCS_SW_Arhitecture.eapx - v1.3.1.1.1.19</t>
  </si>
  <si>
    <t>1.3.1.1.1.19</t>
  </si>
  <si>
    <t>ARCH_SW_IoHwAb_pseEcuOverTemperature Unclear what ECU Temperature means</t>
  </si>
  <si>
    <t>ARCH_SW_IoHwAb_psrBuckleStatus Unclear description</t>
  </si>
  <si>
    <t>ARCH_SW_IoHwAb_pseLowPowerWakeUp Unclear description</t>
  </si>
  <si>
    <t>ARCH_SW_IoHwAb_psrSeatOccupancySensorStatus Unclear description</t>
  </si>
  <si>
    <t>ARCH_SW_EcuMIf_pclSbcServices_EcuM_AL_SwitchOff  The shutdown state cannot be tested</t>
  </si>
  <si>
    <t>20.06.2023</t>
  </si>
  <si>
    <t>ARCH_SW_IoHwAb_pclDioIfServices_IoHwAb_HandleSeatCurrentCircuit Unclear description</t>
  </si>
  <si>
    <t>1.3.1.1.1.22</t>
  </si>
  <si>
    <t>ARCH_SW_pseAutotestServices_GetTestResult ' s linked runnable does not exist</t>
  </si>
  <si>
    <t>Robert Hadadea</t>
  </si>
  <si>
    <t>eCS_SW_Arhitecture.eapx - v1.3.1.1.1.22</t>
  </si>
  <si>
    <t>07.03.2023</t>
  </si>
  <si>
    <t>RHA</t>
  </si>
  <si>
    <t>ARCH_SW_ACC_pseAccTemperatureSpiData Unclear description</t>
  </si>
  <si>
    <t>ARCH_SW_DIA_pclConvAdcService linked runnable does not exist</t>
  </si>
  <si>
    <t>ARCH_SW_DcmIf_ptrpAsrDcmServices_Dcm_GetProgConditions Cannot be tested</t>
  </si>
  <si>
    <t>ARCH_SW_FSM_pclDemServices Outdated functionality</t>
  </si>
  <si>
    <t>ARCH_SW_FSM_pclConvAdcService Cannot be tested</t>
  </si>
  <si>
    <t>1.3.1.1.1.23</t>
  </si>
  <si>
    <t>ARCH_SW_DioIf_PwmIf_ptrrAsrPwmServicesPwmIf_Pwm_SetDutyCycle_PwmIf_SetDutyCycle Unclear description, the uC pin duty cycle cannot be tested during integration test</t>
  </si>
  <si>
    <t>ARCH_SW_PwmIf_psePwmServices_PwmIf_DisablePWM Unclear description, the uC pin duty cycle cannot be tested during integration test</t>
  </si>
  <si>
    <t>ARCH_SW_PwmIf_psePwmServices_PwmIf_EnablePWM Unclear description, the uC pin duty cycle cannot be tested during integration test</t>
  </si>
  <si>
    <t>ARCH_SW_PwmIf_psePwmServices_PwmIf_SetDutyCycle Unclear description, the uC pin duty cycle cannot be tested during integration test</t>
  </si>
  <si>
    <t>ARCH_SW_NvmIf_pseNvmIfServices_RestorePRAMBlockDefaults Unclear description</t>
  </si>
  <si>
    <t>ARCH_SW_NvmIf_pseNvmIfServices_SetRamBlockStatus Unclear description</t>
  </si>
  <si>
    <t>ARCH_SW_NvmIf_pseNvmIfServices_WriteNvmBlock Unclear description</t>
  </si>
  <si>
    <t>ARCH_SW_SAD_pseDiagRequestServices</t>
  </si>
  <si>
    <t>ARCH_SW_SpiIf_ptrrAsrSpiServices_spiReadIBFromChannel Unclear description</t>
  </si>
  <si>
    <t>ARCH_SW_SpiIf_ptrrAsrSpiServices_Spi_SyncTransmit_SpiIf_spiSyncTransmitSequence Unclear description</t>
  </si>
  <si>
    <t>ARCH_SW_SpiIf_ptrrAsrSpiServices_Spi_SyncTransmit_SpiIf_writeSpiData Unclear description</t>
  </si>
  <si>
    <t>ARCH_SW_SpiIf_ptrrAsrSpiServices_Spi_WriteIB_SpiIf_writeSpiData Unclear description</t>
  </si>
  <si>
    <t>ARCH_SW_SAD_psrSolenoidOpenCircutStatus_SAD_CheckSolenoidOpenCircuitAutotest Unclear description</t>
  </si>
  <si>
    <t>ARCH_SW_SAD_psrSolenoidShortToGndStatus Unclear description</t>
  </si>
  <si>
    <t>ARCH_SW_SAD_psrSolenoidOvervoltageStatus Unclear description</t>
  </si>
  <si>
    <t>ARCH_SW_SAD_psrSolenoidShortToVccStatus Unclear description</t>
  </si>
  <si>
    <t>ARCH_SW_SBC_psrSbcStatusFailiureSource_SBC_runMainFunction Unclear description</t>
  </si>
  <si>
    <t>eCS_SW_Arhitecture.eapx - v1.3.1.1.1.23</t>
  </si>
  <si>
    <t>ARCH_SW_ACC_psrAccStatusFailiureSource_u32AccAlarmRegStatus Unclear what useful data means</t>
  </si>
  <si>
    <t>ARCH_SW_DcmIf_pseNvpBlockData_Dcm_GetProgConditions Unclear description</t>
  </si>
  <si>
    <t>ARCH_SW_eCS_pclModeManagement Unclear description</t>
  </si>
  <si>
    <t xml:space="preserve">ARCH_SW_IoHwAb_prrSolenoidElectricalCharacteristics_IoHwAb_runGetMeasure Unclear what set in the Application means </t>
  </si>
  <si>
    <t xml:space="preserve">ARCH_SW_IoHwAb_pclSolenoidStep Unclear what set by the Application means </t>
  </si>
  <si>
    <t>ARCH_SW_SBC_psrSbcStatusFailiureSource_SBC_Init Unclear description</t>
  </si>
  <si>
    <t>07.18.2023</t>
  </si>
  <si>
    <t>The linked runnable was modified.</t>
  </si>
  <si>
    <t>The requirement description was updated.</t>
  </si>
  <si>
    <t>The requirement can be tested.</t>
  </si>
  <si>
    <t>The requirement can be tested. The description is OK.</t>
  </si>
  <si>
    <t>The description was modified</t>
  </si>
  <si>
    <t>Not outdated, in FSM_modes this interface is used</t>
  </si>
  <si>
    <t>The NvmIf_WriteNvmBlock is a wrapper. It must call the NvM_WriteBlock interface with 2 parameters, data and block ID. Requirement describes this</t>
  </si>
  <si>
    <t>The vmIf_SetRamBlockStatus is a wrapper. It must call the NvM_SetRamBlockStatus interface with 2 parameters, block status and block ID. Requirement describes this</t>
  </si>
  <si>
    <t>The NvmIf_RestorePRAMBlockDefaults is a wrapper. It must call the NvM_RestorePRAMBlockDefaults  interface with 1 parameter, block ID. Requirement describes this</t>
  </si>
  <si>
    <t>Requirement updated</t>
  </si>
  <si>
    <t>Typo fixed</t>
  </si>
  <si>
    <t>Nothing to fix, the port is used to generate 2 defines in the source code. Not testable with automatic means</t>
  </si>
  <si>
    <t>Set by the application means that another SW module has written the interface.</t>
  </si>
  <si>
    <t>1.3.1.1.1.26</t>
  </si>
  <si>
    <t>no findings from previous version</t>
  </si>
  <si>
    <t>eCS_SW_Arhitecture.eapx - v1.3.1.1.1.26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</si>
</sst>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8"/>
      <name val="Arial"/>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5">
    <xf numFmtId="0" fontId="0" fillId="0" borderId="0"/>
    <xf numFmtId="0" fontId="58" fillId="6" borderId="14" applyNumberFormat="0" applyAlignment="0" applyProtection="0"/>
    <xf numFmtId="0" fontId="59" fillId="0" borderId="0" applyNumberFormat="0" applyFill="0" applyBorder="0" applyAlignment="0" applyProtection="0"/>
    <xf numFmtId="0" fontId="28" fillId="0" borderId="0"/>
    <xf numFmtId="0" fontId="53" fillId="0" borderId="0"/>
    <xf numFmtId="0" fontId="57" fillId="0" borderId="0"/>
    <xf numFmtId="0" fontId="28" fillId="0" borderId="0"/>
    <xf numFmtId="0" fontId="35" fillId="0" borderId="0"/>
    <xf numFmtId="0" fontId="60" fillId="6" borderId="15" applyNumberFormat="0" applyAlignment="0" applyProtection="0"/>
    <xf numFmtId="0" fontId="27" fillId="0" borderId="0"/>
    <xf numFmtId="0" fontId="26" fillId="0" borderId="0"/>
    <xf numFmtId="0" fontId="25" fillId="0" borderId="0"/>
    <xf numFmtId="0" fontId="85" fillId="25" borderId="14" applyNumberFormat="0" applyAlignment="0" applyProtection="0"/>
    <xf numFmtId="0" fontId="86" fillId="26" borderId="0" applyNumberFormat="0" applyBorder="0" applyAlignment="0" applyProtection="0"/>
    <xf numFmtId="0" fontId="24" fillId="27" borderId="0" applyNumberFormat="0" applyBorder="0" applyAlignment="0" applyProtection="0"/>
    <xf numFmtId="0" fontId="28" fillId="0" borderId="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0" borderId="0"/>
    <xf numFmtId="0" fontId="11" fillId="27" borderId="0" applyNumberFormat="0" applyBorder="0" applyAlignment="0" applyProtection="0"/>
    <xf numFmtId="0" fontId="10" fillId="27" borderId="0" applyNumberFormat="0" applyBorder="0" applyAlignment="0" applyProtection="0"/>
    <xf numFmtId="0" fontId="105" fillId="0" borderId="0" applyNumberFormat="0" applyFill="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cellStyleXfs>
  <cellXfs count="326">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9" fillId="3" borderId="12" xfId="0" applyFont="1" applyFill="1" applyBorder="1" applyAlignment="1">
      <alignment horizontal="center" wrapText="1"/>
    </xf>
    <xf numFmtId="0" fontId="0" fillId="2" borderId="0" xfId="0" applyFill="1" applyAlignment="1">
      <alignment horizontal="center"/>
    </xf>
    <xf numFmtId="0" fontId="2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8" fillId="0" borderId="1" xfId="0" applyFont="1" applyBorder="1" applyAlignment="1">
      <alignment vertical="center" wrapText="1"/>
    </xf>
    <xf numFmtId="0" fontId="28" fillId="3" borderId="1" xfId="0" applyFont="1" applyFill="1" applyBorder="1" applyAlignment="1">
      <alignment horizontal="center" vertical="center" wrapText="1"/>
    </xf>
    <xf numFmtId="0" fontId="28" fillId="2" borderId="0" xfId="0" applyFont="1" applyFill="1" applyBorder="1" applyAlignment="1">
      <alignment wrapText="1"/>
    </xf>
    <xf numFmtId="0" fontId="61" fillId="7" borderId="0" xfId="0" applyFont="1" applyFill="1" applyBorder="1" applyAlignment="1">
      <alignment horizontal="center" vertical="center" wrapText="1"/>
    </xf>
    <xf numFmtId="0" fontId="61" fillId="0" borderId="0" xfId="0" applyFont="1" applyFill="1" applyBorder="1" applyAlignment="1">
      <alignment horizontal="center" vertical="center" wrapText="1"/>
    </xf>
    <xf numFmtId="0" fontId="61" fillId="0" borderId="0" xfId="0" applyFont="1" applyFill="1" applyAlignment="1">
      <alignment vertical="center"/>
    </xf>
    <xf numFmtId="0" fontId="61" fillId="0" borderId="0" xfId="0" applyFont="1" applyFill="1" applyBorder="1" applyAlignment="1">
      <alignment vertical="center" wrapText="1"/>
    </xf>
    <xf numFmtId="0" fontId="50" fillId="2" borderId="2" xfId="0" applyFont="1" applyFill="1" applyBorder="1"/>
    <xf numFmtId="0" fontId="28" fillId="2" borderId="0" xfId="0" applyFont="1" applyFill="1" applyAlignment="1">
      <alignment horizontal="center"/>
    </xf>
    <xf numFmtId="0" fontId="0" fillId="8" borderId="0" xfId="0" applyFill="1" applyAlignment="1">
      <alignment horizontal="center"/>
    </xf>
    <xf numFmtId="0" fontId="28" fillId="2" borderId="1" xfId="0" applyFont="1" applyFill="1" applyBorder="1" applyAlignment="1">
      <alignment horizontal="center" wrapText="1"/>
    </xf>
    <xf numFmtId="0" fontId="28" fillId="2" borderId="1" xfId="0" applyFont="1" applyFill="1" applyBorder="1" applyAlignment="1">
      <alignment horizontal="center" vertical="center" wrapText="1"/>
    </xf>
    <xf numFmtId="0" fontId="28" fillId="0" borderId="1" xfId="0" applyFont="1" applyFill="1" applyBorder="1" applyAlignment="1">
      <alignment horizontal="center" vertical="center" wrapText="1"/>
    </xf>
    <xf numFmtId="0" fontId="0" fillId="2" borderId="5" xfId="0" applyFill="1" applyBorder="1" applyAlignment="1">
      <alignment wrapText="1"/>
    </xf>
    <xf numFmtId="0" fontId="28" fillId="2" borderId="0" xfId="0" applyFont="1" applyFill="1" applyBorder="1"/>
    <xf numFmtId="0" fontId="29" fillId="9" borderId="1" xfId="0" applyFont="1" applyFill="1" applyBorder="1" applyAlignment="1">
      <alignment horizontal="center" vertical="center" wrapText="1"/>
    </xf>
    <xf numFmtId="0" fontId="28" fillId="2" borderId="10" xfId="0" applyFont="1" applyFill="1" applyBorder="1"/>
    <xf numFmtId="0" fontId="61"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8" fillId="8" borderId="0" xfId="0" applyFont="1" applyFill="1" applyBorder="1" applyAlignment="1">
      <alignment horizontal="center" vertical="center"/>
    </xf>
    <xf numFmtId="0" fontId="28" fillId="8"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28"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1" fillId="8" borderId="0" xfId="0" applyFont="1" applyFill="1" applyBorder="1" applyAlignment="1">
      <alignment horizontal="center" vertical="center" wrapText="1"/>
    </xf>
    <xf numFmtId="0" fontId="61" fillId="8" borderId="0" xfId="0" applyFont="1" applyFill="1" applyAlignment="1">
      <alignment horizontal="center" vertical="center" wrapText="1"/>
    </xf>
    <xf numFmtId="0" fontId="61"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1" fillId="14" borderId="1" xfId="0" applyFont="1" applyFill="1" applyBorder="1" applyAlignment="1">
      <alignment horizontal="center" vertical="center" wrapText="1"/>
    </xf>
    <xf numFmtId="0" fontId="61"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4" fillId="13" borderId="1" xfId="0" applyFont="1" applyFill="1" applyBorder="1" applyAlignment="1">
      <alignment horizontal="center" vertical="center" wrapText="1"/>
    </xf>
    <xf numFmtId="0" fontId="0" fillId="0" borderId="0" xfId="0" applyFill="1" applyBorder="1" applyAlignment="1">
      <alignment horizontal="center"/>
    </xf>
    <xf numFmtId="0" fontId="28" fillId="13" borderId="1" xfId="0" applyFont="1" applyFill="1" applyBorder="1" applyAlignment="1">
      <alignment horizontal="center" vertical="center"/>
    </xf>
    <xf numFmtId="0" fontId="0" fillId="13" borderId="1" xfId="0" applyFill="1" applyBorder="1" applyAlignment="1">
      <alignment horizontal="center" vertical="center"/>
    </xf>
    <xf numFmtId="0" fontId="28" fillId="2" borderId="5" xfId="0" applyFont="1" applyFill="1" applyBorder="1" applyAlignment="1">
      <alignment wrapText="1"/>
    </xf>
    <xf numFmtId="0" fontId="28" fillId="10" borderId="0" xfId="0" applyFont="1" applyFill="1" applyBorder="1" applyAlignment="1">
      <alignment horizontal="left" vertical="center"/>
    </xf>
    <xf numFmtId="0" fontId="28" fillId="12" borderId="0" xfId="0" applyFont="1" applyFill="1" applyBorder="1" applyAlignment="1">
      <alignment horizontal="left" vertical="center"/>
    </xf>
    <xf numFmtId="0" fontId="28" fillId="15" borderId="0" xfId="0" applyFont="1" applyFill="1" applyBorder="1" applyAlignment="1">
      <alignment horizontal="left" vertical="center"/>
    </xf>
    <xf numFmtId="0" fontId="28" fillId="13" borderId="0" xfId="0" applyFont="1" applyFill="1" applyBorder="1" applyAlignment="1">
      <alignment horizontal="left" vertical="center"/>
    </xf>
    <xf numFmtId="0" fontId="28" fillId="2" borderId="1" xfId="0" applyFont="1" applyFill="1" applyBorder="1"/>
    <xf numFmtId="0" fontId="28" fillId="0" borderId="1" xfId="0" applyFont="1" applyBorder="1" applyAlignment="1">
      <alignment horizontal="center" vertical="center"/>
    </xf>
    <xf numFmtId="14" fontId="28"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28" fillId="3" borderId="12" xfId="0" applyFont="1" applyFill="1" applyBorder="1" applyAlignment="1">
      <alignment horizontal="center" vertical="center" wrapText="1"/>
    </xf>
    <xf numFmtId="0" fontId="58" fillId="6" borderId="1" xfId="1" applyFont="1" applyBorder="1" applyAlignment="1">
      <alignment horizontal="center"/>
    </xf>
    <xf numFmtId="0" fontId="62" fillId="6" borderId="15" xfId="8" applyFont="1" applyAlignment="1">
      <alignment horizontal="center"/>
    </xf>
    <xf numFmtId="0" fontId="62" fillId="6" borderId="17" xfId="8" applyFont="1" applyBorder="1" applyAlignment="1">
      <alignment horizontal="center"/>
    </xf>
    <xf numFmtId="0" fontId="58" fillId="6" borderId="1" xfId="1" applyBorder="1" applyAlignment="1">
      <alignment horizontal="center" vertical="center"/>
    </xf>
    <xf numFmtId="0" fontId="28" fillId="2" borderId="1" xfId="0" applyFont="1" applyFill="1" applyBorder="1" applyAlignment="1">
      <alignment horizontal="center"/>
    </xf>
    <xf numFmtId="0" fontId="28"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8" fillId="2" borderId="8" xfId="0" applyFont="1" applyFill="1" applyBorder="1" applyAlignment="1">
      <alignment wrapText="1" shrinkToFit="1"/>
    </xf>
    <xf numFmtId="0" fontId="28" fillId="2" borderId="0" xfId="0" applyFont="1" applyFill="1"/>
    <xf numFmtId="0" fontId="28" fillId="2" borderId="0" xfId="0" applyFont="1" applyFill="1" applyAlignment="1">
      <alignment vertical="top"/>
    </xf>
    <xf numFmtId="0" fontId="28" fillId="0" borderId="0" xfId="3" applyAlignment="1">
      <alignment vertical="center"/>
    </xf>
    <xf numFmtId="0" fontId="32" fillId="0" borderId="0" xfId="3" applyFont="1" applyAlignment="1">
      <alignment vertical="center" wrapText="1"/>
    </xf>
    <xf numFmtId="164" fontId="32" fillId="0" borderId="0" xfId="3" applyNumberFormat="1" applyFont="1" applyAlignment="1">
      <alignment horizontal="center" vertical="center" wrapText="1"/>
    </xf>
    <xf numFmtId="20" fontId="32" fillId="0" borderId="0" xfId="3" applyNumberFormat="1" applyFont="1" applyAlignment="1">
      <alignment vertical="center" wrapText="1"/>
    </xf>
    <xf numFmtId="0" fontId="32" fillId="0" borderId="0" xfId="3" applyFont="1" applyAlignment="1">
      <alignment horizontal="left" vertical="center" wrapText="1"/>
    </xf>
    <xf numFmtId="0" fontId="63" fillId="0" borderId="0" xfId="3" quotePrefix="1" applyFont="1" applyAlignment="1">
      <alignment horizontal="right" vertical="center"/>
    </xf>
    <xf numFmtId="0" fontId="33" fillId="0" borderId="0" xfId="3" applyFont="1" applyAlignment="1">
      <alignment horizontal="left" vertical="center" wrapText="1"/>
    </xf>
    <xf numFmtId="0" fontId="28" fillId="0" borderId="0" xfId="3" applyAlignment="1">
      <alignment vertical="center" shrinkToFit="1"/>
    </xf>
    <xf numFmtId="0" fontId="65" fillId="0" borderId="0" xfId="3" applyFont="1" applyAlignment="1">
      <alignment horizontal="left" vertical="center" shrinkToFit="1"/>
    </xf>
    <xf numFmtId="0" fontId="29" fillId="0" borderId="0" xfId="3" applyFont="1" applyAlignment="1">
      <alignment horizontal="left" vertical="center" shrinkToFit="1"/>
    </xf>
    <xf numFmtId="0" fontId="28" fillId="0" borderId="0" xfId="3" applyAlignment="1" applyProtection="1">
      <alignment vertical="center"/>
      <protection locked="0"/>
    </xf>
    <xf numFmtId="0" fontId="28" fillId="0" borderId="0" xfId="3" applyAlignment="1" applyProtection="1">
      <alignment vertical="center" shrinkToFit="1"/>
      <protection locked="0"/>
    </xf>
    <xf numFmtId="0" fontId="70" fillId="0" borderId="2" xfId="3" applyFont="1" applyBorder="1" applyAlignment="1" applyProtection="1">
      <alignment horizontal="left" vertical="center" wrapText="1" shrinkToFit="1"/>
      <protection locked="0"/>
    </xf>
    <xf numFmtId="0" fontId="71" fillId="0" borderId="0" xfId="3" applyFont="1" applyAlignment="1" applyProtection="1">
      <alignment horizontal="left" vertical="center" shrinkToFit="1"/>
      <protection locked="0"/>
    </xf>
    <xf numFmtId="0" fontId="70" fillId="0" borderId="0" xfId="3" applyFont="1" applyAlignment="1" applyProtection="1">
      <alignment horizontal="left" vertical="center" wrapText="1" shrinkToFit="1"/>
      <protection locked="0"/>
    </xf>
    <xf numFmtId="0" fontId="71" fillId="0" borderId="3" xfId="3" applyFont="1" applyBorder="1" applyAlignment="1" applyProtection="1">
      <alignment horizontal="left" vertical="center" shrinkToFit="1"/>
      <protection locked="0"/>
    </xf>
    <xf numFmtId="0" fontId="74" fillId="0" borderId="0" xfId="3" applyFont="1" applyAlignment="1" applyProtection="1">
      <alignment vertical="center"/>
      <protection locked="0"/>
    </xf>
    <xf numFmtId="0" fontId="75" fillId="0" borderId="0" xfId="3" applyFont="1" applyAlignment="1" applyProtection="1">
      <alignment horizontal="center" vertical="center"/>
      <protection locked="0"/>
    </xf>
    <xf numFmtId="0" fontId="27" fillId="8" borderId="0" xfId="9" applyFill="1"/>
    <xf numFmtId="0" fontId="76" fillId="0" borderId="0" xfId="3" applyFont="1" applyAlignment="1">
      <alignment horizontal="right" vertical="center"/>
    </xf>
    <xf numFmtId="0" fontId="77" fillId="0" borderId="18" xfId="3" applyFont="1" applyBorder="1" applyAlignment="1" applyProtection="1">
      <alignment vertical="center"/>
      <protection locked="0"/>
    </xf>
    <xf numFmtId="0" fontId="28" fillId="0" borderId="18" xfId="3" applyBorder="1" applyAlignment="1" applyProtection="1">
      <alignment vertical="center"/>
      <protection locked="0"/>
    </xf>
    <xf numFmtId="0" fontId="78" fillId="0" borderId="0" xfId="3" applyFont="1" applyAlignment="1" applyProtection="1">
      <alignment horizontal="left" vertical="center"/>
      <protection locked="0"/>
    </xf>
    <xf numFmtId="0" fontId="37" fillId="0" borderId="0" xfId="3" applyFont="1" applyAlignment="1" applyProtection="1">
      <alignment horizontal="left" vertical="center"/>
      <protection locked="0"/>
    </xf>
    <xf numFmtId="0" fontId="56" fillId="0" borderId="0" xfId="3" applyFont="1" applyAlignment="1" applyProtection="1">
      <alignment vertical="center"/>
      <protection locked="0"/>
    </xf>
    <xf numFmtId="0" fontId="29" fillId="0" borderId="0" xfId="3" applyFont="1" applyAlignment="1" applyProtection="1">
      <alignment vertical="center"/>
      <protection locked="0"/>
    </xf>
    <xf numFmtId="49" fontId="79" fillId="0" borderId="0" xfId="3" applyNumberFormat="1" applyFont="1" applyAlignment="1" applyProtection="1">
      <alignment horizontal="left" vertical="center"/>
      <protection locked="0"/>
    </xf>
    <xf numFmtId="49" fontId="28" fillId="0" borderId="0" xfId="3" applyNumberFormat="1" applyAlignment="1">
      <alignment horizontal="center" vertical="center" wrapText="1"/>
    </xf>
    <xf numFmtId="49" fontId="28" fillId="0" borderId="0" xfId="3" applyNumberFormat="1" applyAlignment="1" applyProtection="1">
      <alignment horizontal="left" vertical="center" wrapText="1"/>
      <protection locked="0"/>
    </xf>
    <xf numFmtId="49" fontId="28" fillId="0" borderId="0" xfId="3" applyNumberFormat="1" applyAlignment="1">
      <alignment horizontal="left" vertical="center" wrapText="1"/>
    </xf>
    <xf numFmtId="14" fontId="28" fillId="0" borderId="0" xfId="3" applyNumberFormat="1" applyAlignment="1" applyProtection="1">
      <alignment vertical="center"/>
      <protection locked="0"/>
    </xf>
    <xf numFmtId="0" fontId="80" fillId="0" borderId="0" xfId="3" applyFont="1" applyAlignment="1" applyProtection="1">
      <alignment horizontal="left" vertical="center"/>
      <protection locked="0"/>
    </xf>
    <xf numFmtId="0" fontId="28" fillId="0" borderId="0" xfId="3" applyAlignment="1">
      <alignment horizontal="left" vertical="center" wrapText="1"/>
    </xf>
    <xf numFmtId="0" fontId="77" fillId="0" borderId="5" xfId="3" applyFont="1" applyBorder="1" applyAlignment="1" applyProtection="1">
      <alignment vertical="center"/>
      <protection locked="0"/>
    </xf>
    <xf numFmtId="49" fontId="28" fillId="0" borderId="5" xfId="3" applyNumberFormat="1" applyBorder="1" applyAlignment="1" applyProtection="1">
      <alignment horizontal="left" vertical="center" wrapText="1"/>
      <protection locked="0"/>
    </xf>
    <xf numFmtId="0" fontId="28" fillId="0" borderId="5" xfId="3" applyBorder="1" applyAlignment="1">
      <alignment horizontal="left" vertical="center" wrapText="1"/>
    </xf>
    <xf numFmtId="0" fontId="77" fillId="0" borderId="0" xfId="3" applyFont="1" applyAlignment="1" applyProtection="1">
      <alignment vertical="center"/>
      <protection locked="0"/>
    </xf>
    <xf numFmtId="49" fontId="28" fillId="0" borderId="0" xfId="3" applyNumberFormat="1" applyAlignment="1" applyProtection="1">
      <alignment horizontal="left" vertical="center"/>
      <protection locked="0"/>
    </xf>
    <xf numFmtId="0" fontId="28" fillId="0" borderId="0" xfId="3" applyAlignment="1">
      <alignment horizontal="left" vertical="center"/>
    </xf>
    <xf numFmtId="0" fontId="29" fillId="2" borderId="1" xfId="0" applyNumberFormat="1" applyFont="1" applyFill="1" applyBorder="1" applyAlignment="1">
      <alignment horizontal="center" vertical="center"/>
    </xf>
    <xf numFmtId="0" fontId="28" fillId="21" borderId="0" xfId="0" applyFont="1" applyFill="1" applyBorder="1" applyAlignment="1">
      <alignment horizontal="left" vertical="top" wrapText="1"/>
    </xf>
    <xf numFmtId="0" fontId="28" fillId="21" borderId="0" xfId="0" applyFont="1" applyFill="1" applyBorder="1" applyAlignment="1">
      <alignment wrapText="1"/>
    </xf>
    <xf numFmtId="0" fontId="0" fillId="21" borderId="0" xfId="0" applyFill="1" applyBorder="1" applyAlignment="1">
      <alignment wrapText="1"/>
    </xf>
    <xf numFmtId="0" fontId="28" fillId="9" borderId="0" xfId="0" applyFont="1" applyFill="1" applyBorder="1" applyAlignment="1">
      <alignment wrapText="1"/>
    </xf>
    <xf numFmtId="0" fontId="0" fillId="9" borderId="0" xfId="0" applyFill="1" applyBorder="1" applyAlignment="1">
      <alignment wrapText="1"/>
    </xf>
    <xf numFmtId="0" fontId="28" fillId="2" borderId="2" xfId="0" applyFont="1" applyFill="1" applyBorder="1" applyAlignment="1">
      <alignment horizontal="right"/>
    </xf>
    <xf numFmtId="0" fontId="0" fillId="2" borderId="4" xfId="0" applyFill="1" applyBorder="1" applyAlignment="1">
      <alignment horizontal="right"/>
    </xf>
    <xf numFmtId="0" fontId="25" fillId="0" borderId="0" xfId="11"/>
    <xf numFmtId="0" fontId="31"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14" fontId="31" fillId="11" borderId="1" xfId="0" applyNumberFormat="1" applyFont="1" applyFill="1" applyBorder="1" applyAlignment="1">
      <alignment horizontal="center" vertical="center" wrapText="1"/>
    </xf>
    <xf numFmtId="0" fontId="52" fillId="8" borderId="0" xfId="0" applyFont="1" applyFill="1" applyAlignment="1">
      <alignment horizontal="center" vertical="center"/>
    </xf>
    <xf numFmtId="0" fontId="52" fillId="8" borderId="0" xfId="0" applyFont="1" applyFill="1" applyAlignment="1">
      <alignment vertical="center"/>
    </xf>
    <xf numFmtId="0" fontId="52" fillId="0" borderId="0" xfId="0" applyFont="1" applyAlignment="1">
      <alignment vertical="center"/>
    </xf>
    <xf numFmtId="0" fontId="31" fillId="0" borderId="0" xfId="0" applyFont="1" applyFill="1" applyAlignment="1">
      <alignment vertical="center"/>
    </xf>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8" fillId="5" borderId="0" xfId="15" applyFill="1" applyAlignment="1">
      <alignment vertical="center"/>
    </xf>
    <xf numFmtId="0" fontId="28" fillId="5" borderId="0" xfId="15" applyFill="1" applyAlignment="1">
      <alignment vertical="center" wrapText="1"/>
    </xf>
    <xf numFmtId="0" fontId="30" fillId="5" borderId="0" xfId="15" applyFont="1" applyFill="1" applyAlignment="1">
      <alignment vertical="center"/>
    </xf>
    <xf numFmtId="0" fontId="66" fillId="30" borderId="10" xfId="15" applyFont="1" applyFill="1" applyBorder="1" applyAlignment="1">
      <alignment vertical="center"/>
    </xf>
    <xf numFmtId="0" fontId="95" fillId="30" borderId="19" xfId="15" applyFont="1" applyFill="1" applyBorder="1" applyAlignment="1">
      <alignment vertical="center" wrapText="1"/>
    </xf>
    <xf numFmtId="0" fontId="28" fillId="5" borderId="1" xfId="15" applyFill="1" applyBorder="1" applyAlignment="1">
      <alignment vertical="center"/>
    </xf>
    <xf numFmtId="0" fontId="96" fillId="5" borderId="1" xfId="15" applyFont="1" applyFill="1" applyBorder="1" applyAlignment="1">
      <alignment horizontal="center" vertical="center"/>
    </xf>
    <xf numFmtId="0" fontId="28" fillId="5" borderId="1" xfId="15" applyFill="1" applyBorder="1" applyAlignment="1">
      <alignment vertical="center" wrapText="1"/>
    </xf>
    <xf numFmtId="0" fontId="38" fillId="30" borderId="19" xfId="15" applyFont="1" applyFill="1" applyBorder="1" applyAlignment="1">
      <alignment vertical="center" wrapText="1"/>
    </xf>
    <xf numFmtId="0" fontId="0" fillId="0" borderId="0" xfId="0" applyAlignment="1" applyProtection="1">
      <alignment vertical="center"/>
      <protection locked="0"/>
    </xf>
    <xf numFmtId="0" fontId="78" fillId="0" borderId="0" xfId="0" applyFont="1" applyAlignment="1" applyProtection="1">
      <alignment horizontal="left" vertical="center"/>
      <protection locked="0"/>
    </xf>
    <xf numFmtId="0" fontId="28" fillId="0" borderId="1" xfId="15" applyBorder="1" applyAlignment="1">
      <alignment vertical="center" wrapText="1"/>
    </xf>
    <xf numFmtId="0" fontId="102" fillId="0" borderId="2" xfId="0" applyFont="1" applyBorder="1" applyAlignment="1">
      <alignment horizontal="right" vertical="center"/>
    </xf>
    <xf numFmtId="0" fontId="104" fillId="0" borderId="0" xfId="0" applyFont="1" applyBorder="1" applyAlignment="1">
      <alignment wrapText="1"/>
    </xf>
    <xf numFmtId="0" fontId="86" fillId="7" borderId="1" xfId="14" applyFont="1" applyFill="1" applyBorder="1" applyAlignment="1">
      <alignment horizontal="center" vertical="center"/>
    </xf>
    <xf numFmtId="0" fontId="105" fillId="8" borderId="0" xfId="30" applyFill="1" applyAlignment="1">
      <alignment horizontal="center" wrapText="1"/>
    </xf>
    <xf numFmtId="0" fontId="31" fillId="3" borderId="12" xfId="0" applyFont="1" applyFill="1" applyBorder="1" applyAlignment="1">
      <alignment horizontal="center" vertical="center" wrapText="1"/>
    </xf>
    <xf numFmtId="0" fontId="31" fillId="3" borderId="16" xfId="0" applyFont="1" applyFill="1" applyBorder="1" applyAlignment="1">
      <alignment horizontal="center" vertical="center" wrapText="1"/>
    </xf>
    <xf numFmtId="0" fontId="31" fillId="3" borderId="1" xfId="0" applyFont="1" applyFill="1" applyBorder="1" applyAlignment="1">
      <alignment horizontal="center" vertical="center" wrapText="1"/>
    </xf>
    <xf numFmtId="0" fontId="58" fillId="6" borderId="16" xfId="1" applyFont="1" applyBorder="1" applyAlignment="1">
      <alignment horizontal="center" vertical="center"/>
    </xf>
    <xf numFmtId="0" fontId="58" fillId="6" borderId="1" xfId="1" applyFont="1" applyBorder="1" applyAlignment="1">
      <alignment horizontal="center" vertical="center"/>
    </xf>
    <xf numFmtId="0" fontId="29" fillId="2" borderId="1" xfId="0" applyFont="1" applyFill="1" applyBorder="1" applyAlignment="1">
      <alignment horizontal="center"/>
    </xf>
    <xf numFmtId="0" fontId="66" fillId="32" borderId="12" xfId="15" applyFont="1" applyFill="1" applyBorder="1" applyAlignment="1">
      <alignment horizontal="center" vertical="center" textRotation="45" wrapText="1"/>
    </xf>
    <xf numFmtId="0" fontId="93" fillId="32" borderId="12" xfId="15" applyFont="1" applyFill="1" applyBorder="1" applyAlignment="1">
      <alignment horizontal="center" vertical="center" wrapText="1"/>
    </xf>
    <xf numFmtId="0" fontId="81" fillId="32" borderId="1" xfId="15" applyFont="1" applyFill="1" applyBorder="1" applyAlignment="1">
      <alignment horizontal="center" vertical="center" textRotation="45" wrapText="1"/>
    </xf>
    <xf numFmtId="0" fontId="81" fillId="32" borderId="1" xfId="15" applyFont="1" applyFill="1" applyBorder="1" applyAlignment="1">
      <alignment horizontal="center" vertical="center" wrapText="1"/>
    </xf>
    <xf numFmtId="0" fontId="66" fillId="32" borderId="13" xfId="15" applyFont="1" applyFill="1" applyBorder="1" applyAlignment="1">
      <alignment horizontal="center" vertical="center"/>
    </xf>
    <xf numFmtId="0" fontId="94" fillId="32"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6" fillId="32" borderId="7" xfId="15" applyFont="1" applyFill="1" applyBorder="1" applyAlignment="1">
      <alignment horizontal="center" vertical="center"/>
    </xf>
    <xf numFmtId="0" fontId="97" fillId="32" borderId="8" xfId="15" applyFont="1" applyFill="1" applyBorder="1" applyAlignment="1">
      <alignment horizontal="center" vertical="center" wrapText="1"/>
    </xf>
    <xf numFmtId="0" fontId="94" fillId="32" borderId="8" xfId="15" applyFont="1" applyFill="1" applyBorder="1" applyAlignment="1">
      <alignment horizontal="center" vertical="center" wrapText="1"/>
    </xf>
    <xf numFmtId="0" fontId="94" fillId="32"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3" borderId="1" xfId="0" applyFill="1" applyBorder="1" applyAlignment="1">
      <alignment horizontal="center" vertical="center"/>
    </xf>
    <xf numFmtId="0" fontId="0" fillId="0" borderId="1" xfId="0" applyBorder="1" applyAlignment="1">
      <alignment vertical="center"/>
    </xf>
    <xf numFmtId="0" fontId="38" fillId="15" borderId="0" xfId="0" applyFont="1" applyFill="1" applyAlignment="1">
      <alignment horizontal="center" wrapText="1"/>
    </xf>
    <xf numFmtId="0" fontId="50" fillId="15" borderId="0" xfId="0" applyFont="1" applyFill="1" applyAlignment="1">
      <alignment horizontal="center" wrapText="1"/>
    </xf>
    <xf numFmtId="0" fontId="38" fillId="7" borderId="0" xfId="0" applyFont="1" applyFill="1" applyAlignment="1">
      <alignment horizontal="center" wrapText="1"/>
    </xf>
    <xf numFmtId="0" fontId="107" fillId="7" borderId="0" xfId="0" applyFont="1" applyFill="1" applyAlignment="1">
      <alignment horizontal="center" vertical="center" wrapText="1"/>
    </xf>
    <xf numFmtId="0" fontId="89" fillId="29" borderId="12" xfId="34" applyFont="1" applyFill="1" applyBorder="1" applyAlignment="1">
      <alignment horizontal="center" vertical="center" wrapText="1"/>
    </xf>
    <xf numFmtId="0" fontId="28" fillId="0" borderId="1" xfId="0" applyFont="1" applyFill="1" applyBorder="1" applyAlignment="1">
      <alignment vertical="center" wrapText="1"/>
    </xf>
    <xf numFmtId="0" fontId="5" fillId="0" borderId="0" xfId="11" applyFont="1"/>
    <xf numFmtId="0" fontId="25" fillId="0" borderId="0" xfId="11" applyFill="1" applyBorder="1"/>
    <xf numFmtId="0" fontId="58" fillId="6" borderId="21" xfId="1" applyBorder="1"/>
    <xf numFmtId="0" fontId="58" fillId="6" borderId="14" xfId="1" applyBorder="1"/>
    <xf numFmtId="0" fontId="0" fillId="6" borderId="14" xfId="1" applyFont="1"/>
    <xf numFmtId="0" fontId="4" fillId="0" borderId="0" xfId="11" applyFont="1" applyFill="1" applyBorder="1"/>
    <xf numFmtId="0" fontId="28" fillId="0" borderId="1" xfId="0" applyFont="1" applyBorder="1" applyAlignment="1">
      <alignment horizontal="center" vertical="center" wrapText="1"/>
    </xf>
    <xf numFmtId="0" fontId="28" fillId="0" borderId="11" xfId="0" applyFont="1" applyBorder="1" applyAlignment="1">
      <alignment horizontal="center" vertical="center" wrapText="1"/>
    </xf>
    <xf numFmtId="0" fontId="0" fillId="0" borderId="11" xfId="0" applyBorder="1" applyAlignment="1">
      <alignment vertical="center" wrapText="1"/>
    </xf>
    <xf numFmtId="0" fontId="3" fillId="0" borderId="0" xfId="11" applyFont="1" applyFill="1" applyBorder="1"/>
    <xf numFmtId="0" fontId="2" fillId="0" borderId="0" xfId="11" applyFont="1" applyFill="1" applyBorder="1"/>
    <xf numFmtId="0" fontId="1" fillId="0" borderId="0" xfId="11" applyFont="1" applyFill="1" applyBorder="1"/>
    <xf numFmtId="0" fontId="89" fillId="29" borderId="20" xfId="14" applyFont="1" applyFill="1" applyBorder="1" applyAlignment="1" applyProtection="1">
      <alignment horizontal="left" vertical="center" wrapText="1"/>
      <protection locked="0"/>
    </xf>
    <xf numFmtId="0" fontId="5" fillId="0" borderId="0" xfId="11" applyFont="1" applyAlignment="1">
      <alignment horizontal="left"/>
    </xf>
    <xf numFmtId="0" fontId="25" fillId="0" borderId="0" xfId="11" applyFill="1" applyBorder="1" applyAlignment="1">
      <alignment horizontal="left"/>
    </xf>
    <xf numFmtId="14" fontId="25" fillId="0" borderId="0" xfId="11" applyNumberFormat="1" applyFill="1" applyBorder="1" applyAlignment="1">
      <alignment horizontal="left"/>
    </xf>
    <xf numFmtId="0" fontId="4" fillId="0" borderId="0" xfId="11" applyFont="1" applyFill="1" applyBorder="1" applyAlignment="1">
      <alignment horizontal="left"/>
    </xf>
    <xf numFmtId="0" fontId="3" fillId="0" borderId="0" xfId="11" applyFont="1" applyFill="1" applyBorder="1" applyAlignment="1">
      <alignment horizontal="left"/>
    </xf>
    <xf numFmtId="0" fontId="2" fillId="0" borderId="0" xfId="11" applyFont="1" applyFill="1" applyBorder="1" applyAlignment="1">
      <alignment horizontal="left"/>
    </xf>
    <xf numFmtId="0" fontId="1" fillId="0" borderId="0" xfId="11" applyFont="1" applyFill="1" applyBorder="1" applyAlignment="1">
      <alignment horizontal="left"/>
    </xf>
    <xf numFmtId="14" fontId="1" fillId="0" borderId="0" xfId="11" applyNumberFormat="1" applyFont="1" applyFill="1" applyBorder="1" applyAlignment="1">
      <alignment horizontal="left"/>
    </xf>
    <xf numFmtId="0" fontId="25" fillId="0" borderId="0" xfId="11" applyAlignment="1">
      <alignment horizontal="left"/>
    </xf>
    <xf numFmtId="0" fontId="33" fillId="0" borderId="7" xfId="3" applyFont="1" applyBorder="1" applyAlignment="1">
      <alignment horizontal="left" vertical="center" shrinkToFit="1"/>
    </xf>
    <xf numFmtId="0" fontId="33" fillId="0" borderId="8" xfId="3" applyFont="1" applyBorder="1" applyAlignment="1">
      <alignment horizontal="left" vertical="center" shrinkToFit="1"/>
    </xf>
    <xf numFmtId="0" fontId="33" fillId="0" borderId="9" xfId="3" applyFont="1" applyBorder="1" applyAlignment="1">
      <alignment horizontal="left" vertical="center" shrinkToFit="1"/>
    </xf>
    <xf numFmtId="0" fontId="33" fillId="0" borderId="7" xfId="3" applyFont="1" applyBorder="1" applyAlignment="1">
      <alignment horizontal="left" vertical="center" wrapText="1"/>
    </xf>
    <xf numFmtId="0" fontId="33" fillId="0" borderId="8" xfId="3" applyFont="1" applyBorder="1" applyAlignment="1">
      <alignment horizontal="left" vertical="center" wrapText="1"/>
    </xf>
    <xf numFmtId="0" fontId="33" fillId="0" borderId="9" xfId="3" applyFont="1" applyBorder="1" applyAlignment="1">
      <alignment horizontal="left" vertical="center" wrapText="1"/>
    </xf>
    <xf numFmtId="0" fontId="64" fillId="0" borderId="4" xfId="0" applyFont="1" applyBorder="1" applyAlignment="1">
      <alignment horizontal="left" vertical="center" shrinkToFit="1"/>
    </xf>
    <xf numFmtId="0" fontId="64" fillId="0" borderId="5" xfId="0" applyFont="1" applyBorder="1" applyAlignment="1">
      <alignment horizontal="left" vertical="center" shrinkToFit="1"/>
    </xf>
    <xf numFmtId="0" fontId="64" fillId="0" borderId="6" xfId="0" applyFont="1" applyBorder="1" applyAlignment="1">
      <alignment horizontal="left" vertical="center" shrinkToFit="1"/>
    </xf>
    <xf numFmtId="0" fontId="64" fillId="0" borderId="4" xfId="3" applyFont="1" applyBorder="1" applyAlignment="1">
      <alignment horizontal="left" vertical="center" shrinkToFit="1"/>
    </xf>
    <xf numFmtId="0" fontId="64" fillId="0" borderId="5" xfId="3" applyFont="1" applyBorder="1" applyAlignment="1">
      <alignment horizontal="left" vertical="center" shrinkToFit="1"/>
    </xf>
    <xf numFmtId="0" fontId="64" fillId="0" borderId="6" xfId="3" applyFont="1" applyBorder="1" applyAlignment="1">
      <alignment horizontal="left" vertical="center" shrinkToFit="1"/>
    </xf>
    <xf numFmtId="0" fontId="75" fillId="0" borderId="0" xfId="3" applyFont="1" applyAlignment="1" applyProtection="1">
      <alignment horizontal="center" vertical="center" wrapText="1"/>
      <protection locked="0"/>
    </xf>
    <xf numFmtId="0" fontId="28" fillId="0" borderId="0" xfId="3" applyAlignment="1">
      <alignment vertical="center" wrapText="1"/>
    </xf>
    <xf numFmtId="0" fontId="66" fillId="16" borderId="2" xfId="3" applyFont="1" applyFill="1" applyBorder="1" applyAlignment="1" applyProtection="1">
      <alignment horizontal="center" vertical="center" shrinkToFit="1"/>
      <protection locked="0"/>
    </xf>
    <xf numFmtId="0" fontId="66" fillId="16" borderId="0" xfId="3" applyFont="1" applyFill="1" applyAlignment="1" applyProtection="1">
      <alignment horizontal="center" vertical="center" shrinkToFit="1"/>
      <protection locked="0"/>
    </xf>
    <xf numFmtId="0" fontId="66" fillId="16" borderId="3" xfId="3" applyFont="1" applyFill="1" applyBorder="1" applyAlignment="1" applyProtection="1">
      <alignment horizontal="center" vertical="center" shrinkToFit="1"/>
      <protection locked="0"/>
    </xf>
    <xf numFmtId="0" fontId="28" fillId="0" borderId="4" xfId="3" applyBorder="1" applyAlignment="1" applyProtection="1">
      <alignment horizontal="right" vertical="top" wrapText="1" shrinkToFit="1"/>
      <protection locked="0"/>
    </xf>
    <xf numFmtId="0" fontId="28" fillId="0" borderId="5" xfId="3" applyBorder="1" applyAlignment="1" applyProtection="1">
      <alignment horizontal="right" vertical="top" wrapText="1" shrinkToFit="1"/>
      <protection locked="0"/>
    </xf>
    <xf numFmtId="0" fontId="67" fillId="0" borderId="5" xfId="0" applyFont="1" applyBorder="1" applyAlignment="1" applyProtection="1">
      <alignment horizontal="left" vertical="top" wrapText="1" shrinkToFit="1"/>
      <protection locked="0"/>
    </xf>
    <xf numFmtId="0" fontId="67" fillId="0" borderId="6" xfId="0" applyFont="1" applyBorder="1" applyAlignment="1" applyProtection="1">
      <alignment horizontal="left" vertical="top" wrapText="1" shrinkToFit="1"/>
      <protection locked="0"/>
    </xf>
    <xf numFmtId="0" fontId="30" fillId="0" borderId="5" xfId="3" applyFont="1" applyBorder="1" applyAlignment="1" applyProtection="1">
      <alignment horizontal="left" vertical="top" wrapText="1" shrinkToFit="1"/>
      <protection locked="0"/>
    </xf>
    <xf numFmtId="0" fontId="69" fillId="0" borderId="5" xfId="3" applyFont="1" applyBorder="1" applyAlignment="1" applyProtection="1">
      <alignment horizontal="left" vertical="top" shrinkToFit="1"/>
      <protection locked="0"/>
    </xf>
    <xf numFmtId="0" fontId="69" fillId="0" borderId="6" xfId="3" applyFont="1" applyBorder="1" applyAlignment="1" applyProtection="1">
      <alignment horizontal="left" vertical="top" shrinkToFit="1"/>
      <protection locked="0"/>
    </xf>
    <xf numFmtId="0" fontId="66" fillId="16" borderId="7" xfId="3" applyFont="1" applyFill="1" applyBorder="1" applyAlignment="1" applyProtection="1">
      <alignment horizontal="center" vertical="center" shrinkToFit="1"/>
      <protection locked="0"/>
    </xf>
    <xf numFmtId="0" fontId="66" fillId="16" borderId="8" xfId="3" applyFont="1" applyFill="1" applyBorder="1" applyAlignment="1" applyProtection="1">
      <alignment horizontal="center" vertical="center" shrinkToFit="1"/>
      <protection locked="0"/>
    </xf>
    <xf numFmtId="0" fontId="66" fillId="16" borderId="9" xfId="3" applyFont="1" applyFill="1" applyBorder="1" applyAlignment="1" applyProtection="1">
      <alignment horizontal="center" vertical="center" shrinkToFit="1"/>
      <protection locked="0"/>
    </xf>
    <xf numFmtId="0" fontId="28" fillId="0" borderId="4" xfId="3" applyBorder="1" applyAlignment="1" applyProtection="1">
      <alignment horizontal="center" vertical="top" wrapText="1" shrinkToFit="1"/>
      <protection locked="0"/>
    </xf>
    <xf numFmtId="0" fontId="28" fillId="0" borderId="5" xfId="3" applyBorder="1" applyAlignment="1" applyProtection="1">
      <alignment horizontal="center" vertical="top" wrapText="1" shrinkToFit="1"/>
      <protection locked="0"/>
    </xf>
    <xf numFmtId="0" fontId="28" fillId="0" borderId="6" xfId="3" applyBorder="1" applyAlignment="1" applyProtection="1">
      <alignment horizontal="center" vertical="top" wrapText="1" shrinkToFit="1"/>
      <protection locked="0"/>
    </xf>
    <xf numFmtId="0" fontId="66" fillId="16" borderId="8" xfId="3" applyFont="1" applyFill="1" applyBorder="1" applyAlignment="1" applyProtection="1">
      <alignment horizontal="center" vertical="center" wrapText="1"/>
      <protection locked="0"/>
    </xf>
    <xf numFmtId="0" fontId="66" fillId="16" borderId="0" xfId="3" applyFont="1" applyFill="1" applyAlignment="1" applyProtection="1">
      <alignment horizontal="center" vertical="center" wrapText="1"/>
      <protection locked="0"/>
    </xf>
    <xf numFmtId="0" fontId="28" fillId="0" borderId="7" xfId="3" applyBorder="1" applyAlignment="1" applyProtection="1">
      <alignment horizontal="left" vertical="top"/>
      <protection locked="0"/>
    </xf>
    <xf numFmtId="0" fontId="28" fillId="0" borderId="8" xfId="3" applyBorder="1" applyAlignment="1" applyProtection="1">
      <alignment horizontal="left" vertical="top"/>
      <protection locked="0"/>
    </xf>
    <xf numFmtId="0" fontId="28" fillId="0" borderId="9" xfId="3" applyBorder="1" applyAlignment="1" applyProtection="1">
      <alignment horizontal="left" vertical="top"/>
      <protection locked="0"/>
    </xf>
    <xf numFmtId="0" fontId="28" fillId="0" borderId="4" xfId="3" applyBorder="1" applyAlignment="1" applyProtection="1">
      <alignment horizontal="left" vertical="top"/>
      <protection locked="0"/>
    </xf>
    <xf numFmtId="0" fontId="28" fillId="0" borderId="5" xfId="3" applyBorder="1" applyAlignment="1" applyProtection="1">
      <alignment horizontal="left" vertical="top"/>
      <protection locked="0"/>
    </xf>
    <xf numFmtId="0" fontId="28" fillId="0" borderId="6" xfId="3" applyBorder="1" applyAlignment="1" applyProtection="1">
      <alignment horizontal="left" vertical="top"/>
      <protection locked="0"/>
    </xf>
    <xf numFmtId="0" fontId="66" fillId="16" borderId="2" xfId="3" applyFont="1" applyFill="1" applyBorder="1" applyAlignment="1" applyProtection="1">
      <alignment horizontal="center" vertical="center" wrapText="1" shrinkToFit="1"/>
      <protection locked="0"/>
    </xf>
    <xf numFmtId="0" fontId="66"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14" fontId="28" fillId="0" borderId="10" xfId="3" applyNumberFormat="1" applyBorder="1" applyAlignment="1" applyProtection="1">
      <alignment horizontal="left" vertical="center" wrapText="1"/>
      <protection locked="0"/>
    </xf>
    <xf numFmtId="14" fontId="28" fillId="0" borderId="19" xfId="3" applyNumberFormat="1" applyBorder="1" applyAlignment="1" applyProtection="1">
      <alignment horizontal="left" vertical="center" wrapText="1"/>
      <protection locked="0"/>
    </xf>
    <xf numFmtId="14" fontId="28" fillId="0" borderId="11" xfId="3" applyNumberFormat="1" applyBorder="1" applyAlignment="1" applyProtection="1">
      <alignment horizontal="left" vertical="center" wrapText="1"/>
      <protection locked="0"/>
    </xf>
    <xf numFmtId="49" fontId="28" fillId="0" borderId="1" xfId="3" applyNumberFormat="1" applyBorder="1" applyAlignment="1" applyProtection="1">
      <alignment horizontal="left" vertical="center" wrapText="1"/>
      <protection locked="0"/>
    </xf>
    <xf numFmtId="49" fontId="28" fillId="0" borderId="1" xfId="3" applyNumberFormat="1" applyBorder="1" applyAlignment="1">
      <alignment horizontal="left" vertical="center" wrapText="1"/>
    </xf>
    <xf numFmtId="49" fontId="28" fillId="0" borderId="1" xfId="3" applyNumberFormat="1" applyBorder="1" applyAlignment="1" applyProtection="1">
      <alignment horizontal="center" vertical="center" wrapText="1"/>
      <protection locked="0"/>
    </xf>
    <xf numFmtId="49" fontId="28" fillId="0" borderId="1" xfId="3" applyNumberFormat="1" applyBorder="1" applyAlignment="1">
      <alignment horizontal="center" vertical="center" wrapText="1"/>
    </xf>
    <xf numFmtId="0" fontId="99" fillId="2" borderId="10" xfId="7" applyFont="1" applyFill="1" applyBorder="1" applyAlignment="1">
      <alignment horizontal="center" vertical="center"/>
    </xf>
    <xf numFmtId="0" fontId="99" fillId="2" borderId="19" xfId="7" applyFont="1" applyFill="1" applyBorder="1" applyAlignment="1">
      <alignment horizontal="center" vertical="center"/>
    </xf>
    <xf numFmtId="0" fontId="99" fillId="2" borderId="11" xfId="7" applyFont="1" applyFill="1" applyBorder="1" applyAlignment="1">
      <alignment horizontal="center" vertical="center"/>
    </xf>
    <xf numFmtId="0" fontId="35" fillId="2" borderId="10" xfId="7" applyFill="1" applyBorder="1" applyAlignment="1">
      <alignment horizontal="justify" vertical="center" wrapText="1"/>
    </xf>
    <xf numFmtId="0" fontId="35" fillId="2" borderId="19" xfId="7" applyFill="1" applyBorder="1" applyAlignment="1">
      <alignment horizontal="justify" vertical="center" wrapText="1"/>
    </xf>
    <xf numFmtId="0" fontId="35" fillId="2" borderId="11" xfId="7" applyFill="1" applyBorder="1" applyAlignment="1">
      <alignment horizontal="justify" vertical="center" wrapText="1"/>
    </xf>
    <xf numFmtId="0" fontId="47" fillId="18" borderId="1" xfId="3" applyFont="1" applyFill="1" applyBorder="1" applyAlignment="1" applyProtection="1">
      <alignment horizontal="center" vertical="center" wrapText="1"/>
      <protection locked="0"/>
    </xf>
    <xf numFmtId="0" fontId="28" fillId="0" borderId="1" xfId="3" applyBorder="1" applyAlignment="1">
      <alignment horizontal="center" vertical="center" wrapText="1"/>
    </xf>
    <xf numFmtId="49" fontId="28" fillId="0" borderId="1" xfId="3" applyNumberFormat="1" applyBorder="1" applyAlignment="1" applyProtection="1">
      <alignment vertical="center" wrapText="1"/>
      <protection locked="0"/>
    </xf>
    <xf numFmtId="0" fontId="28" fillId="0" borderId="1" xfId="3" applyBorder="1" applyAlignment="1">
      <alignment horizontal="left" vertical="center" wrapText="1"/>
    </xf>
    <xf numFmtId="49" fontId="28" fillId="0" borderId="10" xfId="3" applyNumberFormat="1" applyBorder="1" applyAlignment="1" applyProtection="1">
      <alignment horizontal="center" vertical="center" wrapText="1"/>
      <protection locked="0"/>
    </xf>
    <xf numFmtId="49" fontId="28" fillId="0" borderId="19" xfId="3" applyNumberFormat="1" applyBorder="1" applyAlignment="1" applyProtection="1">
      <alignment horizontal="center" vertical="center" wrapText="1"/>
      <protection locked="0"/>
    </xf>
    <xf numFmtId="49" fontId="28" fillId="0" borderId="11" xfId="3" applyNumberFormat="1" applyBorder="1" applyAlignment="1" applyProtection="1">
      <alignment horizontal="center" vertical="center" wrapText="1"/>
      <protection locked="0"/>
    </xf>
    <xf numFmtId="49" fontId="28" fillId="23" borderId="1" xfId="3" applyNumberFormat="1" applyFill="1" applyBorder="1" applyAlignment="1" applyProtection="1">
      <alignment horizontal="center" vertical="center" wrapText="1"/>
      <protection locked="0"/>
    </xf>
    <xf numFmtId="49" fontId="28" fillId="31" borderId="1" xfId="3" applyNumberFormat="1" applyFont="1" applyFill="1" applyBorder="1" applyAlignment="1" applyProtection="1">
      <alignment horizontal="center" vertical="center" wrapText="1"/>
      <protection locked="0"/>
    </xf>
    <xf numFmtId="0" fontId="33" fillId="17" borderId="7" xfId="3" applyFont="1" applyFill="1" applyBorder="1" applyAlignment="1">
      <alignment horizontal="left" vertical="center" wrapText="1"/>
    </xf>
    <xf numFmtId="0" fontId="33" fillId="17" borderId="8" xfId="3" applyFont="1" applyFill="1" applyBorder="1" applyAlignment="1">
      <alignment horizontal="left" vertical="center" wrapText="1"/>
    </xf>
    <xf numFmtId="0" fontId="33" fillId="17" borderId="9" xfId="3" applyFont="1" applyFill="1" applyBorder="1" applyAlignment="1">
      <alignment horizontal="left" vertical="center" wrapTex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0" fontId="33" fillId="17" borderId="7" xfId="3" applyFont="1" applyFill="1" applyBorder="1" applyAlignment="1">
      <alignment horizontal="left" vertical="center" shrinkToFit="1"/>
    </xf>
    <xf numFmtId="0" fontId="33" fillId="17" borderId="8" xfId="3" applyFont="1" applyFill="1" applyBorder="1" applyAlignment="1">
      <alignment horizontal="left" vertical="center" shrinkToFit="1"/>
    </xf>
    <xf numFmtId="0" fontId="33" fillId="17" borderId="9" xfId="3" applyFont="1" applyFill="1" applyBorder="1" applyAlignment="1">
      <alignment horizontal="left" vertical="center" shrinkToFi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28" fillId="18" borderId="1" xfId="3" applyFill="1" applyBorder="1" applyAlignment="1" applyProtection="1">
      <alignment horizontal="center" vertical="center" wrapText="1"/>
      <protection locked="0"/>
    </xf>
    <xf numFmtId="49" fontId="28" fillId="19" borderId="1" xfId="3" applyNumberFormat="1" applyFill="1" applyBorder="1" applyAlignment="1" applyProtection="1">
      <alignment horizontal="center" vertical="center" wrapText="1"/>
      <protection locked="0"/>
    </xf>
    <xf numFmtId="49" fontId="28" fillId="22" borderId="1" xfId="3" applyNumberFormat="1" applyFill="1" applyBorder="1" applyAlignment="1" applyProtection="1">
      <alignment horizontal="center" vertical="center" wrapText="1"/>
      <protection locked="0"/>
    </xf>
    <xf numFmtId="49" fontId="61" fillId="24" borderId="1" xfId="3" applyNumberFormat="1" applyFont="1" applyFill="1" applyBorder="1" applyAlignment="1" applyProtection="1">
      <alignment horizontal="center" vertical="center" wrapText="1"/>
      <protection locked="0"/>
    </xf>
    <xf numFmtId="0" fontId="81" fillId="20" borderId="1" xfId="3" applyFont="1" applyFill="1" applyBorder="1" applyAlignment="1">
      <alignment horizontal="center" vertical="center" wrapText="1"/>
    </xf>
    <xf numFmtId="0" fontId="28" fillId="0" borderId="10" xfId="3" applyBorder="1" applyAlignment="1">
      <alignment horizontal="left" vertical="center" wrapText="1"/>
    </xf>
    <xf numFmtId="0" fontId="28" fillId="0" borderId="19" xfId="3" applyBorder="1" applyAlignment="1">
      <alignment horizontal="left" vertical="center" wrapText="1"/>
    </xf>
    <xf numFmtId="0" fontId="28" fillId="0" borderId="11" xfId="3" applyBorder="1" applyAlignment="1">
      <alignment horizontal="left" vertical="center" wrapText="1"/>
    </xf>
    <xf numFmtId="0" fontId="59" fillId="0" borderId="10" xfId="2" applyBorder="1" applyAlignment="1">
      <alignment horizontal="left" vertical="center" wrapText="1"/>
    </xf>
    <xf numFmtId="0" fontId="29" fillId="21" borderId="2" xfId="0" applyFont="1" applyFill="1" applyBorder="1" applyAlignment="1">
      <alignment horizontal="center" vertical="top" textRotation="45"/>
    </xf>
    <xf numFmtId="0" fontId="29" fillId="9" borderId="2" xfId="0" applyFont="1" applyFill="1" applyBorder="1" applyAlignment="1">
      <alignment horizontal="center" vertical="center" textRotation="45"/>
    </xf>
    <xf numFmtId="0" fontId="36" fillId="3" borderId="7" xfId="7" applyFont="1" applyFill="1" applyBorder="1" applyAlignment="1">
      <alignment horizontal="center" vertical="distributed"/>
    </xf>
    <xf numFmtId="0" fontId="36" fillId="3" borderId="8" xfId="7" applyFont="1" applyFill="1" applyBorder="1" applyAlignment="1">
      <alignment horizontal="center" vertical="distributed"/>
    </xf>
    <xf numFmtId="0" fontId="36" fillId="3" borderId="9" xfId="7" applyFont="1" applyFill="1" applyBorder="1" applyAlignment="1">
      <alignment horizontal="center" vertical="distributed"/>
    </xf>
    <xf numFmtId="0" fontId="29" fillId="3" borderId="7" xfId="0" applyFont="1" applyFill="1" applyBorder="1" applyAlignment="1">
      <alignment horizontal="center" wrapText="1"/>
    </xf>
    <xf numFmtId="0" fontId="29" fillId="3" borderId="8" xfId="0" applyFont="1" applyFill="1" applyBorder="1" applyAlignment="1">
      <alignment horizontal="center" wrapText="1"/>
    </xf>
    <xf numFmtId="0" fontId="29" fillId="3" borderId="9" xfId="0" applyFont="1" applyFill="1" applyBorder="1" applyAlignment="1">
      <alignment horizontal="center" wrapText="1"/>
    </xf>
    <xf numFmtId="0" fontId="28" fillId="2" borderId="10" xfId="0" applyFont="1" applyFill="1" applyBorder="1" applyAlignment="1">
      <alignment horizontal="left" vertical="center" wrapText="1" shrinkToFit="1"/>
    </xf>
    <xf numFmtId="0" fontId="28"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8" fillId="8" borderId="5" xfId="0" applyFont="1" applyFill="1" applyBorder="1" applyAlignment="1">
      <alignment horizontal="center" vertical="center"/>
    </xf>
    <xf numFmtId="0" fontId="38"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490">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alignment horizontal="left" textRotation="0" indent="0" justifyLastLine="0" shrinkToFit="0" readingOrder="0"/>
    </dxf>
    <dxf>
      <alignment horizontal="left" textRotation="0" indent="0" justifyLastLine="0" shrinkToFit="0" readingOrder="0"/>
    </dxf>
    <dxf>
      <fill>
        <patternFill patternType="none">
          <fgColor indexed="64"/>
          <bgColor indexed="65"/>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20</c:v>
                </c:pt>
                <c:pt idx="1">
                  <c:v>13</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42</c:v>
                </c:pt>
                <c:pt idx="3">
                  <c:v>0</c:v>
                </c:pt>
                <c:pt idx="4">
                  <c:v>14</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56</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2" totalsRowShown="0" headerRowDxfId="463" headerRowBorderDxfId="462" tableBorderDxfId="461" headerRowCellStyle="40% - Accent5" dataCellStyle="Normal 4">
  <autoFilter ref="A2:O12" xr:uid="{55CAA4EB-488C-4F32-9F6A-6870B577A4DE}"/>
  <tableColumns count="15">
    <tableColumn id="1" xr3:uid="{FEEDD6BA-8576-4483-B3A7-B40672627BC2}" name="Work-product(s)" dataDxfId="460" dataCellStyle="Normal 4"/>
    <tableColumn id="2" xr3:uid="{0C995001-8C07-4D73-A1A0-A5E13B326418}" name="Review type" dataCellStyle="Normal 4"/>
    <tableColumn id="3" xr3:uid="{D964FAA7-465B-48F7-B997-F16421BB3246}" name="Starting date" dataDxfId="459" dataCellStyle="Normal 4"/>
    <tableColumn id="4" xr3:uid="{7CAB5B69-9FD6-4BE7-A3E1-3148F51E8C55}" name="Due date" dataDxfId="458" dataCellStyle="Normal 4"/>
    <tableColumn id="5" xr3:uid="{A7E8DB5D-2E5B-4D50-802A-7373C2649DB9}" name="Effort (in mn)" dataCellStyle="Calculation">
      <calculatedColumnFormula>SUM(F3:O12)</calculatedColumnFormula>
    </tableColumn>
    <tableColumn id="6" xr3:uid="{DD9655BE-E53F-4CA5-885B-7FC10F8D2395}" name="VCH" dataCellStyle="Normal 4"/>
    <tableColumn id="7" xr3:uid="{525D8884-0C8A-4478-BF05-7E1372CD45F9}" name="DPU" dataCellStyle="Normal 4"/>
    <tableColumn id="8" xr3:uid="{967B83B5-4BDD-455D-9479-4517937966AE}" name="AAN" dataCellStyle="Normal 4"/>
    <tableColumn id="9" xr3:uid="{B1B837F4-0787-4CAA-BD5D-A6B2F7E9368A}" name="Dan Dustinta" dataCellStyle="Normal 4"/>
    <tableColumn id="10" xr3:uid="{4B029EAF-CE65-4128-A016-A786C51E5D01}" name="CAL" dataCellStyle="Normal 4"/>
    <tableColumn id="11" xr3:uid="{5B3D026C-0D6F-4D5D-949A-921EED9750D8}" name="RHA"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F10" sqref="F10:K10"/>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360</v>
      </c>
    </row>
    <row r="4" spans="1:37" s="96" customFormat="1" ht="11.1" customHeight="1">
      <c r="A4" s="222" t="s">
        <v>5</v>
      </c>
      <c r="B4" s="223"/>
      <c r="C4" s="223"/>
      <c r="D4" s="223"/>
      <c r="E4" s="223"/>
      <c r="F4" s="223"/>
      <c r="G4" s="223"/>
      <c r="H4" s="223"/>
      <c r="I4" s="223"/>
      <c r="J4" s="223"/>
      <c r="K4" s="223"/>
      <c r="L4" s="223"/>
      <c r="M4" s="223"/>
      <c r="N4" s="223"/>
      <c r="O4" s="223"/>
      <c r="P4" s="223"/>
      <c r="Q4" s="224"/>
      <c r="R4" s="225" t="s">
        <v>12</v>
      </c>
      <c r="S4" s="226"/>
      <c r="T4" s="226"/>
      <c r="U4" s="226"/>
      <c r="V4" s="227"/>
      <c r="W4" s="225" t="s">
        <v>6</v>
      </c>
      <c r="X4" s="226"/>
      <c r="Y4" s="226"/>
      <c r="Z4" s="226"/>
      <c r="AA4" s="227"/>
      <c r="AB4" s="222" t="s">
        <v>136</v>
      </c>
      <c r="AC4" s="223"/>
      <c r="AD4" s="223"/>
      <c r="AE4" s="223"/>
      <c r="AF4" s="223"/>
      <c r="AG4" s="224"/>
      <c r="AH4" s="102"/>
      <c r="AI4" s="102"/>
      <c r="AJ4" s="102"/>
    </row>
    <row r="5" spans="1:37" s="103" customFormat="1" ht="12.75" customHeight="1">
      <c r="A5" s="228" t="str">
        <f ca="1" xml:space="preserve"> IFERROR(IF([3]!alvDocProperty("MXAuthority")="","Process and method",[3]!alvDocProperty("MXAuthority")),"Process and method")</f>
        <v>Process and method</v>
      </c>
      <c r="B5" s="229"/>
      <c r="C5" s="229"/>
      <c r="D5" s="229"/>
      <c r="E5" s="229"/>
      <c r="F5" s="229"/>
      <c r="G5" s="229"/>
      <c r="H5" s="229"/>
      <c r="I5" s="229"/>
      <c r="J5" s="229"/>
      <c r="K5" s="229"/>
      <c r="L5" s="229"/>
      <c r="M5" s="229"/>
      <c r="N5" s="229"/>
      <c r="O5" s="229"/>
      <c r="P5" s="229"/>
      <c r="Q5" s="230"/>
      <c r="R5" s="228" t="s">
        <v>137</v>
      </c>
      <c r="S5" s="229"/>
      <c r="T5" s="229"/>
      <c r="U5" s="229"/>
      <c r="V5" s="230"/>
      <c r="W5" s="228" t="str">
        <f ca="1" xml:space="preserve"> IFERROR(IF([3]!alvDocProperty("MXCurrent.Localized")="","Template released",[3]!alvDocProperty("MXCurrent.Localized")),"Template released")</f>
        <v>Template released</v>
      </c>
      <c r="X5" s="229"/>
      <c r="Y5" s="229"/>
      <c r="Z5" s="229"/>
      <c r="AA5" s="230"/>
      <c r="AB5" s="228" t="str">
        <f ca="1" xml:space="preserve"> IFERROR(IF([3]!alvDocProperty("MXActual_state_Released")="","2022-09",[3]!alvDocProperty("MXActual_state_Released")),"2022-09")</f>
        <v>2022-09</v>
      </c>
      <c r="AC5" s="229"/>
      <c r="AD5" s="229"/>
      <c r="AE5" s="229"/>
      <c r="AF5" s="229"/>
      <c r="AG5" s="230"/>
    </row>
    <row r="6" spans="1:37" s="96" customFormat="1" ht="11.1" customHeight="1">
      <c r="A6" s="225" t="s">
        <v>7</v>
      </c>
      <c r="B6" s="226"/>
      <c r="C6" s="226"/>
      <c r="D6" s="227"/>
      <c r="E6" s="225" t="s">
        <v>8</v>
      </c>
      <c r="F6" s="226"/>
      <c r="G6" s="226"/>
      <c r="H6" s="226"/>
      <c r="I6" s="226"/>
      <c r="J6" s="226"/>
      <c r="K6" s="226"/>
      <c r="L6" s="226"/>
      <c r="M6" s="226"/>
      <c r="N6" s="226"/>
      <c r="O6" s="226"/>
      <c r="P6" s="226"/>
      <c r="Q6" s="226"/>
      <c r="R6" s="226"/>
      <c r="S6" s="226"/>
      <c r="T6" s="226"/>
      <c r="U6" s="226"/>
      <c r="V6" s="227"/>
      <c r="W6" s="222" t="s">
        <v>10</v>
      </c>
      <c r="X6" s="223"/>
      <c r="Y6" s="223"/>
      <c r="Z6" s="223"/>
      <c r="AA6" s="224"/>
      <c r="AB6" s="225" t="s">
        <v>34</v>
      </c>
      <c r="AC6" s="226"/>
      <c r="AD6" s="227"/>
      <c r="AE6" s="225" t="s">
        <v>9</v>
      </c>
      <c r="AF6" s="226"/>
      <c r="AG6" s="227"/>
    </row>
    <row r="7" spans="1:37" s="103" customFormat="1" ht="12.75" customHeight="1">
      <c r="A7" s="228" t="str">
        <f ca="1" xml:space="preserve"> IFERROR(IF([3]!alvDocProperty("MXName")="","TBD",[3]!alvDocProperty("MXName")),"TBD")</f>
        <v>TBD</v>
      </c>
      <c r="B7" s="229"/>
      <c r="C7" s="229"/>
      <c r="D7" s="230"/>
      <c r="E7" s="228" t="str">
        <f ca="1" xml:space="preserve"> IFERROR(IF([3]!alvDocProperty("MXTitle")="","Peer Review Workbook (PRWB)",[3]!alvDocProperty("MXTitle")),"Peer Review Workbook (PRWB)")</f>
        <v>Peer Review Workbook (PRWB)</v>
      </c>
      <c r="F7" s="229"/>
      <c r="G7" s="229"/>
      <c r="H7" s="229"/>
      <c r="I7" s="229"/>
      <c r="J7" s="229"/>
      <c r="K7" s="229"/>
      <c r="L7" s="229"/>
      <c r="M7" s="229"/>
      <c r="N7" s="229"/>
      <c r="O7" s="229"/>
      <c r="P7" s="229"/>
      <c r="Q7" s="229"/>
      <c r="R7" s="229"/>
      <c r="S7" s="229"/>
      <c r="T7" s="229"/>
      <c r="U7" s="229"/>
      <c r="V7" s="230"/>
      <c r="W7" s="231" t="str">
        <f ca="1" xml:space="preserve"> IFERROR(IF([3]!alvDocProperty("MXDocTemplate_Name")="","AEF1007",[3]!alvDocProperty("MXDocTemplate_Name")),"AEF1007")</f>
        <v>AEF1007</v>
      </c>
      <c r="X7" s="232"/>
      <c r="Y7" s="232"/>
      <c r="Z7" s="232"/>
      <c r="AA7" s="233"/>
      <c r="AB7" s="228" t="str">
        <f ca="1" xml:space="preserve"> IFERROR(IF([3]!alvDocProperty("MXRevision")="","TBD",[3]!alvDocProperty("MXRevision")),"TBD")</f>
        <v>TBD</v>
      </c>
      <c r="AC7" s="229"/>
      <c r="AD7" s="230"/>
      <c r="AE7" s="228" t="str">
        <f ca="1" xml:space="preserve"> IFERROR(IF([3]!alvDocProperty("MXVersion")="","TBD",[3]!alvDocProperty("MXVersion")),"TBD")</f>
        <v>TBD</v>
      </c>
      <c r="AF7" s="229"/>
      <c r="AG7" s="230"/>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36" t="s">
        <v>60</v>
      </c>
      <c r="B9" s="237"/>
      <c r="C9" s="237"/>
      <c r="D9" s="237"/>
      <c r="E9" s="237"/>
      <c r="F9" s="237"/>
      <c r="G9" s="237"/>
      <c r="H9" s="237"/>
      <c r="I9" s="237"/>
      <c r="J9" s="237"/>
      <c r="K9" s="238"/>
      <c r="L9" s="236" t="s">
        <v>12</v>
      </c>
      <c r="M9" s="237"/>
      <c r="N9" s="237"/>
      <c r="O9" s="237"/>
      <c r="P9" s="237"/>
      <c r="Q9" s="237"/>
      <c r="R9" s="237"/>
      <c r="S9" s="237"/>
      <c r="T9" s="237"/>
      <c r="U9" s="237"/>
      <c r="V9" s="238"/>
      <c r="W9" s="236" t="s">
        <v>17</v>
      </c>
      <c r="X9" s="237"/>
      <c r="Y9" s="237"/>
      <c r="Z9" s="237"/>
      <c r="AA9" s="237"/>
      <c r="AB9" s="237"/>
      <c r="AC9" s="237"/>
      <c r="AD9" s="237"/>
      <c r="AE9" s="237"/>
      <c r="AF9" s="237"/>
      <c r="AG9" s="238"/>
    </row>
    <row r="10" spans="1:37" s="107" customFormat="1" ht="39" customHeight="1">
      <c r="A10" s="239" t="s">
        <v>138</v>
      </c>
      <c r="B10" s="240"/>
      <c r="C10" s="240"/>
      <c r="D10" s="240"/>
      <c r="E10" s="240"/>
      <c r="F10" s="241" t="str">
        <f ca="1" xml:space="preserve"> IFERROR(IF([3]!alvDocProperty("MXUser")="","TBD",[3]!alvDocProperty("MXUser")),"TBD")</f>
        <v>TBD</v>
      </c>
      <c r="G10" s="241"/>
      <c r="H10" s="241"/>
      <c r="I10" s="241"/>
      <c r="J10" s="241"/>
      <c r="K10" s="242"/>
      <c r="L10" s="243" t="s">
        <v>139</v>
      </c>
      <c r="M10" s="244"/>
      <c r="N10" s="244"/>
      <c r="O10" s="244"/>
      <c r="P10" s="244"/>
      <c r="Q10" s="244"/>
      <c r="R10" s="244"/>
      <c r="S10" s="244"/>
      <c r="T10" s="244"/>
      <c r="U10" s="244"/>
      <c r="V10" s="245"/>
      <c r="W10" s="243" t="s">
        <v>139</v>
      </c>
      <c r="X10" s="244"/>
      <c r="Y10" s="244"/>
      <c r="Z10" s="244"/>
      <c r="AA10" s="244"/>
      <c r="AB10" s="244"/>
      <c r="AC10" s="244"/>
      <c r="AD10" s="244"/>
      <c r="AE10" s="244"/>
      <c r="AF10" s="244"/>
      <c r="AG10" s="245"/>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46" t="s">
        <v>140</v>
      </c>
      <c r="B12" s="24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8"/>
    </row>
    <row r="13" spans="1:37" s="107" customFormat="1" ht="28.5" customHeight="1">
      <c r="A13" s="249" t="s">
        <v>141</v>
      </c>
      <c r="B13" s="250"/>
      <c r="C13" s="250"/>
      <c r="D13" s="250"/>
      <c r="E13" s="250"/>
      <c r="F13" s="250"/>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1"/>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52" t="s">
        <v>142</v>
      </c>
      <c r="B15" s="252"/>
      <c r="C15" s="252"/>
      <c r="D15" s="252"/>
      <c r="E15" s="254"/>
      <c r="F15" s="255"/>
      <c r="G15" s="255"/>
      <c r="H15" s="255"/>
      <c r="I15" s="255"/>
      <c r="J15" s="255"/>
      <c r="K15" s="255"/>
      <c r="L15" s="255"/>
      <c r="M15" s="255"/>
      <c r="N15" s="255"/>
      <c r="O15" s="255"/>
      <c r="P15" s="255"/>
      <c r="Q15" s="255"/>
      <c r="R15" s="255"/>
      <c r="S15" s="255"/>
      <c r="T15" s="255"/>
      <c r="U15" s="255"/>
      <c r="V15" s="255"/>
      <c r="W15" s="255"/>
      <c r="X15" s="255"/>
      <c r="Y15" s="255"/>
      <c r="Z15" s="255"/>
      <c r="AA15" s="255"/>
      <c r="AB15" s="255"/>
      <c r="AC15" s="255"/>
      <c r="AD15" s="255"/>
      <c r="AE15" s="255"/>
      <c r="AF15" s="255"/>
      <c r="AG15" s="256"/>
    </row>
    <row r="16" spans="1:37" ht="37.5" customHeight="1">
      <c r="A16" s="253"/>
      <c r="B16" s="253"/>
      <c r="C16" s="253"/>
      <c r="D16" s="253"/>
      <c r="E16" s="257"/>
      <c r="F16" s="258"/>
      <c r="G16" s="258"/>
      <c r="H16" s="258"/>
      <c r="I16" s="258"/>
      <c r="J16" s="258"/>
      <c r="K16" s="258"/>
      <c r="L16" s="258"/>
      <c r="M16" s="258"/>
      <c r="N16" s="258"/>
      <c r="O16" s="258"/>
      <c r="P16" s="258"/>
      <c r="Q16" s="258"/>
      <c r="R16" s="258"/>
      <c r="S16" s="258"/>
      <c r="T16" s="258"/>
      <c r="U16" s="258"/>
      <c r="V16" s="258"/>
      <c r="W16" s="258"/>
      <c r="X16" s="258"/>
      <c r="Y16" s="258"/>
      <c r="Z16" s="258"/>
      <c r="AA16" s="258"/>
      <c r="AB16" s="258"/>
      <c r="AC16" s="258"/>
      <c r="AD16" s="258"/>
      <c r="AE16" s="258"/>
      <c r="AF16" s="258"/>
      <c r="AG16" s="259"/>
    </row>
    <row r="17" spans="1:33">
      <c r="A17" s="112"/>
    </row>
    <row r="18" spans="1:33" ht="26.25" customHeight="1">
      <c r="A18" s="260" t="s">
        <v>299</v>
      </c>
      <c r="B18" s="261"/>
      <c r="C18" s="261"/>
      <c r="D18" s="261"/>
      <c r="E18" s="262" t="s">
        <v>298</v>
      </c>
      <c r="F18" s="262"/>
      <c r="G18" s="262"/>
      <c r="H18" s="262"/>
      <c r="I18" s="262"/>
      <c r="J18" s="262"/>
      <c r="K18" s="262"/>
      <c r="L18" s="262"/>
      <c r="M18" s="262"/>
      <c r="N18" s="262"/>
      <c r="O18" s="262"/>
      <c r="P18" s="262"/>
    </row>
    <row r="19" spans="1:33"/>
    <row r="20" spans="1:33"/>
    <row r="21" spans="1:33" ht="15.75" customHeight="1">
      <c r="Q21" s="113"/>
    </row>
    <row r="22" spans="1:33" ht="12" customHeight="1">
      <c r="Q22" s="113"/>
    </row>
    <row r="23" spans="1:33" ht="60" customHeight="1">
      <c r="A23" s="234" t="str">
        <f ca="1">MXTitle</f>
        <v>Peer Review Workbook (PRWB)</v>
      </c>
      <c r="B23" s="235"/>
      <c r="C23" s="235"/>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35"/>
      <c r="AB23" s="235"/>
      <c r="AC23" s="235"/>
      <c r="AD23" s="235"/>
      <c r="AE23" s="235"/>
      <c r="AF23" s="235"/>
      <c r="AG23" s="235"/>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2" type="noConversion"/>
  <conditionalFormatting sqref="W5">
    <cfRule type="cellIs" dxfId="489" priority="23" operator="equal">
      <formula>"draft"</formula>
    </cfRule>
  </conditionalFormatting>
  <conditionalFormatting sqref="W5:AA5">
    <cfRule type="cellIs" dxfId="488" priority="1" operator="equal">
      <formula>"In-Work"</formula>
    </cfRule>
    <cfRule type="cellIs" dxfId="487" priority="2" stopIfTrue="1" operator="equal">
      <formula>"draft"</formula>
    </cfRule>
    <cfRule type="cellIs" dxfId="486" priority="3" operator="equal">
      <formula>"In-Work"</formula>
    </cfRule>
    <cfRule type="cellIs" dxfId="485" priority="4" stopIfTrue="1" operator="equal">
      <formula>"draft"</formula>
    </cfRule>
    <cfRule type="cellIs" dxfId="484" priority="5" operator="equal">
      <formula>"In-Work"</formula>
    </cfRule>
    <cfRule type="cellIs" dxfId="483" priority="6" stopIfTrue="1" operator="equal">
      <formula>"draft"</formula>
    </cfRule>
    <cfRule type="cellIs" dxfId="482" priority="7" operator="equal">
      <formula>"In-Work"</formula>
    </cfRule>
    <cfRule type="cellIs" dxfId="481" priority="8" stopIfTrue="1" operator="equal">
      <formula>"draft"</formula>
    </cfRule>
    <cfRule type="cellIs" dxfId="480" priority="9" operator="equal">
      <formula>"In-Work"</formula>
    </cfRule>
    <cfRule type="cellIs" dxfId="479" priority="10" stopIfTrue="1" operator="equal">
      <formula>"draft"</formula>
    </cfRule>
    <cfRule type="cellIs" dxfId="478" priority="11" operator="equal">
      <formula>"In-Work"</formula>
    </cfRule>
    <cfRule type="cellIs" dxfId="477" priority="12" stopIfTrue="1" operator="equal">
      <formula>"draft"</formula>
    </cfRule>
    <cfRule type="cellIs" dxfId="476" priority="13" operator="equal">
      <formula>"In-Work"</formula>
    </cfRule>
    <cfRule type="cellIs" dxfId="475" priority="14" stopIfTrue="1" operator="equal">
      <formula>"draft"</formula>
    </cfRule>
    <cfRule type="cellIs" dxfId="474" priority="15" operator="equal">
      <formula>"In-Work"</formula>
    </cfRule>
    <cfRule type="cellIs" dxfId="473" priority="16" stopIfTrue="1" operator="equal">
      <formula>"draft"</formula>
    </cfRule>
    <cfRule type="cellIs" dxfId="472" priority="17" operator="equal">
      <formula>"In-Work"</formula>
    </cfRule>
    <cfRule type="cellIs" dxfId="471" priority="18" stopIfTrue="1" operator="equal">
      <formula>"draft"</formula>
    </cfRule>
    <cfRule type="cellIs" dxfId="470" priority="19" operator="equal">
      <formula>"In-Work"</formula>
    </cfRule>
    <cfRule type="cellIs" dxfId="469" priority="20" stopIfTrue="1" operator="equal">
      <formula>"draft"</formula>
    </cfRule>
    <cfRule type="cellIs" dxfId="468" priority="21" operator="equal">
      <formula>"In-Work"</formula>
    </cfRule>
    <cfRule type="cellIs" dxfId="467"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ARCH eCS - Peer Review Workbook (PRWB).xlsm</v>
      </c>
      <c r="AE3" s="96"/>
      <c r="AF3" s="96"/>
      <c r="AG3" s="96"/>
      <c r="AH3" s="96"/>
    </row>
    <row r="4" spans="1:34">
      <c r="A4" s="222" t="s">
        <v>5</v>
      </c>
      <c r="B4" s="223"/>
      <c r="C4" s="223"/>
      <c r="D4" s="223"/>
      <c r="E4" s="223"/>
      <c r="F4" s="223"/>
      <c r="G4" s="223"/>
      <c r="H4" s="223"/>
      <c r="I4" s="223"/>
      <c r="J4" s="223"/>
      <c r="K4" s="223"/>
      <c r="L4" s="223"/>
      <c r="M4" s="223"/>
      <c r="N4" s="223"/>
      <c r="O4" s="223"/>
      <c r="P4" s="223"/>
      <c r="Q4" s="223"/>
      <c r="R4" s="223"/>
      <c r="S4" s="223"/>
      <c r="T4" s="223"/>
      <c r="U4" s="223"/>
      <c r="V4" s="224"/>
      <c r="W4" s="285" t="s">
        <v>6</v>
      </c>
      <c r="X4" s="286"/>
      <c r="Y4" s="286"/>
      <c r="Z4" s="286"/>
      <c r="AA4" s="287"/>
      <c r="AB4" s="222" t="s">
        <v>136</v>
      </c>
      <c r="AC4" s="223"/>
      <c r="AD4" s="223"/>
      <c r="AE4" s="223"/>
      <c r="AF4" s="223"/>
      <c r="AG4" s="224"/>
      <c r="AH4" s="102"/>
    </row>
    <row r="5" spans="1:34">
      <c r="A5" s="231" t="s">
        <v>205</v>
      </c>
      <c r="B5" s="232"/>
      <c r="C5" s="232"/>
      <c r="D5" s="232"/>
      <c r="E5" s="232"/>
      <c r="F5" s="232"/>
      <c r="G5" s="232"/>
      <c r="H5" s="232"/>
      <c r="I5" s="232"/>
      <c r="J5" s="232"/>
      <c r="K5" s="232"/>
      <c r="L5" s="232"/>
      <c r="M5" s="232"/>
      <c r="N5" s="232"/>
      <c r="O5" s="232"/>
      <c r="P5" s="232"/>
      <c r="Q5" s="232"/>
      <c r="R5" s="232"/>
      <c r="S5" s="232"/>
      <c r="T5" s="232"/>
      <c r="U5" s="232"/>
      <c r="V5" s="233"/>
      <c r="W5" s="288" t="s">
        <v>204</v>
      </c>
      <c r="X5" s="289"/>
      <c r="Y5" s="289"/>
      <c r="Z5" s="289"/>
      <c r="AA5" s="290"/>
      <c r="AB5" s="231" t="s">
        <v>203</v>
      </c>
      <c r="AC5" s="232"/>
      <c r="AD5" s="232"/>
      <c r="AE5" s="232"/>
      <c r="AF5" s="232"/>
      <c r="AG5" s="233"/>
      <c r="AH5" s="103"/>
    </row>
    <row r="6" spans="1:34">
      <c r="A6" s="291" t="s">
        <v>7</v>
      </c>
      <c r="B6" s="292"/>
      <c r="C6" s="292"/>
      <c r="D6" s="293"/>
      <c r="E6" s="291" t="s">
        <v>8</v>
      </c>
      <c r="F6" s="292"/>
      <c r="G6" s="292"/>
      <c r="H6" s="292"/>
      <c r="I6" s="292"/>
      <c r="J6" s="292"/>
      <c r="K6" s="292"/>
      <c r="L6" s="292"/>
      <c r="M6" s="292"/>
      <c r="N6" s="292"/>
      <c r="O6" s="292"/>
      <c r="P6" s="292"/>
      <c r="Q6" s="292"/>
      <c r="R6" s="292"/>
      <c r="S6" s="292"/>
      <c r="T6" s="292"/>
      <c r="U6" s="292"/>
      <c r="V6" s="293"/>
      <c r="W6" s="222" t="s">
        <v>10</v>
      </c>
      <c r="X6" s="223"/>
      <c r="Y6" s="223"/>
      <c r="Z6" s="223"/>
      <c r="AA6" s="224"/>
      <c r="AB6" s="285" t="s">
        <v>34</v>
      </c>
      <c r="AC6" s="286"/>
      <c r="AD6" s="287"/>
      <c r="AE6" s="285" t="s">
        <v>9</v>
      </c>
      <c r="AF6" s="286"/>
      <c r="AG6" s="287"/>
      <c r="AH6" s="96"/>
    </row>
    <row r="7" spans="1:34">
      <c r="A7" s="288" t="s">
        <v>202</v>
      </c>
      <c r="B7" s="289"/>
      <c r="C7" s="289"/>
      <c r="D7" s="290"/>
      <c r="E7" s="288" t="s">
        <v>207</v>
      </c>
      <c r="F7" s="289"/>
      <c r="G7" s="289"/>
      <c r="H7" s="289"/>
      <c r="I7" s="289"/>
      <c r="J7" s="289"/>
      <c r="K7" s="289"/>
      <c r="L7" s="289"/>
      <c r="M7" s="289"/>
      <c r="N7" s="289"/>
      <c r="O7" s="289"/>
      <c r="P7" s="289"/>
      <c r="Q7" s="289"/>
      <c r="R7" s="289"/>
      <c r="S7" s="289"/>
      <c r="T7" s="289"/>
      <c r="U7" s="289"/>
      <c r="V7" s="290"/>
      <c r="W7" s="288" t="str">
        <f ca="1">TemplateRef</f>
        <v>AEF1007</v>
      </c>
      <c r="X7" s="289"/>
      <c r="Y7" s="289"/>
      <c r="Z7" s="289"/>
      <c r="AA7" s="290"/>
      <c r="AB7" s="288" t="s">
        <v>206</v>
      </c>
      <c r="AC7" s="289"/>
      <c r="AD7" s="290"/>
      <c r="AE7" s="288" t="s">
        <v>206</v>
      </c>
      <c r="AF7" s="289"/>
      <c r="AG7" s="290"/>
      <c r="AH7" s="103"/>
    </row>
    <row r="8" spans="1:34">
      <c r="A8" s="291" t="s">
        <v>143</v>
      </c>
      <c r="B8" s="292"/>
      <c r="C8" s="292"/>
      <c r="D8" s="292"/>
      <c r="E8" s="292"/>
      <c r="F8" s="292"/>
      <c r="G8" s="292"/>
      <c r="H8" s="292"/>
      <c r="I8" s="292"/>
      <c r="J8" s="292"/>
      <c r="K8" s="292"/>
      <c r="L8" s="292"/>
      <c r="M8" s="292"/>
      <c r="N8" s="292"/>
      <c r="O8" s="292"/>
      <c r="P8" s="292"/>
      <c r="Q8" s="292"/>
      <c r="R8" s="292"/>
      <c r="S8" s="292"/>
      <c r="T8" s="292"/>
      <c r="U8" s="292"/>
      <c r="V8" s="292"/>
      <c r="W8" s="292"/>
      <c r="X8" s="292"/>
      <c r="Y8" s="292"/>
      <c r="Z8" s="292"/>
      <c r="AA8" s="292"/>
      <c r="AB8" s="292"/>
      <c r="AC8" s="292"/>
      <c r="AD8" s="292"/>
      <c r="AE8" s="292"/>
      <c r="AF8" s="292"/>
      <c r="AG8" s="293"/>
      <c r="AH8" s="106"/>
    </row>
    <row r="9" spans="1:34">
      <c r="A9" s="294" t="s">
        <v>144</v>
      </c>
      <c r="B9" s="295"/>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6"/>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145</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146</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276" t="s">
        <v>147</v>
      </c>
      <c r="C15" s="297"/>
      <c r="D15" s="297"/>
      <c r="E15" s="297"/>
      <c r="F15" s="297"/>
      <c r="G15" s="276" t="s">
        <v>148</v>
      </c>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106"/>
      <c r="AH15" s="106"/>
    </row>
    <row r="16" spans="1:34" ht="55.5" customHeight="1">
      <c r="A16" s="106"/>
      <c r="B16" s="298" t="s">
        <v>149</v>
      </c>
      <c r="C16" s="298"/>
      <c r="D16" s="298"/>
      <c r="E16" s="298"/>
      <c r="F16" s="298"/>
      <c r="G16" s="266" t="s">
        <v>150</v>
      </c>
      <c r="H16" s="266"/>
      <c r="I16" s="266"/>
      <c r="J16" s="266"/>
      <c r="K16" s="266"/>
      <c r="L16" s="266"/>
      <c r="M16" s="266"/>
      <c r="N16" s="266"/>
      <c r="O16" s="266"/>
      <c r="P16" s="266"/>
      <c r="Q16" s="266"/>
      <c r="R16" s="266"/>
      <c r="S16" s="266"/>
      <c r="T16" s="266"/>
      <c r="U16" s="266"/>
      <c r="V16" s="266"/>
      <c r="W16" s="266"/>
      <c r="X16" s="266"/>
      <c r="Y16" s="266"/>
      <c r="Z16" s="266"/>
      <c r="AA16" s="266"/>
      <c r="AB16" s="266"/>
      <c r="AC16" s="266"/>
      <c r="AD16" s="266"/>
      <c r="AE16" s="266"/>
      <c r="AF16" s="266"/>
      <c r="AG16" s="106"/>
      <c r="AH16" s="106"/>
    </row>
    <row r="17" spans="1:34">
      <c r="A17" s="106"/>
      <c r="B17" s="298" t="s">
        <v>151</v>
      </c>
      <c r="C17" s="298"/>
      <c r="D17" s="298"/>
      <c r="E17" s="298"/>
      <c r="F17" s="298"/>
      <c r="G17" s="266" t="s">
        <v>152</v>
      </c>
      <c r="H17" s="266"/>
      <c r="I17" s="266"/>
      <c r="J17" s="266"/>
      <c r="K17" s="266"/>
      <c r="L17" s="266"/>
      <c r="M17" s="266"/>
      <c r="N17" s="266"/>
      <c r="O17" s="266"/>
      <c r="P17" s="266"/>
      <c r="Q17" s="266"/>
      <c r="R17" s="266"/>
      <c r="S17" s="266"/>
      <c r="T17" s="266"/>
      <c r="U17" s="266"/>
      <c r="V17" s="266"/>
      <c r="W17" s="266"/>
      <c r="X17" s="266"/>
      <c r="Y17" s="266"/>
      <c r="Z17" s="266"/>
      <c r="AA17" s="266"/>
      <c r="AB17" s="266"/>
      <c r="AC17" s="266"/>
      <c r="AD17" s="266"/>
      <c r="AE17" s="266"/>
      <c r="AF17" s="266"/>
      <c r="AG17" s="106"/>
      <c r="AH17" s="106"/>
    </row>
    <row r="18" spans="1:34" ht="15" customHeight="1">
      <c r="A18" s="106"/>
      <c r="B18" s="298" t="s">
        <v>15</v>
      </c>
      <c r="C18" s="298"/>
      <c r="D18" s="298"/>
      <c r="E18" s="298"/>
      <c r="F18" s="298"/>
      <c r="G18" s="266" t="s">
        <v>153</v>
      </c>
      <c r="H18" s="266"/>
      <c r="I18" s="266"/>
      <c r="J18" s="266"/>
      <c r="K18" s="266"/>
      <c r="L18" s="266"/>
      <c r="M18" s="266"/>
      <c r="N18" s="266"/>
      <c r="O18" s="266"/>
      <c r="P18" s="266"/>
      <c r="Q18" s="266"/>
      <c r="R18" s="266"/>
      <c r="S18" s="266"/>
      <c r="T18" s="266"/>
      <c r="U18" s="266"/>
      <c r="V18" s="266"/>
      <c r="W18" s="266"/>
      <c r="X18" s="266"/>
      <c r="Y18" s="266"/>
      <c r="Z18" s="266"/>
      <c r="AA18" s="266"/>
      <c r="AB18" s="266"/>
      <c r="AC18" s="266"/>
      <c r="AD18" s="266"/>
      <c r="AE18" s="266"/>
      <c r="AF18" s="266"/>
      <c r="AG18" s="106"/>
      <c r="AH18" s="106"/>
    </row>
    <row r="19" spans="1:34" ht="24" customHeight="1">
      <c r="A19" s="106"/>
      <c r="B19" s="299" t="s">
        <v>188</v>
      </c>
      <c r="C19" s="299"/>
      <c r="D19" s="299"/>
      <c r="E19" s="299"/>
      <c r="F19" s="299"/>
      <c r="G19" s="266" t="s">
        <v>153</v>
      </c>
      <c r="H19" s="266"/>
      <c r="I19" s="266"/>
      <c r="J19" s="266"/>
      <c r="K19" s="266"/>
      <c r="L19" s="266"/>
      <c r="M19" s="266"/>
      <c r="N19" s="266"/>
      <c r="O19" s="266"/>
      <c r="P19" s="266"/>
      <c r="Q19" s="266"/>
      <c r="R19" s="266"/>
      <c r="S19" s="266"/>
      <c r="T19" s="266"/>
      <c r="U19" s="266"/>
      <c r="V19" s="266"/>
      <c r="W19" s="266"/>
      <c r="X19" s="266"/>
      <c r="Y19" s="266"/>
      <c r="Z19" s="266"/>
      <c r="AA19" s="266"/>
      <c r="AB19" s="266"/>
      <c r="AC19" s="266"/>
      <c r="AD19" s="266"/>
      <c r="AE19" s="266"/>
      <c r="AF19" s="266"/>
      <c r="AG19" s="106"/>
      <c r="AH19" s="106"/>
    </row>
    <row r="20" spans="1:34">
      <c r="A20" s="106"/>
      <c r="B20" s="283" t="s">
        <v>189</v>
      </c>
      <c r="C20" s="283"/>
      <c r="D20" s="283"/>
      <c r="E20" s="283"/>
      <c r="F20" s="283"/>
      <c r="G20" s="266" t="s">
        <v>153</v>
      </c>
      <c r="H20" s="266"/>
      <c r="I20" s="266"/>
      <c r="J20" s="266"/>
      <c r="K20" s="266"/>
      <c r="L20" s="266"/>
      <c r="M20" s="266"/>
      <c r="N20" s="266"/>
      <c r="O20" s="266"/>
      <c r="P20" s="266"/>
      <c r="Q20" s="266"/>
      <c r="R20" s="266"/>
      <c r="S20" s="266"/>
      <c r="T20" s="266"/>
      <c r="U20" s="266"/>
      <c r="V20" s="266"/>
      <c r="W20" s="266"/>
      <c r="X20" s="266"/>
      <c r="Y20" s="266"/>
      <c r="Z20" s="266"/>
      <c r="AA20" s="266"/>
      <c r="AB20" s="266"/>
      <c r="AC20" s="266"/>
      <c r="AD20" s="266"/>
      <c r="AE20" s="266"/>
      <c r="AF20" s="266"/>
      <c r="AG20" s="106"/>
      <c r="AH20" s="106"/>
    </row>
    <row r="21" spans="1:34" ht="35.25" customHeight="1">
      <c r="A21" s="106"/>
      <c r="B21" s="284" t="s">
        <v>272</v>
      </c>
      <c r="C21" s="284"/>
      <c r="D21" s="284"/>
      <c r="E21" s="284"/>
      <c r="F21" s="284"/>
      <c r="G21" s="266" t="s">
        <v>273</v>
      </c>
      <c r="H21" s="266"/>
      <c r="I21" s="266"/>
      <c r="J21" s="266"/>
      <c r="K21" s="266"/>
      <c r="L21" s="266"/>
      <c r="M21" s="266"/>
      <c r="N21" s="266"/>
      <c r="O21" s="266"/>
      <c r="P21" s="266"/>
      <c r="Q21" s="266"/>
      <c r="R21" s="266"/>
      <c r="S21" s="266"/>
      <c r="T21" s="266"/>
      <c r="U21" s="266"/>
      <c r="V21" s="266"/>
      <c r="W21" s="266"/>
      <c r="X21" s="266"/>
      <c r="Y21" s="266"/>
      <c r="Z21" s="266"/>
      <c r="AA21" s="266"/>
      <c r="AB21" s="266"/>
      <c r="AC21" s="266"/>
      <c r="AD21" s="266"/>
      <c r="AE21" s="266"/>
      <c r="AF21" s="266"/>
      <c r="AG21" s="106"/>
      <c r="AH21" s="106"/>
    </row>
    <row r="22" spans="1:34" ht="28.5" customHeight="1">
      <c r="A22" s="106"/>
      <c r="B22" s="284" t="s">
        <v>274</v>
      </c>
      <c r="C22" s="284"/>
      <c r="D22" s="284"/>
      <c r="E22" s="284"/>
      <c r="F22" s="284"/>
      <c r="G22" s="266" t="s">
        <v>275</v>
      </c>
      <c r="H22" s="266"/>
      <c r="I22" s="266"/>
      <c r="J22" s="266"/>
      <c r="K22" s="266"/>
      <c r="L22" s="266"/>
      <c r="M22" s="266"/>
      <c r="N22" s="266"/>
      <c r="O22" s="266"/>
      <c r="P22" s="266"/>
      <c r="Q22" s="266"/>
      <c r="R22" s="266"/>
      <c r="S22" s="266"/>
      <c r="T22" s="266"/>
      <c r="U22" s="266"/>
      <c r="V22" s="266"/>
      <c r="W22" s="266"/>
      <c r="X22" s="266"/>
      <c r="Y22" s="266"/>
      <c r="Z22" s="266"/>
      <c r="AA22" s="266"/>
      <c r="AB22" s="266"/>
      <c r="AC22" s="266"/>
      <c r="AD22" s="266"/>
      <c r="AE22" s="266"/>
      <c r="AF22" s="266"/>
      <c r="AG22" s="106"/>
      <c r="AH22" s="106"/>
    </row>
    <row r="23" spans="1:34" ht="22.5" customHeight="1">
      <c r="A23" s="106"/>
      <c r="B23" s="284" t="s">
        <v>276</v>
      </c>
      <c r="C23" s="284"/>
      <c r="D23" s="284"/>
      <c r="E23" s="284"/>
      <c r="F23" s="284"/>
      <c r="G23" s="266" t="s">
        <v>277</v>
      </c>
      <c r="H23" s="266"/>
      <c r="I23" s="266"/>
      <c r="J23" s="266"/>
      <c r="K23" s="266"/>
      <c r="L23" s="266"/>
      <c r="M23" s="266"/>
      <c r="N23" s="266"/>
      <c r="O23" s="266"/>
      <c r="P23" s="266"/>
      <c r="Q23" s="266"/>
      <c r="R23" s="266"/>
      <c r="S23" s="266"/>
      <c r="T23" s="266"/>
      <c r="U23" s="266"/>
      <c r="V23" s="266"/>
      <c r="W23" s="266"/>
      <c r="X23" s="266"/>
      <c r="Y23" s="266"/>
      <c r="Z23" s="266"/>
      <c r="AA23" s="266"/>
      <c r="AB23" s="266"/>
      <c r="AC23" s="266"/>
      <c r="AD23" s="266"/>
      <c r="AE23" s="266"/>
      <c r="AF23" s="266"/>
      <c r="AG23" s="106"/>
      <c r="AH23" s="106"/>
    </row>
    <row r="24" spans="1:34" ht="45" customHeight="1">
      <c r="A24" s="106"/>
      <c r="B24" s="300" t="s">
        <v>190</v>
      </c>
      <c r="C24" s="300"/>
      <c r="D24" s="300"/>
      <c r="E24" s="300"/>
      <c r="F24" s="300"/>
      <c r="G24" s="266" t="s">
        <v>296</v>
      </c>
      <c r="H24" s="266"/>
      <c r="I24" s="266"/>
      <c r="J24" s="266"/>
      <c r="K24" s="266"/>
      <c r="L24" s="266"/>
      <c r="M24" s="266"/>
      <c r="N24" s="266"/>
      <c r="O24" s="266"/>
      <c r="P24" s="266"/>
      <c r="Q24" s="266"/>
      <c r="R24" s="266"/>
      <c r="S24" s="266"/>
      <c r="T24" s="266"/>
      <c r="U24" s="266"/>
      <c r="V24" s="266"/>
      <c r="W24" s="266"/>
      <c r="X24" s="266"/>
      <c r="Y24" s="266"/>
      <c r="Z24" s="266"/>
      <c r="AA24" s="266"/>
      <c r="AB24" s="266"/>
      <c r="AC24" s="266"/>
      <c r="AD24" s="266"/>
      <c r="AE24" s="266"/>
      <c r="AF24" s="266"/>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154</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276" t="s">
        <v>34</v>
      </c>
      <c r="C27" s="277"/>
      <c r="D27" s="277"/>
      <c r="E27" s="276" t="s">
        <v>92</v>
      </c>
      <c r="F27" s="276"/>
      <c r="G27" s="276"/>
      <c r="H27" s="276"/>
      <c r="I27" s="276" t="s">
        <v>155</v>
      </c>
      <c r="J27" s="277"/>
      <c r="K27" s="277"/>
      <c r="L27" s="277"/>
      <c r="M27" s="277"/>
      <c r="N27" s="277"/>
      <c r="O27" s="277"/>
      <c r="P27" s="277"/>
      <c r="Q27" s="277"/>
      <c r="R27" s="276" t="s">
        <v>156</v>
      </c>
      <c r="S27" s="276"/>
      <c r="T27" s="276"/>
      <c r="U27" s="276"/>
      <c r="V27" s="276"/>
      <c r="W27" s="276"/>
      <c r="X27" s="276"/>
      <c r="Y27" s="276"/>
      <c r="Z27" s="276"/>
      <c r="AA27" s="276"/>
      <c r="AB27" s="276"/>
      <c r="AC27" s="276"/>
      <c r="AD27" s="276"/>
      <c r="AE27" s="276"/>
      <c r="AF27" s="276"/>
      <c r="AG27" s="106"/>
      <c r="AH27" s="106"/>
    </row>
    <row r="28" spans="1:34" ht="40.5" customHeight="1">
      <c r="A28" s="106"/>
      <c r="B28" s="280" t="s">
        <v>322</v>
      </c>
      <c r="C28" s="281" t="s">
        <v>3</v>
      </c>
      <c r="D28" s="282" t="s">
        <v>3</v>
      </c>
      <c r="E28" s="263"/>
      <c r="F28" s="264"/>
      <c r="G28" s="264"/>
      <c r="H28" s="265"/>
      <c r="I28" s="266"/>
      <c r="J28" s="267"/>
      <c r="K28" s="267"/>
      <c r="L28" s="267"/>
      <c r="M28" s="267"/>
      <c r="N28" s="267"/>
      <c r="O28" s="267"/>
      <c r="P28" s="267"/>
      <c r="Q28" s="267"/>
      <c r="R28" s="266" t="s">
        <v>14</v>
      </c>
      <c r="S28" s="266" t="s">
        <v>14</v>
      </c>
      <c r="T28" s="266" t="s">
        <v>14</v>
      </c>
      <c r="U28" s="266" t="s">
        <v>14</v>
      </c>
      <c r="V28" s="266" t="s">
        <v>14</v>
      </c>
      <c r="W28" s="266" t="s">
        <v>14</v>
      </c>
      <c r="X28" s="266" t="s">
        <v>14</v>
      </c>
      <c r="Y28" s="266" t="s">
        <v>14</v>
      </c>
      <c r="Z28" s="266" t="s">
        <v>14</v>
      </c>
      <c r="AA28" s="266" t="s">
        <v>14</v>
      </c>
      <c r="AB28" s="266" t="s">
        <v>14</v>
      </c>
      <c r="AC28" s="266" t="s">
        <v>14</v>
      </c>
      <c r="AD28" s="266" t="s">
        <v>14</v>
      </c>
      <c r="AE28" s="266" t="s">
        <v>14</v>
      </c>
      <c r="AF28" s="266" t="s">
        <v>14</v>
      </c>
      <c r="AG28" s="106"/>
      <c r="AH28" s="106"/>
    </row>
    <row r="29" spans="1:34" ht="60" customHeight="1">
      <c r="A29" s="106"/>
      <c r="B29" s="280" t="s">
        <v>18</v>
      </c>
      <c r="C29" s="281" t="s">
        <v>18</v>
      </c>
      <c r="D29" s="282" t="s">
        <v>18</v>
      </c>
      <c r="E29" s="263">
        <v>40591.490486111114</v>
      </c>
      <c r="F29" s="264">
        <v>40591.490486111114</v>
      </c>
      <c r="G29" s="264">
        <v>40591.490486111114</v>
      </c>
      <c r="H29" s="265">
        <v>40591.490486111114</v>
      </c>
      <c r="I29" s="266" t="s">
        <v>4</v>
      </c>
      <c r="J29" s="267" t="s">
        <v>4</v>
      </c>
      <c r="K29" s="267" t="s">
        <v>4</v>
      </c>
      <c r="L29" s="267" t="s">
        <v>4</v>
      </c>
      <c r="M29" s="267" t="s">
        <v>4</v>
      </c>
      <c r="N29" s="267" t="s">
        <v>4</v>
      </c>
      <c r="O29" s="267" t="s">
        <v>4</v>
      </c>
      <c r="P29" s="267" t="s">
        <v>4</v>
      </c>
      <c r="Q29" s="267" t="s">
        <v>4</v>
      </c>
      <c r="R29" s="266" t="s">
        <v>35</v>
      </c>
      <c r="S29" s="266" t="s">
        <v>35</v>
      </c>
      <c r="T29" s="266" t="s">
        <v>35</v>
      </c>
      <c r="U29" s="266" t="s">
        <v>35</v>
      </c>
      <c r="V29" s="266" t="s">
        <v>35</v>
      </c>
      <c r="W29" s="266" t="s">
        <v>35</v>
      </c>
      <c r="X29" s="266" t="s">
        <v>35</v>
      </c>
      <c r="Y29" s="266" t="s">
        <v>35</v>
      </c>
      <c r="Z29" s="266" t="s">
        <v>35</v>
      </c>
      <c r="AA29" s="266" t="s">
        <v>35</v>
      </c>
      <c r="AB29" s="266" t="s">
        <v>35</v>
      </c>
      <c r="AC29" s="266" t="s">
        <v>35</v>
      </c>
      <c r="AD29" s="266" t="s">
        <v>35</v>
      </c>
      <c r="AE29" s="266" t="s">
        <v>35</v>
      </c>
      <c r="AF29" s="266" t="s">
        <v>35</v>
      </c>
      <c r="AG29" s="106"/>
      <c r="AH29" s="106"/>
    </row>
    <row r="30" spans="1:34" ht="291" customHeight="1">
      <c r="A30" s="106"/>
      <c r="B30" s="280" t="s">
        <v>98</v>
      </c>
      <c r="C30" s="281" t="s">
        <v>98</v>
      </c>
      <c r="D30" s="282" t="s">
        <v>98</v>
      </c>
      <c r="E30" s="263">
        <v>41071.656145833331</v>
      </c>
      <c r="F30" s="264">
        <v>41071.656145833331</v>
      </c>
      <c r="G30" s="264">
        <v>41071.656145833331</v>
      </c>
      <c r="H30" s="265">
        <v>41071.656145833331</v>
      </c>
      <c r="I30" s="266" t="s">
        <v>4</v>
      </c>
      <c r="J30" s="267" t="s">
        <v>4</v>
      </c>
      <c r="K30" s="267" t="s">
        <v>4</v>
      </c>
      <c r="L30" s="267" t="s">
        <v>4</v>
      </c>
      <c r="M30" s="267" t="s">
        <v>4</v>
      </c>
      <c r="N30" s="267" t="s">
        <v>4</v>
      </c>
      <c r="O30" s="267" t="s">
        <v>4</v>
      </c>
      <c r="P30" s="267" t="s">
        <v>4</v>
      </c>
      <c r="Q30" s="267" t="s">
        <v>4</v>
      </c>
      <c r="R30" s="266" t="s">
        <v>129</v>
      </c>
      <c r="S30" s="266" t="s">
        <v>129</v>
      </c>
      <c r="T30" s="266" t="s">
        <v>129</v>
      </c>
      <c r="U30" s="266" t="s">
        <v>129</v>
      </c>
      <c r="V30" s="266" t="s">
        <v>129</v>
      </c>
      <c r="W30" s="266" t="s">
        <v>129</v>
      </c>
      <c r="X30" s="266" t="s">
        <v>129</v>
      </c>
      <c r="Y30" s="266" t="s">
        <v>129</v>
      </c>
      <c r="Z30" s="266" t="s">
        <v>129</v>
      </c>
      <c r="AA30" s="266" t="s">
        <v>129</v>
      </c>
      <c r="AB30" s="266" t="s">
        <v>129</v>
      </c>
      <c r="AC30" s="266" t="s">
        <v>129</v>
      </c>
      <c r="AD30" s="266" t="s">
        <v>129</v>
      </c>
      <c r="AE30" s="266" t="s">
        <v>129</v>
      </c>
      <c r="AF30" s="266" t="s">
        <v>129</v>
      </c>
      <c r="AG30" s="106"/>
      <c r="AH30" s="106"/>
    </row>
    <row r="31" spans="1:34" ht="40.5" customHeight="1">
      <c r="A31" s="106"/>
      <c r="B31" s="280" t="s">
        <v>86</v>
      </c>
      <c r="C31" s="281" t="s">
        <v>86</v>
      </c>
      <c r="D31" s="282" t="s">
        <v>86</v>
      </c>
      <c r="E31" s="263">
        <v>41071.656145833331</v>
      </c>
      <c r="F31" s="264">
        <v>41071.656145833331</v>
      </c>
      <c r="G31" s="264">
        <v>41071.656145833331</v>
      </c>
      <c r="H31" s="265">
        <v>41071.656145833331</v>
      </c>
      <c r="I31" s="266" t="s">
        <v>87</v>
      </c>
      <c r="J31" s="267" t="s">
        <v>87</v>
      </c>
      <c r="K31" s="267" t="s">
        <v>87</v>
      </c>
      <c r="L31" s="267" t="s">
        <v>87</v>
      </c>
      <c r="M31" s="267" t="s">
        <v>87</v>
      </c>
      <c r="N31" s="267" t="s">
        <v>87</v>
      </c>
      <c r="O31" s="267" t="s">
        <v>87</v>
      </c>
      <c r="P31" s="267" t="s">
        <v>87</v>
      </c>
      <c r="Q31" s="267" t="s">
        <v>87</v>
      </c>
      <c r="R31" s="266" t="s">
        <v>100</v>
      </c>
      <c r="S31" s="266" t="s">
        <v>100</v>
      </c>
      <c r="T31" s="266" t="s">
        <v>100</v>
      </c>
      <c r="U31" s="266" t="s">
        <v>100</v>
      </c>
      <c r="V31" s="266" t="s">
        <v>100</v>
      </c>
      <c r="W31" s="266" t="s">
        <v>100</v>
      </c>
      <c r="X31" s="266" t="s">
        <v>100</v>
      </c>
      <c r="Y31" s="266" t="s">
        <v>100</v>
      </c>
      <c r="Z31" s="266" t="s">
        <v>100</v>
      </c>
      <c r="AA31" s="266" t="s">
        <v>100</v>
      </c>
      <c r="AB31" s="266" t="s">
        <v>100</v>
      </c>
      <c r="AC31" s="266" t="s">
        <v>100</v>
      </c>
      <c r="AD31" s="266" t="s">
        <v>100</v>
      </c>
      <c r="AE31" s="266" t="s">
        <v>100</v>
      </c>
      <c r="AF31" s="266" t="s">
        <v>100</v>
      </c>
      <c r="AG31" s="106"/>
      <c r="AH31" s="106"/>
    </row>
    <row r="32" spans="1:34" ht="121.5" customHeight="1">
      <c r="A32" s="106"/>
      <c r="B32" s="280"/>
      <c r="C32" s="281"/>
      <c r="D32" s="282"/>
      <c r="E32" s="263">
        <v>42195</v>
      </c>
      <c r="F32" s="264">
        <v>42195</v>
      </c>
      <c r="G32" s="264">
        <v>42195</v>
      </c>
      <c r="H32" s="265">
        <v>42195</v>
      </c>
      <c r="I32" s="266" t="s">
        <v>99</v>
      </c>
      <c r="J32" s="267" t="s">
        <v>99</v>
      </c>
      <c r="K32" s="267" t="s">
        <v>99</v>
      </c>
      <c r="L32" s="267" t="s">
        <v>99</v>
      </c>
      <c r="M32" s="267" t="s">
        <v>99</v>
      </c>
      <c r="N32" s="267" t="s">
        <v>99</v>
      </c>
      <c r="O32" s="267" t="s">
        <v>99</v>
      </c>
      <c r="P32" s="267" t="s">
        <v>99</v>
      </c>
      <c r="Q32" s="267" t="s">
        <v>99</v>
      </c>
      <c r="R32" s="266" t="s">
        <v>102</v>
      </c>
      <c r="S32" s="266" t="s">
        <v>102</v>
      </c>
      <c r="T32" s="266" t="s">
        <v>102</v>
      </c>
      <c r="U32" s="266" t="s">
        <v>102</v>
      </c>
      <c r="V32" s="266" t="s">
        <v>102</v>
      </c>
      <c r="W32" s="266" t="s">
        <v>102</v>
      </c>
      <c r="X32" s="266" t="s">
        <v>102</v>
      </c>
      <c r="Y32" s="266" t="s">
        <v>102</v>
      </c>
      <c r="Z32" s="266" t="s">
        <v>102</v>
      </c>
      <c r="AA32" s="266" t="s">
        <v>102</v>
      </c>
      <c r="AB32" s="266" t="s">
        <v>102</v>
      </c>
      <c r="AC32" s="266" t="s">
        <v>102</v>
      </c>
      <c r="AD32" s="266" t="s">
        <v>102</v>
      </c>
      <c r="AE32" s="266" t="s">
        <v>102</v>
      </c>
      <c r="AF32" s="266" t="s">
        <v>102</v>
      </c>
      <c r="AG32" s="106"/>
      <c r="AH32" s="106"/>
    </row>
    <row r="33" spans="1:34" ht="114" customHeight="1">
      <c r="A33" s="106"/>
      <c r="B33" s="280" t="s">
        <v>103</v>
      </c>
      <c r="C33" s="281" t="s">
        <v>103</v>
      </c>
      <c r="D33" s="282" t="s">
        <v>103</v>
      </c>
      <c r="E33" s="263">
        <v>42391.634837962964</v>
      </c>
      <c r="F33" s="264">
        <v>42391.634837962964</v>
      </c>
      <c r="G33" s="264">
        <v>42391.634837962964</v>
      </c>
      <c r="H33" s="265">
        <v>42391.634837962964</v>
      </c>
      <c r="I33" s="266" t="s">
        <v>104</v>
      </c>
      <c r="J33" s="267" t="s">
        <v>104</v>
      </c>
      <c r="K33" s="267" t="s">
        <v>104</v>
      </c>
      <c r="L33" s="267" t="s">
        <v>104</v>
      </c>
      <c r="M33" s="267" t="s">
        <v>104</v>
      </c>
      <c r="N33" s="267" t="s">
        <v>104</v>
      </c>
      <c r="O33" s="267" t="s">
        <v>104</v>
      </c>
      <c r="P33" s="267" t="s">
        <v>104</v>
      </c>
      <c r="Q33" s="267" t="s">
        <v>104</v>
      </c>
      <c r="R33" s="266" t="s">
        <v>128</v>
      </c>
      <c r="S33" s="266" t="s">
        <v>128</v>
      </c>
      <c r="T33" s="266" t="s">
        <v>128</v>
      </c>
      <c r="U33" s="266" t="s">
        <v>128</v>
      </c>
      <c r="V33" s="266" t="s">
        <v>128</v>
      </c>
      <c r="W33" s="266" t="s">
        <v>128</v>
      </c>
      <c r="X33" s="266" t="s">
        <v>128</v>
      </c>
      <c r="Y33" s="266" t="s">
        <v>128</v>
      </c>
      <c r="Z33" s="266" t="s">
        <v>128</v>
      </c>
      <c r="AA33" s="266" t="s">
        <v>128</v>
      </c>
      <c r="AB33" s="266" t="s">
        <v>128</v>
      </c>
      <c r="AC33" s="266" t="s">
        <v>128</v>
      </c>
      <c r="AD33" s="266" t="s">
        <v>128</v>
      </c>
      <c r="AE33" s="266" t="s">
        <v>128</v>
      </c>
      <c r="AF33" s="266" t="s">
        <v>128</v>
      </c>
      <c r="AG33" s="106"/>
      <c r="AH33" s="106"/>
    </row>
    <row r="34" spans="1:34" ht="40.5" customHeight="1">
      <c r="A34" s="106"/>
      <c r="B34" s="268" t="s">
        <v>316</v>
      </c>
      <c r="C34" s="269"/>
      <c r="D34" s="269"/>
      <c r="E34" s="263"/>
      <c r="F34" s="264"/>
      <c r="G34" s="264"/>
      <c r="H34" s="265"/>
      <c r="I34" s="266" t="s">
        <v>307</v>
      </c>
      <c r="J34" s="267"/>
      <c r="K34" s="267"/>
      <c r="L34" s="267"/>
      <c r="M34" s="267"/>
      <c r="N34" s="267"/>
      <c r="O34" s="267"/>
      <c r="P34" s="267"/>
      <c r="Q34" s="267"/>
      <c r="R34" s="266" t="s">
        <v>308</v>
      </c>
      <c r="S34" s="266"/>
      <c r="T34" s="266"/>
      <c r="U34" s="266"/>
      <c r="V34" s="266"/>
      <c r="W34" s="266"/>
      <c r="X34" s="266"/>
      <c r="Y34" s="266"/>
      <c r="Z34" s="266"/>
      <c r="AA34" s="266"/>
      <c r="AB34" s="266"/>
      <c r="AC34" s="266"/>
      <c r="AD34" s="266"/>
      <c r="AE34" s="266"/>
      <c r="AF34" s="266"/>
      <c r="AG34" s="106"/>
      <c r="AH34" s="106"/>
    </row>
    <row r="35" spans="1:34" ht="40.5" customHeight="1">
      <c r="A35" s="106"/>
      <c r="B35" s="268" t="s">
        <v>317</v>
      </c>
      <c r="C35" s="269"/>
      <c r="D35" s="269"/>
      <c r="E35" s="263"/>
      <c r="F35" s="264"/>
      <c r="G35" s="264"/>
      <c r="H35" s="265"/>
      <c r="I35" s="266" t="s">
        <v>307</v>
      </c>
      <c r="J35" s="267"/>
      <c r="K35" s="267"/>
      <c r="L35" s="267"/>
      <c r="M35" s="267"/>
      <c r="N35" s="267"/>
      <c r="O35" s="267"/>
      <c r="P35" s="267"/>
      <c r="Q35" s="267"/>
      <c r="R35" s="266" t="s">
        <v>309</v>
      </c>
      <c r="S35" s="266"/>
      <c r="T35" s="266"/>
      <c r="U35" s="266"/>
      <c r="V35" s="266"/>
      <c r="W35" s="266"/>
      <c r="X35" s="266"/>
      <c r="Y35" s="266"/>
      <c r="Z35" s="266"/>
      <c r="AA35" s="266"/>
      <c r="AB35" s="266"/>
      <c r="AC35" s="266"/>
      <c r="AD35" s="266"/>
      <c r="AE35" s="266"/>
      <c r="AF35" s="266"/>
      <c r="AG35" s="106"/>
      <c r="AH35" s="106"/>
    </row>
    <row r="36" spans="1:34" ht="40.5" customHeight="1">
      <c r="A36" s="106"/>
      <c r="B36" s="268" t="s">
        <v>318</v>
      </c>
      <c r="C36" s="269"/>
      <c r="D36" s="269"/>
      <c r="E36" s="263"/>
      <c r="F36" s="264"/>
      <c r="G36" s="264"/>
      <c r="H36" s="265"/>
      <c r="I36" s="266" t="s">
        <v>307</v>
      </c>
      <c r="J36" s="267"/>
      <c r="K36" s="267"/>
      <c r="L36" s="267"/>
      <c r="M36" s="267"/>
      <c r="N36" s="267"/>
      <c r="O36" s="267"/>
      <c r="P36" s="267"/>
      <c r="Q36" s="267"/>
      <c r="R36" s="266" t="s">
        <v>310</v>
      </c>
      <c r="S36" s="266"/>
      <c r="T36" s="266"/>
      <c r="U36" s="266"/>
      <c r="V36" s="266"/>
      <c r="W36" s="266"/>
      <c r="X36" s="266"/>
      <c r="Y36" s="266"/>
      <c r="Z36" s="266"/>
      <c r="AA36" s="266"/>
      <c r="AB36" s="266"/>
      <c r="AC36" s="266"/>
      <c r="AD36" s="266"/>
      <c r="AE36" s="266"/>
      <c r="AF36" s="266"/>
      <c r="AG36" s="106"/>
      <c r="AH36" s="106"/>
    </row>
    <row r="37" spans="1:34" ht="102" customHeight="1">
      <c r="A37" s="106"/>
      <c r="B37" s="268" t="s">
        <v>319</v>
      </c>
      <c r="C37" s="269"/>
      <c r="D37" s="269"/>
      <c r="E37" s="263"/>
      <c r="F37" s="264"/>
      <c r="G37" s="264"/>
      <c r="H37" s="265"/>
      <c r="I37" s="266" t="s">
        <v>307</v>
      </c>
      <c r="J37" s="267"/>
      <c r="K37" s="267"/>
      <c r="L37" s="267"/>
      <c r="M37" s="267"/>
      <c r="N37" s="267"/>
      <c r="O37" s="267"/>
      <c r="P37" s="267"/>
      <c r="Q37" s="267"/>
      <c r="R37" s="266" t="s">
        <v>311</v>
      </c>
      <c r="S37" s="266"/>
      <c r="T37" s="266"/>
      <c r="U37" s="266"/>
      <c r="V37" s="266"/>
      <c r="W37" s="266"/>
      <c r="X37" s="266"/>
      <c r="Y37" s="266"/>
      <c r="Z37" s="266"/>
      <c r="AA37" s="266"/>
      <c r="AB37" s="266"/>
      <c r="AC37" s="266"/>
      <c r="AD37" s="266"/>
      <c r="AE37" s="266"/>
      <c r="AF37" s="266"/>
      <c r="AG37" s="106"/>
      <c r="AH37" s="106"/>
    </row>
    <row r="38" spans="1:34" ht="217.5" customHeight="1">
      <c r="A38" s="106"/>
      <c r="B38" s="268" t="s">
        <v>320</v>
      </c>
      <c r="C38" s="269"/>
      <c r="D38" s="269"/>
      <c r="E38" s="263"/>
      <c r="F38" s="264"/>
      <c r="G38" s="264"/>
      <c r="H38" s="265"/>
      <c r="I38" s="266" t="s">
        <v>307</v>
      </c>
      <c r="J38" s="267"/>
      <c r="K38" s="267"/>
      <c r="L38" s="267"/>
      <c r="M38" s="267"/>
      <c r="N38" s="267"/>
      <c r="O38" s="267"/>
      <c r="P38" s="267"/>
      <c r="Q38" s="267"/>
      <c r="R38" s="266" t="s">
        <v>312</v>
      </c>
      <c r="S38" s="266"/>
      <c r="T38" s="266"/>
      <c r="U38" s="266"/>
      <c r="V38" s="266"/>
      <c r="W38" s="266"/>
      <c r="X38" s="266"/>
      <c r="Y38" s="266"/>
      <c r="Z38" s="266"/>
      <c r="AA38" s="266"/>
      <c r="AB38" s="266"/>
      <c r="AC38" s="266"/>
      <c r="AD38" s="266"/>
      <c r="AE38" s="266"/>
      <c r="AF38" s="266"/>
      <c r="AG38" s="106"/>
      <c r="AH38" s="106"/>
    </row>
    <row r="39" spans="1:34" ht="40.5" customHeight="1">
      <c r="A39" s="106"/>
      <c r="B39" s="268" t="s">
        <v>321</v>
      </c>
      <c r="C39" s="269"/>
      <c r="D39" s="269"/>
      <c r="E39" s="263"/>
      <c r="F39" s="264"/>
      <c r="G39" s="264"/>
      <c r="H39" s="265"/>
      <c r="I39" s="266" t="s">
        <v>307</v>
      </c>
      <c r="J39" s="267"/>
      <c r="K39" s="267"/>
      <c r="L39" s="267"/>
      <c r="M39" s="267"/>
      <c r="N39" s="267"/>
      <c r="O39" s="267"/>
      <c r="P39" s="267"/>
      <c r="Q39" s="267"/>
      <c r="R39" s="266" t="s">
        <v>313</v>
      </c>
      <c r="S39" s="266"/>
      <c r="T39" s="266"/>
      <c r="U39" s="266"/>
      <c r="V39" s="266"/>
      <c r="W39" s="266"/>
      <c r="X39" s="266"/>
      <c r="Y39" s="266"/>
      <c r="Z39" s="266"/>
      <c r="AA39" s="266"/>
      <c r="AB39" s="266"/>
      <c r="AC39" s="266"/>
      <c r="AD39" s="266"/>
      <c r="AE39" s="266"/>
      <c r="AF39" s="266"/>
      <c r="AG39" s="106"/>
      <c r="AH39" s="106"/>
    </row>
    <row r="40" spans="1:34" ht="69" customHeight="1">
      <c r="A40" s="106"/>
      <c r="B40" s="268" t="s">
        <v>315</v>
      </c>
      <c r="C40" s="269"/>
      <c r="D40" s="269"/>
      <c r="E40" s="263">
        <v>44562</v>
      </c>
      <c r="F40" s="264"/>
      <c r="G40" s="264"/>
      <c r="H40" s="265"/>
      <c r="I40" s="266" t="s">
        <v>307</v>
      </c>
      <c r="J40" s="267"/>
      <c r="K40" s="267"/>
      <c r="L40" s="267"/>
      <c r="M40" s="267"/>
      <c r="N40" s="267"/>
      <c r="O40" s="267"/>
      <c r="P40" s="267"/>
      <c r="Q40" s="267"/>
      <c r="R40" s="266" t="s">
        <v>314</v>
      </c>
      <c r="S40" s="266"/>
      <c r="T40" s="266"/>
      <c r="U40" s="266"/>
      <c r="V40" s="266"/>
      <c r="W40" s="266"/>
      <c r="X40" s="266"/>
      <c r="Y40" s="266"/>
      <c r="Z40" s="266"/>
      <c r="AA40" s="266"/>
      <c r="AB40" s="266"/>
      <c r="AC40" s="266"/>
      <c r="AD40" s="266"/>
      <c r="AE40" s="266"/>
      <c r="AF40" s="266"/>
      <c r="AG40" s="106"/>
      <c r="AH40" s="106"/>
    </row>
    <row r="41" spans="1:34">
      <c r="A41" s="106"/>
      <c r="B41" s="122" t="s">
        <v>157</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158</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159</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276" t="s">
        <v>160</v>
      </c>
      <c r="C46" s="276"/>
      <c r="D46" s="276"/>
      <c r="E46" s="276" t="s">
        <v>161</v>
      </c>
      <c r="F46" s="277"/>
      <c r="G46" s="277"/>
      <c r="H46" s="277"/>
      <c r="I46" s="277"/>
      <c r="J46" s="277"/>
      <c r="K46" s="277"/>
      <c r="L46" s="277"/>
      <c r="M46" s="277"/>
      <c r="N46" s="277"/>
      <c r="O46" s="277"/>
      <c r="P46" s="277"/>
      <c r="Q46" s="277"/>
      <c r="R46" s="277"/>
      <c r="S46" s="277"/>
      <c r="T46" s="277"/>
      <c r="U46" s="277"/>
      <c r="V46" s="277"/>
      <c r="W46" s="277"/>
      <c r="X46" s="277"/>
      <c r="Y46" s="276" t="s">
        <v>162</v>
      </c>
      <c r="Z46" s="276"/>
      <c r="AA46" s="276"/>
      <c r="AB46" s="276"/>
      <c r="AC46" s="276"/>
      <c r="AD46" s="276"/>
      <c r="AE46" s="276"/>
      <c r="AF46" s="276"/>
      <c r="AG46" s="106"/>
      <c r="AH46" s="106"/>
    </row>
    <row r="47" spans="1:34">
      <c r="A47" s="106"/>
      <c r="B47" s="278"/>
      <c r="C47" s="278"/>
      <c r="D47" s="278"/>
      <c r="E47" s="266"/>
      <c r="F47" s="279"/>
      <c r="G47" s="279"/>
      <c r="H47" s="279"/>
      <c r="I47" s="279"/>
      <c r="J47" s="279"/>
      <c r="K47" s="279"/>
      <c r="L47" s="279"/>
      <c r="M47" s="279"/>
      <c r="N47" s="279"/>
      <c r="O47" s="279"/>
      <c r="P47" s="279"/>
      <c r="Q47" s="279"/>
      <c r="R47" s="279"/>
      <c r="S47" s="279"/>
      <c r="T47" s="279"/>
      <c r="U47" s="279"/>
      <c r="V47" s="279"/>
      <c r="W47" s="279"/>
      <c r="X47" s="279"/>
      <c r="Y47" s="266"/>
      <c r="Z47" s="279"/>
      <c r="AA47" s="279"/>
      <c r="AB47" s="279"/>
      <c r="AC47" s="279"/>
      <c r="AD47" s="279"/>
      <c r="AE47" s="279"/>
      <c r="AF47" s="279"/>
      <c r="AG47" s="106"/>
      <c r="AH47" s="106"/>
    </row>
    <row r="48" spans="1:34">
      <c r="A48" s="106"/>
      <c r="B48" s="278"/>
      <c r="C48" s="278"/>
      <c r="D48" s="278"/>
      <c r="E48" s="266"/>
      <c r="F48" s="279"/>
      <c r="G48" s="279"/>
      <c r="H48" s="279"/>
      <c r="I48" s="279"/>
      <c r="J48" s="279"/>
      <c r="K48" s="279"/>
      <c r="L48" s="279"/>
      <c r="M48" s="279"/>
      <c r="N48" s="279"/>
      <c r="O48" s="279"/>
      <c r="P48" s="279"/>
      <c r="Q48" s="279"/>
      <c r="R48" s="279"/>
      <c r="S48" s="279"/>
      <c r="T48" s="279"/>
      <c r="U48" s="279"/>
      <c r="V48" s="279"/>
      <c r="W48" s="279"/>
      <c r="X48" s="279"/>
      <c r="Y48" s="266"/>
      <c r="Z48" s="279"/>
      <c r="AA48" s="279"/>
      <c r="AB48" s="279"/>
      <c r="AC48" s="279"/>
      <c r="AD48" s="279"/>
      <c r="AE48" s="279"/>
      <c r="AF48" s="279"/>
      <c r="AG48" s="106"/>
      <c r="AH48" s="106"/>
    </row>
    <row r="49" spans="1:34">
      <c r="A49" s="106"/>
      <c r="B49" s="278"/>
      <c r="C49" s="278"/>
      <c r="D49" s="278"/>
      <c r="E49" s="266"/>
      <c r="F49" s="279"/>
      <c r="G49" s="279"/>
      <c r="H49" s="279"/>
      <c r="I49" s="279"/>
      <c r="J49" s="279"/>
      <c r="K49" s="279"/>
      <c r="L49" s="279"/>
      <c r="M49" s="279"/>
      <c r="N49" s="279"/>
      <c r="O49" s="279"/>
      <c r="P49" s="279"/>
      <c r="Q49" s="279"/>
      <c r="R49" s="279"/>
      <c r="S49" s="279"/>
      <c r="T49" s="279"/>
      <c r="U49" s="279"/>
      <c r="V49" s="279"/>
      <c r="W49" s="279"/>
      <c r="X49" s="279"/>
      <c r="Y49" s="266"/>
      <c r="Z49" s="279"/>
      <c r="AA49" s="279"/>
      <c r="AB49" s="279"/>
      <c r="AC49" s="279"/>
      <c r="AD49" s="279"/>
      <c r="AE49" s="279"/>
      <c r="AF49" s="279"/>
      <c r="AG49" s="106"/>
      <c r="AH49" s="106"/>
    </row>
    <row r="50" spans="1:34">
      <c r="A50" s="106"/>
      <c r="B50" s="278"/>
      <c r="C50" s="278"/>
      <c r="D50" s="278"/>
      <c r="E50" s="266"/>
      <c r="F50" s="279"/>
      <c r="G50" s="279"/>
      <c r="H50" s="279"/>
      <c r="I50" s="279"/>
      <c r="J50" s="279"/>
      <c r="K50" s="279"/>
      <c r="L50" s="279"/>
      <c r="M50" s="279"/>
      <c r="N50" s="279"/>
      <c r="O50" s="279"/>
      <c r="P50" s="279"/>
      <c r="Q50" s="279"/>
      <c r="R50" s="279"/>
      <c r="S50" s="279"/>
      <c r="T50" s="279"/>
      <c r="U50" s="279"/>
      <c r="V50" s="279"/>
      <c r="W50" s="279"/>
      <c r="X50" s="279"/>
      <c r="Y50" s="266"/>
      <c r="Z50" s="279"/>
      <c r="AA50" s="279"/>
      <c r="AB50" s="279"/>
      <c r="AC50" s="279"/>
      <c r="AD50" s="279"/>
      <c r="AE50" s="279"/>
      <c r="AF50" s="279"/>
      <c r="AG50" s="106"/>
      <c r="AH50" s="106"/>
    </row>
    <row r="51" spans="1:34" ht="18.75">
      <c r="A51" s="106"/>
      <c r="B51" s="127" t="s">
        <v>163</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276" t="s">
        <v>160</v>
      </c>
      <c r="C52" s="276"/>
      <c r="D52" s="276"/>
      <c r="E52" s="276" t="s">
        <v>161</v>
      </c>
      <c r="F52" s="277"/>
      <c r="G52" s="277"/>
      <c r="H52" s="277"/>
      <c r="I52" s="277"/>
      <c r="J52" s="277"/>
      <c r="K52" s="277"/>
      <c r="L52" s="277"/>
      <c r="M52" s="277"/>
      <c r="N52" s="277"/>
      <c r="O52" s="277"/>
      <c r="P52" s="277"/>
      <c r="Q52" s="277"/>
      <c r="R52" s="277"/>
      <c r="S52" s="277"/>
      <c r="T52" s="277"/>
      <c r="U52" s="277"/>
      <c r="V52" s="277"/>
      <c r="W52" s="277"/>
      <c r="X52" s="277"/>
      <c r="Y52" s="276" t="s">
        <v>162</v>
      </c>
      <c r="Z52" s="276"/>
      <c r="AA52" s="276"/>
      <c r="AB52" s="276"/>
      <c r="AC52" s="276"/>
      <c r="AD52" s="276"/>
      <c r="AE52" s="276"/>
      <c r="AF52" s="276"/>
      <c r="AG52" s="106"/>
      <c r="AH52" s="106"/>
    </row>
    <row r="53" spans="1:34">
      <c r="A53" s="106"/>
      <c r="B53" s="278"/>
      <c r="C53" s="278"/>
      <c r="D53" s="278"/>
      <c r="E53" s="266"/>
      <c r="F53" s="279"/>
      <c r="G53" s="279"/>
      <c r="H53" s="279"/>
      <c r="I53" s="279"/>
      <c r="J53" s="279"/>
      <c r="K53" s="279"/>
      <c r="L53" s="279"/>
      <c r="M53" s="279"/>
      <c r="N53" s="279"/>
      <c r="O53" s="279"/>
      <c r="P53" s="279"/>
      <c r="Q53" s="279"/>
      <c r="R53" s="279"/>
      <c r="S53" s="279"/>
      <c r="T53" s="279"/>
      <c r="U53" s="279"/>
      <c r="V53" s="279"/>
      <c r="W53" s="279"/>
      <c r="X53" s="279"/>
      <c r="Y53" s="266"/>
      <c r="Z53" s="279"/>
      <c r="AA53" s="279"/>
      <c r="AB53" s="279"/>
      <c r="AC53" s="279"/>
      <c r="AD53" s="279"/>
      <c r="AE53" s="279"/>
      <c r="AF53" s="279"/>
      <c r="AG53" s="106"/>
      <c r="AH53" s="106"/>
    </row>
    <row r="54" spans="1:34">
      <c r="A54" s="106"/>
      <c r="B54" s="278"/>
      <c r="C54" s="278"/>
      <c r="D54" s="278"/>
      <c r="E54" s="266"/>
      <c r="F54" s="279"/>
      <c r="G54" s="279"/>
      <c r="H54" s="279"/>
      <c r="I54" s="279"/>
      <c r="J54" s="279"/>
      <c r="K54" s="279"/>
      <c r="L54" s="279"/>
      <c r="M54" s="279"/>
      <c r="N54" s="279"/>
      <c r="O54" s="279"/>
      <c r="P54" s="279"/>
      <c r="Q54" s="279"/>
      <c r="R54" s="279"/>
      <c r="S54" s="279"/>
      <c r="T54" s="279"/>
      <c r="U54" s="279"/>
      <c r="V54" s="279"/>
      <c r="W54" s="279"/>
      <c r="X54" s="279"/>
      <c r="Y54" s="266"/>
      <c r="Z54" s="279"/>
      <c r="AA54" s="279"/>
      <c r="AB54" s="279"/>
      <c r="AC54" s="279"/>
      <c r="AD54" s="279"/>
      <c r="AE54" s="279"/>
      <c r="AF54" s="279"/>
      <c r="AG54" s="106"/>
      <c r="AH54" s="106"/>
    </row>
    <row r="55" spans="1:34">
      <c r="A55" s="106"/>
      <c r="B55" s="278"/>
      <c r="C55" s="278"/>
      <c r="D55" s="278"/>
      <c r="E55" s="266"/>
      <c r="F55" s="279"/>
      <c r="G55" s="279"/>
      <c r="H55" s="279"/>
      <c r="I55" s="279"/>
      <c r="J55" s="279"/>
      <c r="K55" s="279"/>
      <c r="L55" s="279"/>
      <c r="M55" s="279"/>
      <c r="N55" s="279"/>
      <c r="O55" s="279"/>
      <c r="P55" s="279"/>
      <c r="Q55" s="279"/>
      <c r="R55" s="279"/>
      <c r="S55" s="279"/>
      <c r="T55" s="279"/>
      <c r="U55" s="279"/>
      <c r="V55" s="279"/>
      <c r="W55" s="279"/>
      <c r="X55" s="279"/>
      <c r="Y55" s="266"/>
      <c r="Z55" s="279"/>
      <c r="AA55" s="279"/>
      <c r="AB55" s="279"/>
      <c r="AC55" s="279"/>
      <c r="AD55" s="279"/>
      <c r="AE55" s="279"/>
      <c r="AF55" s="279"/>
      <c r="AG55" s="106"/>
      <c r="AH55" s="106"/>
    </row>
    <row r="56" spans="1:34">
      <c r="A56" s="106"/>
      <c r="B56" s="278"/>
      <c r="C56" s="278"/>
      <c r="D56" s="278"/>
      <c r="E56" s="266"/>
      <c r="F56" s="279"/>
      <c r="G56" s="279"/>
      <c r="H56" s="279"/>
      <c r="I56" s="279"/>
      <c r="J56" s="279"/>
      <c r="K56" s="279"/>
      <c r="L56" s="279"/>
      <c r="M56" s="279"/>
      <c r="N56" s="279"/>
      <c r="O56" s="279"/>
      <c r="P56" s="279"/>
      <c r="Q56" s="279"/>
      <c r="R56" s="279"/>
      <c r="S56" s="279"/>
      <c r="T56" s="279"/>
      <c r="U56" s="279"/>
      <c r="V56" s="279"/>
      <c r="W56" s="279"/>
      <c r="X56" s="279"/>
      <c r="Y56" s="266"/>
      <c r="Z56" s="279"/>
      <c r="AA56" s="279"/>
      <c r="AB56" s="279"/>
      <c r="AC56" s="279"/>
      <c r="AD56" s="279"/>
      <c r="AE56" s="279"/>
      <c r="AF56" s="279"/>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164</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276" t="s">
        <v>165</v>
      </c>
      <c r="C59" s="276"/>
      <c r="D59" s="276"/>
      <c r="E59" s="276"/>
      <c r="F59" s="276"/>
      <c r="G59" s="276"/>
      <c r="H59" s="301"/>
      <c r="I59" s="301"/>
      <c r="J59" s="301"/>
      <c r="K59" s="301"/>
      <c r="L59" s="301"/>
      <c r="M59" s="301"/>
      <c r="N59" s="301"/>
      <c r="O59" s="301"/>
      <c r="P59" s="301"/>
      <c r="Q59" s="301"/>
      <c r="R59" s="301"/>
      <c r="S59" s="301"/>
      <c r="T59" s="301"/>
      <c r="U59" s="301"/>
      <c r="V59" s="301"/>
      <c r="W59" s="301"/>
      <c r="X59" s="301"/>
      <c r="Y59" s="301"/>
      <c r="Z59" s="301"/>
      <c r="AA59" s="301"/>
      <c r="AB59" s="301"/>
      <c r="AC59" s="301"/>
      <c r="AD59" s="301"/>
      <c r="AE59" s="301"/>
      <c r="AF59" s="301"/>
      <c r="AG59" s="106"/>
      <c r="AH59" s="106"/>
    </row>
    <row r="60" spans="1:34" ht="27.75" customHeight="1">
      <c r="A60" s="106"/>
      <c r="B60" s="280" t="s">
        <v>166</v>
      </c>
      <c r="C60" s="281"/>
      <c r="D60" s="281"/>
      <c r="E60" s="281"/>
      <c r="F60" s="281"/>
      <c r="G60" s="282"/>
      <c r="H60" s="305" t="s">
        <v>167</v>
      </c>
      <c r="I60" s="303"/>
      <c r="J60" s="303"/>
      <c r="K60" s="303"/>
      <c r="L60" s="303"/>
      <c r="M60" s="303"/>
      <c r="N60" s="303"/>
      <c r="O60" s="303"/>
      <c r="P60" s="303"/>
      <c r="Q60" s="303"/>
      <c r="R60" s="303"/>
      <c r="S60" s="303"/>
      <c r="T60" s="303"/>
      <c r="U60" s="303"/>
      <c r="V60" s="303"/>
      <c r="W60" s="303"/>
      <c r="X60" s="303"/>
      <c r="Y60" s="303"/>
      <c r="Z60" s="303"/>
      <c r="AA60" s="303"/>
      <c r="AB60" s="303"/>
      <c r="AC60" s="303"/>
      <c r="AD60" s="303"/>
      <c r="AE60" s="303"/>
      <c r="AF60" s="304"/>
      <c r="AG60" s="106"/>
      <c r="AH60" s="106"/>
    </row>
    <row r="61" spans="1:34">
      <c r="A61" s="106"/>
      <c r="B61" s="280"/>
      <c r="C61" s="281"/>
      <c r="D61" s="281"/>
      <c r="E61" s="281"/>
      <c r="F61" s="281"/>
      <c r="G61" s="282"/>
      <c r="H61" s="302"/>
      <c r="I61" s="303"/>
      <c r="J61" s="303"/>
      <c r="K61" s="303"/>
      <c r="L61" s="303"/>
      <c r="M61" s="303"/>
      <c r="N61" s="303"/>
      <c r="O61" s="303"/>
      <c r="P61" s="303"/>
      <c r="Q61" s="303"/>
      <c r="R61" s="303"/>
      <c r="S61" s="303"/>
      <c r="T61" s="303"/>
      <c r="U61" s="303"/>
      <c r="V61" s="303"/>
      <c r="W61" s="303"/>
      <c r="X61" s="303"/>
      <c r="Y61" s="303"/>
      <c r="Z61" s="303"/>
      <c r="AA61" s="303"/>
      <c r="AB61" s="303"/>
      <c r="AC61" s="303"/>
      <c r="AD61" s="303"/>
      <c r="AE61" s="303"/>
      <c r="AF61" s="304"/>
      <c r="AG61" s="106"/>
      <c r="AH61" s="106"/>
    </row>
    <row r="62" spans="1:34">
      <c r="A62" s="106"/>
      <c r="B62" s="280"/>
      <c r="C62" s="281"/>
      <c r="D62" s="281"/>
      <c r="E62" s="281"/>
      <c r="F62" s="281"/>
      <c r="G62" s="282"/>
      <c r="H62" s="302"/>
      <c r="I62" s="303"/>
      <c r="J62" s="303"/>
      <c r="K62" s="303"/>
      <c r="L62" s="303"/>
      <c r="M62" s="303"/>
      <c r="N62" s="303"/>
      <c r="O62" s="303"/>
      <c r="P62" s="303"/>
      <c r="Q62" s="303"/>
      <c r="R62" s="303"/>
      <c r="S62" s="303"/>
      <c r="T62" s="303"/>
      <c r="U62" s="303"/>
      <c r="V62" s="303"/>
      <c r="W62" s="303"/>
      <c r="X62" s="303"/>
      <c r="Y62" s="303"/>
      <c r="Z62" s="303"/>
      <c r="AA62" s="303"/>
      <c r="AB62" s="303"/>
      <c r="AC62" s="303"/>
      <c r="AD62" s="303"/>
      <c r="AE62" s="303"/>
      <c r="AF62" s="304"/>
      <c r="AG62" s="106"/>
      <c r="AH62" s="106"/>
    </row>
    <row r="63" spans="1:34">
      <c r="A63" s="106"/>
      <c r="B63" s="280"/>
      <c r="C63" s="281"/>
      <c r="D63" s="281"/>
      <c r="E63" s="281"/>
      <c r="F63" s="281"/>
      <c r="G63" s="282"/>
      <c r="H63" s="302"/>
      <c r="I63" s="303"/>
      <c r="J63" s="303"/>
      <c r="K63" s="303"/>
      <c r="L63" s="303"/>
      <c r="M63" s="303"/>
      <c r="N63" s="303"/>
      <c r="O63" s="303"/>
      <c r="P63" s="303"/>
      <c r="Q63" s="303"/>
      <c r="R63" s="303"/>
      <c r="S63" s="303"/>
      <c r="T63" s="303"/>
      <c r="U63" s="303"/>
      <c r="V63" s="303"/>
      <c r="W63" s="303"/>
      <c r="X63" s="303"/>
      <c r="Y63" s="303"/>
      <c r="Z63" s="303"/>
      <c r="AA63" s="303"/>
      <c r="AB63" s="303"/>
      <c r="AC63" s="303"/>
      <c r="AD63" s="303"/>
      <c r="AE63" s="303"/>
      <c r="AF63" s="304"/>
      <c r="AG63" s="106"/>
      <c r="AH63" s="106"/>
    </row>
    <row r="64" spans="1:34">
      <c r="A64" s="106"/>
      <c r="B64" s="280"/>
      <c r="C64" s="281"/>
      <c r="D64" s="281"/>
      <c r="E64" s="281"/>
      <c r="F64" s="281"/>
      <c r="G64" s="282"/>
      <c r="H64" s="302"/>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4"/>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168</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66" customFormat="1" ht="20.25">
      <c r="B69" s="167" t="s">
        <v>250</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270" t="s">
        <v>246</v>
      </c>
      <c r="C71" s="271"/>
      <c r="D71" s="271"/>
      <c r="E71" s="271"/>
      <c r="F71" s="271"/>
      <c r="G71" s="272"/>
      <c r="H71" s="273" t="s">
        <v>241</v>
      </c>
      <c r="I71" s="274"/>
      <c r="J71" s="274"/>
      <c r="K71" s="274"/>
      <c r="L71" s="274"/>
      <c r="M71" s="274"/>
      <c r="N71" s="274"/>
      <c r="O71" s="274"/>
      <c r="P71" s="274"/>
      <c r="Q71" s="274"/>
      <c r="R71" s="274"/>
      <c r="S71" s="274"/>
      <c r="T71" s="274"/>
      <c r="U71" s="274"/>
      <c r="V71" s="274"/>
      <c r="W71" s="274"/>
      <c r="X71" s="274"/>
      <c r="Y71" s="274"/>
      <c r="Z71" s="274"/>
      <c r="AA71" s="274"/>
      <c r="AB71" s="274"/>
      <c r="AC71" s="274"/>
      <c r="AD71" s="274"/>
      <c r="AE71" s="274"/>
      <c r="AF71" s="275"/>
      <c r="AG71" s="106"/>
      <c r="AH71" s="106"/>
    </row>
    <row r="72" spans="1:34" ht="111" customHeight="1">
      <c r="A72" s="106"/>
      <c r="B72" s="270" t="s">
        <v>247</v>
      </c>
      <c r="C72" s="271"/>
      <c r="D72" s="271"/>
      <c r="E72" s="271"/>
      <c r="F72" s="271"/>
      <c r="G72" s="272"/>
      <c r="H72" s="273" t="s">
        <v>243</v>
      </c>
      <c r="I72" s="274"/>
      <c r="J72" s="274"/>
      <c r="K72" s="274"/>
      <c r="L72" s="274"/>
      <c r="M72" s="274"/>
      <c r="N72" s="274"/>
      <c r="O72" s="274"/>
      <c r="P72" s="274"/>
      <c r="Q72" s="274"/>
      <c r="R72" s="274"/>
      <c r="S72" s="274"/>
      <c r="T72" s="274"/>
      <c r="U72" s="274"/>
      <c r="V72" s="274"/>
      <c r="W72" s="274"/>
      <c r="X72" s="274"/>
      <c r="Y72" s="274"/>
      <c r="Z72" s="274"/>
      <c r="AA72" s="274"/>
      <c r="AB72" s="274"/>
      <c r="AC72" s="274"/>
      <c r="AD72" s="274"/>
      <c r="AE72" s="274"/>
      <c r="AF72" s="275"/>
      <c r="AG72" s="106"/>
      <c r="AH72" s="106"/>
    </row>
    <row r="73" spans="1:34" ht="52.5" customHeight="1">
      <c r="A73" s="106"/>
      <c r="B73" s="270" t="s">
        <v>248</v>
      </c>
      <c r="C73" s="271"/>
      <c r="D73" s="271"/>
      <c r="E73" s="271"/>
      <c r="F73" s="271"/>
      <c r="G73" s="272"/>
      <c r="H73" s="273" t="s">
        <v>251</v>
      </c>
      <c r="I73" s="274"/>
      <c r="J73" s="274"/>
      <c r="K73" s="274"/>
      <c r="L73" s="274"/>
      <c r="M73" s="274"/>
      <c r="N73" s="274"/>
      <c r="O73" s="274"/>
      <c r="P73" s="274"/>
      <c r="Q73" s="274"/>
      <c r="R73" s="274"/>
      <c r="S73" s="274"/>
      <c r="T73" s="274"/>
      <c r="U73" s="274"/>
      <c r="V73" s="274"/>
      <c r="W73" s="274"/>
      <c r="X73" s="274"/>
      <c r="Y73" s="274"/>
      <c r="Z73" s="274"/>
      <c r="AA73" s="274"/>
      <c r="AB73" s="274"/>
      <c r="AC73" s="274"/>
      <c r="AD73" s="274"/>
      <c r="AE73" s="274"/>
      <c r="AF73" s="275"/>
      <c r="AG73" s="106"/>
      <c r="AH73" s="106"/>
    </row>
    <row r="74" spans="1:34" ht="52.5" customHeight="1">
      <c r="A74" s="106"/>
      <c r="B74" s="270" t="s">
        <v>240</v>
      </c>
      <c r="C74" s="271"/>
      <c r="D74" s="271"/>
      <c r="E74" s="271"/>
      <c r="F74" s="271"/>
      <c r="G74" s="272"/>
      <c r="H74" s="273" t="s">
        <v>244</v>
      </c>
      <c r="I74" s="274"/>
      <c r="J74" s="274"/>
      <c r="K74" s="274"/>
      <c r="L74" s="274"/>
      <c r="M74" s="274"/>
      <c r="N74" s="274"/>
      <c r="O74" s="274"/>
      <c r="P74" s="274"/>
      <c r="Q74" s="274"/>
      <c r="R74" s="274"/>
      <c r="S74" s="274"/>
      <c r="T74" s="274"/>
      <c r="U74" s="274"/>
      <c r="V74" s="274"/>
      <c r="W74" s="274"/>
      <c r="X74" s="274"/>
      <c r="Y74" s="274"/>
      <c r="Z74" s="274"/>
      <c r="AA74" s="274"/>
      <c r="AB74" s="274"/>
      <c r="AC74" s="274"/>
      <c r="AD74" s="274"/>
      <c r="AE74" s="274"/>
      <c r="AF74" s="275"/>
      <c r="AG74" s="106"/>
      <c r="AH74" s="106"/>
    </row>
    <row r="75" spans="1:34" ht="81" customHeight="1">
      <c r="A75" s="106"/>
      <c r="B75" s="270" t="s">
        <v>249</v>
      </c>
      <c r="C75" s="271"/>
      <c r="D75" s="271"/>
      <c r="E75" s="271"/>
      <c r="F75" s="271"/>
      <c r="G75" s="272"/>
      <c r="H75" s="273" t="s">
        <v>252</v>
      </c>
      <c r="I75" s="274"/>
      <c r="J75" s="274"/>
      <c r="K75" s="274"/>
      <c r="L75" s="274"/>
      <c r="M75" s="274"/>
      <c r="N75" s="274"/>
      <c r="O75" s="274"/>
      <c r="P75" s="274"/>
      <c r="Q75" s="274"/>
      <c r="R75" s="274"/>
      <c r="S75" s="274"/>
      <c r="T75" s="274"/>
      <c r="U75" s="274"/>
      <c r="V75" s="274"/>
      <c r="W75" s="274"/>
      <c r="X75" s="274"/>
      <c r="Y75" s="274"/>
      <c r="Z75" s="274"/>
      <c r="AA75" s="274"/>
      <c r="AB75" s="274"/>
      <c r="AC75" s="274"/>
      <c r="AD75" s="274"/>
      <c r="AE75" s="274"/>
      <c r="AF75" s="275"/>
      <c r="AG75" s="106"/>
      <c r="AH75" s="106"/>
    </row>
    <row r="76" spans="1:34" ht="97.5" customHeight="1">
      <c r="A76" s="106"/>
      <c r="B76" s="270" t="s">
        <v>242</v>
      </c>
      <c r="C76" s="271"/>
      <c r="D76" s="271"/>
      <c r="E76" s="271"/>
      <c r="F76" s="271"/>
      <c r="G76" s="272"/>
      <c r="H76" s="273" t="s">
        <v>245</v>
      </c>
      <c r="I76" s="274"/>
      <c r="J76" s="274"/>
      <c r="K76" s="274"/>
      <c r="L76" s="274"/>
      <c r="M76" s="274"/>
      <c r="N76" s="274"/>
      <c r="O76" s="274"/>
      <c r="P76" s="274"/>
      <c r="Q76" s="274"/>
      <c r="R76" s="274"/>
      <c r="S76" s="274"/>
      <c r="T76" s="274"/>
      <c r="U76" s="274"/>
      <c r="V76" s="274"/>
      <c r="W76" s="274"/>
      <c r="X76" s="274"/>
      <c r="Y76" s="274"/>
      <c r="Z76" s="274"/>
      <c r="AA76" s="274"/>
      <c r="AB76" s="274"/>
      <c r="AC76" s="274"/>
      <c r="AD76" s="274"/>
      <c r="AE76" s="274"/>
      <c r="AF76" s="275"/>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169</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170</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172" t="s">
        <v>297</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171" t="s">
        <v>298</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216</v>
      </c>
      <c r="AJ85" s="155" t="s">
        <v>171</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173</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218</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174</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260</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172</v>
      </c>
    </row>
    <row r="91" spans="1:36">
      <c r="AJ91" s="155" t="s">
        <v>221</v>
      </c>
    </row>
    <row r="92" spans="1:36">
      <c r="AJ92" s="155" t="s">
        <v>261</v>
      </c>
    </row>
    <row r="93" spans="1:36">
      <c r="AJ93" s="155" t="s">
        <v>262</v>
      </c>
    </row>
    <row r="94" spans="1:36">
      <c r="AJ94" s="155" t="s">
        <v>263</v>
      </c>
    </row>
    <row r="95" spans="1:36">
      <c r="AJ95" s="155" t="s">
        <v>264</v>
      </c>
    </row>
    <row r="96" spans="1:36">
      <c r="AJ96" s="155" t="s">
        <v>270</v>
      </c>
    </row>
    <row r="97" spans="36:36">
      <c r="AJ97" s="155" t="s">
        <v>175</v>
      </c>
    </row>
    <row r="98" spans="36:36">
      <c r="AJ98" s="155" t="s">
        <v>265</v>
      </c>
    </row>
    <row r="99" spans="36:36">
      <c r="AJ99" s="155" t="s">
        <v>266</v>
      </c>
    </row>
    <row r="100" spans="36:36">
      <c r="AJ100" s="155" t="s">
        <v>267</v>
      </c>
    </row>
    <row r="101" spans="36:36">
      <c r="AJ101" s="155" t="s">
        <v>268</v>
      </c>
    </row>
    <row r="102" spans="36:36">
      <c r="AJ102" s="155" t="s">
        <v>269</v>
      </c>
    </row>
    <row r="103" spans="36:36">
      <c r="AJ103" s="155" t="s">
        <v>176</v>
      </c>
    </row>
    <row r="104" spans="36:36">
      <c r="AJ104" s="155" t="s">
        <v>271</v>
      </c>
    </row>
    <row r="105" spans="36:36" ht="18.75">
      <c r="AJ105" s="156" t="s">
        <v>266</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2"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08" t="s">
        <v>15</v>
      </c>
      <c r="B1" s="309"/>
      <c r="C1" s="309"/>
      <c r="D1" s="310"/>
    </row>
    <row r="3" spans="1:8">
      <c r="B3" s="311" t="s">
        <v>16</v>
      </c>
      <c r="C3" s="312"/>
      <c r="D3" s="313"/>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11" t="s">
        <v>184</v>
      </c>
      <c r="C12" s="312"/>
      <c r="D12" s="313"/>
    </row>
    <row r="13" spans="1:8" ht="24.75" customHeight="1">
      <c r="B13" s="135" t="s">
        <v>179</v>
      </c>
      <c r="C13" s="314" t="s">
        <v>181</v>
      </c>
      <c r="D13" s="315"/>
    </row>
    <row r="14" spans="1:8" ht="25.5" customHeight="1">
      <c r="B14" s="135" t="s">
        <v>106</v>
      </c>
      <c r="C14" s="314" t="s">
        <v>182</v>
      </c>
      <c r="D14" s="315"/>
      <c r="E14" s="90"/>
      <c r="F14" s="90"/>
      <c r="G14" s="90"/>
      <c r="H14" s="90"/>
    </row>
    <row r="15" spans="1:8" ht="49.5" customHeight="1">
      <c r="B15" s="135" t="s">
        <v>180</v>
      </c>
      <c r="C15" s="314" t="s">
        <v>183</v>
      </c>
      <c r="D15" s="315"/>
      <c r="F15" s="94" t="s">
        <v>135</v>
      </c>
    </row>
    <row r="17" spans="2:6">
      <c r="B17" s="311" t="s">
        <v>13</v>
      </c>
      <c r="C17" s="312"/>
      <c r="D17" s="313"/>
    </row>
    <row r="18" spans="2:6">
      <c r="B18" s="2"/>
      <c r="C18" s="3"/>
      <c r="D18" s="4"/>
      <c r="F18" s="94" t="s">
        <v>132</v>
      </c>
    </row>
    <row r="19" spans="2:6" s="91" customFormat="1" ht="38.25">
      <c r="B19" s="306" t="s">
        <v>185</v>
      </c>
      <c r="C19" s="136" t="s">
        <v>107</v>
      </c>
      <c r="D19" s="92"/>
      <c r="F19" s="95" t="s">
        <v>133</v>
      </c>
    </row>
    <row r="20" spans="2:6">
      <c r="B20" s="306"/>
      <c r="C20" s="137"/>
      <c r="D20" s="4"/>
      <c r="F20" s="94" t="s">
        <v>134</v>
      </c>
    </row>
    <row r="21" spans="2:6" ht="25.5">
      <c r="B21" s="306"/>
      <c r="C21" s="138" t="s">
        <v>108</v>
      </c>
      <c r="D21" s="4"/>
    </row>
    <row r="22" spans="2:6" ht="25.5">
      <c r="B22" s="306"/>
      <c r="C22" s="138" t="s">
        <v>0</v>
      </c>
      <c r="D22" s="4"/>
    </row>
    <row r="23" spans="2:6">
      <c r="B23" s="306"/>
      <c r="C23" s="138" t="s">
        <v>1</v>
      </c>
      <c r="D23" s="4"/>
    </row>
    <row r="24" spans="2:6">
      <c r="B24" s="2"/>
      <c r="C24" s="27"/>
      <c r="D24" s="4"/>
    </row>
    <row r="25" spans="2:6">
      <c r="B25" s="307" t="s">
        <v>186</v>
      </c>
      <c r="C25" s="139" t="s">
        <v>323</v>
      </c>
      <c r="D25" s="4"/>
    </row>
    <row r="26" spans="2:6" ht="25.5">
      <c r="B26" s="307"/>
      <c r="C26" s="140" t="s">
        <v>2</v>
      </c>
      <c r="D26" s="4"/>
    </row>
    <row r="27" spans="2:6">
      <c r="B27" s="307"/>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69" t="s">
        <v>294</v>
      </c>
      <c r="C50" s="170" t="s">
        <v>295</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187</v>
      </c>
      <c r="C124" s="1" t="s">
        <v>110</v>
      </c>
      <c r="D124" s="4"/>
    </row>
    <row r="125" spans="2:4">
      <c r="B125" s="141" t="s">
        <v>187</v>
      </c>
      <c r="C125" s="31" t="s">
        <v>114</v>
      </c>
      <c r="D125" s="4"/>
    </row>
    <row r="126" spans="2:4">
      <c r="B126" s="141" t="s">
        <v>187</v>
      </c>
      <c r="C126" s="27" t="s">
        <v>115</v>
      </c>
      <c r="D126" s="4"/>
    </row>
    <row r="127" spans="2:4">
      <c r="B127" s="141" t="s">
        <v>187</v>
      </c>
      <c r="C127" s="27" t="s">
        <v>116</v>
      </c>
      <c r="D127" s="4"/>
    </row>
    <row r="128" spans="2:4">
      <c r="B128" s="141" t="s">
        <v>187</v>
      </c>
      <c r="C128" s="27" t="s">
        <v>117</v>
      </c>
      <c r="D128" s="4"/>
    </row>
    <row r="129" spans="2:4">
      <c r="B129" s="141" t="s">
        <v>187</v>
      </c>
      <c r="C129" s="27" t="s">
        <v>121</v>
      </c>
      <c r="D129" s="4"/>
    </row>
    <row r="130" spans="2:4">
      <c r="B130" s="141" t="s">
        <v>187</v>
      </c>
      <c r="C130" s="27" t="s">
        <v>122</v>
      </c>
      <c r="D130" s="4"/>
    </row>
    <row r="131" spans="2:4">
      <c r="B131" s="141" t="s">
        <v>187</v>
      </c>
      <c r="C131" s="31" t="s">
        <v>124</v>
      </c>
      <c r="D131" s="4"/>
    </row>
    <row r="132" spans="2:4">
      <c r="B132" s="141" t="s">
        <v>187</v>
      </c>
      <c r="C132" s="31" t="s">
        <v>125</v>
      </c>
      <c r="D132" s="4"/>
    </row>
    <row r="133" spans="2:4">
      <c r="B133" s="141" t="s">
        <v>187</v>
      </c>
      <c r="C133" s="1" t="s">
        <v>123</v>
      </c>
      <c r="D133" s="4"/>
    </row>
    <row r="134" spans="2:4">
      <c r="B134" s="141" t="s">
        <v>187</v>
      </c>
      <c r="C134" s="27" t="s">
        <v>118</v>
      </c>
      <c r="D134" s="4"/>
    </row>
    <row r="135" spans="2:4">
      <c r="B135" s="141" t="s">
        <v>187</v>
      </c>
      <c r="C135" s="27" t="s">
        <v>113</v>
      </c>
      <c r="D135" s="4"/>
    </row>
    <row r="136" spans="2:4">
      <c r="B136" s="141" t="s">
        <v>187</v>
      </c>
      <c r="C136" s="31" t="s">
        <v>119</v>
      </c>
      <c r="D136" s="4"/>
    </row>
    <row r="137" spans="2:4">
      <c r="B137" s="141" t="s">
        <v>187</v>
      </c>
      <c r="C137" s="31" t="s">
        <v>127</v>
      </c>
      <c r="D137" s="4"/>
    </row>
    <row r="138" spans="2:4">
      <c r="B138" s="141" t="s">
        <v>187</v>
      </c>
      <c r="C138" s="31" t="s">
        <v>112</v>
      </c>
      <c r="D138" s="4"/>
    </row>
    <row r="139" spans="2:4">
      <c r="B139" s="141" t="s">
        <v>187</v>
      </c>
      <c r="C139" s="31" t="s">
        <v>126</v>
      </c>
      <c r="D139" s="4"/>
    </row>
    <row r="140" spans="2:4">
      <c r="B140" s="142"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3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173" t="s">
        <v>51</v>
      </c>
      <c r="D24" s="174" t="s">
        <v>68</v>
      </c>
      <c r="E24" s="83" t="s">
        <v>262</v>
      </c>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176">
        <f>SUM(E25:AA25)</f>
        <v>20</v>
      </c>
      <c r="E25" s="85">
        <v>20</v>
      </c>
    </row>
    <row r="26" spans="2:52" ht="15">
      <c r="B26" s="86"/>
      <c r="C26" s="40" t="s">
        <v>77</v>
      </c>
      <c r="D26" s="176">
        <f>SUM(E26:AA26)</f>
        <v>13</v>
      </c>
      <c r="E26" s="86">
        <v>13</v>
      </c>
    </row>
    <row r="27" spans="2:52" ht="15">
      <c r="B27" s="84">
        <f>B25+B26</f>
        <v>0</v>
      </c>
      <c r="C27" s="44" t="s">
        <v>22</v>
      </c>
      <c r="D27" s="84">
        <f t="shared" ref="D27" si="0">D25+D26</f>
        <v>33</v>
      </c>
      <c r="E27" s="84">
        <f>E25+E26</f>
        <v>33</v>
      </c>
    </row>
    <row r="28" spans="2:52">
      <c r="D28" s="17"/>
      <c r="H28" s="37"/>
    </row>
    <row r="29" spans="2:52">
      <c r="D29" s="17"/>
      <c r="H29" s="37"/>
    </row>
    <row r="30" spans="2:52">
      <c r="D30" s="17"/>
      <c r="H30" s="37"/>
    </row>
    <row r="31" spans="2:52" s="82" customFormat="1" ht="60" customHeight="1">
      <c r="B31" s="83" t="s">
        <v>90</v>
      </c>
      <c r="C31" s="173" t="s">
        <v>47</v>
      </c>
      <c r="D31" s="174"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176">
        <f>SUM(E32:AA32)</f>
        <v>0</v>
      </c>
      <c r="E32" s="85">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176">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176">
        <f>SUM(E34:AA34)</f>
        <v>42</v>
      </c>
      <c r="E34" s="86">
        <v>42</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176">
        <f>SUM(E35:AA35)</f>
        <v>0</v>
      </c>
      <c r="E35" s="86">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176">
        <f>SUM(E36:AA36)</f>
        <v>14</v>
      </c>
      <c r="E36" s="86">
        <v>14</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177">
        <f>SUM(D32:D36)</f>
        <v>56</v>
      </c>
      <c r="E37" s="87">
        <f>SUM(E32:E36)</f>
        <v>56</v>
      </c>
    </row>
    <row r="38" spans="2:52">
      <c r="D38" s="17"/>
      <c r="H38" s="37"/>
    </row>
    <row r="39" spans="2:52">
      <c r="D39" s="17"/>
      <c r="H39" s="37"/>
    </row>
    <row r="40" spans="2:52" s="82" customFormat="1" ht="63.75">
      <c r="B40" s="83" t="s">
        <v>90</v>
      </c>
      <c r="C40" s="173" t="s">
        <v>67</v>
      </c>
      <c r="D40" s="174"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176">
        <f>SUM(E41:AA41)</f>
        <v>56</v>
      </c>
      <c r="E41" s="86">
        <v>56</v>
      </c>
    </row>
    <row r="42" spans="2:52" ht="15">
      <c r="B42" s="86"/>
      <c r="C42" s="40" t="s">
        <v>74</v>
      </c>
      <c r="D42" s="176">
        <f>SUM(E42:AA42)</f>
        <v>0</v>
      </c>
      <c r="E42" s="86">
        <v>0</v>
      </c>
    </row>
    <row r="43" spans="2:52" s="17" customFormat="1" ht="15">
      <c r="B43" s="86"/>
      <c r="C43" s="40" t="s">
        <v>101</v>
      </c>
      <c r="D43" s="176">
        <f>SUM(E43:AA43)</f>
        <v>0</v>
      </c>
      <c r="E43" s="86">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177">
        <f>SUM(D41:D43)</f>
        <v>56</v>
      </c>
      <c r="E44" s="87">
        <f>SUM(E41:E43)</f>
        <v>56</v>
      </c>
    </row>
    <row r="45" spans="2:52">
      <c r="D45" s="17"/>
    </row>
    <row r="46" spans="2:52">
      <c r="D46" s="17"/>
    </row>
    <row r="47" spans="2:52" ht="25.5">
      <c r="C47" s="175" t="s">
        <v>59</v>
      </c>
      <c r="D47" s="175" t="s">
        <v>92</v>
      </c>
      <c r="E47" s="30" t="s">
        <v>91</v>
      </c>
    </row>
    <row r="48" spans="2:52">
      <c r="C48" s="88" t="s">
        <v>93</v>
      </c>
      <c r="D48" s="178" t="s">
        <v>94</v>
      </c>
      <c r="E48" s="88" t="s">
        <v>95</v>
      </c>
    </row>
  </sheetData>
  <phoneticPr fontId="3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2"/>
  <sheetViews>
    <sheetView showGridLines="0" zoomScaleNormal="100" workbookViewId="0">
      <selection activeCell="H12" sqref="H12"/>
    </sheetView>
  </sheetViews>
  <sheetFormatPr defaultColWidth="8.85546875" defaultRowHeight="15" outlineLevelCol="1"/>
  <cols>
    <col min="1" max="1" width="40.7109375" style="143" customWidth="1"/>
    <col min="2" max="2" width="31.5703125" style="143" customWidth="1"/>
    <col min="3" max="3" width="43.28515625" style="221" customWidth="1"/>
    <col min="4" max="4" width="13.42578125" style="221"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16" t="s">
        <v>192</v>
      </c>
      <c r="B1" s="317"/>
      <c r="C1" s="317"/>
      <c r="D1" s="317"/>
      <c r="E1" s="318"/>
      <c r="F1" s="319" t="s">
        <v>201</v>
      </c>
      <c r="G1" s="320"/>
      <c r="H1" s="320"/>
      <c r="I1" s="320"/>
      <c r="J1" s="320"/>
      <c r="K1" s="320"/>
      <c r="L1" s="320"/>
      <c r="M1" s="320"/>
      <c r="N1" s="320"/>
      <c r="O1" s="320"/>
    </row>
    <row r="2" spans="1:15" ht="37.5">
      <c r="A2" s="152" t="s">
        <v>195</v>
      </c>
      <c r="B2" s="152" t="s">
        <v>191</v>
      </c>
      <c r="C2" s="212" t="s">
        <v>193</v>
      </c>
      <c r="D2" s="212" t="s">
        <v>194</v>
      </c>
      <c r="E2" s="152" t="s">
        <v>196</v>
      </c>
      <c r="F2" s="153" t="s">
        <v>378</v>
      </c>
      <c r="G2" s="153" t="s">
        <v>379</v>
      </c>
      <c r="H2" s="153" t="s">
        <v>380</v>
      </c>
      <c r="I2" s="153" t="s">
        <v>393</v>
      </c>
      <c r="J2" s="153" t="s">
        <v>403</v>
      </c>
      <c r="K2" s="153" t="s">
        <v>422</v>
      </c>
      <c r="L2" s="153" t="s">
        <v>197</v>
      </c>
      <c r="M2" s="153" t="s">
        <v>198</v>
      </c>
      <c r="N2" s="153" t="s">
        <v>199</v>
      </c>
      <c r="O2" s="153" t="s">
        <v>200</v>
      </c>
    </row>
    <row r="3" spans="1:15">
      <c r="A3" s="200" t="s">
        <v>363</v>
      </c>
      <c r="B3" s="143" t="s">
        <v>106</v>
      </c>
      <c r="C3" s="213" t="s">
        <v>377</v>
      </c>
      <c r="D3" s="213" t="s">
        <v>381</v>
      </c>
      <c r="E3" s="204">
        <f>SUM(F3:O12)</f>
        <v>2170</v>
      </c>
      <c r="F3" s="143">
        <v>120</v>
      </c>
      <c r="G3" s="143">
        <v>120</v>
      </c>
    </row>
    <row r="4" spans="1:15">
      <c r="A4" s="201" t="s">
        <v>366</v>
      </c>
      <c r="B4" s="201" t="s">
        <v>106</v>
      </c>
      <c r="C4" s="214" t="s">
        <v>382</v>
      </c>
      <c r="D4" s="214" t="s">
        <v>383</v>
      </c>
      <c r="E4" s="203">
        <f>SUM(F4:O4)</f>
        <v>240</v>
      </c>
      <c r="F4" s="201">
        <v>120</v>
      </c>
      <c r="G4" s="201">
        <v>120</v>
      </c>
      <c r="H4" s="201"/>
      <c r="I4" s="201"/>
      <c r="J4" s="201"/>
      <c r="K4" s="201"/>
      <c r="L4" s="201"/>
      <c r="M4" s="201"/>
      <c r="N4" s="201"/>
      <c r="O4" s="201"/>
    </row>
    <row r="5" spans="1:15">
      <c r="A5" s="201" t="s">
        <v>373</v>
      </c>
      <c r="B5" s="201" t="s">
        <v>106</v>
      </c>
      <c r="C5" s="214" t="s">
        <v>384</v>
      </c>
      <c r="D5" s="214" t="s">
        <v>384</v>
      </c>
      <c r="E5" s="203">
        <f>SUM(F5:O5)</f>
        <v>240</v>
      </c>
      <c r="F5" s="201">
        <v>120</v>
      </c>
      <c r="G5" s="201"/>
      <c r="H5" s="201">
        <v>120</v>
      </c>
      <c r="I5" s="201"/>
      <c r="J5" s="201"/>
      <c r="K5" s="201"/>
      <c r="L5" s="201"/>
      <c r="M5" s="201"/>
      <c r="N5" s="201"/>
      <c r="O5" s="201"/>
    </row>
    <row r="6" spans="1:15">
      <c r="A6" s="201" t="s">
        <v>397</v>
      </c>
      <c r="B6" s="201" t="s">
        <v>106</v>
      </c>
      <c r="C6" s="215">
        <v>44984</v>
      </c>
      <c r="D6" s="214"/>
      <c r="E6" s="203">
        <f t="shared" ref="E6:E12" si="0">SUM(F6:O15)</f>
        <v>1450</v>
      </c>
      <c r="F6" s="201"/>
      <c r="G6" s="201"/>
      <c r="H6" s="201"/>
      <c r="I6" s="201">
        <v>120</v>
      </c>
      <c r="J6" s="201"/>
      <c r="K6" s="201"/>
      <c r="L6" s="201"/>
      <c r="M6" s="201"/>
      <c r="N6" s="201"/>
      <c r="O6" s="201"/>
    </row>
    <row r="7" spans="1:15">
      <c r="A7" s="205" t="s">
        <v>401</v>
      </c>
      <c r="B7" s="201" t="s">
        <v>106</v>
      </c>
      <c r="C7" s="216" t="s">
        <v>402</v>
      </c>
      <c r="D7" s="216" t="s">
        <v>402</v>
      </c>
      <c r="E7" s="203">
        <f t="shared" si="0"/>
        <v>1330</v>
      </c>
      <c r="F7" s="201">
        <v>60</v>
      </c>
      <c r="G7" s="201"/>
      <c r="H7" s="201"/>
      <c r="I7" s="201"/>
      <c r="J7" s="201">
        <v>60</v>
      </c>
      <c r="K7" s="201"/>
      <c r="L7" s="201"/>
      <c r="M7" s="201"/>
      <c r="N7" s="201"/>
      <c r="O7" s="201"/>
    </row>
    <row r="8" spans="1:15">
      <c r="A8" s="209" t="s">
        <v>408</v>
      </c>
      <c r="B8" s="201" t="s">
        <v>106</v>
      </c>
      <c r="C8" s="217" t="s">
        <v>415</v>
      </c>
      <c r="D8" s="217" t="s">
        <v>415</v>
      </c>
      <c r="E8" s="203">
        <f t="shared" si="0"/>
        <v>1210</v>
      </c>
      <c r="F8" s="201">
        <v>180</v>
      </c>
      <c r="G8" s="201"/>
      <c r="H8" s="201"/>
      <c r="I8" s="201"/>
      <c r="J8" s="201">
        <v>180</v>
      </c>
      <c r="K8" s="201"/>
      <c r="L8" s="201"/>
      <c r="M8" s="201"/>
      <c r="N8" s="201"/>
      <c r="O8" s="201"/>
    </row>
    <row r="9" spans="1:15">
      <c r="A9" s="210" t="s">
        <v>420</v>
      </c>
      <c r="B9" s="201" t="s">
        <v>106</v>
      </c>
      <c r="C9" s="218" t="s">
        <v>421</v>
      </c>
      <c r="D9" s="218" t="s">
        <v>421</v>
      </c>
      <c r="E9" s="203">
        <v>360</v>
      </c>
      <c r="F9" s="201">
        <v>180</v>
      </c>
      <c r="G9" s="201"/>
      <c r="H9" s="201"/>
      <c r="I9" s="201"/>
      <c r="J9" s="201"/>
      <c r="K9" s="201">
        <v>180</v>
      </c>
      <c r="L9" s="201"/>
      <c r="M9" s="201"/>
      <c r="N9" s="201"/>
      <c r="O9" s="201"/>
    </row>
    <row r="10" spans="1:15">
      <c r="A10" s="210" t="s">
        <v>446</v>
      </c>
      <c r="B10" s="201" t="s">
        <v>106</v>
      </c>
      <c r="C10" s="219" t="s">
        <v>453</v>
      </c>
      <c r="D10" s="219" t="s">
        <v>453</v>
      </c>
      <c r="E10" s="203">
        <f t="shared" si="0"/>
        <v>490</v>
      </c>
      <c r="F10" s="201">
        <v>230</v>
      </c>
      <c r="G10" s="201"/>
      <c r="H10" s="201"/>
      <c r="I10" s="201"/>
      <c r="J10" s="201">
        <v>230</v>
      </c>
      <c r="K10" s="201"/>
      <c r="L10" s="201"/>
      <c r="M10" s="201"/>
      <c r="N10" s="201"/>
      <c r="O10" s="201"/>
    </row>
    <row r="11" spans="1:15">
      <c r="A11" s="211" t="s">
        <v>469</v>
      </c>
      <c r="B11" s="201" t="s">
        <v>106</v>
      </c>
      <c r="C11" s="220">
        <v>45138</v>
      </c>
      <c r="D11" s="220">
        <v>45138</v>
      </c>
      <c r="E11" s="203">
        <f t="shared" ref="E11" si="1">SUM(F11:O20)</f>
        <v>30</v>
      </c>
      <c r="F11" s="201"/>
      <c r="G11" s="201"/>
      <c r="H11" s="201"/>
      <c r="I11" s="201">
        <v>30</v>
      </c>
      <c r="J11" s="201"/>
      <c r="K11" s="201"/>
      <c r="L11" s="201"/>
      <c r="M11" s="201"/>
      <c r="N11" s="201"/>
      <c r="O11" s="201"/>
    </row>
    <row r="12" spans="1:15">
      <c r="A12" s="201"/>
      <c r="B12" s="201"/>
      <c r="C12" s="214"/>
      <c r="D12" s="214"/>
      <c r="E12" s="202">
        <f t="shared" si="0"/>
        <v>0</v>
      </c>
      <c r="F12" s="201"/>
      <c r="G12" s="201"/>
      <c r="H12" s="201"/>
      <c r="I12" s="201"/>
      <c r="J12" s="201"/>
      <c r="K12" s="201"/>
      <c r="L12" s="201"/>
      <c r="M12" s="201"/>
      <c r="N12" s="201"/>
      <c r="O12" s="201"/>
    </row>
  </sheetData>
  <mergeCells count="2">
    <mergeCell ref="A1:E1"/>
    <mergeCell ref="F1:O1"/>
  </mergeCells>
  <phoneticPr fontId="108" type="noConversion"/>
  <conditionalFormatting sqref="A6:A7">
    <cfRule type="expression" dxfId="466" priority="1899" stopIfTrue="1">
      <formula>AND($M6="Approved",OR($L6=$R$1,$L6=$T$1))</formula>
    </cfRule>
  </conditionalFormatting>
  <conditionalFormatting sqref="A8">
    <cfRule type="expression" dxfId="465" priority="2" stopIfTrue="1">
      <formula>AND($M8="Approved",OR($L8=$R$1,$L8=$T$1))</formula>
    </cfRule>
  </conditionalFormatting>
  <conditionalFormatting sqref="A9:A11">
    <cfRule type="expression" dxfId="464" priority="1" stopIfTrue="1">
      <formula>AND($M9="Approved",OR($L9=$R$1,$L9=$T$1))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Normal="100" workbookViewId="0">
      <pane xSplit="1" ySplit="4" topLeftCell="B45" activePane="bottomRight" state="frozenSplit"/>
      <selection activeCell="K17" sqref="K17"/>
      <selection pane="topRight" activeCell="K17" sqref="K17"/>
      <selection pane="bottomLeft" activeCell="K17" sqref="K17"/>
      <selection pane="bottomRight" activeCell="O63" sqref="O63"/>
    </sheetView>
  </sheetViews>
  <sheetFormatPr defaultRowHeight="12.75" outlineLevelRow="1" outlineLevelCol="1"/>
  <cols>
    <col min="1" max="1" width="5.28515625" style="71" customWidth="1"/>
    <col min="2" max="2" width="13.7109375" style="47" customWidth="1"/>
    <col min="3" max="3" width="28.425781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0</v>
      </c>
      <c r="P2" s="58"/>
      <c r="Q2" s="53">
        <f>COUNTIF($L5:$L500,"=" &amp; Q1)</f>
        <v>0</v>
      </c>
      <c r="R2" s="53">
        <f>COUNTIF($L5:$L500,"=" &amp; R1)</f>
        <v>42</v>
      </c>
      <c r="S2" s="53">
        <f>COUNTIF($L5:$L500,"=" &amp; S1)</f>
        <v>0</v>
      </c>
      <c r="T2" s="53">
        <f>COUNTIF($L5:$L500,"=" &amp; T1)</f>
        <v>14</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0</v>
      </c>
      <c r="AA2" s="53">
        <f>IF(AND(Issue_to_treat=0,Issues_to_approve=0,Issues_postponed=0),1,0)</f>
        <v>1</v>
      </c>
      <c r="AB2" s="33"/>
      <c r="AC2" s="33"/>
      <c r="AD2" s="33"/>
      <c r="AE2" s="33"/>
      <c r="AF2" s="33"/>
      <c r="AH2" s="53">
        <f>COUNTIF($M5:$M500,"=" &amp; AH1)</f>
        <v>56</v>
      </c>
      <c r="AI2" s="53">
        <f>COUNTIF($M5:$M500,"=" &amp; AI1)</f>
        <v>0</v>
      </c>
      <c r="AJ2" s="53">
        <f>COUNTIF($M5:$M500,"=" &amp; AJ1)</f>
        <v>0</v>
      </c>
      <c r="AM2" s="33"/>
      <c r="AN2" s="33"/>
      <c r="AO2" s="33"/>
      <c r="AP2" s="35"/>
      <c r="AQ2" s="35"/>
      <c r="AR2" s="33"/>
      <c r="AS2" s="35"/>
      <c r="AT2" s="35"/>
    </row>
    <row r="3" spans="1:46" s="52" customFormat="1" ht="25.5" customHeight="1" outlineLevel="1">
      <c r="A3" s="322" t="str">
        <f>IF(Issue_to_treat=1,NbOfNotTreatedIssues+NbOfRejectedIssues&amp;" issue(s) to treat",IF(Issues_to_approve=1,NbOfNotApprovedIssues&amp;" issue(s) to approve",IF(Issues_postponed=1,NbOfNotApprovedAndPostponedIssues&amp;" issue(s) postponed","Status OK")))</f>
        <v>Status OK</v>
      </c>
      <c r="B3" s="322"/>
      <c r="C3" s="323"/>
      <c r="D3" s="65" t="s">
        <v>63</v>
      </c>
      <c r="E3" s="321" t="s">
        <v>81</v>
      </c>
      <c r="F3" s="321"/>
      <c r="G3" s="321"/>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177</v>
      </c>
      <c r="E4" s="144" t="s">
        <v>69</v>
      </c>
      <c r="F4" s="144" t="s">
        <v>31</v>
      </c>
      <c r="G4" s="145" t="s">
        <v>46</v>
      </c>
      <c r="H4" s="146" t="s">
        <v>48</v>
      </c>
      <c r="I4" s="146" t="s">
        <v>105</v>
      </c>
      <c r="J4" s="146" t="s">
        <v>33</v>
      </c>
      <c r="K4" s="147" t="s">
        <v>49</v>
      </c>
      <c r="L4" s="146" t="s">
        <v>47</v>
      </c>
      <c r="M4" s="144" t="s">
        <v>178</v>
      </c>
      <c r="N4" s="148"/>
      <c r="O4" s="148"/>
      <c r="P4" s="148"/>
      <c r="Q4" s="149"/>
      <c r="R4" s="149"/>
      <c r="S4" s="149"/>
      <c r="T4" s="149"/>
      <c r="U4" s="149"/>
      <c r="V4" s="149"/>
      <c r="W4" s="149"/>
      <c r="X4" s="150"/>
      <c r="Y4" s="150"/>
      <c r="Z4" s="150"/>
      <c r="AA4" s="150"/>
      <c r="AB4" s="150"/>
    </row>
    <row r="5" spans="1:46" s="25" customFormat="1" ht="38.25">
      <c r="A5" s="72">
        <v>1</v>
      </c>
      <c r="B5" s="28">
        <v>1.1000000000000001</v>
      </c>
      <c r="C5" s="41" t="s">
        <v>355</v>
      </c>
      <c r="D5" s="29" t="s">
        <v>356</v>
      </c>
      <c r="E5" s="69">
        <v>44837.659131944441</v>
      </c>
      <c r="F5" s="70" t="s">
        <v>357</v>
      </c>
      <c r="G5" s="29" t="s">
        <v>392</v>
      </c>
      <c r="H5" s="22"/>
      <c r="I5" s="22"/>
      <c r="J5" s="22" t="s">
        <v>393</v>
      </c>
      <c r="K5" s="23">
        <v>44984.432789351849</v>
      </c>
      <c r="L5" s="22" t="s">
        <v>20</v>
      </c>
      <c r="M5" s="80" t="s">
        <v>28</v>
      </c>
      <c r="N5" s="57"/>
      <c r="O5" s="57"/>
      <c r="P5" s="57"/>
      <c r="Q5" s="61"/>
      <c r="R5" s="61"/>
      <c r="S5" s="61"/>
      <c r="T5" s="61"/>
      <c r="U5" s="61"/>
      <c r="V5" s="61"/>
      <c r="W5" s="61"/>
    </row>
    <row r="6" spans="1:46" s="25" customFormat="1">
      <c r="A6" s="73">
        <v>2</v>
      </c>
      <c r="B6" s="28"/>
      <c r="C6" s="41" t="s">
        <v>355</v>
      </c>
      <c r="D6" s="29" t="s">
        <v>358</v>
      </c>
      <c r="E6" s="69">
        <v>44837.67796296296</v>
      </c>
      <c r="F6" s="70" t="s">
        <v>357</v>
      </c>
      <c r="G6" s="29" t="s">
        <v>392</v>
      </c>
      <c r="H6" s="22"/>
      <c r="I6" s="22"/>
      <c r="J6" s="80" t="s">
        <v>393</v>
      </c>
      <c r="K6" s="23">
        <v>44984.432800925926</v>
      </c>
      <c r="L6" s="22" t="s">
        <v>20</v>
      </c>
      <c r="M6" s="22" t="s">
        <v>28</v>
      </c>
      <c r="N6" s="57"/>
      <c r="O6" s="57"/>
      <c r="P6" s="57"/>
      <c r="Q6" s="61"/>
      <c r="R6" s="61"/>
      <c r="S6" s="61"/>
      <c r="T6" s="61"/>
      <c r="U6" s="61"/>
      <c r="V6" s="61"/>
      <c r="W6" s="61"/>
    </row>
    <row r="7" spans="1:46" s="25" customFormat="1" ht="51">
      <c r="A7" s="73">
        <v>3</v>
      </c>
      <c r="B7" s="28"/>
      <c r="C7" s="41" t="s">
        <v>355</v>
      </c>
      <c r="D7" s="29" t="s">
        <v>359</v>
      </c>
      <c r="E7" s="69">
        <v>44837.681944444441</v>
      </c>
      <c r="F7" s="70" t="s">
        <v>357</v>
      </c>
      <c r="G7" s="29" t="s">
        <v>392</v>
      </c>
      <c r="H7" s="22"/>
      <c r="I7" s="22"/>
      <c r="J7" s="80" t="s">
        <v>393</v>
      </c>
      <c r="K7" s="23">
        <v>44984.432812500003</v>
      </c>
      <c r="L7" s="22" t="s">
        <v>20</v>
      </c>
      <c r="M7" s="22" t="s">
        <v>28</v>
      </c>
      <c r="N7" s="57"/>
      <c r="O7" s="57"/>
      <c r="P7" s="57"/>
      <c r="Q7" s="61"/>
      <c r="R7" s="61"/>
      <c r="S7" s="61"/>
      <c r="T7" s="61"/>
      <c r="U7" s="61"/>
      <c r="V7" s="61"/>
      <c r="W7" s="61"/>
    </row>
    <row r="8" spans="1:46" s="25" customFormat="1" ht="38.25">
      <c r="A8" s="73">
        <v>4</v>
      </c>
      <c r="B8" s="28"/>
      <c r="C8" s="41" t="s">
        <v>355</v>
      </c>
      <c r="D8" s="199" t="s">
        <v>361</v>
      </c>
      <c r="E8" s="69">
        <v>44837.68712962963</v>
      </c>
      <c r="F8" s="70" t="s">
        <v>357</v>
      </c>
      <c r="G8" s="29" t="s">
        <v>392</v>
      </c>
      <c r="H8" s="22"/>
      <c r="I8" s="22"/>
      <c r="J8" s="80" t="s">
        <v>393</v>
      </c>
      <c r="K8" s="23">
        <v>44984.432824074072</v>
      </c>
      <c r="L8" s="22" t="s">
        <v>20</v>
      </c>
      <c r="M8" s="22" t="s">
        <v>28</v>
      </c>
      <c r="N8" s="57"/>
      <c r="O8" s="57"/>
      <c r="P8" s="57"/>
      <c r="Q8" s="61"/>
      <c r="R8" s="61"/>
      <c r="S8" s="61"/>
      <c r="T8" s="61"/>
      <c r="U8" s="61"/>
      <c r="V8" s="61"/>
      <c r="W8" s="61"/>
    </row>
    <row r="9" spans="1:46" s="25" customFormat="1" ht="25.5">
      <c r="A9" s="73">
        <v>5</v>
      </c>
      <c r="B9" s="28"/>
      <c r="C9" s="41" t="s">
        <v>355</v>
      </c>
      <c r="D9" s="29" t="s">
        <v>362</v>
      </c>
      <c r="E9" s="69">
        <v>44838.568252314813</v>
      </c>
      <c r="F9" s="70" t="s">
        <v>357</v>
      </c>
      <c r="G9" s="29" t="s">
        <v>392</v>
      </c>
      <c r="H9" s="22"/>
      <c r="I9" s="22"/>
      <c r="J9" s="80" t="s">
        <v>393</v>
      </c>
      <c r="K9" s="23">
        <v>44984.432847222219</v>
      </c>
      <c r="L9" s="22" t="s">
        <v>20</v>
      </c>
      <c r="M9" s="22" t="s">
        <v>28</v>
      </c>
      <c r="N9" s="57"/>
      <c r="O9" s="57"/>
      <c r="P9" s="57"/>
      <c r="Q9" s="61"/>
      <c r="R9" s="61"/>
      <c r="S9" s="61"/>
      <c r="T9" s="61"/>
      <c r="U9" s="61"/>
      <c r="V9" s="61"/>
      <c r="W9" s="61"/>
    </row>
    <row r="10" spans="1:46" s="25" customFormat="1" ht="38.25">
      <c r="A10" s="73">
        <v>6</v>
      </c>
      <c r="B10" s="28"/>
      <c r="C10" s="41" t="s">
        <v>363</v>
      </c>
      <c r="D10" s="29" t="s">
        <v>364</v>
      </c>
      <c r="E10" s="69">
        <v>44841.607928240737</v>
      </c>
      <c r="F10" s="70" t="s">
        <v>357</v>
      </c>
      <c r="G10" s="18" t="s">
        <v>385</v>
      </c>
      <c r="H10" s="22"/>
      <c r="I10" s="22"/>
      <c r="J10" s="22" t="s">
        <v>386</v>
      </c>
      <c r="K10" s="23">
        <v>44752</v>
      </c>
      <c r="L10" s="22" t="s">
        <v>20</v>
      </c>
      <c r="M10" s="22" t="s">
        <v>28</v>
      </c>
      <c r="N10" s="57"/>
      <c r="O10" s="57"/>
      <c r="P10" s="57"/>
      <c r="Q10" s="61"/>
      <c r="R10" s="61"/>
      <c r="S10" s="61"/>
      <c r="T10" s="61"/>
      <c r="U10" s="61"/>
      <c r="V10" s="61"/>
      <c r="W10" s="61"/>
    </row>
    <row r="11" spans="1:46" s="25" customFormat="1" ht="25.5">
      <c r="A11" s="73">
        <v>7</v>
      </c>
      <c r="B11" s="28"/>
      <c r="C11" s="41" t="s">
        <v>363</v>
      </c>
      <c r="D11" s="29" t="s">
        <v>365</v>
      </c>
      <c r="E11" s="69">
        <v>44841.609583333331</v>
      </c>
      <c r="F11" s="70" t="s">
        <v>357</v>
      </c>
      <c r="G11" s="18" t="s">
        <v>387</v>
      </c>
      <c r="H11" s="22"/>
      <c r="I11" s="22"/>
      <c r="J11" s="22" t="s">
        <v>386</v>
      </c>
      <c r="K11" s="81">
        <v>44752</v>
      </c>
      <c r="L11" s="22" t="s">
        <v>20</v>
      </c>
      <c r="M11" s="22" t="s">
        <v>28</v>
      </c>
      <c r="N11" s="57"/>
      <c r="O11" s="57"/>
      <c r="P11" s="57"/>
      <c r="Q11" s="61"/>
      <c r="R11" s="61"/>
      <c r="S11" s="61"/>
      <c r="T11" s="61"/>
      <c r="U11" s="61"/>
      <c r="V11" s="61"/>
      <c r="W11" s="61"/>
    </row>
    <row r="12" spans="1:46" s="25" customFormat="1" ht="25.5">
      <c r="A12" s="73">
        <v>8</v>
      </c>
      <c r="B12" s="28"/>
      <c r="C12" s="41" t="s">
        <v>366</v>
      </c>
      <c r="D12" s="29" t="s">
        <v>367</v>
      </c>
      <c r="E12" s="69">
        <v>44854.446875000001</v>
      </c>
      <c r="F12" s="70" t="s">
        <v>357</v>
      </c>
      <c r="G12" s="18" t="s">
        <v>388</v>
      </c>
      <c r="H12" s="22"/>
      <c r="I12" s="22"/>
      <c r="J12" s="22" t="s">
        <v>386</v>
      </c>
      <c r="K12" s="23">
        <v>44752</v>
      </c>
      <c r="L12" s="22" t="s">
        <v>20</v>
      </c>
      <c r="M12" s="22" t="s">
        <v>28</v>
      </c>
      <c r="N12" s="57"/>
      <c r="O12" s="57"/>
      <c r="P12" s="57"/>
      <c r="Q12" s="61"/>
      <c r="R12" s="61"/>
      <c r="S12" s="61"/>
      <c r="T12" s="61"/>
      <c r="U12" s="61"/>
      <c r="V12" s="61"/>
      <c r="W12" s="61"/>
    </row>
    <row r="13" spans="1:46" s="25" customFormat="1" ht="25.5">
      <c r="A13" s="73">
        <v>9</v>
      </c>
      <c r="B13" s="28"/>
      <c r="C13" s="41" t="s">
        <v>366</v>
      </c>
      <c r="D13" s="29" t="s">
        <v>368</v>
      </c>
      <c r="E13" s="69">
        <v>44859.530706018515</v>
      </c>
      <c r="F13" s="70" t="s">
        <v>357</v>
      </c>
      <c r="G13" s="29" t="s">
        <v>392</v>
      </c>
      <c r="H13" s="22"/>
      <c r="I13" s="22"/>
      <c r="J13" s="22" t="s">
        <v>386</v>
      </c>
      <c r="K13" s="23">
        <v>44984.432858796295</v>
      </c>
      <c r="L13" s="22" t="s">
        <v>20</v>
      </c>
      <c r="M13" s="22" t="s">
        <v>28</v>
      </c>
      <c r="N13" s="57"/>
      <c r="O13" s="57"/>
      <c r="P13" s="57"/>
      <c r="Q13" s="61"/>
      <c r="R13" s="61"/>
      <c r="S13" s="61"/>
      <c r="T13" s="61"/>
      <c r="U13" s="61"/>
      <c r="V13" s="61"/>
      <c r="W13" s="61"/>
    </row>
    <row r="14" spans="1:46" s="25" customFormat="1" ht="25.5">
      <c r="A14" s="73">
        <v>10</v>
      </c>
      <c r="B14" s="28"/>
      <c r="C14" s="41" t="s">
        <v>366</v>
      </c>
      <c r="D14" s="18" t="s">
        <v>369</v>
      </c>
      <c r="E14" s="69">
        <v>44859.564074074071</v>
      </c>
      <c r="F14" s="70" t="s">
        <v>357</v>
      </c>
      <c r="G14" s="29" t="s">
        <v>392</v>
      </c>
      <c r="H14" s="22"/>
      <c r="I14" s="22"/>
      <c r="J14" s="22" t="s">
        <v>386</v>
      </c>
      <c r="K14" s="23">
        <v>44984.432881944442</v>
      </c>
      <c r="L14" s="22" t="s">
        <v>20</v>
      </c>
      <c r="M14" s="22" t="s">
        <v>28</v>
      </c>
      <c r="N14" s="57"/>
      <c r="O14" s="57"/>
      <c r="P14" s="57"/>
      <c r="Q14" s="61"/>
      <c r="R14" s="61"/>
      <c r="S14" s="61"/>
      <c r="T14" s="61"/>
      <c r="U14" s="61"/>
      <c r="V14" s="61"/>
      <c r="W14" s="61"/>
    </row>
    <row r="15" spans="1:46" s="25" customFormat="1" ht="25.5">
      <c r="A15" s="73">
        <v>11</v>
      </c>
      <c r="B15" s="28"/>
      <c r="C15" s="41" t="s">
        <v>366</v>
      </c>
      <c r="D15" s="18" t="s">
        <v>370</v>
      </c>
      <c r="E15" s="69">
        <v>44859.573506944442</v>
      </c>
      <c r="F15" s="70" t="s">
        <v>357</v>
      </c>
      <c r="G15" s="18" t="s">
        <v>389</v>
      </c>
      <c r="H15" s="22"/>
      <c r="I15" s="22"/>
      <c r="J15" s="22" t="s">
        <v>386</v>
      </c>
      <c r="K15" s="23" t="s">
        <v>390</v>
      </c>
      <c r="L15" s="22" t="s">
        <v>20</v>
      </c>
      <c r="M15" s="22" t="s">
        <v>28</v>
      </c>
      <c r="N15" s="57"/>
      <c r="O15" s="57"/>
      <c r="P15" s="57"/>
      <c r="Q15" s="61"/>
      <c r="R15" s="61"/>
      <c r="S15" s="61"/>
      <c r="T15" s="61"/>
      <c r="U15" s="61"/>
      <c r="V15" s="61"/>
      <c r="W15" s="61"/>
    </row>
    <row r="16" spans="1:46" s="25" customFormat="1" ht="25.5">
      <c r="A16" s="73">
        <v>12</v>
      </c>
      <c r="B16" s="28"/>
      <c r="C16" s="41" t="s">
        <v>366</v>
      </c>
      <c r="D16" s="18" t="s">
        <v>371</v>
      </c>
      <c r="E16" s="69">
        <v>44859.576516203706</v>
      </c>
      <c r="F16" s="70" t="s">
        <v>357</v>
      </c>
      <c r="G16" s="18" t="s">
        <v>388</v>
      </c>
      <c r="H16" s="22"/>
      <c r="I16" s="22"/>
      <c r="J16" s="22" t="s">
        <v>386</v>
      </c>
      <c r="K16" s="23" t="s">
        <v>390</v>
      </c>
      <c r="L16" s="22" t="s">
        <v>20</v>
      </c>
      <c r="M16" s="22" t="s">
        <v>28</v>
      </c>
      <c r="N16" s="57"/>
      <c r="O16" s="57"/>
      <c r="P16" s="57"/>
      <c r="Q16" s="61"/>
      <c r="R16" s="61"/>
      <c r="S16" s="61"/>
      <c r="T16" s="61"/>
      <c r="U16" s="61"/>
      <c r="V16" s="61"/>
      <c r="W16" s="61"/>
    </row>
    <row r="17" spans="1:23" s="25" customFormat="1" ht="25.5">
      <c r="A17" s="73">
        <v>13</v>
      </c>
      <c r="B17" s="28"/>
      <c r="C17" s="41" t="s">
        <v>366</v>
      </c>
      <c r="D17" s="18" t="s">
        <v>372</v>
      </c>
      <c r="E17" s="69">
        <v>44859.578877314816</v>
      </c>
      <c r="F17" s="70" t="s">
        <v>357</v>
      </c>
      <c r="G17" s="18" t="s">
        <v>388</v>
      </c>
      <c r="H17" s="22"/>
      <c r="I17" s="22"/>
      <c r="J17" s="22" t="s">
        <v>386</v>
      </c>
      <c r="K17" s="23" t="s">
        <v>390</v>
      </c>
      <c r="L17" s="22" t="s">
        <v>20</v>
      </c>
      <c r="M17" s="22" t="s">
        <v>28</v>
      </c>
      <c r="N17" s="57"/>
      <c r="O17" s="57"/>
      <c r="P17" s="57"/>
      <c r="Q17" s="61"/>
      <c r="R17" s="61"/>
      <c r="S17" s="61"/>
      <c r="T17" s="61"/>
      <c r="U17" s="61"/>
      <c r="V17" s="61"/>
      <c r="W17" s="61"/>
    </row>
    <row r="18" spans="1:23" s="25" customFormat="1" ht="25.5">
      <c r="A18" s="73">
        <v>14</v>
      </c>
      <c r="B18" s="28"/>
      <c r="C18" s="41" t="s">
        <v>373</v>
      </c>
      <c r="D18" s="29" t="s">
        <v>374</v>
      </c>
      <c r="E18" s="69">
        <v>44860.594895833332</v>
      </c>
      <c r="F18" s="70" t="s">
        <v>357</v>
      </c>
      <c r="G18" s="29" t="s">
        <v>392</v>
      </c>
      <c r="H18" s="22"/>
      <c r="I18" s="22"/>
      <c r="J18" s="22" t="s">
        <v>386</v>
      </c>
      <c r="K18" s="23">
        <v>44662</v>
      </c>
      <c r="L18" s="22" t="s">
        <v>20</v>
      </c>
      <c r="M18" s="22" t="s">
        <v>28</v>
      </c>
      <c r="N18" s="57"/>
      <c r="O18" s="57"/>
      <c r="P18" s="57"/>
      <c r="Q18" s="61"/>
      <c r="R18" s="61"/>
      <c r="S18" s="61"/>
      <c r="T18" s="61"/>
      <c r="U18" s="61"/>
      <c r="V18" s="61"/>
      <c r="W18" s="61"/>
    </row>
    <row r="19" spans="1:23" s="25" customFormat="1" ht="25.5">
      <c r="A19" s="73">
        <v>15</v>
      </c>
      <c r="B19" s="28"/>
      <c r="C19" s="41" t="s">
        <v>373</v>
      </c>
      <c r="D19" s="18" t="s">
        <v>375</v>
      </c>
      <c r="E19" s="69">
        <v>44860.61614583333</v>
      </c>
      <c r="F19" s="70" t="s">
        <v>357</v>
      </c>
      <c r="G19" s="18" t="s">
        <v>391</v>
      </c>
      <c r="H19" s="22"/>
      <c r="I19" s="22"/>
      <c r="J19" s="22" t="s">
        <v>386</v>
      </c>
      <c r="K19" s="23">
        <v>44662</v>
      </c>
      <c r="L19" s="22" t="s">
        <v>20</v>
      </c>
      <c r="M19" s="22" t="s">
        <v>28</v>
      </c>
      <c r="N19" s="57"/>
      <c r="O19" s="57"/>
      <c r="P19" s="57"/>
      <c r="Q19" s="61"/>
      <c r="R19" s="61"/>
      <c r="S19" s="61"/>
      <c r="T19" s="61"/>
      <c r="U19" s="61"/>
      <c r="V19" s="61"/>
      <c r="W19" s="61"/>
    </row>
    <row r="20" spans="1:23" s="25" customFormat="1">
      <c r="A20" s="73">
        <v>16</v>
      </c>
      <c r="B20" s="41" t="s">
        <v>394</v>
      </c>
      <c r="C20" s="41" t="s">
        <v>355</v>
      </c>
      <c r="D20" s="29" t="s">
        <v>395</v>
      </c>
      <c r="E20" s="69">
        <v>44984.433125000003</v>
      </c>
      <c r="F20" s="70" t="s">
        <v>393</v>
      </c>
      <c r="G20" s="18"/>
      <c r="H20" s="22"/>
      <c r="I20" s="22"/>
      <c r="J20" s="80" t="s">
        <v>396</v>
      </c>
      <c r="K20" s="23">
        <v>44984.433194444442</v>
      </c>
      <c r="L20" s="22" t="s">
        <v>27</v>
      </c>
      <c r="M20" s="22" t="s">
        <v>28</v>
      </c>
      <c r="N20" s="57"/>
      <c r="O20" s="57"/>
      <c r="P20" s="57"/>
      <c r="Q20" s="61"/>
      <c r="R20" s="61"/>
      <c r="S20" s="61"/>
      <c r="T20" s="61"/>
      <c r="U20" s="61"/>
      <c r="V20" s="61"/>
      <c r="W20" s="61"/>
    </row>
    <row r="21" spans="1:23" s="25" customFormat="1" ht="38.25">
      <c r="A21" s="73">
        <v>17</v>
      </c>
      <c r="B21" s="41" t="s">
        <v>398</v>
      </c>
      <c r="C21" s="41" t="s">
        <v>355</v>
      </c>
      <c r="D21" s="29" t="s">
        <v>399</v>
      </c>
      <c r="E21" s="69">
        <v>45072.507453703707</v>
      </c>
      <c r="F21" s="70" t="s">
        <v>400</v>
      </c>
      <c r="G21" s="29" t="s">
        <v>454</v>
      </c>
      <c r="H21" s="22"/>
      <c r="I21" s="22"/>
      <c r="J21" s="22" t="s">
        <v>404</v>
      </c>
      <c r="K21" s="23">
        <v>45138.416562500002</v>
      </c>
      <c r="L21" s="22" t="s">
        <v>20</v>
      </c>
      <c r="M21" s="22" t="s">
        <v>28</v>
      </c>
      <c r="N21" s="57"/>
      <c r="O21" s="57"/>
      <c r="P21" s="57"/>
      <c r="Q21" s="61"/>
      <c r="R21" s="61"/>
      <c r="S21" s="61"/>
      <c r="T21" s="61"/>
      <c r="U21" s="61"/>
      <c r="V21" s="61"/>
      <c r="W21" s="61"/>
    </row>
    <row r="22" spans="1:23" s="25" customFormat="1" ht="38.25">
      <c r="A22" s="73">
        <v>18</v>
      </c>
      <c r="B22" s="41" t="s">
        <v>398</v>
      </c>
      <c r="C22" s="41" t="s">
        <v>355</v>
      </c>
      <c r="D22" s="18" t="s">
        <v>405</v>
      </c>
      <c r="E22" s="69">
        <v>45072.515405092592</v>
      </c>
      <c r="F22" s="70" t="s">
        <v>400</v>
      </c>
      <c r="G22" s="29" t="s">
        <v>454</v>
      </c>
      <c r="H22" s="22"/>
      <c r="I22" s="22"/>
      <c r="J22" s="22" t="s">
        <v>404</v>
      </c>
      <c r="K22" s="23">
        <v>45138.416585648149</v>
      </c>
      <c r="L22" s="22" t="s">
        <v>20</v>
      </c>
      <c r="M22" s="22" t="s">
        <v>28</v>
      </c>
      <c r="N22" s="57"/>
      <c r="O22" s="57"/>
      <c r="P22" s="57"/>
      <c r="Q22" s="61"/>
      <c r="R22" s="61"/>
      <c r="S22" s="61"/>
      <c r="T22" s="61"/>
      <c r="U22" s="61"/>
      <c r="V22" s="61"/>
      <c r="W22" s="61"/>
    </row>
    <row r="23" spans="1:23" s="25" customFormat="1" ht="38.25">
      <c r="A23" s="73">
        <v>19</v>
      </c>
      <c r="B23" s="41" t="s">
        <v>398</v>
      </c>
      <c r="C23" s="41" t="s">
        <v>355</v>
      </c>
      <c r="D23" s="18" t="s">
        <v>406</v>
      </c>
      <c r="E23" s="69">
        <v>45072.517743055556</v>
      </c>
      <c r="F23" s="70" t="s">
        <v>400</v>
      </c>
      <c r="G23" s="29" t="s">
        <v>454</v>
      </c>
      <c r="H23" s="22"/>
      <c r="I23" s="22"/>
      <c r="J23" s="22" t="s">
        <v>404</v>
      </c>
      <c r="K23" s="23">
        <v>45138.416620370372</v>
      </c>
      <c r="L23" s="22" t="s">
        <v>20</v>
      </c>
      <c r="M23" s="22" t="s">
        <v>28</v>
      </c>
      <c r="N23" s="57"/>
      <c r="O23" s="57"/>
      <c r="P23" s="57"/>
      <c r="Q23" s="61"/>
      <c r="R23" s="61"/>
      <c r="S23" s="61"/>
      <c r="T23" s="61"/>
      <c r="U23" s="61"/>
      <c r="V23" s="61"/>
      <c r="W23" s="61"/>
    </row>
    <row r="24" spans="1:23" s="25" customFormat="1" ht="38.25">
      <c r="A24" s="73">
        <v>20</v>
      </c>
      <c r="B24" s="206" t="s">
        <v>398</v>
      </c>
      <c r="C24" s="207" t="s">
        <v>355</v>
      </c>
      <c r="D24" s="208" t="s">
        <v>407</v>
      </c>
      <c r="E24" s="69">
        <v>45072.518101851849</v>
      </c>
      <c r="F24" s="70" t="s">
        <v>400</v>
      </c>
      <c r="G24" s="29" t="s">
        <v>454</v>
      </c>
      <c r="H24" s="22"/>
      <c r="I24" s="22"/>
      <c r="J24" s="22" t="s">
        <v>404</v>
      </c>
      <c r="K24" s="23">
        <v>45138.416655092595</v>
      </c>
      <c r="L24" s="22" t="s">
        <v>20</v>
      </c>
      <c r="M24" s="22" t="s">
        <v>28</v>
      </c>
      <c r="N24" s="57"/>
      <c r="O24" s="57"/>
      <c r="P24" s="57"/>
      <c r="Q24" s="61"/>
      <c r="R24" s="61"/>
      <c r="S24" s="61"/>
      <c r="T24" s="61"/>
      <c r="U24" s="61"/>
      <c r="V24" s="61"/>
      <c r="W24" s="61"/>
    </row>
    <row r="25" spans="1:23" s="25" customFormat="1" ht="25.5">
      <c r="A25" s="73">
        <v>21</v>
      </c>
      <c r="B25" s="206" t="s">
        <v>409</v>
      </c>
      <c r="C25" s="207" t="s">
        <v>355</v>
      </c>
      <c r="D25" s="29" t="s">
        <v>410</v>
      </c>
      <c r="E25" s="69">
        <v>45097.436782407407</v>
      </c>
      <c r="F25" s="70" t="s">
        <v>400</v>
      </c>
      <c r="G25" s="29" t="s">
        <v>455</v>
      </c>
      <c r="H25" s="22"/>
      <c r="I25" s="22"/>
      <c r="J25" s="80" t="s">
        <v>404</v>
      </c>
      <c r="K25" s="23">
        <v>45138.416666666664</v>
      </c>
      <c r="L25" s="22" t="s">
        <v>20</v>
      </c>
      <c r="M25" s="22" t="s">
        <v>28</v>
      </c>
      <c r="N25" s="57"/>
      <c r="O25" s="57"/>
      <c r="P25" s="57"/>
      <c r="Q25" s="61"/>
      <c r="R25" s="61"/>
      <c r="S25" s="61"/>
      <c r="T25" s="61"/>
      <c r="U25" s="61"/>
      <c r="V25" s="61"/>
      <c r="W25" s="61"/>
    </row>
    <row r="26" spans="1:23" s="25" customFormat="1" ht="25.5">
      <c r="A26" s="73">
        <v>22</v>
      </c>
      <c r="B26" s="206" t="s">
        <v>409</v>
      </c>
      <c r="C26" s="207" t="s">
        <v>355</v>
      </c>
      <c r="D26" s="29" t="s">
        <v>411</v>
      </c>
      <c r="E26" s="69">
        <v>45097.448217592595</v>
      </c>
      <c r="F26" s="70" t="s">
        <v>400</v>
      </c>
      <c r="G26" s="29" t="s">
        <v>455</v>
      </c>
      <c r="H26" s="22"/>
      <c r="I26" s="22"/>
      <c r="J26" s="80" t="s">
        <v>404</v>
      </c>
      <c r="K26" s="23">
        <v>45138.417256944442</v>
      </c>
      <c r="L26" s="22" t="s">
        <v>20</v>
      </c>
      <c r="M26" s="22" t="s">
        <v>28</v>
      </c>
      <c r="N26" s="57"/>
      <c r="O26" s="57"/>
      <c r="P26" s="57"/>
      <c r="Q26" s="61"/>
      <c r="R26" s="61"/>
      <c r="S26" s="61"/>
      <c r="T26" s="61"/>
      <c r="U26" s="61"/>
      <c r="V26" s="61"/>
      <c r="W26" s="61"/>
    </row>
    <row r="27" spans="1:23" s="25" customFormat="1" ht="25.5">
      <c r="A27" s="73">
        <v>23</v>
      </c>
      <c r="B27" s="206" t="s">
        <v>409</v>
      </c>
      <c r="C27" s="207" t="s">
        <v>355</v>
      </c>
      <c r="D27" s="18" t="s">
        <v>412</v>
      </c>
      <c r="E27" s="69">
        <v>45097.462233796294</v>
      </c>
      <c r="F27" s="70" t="s">
        <v>400</v>
      </c>
      <c r="G27" s="29" t="s">
        <v>455</v>
      </c>
      <c r="H27" s="22"/>
      <c r="I27" s="22"/>
      <c r="J27" s="80" t="s">
        <v>404</v>
      </c>
      <c r="K27" s="23">
        <v>45138.425000000003</v>
      </c>
      <c r="L27" s="22" t="s">
        <v>20</v>
      </c>
      <c r="M27" s="22" t="s">
        <v>28</v>
      </c>
      <c r="N27" s="57"/>
      <c r="O27" s="57"/>
      <c r="P27" s="57"/>
      <c r="Q27" s="61"/>
      <c r="R27" s="61"/>
      <c r="S27" s="61"/>
      <c r="T27" s="61"/>
      <c r="U27" s="61"/>
      <c r="V27" s="61"/>
      <c r="W27" s="61"/>
    </row>
    <row r="28" spans="1:23" s="25" customFormat="1" ht="25.5">
      <c r="A28" s="73">
        <v>24</v>
      </c>
      <c r="B28" s="206" t="s">
        <v>409</v>
      </c>
      <c r="C28" s="207" t="s">
        <v>355</v>
      </c>
      <c r="D28" s="18" t="s">
        <v>413</v>
      </c>
      <c r="E28" s="69">
        <v>45097.463136574072</v>
      </c>
      <c r="F28" s="70" t="s">
        <v>400</v>
      </c>
      <c r="G28" s="29" t="s">
        <v>455</v>
      </c>
      <c r="H28" s="22"/>
      <c r="I28" s="22"/>
      <c r="J28" s="80" t="s">
        <v>404</v>
      </c>
      <c r="K28" s="23">
        <v>45138.43608796296</v>
      </c>
      <c r="L28" s="22" t="s">
        <v>20</v>
      </c>
      <c r="M28" s="22" t="s">
        <v>28</v>
      </c>
      <c r="N28" s="57"/>
      <c r="O28" s="57"/>
      <c r="P28" s="57"/>
      <c r="Q28" s="61"/>
      <c r="R28" s="61"/>
      <c r="S28" s="61"/>
      <c r="T28" s="61"/>
      <c r="U28" s="61"/>
      <c r="V28" s="61"/>
      <c r="W28" s="61"/>
    </row>
    <row r="29" spans="1:23" s="25" customFormat="1" ht="25.5">
      <c r="A29" s="73">
        <v>25</v>
      </c>
      <c r="B29" s="206" t="s">
        <v>409</v>
      </c>
      <c r="C29" s="207" t="s">
        <v>355</v>
      </c>
      <c r="D29" s="18" t="s">
        <v>414</v>
      </c>
      <c r="E29" s="69">
        <v>45097.466087962966</v>
      </c>
      <c r="F29" s="70" t="s">
        <v>400</v>
      </c>
      <c r="G29" s="29" t="s">
        <v>455</v>
      </c>
      <c r="H29" s="22"/>
      <c r="I29" s="22"/>
      <c r="J29" s="80" t="s">
        <v>404</v>
      </c>
      <c r="K29" s="23">
        <v>45138.437962962962</v>
      </c>
      <c r="L29" s="22" t="s">
        <v>20</v>
      </c>
      <c r="M29" s="22" t="s">
        <v>28</v>
      </c>
      <c r="N29" s="57"/>
      <c r="O29" s="57"/>
      <c r="P29" s="57"/>
      <c r="Q29" s="61"/>
      <c r="R29" s="61"/>
      <c r="S29" s="61"/>
      <c r="T29" s="61"/>
      <c r="U29" s="61"/>
      <c r="V29" s="61"/>
      <c r="W29" s="61"/>
    </row>
    <row r="30" spans="1:23" s="25" customFormat="1" ht="25.5">
      <c r="A30" s="73">
        <v>26</v>
      </c>
      <c r="B30" s="206" t="s">
        <v>409</v>
      </c>
      <c r="C30" s="207" t="s">
        <v>355</v>
      </c>
      <c r="D30" s="18" t="s">
        <v>416</v>
      </c>
      <c r="E30" s="69">
        <v>45098.445914351854</v>
      </c>
      <c r="F30" s="70" t="s">
        <v>400</v>
      </c>
      <c r="G30" s="29" t="s">
        <v>455</v>
      </c>
      <c r="H30" s="22"/>
      <c r="I30" s="22"/>
      <c r="J30" s="22" t="s">
        <v>404</v>
      </c>
      <c r="K30" s="23">
        <v>45138.452002314814</v>
      </c>
      <c r="L30" s="22" t="s">
        <v>20</v>
      </c>
      <c r="M30" s="22" t="s">
        <v>28</v>
      </c>
      <c r="N30" s="57"/>
      <c r="O30" s="57"/>
      <c r="P30" s="57"/>
      <c r="Q30" s="61"/>
      <c r="R30" s="61"/>
      <c r="S30" s="61"/>
      <c r="T30" s="61"/>
      <c r="U30" s="61"/>
      <c r="V30" s="61"/>
      <c r="W30" s="61"/>
    </row>
    <row r="31" spans="1:23" s="25" customFormat="1" ht="25.5">
      <c r="A31" s="73">
        <v>27</v>
      </c>
      <c r="B31" s="206" t="s">
        <v>417</v>
      </c>
      <c r="C31" s="207" t="s">
        <v>355</v>
      </c>
      <c r="D31" s="18" t="s">
        <v>418</v>
      </c>
      <c r="E31" s="69">
        <v>45110</v>
      </c>
      <c r="F31" s="53" t="s">
        <v>419</v>
      </c>
      <c r="G31" s="29" t="s">
        <v>454</v>
      </c>
      <c r="H31" s="22"/>
      <c r="I31" s="22"/>
      <c r="J31" s="80" t="s">
        <v>404</v>
      </c>
      <c r="K31" s="23">
        <v>45138.455011574071</v>
      </c>
      <c r="L31" s="22" t="s">
        <v>20</v>
      </c>
      <c r="M31" s="22" t="s">
        <v>28</v>
      </c>
      <c r="N31" s="57"/>
      <c r="O31" s="57"/>
      <c r="P31" s="57"/>
      <c r="Q31" s="61"/>
      <c r="R31" s="61"/>
      <c r="S31" s="61"/>
      <c r="T31" s="61"/>
      <c r="U31" s="61"/>
      <c r="V31" s="61"/>
      <c r="W31" s="61"/>
    </row>
    <row r="32" spans="1:23" s="25" customFormat="1" ht="25.5">
      <c r="A32" s="73">
        <v>28</v>
      </c>
      <c r="B32" s="206" t="s">
        <v>417</v>
      </c>
      <c r="C32" s="207" t="s">
        <v>355</v>
      </c>
      <c r="D32" s="18" t="s">
        <v>423</v>
      </c>
      <c r="E32" s="69">
        <v>45111</v>
      </c>
      <c r="F32" s="53" t="s">
        <v>419</v>
      </c>
      <c r="G32" s="29" t="s">
        <v>455</v>
      </c>
      <c r="H32" s="22"/>
      <c r="I32" s="22"/>
      <c r="J32" s="22" t="s">
        <v>404</v>
      </c>
      <c r="K32" s="23">
        <v>45138.458078703705</v>
      </c>
      <c r="L32" s="22" t="s">
        <v>20</v>
      </c>
      <c r="M32" s="22" t="s">
        <v>28</v>
      </c>
      <c r="N32" s="57"/>
      <c r="O32" s="57"/>
      <c r="P32" s="57"/>
      <c r="Q32" s="61"/>
      <c r="R32" s="61"/>
      <c r="S32" s="61"/>
      <c r="T32" s="61"/>
      <c r="U32" s="61"/>
      <c r="V32" s="61"/>
      <c r="W32" s="61"/>
    </row>
    <row r="33" spans="1:23" s="25" customFormat="1" ht="25.5">
      <c r="A33" s="73">
        <v>29</v>
      </c>
      <c r="B33" s="206" t="s">
        <v>417</v>
      </c>
      <c r="C33" s="207" t="s">
        <v>355</v>
      </c>
      <c r="D33" s="29" t="s">
        <v>424</v>
      </c>
      <c r="E33" s="69">
        <v>45112</v>
      </c>
      <c r="F33" s="53" t="s">
        <v>419</v>
      </c>
      <c r="G33" s="29" t="s">
        <v>454</v>
      </c>
      <c r="H33" s="22"/>
      <c r="I33" s="22"/>
      <c r="J33" s="80" t="s">
        <v>404</v>
      </c>
      <c r="K33" s="23">
        <v>45138.470277777778</v>
      </c>
      <c r="L33" s="22" t="s">
        <v>20</v>
      </c>
      <c r="M33" s="22" t="s">
        <v>28</v>
      </c>
      <c r="N33" s="57"/>
      <c r="O33" s="57"/>
      <c r="P33" s="57"/>
      <c r="Q33" s="61"/>
      <c r="R33" s="61"/>
      <c r="S33" s="61"/>
      <c r="T33" s="61"/>
      <c r="U33" s="61"/>
      <c r="V33" s="61"/>
      <c r="W33" s="61"/>
    </row>
    <row r="34" spans="1:23" s="25" customFormat="1" ht="25.5">
      <c r="A34" s="73">
        <v>30</v>
      </c>
      <c r="B34" s="206" t="s">
        <v>417</v>
      </c>
      <c r="C34" s="207" t="s">
        <v>355</v>
      </c>
      <c r="D34" s="29" t="s">
        <v>425</v>
      </c>
      <c r="E34" s="69">
        <v>45113</v>
      </c>
      <c r="F34" s="53" t="s">
        <v>419</v>
      </c>
      <c r="G34" s="29" t="s">
        <v>456</v>
      </c>
      <c r="H34" s="22"/>
      <c r="I34" s="22"/>
      <c r="J34" s="80" t="s">
        <v>404</v>
      </c>
      <c r="K34" s="23">
        <v>45138.58079861111</v>
      </c>
      <c r="L34" s="22" t="s">
        <v>27</v>
      </c>
      <c r="M34" s="22" t="s">
        <v>28</v>
      </c>
      <c r="N34" s="57"/>
      <c r="O34" s="57"/>
      <c r="P34" s="57"/>
      <c r="Q34" s="61"/>
      <c r="R34" s="61"/>
      <c r="S34" s="61"/>
      <c r="T34" s="61"/>
      <c r="U34" s="61"/>
      <c r="V34" s="61"/>
      <c r="W34" s="61"/>
    </row>
    <row r="35" spans="1:23" s="25" customFormat="1" ht="25.5">
      <c r="A35" s="73">
        <v>31</v>
      </c>
      <c r="B35" s="206" t="s">
        <v>417</v>
      </c>
      <c r="C35" s="207" t="s">
        <v>355</v>
      </c>
      <c r="D35" s="29" t="s">
        <v>426</v>
      </c>
      <c r="E35" s="69">
        <v>45113</v>
      </c>
      <c r="F35" s="53" t="s">
        <v>419</v>
      </c>
      <c r="G35" s="29" t="s">
        <v>459</v>
      </c>
      <c r="H35" s="22"/>
      <c r="I35" s="22"/>
      <c r="J35" s="80" t="s">
        <v>393</v>
      </c>
      <c r="K35" s="23">
        <v>45138.580821759257</v>
      </c>
      <c r="L35" s="22" t="s">
        <v>27</v>
      </c>
      <c r="M35" s="22" t="s">
        <v>28</v>
      </c>
      <c r="N35" s="57"/>
      <c r="O35" s="57"/>
      <c r="P35" s="57"/>
      <c r="Q35" s="61"/>
      <c r="R35" s="61"/>
      <c r="S35" s="61"/>
      <c r="T35" s="61"/>
      <c r="U35" s="61"/>
      <c r="V35" s="61"/>
      <c r="W35" s="61"/>
    </row>
    <row r="36" spans="1:23" s="25" customFormat="1" ht="25.5">
      <c r="A36" s="73">
        <v>32</v>
      </c>
      <c r="B36" s="206" t="s">
        <v>417</v>
      </c>
      <c r="C36" s="207" t="s">
        <v>355</v>
      </c>
      <c r="D36" s="29" t="s">
        <v>427</v>
      </c>
      <c r="E36" s="69">
        <v>45113</v>
      </c>
      <c r="F36" s="53" t="s">
        <v>419</v>
      </c>
      <c r="G36" s="29" t="s">
        <v>456</v>
      </c>
      <c r="H36" s="22"/>
      <c r="I36" s="22"/>
      <c r="J36" s="80" t="s">
        <v>404</v>
      </c>
      <c r="K36" s="23">
        <v>45138.58085648148</v>
      </c>
      <c r="L36" s="22" t="s">
        <v>27</v>
      </c>
      <c r="M36" s="22" t="s">
        <v>28</v>
      </c>
      <c r="N36" s="57"/>
      <c r="O36" s="57"/>
      <c r="P36" s="57"/>
      <c r="Q36" s="61"/>
      <c r="R36" s="61"/>
      <c r="S36" s="61"/>
      <c r="T36" s="61"/>
      <c r="U36" s="61"/>
      <c r="V36" s="61"/>
      <c r="W36" s="61"/>
    </row>
    <row r="37" spans="1:23" s="25" customFormat="1" ht="38.25">
      <c r="A37" s="73">
        <v>33</v>
      </c>
      <c r="B37" s="206" t="s">
        <v>428</v>
      </c>
      <c r="C37" s="207" t="s">
        <v>355</v>
      </c>
      <c r="D37" s="29" t="s">
        <v>432</v>
      </c>
      <c r="E37" s="69">
        <v>45120.654467592591</v>
      </c>
      <c r="F37" s="70" t="s">
        <v>400</v>
      </c>
      <c r="G37" s="29" t="s">
        <v>457</v>
      </c>
      <c r="H37" s="22"/>
      <c r="I37" s="22"/>
      <c r="J37" s="22" t="s">
        <v>404</v>
      </c>
      <c r="K37" s="23">
        <v>45138.584074074075</v>
      </c>
      <c r="L37" s="22" t="s">
        <v>27</v>
      </c>
      <c r="M37" s="22" t="s">
        <v>28</v>
      </c>
      <c r="N37" s="57"/>
      <c r="O37" s="57"/>
      <c r="P37" s="57"/>
      <c r="Q37" s="61"/>
      <c r="R37" s="61"/>
      <c r="S37" s="61"/>
      <c r="T37" s="61"/>
      <c r="U37" s="61"/>
      <c r="V37" s="61"/>
      <c r="W37" s="61"/>
    </row>
    <row r="38" spans="1:23" s="25" customFormat="1" ht="38.25">
      <c r="A38" s="73">
        <v>34</v>
      </c>
      <c r="B38" s="206" t="s">
        <v>428</v>
      </c>
      <c r="C38" s="207" t="s">
        <v>355</v>
      </c>
      <c r="D38" s="18" t="s">
        <v>431</v>
      </c>
      <c r="E38" s="69">
        <v>45120.654687499999</v>
      </c>
      <c r="F38" s="70" t="s">
        <v>400</v>
      </c>
      <c r="G38" s="29" t="s">
        <v>457</v>
      </c>
      <c r="H38" s="22"/>
      <c r="I38" s="22"/>
      <c r="J38" s="22" t="s">
        <v>404</v>
      </c>
      <c r="K38" s="23">
        <v>45138.589270833334</v>
      </c>
      <c r="L38" s="22" t="s">
        <v>27</v>
      </c>
      <c r="M38" s="22" t="s">
        <v>28</v>
      </c>
      <c r="N38" s="57"/>
      <c r="O38" s="57"/>
      <c r="P38" s="57"/>
      <c r="Q38" s="61"/>
      <c r="R38" s="61"/>
      <c r="S38" s="61"/>
      <c r="T38" s="61"/>
      <c r="U38" s="61"/>
      <c r="V38" s="61"/>
      <c r="W38" s="61"/>
    </row>
    <row r="39" spans="1:23" s="25" customFormat="1" ht="38.25">
      <c r="A39" s="73">
        <v>35</v>
      </c>
      <c r="B39" s="206" t="s">
        <v>428</v>
      </c>
      <c r="C39" s="207" t="s">
        <v>355</v>
      </c>
      <c r="D39" s="18" t="s">
        <v>430</v>
      </c>
      <c r="E39" s="69">
        <v>45120.654791666668</v>
      </c>
      <c r="F39" s="70" t="s">
        <v>400</v>
      </c>
      <c r="G39" s="29" t="s">
        <v>457</v>
      </c>
      <c r="H39" s="22"/>
      <c r="I39" s="22"/>
      <c r="J39" s="22" t="s">
        <v>404</v>
      </c>
      <c r="K39" s="23">
        <v>45138.589317129627</v>
      </c>
      <c r="L39" s="22" t="s">
        <v>27</v>
      </c>
      <c r="M39" s="22" t="s">
        <v>28</v>
      </c>
      <c r="N39" s="57"/>
      <c r="O39" s="57"/>
      <c r="P39" s="57"/>
      <c r="Q39" s="61"/>
      <c r="R39" s="61"/>
      <c r="S39" s="61"/>
      <c r="T39" s="61"/>
      <c r="U39" s="61"/>
      <c r="V39" s="61"/>
      <c r="W39" s="61"/>
    </row>
    <row r="40" spans="1:23" s="25" customFormat="1" ht="51">
      <c r="A40" s="73">
        <v>36</v>
      </c>
      <c r="B40" s="206" t="s">
        <v>428</v>
      </c>
      <c r="C40" s="207" t="s">
        <v>355</v>
      </c>
      <c r="D40" s="18" t="s">
        <v>429</v>
      </c>
      <c r="E40" s="69">
        <v>45120.654942129629</v>
      </c>
      <c r="F40" s="70" t="s">
        <v>400</v>
      </c>
      <c r="G40" s="29" t="s">
        <v>457</v>
      </c>
      <c r="H40" s="22"/>
      <c r="I40" s="22"/>
      <c r="J40" s="22" t="s">
        <v>404</v>
      </c>
      <c r="K40" s="23">
        <v>45138.58934027778</v>
      </c>
      <c r="L40" s="22" t="s">
        <v>27</v>
      </c>
      <c r="M40" s="22" t="s">
        <v>28</v>
      </c>
      <c r="N40" s="57"/>
      <c r="O40" s="57"/>
      <c r="P40" s="57"/>
      <c r="Q40" s="61"/>
      <c r="R40" s="61"/>
      <c r="S40" s="61"/>
      <c r="T40" s="61"/>
      <c r="U40" s="61"/>
      <c r="V40" s="61"/>
      <c r="W40" s="61"/>
    </row>
    <row r="41" spans="1:23" s="25" customFormat="1" ht="63.75">
      <c r="A41" s="73">
        <v>37</v>
      </c>
      <c r="B41" s="206" t="s">
        <v>428</v>
      </c>
      <c r="C41" s="207" t="s">
        <v>355</v>
      </c>
      <c r="D41" s="29" t="s">
        <v>435</v>
      </c>
      <c r="E41" s="69">
        <v>45120.656365740739</v>
      </c>
      <c r="F41" s="70" t="s">
        <v>400</v>
      </c>
      <c r="G41" s="29" t="s">
        <v>460</v>
      </c>
      <c r="H41" s="22"/>
      <c r="I41" s="22"/>
      <c r="J41" s="80" t="s">
        <v>393</v>
      </c>
      <c r="K41" s="23">
        <v>45138.599791666667</v>
      </c>
      <c r="L41" s="22" t="s">
        <v>27</v>
      </c>
      <c r="M41" s="22" t="s">
        <v>28</v>
      </c>
      <c r="N41" s="57"/>
      <c r="O41" s="57"/>
      <c r="P41" s="57"/>
      <c r="Q41" s="61"/>
      <c r="R41" s="61"/>
      <c r="S41" s="61"/>
      <c r="T41" s="61"/>
      <c r="U41" s="61"/>
      <c r="V41" s="61"/>
      <c r="W41" s="61"/>
    </row>
    <row r="42" spans="1:23" s="25" customFormat="1" ht="63.75">
      <c r="A42" s="73">
        <v>38</v>
      </c>
      <c r="B42" s="206" t="s">
        <v>428</v>
      </c>
      <c r="C42" s="207" t="s">
        <v>355</v>
      </c>
      <c r="D42" s="18" t="s">
        <v>434</v>
      </c>
      <c r="E42" s="69">
        <v>45120.656458333331</v>
      </c>
      <c r="F42" s="70" t="s">
        <v>400</v>
      </c>
      <c r="G42" s="29" t="s">
        <v>461</v>
      </c>
      <c r="H42" s="22"/>
      <c r="I42" s="22"/>
      <c r="J42" s="80" t="s">
        <v>393</v>
      </c>
      <c r="K42" s="23">
        <v>45138.599814814814</v>
      </c>
      <c r="L42" s="22" t="s">
        <v>27</v>
      </c>
      <c r="M42" s="22" t="s">
        <v>28</v>
      </c>
      <c r="N42" s="57"/>
      <c r="O42" s="57"/>
      <c r="P42" s="57"/>
      <c r="Q42" s="61"/>
      <c r="R42" s="61"/>
      <c r="S42" s="61"/>
      <c r="T42" s="61"/>
      <c r="U42" s="61"/>
      <c r="V42" s="61"/>
      <c r="W42" s="61"/>
    </row>
    <row r="43" spans="1:23" s="25" customFormat="1" ht="76.5">
      <c r="A43" s="73">
        <v>39</v>
      </c>
      <c r="B43" s="206" t="s">
        <v>428</v>
      </c>
      <c r="C43" s="207" t="s">
        <v>355</v>
      </c>
      <c r="D43" s="18" t="s">
        <v>433</v>
      </c>
      <c r="E43" s="69">
        <v>45120.656527777777</v>
      </c>
      <c r="F43" s="70" t="s">
        <v>400</v>
      </c>
      <c r="G43" s="29" t="s">
        <v>462</v>
      </c>
      <c r="H43" s="22"/>
      <c r="I43" s="22"/>
      <c r="J43" s="80" t="s">
        <v>393</v>
      </c>
      <c r="K43" s="23">
        <v>45138.600081018521</v>
      </c>
      <c r="L43" s="22" t="s">
        <v>27</v>
      </c>
      <c r="M43" s="22" t="s">
        <v>28</v>
      </c>
      <c r="N43" s="57"/>
      <c r="O43" s="57"/>
      <c r="P43" s="57"/>
      <c r="Q43" s="61"/>
      <c r="R43" s="61"/>
      <c r="S43" s="61"/>
      <c r="T43" s="61"/>
      <c r="U43" s="61"/>
      <c r="V43" s="61"/>
      <c r="W43" s="61"/>
    </row>
    <row r="44" spans="1:23" s="25" customFormat="1" ht="25.5">
      <c r="A44" s="73">
        <v>40</v>
      </c>
      <c r="B44" s="206" t="s">
        <v>428</v>
      </c>
      <c r="C44" s="207" t="s">
        <v>355</v>
      </c>
      <c r="D44" s="18" t="s">
        <v>444</v>
      </c>
      <c r="E44" s="69">
        <v>45120.65829861111</v>
      </c>
      <c r="F44" s="70" t="s">
        <v>400</v>
      </c>
      <c r="G44" s="29" t="s">
        <v>463</v>
      </c>
      <c r="H44" s="22"/>
      <c r="I44" s="22"/>
      <c r="J44" s="80" t="s">
        <v>393</v>
      </c>
      <c r="K44" s="23">
        <v>45138.603229166663</v>
      </c>
      <c r="L44" s="22" t="s">
        <v>20</v>
      </c>
      <c r="M44" s="22" t="s">
        <v>28</v>
      </c>
      <c r="N44" s="57"/>
      <c r="O44" s="57"/>
      <c r="P44" s="57"/>
      <c r="Q44" s="61"/>
      <c r="R44" s="61"/>
      <c r="S44" s="61"/>
      <c r="T44" s="61"/>
      <c r="U44" s="61"/>
      <c r="V44" s="61"/>
      <c r="W44" s="61"/>
    </row>
    <row r="45" spans="1:23" s="25" customFormat="1" ht="25.5">
      <c r="A45" s="73">
        <v>41</v>
      </c>
      <c r="B45" s="206" t="s">
        <v>428</v>
      </c>
      <c r="C45" s="207" t="s">
        <v>355</v>
      </c>
      <c r="D45" s="18" t="s">
        <v>443</v>
      </c>
      <c r="E45" s="69">
        <v>45120.658483796295</v>
      </c>
      <c r="F45" s="70" t="s">
        <v>400</v>
      </c>
      <c r="G45" s="29" t="s">
        <v>463</v>
      </c>
      <c r="H45" s="22"/>
      <c r="I45" s="22"/>
      <c r="J45" s="80" t="s">
        <v>393</v>
      </c>
      <c r="K45" s="23">
        <v>45138.60324074074</v>
      </c>
      <c r="L45" s="22" t="s">
        <v>20</v>
      </c>
      <c r="M45" s="22" t="s">
        <v>28</v>
      </c>
      <c r="N45" s="57"/>
      <c r="O45" s="57"/>
      <c r="P45" s="57"/>
      <c r="Q45" s="61"/>
      <c r="R45" s="61"/>
      <c r="S45" s="61"/>
      <c r="T45" s="61"/>
      <c r="U45" s="61"/>
      <c r="V45" s="61"/>
      <c r="W45" s="61"/>
    </row>
    <row r="46" spans="1:23" s="25" customFormat="1" ht="25.5">
      <c r="A46" s="73">
        <v>42</v>
      </c>
      <c r="B46" s="206" t="s">
        <v>428</v>
      </c>
      <c r="C46" s="207" t="s">
        <v>355</v>
      </c>
      <c r="D46" s="18" t="s">
        <v>442</v>
      </c>
      <c r="E46" s="69">
        <v>45120.658587962964</v>
      </c>
      <c r="F46" s="70" t="s">
        <v>400</v>
      </c>
      <c r="G46" s="29" t="s">
        <v>463</v>
      </c>
      <c r="H46" s="22"/>
      <c r="I46" s="22"/>
      <c r="J46" s="80" t="s">
        <v>393</v>
      </c>
      <c r="K46" s="23">
        <v>45138.60324074074</v>
      </c>
      <c r="L46" s="22" t="s">
        <v>20</v>
      </c>
      <c r="M46" s="22" t="s">
        <v>28</v>
      </c>
      <c r="N46" s="57"/>
      <c r="O46" s="57"/>
      <c r="P46" s="57"/>
      <c r="Q46" s="61"/>
      <c r="R46" s="61"/>
      <c r="S46" s="61"/>
      <c r="T46" s="61"/>
      <c r="U46" s="61"/>
      <c r="V46" s="61"/>
      <c r="W46" s="61"/>
    </row>
    <row r="47" spans="1:23" s="25" customFormat="1" ht="38.25">
      <c r="A47" s="73">
        <v>43</v>
      </c>
      <c r="B47" s="206" t="s">
        <v>428</v>
      </c>
      <c r="C47" s="207" t="s">
        <v>355</v>
      </c>
      <c r="D47" s="18" t="s">
        <v>441</v>
      </c>
      <c r="E47" s="69">
        <v>45120.658726851849</v>
      </c>
      <c r="F47" s="70" t="s">
        <v>400</v>
      </c>
      <c r="G47" s="29" t="s">
        <v>463</v>
      </c>
      <c r="H47" s="22"/>
      <c r="I47" s="22"/>
      <c r="J47" s="80" t="s">
        <v>393</v>
      </c>
      <c r="K47" s="23">
        <v>45138.603252314817</v>
      </c>
      <c r="L47" s="22" t="s">
        <v>20</v>
      </c>
      <c r="M47" s="22" t="s">
        <v>28</v>
      </c>
      <c r="N47" s="57"/>
      <c r="O47" s="57"/>
      <c r="P47" s="57"/>
      <c r="Q47" s="61"/>
      <c r="R47" s="61"/>
      <c r="S47" s="61"/>
      <c r="T47" s="61"/>
      <c r="U47" s="61"/>
      <c r="V47" s="61"/>
      <c r="W47" s="61"/>
    </row>
    <row r="48" spans="1:23" s="25" customFormat="1">
      <c r="A48" s="73">
        <v>44</v>
      </c>
      <c r="B48" s="206" t="s">
        <v>428</v>
      </c>
      <c r="C48" s="207" t="s">
        <v>355</v>
      </c>
      <c r="D48" s="18" t="s">
        <v>436</v>
      </c>
      <c r="E48" s="69">
        <v>45120.658842592595</v>
      </c>
      <c r="F48" s="70" t="s">
        <v>400</v>
      </c>
      <c r="G48" s="29" t="s">
        <v>464</v>
      </c>
      <c r="H48" s="22"/>
      <c r="I48" s="22"/>
      <c r="J48" s="80" t="s">
        <v>393</v>
      </c>
      <c r="K48" s="23">
        <v>45138.604120370372</v>
      </c>
      <c r="L48" s="22" t="s">
        <v>20</v>
      </c>
      <c r="M48" s="22" t="s">
        <v>28</v>
      </c>
      <c r="N48" s="57"/>
      <c r="O48" s="57"/>
      <c r="P48" s="57"/>
      <c r="Q48" s="61"/>
      <c r="R48" s="61"/>
      <c r="S48" s="61"/>
      <c r="T48" s="61"/>
      <c r="U48" s="61"/>
      <c r="V48" s="61"/>
      <c r="W48" s="61"/>
    </row>
    <row r="49" spans="1:23" s="25" customFormat="1" ht="25.5">
      <c r="A49" s="73">
        <v>45</v>
      </c>
      <c r="B49" s="206" t="s">
        <v>428</v>
      </c>
      <c r="C49" s="207" t="s">
        <v>355</v>
      </c>
      <c r="D49" s="18" t="s">
        <v>440</v>
      </c>
      <c r="E49" s="69">
        <v>45120.662928240738</v>
      </c>
      <c r="F49" s="70" t="s">
        <v>400</v>
      </c>
      <c r="G49" s="29" t="s">
        <v>455</v>
      </c>
      <c r="H49" s="22"/>
      <c r="I49" s="22"/>
      <c r="J49" s="22" t="s">
        <v>404</v>
      </c>
      <c r="K49" s="23">
        <v>45138.486122685186</v>
      </c>
      <c r="L49" s="22" t="s">
        <v>20</v>
      </c>
      <c r="M49" s="22" t="s">
        <v>28</v>
      </c>
      <c r="N49" s="57"/>
      <c r="O49" s="57"/>
      <c r="P49" s="57"/>
      <c r="Q49" s="61"/>
      <c r="R49" s="61"/>
      <c r="S49" s="61"/>
      <c r="T49" s="61"/>
      <c r="U49" s="61"/>
      <c r="V49" s="61"/>
      <c r="W49" s="61"/>
    </row>
    <row r="50" spans="1:23" s="25" customFormat="1" ht="25.5">
      <c r="A50" s="73">
        <v>46</v>
      </c>
      <c r="B50" s="206" t="s">
        <v>428</v>
      </c>
      <c r="C50" s="207" t="s">
        <v>355</v>
      </c>
      <c r="D50" s="18" t="s">
        <v>439</v>
      </c>
      <c r="E50" s="69">
        <v>45120.66306712963</v>
      </c>
      <c r="F50" s="70" t="s">
        <v>400</v>
      </c>
      <c r="G50" s="29" t="s">
        <v>20</v>
      </c>
      <c r="H50" s="22"/>
      <c r="I50" s="22"/>
      <c r="J50" s="22" t="s">
        <v>393</v>
      </c>
      <c r="K50" s="23">
        <v>45138.612650462965</v>
      </c>
      <c r="L50" s="22" t="s">
        <v>20</v>
      </c>
      <c r="M50" s="22" t="s">
        <v>28</v>
      </c>
      <c r="N50" s="57"/>
      <c r="O50" s="57"/>
      <c r="P50" s="57"/>
      <c r="Q50" s="61"/>
      <c r="R50" s="61"/>
      <c r="S50" s="61"/>
      <c r="T50" s="61"/>
      <c r="U50" s="61"/>
      <c r="V50" s="61"/>
      <c r="W50" s="61"/>
    </row>
    <row r="51" spans="1:23" s="25" customFormat="1" ht="38.25">
      <c r="A51" s="73">
        <v>47</v>
      </c>
      <c r="B51" s="206" t="s">
        <v>428</v>
      </c>
      <c r="C51" s="207" t="s">
        <v>355</v>
      </c>
      <c r="D51" s="18" t="s">
        <v>438</v>
      </c>
      <c r="E51" s="69">
        <v>45120.663090277776</v>
      </c>
      <c r="F51" s="70" t="s">
        <v>400</v>
      </c>
      <c r="G51" s="29" t="s">
        <v>20</v>
      </c>
      <c r="H51" s="22"/>
      <c r="I51" s="22"/>
      <c r="J51" s="22" t="s">
        <v>393</v>
      </c>
      <c r="K51" s="23">
        <v>45138.612650462965</v>
      </c>
      <c r="L51" s="22" t="s">
        <v>20</v>
      </c>
      <c r="M51" s="22" t="s">
        <v>28</v>
      </c>
      <c r="N51" s="57"/>
      <c r="O51" s="57"/>
      <c r="P51" s="57"/>
      <c r="Q51" s="61"/>
      <c r="R51" s="61"/>
      <c r="S51" s="61"/>
      <c r="T51" s="61"/>
      <c r="U51" s="61"/>
      <c r="V51" s="61"/>
      <c r="W51" s="61"/>
    </row>
    <row r="52" spans="1:23" s="25" customFormat="1" ht="25.5">
      <c r="A52" s="73">
        <v>48</v>
      </c>
      <c r="B52" s="206" t="s">
        <v>428</v>
      </c>
      <c r="C52" s="207" t="s">
        <v>355</v>
      </c>
      <c r="D52" s="18" t="s">
        <v>437</v>
      </c>
      <c r="E52" s="69">
        <v>45120.663344907407</v>
      </c>
      <c r="F52" s="70" t="s">
        <v>400</v>
      </c>
      <c r="G52" s="29" t="s">
        <v>20</v>
      </c>
      <c r="H52" s="22"/>
      <c r="I52" s="22"/>
      <c r="J52" s="22" t="s">
        <v>393</v>
      </c>
      <c r="K52" s="23">
        <v>45138.612650462965</v>
      </c>
      <c r="L52" s="22" t="s">
        <v>20</v>
      </c>
      <c r="M52" s="22" t="s">
        <v>28</v>
      </c>
      <c r="N52" s="57"/>
      <c r="O52" s="57"/>
      <c r="P52" s="57"/>
      <c r="Q52" s="61"/>
      <c r="R52" s="61"/>
      <c r="S52" s="61"/>
      <c r="T52" s="61"/>
      <c r="U52" s="61"/>
      <c r="V52" s="61"/>
      <c r="W52" s="61"/>
    </row>
    <row r="53" spans="1:23" s="25" customFormat="1" ht="25.5">
      <c r="A53" s="73">
        <v>49</v>
      </c>
      <c r="B53" s="206" t="s">
        <v>428</v>
      </c>
      <c r="C53" s="207" t="s">
        <v>355</v>
      </c>
      <c r="D53" s="29" t="s">
        <v>452</v>
      </c>
      <c r="E53" s="69">
        <v>45120.66443287037</v>
      </c>
      <c r="F53" s="70" t="s">
        <v>400</v>
      </c>
      <c r="G53" s="29" t="s">
        <v>20</v>
      </c>
      <c r="H53" s="22"/>
      <c r="I53" s="22"/>
      <c r="J53" s="22" t="s">
        <v>393</v>
      </c>
      <c r="K53" s="23">
        <v>45138.612662037034</v>
      </c>
      <c r="L53" s="22" t="s">
        <v>20</v>
      </c>
      <c r="M53" s="22" t="s">
        <v>28</v>
      </c>
      <c r="N53" s="57"/>
      <c r="O53" s="57"/>
      <c r="P53" s="57"/>
      <c r="Q53" s="61"/>
      <c r="R53" s="61"/>
      <c r="S53" s="61"/>
      <c r="T53" s="61"/>
      <c r="U53" s="61"/>
      <c r="V53" s="61"/>
      <c r="W53" s="61"/>
    </row>
    <row r="54" spans="1:23" s="25" customFormat="1" ht="25.5">
      <c r="A54" s="73">
        <v>50</v>
      </c>
      <c r="B54" s="206" t="s">
        <v>428</v>
      </c>
      <c r="C54" s="207" t="s">
        <v>355</v>
      </c>
      <c r="D54" s="18" t="s">
        <v>445</v>
      </c>
      <c r="E54" s="69">
        <v>45120.664965277778</v>
      </c>
      <c r="F54" s="70" t="s">
        <v>400</v>
      </c>
      <c r="G54" s="29" t="s">
        <v>20</v>
      </c>
      <c r="H54" s="22"/>
      <c r="I54" s="22"/>
      <c r="J54" s="22" t="s">
        <v>393</v>
      </c>
      <c r="K54" s="23">
        <v>45138.612673611111</v>
      </c>
      <c r="L54" s="22" t="s">
        <v>20</v>
      </c>
      <c r="M54" s="22" t="s">
        <v>28</v>
      </c>
      <c r="N54" s="57"/>
      <c r="O54" s="57"/>
      <c r="P54" s="57"/>
      <c r="Q54" s="61"/>
      <c r="R54" s="61"/>
      <c r="S54" s="61"/>
      <c r="T54" s="61"/>
      <c r="U54" s="61"/>
      <c r="V54" s="61"/>
      <c r="W54" s="61"/>
    </row>
    <row r="55" spans="1:23" s="25" customFormat="1" ht="38.25">
      <c r="A55" s="73">
        <v>51</v>
      </c>
      <c r="B55" s="206" t="s">
        <v>428</v>
      </c>
      <c r="C55" s="207" t="s">
        <v>355</v>
      </c>
      <c r="D55" s="18" t="s">
        <v>447</v>
      </c>
      <c r="E55" s="69">
        <v>45125.49591435185</v>
      </c>
      <c r="F55" s="70" t="s">
        <v>400</v>
      </c>
      <c r="G55" s="29" t="s">
        <v>20</v>
      </c>
      <c r="H55" s="22"/>
      <c r="I55" s="22"/>
      <c r="J55" s="22" t="s">
        <v>393</v>
      </c>
      <c r="K55" s="23">
        <v>45138.613761574074</v>
      </c>
      <c r="L55" s="22" t="s">
        <v>20</v>
      </c>
      <c r="M55" s="22" t="s">
        <v>28</v>
      </c>
      <c r="N55" s="57"/>
      <c r="O55" s="57"/>
      <c r="P55" s="57"/>
      <c r="Q55" s="61"/>
      <c r="R55" s="61"/>
      <c r="S55" s="61"/>
      <c r="T55" s="61"/>
      <c r="U55" s="61"/>
      <c r="V55" s="61"/>
      <c r="W55" s="61"/>
    </row>
    <row r="56" spans="1:23" s="25" customFormat="1" ht="38.25">
      <c r="A56" s="73">
        <v>52</v>
      </c>
      <c r="B56" s="206" t="s">
        <v>428</v>
      </c>
      <c r="C56" s="207" t="s">
        <v>355</v>
      </c>
      <c r="D56" s="29" t="s">
        <v>448</v>
      </c>
      <c r="E56" s="69">
        <v>45125.503506944442</v>
      </c>
      <c r="F56" s="70" t="s">
        <v>400</v>
      </c>
      <c r="G56" s="29" t="s">
        <v>465</v>
      </c>
      <c r="H56" s="22"/>
      <c r="I56" s="22"/>
      <c r="J56" s="80" t="s">
        <v>393</v>
      </c>
      <c r="K56" s="23">
        <v>45138.614224537036</v>
      </c>
      <c r="L56" s="22" t="s">
        <v>27</v>
      </c>
      <c r="M56" s="22" t="s">
        <v>28</v>
      </c>
      <c r="N56" s="57"/>
      <c r="O56" s="57"/>
      <c r="P56" s="57"/>
      <c r="Q56" s="61"/>
      <c r="R56" s="61"/>
      <c r="S56" s="61"/>
      <c r="T56" s="61"/>
      <c r="U56" s="61"/>
      <c r="V56" s="61"/>
      <c r="W56" s="61"/>
    </row>
    <row r="57" spans="1:23" s="25" customFormat="1" ht="25.5">
      <c r="A57" s="73">
        <v>53</v>
      </c>
      <c r="B57" s="206" t="s">
        <v>428</v>
      </c>
      <c r="C57" s="207" t="s">
        <v>355</v>
      </c>
      <c r="D57" s="29" t="s">
        <v>449</v>
      </c>
      <c r="E57" s="69">
        <v>45125.567893518521</v>
      </c>
      <c r="F57" s="70" t="s">
        <v>400</v>
      </c>
      <c r="G57" s="29" t="s">
        <v>20</v>
      </c>
      <c r="H57" s="22"/>
      <c r="I57" s="22"/>
      <c r="J57" s="80" t="s">
        <v>393</v>
      </c>
      <c r="K57" s="23">
        <v>45138.61513888889</v>
      </c>
      <c r="L57" s="22" t="s">
        <v>20</v>
      </c>
      <c r="M57" s="22" t="s">
        <v>28</v>
      </c>
      <c r="N57" s="57"/>
      <c r="O57" s="57"/>
      <c r="P57" s="57"/>
      <c r="Q57" s="61"/>
      <c r="R57" s="61"/>
      <c r="S57" s="61"/>
      <c r="T57" s="61"/>
      <c r="U57" s="61"/>
      <c r="V57" s="61"/>
      <c r="W57" s="61"/>
    </row>
    <row r="58" spans="1:23" s="25" customFormat="1" ht="38.25">
      <c r="A58" s="73">
        <v>54</v>
      </c>
      <c r="B58" s="206" t="s">
        <v>428</v>
      </c>
      <c r="C58" s="207" t="s">
        <v>355</v>
      </c>
      <c r="D58" s="29" t="s">
        <v>450</v>
      </c>
      <c r="E58" s="69">
        <v>45125.618310185186</v>
      </c>
      <c r="F58" s="70" t="s">
        <v>400</v>
      </c>
      <c r="G58" s="29" t="s">
        <v>466</v>
      </c>
      <c r="H58" s="22"/>
      <c r="I58" s="22"/>
      <c r="J58" s="80" t="s">
        <v>393</v>
      </c>
      <c r="K58" s="23">
        <v>45138.615312499998</v>
      </c>
      <c r="L58" s="22" t="s">
        <v>27</v>
      </c>
      <c r="M58" s="22" t="s">
        <v>28</v>
      </c>
      <c r="N58" s="57"/>
      <c r="O58" s="57"/>
      <c r="P58" s="57"/>
      <c r="Q58" s="61"/>
      <c r="R58" s="61"/>
      <c r="S58" s="61"/>
      <c r="T58" s="61"/>
      <c r="U58" s="61"/>
      <c r="V58" s="61"/>
      <c r="W58" s="61"/>
    </row>
    <row r="59" spans="1:23" s="25" customFormat="1" ht="25.5">
      <c r="A59" s="73">
        <v>55</v>
      </c>
      <c r="B59" s="206" t="s">
        <v>428</v>
      </c>
      <c r="C59" s="207" t="s">
        <v>355</v>
      </c>
      <c r="D59" s="29" t="s">
        <v>451</v>
      </c>
      <c r="E59" s="69">
        <v>45125.619467592594</v>
      </c>
      <c r="F59" s="70" t="s">
        <v>400</v>
      </c>
      <c r="G59" s="29" t="s">
        <v>458</v>
      </c>
      <c r="H59" s="22"/>
      <c r="I59" s="22"/>
      <c r="J59" s="80" t="s">
        <v>404</v>
      </c>
      <c r="K59" s="23">
        <v>45138.591296296298</v>
      </c>
      <c r="L59" s="22" t="s">
        <v>20</v>
      </c>
      <c r="M59" s="22" t="s">
        <v>28</v>
      </c>
      <c r="N59" s="57"/>
      <c r="O59" s="57"/>
      <c r="P59" s="57"/>
      <c r="Q59" s="61"/>
      <c r="R59" s="61"/>
      <c r="S59" s="61"/>
      <c r="T59" s="61"/>
      <c r="U59" s="61"/>
      <c r="V59" s="61"/>
      <c r="W59" s="61"/>
    </row>
    <row r="60" spans="1:23" s="25" customFormat="1">
      <c r="A60" s="73">
        <v>56</v>
      </c>
      <c r="B60" s="206" t="s">
        <v>467</v>
      </c>
      <c r="C60" s="207" t="s">
        <v>355</v>
      </c>
      <c r="D60" s="18" t="s">
        <v>468</v>
      </c>
      <c r="E60" s="69">
        <v>45138.615868055553</v>
      </c>
      <c r="F60" s="70" t="s">
        <v>393</v>
      </c>
      <c r="G60" s="18"/>
      <c r="H60" s="22"/>
      <c r="I60" s="22"/>
      <c r="J60" s="80" t="s">
        <v>404</v>
      </c>
      <c r="K60" s="23">
        <v>45138.615925925929</v>
      </c>
      <c r="L60" s="22" t="s">
        <v>27</v>
      </c>
      <c r="M60" s="22" t="s">
        <v>28</v>
      </c>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0" type="noConversion"/>
  <conditionalFormatting sqref="L205:L65536 P1:P2">
    <cfRule type="cellIs" dxfId="457" priority="7" stopIfTrue="1" operator="equal">
      <formula>"Fixed"</formula>
    </cfRule>
    <cfRule type="cellIs" dxfId="456" priority="8" stopIfTrue="1" operator="equal">
      <formula>"Open"</formula>
    </cfRule>
  </conditionalFormatting>
  <conditionalFormatting sqref="L4">
    <cfRule type="cellIs" dxfId="455" priority="9" stopIfTrue="1" operator="equal">
      <formula>"Open"</formula>
    </cfRule>
    <cfRule type="cellIs" dxfId="454" priority="10" stopIfTrue="1" operator="equal">
      <formula>"Fixed"</formula>
    </cfRule>
  </conditionalFormatting>
  <conditionalFormatting sqref="L5:L204">
    <cfRule type="expression" dxfId="453" priority="11" stopIfTrue="1">
      <formula>AND($M5="Approved",$L5="Fixed")</formula>
    </cfRule>
    <cfRule type="cellIs" dxfId="452" priority="12" stopIfTrue="1" operator="equal">
      <formula>"Fixed"</formula>
    </cfRule>
    <cfRule type="cellIs" dxfId="451" priority="13" stopIfTrue="1" operator="equal">
      <formula>"Open"</formula>
    </cfRule>
  </conditionalFormatting>
  <conditionalFormatting sqref="M5:M204">
    <cfRule type="expression" dxfId="450" priority="14" stopIfTrue="1">
      <formula>OR(M5="Fixed",M5="Approved")</formula>
    </cfRule>
    <cfRule type="cellIs" dxfId="449" priority="15" stopIfTrue="1" operator="equal">
      <formula>"Rejected"</formula>
    </cfRule>
  </conditionalFormatting>
  <conditionalFormatting sqref="A3">
    <cfRule type="expression" dxfId="448" priority="1" stopIfTrue="1">
      <formula>$X$2=1</formula>
    </cfRule>
    <cfRule type="expression" dxfId="447" priority="2" stopIfTrue="1">
      <formula>$Y$2=1</formula>
    </cfRule>
    <cfRule type="expression" dxfId="446" priority="4" stopIfTrue="1">
      <formula>$AA$2=1</formula>
    </cfRule>
  </conditionalFormatting>
  <conditionalFormatting sqref="A3:C3">
    <cfRule type="expression" dxfId="445" priority="3" stopIfTrue="1">
      <formula>$Z$2=1</formula>
    </cfRule>
  </conditionalFormatting>
  <conditionalFormatting sqref="A5:K21 E24:F24 K49:K55 A61:K204 D25:F31 A22:F23 H47:K48 H56:K56 H49:I55 G22:K31 D32:K46 D47:G56 A24:A60 D57:K60">
    <cfRule type="expression" dxfId="444"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O51"/>
  <sheetViews>
    <sheetView zoomScale="130" zoomScaleNormal="130" workbookViewId="0">
      <pane xSplit="1" ySplit="3" topLeftCell="B10" activePane="bottomRight" state="frozen"/>
      <selection pane="topRight" activeCell="B1" sqref="B1"/>
      <selection pane="bottomLeft" activeCell="A4" sqref="A4"/>
      <selection pane="bottomRight" activeCell="K3" sqref="K3"/>
    </sheetView>
  </sheetViews>
  <sheetFormatPr defaultColWidth="9.28515625" defaultRowHeight="12.75" outlineLevelCol="1"/>
  <cols>
    <col min="1" max="1" width="12.7109375" style="159" bestFit="1" customWidth="1"/>
    <col min="2" max="2" width="61" style="158" customWidth="1"/>
    <col min="3" max="5" width="6.28515625" style="157" bestFit="1" customWidth="1"/>
    <col min="6" max="11" width="6.28515625" style="157" customWidth="1"/>
    <col min="12" max="12" width="33.7109375" style="157" customWidth="1"/>
    <col min="13" max="14" width="30.7109375" style="157" customWidth="1" outlineLevel="1"/>
    <col min="15" max="16384" width="9.28515625" style="157"/>
  </cols>
  <sheetData>
    <row r="2" spans="1:15" ht="87.75" customHeight="1">
      <c r="A2" s="179" t="s">
        <v>217</v>
      </c>
      <c r="B2" s="180" t="s">
        <v>239</v>
      </c>
      <c r="C2" s="181" t="s">
        <v>366</v>
      </c>
      <c r="D2" s="181" t="s">
        <v>363</v>
      </c>
      <c r="E2" s="181" t="s">
        <v>373</v>
      </c>
      <c r="F2" s="181" t="s">
        <v>397</v>
      </c>
      <c r="G2" s="181" t="s">
        <v>401</v>
      </c>
      <c r="H2" s="181" t="s">
        <v>408</v>
      </c>
      <c r="I2" s="181" t="s">
        <v>420</v>
      </c>
      <c r="J2" s="181" t="s">
        <v>446</v>
      </c>
      <c r="K2" s="181" t="s">
        <v>469</v>
      </c>
      <c r="L2" s="182" t="s">
        <v>232</v>
      </c>
      <c r="M2" s="324" t="s">
        <v>186</v>
      </c>
      <c r="N2" s="325"/>
    </row>
    <row r="3" spans="1:15" ht="18.75">
      <c r="A3" s="183"/>
      <c r="B3" s="184"/>
      <c r="C3" s="185">
        <f t="shared" ref="C3:J3" si="0">COUNTIF(C5:C51,"Yes") / ( COUNTA(Review.QuestionIds) - COUNTIF(C5:C51,"NA"))</f>
        <v>0.60606060606060608</v>
      </c>
      <c r="D3" s="185">
        <f t="shared" si="0"/>
        <v>0.60606060606060608</v>
      </c>
      <c r="E3" s="185">
        <f t="shared" si="0"/>
        <v>0.60606060606060608</v>
      </c>
      <c r="F3" s="185">
        <f t="shared" si="0"/>
        <v>1</v>
      </c>
      <c r="G3" s="185">
        <f t="shared" si="0"/>
        <v>1</v>
      </c>
      <c r="H3" s="185">
        <f t="shared" ref="H3:I3" si="1">COUNTIF(H5:H51,"Yes") / ( COUNTA(Review.QuestionIds) - COUNTIF(H5:H51,"NA"))</f>
        <v>1</v>
      </c>
      <c r="I3" s="185">
        <f t="shared" si="1"/>
        <v>1</v>
      </c>
      <c r="J3" s="185">
        <f t="shared" si="0"/>
        <v>1</v>
      </c>
      <c r="K3" s="185">
        <f t="shared" ref="K3" si="2">COUNTIF(K5:K51,"Yes") / ( COUNTA(Review.QuestionIds) - COUNTIF(K5:K51,"NA"))</f>
        <v>1</v>
      </c>
      <c r="L3" s="190"/>
      <c r="M3" s="198" t="s">
        <v>222</v>
      </c>
      <c r="N3" s="198" t="s">
        <v>223</v>
      </c>
      <c r="O3" s="191"/>
    </row>
    <row r="4" spans="1:15" ht="36">
      <c r="A4" s="186"/>
      <c r="B4" s="187" t="s">
        <v>237</v>
      </c>
      <c r="C4" s="188"/>
      <c r="D4" s="188"/>
      <c r="E4" s="188"/>
      <c r="F4" s="188"/>
      <c r="G4" s="188"/>
      <c r="H4" s="188"/>
      <c r="I4" s="188"/>
      <c r="J4" s="188"/>
      <c r="K4" s="188"/>
      <c r="L4" s="188"/>
      <c r="M4" s="188"/>
      <c r="N4" s="189"/>
      <c r="O4" s="25"/>
    </row>
    <row r="5" spans="1:15" ht="18.75">
      <c r="A5" s="160"/>
      <c r="B5" s="165" t="s">
        <v>231</v>
      </c>
      <c r="C5" s="161"/>
      <c r="D5" s="161"/>
      <c r="E5" s="161"/>
      <c r="F5" s="161"/>
      <c r="G5" s="161"/>
      <c r="H5" s="161"/>
      <c r="I5" s="161"/>
      <c r="J5" s="161"/>
      <c r="K5" s="161"/>
      <c r="L5" s="161"/>
      <c r="M5" s="198"/>
      <c r="N5" s="198"/>
    </row>
    <row r="6" spans="1:15" ht="38.25">
      <c r="A6" s="163" t="s">
        <v>327</v>
      </c>
      <c r="B6" s="168" t="s">
        <v>238</v>
      </c>
      <c r="C6" s="192" t="s">
        <v>216</v>
      </c>
      <c r="D6" s="192" t="s">
        <v>216</v>
      </c>
      <c r="E6" s="192" t="s">
        <v>216</v>
      </c>
      <c r="F6" s="192" t="s">
        <v>216</v>
      </c>
      <c r="G6" s="192" t="s">
        <v>216</v>
      </c>
      <c r="H6" s="192" t="s">
        <v>216</v>
      </c>
      <c r="I6" s="192" t="s">
        <v>216</v>
      </c>
      <c r="J6" s="192" t="s">
        <v>216</v>
      </c>
      <c r="K6" s="192" t="s">
        <v>216</v>
      </c>
      <c r="L6" s="193"/>
      <c r="M6" s="162"/>
      <c r="N6" s="162"/>
    </row>
    <row r="7" spans="1:15" ht="18.75">
      <c r="A7" s="160"/>
      <c r="B7" s="165" t="s">
        <v>224</v>
      </c>
      <c r="C7" s="161"/>
      <c r="D7" s="161"/>
      <c r="E7" s="161"/>
      <c r="F7" s="161"/>
      <c r="G7" s="161"/>
      <c r="H7" s="161"/>
      <c r="I7" s="161"/>
      <c r="J7" s="161"/>
      <c r="K7" s="161"/>
      <c r="L7" s="161"/>
      <c r="M7" s="198"/>
      <c r="N7" s="198"/>
    </row>
    <row r="8" spans="1:15" ht="25.5">
      <c r="A8" s="163" t="s">
        <v>325</v>
      </c>
      <c r="B8" s="168" t="s">
        <v>253</v>
      </c>
      <c r="C8" s="192" t="s">
        <v>216</v>
      </c>
      <c r="D8" s="192" t="s">
        <v>216</v>
      </c>
      <c r="E8" s="192" t="s">
        <v>216</v>
      </c>
      <c r="F8" s="192" t="s">
        <v>216</v>
      </c>
      <c r="G8" s="192" t="s">
        <v>216</v>
      </c>
      <c r="H8" s="192" t="s">
        <v>216</v>
      </c>
      <c r="I8" s="192" t="s">
        <v>216</v>
      </c>
      <c r="J8" s="192" t="s">
        <v>216</v>
      </c>
      <c r="K8" s="192" t="s">
        <v>216</v>
      </c>
      <c r="L8" s="193"/>
      <c r="M8" s="162"/>
      <c r="N8" s="162"/>
    </row>
    <row r="9" spans="1:15" ht="76.5">
      <c r="A9" s="163" t="s">
        <v>326</v>
      </c>
      <c r="B9" s="168" t="s">
        <v>254</v>
      </c>
      <c r="C9" s="192" t="s">
        <v>23</v>
      </c>
      <c r="D9" s="192" t="s">
        <v>23</v>
      </c>
      <c r="E9" s="192" t="s">
        <v>23</v>
      </c>
      <c r="F9" s="192" t="s">
        <v>216</v>
      </c>
      <c r="G9" s="192" t="s">
        <v>216</v>
      </c>
      <c r="H9" s="192" t="s">
        <v>216</v>
      </c>
      <c r="I9" s="192" t="s">
        <v>216</v>
      </c>
      <c r="J9" s="192" t="s">
        <v>216</v>
      </c>
      <c r="K9" s="192" t="s">
        <v>216</v>
      </c>
      <c r="L9" s="193" t="s">
        <v>354</v>
      </c>
      <c r="M9" s="164" t="s">
        <v>255</v>
      </c>
      <c r="N9" s="162"/>
    </row>
    <row r="10" spans="1:15" ht="18.75">
      <c r="A10" s="160"/>
      <c r="B10" s="165" t="s">
        <v>225</v>
      </c>
      <c r="C10" s="161"/>
      <c r="D10" s="161"/>
      <c r="E10" s="161"/>
      <c r="F10" s="161"/>
      <c r="G10" s="161"/>
      <c r="H10" s="161"/>
      <c r="I10" s="161"/>
      <c r="J10" s="161"/>
      <c r="K10" s="161"/>
      <c r="L10" s="161"/>
      <c r="M10" s="198"/>
      <c r="N10" s="198"/>
    </row>
    <row r="11" spans="1:15" ht="38.25">
      <c r="A11" s="163" t="s">
        <v>331</v>
      </c>
      <c r="B11" s="168" t="s">
        <v>257</v>
      </c>
      <c r="C11" s="192" t="s">
        <v>23</v>
      </c>
      <c r="D11" s="192" t="s">
        <v>23</v>
      </c>
      <c r="E11" s="192" t="s">
        <v>23</v>
      </c>
      <c r="F11" s="192" t="s">
        <v>216</v>
      </c>
      <c r="G11" s="192" t="s">
        <v>216</v>
      </c>
      <c r="H11" s="192" t="s">
        <v>216</v>
      </c>
      <c r="I11" s="192" t="s">
        <v>216</v>
      </c>
      <c r="J11" s="192" t="s">
        <v>216</v>
      </c>
      <c r="K11" s="192" t="s">
        <v>216</v>
      </c>
      <c r="L11" s="193"/>
      <c r="M11" s="162"/>
      <c r="N11" s="162"/>
    </row>
    <row r="12" spans="1:15" ht="38.25">
      <c r="A12" s="163" t="s">
        <v>332</v>
      </c>
      <c r="B12" s="168" t="s">
        <v>233</v>
      </c>
      <c r="C12" s="192" t="s">
        <v>23</v>
      </c>
      <c r="D12" s="192" t="s">
        <v>23</v>
      </c>
      <c r="E12" s="192" t="s">
        <v>23</v>
      </c>
      <c r="F12" s="192" t="s">
        <v>216</v>
      </c>
      <c r="G12" s="192" t="s">
        <v>216</v>
      </c>
      <c r="H12" s="192" t="s">
        <v>216</v>
      </c>
      <c r="I12" s="192" t="s">
        <v>216</v>
      </c>
      <c r="J12" s="192" t="s">
        <v>216</v>
      </c>
      <c r="K12" s="192" t="s">
        <v>216</v>
      </c>
      <c r="L12" s="193"/>
      <c r="M12" s="162"/>
      <c r="N12" s="162"/>
    </row>
    <row r="13" spans="1:15" ht="38.25">
      <c r="A13" s="163" t="s">
        <v>333</v>
      </c>
      <c r="B13" s="168" t="s">
        <v>279</v>
      </c>
      <c r="C13" s="192" t="s">
        <v>216</v>
      </c>
      <c r="D13" s="192" t="s">
        <v>216</v>
      </c>
      <c r="E13" s="192" t="s">
        <v>216</v>
      </c>
      <c r="F13" s="192" t="s">
        <v>216</v>
      </c>
      <c r="G13" s="192" t="s">
        <v>216</v>
      </c>
      <c r="H13" s="192" t="s">
        <v>216</v>
      </c>
      <c r="I13" s="192" t="s">
        <v>216</v>
      </c>
      <c r="J13" s="192" t="s">
        <v>216</v>
      </c>
      <c r="K13" s="192" t="s">
        <v>216</v>
      </c>
      <c r="L13" s="193"/>
      <c r="M13" s="162"/>
      <c r="N13" s="162"/>
    </row>
    <row r="14" spans="1:15" ht="25.5">
      <c r="A14" s="163" t="s">
        <v>334</v>
      </c>
      <c r="B14" s="168" t="s">
        <v>280</v>
      </c>
      <c r="C14" s="192" t="s">
        <v>216</v>
      </c>
      <c r="D14" s="192" t="s">
        <v>216</v>
      </c>
      <c r="E14" s="192" t="s">
        <v>216</v>
      </c>
      <c r="F14" s="192" t="s">
        <v>216</v>
      </c>
      <c r="G14" s="192" t="s">
        <v>216</v>
      </c>
      <c r="H14" s="192" t="s">
        <v>216</v>
      </c>
      <c r="I14" s="192" t="s">
        <v>216</v>
      </c>
      <c r="J14" s="192" t="s">
        <v>216</v>
      </c>
      <c r="K14" s="192" t="s">
        <v>216</v>
      </c>
      <c r="L14" s="193"/>
      <c r="M14" s="162"/>
      <c r="N14" s="162"/>
    </row>
    <row r="15" spans="1:15" ht="25.5">
      <c r="A15" s="163" t="s">
        <v>335</v>
      </c>
      <c r="B15" s="168" t="s">
        <v>281</v>
      </c>
      <c r="C15" s="192" t="s">
        <v>216</v>
      </c>
      <c r="D15" s="192" t="s">
        <v>216</v>
      </c>
      <c r="E15" s="192" t="s">
        <v>216</v>
      </c>
      <c r="F15" s="192" t="s">
        <v>216</v>
      </c>
      <c r="G15" s="192" t="s">
        <v>216</v>
      </c>
      <c r="H15" s="192" t="s">
        <v>216</v>
      </c>
      <c r="I15" s="192" t="s">
        <v>216</v>
      </c>
      <c r="J15" s="192" t="s">
        <v>216</v>
      </c>
      <c r="K15" s="192" t="s">
        <v>216</v>
      </c>
      <c r="L15" s="193"/>
      <c r="M15" s="162"/>
      <c r="N15" s="162"/>
    </row>
    <row r="16" spans="1:15" ht="63.75">
      <c r="A16" s="163" t="s">
        <v>336</v>
      </c>
      <c r="B16" s="168" t="s">
        <v>282</v>
      </c>
      <c r="C16" s="192" t="s">
        <v>23</v>
      </c>
      <c r="D16" s="192" t="s">
        <v>23</v>
      </c>
      <c r="E16" s="192" t="s">
        <v>23</v>
      </c>
      <c r="F16" s="192" t="s">
        <v>216</v>
      </c>
      <c r="G16" s="192" t="s">
        <v>216</v>
      </c>
      <c r="H16" s="192" t="s">
        <v>216</v>
      </c>
      <c r="I16" s="192" t="s">
        <v>216</v>
      </c>
      <c r="J16" s="192" t="s">
        <v>216</v>
      </c>
      <c r="K16" s="192" t="s">
        <v>216</v>
      </c>
      <c r="L16" s="193"/>
      <c r="M16" s="162"/>
      <c r="N16" s="162"/>
    </row>
    <row r="17" spans="1:14" ht="18.75">
      <c r="A17" s="160"/>
      <c r="B17" s="165" t="s">
        <v>226</v>
      </c>
      <c r="C17" s="161"/>
      <c r="D17" s="161"/>
      <c r="E17" s="161"/>
      <c r="F17" s="161"/>
      <c r="G17" s="161"/>
      <c r="H17" s="161"/>
      <c r="I17" s="161"/>
      <c r="J17" s="161"/>
      <c r="K17" s="161"/>
      <c r="L17" s="161"/>
      <c r="M17" s="198"/>
      <c r="N17" s="198"/>
    </row>
    <row r="18" spans="1:14" ht="51">
      <c r="A18" s="163" t="s">
        <v>328</v>
      </c>
      <c r="B18" s="168" t="s">
        <v>227</v>
      </c>
      <c r="C18" s="192" t="s">
        <v>216</v>
      </c>
      <c r="D18" s="192" t="s">
        <v>216</v>
      </c>
      <c r="E18" s="192" t="s">
        <v>216</v>
      </c>
      <c r="F18" s="192" t="s">
        <v>216</v>
      </c>
      <c r="G18" s="192" t="s">
        <v>216</v>
      </c>
      <c r="H18" s="192" t="s">
        <v>216</v>
      </c>
      <c r="I18" s="192" t="s">
        <v>216</v>
      </c>
      <c r="J18" s="192" t="s">
        <v>216</v>
      </c>
      <c r="K18" s="192" t="s">
        <v>216</v>
      </c>
      <c r="L18" s="193"/>
      <c r="M18" s="162"/>
      <c r="N18" s="162"/>
    </row>
    <row r="19" spans="1:14" ht="38.25">
      <c r="A19" s="163" t="s">
        <v>329</v>
      </c>
      <c r="B19" s="168" t="s">
        <v>228</v>
      </c>
      <c r="C19" s="192" t="s">
        <v>216</v>
      </c>
      <c r="D19" s="192" t="s">
        <v>216</v>
      </c>
      <c r="E19" s="192" t="s">
        <v>216</v>
      </c>
      <c r="F19" s="192" t="s">
        <v>216</v>
      </c>
      <c r="G19" s="192" t="s">
        <v>216</v>
      </c>
      <c r="H19" s="192" t="s">
        <v>216</v>
      </c>
      <c r="I19" s="192" t="s">
        <v>216</v>
      </c>
      <c r="J19" s="192" t="s">
        <v>216</v>
      </c>
      <c r="K19" s="192" t="s">
        <v>216</v>
      </c>
      <c r="L19" s="193"/>
      <c r="M19" s="162"/>
      <c r="N19" s="162"/>
    </row>
    <row r="20" spans="1:14" ht="178.5">
      <c r="A20" s="163" t="s">
        <v>330</v>
      </c>
      <c r="B20" s="168" t="s">
        <v>229</v>
      </c>
      <c r="C20" s="192" t="s">
        <v>216</v>
      </c>
      <c r="D20" s="192" t="s">
        <v>216</v>
      </c>
      <c r="E20" s="192" t="s">
        <v>216</v>
      </c>
      <c r="F20" s="192" t="s">
        <v>216</v>
      </c>
      <c r="G20" s="192" t="s">
        <v>216</v>
      </c>
      <c r="H20" s="192" t="s">
        <v>216</v>
      </c>
      <c r="I20" s="192" t="s">
        <v>216</v>
      </c>
      <c r="J20" s="192" t="s">
        <v>216</v>
      </c>
      <c r="K20" s="192" t="s">
        <v>216</v>
      </c>
      <c r="L20" s="193"/>
      <c r="M20" s="164" t="s">
        <v>256</v>
      </c>
      <c r="N20" s="162"/>
    </row>
    <row r="21" spans="1:14" ht="18.75">
      <c r="A21" s="160"/>
      <c r="B21" s="165" t="s">
        <v>234</v>
      </c>
      <c r="C21" s="161"/>
      <c r="D21" s="161"/>
      <c r="E21" s="161"/>
      <c r="F21" s="161"/>
      <c r="G21" s="161"/>
      <c r="H21" s="161"/>
      <c r="I21" s="161"/>
      <c r="J21" s="161"/>
      <c r="K21" s="161"/>
      <c r="L21" s="161"/>
      <c r="M21" s="198"/>
      <c r="N21" s="198"/>
    </row>
    <row r="22" spans="1:14" ht="38.25">
      <c r="A22" s="163" t="s">
        <v>337</v>
      </c>
      <c r="B22" s="168" t="s">
        <v>258</v>
      </c>
      <c r="C22" s="192" t="s">
        <v>216</v>
      </c>
      <c r="D22" s="192" t="s">
        <v>216</v>
      </c>
      <c r="E22" s="192" t="s">
        <v>216</v>
      </c>
      <c r="F22" s="192" t="s">
        <v>216</v>
      </c>
      <c r="G22" s="192" t="s">
        <v>216</v>
      </c>
      <c r="H22" s="192" t="s">
        <v>216</v>
      </c>
      <c r="I22" s="192" t="s">
        <v>216</v>
      </c>
      <c r="J22" s="192" t="s">
        <v>216</v>
      </c>
      <c r="K22" s="192" t="s">
        <v>216</v>
      </c>
      <c r="L22" s="193"/>
      <c r="M22" s="162"/>
      <c r="N22" s="162"/>
    </row>
    <row r="23" spans="1:14" ht="51">
      <c r="A23" s="163" t="s">
        <v>338</v>
      </c>
      <c r="B23" s="168" t="s">
        <v>235</v>
      </c>
      <c r="C23" s="192" t="s">
        <v>216</v>
      </c>
      <c r="D23" s="192" t="s">
        <v>216</v>
      </c>
      <c r="E23" s="192" t="s">
        <v>216</v>
      </c>
      <c r="F23" s="192" t="s">
        <v>216</v>
      </c>
      <c r="G23" s="192" t="s">
        <v>216</v>
      </c>
      <c r="H23" s="192" t="s">
        <v>216</v>
      </c>
      <c r="I23" s="192" t="s">
        <v>216</v>
      </c>
      <c r="J23" s="192" t="s">
        <v>216</v>
      </c>
      <c r="K23" s="192" t="s">
        <v>216</v>
      </c>
      <c r="L23" s="193"/>
      <c r="M23" s="162"/>
      <c r="N23" s="162"/>
    </row>
    <row r="24" spans="1:14" ht="89.25">
      <c r="A24" s="163" t="s">
        <v>339</v>
      </c>
      <c r="B24" s="168" t="s">
        <v>259</v>
      </c>
      <c r="C24" s="192" t="s">
        <v>216</v>
      </c>
      <c r="D24" s="192" t="s">
        <v>216</v>
      </c>
      <c r="E24" s="192" t="s">
        <v>216</v>
      </c>
      <c r="F24" s="192" t="s">
        <v>216</v>
      </c>
      <c r="G24" s="192" t="s">
        <v>216</v>
      </c>
      <c r="H24" s="192" t="s">
        <v>216</v>
      </c>
      <c r="I24" s="192" t="s">
        <v>216</v>
      </c>
      <c r="J24" s="192" t="s">
        <v>216</v>
      </c>
      <c r="K24" s="192" t="s">
        <v>216</v>
      </c>
      <c r="L24" s="193"/>
      <c r="M24" s="162"/>
      <c r="N24" s="162"/>
    </row>
    <row r="25" spans="1:14" ht="51">
      <c r="A25" s="163" t="s">
        <v>340</v>
      </c>
      <c r="B25" s="168" t="s">
        <v>283</v>
      </c>
      <c r="C25" s="192" t="s">
        <v>216</v>
      </c>
      <c r="D25" s="192" t="s">
        <v>216</v>
      </c>
      <c r="E25" s="192" t="s">
        <v>216</v>
      </c>
      <c r="F25" s="192" t="s">
        <v>216</v>
      </c>
      <c r="G25" s="192" t="s">
        <v>216</v>
      </c>
      <c r="H25" s="192" t="s">
        <v>216</v>
      </c>
      <c r="I25" s="192" t="s">
        <v>216</v>
      </c>
      <c r="J25" s="192" t="s">
        <v>216</v>
      </c>
      <c r="K25" s="192" t="s">
        <v>216</v>
      </c>
      <c r="L25" s="193"/>
      <c r="M25" s="162"/>
      <c r="N25" s="162"/>
    </row>
    <row r="26" spans="1:14" ht="25.5">
      <c r="A26" s="163" t="s">
        <v>341</v>
      </c>
      <c r="B26" s="168" t="s">
        <v>236</v>
      </c>
      <c r="C26" s="192" t="s">
        <v>216</v>
      </c>
      <c r="D26" s="192" t="s">
        <v>216</v>
      </c>
      <c r="E26" s="192" t="s">
        <v>216</v>
      </c>
      <c r="F26" s="192" t="s">
        <v>216</v>
      </c>
      <c r="G26" s="192" t="s">
        <v>216</v>
      </c>
      <c r="H26" s="192" t="s">
        <v>216</v>
      </c>
      <c r="I26" s="192" t="s">
        <v>216</v>
      </c>
      <c r="J26" s="192" t="s">
        <v>216</v>
      </c>
      <c r="K26" s="192" t="s">
        <v>216</v>
      </c>
      <c r="L26" s="193"/>
      <c r="M26" s="162"/>
      <c r="N26" s="162"/>
    </row>
    <row r="27" spans="1:14" ht="18.75">
      <c r="A27" s="160"/>
      <c r="B27" s="165" t="s">
        <v>278</v>
      </c>
      <c r="C27" s="161"/>
      <c r="D27" s="161"/>
      <c r="E27" s="161"/>
      <c r="F27" s="161"/>
      <c r="G27" s="161"/>
      <c r="H27" s="161"/>
      <c r="I27" s="161"/>
      <c r="J27" s="161"/>
      <c r="K27" s="161"/>
      <c r="L27" s="161"/>
      <c r="M27" s="198"/>
      <c r="N27" s="198"/>
    </row>
    <row r="28" spans="1:14" ht="114.75">
      <c r="A28" s="163" t="s">
        <v>342</v>
      </c>
      <c r="B28" s="168" t="s">
        <v>343</v>
      </c>
      <c r="C28" s="192" t="s">
        <v>23</v>
      </c>
      <c r="D28" s="192" t="s">
        <v>23</v>
      </c>
      <c r="E28" s="192" t="s">
        <v>23</v>
      </c>
      <c r="F28" s="192" t="s">
        <v>216</v>
      </c>
      <c r="G28" s="192" t="s">
        <v>216</v>
      </c>
      <c r="H28" s="192" t="s">
        <v>216</v>
      </c>
      <c r="I28" s="192" t="s">
        <v>216</v>
      </c>
      <c r="J28" s="192" t="s">
        <v>216</v>
      </c>
      <c r="K28" s="192" t="s">
        <v>216</v>
      </c>
      <c r="L28" s="193"/>
      <c r="M28" s="162"/>
      <c r="N28" s="162"/>
    </row>
    <row r="29" spans="1:14" ht="38.25">
      <c r="A29" s="163" t="s">
        <v>344</v>
      </c>
      <c r="B29" s="168" t="s">
        <v>284</v>
      </c>
      <c r="C29" s="192" t="s">
        <v>23</v>
      </c>
      <c r="D29" s="192" t="s">
        <v>23</v>
      </c>
      <c r="E29" s="192" t="s">
        <v>23</v>
      </c>
      <c r="F29" s="192" t="s">
        <v>216</v>
      </c>
      <c r="G29" s="192" t="s">
        <v>216</v>
      </c>
      <c r="H29" s="192" t="s">
        <v>216</v>
      </c>
      <c r="I29" s="192" t="s">
        <v>216</v>
      </c>
      <c r="J29" s="192" t="s">
        <v>216</v>
      </c>
      <c r="K29" s="192" t="s">
        <v>216</v>
      </c>
      <c r="L29" s="193"/>
      <c r="M29" s="162"/>
      <c r="N29" s="162"/>
    </row>
    <row r="30" spans="1:14" ht="25.5">
      <c r="A30" s="163" t="s">
        <v>345</v>
      </c>
      <c r="B30" s="168" t="s">
        <v>285</v>
      </c>
      <c r="C30" s="192" t="s">
        <v>216</v>
      </c>
      <c r="D30" s="192" t="s">
        <v>216</v>
      </c>
      <c r="E30" s="192" t="s">
        <v>216</v>
      </c>
      <c r="F30" s="192" t="s">
        <v>216</v>
      </c>
      <c r="G30" s="192" t="s">
        <v>216</v>
      </c>
      <c r="H30" s="192" t="s">
        <v>216</v>
      </c>
      <c r="I30" s="192" t="s">
        <v>216</v>
      </c>
      <c r="J30" s="192" t="s">
        <v>216</v>
      </c>
      <c r="K30" s="192" t="s">
        <v>216</v>
      </c>
      <c r="L30" s="193"/>
      <c r="M30" s="162"/>
      <c r="N30" s="162"/>
    </row>
    <row r="31" spans="1:14" ht="38.25">
      <c r="A31" s="163" t="s">
        <v>346</v>
      </c>
      <c r="B31" s="168" t="s">
        <v>286</v>
      </c>
      <c r="C31" s="192" t="s">
        <v>216</v>
      </c>
      <c r="D31" s="192" t="s">
        <v>216</v>
      </c>
      <c r="E31" s="192" t="s">
        <v>216</v>
      </c>
      <c r="F31" s="192" t="s">
        <v>216</v>
      </c>
      <c r="G31" s="192" t="s">
        <v>216</v>
      </c>
      <c r="H31" s="192" t="s">
        <v>216</v>
      </c>
      <c r="I31" s="192" t="s">
        <v>216</v>
      </c>
      <c r="J31" s="192" t="s">
        <v>216</v>
      </c>
      <c r="K31" s="192" t="s">
        <v>216</v>
      </c>
      <c r="L31" s="193"/>
      <c r="M31" s="162"/>
      <c r="N31" s="162"/>
    </row>
    <row r="32" spans="1:14" ht="38.25">
      <c r="A32" s="163" t="s">
        <v>347</v>
      </c>
      <c r="B32" s="168" t="s">
        <v>287</v>
      </c>
      <c r="C32" s="192" t="s">
        <v>23</v>
      </c>
      <c r="D32" s="192" t="s">
        <v>23</v>
      </c>
      <c r="E32" s="192" t="s">
        <v>23</v>
      </c>
      <c r="F32" s="192" t="s">
        <v>216</v>
      </c>
      <c r="G32" s="192" t="s">
        <v>216</v>
      </c>
      <c r="H32" s="192" t="s">
        <v>216</v>
      </c>
      <c r="I32" s="192" t="s">
        <v>216</v>
      </c>
      <c r="J32" s="192" t="s">
        <v>216</v>
      </c>
      <c r="K32" s="192" t="s">
        <v>216</v>
      </c>
      <c r="L32" s="193"/>
      <c r="M32" s="162"/>
      <c r="N32" s="162"/>
    </row>
    <row r="33" spans="1:14" ht="25.5">
      <c r="A33" s="163" t="s">
        <v>348</v>
      </c>
      <c r="B33" s="168" t="s">
        <v>288</v>
      </c>
      <c r="C33" s="192" t="s">
        <v>23</v>
      </c>
      <c r="D33" s="192" t="s">
        <v>23</v>
      </c>
      <c r="E33" s="192" t="s">
        <v>23</v>
      </c>
      <c r="F33" s="192" t="s">
        <v>216</v>
      </c>
      <c r="G33" s="192" t="s">
        <v>216</v>
      </c>
      <c r="H33" s="192" t="s">
        <v>216</v>
      </c>
      <c r="I33" s="192" t="s">
        <v>216</v>
      </c>
      <c r="J33" s="192" t="s">
        <v>216</v>
      </c>
      <c r="K33" s="192" t="s">
        <v>216</v>
      </c>
      <c r="L33" s="193"/>
      <c r="M33" s="162"/>
      <c r="N33" s="162"/>
    </row>
    <row r="34" spans="1:14" ht="51">
      <c r="A34" s="163" t="s">
        <v>349</v>
      </c>
      <c r="B34" s="168" t="s">
        <v>289</v>
      </c>
      <c r="C34" s="192" t="s">
        <v>23</v>
      </c>
      <c r="D34" s="192" t="s">
        <v>23</v>
      </c>
      <c r="E34" s="192" t="s">
        <v>23</v>
      </c>
      <c r="F34" s="192" t="s">
        <v>216</v>
      </c>
      <c r="G34" s="192" t="s">
        <v>216</v>
      </c>
      <c r="H34" s="192" t="s">
        <v>216</v>
      </c>
      <c r="I34" s="192" t="s">
        <v>216</v>
      </c>
      <c r="J34" s="192" t="s">
        <v>216</v>
      </c>
      <c r="K34" s="192" t="s">
        <v>216</v>
      </c>
      <c r="L34" s="193"/>
      <c r="M34" s="162"/>
      <c r="N34" s="162"/>
    </row>
    <row r="35" spans="1:14" ht="51">
      <c r="A35" s="163" t="s">
        <v>350</v>
      </c>
      <c r="B35" s="168" t="s">
        <v>290</v>
      </c>
      <c r="C35" s="192" t="s">
        <v>23</v>
      </c>
      <c r="D35" s="192" t="s">
        <v>23</v>
      </c>
      <c r="E35" s="192" t="s">
        <v>23</v>
      </c>
      <c r="F35" s="192" t="s">
        <v>216</v>
      </c>
      <c r="G35" s="192" t="s">
        <v>216</v>
      </c>
      <c r="H35" s="192" t="s">
        <v>216</v>
      </c>
      <c r="I35" s="192" t="s">
        <v>216</v>
      </c>
      <c r="J35" s="192" t="s">
        <v>216</v>
      </c>
      <c r="K35" s="192" t="s">
        <v>216</v>
      </c>
      <c r="L35" s="193"/>
      <c r="M35" s="162"/>
      <c r="N35" s="162"/>
    </row>
    <row r="36" spans="1:14" ht="38.25">
      <c r="A36" s="163" t="s">
        <v>351</v>
      </c>
      <c r="B36" s="168" t="s">
        <v>291</v>
      </c>
      <c r="C36" s="192" t="s">
        <v>23</v>
      </c>
      <c r="D36" s="192" t="s">
        <v>23</v>
      </c>
      <c r="E36" s="192" t="s">
        <v>23</v>
      </c>
      <c r="F36" s="192" t="s">
        <v>216</v>
      </c>
      <c r="G36" s="192" t="s">
        <v>216</v>
      </c>
      <c r="H36" s="192" t="s">
        <v>216</v>
      </c>
      <c r="I36" s="192" t="s">
        <v>216</v>
      </c>
      <c r="J36" s="192" t="s">
        <v>216</v>
      </c>
      <c r="K36" s="192" t="s">
        <v>216</v>
      </c>
      <c r="L36" s="193"/>
      <c r="M36" s="162"/>
      <c r="N36" s="162"/>
    </row>
    <row r="37" spans="1:14" ht="38.25">
      <c r="A37" s="163" t="s">
        <v>352</v>
      </c>
      <c r="B37" s="168" t="s">
        <v>292</v>
      </c>
      <c r="C37" s="192" t="s">
        <v>23</v>
      </c>
      <c r="D37" s="192" t="s">
        <v>23</v>
      </c>
      <c r="E37" s="192" t="s">
        <v>23</v>
      </c>
      <c r="F37" s="192" t="s">
        <v>216</v>
      </c>
      <c r="G37" s="192" t="s">
        <v>216</v>
      </c>
      <c r="H37" s="192" t="s">
        <v>216</v>
      </c>
      <c r="I37" s="192" t="s">
        <v>216</v>
      </c>
      <c r="J37" s="192" t="s">
        <v>216</v>
      </c>
      <c r="K37" s="192" t="s">
        <v>216</v>
      </c>
      <c r="L37" s="193"/>
      <c r="M37" s="162"/>
      <c r="N37" s="162"/>
    </row>
    <row r="38" spans="1:14" ht="38.25">
      <c r="A38" s="163" t="s">
        <v>353</v>
      </c>
      <c r="B38" s="168" t="s">
        <v>293</v>
      </c>
      <c r="C38" s="192" t="s">
        <v>23</v>
      </c>
      <c r="D38" s="192" t="s">
        <v>23</v>
      </c>
      <c r="E38" s="192" t="s">
        <v>23</v>
      </c>
      <c r="F38" s="192" t="s">
        <v>216</v>
      </c>
      <c r="G38" s="192" t="s">
        <v>216</v>
      </c>
      <c r="H38" s="192" t="s">
        <v>216</v>
      </c>
      <c r="I38" s="192" t="s">
        <v>216</v>
      </c>
      <c r="J38" s="192" t="s">
        <v>216</v>
      </c>
      <c r="K38" s="192" t="s">
        <v>216</v>
      </c>
      <c r="L38" s="193"/>
      <c r="M38" s="162"/>
      <c r="N38" s="162"/>
    </row>
    <row r="39" spans="1:14" ht="18.75">
      <c r="A39" s="160"/>
      <c r="B39" s="165" t="s">
        <v>219</v>
      </c>
      <c r="C39" s="161"/>
      <c r="D39" s="161"/>
      <c r="E39" s="161"/>
      <c r="F39" s="161"/>
      <c r="G39" s="161"/>
      <c r="H39" s="161"/>
      <c r="I39" s="161"/>
      <c r="J39" s="161"/>
      <c r="K39" s="161"/>
      <c r="L39" s="161"/>
      <c r="M39" s="198"/>
      <c r="N39" s="198"/>
    </row>
    <row r="40" spans="1:14" ht="38.25">
      <c r="A40" s="163" t="s">
        <v>300</v>
      </c>
      <c r="B40" s="168" t="s">
        <v>210</v>
      </c>
      <c r="C40" s="192" t="s">
        <v>11</v>
      </c>
      <c r="D40" s="192" t="s">
        <v>11</v>
      </c>
      <c r="E40" s="192" t="s">
        <v>11</v>
      </c>
      <c r="F40" s="192" t="s">
        <v>216</v>
      </c>
      <c r="G40" s="192" t="s">
        <v>216</v>
      </c>
      <c r="H40" s="192" t="s">
        <v>216</v>
      </c>
      <c r="I40" s="192" t="s">
        <v>216</v>
      </c>
      <c r="J40" s="192" t="s">
        <v>216</v>
      </c>
      <c r="K40" s="192" t="s">
        <v>216</v>
      </c>
      <c r="L40" s="193" t="s">
        <v>376</v>
      </c>
      <c r="M40" s="162"/>
      <c r="N40" s="162"/>
    </row>
    <row r="41" spans="1:14" ht="25.5">
      <c r="A41" s="163" t="s">
        <v>301</v>
      </c>
      <c r="B41" s="168" t="s">
        <v>211</v>
      </c>
      <c r="C41" s="192" t="s">
        <v>216</v>
      </c>
      <c r="D41" s="192" t="s">
        <v>216</v>
      </c>
      <c r="E41" s="192" t="s">
        <v>216</v>
      </c>
      <c r="F41" s="192" t="s">
        <v>216</v>
      </c>
      <c r="G41" s="192" t="s">
        <v>216</v>
      </c>
      <c r="H41" s="192" t="s">
        <v>216</v>
      </c>
      <c r="I41" s="192" t="s">
        <v>216</v>
      </c>
      <c r="J41" s="192" t="s">
        <v>216</v>
      </c>
      <c r="K41" s="192" t="s">
        <v>216</v>
      </c>
      <c r="L41" s="193"/>
      <c r="M41" s="162"/>
      <c r="N41" s="162"/>
    </row>
    <row r="42" spans="1:14" ht="38.25">
      <c r="A42" s="163" t="s">
        <v>302</v>
      </c>
      <c r="B42" s="168" t="s">
        <v>212</v>
      </c>
      <c r="C42" s="192" t="s">
        <v>216</v>
      </c>
      <c r="D42" s="192" t="s">
        <v>216</v>
      </c>
      <c r="E42" s="192" t="s">
        <v>216</v>
      </c>
      <c r="F42" s="192" t="s">
        <v>216</v>
      </c>
      <c r="G42" s="192" t="s">
        <v>216</v>
      </c>
      <c r="H42" s="192" t="s">
        <v>216</v>
      </c>
      <c r="I42" s="192" t="s">
        <v>216</v>
      </c>
      <c r="J42" s="192" t="s">
        <v>216</v>
      </c>
      <c r="K42" s="192" t="s">
        <v>216</v>
      </c>
      <c r="L42" s="193"/>
      <c r="M42" s="162"/>
      <c r="N42" s="162"/>
    </row>
    <row r="43" spans="1:14" ht="38.25">
      <c r="A43" s="163" t="s">
        <v>303</v>
      </c>
      <c r="B43" s="168" t="s">
        <v>213</v>
      </c>
      <c r="C43" s="192" t="s">
        <v>216</v>
      </c>
      <c r="D43" s="192" t="s">
        <v>216</v>
      </c>
      <c r="E43" s="192" t="s">
        <v>216</v>
      </c>
      <c r="F43" s="192" t="s">
        <v>216</v>
      </c>
      <c r="G43" s="192" t="s">
        <v>216</v>
      </c>
      <c r="H43" s="192" t="s">
        <v>216</v>
      </c>
      <c r="I43" s="192" t="s">
        <v>216</v>
      </c>
      <c r="J43" s="192" t="s">
        <v>216</v>
      </c>
      <c r="K43" s="192" t="s">
        <v>216</v>
      </c>
      <c r="L43" s="193"/>
      <c r="M43" s="162"/>
      <c r="N43" s="162"/>
    </row>
    <row r="44" spans="1:14" ht="18.75">
      <c r="A44" s="160"/>
      <c r="B44" s="165" t="s">
        <v>220</v>
      </c>
      <c r="C44" s="161"/>
      <c r="D44" s="161"/>
      <c r="E44" s="161"/>
      <c r="F44" s="161"/>
      <c r="G44" s="161"/>
      <c r="H44" s="161"/>
      <c r="I44" s="161"/>
      <c r="J44" s="161"/>
      <c r="K44" s="161"/>
      <c r="L44" s="161"/>
      <c r="M44" s="198"/>
      <c r="N44" s="198"/>
    </row>
    <row r="45" spans="1:14" ht="38.25">
      <c r="A45" s="163" t="s">
        <v>304</v>
      </c>
      <c r="B45" s="168" t="s">
        <v>214</v>
      </c>
      <c r="C45" s="192" t="s">
        <v>216</v>
      </c>
      <c r="D45" s="192" t="s">
        <v>216</v>
      </c>
      <c r="E45" s="192" t="s">
        <v>216</v>
      </c>
      <c r="F45" s="192" t="s">
        <v>216</v>
      </c>
      <c r="G45" s="192" t="s">
        <v>216</v>
      </c>
      <c r="H45" s="192" t="s">
        <v>216</v>
      </c>
      <c r="I45" s="192" t="s">
        <v>216</v>
      </c>
      <c r="J45" s="192" t="s">
        <v>216</v>
      </c>
      <c r="K45" s="192" t="s">
        <v>216</v>
      </c>
      <c r="L45" s="193"/>
      <c r="M45" s="162"/>
      <c r="N45" s="162"/>
    </row>
    <row r="46" spans="1:14" ht="38.25">
      <c r="A46" s="163" t="s">
        <v>305</v>
      </c>
      <c r="B46" s="168" t="s">
        <v>215</v>
      </c>
      <c r="C46" s="192" t="s">
        <v>216</v>
      </c>
      <c r="D46" s="192" t="s">
        <v>216</v>
      </c>
      <c r="E46" s="192" t="s">
        <v>216</v>
      </c>
      <c r="F46" s="192" t="s">
        <v>216</v>
      </c>
      <c r="G46" s="192" t="s">
        <v>216</v>
      </c>
      <c r="H46" s="192" t="s">
        <v>216</v>
      </c>
      <c r="I46" s="192" t="s">
        <v>216</v>
      </c>
      <c r="J46" s="192" t="s">
        <v>216</v>
      </c>
      <c r="K46" s="192" t="s">
        <v>216</v>
      </c>
      <c r="L46" s="193"/>
      <c r="M46" s="162"/>
      <c r="N46" s="162"/>
    </row>
    <row r="47" spans="1:14" ht="18.75">
      <c r="A47" s="160"/>
      <c r="B47" s="165" t="s">
        <v>208</v>
      </c>
      <c r="C47" s="161"/>
      <c r="D47" s="161"/>
      <c r="E47" s="161"/>
      <c r="F47" s="161"/>
      <c r="G47" s="161"/>
      <c r="H47" s="161"/>
      <c r="I47" s="161"/>
      <c r="J47" s="161"/>
      <c r="K47" s="161"/>
      <c r="L47" s="161"/>
      <c r="M47" s="198"/>
      <c r="N47" s="198"/>
    </row>
    <row r="48" spans="1:14" ht="51">
      <c r="A48" s="163" t="s">
        <v>306</v>
      </c>
      <c r="B48" s="168" t="s">
        <v>209</v>
      </c>
      <c r="C48" s="192" t="s">
        <v>11</v>
      </c>
      <c r="D48" s="192" t="s">
        <v>11</v>
      </c>
      <c r="E48" s="192" t="s">
        <v>11</v>
      </c>
      <c r="F48" s="192" t="s">
        <v>11</v>
      </c>
      <c r="G48" s="192" t="s">
        <v>11</v>
      </c>
      <c r="H48" s="192" t="s">
        <v>11</v>
      </c>
      <c r="I48" s="192" t="s">
        <v>11</v>
      </c>
      <c r="J48" s="192" t="s">
        <v>11</v>
      </c>
      <c r="K48" s="192" t="s">
        <v>11</v>
      </c>
      <c r="L48" s="193"/>
      <c r="M48" s="162"/>
      <c r="N48" s="162"/>
    </row>
    <row r="49" spans="1:14" ht="18">
      <c r="A49" s="194"/>
      <c r="B49" s="195" t="s">
        <v>230</v>
      </c>
      <c r="C49" s="194"/>
      <c r="D49" s="194"/>
      <c r="E49" s="194"/>
      <c r="F49" s="194"/>
      <c r="G49" s="194"/>
      <c r="H49" s="194"/>
      <c r="I49" s="194"/>
      <c r="J49" s="194"/>
      <c r="K49" s="194"/>
      <c r="L49" s="194"/>
      <c r="M49" s="194"/>
      <c r="N49" s="194"/>
    </row>
    <row r="50" spans="1:14">
      <c r="A50" s="163"/>
      <c r="B50" s="168"/>
    </row>
    <row r="51" spans="1:14" ht="15">
      <c r="A51" s="196"/>
      <c r="B51" s="197" t="s">
        <v>324</v>
      </c>
      <c r="C51" s="196"/>
      <c r="D51" s="196"/>
      <c r="E51" s="196"/>
      <c r="F51" s="196"/>
      <c r="G51" s="196"/>
      <c r="H51" s="196"/>
      <c r="I51" s="196"/>
      <c r="J51" s="196"/>
      <c r="K51" s="196"/>
      <c r="L51" s="196"/>
      <c r="M51" s="196"/>
      <c r="N51" s="196"/>
    </row>
  </sheetData>
  <mergeCells count="1">
    <mergeCell ref="M2:N2"/>
  </mergeCells>
  <conditionalFormatting sqref="C6">
    <cfRule type="cellIs" dxfId="443" priority="1947" operator="equal">
      <formula>"No"</formula>
    </cfRule>
    <cfRule type="cellIs" dxfId="442" priority="1948" operator="equal">
      <formula>"NA"</formula>
    </cfRule>
    <cfRule type="cellIs" dxfId="441" priority="1949" operator="equal">
      <formula>"Yes"</formula>
    </cfRule>
  </conditionalFormatting>
  <conditionalFormatting sqref="C8">
    <cfRule type="cellIs" dxfId="440" priority="1901" operator="equal">
      <formula>"No"</formula>
    </cfRule>
    <cfRule type="cellIs" dxfId="439" priority="1902" operator="equal">
      <formula>"NA"</formula>
    </cfRule>
    <cfRule type="cellIs" dxfId="438" priority="1903" operator="equal">
      <formula>"Yes"</formula>
    </cfRule>
  </conditionalFormatting>
  <conditionalFormatting sqref="C9">
    <cfRule type="cellIs" dxfId="437" priority="1855" operator="equal">
      <formula>"No"</formula>
    </cfRule>
    <cfRule type="cellIs" dxfId="436" priority="1856" operator="equal">
      <formula>"NA"</formula>
    </cfRule>
    <cfRule type="cellIs" dxfId="435" priority="1857" operator="equal">
      <formula>"Yes"</formula>
    </cfRule>
  </conditionalFormatting>
  <conditionalFormatting sqref="C11">
    <cfRule type="cellIs" dxfId="434" priority="1809" operator="equal">
      <formula>"No"</formula>
    </cfRule>
    <cfRule type="cellIs" dxfId="433" priority="1810" operator="equal">
      <formula>"NA"</formula>
    </cfRule>
    <cfRule type="cellIs" dxfId="432" priority="1811" operator="equal">
      <formula>"Yes"</formula>
    </cfRule>
  </conditionalFormatting>
  <conditionalFormatting sqref="C12">
    <cfRule type="cellIs" dxfId="431" priority="1763" operator="equal">
      <formula>"No"</formula>
    </cfRule>
    <cfRule type="cellIs" dxfId="430" priority="1764" operator="equal">
      <formula>"NA"</formula>
    </cfRule>
    <cfRule type="cellIs" dxfId="429" priority="1765" operator="equal">
      <formula>"Yes"</formula>
    </cfRule>
  </conditionalFormatting>
  <conditionalFormatting sqref="C13">
    <cfRule type="cellIs" dxfId="428" priority="1717" operator="equal">
      <formula>"No"</formula>
    </cfRule>
    <cfRule type="cellIs" dxfId="427" priority="1718" operator="equal">
      <formula>"NA"</formula>
    </cfRule>
    <cfRule type="cellIs" dxfId="426" priority="1719" operator="equal">
      <formula>"Yes"</formula>
    </cfRule>
  </conditionalFormatting>
  <conditionalFormatting sqref="C14">
    <cfRule type="cellIs" dxfId="425" priority="1671" operator="equal">
      <formula>"No"</formula>
    </cfRule>
    <cfRule type="cellIs" dxfId="424" priority="1672" operator="equal">
      <formula>"NA"</formula>
    </cfRule>
    <cfRule type="cellIs" dxfId="423" priority="1673" operator="equal">
      <formula>"Yes"</formula>
    </cfRule>
  </conditionalFormatting>
  <conditionalFormatting sqref="C15">
    <cfRule type="cellIs" dxfId="422" priority="1625" operator="equal">
      <formula>"No"</formula>
    </cfRule>
    <cfRule type="cellIs" dxfId="421" priority="1626" operator="equal">
      <formula>"NA"</formula>
    </cfRule>
    <cfRule type="cellIs" dxfId="420" priority="1627" operator="equal">
      <formula>"Yes"</formula>
    </cfRule>
  </conditionalFormatting>
  <conditionalFormatting sqref="C16">
    <cfRule type="cellIs" dxfId="419" priority="1579" operator="equal">
      <formula>"No"</formula>
    </cfRule>
    <cfRule type="cellIs" dxfId="418" priority="1580" operator="equal">
      <formula>"NA"</formula>
    </cfRule>
    <cfRule type="cellIs" dxfId="417" priority="1581" operator="equal">
      <formula>"Yes"</formula>
    </cfRule>
  </conditionalFormatting>
  <conditionalFormatting sqref="C18">
    <cfRule type="cellIs" dxfId="416" priority="1533" operator="equal">
      <formula>"No"</formula>
    </cfRule>
    <cfRule type="cellIs" dxfId="415" priority="1534" operator="equal">
      <formula>"NA"</formula>
    </cfRule>
    <cfRule type="cellIs" dxfId="414" priority="1535" operator="equal">
      <formula>"Yes"</formula>
    </cfRule>
  </conditionalFormatting>
  <conditionalFormatting sqref="C19">
    <cfRule type="cellIs" dxfId="413" priority="1487" operator="equal">
      <formula>"No"</formula>
    </cfRule>
    <cfRule type="cellIs" dxfId="412" priority="1488" operator="equal">
      <formula>"NA"</formula>
    </cfRule>
    <cfRule type="cellIs" dxfId="411" priority="1489" operator="equal">
      <formula>"Yes"</formula>
    </cfRule>
  </conditionalFormatting>
  <conditionalFormatting sqref="C20">
    <cfRule type="cellIs" dxfId="410" priority="1441" operator="equal">
      <formula>"No"</formula>
    </cfRule>
    <cfRule type="cellIs" dxfId="409" priority="1442" operator="equal">
      <formula>"NA"</formula>
    </cfRule>
    <cfRule type="cellIs" dxfId="408" priority="1443" operator="equal">
      <formula>"Yes"</formula>
    </cfRule>
  </conditionalFormatting>
  <conditionalFormatting sqref="C22">
    <cfRule type="cellIs" dxfId="407" priority="1395" operator="equal">
      <formula>"No"</formula>
    </cfRule>
    <cfRule type="cellIs" dxfId="406" priority="1396" operator="equal">
      <formula>"NA"</formula>
    </cfRule>
    <cfRule type="cellIs" dxfId="405" priority="1397" operator="equal">
      <formula>"Yes"</formula>
    </cfRule>
  </conditionalFormatting>
  <conditionalFormatting sqref="C23">
    <cfRule type="cellIs" dxfId="404" priority="1349" operator="equal">
      <formula>"No"</formula>
    </cfRule>
    <cfRule type="cellIs" dxfId="403" priority="1350" operator="equal">
      <formula>"NA"</formula>
    </cfRule>
    <cfRule type="cellIs" dxfId="402" priority="1351" operator="equal">
      <formula>"Yes"</formula>
    </cfRule>
  </conditionalFormatting>
  <conditionalFormatting sqref="C24">
    <cfRule type="cellIs" dxfId="401" priority="1303" operator="equal">
      <formula>"No"</formula>
    </cfRule>
    <cfRule type="cellIs" dxfId="400" priority="1304" operator="equal">
      <formula>"NA"</formula>
    </cfRule>
    <cfRule type="cellIs" dxfId="399" priority="1305" operator="equal">
      <formula>"Yes"</formula>
    </cfRule>
  </conditionalFormatting>
  <conditionalFormatting sqref="C25">
    <cfRule type="cellIs" dxfId="398" priority="1257" operator="equal">
      <formula>"No"</formula>
    </cfRule>
    <cfRule type="cellIs" dxfId="397" priority="1258" operator="equal">
      <formula>"NA"</formula>
    </cfRule>
    <cfRule type="cellIs" dxfId="396" priority="1259" operator="equal">
      <formula>"Yes"</formula>
    </cfRule>
  </conditionalFormatting>
  <conditionalFormatting sqref="C26">
    <cfRule type="cellIs" dxfId="395" priority="1211" operator="equal">
      <formula>"No"</formula>
    </cfRule>
    <cfRule type="cellIs" dxfId="394" priority="1212" operator="equal">
      <formula>"NA"</formula>
    </cfRule>
    <cfRule type="cellIs" dxfId="393" priority="1213" operator="equal">
      <formula>"Yes"</formula>
    </cfRule>
  </conditionalFormatting>
  <conditionalFormatting sqref="C28">
    <cfRule type="cellIs" dxfId="392" priority="1165" operator="equal">
      <formula>"No"</formula>
    </cfRule>
    <cfRule type="cellIs" dxfId="391" priority="1166" operator="equal">
      <formula>"NA"</formula>
    </cfRule>
    <cfRule type="cellIs" dxfId="390" priority="1167" operator="equal">
      <formula>"Yes"</formula>
    </cfRule>
  </conditionalFormatting>
  <conditionalFormatting sqref="C29">
    <cfRule type="cellIs" dxfId="389" priority="1119" operator="equal">
      <formula>"No"</formula>
    </cfRule>
    <cfRule type="cellIs" dxfId="388" priority="1120" operator="equal">
      <formula>"NA"</formula>
    </cfRule>
    <cfRule type="cellIs" dxfId="387" priority="1121" operator="equal">
      <formula>"Yes"</formula>
    </cfRule>
  </conditionalFormatting>
  <conditionalFormatting sqref="C30">
    <cfRule type="cellIs" dxfId="386" priority="1073" operator="equal">
      <formula>"No"</formula>
    </cfRule>
    <cfRule type="cellIs" dxfId="385" priority="1074" operator="equal">
      <formula>"NA"</formula>
    </cfRule>
    <cfRule type="cellIs" dxfId="384" priority="1075" operator="equal">
      <formula>"Yes"</formula>
    </cfRule>
  </conditionalFormatting>
  <conditionalFormatting sqref="C31">
    <cfRule type="cellIs" dxfId="383" priority="1027" operator="equal">
      <formula>"No"</formula>
    </cfRule>
    <cfRule type="cellIs" dxfId="382" priority="1028" operator="equal">
      <formula>"NA"</formula>
    </cfRule>
    <cfRule type="cellIs" dxfId="381" priority="1029" operator="equal">
      <formula>"Yes"</formula>
    </cfRule>
  </conditionalFormatting>
  <conditionalFormatting sqref="C32">
    <cfRule type="cellIs" dxfId="380" priority="981" operator="equal">
      <formula>"No"</formula>
    </cfRule>
    <cfRule type="cellIs" dxfId="379" priority="982" operator="equal">
      <formula>"NA"</formula>
    </cfRule>
    <cfRule type="cellIs" dxfId="378" priority="983" operator="equal">
      <formula>"Yes"</formula>
    </cfRule>
  </conditionalFormatting>
  <conditionalFormatting sqref="C33">
    <cfRule type="cellIs" dxfId="377" priority="935" operator="equal">
      <formula>"No"</formula>
    </cfRule>
    <cfRule type="cellIs" dxfId="376" priority="936" operator="equal">
      <formula>"NA"</formula>
    </cfRule>
    <cfRule type="cellIs" dxfId="375" priority="937" operator="equal">
      <formula>"Yes"</formula>
    </cfRule>
  </conditionalFormatting>
  <conditionalFormatting sqref="C34">
    <cfRule type="cellIs" dxfId="374" priority="889" operator="equal">
      <formula>"No"</formula>
    </cfRule>
    <cfRule type="cellIs" dxfId="373" priority="890" operator="equal">
      <formula>"NA"</formula>
    </cfRule>
    <cfRule type="cellIs" dxfId="372" priority="891" operator="equal">
      <formula>"Yes"</formula>
    </cfRule>
  </conditionalFormatting>
  <conditionalFormatting sqref="C35">
    <cfRule type="cellIs" dxfId="371" priority="843" operator="equal">
      <formula>"No"</formula>
    </cfRule>
    <cfRule type="cellIs" dxfId="370" priority="844" operator="equal">
      <formula>"NA"</formula>
    </cfRule>
    <cfRule type="cellIs" dxfId="369" priority="845" operator="equal">
      <formula>"Yes"</formula>
    </cfRule>
  </conditionalFormatting>
  <conditionalFormatting sqref="C36">
    <cfRule type="cellIs" dxfId="368" priority="797" operator="equal">
      <formula>"No"</formula>
    </cfRule>
    <cfRule type="cellIs" dxfId="367" priority="798" operator="equal">
      <formula>"NA"</formula>
    </cfRule>
    <cfRule type="cellIs" dxfId="366" priority="799" operator="equal">
      <formula>"Yes"</formula>
    </cfRule>
  </conditionalFormatting>
  <conditionalFormatting sqref="C37">
    <cfRule type="cellIs" dxfId="365" priority="751" operator="equal">
      <formula>"No"</formula>
    </cfRule>
    <cfRule type="cellIs" dxfId="364" priority="752" operator="equal">
      <formula>"NA"</formula>
    </cfRule>
    <cfRule type="cellIs" dxfId="363" priority="753" operator="equal">
      <formula>"Yes"</formula>
    </cfRule>
  </conditionalFormatting>
  <conditionalFormatting sqref="C38">
    <cfRule type="cellIs" dxfId="362" priority="705" operator="equal">
      <formula>"No"</formula>
    </cfRule>
    <cfRule type="cellIs" dxfId="361" priority="706" operator="equal">
      <formula>"NA"</formula>
    </cfRule>
    <cfRule type="cellIs" dxfId="360" priority="707" operator="equal">
      <formula>"Yes"</formula>
    </cfRule>
  </conditionalFormatting>
  <conditionalFormatting sqref="C40">
    <cfRule type="cellIs" dxfId="359" priority="659" operator="equal">
      <formula>"No"</formula>
    </cfRule>
    <cfRule type="cellIs" dxfId="358" priority="660" operator="equal">
      <formula>"NA"</formula>
    </cfRule>
    <cfRule type="cellIs" dxfId="357" priority="661" operator="equal">
      <formula>"Yes"</formula>
    </cfRule>
  </conditionalFormatting>
  <conditionalFormatting sqref="C41">
    <cfRule type="cellIs" dxfId="356" priority="613" operator="equal">
      <formula>"No"</formula>
    </cfRule>
    <cfRule type="cellIs" dxfId="355" priority="614" operator="equal">
      <formula>"NA"</formula>
    </cfRule>
    <cfRule type="cellIs" dxfId="354" priority="615" operator="equal">
      <formula>"Yes"</formula>
    </cfRule>
  </conditionalFormatting>
  <conditionalFormatting sqref="C42">
    <cfRule type="cellIs" dxfId="353" priority="567" operator="equal">
      <formula>"No"</formula>
    </cfRule>
    <cfRule type="cellIs" dxfId="352" priority="568" operator="equal">
      <formula>"NA"</formula>
    </cfRule>
    <cfRule type="cellIs" dxfId="351" priority="569" operator="equal">
      <formula>"Yes"</formula>
    </cfRule>
  </conditionalFormatting>
  <conditionalFormatting sqref="C43">
    <cfRule type="cellIs" dxfId="350" priority="521" operator="equal">
      <formula>"No"</formula>
    </cfRule>
    <cfRule type="cellIs" dxfId="349" priority="522" operator="equal">
      <formula>"NA"</formula>
    </cfRule>
    <cfRule type="cellIs" dxfId="348" priority="523" operator="equal">
      <formula>"Yes"</formula>
    </cfRule>
  </conditionalFormatting>
  <conditionalFormatting sqref="C45">
    <cfRule type="cellIs" dxfId="347" priority="475" operator="equal">
      <formula>"No"</formula>
    </cfRule>
    <cfRule type="cellIs" dxfId="346" priority="476" operator="equal">
      <formula>"NA"</formula>
    </cfRule>
    <cfRule type="cellIs" dxfId="345" priority="477" operator="equal">
      <formula>"Yes"</formula>
    </cfRule>
  </conditionalFormatting>
  <conditionalFormatting sqref="C46">
    <cfRule type="cellIs" dxfId="344" priority="429" operator="equal">
      <formula>"No"</formula>
    </cfRule>
    <cfRule type="cellIs" dxfId="343" priority="430" operator="equal">
      <formula>"NA"</formula>
    </cfRule>
    <cfRule type="cellIs" dxfId="342" priority="431" operator="equal">
      <formula>"Yes"</formula>
    </cfRule>
  </conditionalFormatting>
  <conditionalFormatting sqref="C48">
    <cfRule type="cellIs" dxfId="341" priority="383" operator="equal">
      <formula>"No"</formula>
    </cfRule>
    <cfRule type="cellIs" dxfId="340" priority="384" operator="equal">
      <formula>"NA"</formula>
    </cfRule>
    <cfRule type="cellIs" dxfId="339" priority="385" operator="equal">
      <formula>"Yes"</formula>
    </cfRule>
  </conditionalFormatting>
  <conditionalFormatting sqref="D6">
    <cfRule type="cellIs" dxfId="338" priority="337" operator="equal">
      <formula>"No"</formula>
    </cfRule>
    <cfRule type="cellIs" dxfId="337" priority="338" operator="equal">
      <formula>"NA"</formula>
    </cfRule>
    <cfRule type="cellIs" dxfId="336" priority="339" operator="equal">
      <formula>"Yes"</formula>
    </cfRule>
  </conditionalFormatting>
  <conditionalFormatting sqref="D8">
    <cfRule type="cellIs" dxfId="335" priority="334" operator="equal">
      <formula>"No"</formula>
    </cfRule>
    <cfRule type="cellIs" dxfId="334" priority="335" operator="equal">
      <formula>"NA"</formula>
    </cfRule>
    <cfRule type="cellIs" dxfId="333" priority="336" operator="equal">
      <formula>"Yes"</formula>
    </cfRule>
  </conditionalFormatting>
  <conditionalFormatting sqref="D9">
    <cfRule type="cellIs" dxfId="332" priority="331" operator="equal">
      <formula>"No"</formula>
    </cfRule>
    <cfRule type="cellIs" dxfId="331" priority="332" operator="equal">
      <formula>"NA"</formula>
    </cfRule>
    <cfRule type="cellIs" dxfId="330" priority="333" operator="equal">
      <formula>"Yes"</formula>
    </cfRule>
  </conditionalFormatting>
  <conditionalFormatting sqref="D11">
    <cfRule type="cellIs" dxfId="329" priority="328" operator="equal">
      <formula>"No"</formula>
    </cfRule>
    <cfRule type="cellIs" dxfId="328" priority="329" operator="equal">
      <formula>"NA"</formula>
    </cfRule>
    <cfRule type="cellIs" dxfId="327" priority="330" operator="equal">
      <formula>"Yes"</formula>
    </cfRule>
  </conditionalFormatting>
  <conditionalFormatting sqref="D12">
    <cfRule type="cellIs" dxfId="326" priority="325" operator="equal">
      <formula>"No"</formula>
    </cfRule>
    <cfRule type="cellIs" dxfId="325" priority="326" operator="equal">
      <formula>"NA"</formula>
    </cfRule>
    <cfRule type="cellIs" dxfId="324" priority="327" operator="equal">
      <formula>"Yes"</formula>
    </cfRule>
  </conditionalFormatting>
  <conditionalFormatting sqref="D13">
    <cfRule type="cellIs" dxfId="323" priority="322" operator="equal">
      <formula>"No"</formula>
    </cfRule>
    <cfRule type="cellIs" dxfId="322" priority="323" operator="equal">
      <formula>"NA"</formula>
    </cfRule>
    <cfRule type="cellIs" dxfId="321" priority="324" operator="equal">
      <formula>"Yes"</formula>
    </cfRule>
  </conditionalFormatting>
  <conditionalFormatting sqref="D14">
    <cfRule type="cellIs" dxfId="320" priority="319" operator="equal">
      <formula>"No"</formula>
    </cfRule>
    <cfRule type="cellIs" dxfId="319" priority="320" operator="equal">
      <formula>"NA"</formula>
    </cfRule>
    <cfRule type="cellIs" dxfId="318" priority="321" operator="equal">
      <formula>"Yes"</formula>
    </cfRule>
  </conditionalFormatting>
  <conditionalFormatting sqref="D15">
    <cfRule type="cellIs" dxfId="317" priority="316" operator="equal">
      <formula>"No"</formula>
    </cfRule>
    <cfRule type="cellIs" dxfId="316" priority="317" operator="equal">
      <formula>"NA"</formula>
    </cfRule>
    <cfRule type="cellIs" dxfId="315" priority="318" operator="equal">
      <formula>"Yes"</formula>
    </cfRule>
  </conditionalFormatting>
  <conditionalFormatting sqref="D16">
    <cfRule type="cellIs" dxfId="314" priority="313" operator="equal">
      <formula>"No"</formula>
    </cfRule>
    <cfRule type="cellIs" dxfId="313" priority="314" operator="equal">
      <formula>"NA"</formula>
    </cfRule>
    <cfRule type="cellIs" dxfId="312" priority="315" operator="equal">
      <formula>"Yes"</formula>
    </cfRule>
  </conditionalFormatting>
  <conditionalFormatting sqref="D18">
    <cfRule type="cellIs" dxfId="311" priority="310" operator="equal">
      <formula>"No"</formula>
    </cfRule>
    <cfRule type="cellIs" dxfId="310" priority="311" operator="equal">
      <formula>"NA"</formula>
    </cfRule>
    <cfRule type="cellIs" dxfId="309" priority="312" operator="equal">
      <formula>"Yes"</formula>
    </cfRule>
  </conditionalFormatting>
  <conditionalFormatting sqref="D19">
    <cfRule type="cellIs" dxfId="308" priority="307" operator="equal">
      <formula>"No"</formula>
    </cfRule>
    <cfRule type="cellIs" dxfId="307" priority="308" operator="equal">
      <formula>"NA"</formula>
    </cfRule>
    <cfRule type="cellIs" dxfId="306" priority="309" operator="equal">
      <formula>"Yes"</formula>
    </cfRule>
  </conditionalFormatting>
  <conditionalFormatting sqref="D20">
    <cfRule type="cellIs" dxfId="305" priority="304" operator="equal">
      <formula>"No"</formula>
    </cfRule>
    <cfRule type="cellIs" dxfId="304" priority="305" operator="equal">
      <formula>"NA"</formula>
    </cfRule>
    <cfRule type="cellIs" dxfId="303" priority="306" operator="equal">
      <formula>"Yes"</formula>
    </cfRule>
  </conditionalFormatting>
  <conditionalFormatting sqref="D22">
    <cfRule type="cellIs" dxfId="302" priority="301" operator="equal">
      <formula>"No"</formula>
    </cfRule>
    <cfRule type="cellIs" dxfId="301" priority="302" operator="equal">
      <formula>"NA"</formula>
    </cfRule>
    <cfRule type="cellIs" dxfId="300" priority="303" operator="equal">
      <formula>"Yes"</formula>
    </cfRule>
  </conditionalFormatting>
  <conditionalFormatting sqref="D23">
    <cfRule type="cellIs" dxfId="299" priority="298" operator="equal">
      <formula>"No"</formula>
    </cfRule>
    <cfRule type="cellIs" dxfId="298" priority="299" operator="equal">
      <formula>"NA"</formula>
    </cfRule>
    <cfRule type="cellIs" dxfId="297" priority="300" operator="equal">
      <formula>"Yes"</formula>
    </cfRule>
  </conditionalFormatting>
  <conditionalFormatting sqref="D24">
    <cfRule type="cellIs" dxfId="296" priority="295" operator="equal">
      <formula>"No"</formula>
    </cfRule>
    <cfRule type="cellIs" dxfId="295" priority="296" operator="equal">
      <formula>"NA"</formula>
    </cfRule>
    <cfRule type="cellIs" dxfId="294" priority="297" operator="equal">
      <formula>"Yes"</formula>
    </cfRule>
  </conditionalFormatting>
  <conditionalFormatting sqref="D25">
    <cfRule type="cellIs" dxfId="293" priority="292" operator="equal">
      <formula>"No"</formula>
    </cfRule>
    <cfRule type="cellIs" dxfId="292" priority="293" operator="equal">
      <formula>"NA"</formula>
    </cfRule>
    <cfRule type="cellIs" dxfId="291" priority="294" operator="equal">
      <formula>"Yes"</formula>
    </cfRule>
  </conditionalFormatting>
  <conditionalFormatting sqref="D26">
    <cfRule type="cellIs" dxfId="290" priority="289" operator="equal">
      <formula>"No"</formula>
    </cfRule>
    <cfRule type="cellIs" dxfId="289" priority="290" operator="equal">
      <formula>"NA"</formula>
    </cfRule>
    <cfRule type="cellIs" dxfId="288" priority="291" operator="equal">
      <formula>"Yes"</formula>
    </cfRule>
  </conditionalFormatting>
  <conditionalFormatting sqref="D28">
    <cfRule type="cellIs" dxfId="287" priority="286" operator="equal">
      <formula>"No"</formula>
    </cfRule>
    <cfRule type="cellIs" dxfId="286" priority="287" operator="equal">
      <formula>"NA"</formula>
    </cfRule>
    <cfRule type="cellIs" dxfId="285" priority="288" operator="equal">
      <formula>"Yes"</formula>
    </cfRule>
  </conditionalFormatting>
  <conditionalFormatting sqref="D29">
    <cfRule type="cellIs" dxfId="284" priority="283" operator="equal">
      <formula>"No"</formula>
    </cfRule>
    <cfRule type="cellIs" dxfId="283" priority="284" operator="equal">
      <formula>"NA"</formula>
    </cfRule>
    <cfRule type="cellIs" dxfId="282" priority="285" operator="equal">
      <formula>"Yes"</formula>
    </cfRule>
  </conditionalFormatting>
  <conditionalFormatting sqref="D30">
    <cfRule type="cellIs" dxfId="281" priority="280" operator="equal">
      <formula>"No"</formula>
    </cfRule>
    <cfRule type="cellIs" dxfId="280" priority="281" operator="equal">
      <formula>"NA"</formula>
    </cfRule>
    <cfRule type="cellIs" dxfId="279" priority="282" operator="equal">
      <formula>"Yes"</formula>
    </cfRule>
  </conditionalFormatting>
  <conditionalFormatting sqref="D31">
    <cfRule type="cellIs" dxfId="278" priority="277" operator="equal">
      <formula>"No"</formula>
    </cfRule>
    <cfRule type="cellIs" dxfId="277" priority="278" operator="equal">
      <formula>"NA"</formula>
    </cfRule>
    <cfRule type="cellIs" dxfId="276" priority="279" operator="equal">
      <formula>"Yes"</formula>
    </cfRule>
  </conditionalFormatting>
  <conditionalFormatting sqref="D32">
    <cfRule type="cellIs" dxfId="275" priority="274" operator="equal">
      <formula>"No"</formula>
    </cfRule>
    <cfRule type="cellIs" dxfId="274" priority="275" operator="equal">
      <formula>"NA"</formula>
    </cfRule>
    <cfRule type="cellIs" dxfId="273" priority="276" operator="equal">
      <formula>"Yes"</formula>
    </cfRule>
  </conditionalFormatting>
  <conditionalFormatting sqref="D33">
    <cfRule type="cellIs" dxfId="272" priority="271" operator="equal">
      <formula>"No"</formula>
    </cfRule>
    <cfRule type="cellIs" dxfId="271" priority="272" operator="equal">
      <formula>"NA"</formula>
    </cfRule>
    <cfRule type="cellIs" dxfId="270" priority="273" operator="equal">
      <formula>"Yes"</formula>
    </cfRule>
  </conditionalFormatting>
  <conditionalFormatting sqref="D34">
    <cfRule type="cellIs" dxfId="269" priority="268" operator="equal">
      <formula>"No"</formula>
    </cfRule>
    <cfRule type="cellIs" dxfId="268" priority="269" operator="equal">
      <formula>"NA"</formula>
    </cfRule>
    <cfRule type="cellIs" dxfId="267" priority="270" operator="equal">
      <formula>"Yes"</formula>
    </cfRule>
  </conditionalFormatting>
  <conditionalFormatting sqref="D35">
    <cfRule type="cellIs" dxfId="266" priority="265" operator="equal">
      <formula>"No"</formula>
    </cfRule>
    <cfRule type="cellIs" dxfId="265" priority="266" operator="equal">
      <formula>"NA"</formula>
    </cfRule>
    <cfRule type="cellIs" dxfId="264" priority="267" operator="equal">
      <formula>"Yes"</formula>
    </cfRule>
  </conditionalFormatting>
  <conditionalFormatting sqref="D36">
    <cfRule type="cellIs" dxfId="263" priority="262" operator="equal">
      <formula>"No"</formula>
    </cfRule>
    <cfRule type="cellIs" dxfId="262" priority="263" operator="equal">
      <formula>"NA"</formula>
    </cfRule>
    <cfRule type="cellIs" dxfId="261" priority="264" operator="equal">
      <formula>"Yes"</formula>
    </cfRule>
  </conditionalFormatting>
  <conditionalFormatting sqref="D37">
    <cfRule type="cellIs" dxfId="260" priority="259" operator="equal">
      <formula>"No"</formula>
    </cfRule>
    <cfRule type="cellIs" dxfId="259" priority="260" operator="equal">
      <formula>"NA"</formula>
    </cfRule>
    <cfRule type="cellIs" dxfId="258" priority="261" operator="equal">
      <formula>"Yes"</formula>
    </cfRule>
  </conditionalFormatting>
  <conditionalFormatting sqref="D38">
    <cfRule type="cellIs" dxfId="257" priority="256" operator="equal">
      <formula>"No"</formula>
    </cfRule>
    <cfRule type="cellIs" dxfId="256" priority="257" operator="equal">
      <formula>"NA"</formula>
    </cfRule>
    <cfRule type="cellIs" dxfId="255" priority="258" operator="equal">
      <formula>"Yes"</formula>
    </cfRule>
  </conditionalFormatting>
  <conditionalFormatting sqref="D40">
    <cfRule type="cellIs" dxfId="254" priority="253" operator="equal">
      <formula>"No"</formula>
    </cfRule>
    <cfRule type="cellIs" dxfId="253" priority="254" operator="equal">
      <formula>"NA"</formula>
    </cfRule>
    <cfRule type="cellIs" dxfId="252" priority="255" operator="equal">
      <formula>"Yes"</formula>
    </cfRule>
  </conditionalFormatting>
  <conditionalFormatting sqref="D41">
    <cfRule type="cellIs" dxfId="251" priority="250" operator="equal">
      <formula>"No"</formula>
    </cfRule>
    <cfRule type="cellIs" dxfId="250" priority="251" operator="equal">
      <formula>"NA"</formula>
    </cfRule>
    <cfRule type="cellIs" dxfId="249" priority="252" operator="equal">
      <formula>"Yes"</formula>
    </cfRule>
  </conditionalFormatting>
  <conditionalFormatting sqref="D42">
    <cfRule type="cellIs" dxfId="248" priority="247" operator="equal">
      <formula>"No"</formula>
    </cfRule>
    <cfRule type="cellIs" dxfId="247" priority="248" operator="equal">
      <formula>"NA"</formula>
    </cfRule>
    <cfRule type="cellIs" dxfId="246" priority="249" operator="equal">
      <formula>"Yes"</formula>
    </cfRule>
  </conditionalFormatting>
  <conditionalFormatting sqref="D43">
    <cfRule type="cellIs" dxfId="245" priority="244" operator="equal">
      <formula>"No"</formula>
    </cfRule>
    <cfRule type="cellIs" dxfId="244" priority="245" operator="equal">
      <formula>"NA"</formula>
    </cfRule>
    <cfRule type="cellIs" dxfId="243" priority="246" operator="equal">
      <formula>"Yes"</formula>
    </cfRule>
  </conditionalFormatting>
  <conditionalFormatting sqref="D45">
    <cfRule type="cellIs" dxfId="242" priority="241" operator="equal">
      <formula>"No"</formula>
    </cfRule>
    <cfRule type="cellIs" dxfId="241" priority="242" operator="equal">
      <formula>"NA"</formula>
    </cfRule>
    <cfRule type="cellIs" dxfId="240" priority="243" operator="equal">
      <formula>"Yes"</formula>
    </cfRule>
  </conditionalFormatting>
  <conditionalFormatting sqref="D46">
    <cfRule type="cellIs" dxfId="239" priority="238" operator="equal">
      <formula>"No"</formula>
    </cfRule>
    <cfRule type="cellIs" dxfId="238" priority="239" operator="equal">
      <formula>"NA"</formula>
    </cfRule>
    <cfRule type="cellIs" dxfId="237" priority="240" operator="equal">
      <formula>"Yes"</formula>
    </cfRule>
  </conditionalFormatting>
  <conditionalFormatting sqref="D48">
    <cfRule type="cellIs" dxfId="236" priority="235" operator="equal">
      <formula>"No"</formula>
    </cfRule>
    <cfRule type="cellIs" dxfId="235" priority="236" operator="equal">
      <formula>"NA"</formula>
    </cfRule>
    <cfRule type="cellIs" dxfId="234" priority="237" operator="equal">
      <formula>"Yes"</formula>
    </cfRule>
  </conditionalFormatting>
  <conditionalFormatting sqref="E6:F6">
    <cfRule type="cellIs" dxfId="233" priority="232" operator="equal">
      <formula>"No"</formula>
    </cfRule>
    <cfRule type="cellIs" dxfId="232" priority="233" operator="equal">
      <formula>"NA"</formula>
    </cfRule>
    <cfRule type="cellIs" dxfId="231" priority="234" operator="equal">
      <formula>"Yes"</formula>
    </cfRule>
  </conditionalFormatting>
  <conditionalFormatting sqref="E8">
    <cfRule type="cellIs" dxfId="230" priority="229" operator="equal">
      <formula>"No"</formula>
    </cfRule>
    <cfRule type="cellIs" dxfId="229" priority="230" operator="equal">
      <formula>"NA"</formula>
    </cfRule>
    <cfRule type="cellIs" dxfId="228" priority="231" operator="equal">
      <formula>"Yes"</formula>
    </cfRule>
  </conditionalFormatting>
  <conditionalFormatting sqref="E9">
    <cfRule type="cellIs" dxfId="227" priority="226" operator="equal">
      <formula>"No"</formula>
    </cfRule>
    <cfRule type="cellIs" dxfId="226" priority="227" operator="equal">
      <formula>"NA"</formula>
    </cfRule>
    <cfRule type="cellIs" dxfId="225" priority="228" operator="equal">
      <formula>"Yes"</formula>
    </cfRule>
  </conditionalFormatting>
  <conditionalFormatting sqref="E11">
    <cfRule type="cellIs" dxfId="224" priority="223" operator="equal">
      <formula>"No"</formula>
    </cfRule>
    <cfRule type="cellIs" dxfId="223" priority="224" operator="equal">
      <formula>"NA"</formula>
    </cfRule>
    <cfRule type="cellIs" dxfId="222" priority="225" operator="equal">
      <formula>"Yes"</formula>
    </cfRule>
  </conditionalFormatting>
  <conditionalFormatting sqref="E12">
    <cfRule type="cellIs" dxfId="221" priority="220" operator="equal">
      <formula>"No"</formula>
    </cfRule>
    <cfRule type="cellIs" dxfId="220" priority="221" operator="equal">
      <formula>"NA"</formula>
    </cfRule>
    <cfRule type="cellIs" dxfId="219" priority="222" operator="equal">
      <formula>"Yes"</formula>
    </cfRule>
  </conditionalFormatting>
  <conditionalFormatting sqref="E13">
    <cfRule type="cellIs" dxfId="218" priority="217" operator="equal">
      <formula>"No"</formula>
    </cfRule>
    <cfRule type="cellIs" dxfId="217" priority="218" operator="equal">
      <formula>"NA"</formula>
    </cfRule>
    <cfRule type="cellIs" dxfId="216" priority="219" operator="equal">
      <formula>"Yes"</formula>
    </cfRule>
  </conditionalFormatting>
  <conditionalFormatting sqref="E14">
    <cfRule type="cellIs" dxfId="215" priority="214" operator="equal">
      <formula>"No"</formula>
    </cfRule>
    <cfRule type="cellIs" dxfId="214" priority="215" operator="equal">
      <formula>"NA"</formula>
    </cfRule>
    <cfRule type="cellIs" dxfId="213" priority="216" operator="equal">
      <formula>"Yes"</formula>
    </cfRule>
  </conditionalFormatting>
  <conditionalFormatting sqref="E15">
    <cfRule type="cellIs" dxfId="212" priority="211" operator="equal">
      <formula>"No"</formula>
    </cfRule>
    <cfRule type="cellIs" dxfId="211" priority="212" operator="equal">
      <formula>"NA"</formula>
    </cfRule>
    <cfRule type="cellIs" dxfId="210" priority="213" operator="equal">
      <formula>"Yes"</formula>
    </cfRule>
  </conditionalFormatting>
  <conditionalFormatting sqref="E16">
    <cfRule type="cellIs" dxfId="209" priority="208" operator="equal">
      <formula>"No"</formula>
    </cfRule>
    <cfRule type="cellIs" dxfId="208" priority="209" operator="equal">
      <formula>"NA"</formula>
    </cfRule>
    <cfRule type="cellIs" dxfId="207" priority="210" operator="equal">
      <formula>"Yes"</formula>
    </cfRule>
  </conditionalFormatting>
  <conditionalFormatting sqref="E18">
    <cfRule type="cellIs" dxfId="206" priority="205" operator="equal">
      <formula>"No"</formula>
    </cfRule>
    <cfRule type="cellIs" dxfId="205" priority="206" operator="equal">
      <formula>"NA"</formula>
    </cfRule>
    <cfRule type="cellIs" dxfId="204" priority="207" operator="equal">
      <formula>"Yes"</formula>
    </cfRule>
  </conditionalFormatting>
  <conditionalFormatting sqref="E19">
    <cfRule type="cellIs" dxfId="203" priority="202" operator="equal">
      <formula>"No"</formula>
    </cfRule>
    <cfRule type="cellIs" dxfId="202" priority="203" operator="equal">
      <formula>"NA"</formula>
    </cfRule>
    <cfRule type="cellIs" dxfId="201" priority="204" operator="equal">
      <formula>"Yes"</formula>
    </cfRule>
  </conditionalFormatting>
  <conditionalFormatting sqref="E20">
    <cfRule type="cellIs" dxfId="200" priority="199" operator="equal">
      <formula>"No"</formula>
    </cfRule>
    <cfRule type="cellIs" dxfId="199" priority="200" operator="equal">
      <formula>"NA"</formula>
    </cfRule>
    <cfRule type="cellIs" dxfId="198" priority="201" operator="equal">
      <formula>"Yes"</formula>
    </cfRule>
  </conditionalFormatting>
  <conditionalFormatting sqref="E22">
    <cfRule type="cellIs" dxfId="197" priority="196" operator="equal">
      <formula>"No"</formula>
    </cfRule>
    <cfRule type="cellIs" dxfId="196" priority="197" operator="equal">
      <formula>"NA"</formula>
    </cfRule>
    <cfRule type="cellIs" dxfId="195" priority="198" operator="equal">
      <formula>"Yes"</formula>
    </cfRule>
  </conditionalFormatting>
  <conditionalFormatting sqref="E23">
    <cfRule type="cellIs" dxfId="194" priority="193" operator="equal">
      <formula>"No"</formula>
    </cfRule>
    <cfRule type="cellIs" dxfId="193" priority="194" operator="equal">
      <formula>"NA"</formula>
    </cfRule>
    <cfRule type="cellIs" dxfId="192" priority="195" operator="equal">
      <formula>"Yes"</formula>
    </cfRule>
  </conditionalFormatting>
  <conditionalFormatting sqref="E24">
    <cfRule type="cellIs" dxfId="191" priority="190" operator="equal">
      <formula>"No"</formula>
    </cfRule>
    <cfRule type="cellIs" dxfId="190" priority="191" operator="equal">
      <formula>"NA"</formula>
    </cfRule>
    <cfRule type="cellIs" dxfId="189" priority="192" operator="equal">
      <formula>"Yes"</formula>
    </cfRule>
  </conditionalFormatting>
  <conditionalFormatting sqref="E25">
    <cfRule type="cellIs" dxfId="188" priority="187" operator="equal">
      <formula>"No"</formula>
    </cfRule>
    <cfRule type="cellIs" dxfId="187" priority="188" operator="equal">
      <formula>"NA"</formula>
    </cfRule>
    <cfRule type="cellIs" dxfId="186" priority="189" operator="equal">
      <formula>"Yes"</formula>
    </cfRule>
  </conditionalFormatting>
  <conditionalFormatting sqref="E26">
    <cfRule type="cellIs" dxfId="185" priority="184" operator="equal">
      <formula>"No"</formula>
    </cfRule>
    <cfRule type="cellIs" dxfId="184" priority="185" operator="equal">
      <formula>"NA"</formula>
    </cfRule>
    <cfRule type="cellIs" dxfId="183" priority="186" operator="equal">
      <formula>"Yes"</formula>
    </cfRule>
  </conditionalFormatting>
  <conditionalFormatting sqref="E28">
    <cfRule type="cellIs" dxfId="182" priority="181" operator="equal">
      <formula>"No"</formula>
    </cfRule>
    <cfRule type="cellIs" dxfId="181" priority="182" operator="equal">
      <formula>"NA"</formula>
    </cfRule>
    <cfRule type="cellIs" dxfId="180" priority="183" operator="equal">
      <formula>"Yes"</formula>
    </cfRule>
  </conditionalFormatting>
  <conditionalFormatting sqref="E29">
    <cfRule type="cellIs" dxfId="179" priority="178" operator="equal">
      <formula>"No"</formula>
    </cfRule>
    <cfRule type="cellIs" dxfId="178" priority="179" operator="equal">
      <formula>"NA"</formula>
    </cfRule>
    <cfRule type="cellIs" dxfId="177" priority="180" operator="equal">
      <formula>"Yes"</formula>
    </cfRule>
  </conditionalFormatting>
  <conditionalFormatting sqref="E30">
    <cfRule type="cellIs" dxfId="176" priority="175" operator="equal">
      <formula>"No"</formula>
    </cfRule>
    <cfRule type="cellIs" dxfId="175" priority="176" operator="equal">
      <formula>"NA"</formula>
    </cfRule>
    <cfRule type="cellIs" dxfId="174" priority="177" operator="equal">
      <formula>"Yes"</formula>
    </cfRule>
  </conditionalFormatting>
  <conditionalFormatting sqref="E31">
    <cfRule type="cellIs" dxfId="173" priority="172" operator="equal">
      <formula>"No"</formula>
    </cfRule>
    <cfRule type="cellIs" dxfId="172" priority="173" operator="equal">
      <formula>"NA"</formula>
    </cfRule>
    <cfRule type="cellIs" dxfId="171" priority="174" operator="equal">
      <formula>"Yes"</formula>
    </cfRule>
  </conditionalFormatting>
  <conditionalFormatting sqref="E32">
    <cfRule type="cellIs" dxfId="170" priority="169" operator="equal">
      <formula>"No"</formula>
    </cfRule>
    <cfRule type="cellIs" dxfId="169" priority="170" operator="equal">
      <formula>"NA"</formula>
    </cfRule>
    <cfRule type="cellIs" dxfId="168" priority="171" operator="equal">
      <formula>"Yes"</formula>
    </cfRule>
  </conditionalFormatting>
  <conditionalFormatting sqref="E33">
    <cfRule type="cellIs" dxfId="167" priority="166" operator="equal">
      <formula>"No"</formula>
    </cfRule>
    <cfRule type="cellIs" dxfId="166" priority="167" operator="equal">
      <formula>"NA"</formula>
    </cfRule>
    <cfRule type="cellIs" dxfId="165" priority="168" operator="equal">
      <formula>"Yes"</formula>
    </cfRule>
  </conditionalFormatting>
  <conditionalFormatting sqref="E34">
    <cfRule type="cellIs" dxfId="164" priority="163" operator="equal">
      <formula>"No"</formula>
    </cfRule>
    <cfRule type="cellIs" dxfId="163" priority="164" operator="equal">
      <formula>"NA"</formula>
    </cfRule>
    <cfRule type="cellIs" dxfId="162" priority="165" operator="equal">
      <formula>"Yes"</formula>
    </cfRule>
  </conditionalFormatting>
  <conditionalFormatting sqref="E35">
    <cfRule type="cellIs" dxfId="161" priority="160" operator="equal">
      <formula>"No"</formula>
    </cfRule>
    <cfRule type="cellIs" dxfId="160" priority="161" operator="equal">
      <formula>"NA"</formula>
    </cfRule>
    <cfRule type="cellIs" dxfId="159" priority="162" operator="equal">
      <formula>"Yes"</formula>
    </cfRule>
  </conditionalFormatting>
  <conditionalFormatting sqref="E36">
    <cfRule type="cellIs" dxfId="158" priority="157" operator="equal">
      <formula>"No"</formula>
    </cfRule>
    <cfRule type="cellIs" dxfId="157" priority="158" operator="equal">
      <formula>"NA"</formula>
    </cfRule>
    <cfRule type="cellIs" dxfId="156" priority="159" operator="equal">
      <formula>"Yes"</formula>
    </cfRule>
  </conditionalFormatting>
  <conditionalFormatting sqref="E37">
    <cfRule type="cellIs" dxfId="155" priority="154" operator="equal">
      <formula>"No"</formula>
    </cfRule>
    <cfRule type="cellIs" dxfId="154" priority="155" operator="equal">
      <formula>"NA"</formula>
    </cfRule>
    <cfRule type="cellIs" dxfId="153" priority="156" operator="equal">
      <formula>"Yes"</formula>
    </cfRule>
  </conditionalFormatting>
  <conditionalFormatting sqref="E38">
    <cfRule type="cellIs" dxfId="152" priority="151" operator="equal">
      <formula>"No"</formula>
    </cfRule>
    <cfRule type="cellIs" dxfId="151" priority="152" operator="equal">
      <formula>"NA"</formula>
    </cfRule>
    <cfRule type="cellIs" dxfId="150" priority="153" operator="equal">
      <formula>"Yes"</formula>
    </cfRule>
  </conditionalFormatting>
  <conditionalFormatting sqref="E40">
    <cfRule type="cellIs" dxfId="149" priority="148" operator="equal">
      <formula>"No"</formula>
    </cfRule>
    <cfRule type="cellIs" dxfId="148" priority="149" operator="equal">
      <formula>"NA"</formula>
    </cfRule>
    <cfRule type="cellIs" dxfId="147" priority="150" operator="equal">
      <formula>"Yes"</formula>
    </cfRule>
  </conditionalFormatting>
  <conditionalFormatting sqref="E41">
    <cfRule type="cellIs" dxfId="146" priority="145" operator="equal">
      <formula>"No"</formula>
    </cfRule>
    <cfRule type="cellIs" dxfId="145" priority="146" operator="equal">
      <formula>"NA"</formula>
    </cfRule>
    <cfRule type="cellIs" dxfId="144" priority="147" operator="equal">
      <formula>"Yes"</formula>
    </cfRule>
  </conditionalFormatting>
  <conditionalFormatting sqref="E42">
    <cfRule type="cellIs" dxfId="143" priority="142" operator="equal">
      <formula>"No"</formula>
    </cfRule>
    <cfRule type="cellIs" dxfId="142" priority="143" operator="equal">
      <formula>"NA"</formula>
    </cfRule>
    <cfRule type="cellIs" dxfId="141" priority="144" operator="equal">
      <formula>"Yes"</formula>
    </cfRule>
  </conditionalFormatting>
  <conditionalFormatting sqref="E43">
    <cfRule type="cellIs" dxfId="140" priority="139" operator="equal">
      <formula>"No"</formula>
    </cfRule>
    <cfRule type="cellIs" dxfId="139" priority="140" operator="equal">
      <formula>"NA"</formula>
    </cfRule>
    <cfRule type="cellIs" dxfId="138" priority="141" operator="equal">
      <formula>"Yes"</formula>
    </cfRule>
  </conditionalFormatting>
  <conditionalFormatting sqref="E45">
    <cfRule type="cellIs" dxfId="137" priority="136" operator="equal">
      <formula>"No"</formula>
    </cfRule>
    <cfRule type="cellIs" dxfId="136" priority="137" operator="equal">
      <formula>"NA"</formula>
    </cfRule>
    <cfRule type="cellIs" dxfId="135" priority="138" operator="equal">
      <formula>"Yes"</formula>
    </cfRule>
  </conditionalFormatting>
  <conditionalFormatting sqref="E46">
    <cfRule type="cellIs" dxfId="134" priority="133" operator="equal">
      <formula>"No"</formula>
    </cfRule>
    <cfRule type="cellIs" dxfId="133" priority="134" operator="equal">
      <formula>"NA"</formula>
    </cfRule>
    <cfRule type="cellIs" dxfId="132" priority="135" operator="equal">
      <formula>"Yes"</formula>
    </cfRule>
  </conditionalFormatting>
  <conditionalFormatting sqref="E48:F48">
    <cfRule type="cellIs" dxfId="131" priority="130" operator="equal">
      <formula>"No"</formula>
    </cfRule>
    <cfRule type="cellIs" dxfId="130" priority="131" operator="equal">
      <formula>"NA"</formula>
    </cfRule>
    <cfRule type="cellIs" dxfId="129" priority="132" operator="equal">
      <formula>"Yes"</formula>
    </cfRule>
  </conditionalFormatting>
  <conditionalFormatting sqref="F8:F9">
    <cfRule type="cellIs" dxfId="128" priority="127" operator="equal">
      <formula>"No"</formula>
    </cfRule>
    <cfRule type="cellIs" dxfId="127" priority="128" operator="equal">
      <formula>"NA"</formula>
    </cfRule>
    <cfRule type="cellIs" dxfId="126" priority="129" operator="equal">
      <formula>"Yes"</formula>
    </cfRule>
  </conditionalFormatting>
  <conditionalFormatting sqref="F11:F16">
    <cfRule type="cellIs" dxfId="125" priority="124" operator="equal">
      <formula>"No"</formula>
    </cfRule>
    <cfRule type="cellIs" dxfId="124" priority="125" operator="equal">
      <formula>"NA"</formula>
    </cfRule>
    <cfRule type="cellIs" dxfId="123" priority="126" operator="equal">
      <formula>"Yes"</formula>
    </cfRule>
  </conditionalFormatting>
  <conditionalFormatting sqref="F18:F20">
    <cfRule type="cellIs" dxfId="122" priority="121" operator="equal">
      <formula>"No"</formula>
    </cfRule>
    <cfRule type="cellIs" dxfId="121" priority="122" operator="equal">
      <formula>"NA"</formula>
    </cfRule>
    <cfRule type="cellIs" dxfId="120" priority="123" operator="equal">
      <formula>"Yes"</formula>
    </cfRule>
  </conditionalFormatting>
  <conditionalFormatting sqref="F22:F26">
    <cfRule type="cellIs" dxfId="119" priority="118" operator="equal">
      <formula>"No"</formula>
    </cfRule>
    <cfRule type="cellIs" dxfId="118" priority="119" operator="equal">
      <formula>"NA"</formula>
    </cfRule>
    <cfRule type="cellIs" dxfId="117" priority="120" operator="equal">
      <formula>"Yes"</formula>
    </cfRule>
  </conditionalFormatting>
  <conditionalFormatting sqref="F28:F38">
    <cfRule type="cellIs" dxfId="116" priority="115" operator="equal">
      <formula>"No"</formula>
    </cfRule>
    <cfRule type="cellIs" dxfId="115" priority="116" operator="equal">
      <formula>"NA"</formula>
    </cfRule>
    <cfRule type="cellIs" dxfId="114" priority="117" operator="equal">
      <formula>"Yes"</formula>
    </cfRule>
  </conditionalFormatting>
  <conditionalFormatting sqref="F40:F43">
    <cfRule type="cellIs" dxfId="113" priority="112" operator="equal">
      <formula>"No"</formula>
    </cfRule>
    <cfRule type="cellIs" dxfId="112" priority="113" operator="equal">
      <formula>"NA"</formula>
    </cfRule>
    <cfRule type="cellIs" dxfId="111" priority="114" operator="equal">
      <formula>"Yes"</formula>
    </cfRule>
  </conditionalFormatting>
  <conditionalFormatting sqref="F45:F46">
    <cfRule type="cellIs" dxfId="110" priority="109" operator="equal">
      <formula>"No"</formula>
    </cfRule>
    <cfRule type="cellIs" dxfId="109" priority="110" operator="equal">
      <formula>"NA"</formula>
    </cfRule>
    <cfRule type="cellIs" dxfId="108" priority="111" operator="equal">
      <formula>"Yes"</formula>
    </cfRule>
  </conditionalFormatting>
  <conditionalFormatting sqref="G6">
    <cfRule type="cellIs" dxfId="107" priority="106" operator="equal">
      <formula>"No"</formula>
    </cfRule>
    <cfRule type="cellIs" dxfId="106" priority="107" operator="equal">
      <formula>"NA"</formula>
    </cfRule>
    <cfRule type="cellIs" dxfId="105" priority="108" operator="equal">
      <formula>"Yes"</formula>
    </cfRule>
  </conditionalFormatting>
  <conditionalFormatting sqref="G48">
    <cfRule type="cellIs" dxfId="104" priority="103" operator="equal">
      <formula>"No"</formula>
    </cfRule>
    <cfRule type="cellIs" dxfId="103" priority="104" operator="equal">
      <formula>"NA"</formula>
    </cfRule>
    <cfRule type="cellIs" dxfId="102" priority="105" operator="equal">
      <formula>"Yes"</formula>
    </cfRule>
  </conditionalFormatting>
  <conditionalFormatting sqref="G8:G9">
    <cfRule type="cellIs" dxfId="101" priority="100" operator="equal">
      <formula>"No"</formula>
    </cfRule>
    <cfRule type="cellIs" dxfId="100" priority="101" operator="equal">
      <formula>"NA"</formula>
    </cfRule>
    <cfRule type="cellIs" dxfId="99" priority="102" operator="equal">
      <formula>"Yes"</formula>
    </cfRule>
  </conditionalFormatting>
  <conditionalFormatting sqref="G11:G16">
    <cfRule type="cellIs" dxfId="98" priority="97" operator="equal">
      <formula>"No"</formula>
    </cfRule>
    <cfRule type="cellIs" dxfId="97" priority="98" operator="equal">
      <formula>"NA"</formula>
    </cfRule>
    <cfRule type="cellIs" dxfId="96" priority="99" operator="equal">
      <formula>"Yes"</formula>
    </cfRule>
  </conditionalFormatting>
  <conditionalFormatting sqref="G18:G20">
    <cfRule type="cellIs" dxfId="95" priority="94" operator="equal">
      <formula>"No"</formula>
    </cfRule>
    <cfRule type="cellIs" dxfId="94" priority="95" operator="equal">
      <formula>"NA"</formula>
    </cfRule>
    <cfRule type="cellIs" dxfId="93" priority="96" operator="equal">
      <formula>"Yes"</formula>
    </cfRule>
  </conditionalFormatting>
  <conditionalFormatting sqref="G22:G26">
    <cfRule type="cellIs" dxfId="92" priority="91" operator="equal">
      <formula>"No"</formula>
    </cfRule>
    <cfRule type="cellIs" dxfId="91" priority="92" operator="equal">
      <formula>"NA"</formula>
    </cfRule>
    <cfRule type="cellIs" dxfId="90" priority="93" operator="equal">
      <formula>"Yes"</formula>
    </cfRule>
  </conditionalFormatting>
  <conditionalFormatting sqref="G28:G38">
    <cfRule type="cellIs" dxfId="89" priority="88" operator="equal">
      <formula>"No"</formula>
    </cfRule>
    <cfRule type="cellIs" dxfId="88" priority="89" operator="equal">
      <formula>"NA"</formula>
    </cfRule>
    <cfRule type="cellIs" dxfId="87" priority="90" operator="equal">
      <formula>"Yes"</formula>
    </cfRule>
  </conditionalFormatting>
  <conditionalFormatting sqref="G40:G43">
    <cfRule type="cellIs" dxfId="86" priority="85" operator="equal">
      <formula>"No"</formula>
    </cfRule>
    <cfRule type="cellIs" dxfId="85" priority="86" operator="equal">
      <formula>"NA"</formula>
    </cfRule>
    <cfRule type="cellIs" dxfId="84" priority="87" operator="equal">
      <formula>"Yes"</formula>
    </cfRule>
  </conditionalFormatting>
  <conditionalFormatting sqref="G45:G46">
    <cfRule type="cellIs" dxfId="83" priority="82" operator="equal">
      <formula>"No"</formula>
    </cfRule>
    <cfRule type="cellIs" dxfId="82" priority="83" operator="equal">
      <formula>"NA"</formula>
    </cfRule>
    <cfRule type="cellIs" dxfId="81" priority="84" operator="equal">
      <formula>"Yes"</formula>
    </cfRule>
  </conditionalFormatting>
  <conditionalFormatting sqref="J6:K6">
    <cfRule type="cellIs" dxfId="80" priority="79" operator="equal">
      <formula>"No"</formula>
    </cfRule>
    <cfRule type="cellIs" dxfId="79" priority="80" operator="equal">
      <formula>"NA"</formula>
    </cfRule>
    <cfRule type="cellIs" dxfId="78" priority="81" operator="equal">
      <formula>"Yes"</formula>
    </cfRule>
  </conditionalFormatting>
  <conditionalFormatting sqref="J48:K48">
    <cfRule type="cellIs" dxfId="77" priority="76" operator="equal">
      <formula>"No"</formula>
    </cfRule>
    <cfRule type="cellIs" dxfId="76" priority="77" operator="equal">
      <formula>"NA"</formula>
    </cfRule>
    <cfRule type="cellIs" dxfId="75" priority="78" operator="equal">
      <formula>"Yes"</formula>
    </cfRule>
  </conditionalFormatting>
  <conditionalFormatting sqref="J8:K9">
    <cfRule type="cellIs" dxfId="74" priority="73" operator="equal">
      <formula>"No"</formula>
    </cfRule>
    <cfRule type="cellIs" dxfId="73" priority="74" operator="equal">
      <formula>"NA"</formula>
    </cfRule>
    <cfRule type="cellIs" dxfId="72" priority="75" operator="equal">
      <formula>"Yes"</formula>
    </cfRule>
  </conditionalFormatting>
  <conditionalFormatting sqref="J11:K16">
    <cfRule type="cellIs" dxfId="71" priority="70" operator="equal">
      <formula>"No"</formula>
    </cfRule>
    <cfRule type="cellIs" dxfId="70" priority="71" operator="equal">
      <formula>"NA"</formula>
    </cfRule>
    <cfRule type="cellIs" dxfId="69" priority="72" operator="equal">
      <formula>"Yes"</formula>
    </cfRule>
  </conditionalFormatting>
  <conditionalFormatting sqref="J18:K20">
    <cfRule type="cellIs" dxfId="68" priority="67" operator="equal">
      <formula>"No"</formula>
    </cfRule>
    <cfRule type="cellIs" dxfId="67" priority="68" operator="equal">
      <formula>"NA"</formula>
    </cfRule>
    <cfRule type="cellIs" dxfId="66" priority="69" operator="equal">
      <formula>"Yes"</formula>
    </cfRule>
  </conditionalFormatting>
  <conditionalFormatting sqref="J22:K26">
    <cfRule type="cellIs" dxfId="65" priority="64" operator="equal">
      <formula>"No"</formula>
    </cfRule>
    <cfRule type="cellIs" dxfId="64" priority="65" operator="equal">
      <formula>"NA"</formula>
    </cfRule>
    <cfRule type="cellIs" dxfId="63" priority="66" operator="equal">
      <formula>"Yes"</formula>
    </cfRule>
  </conditionalFormatting>
  <conditionalFormatting sqref="J28:K38">
    <cfRule type="cellIs" dxfId="62" priority="61" operator="equal">
      <formula>"No"</formula>
    </cfRule>
    <cfRule type="cellIs" dxfId="61" priority="62" operator="equal">
      <formula>"NA"</formula>
    </cfRule>
    <cfRule type="cellIs" dxfId="60" priority="63" operator="equal">
      <formula>"Yes"</formula>
    </cfRule>
  </conditionalFormatting>
  <conditionalFormatting sqref="J40:K43">
    <cfRule type="cellIs" dxfId="59" priority="58" operator="equal">
      <formula>"No"</formula>
    </cfRule>
    <cfRule type="cellIs" dxfId="58" priority="59" operator="equal">
      <formula>"NA"</formula>
    </cfRule>
    <cfRule type="cellIs" dxfId="57" priority="60" operator="equal">
      <formula>"Yes"</formula>
    </cfRule>
  </conditionalFormatting>
  <conditionalFormatting sqref="J45:K46">
    <cfRule type="cellIs" dxfId="56" priority="55" operator="equal">
      <formula>"No"</formula>
    </cfRule>
    <cfRule type="cellIs" dxfId="55" priority="56" operator="equal">
      <formula>"NA"</formula>
    </cfRule>
    <cfRule type="cellIs" dxfId="54" priority="57" operator="equal">
      <formula>"Yes"</formula>
    </cfRule>
  </conditionalFormatting>
  <conditionalFormatting sqref="H6">
    <cfRule type="cellIs" dxfId="53" priority="52" operator="equal">
      <formula>"No"</formula>
    </cfRule>
    <cfRule type="cellIs" dxfId="52" priority="53" operator="equal">
      <formula>"NA"</formula>
    </cfRule>
    <cfRule type="cellIs" dxfId="51" priority="54" operator="equal">
      <formula>"Yes"</formula>
    </cfRule>
  </conditionalFormatting>
  <conditionalFormatting sqref="H48">
    <cfRule type="cellIs" dxfId="50" priority="49" operator="equal">
      <formula>"No"</formula>
    </cfRule>
    <cfRule type="cellIs" dxfId="49" priority="50" operator="equal">
      <formula>"NA"</formula>
    </cfRule>
    <cfRule type="cellIs" dxfId="48" priority="51" operator="equal">
      <formula>"Yes"</formula>
    </cfRule>
  </conditionalFormatting>
  <conditionalFormatting sqref="H8:H9">
    <cfRule type="cellIs" dxfId="47" priority="46" operator="equal">
      <formula>"No"</formula>
    </cfRule>
    <cfRule type="cellIs" dxfId="46" priority="47" operator="equal">
      <formula>"NA"</formula>
    </cfRule>
    <cfRule type="cellIs" dxfId="45" priority="48" operator="equal">
      <formula>"Yes"</formula>
    </cfRule>
  </conditionalFormatting>
  <conditionalFormatting sqref="H11:H16">
    <cfRule type="cellIs" dxfId="44" priority="43" operator="equal">
      <formula>"No"</formula>
    </cfRule>
    <cfRule type="cellIs" dxfId="43" priority="44" operator="equal">
      <formula>"NA"</formula>
    </cfRule>
    <cfRule type="cellIs" dxfId="42" priority="45" operator="equal">
      <formula>"Yes"</formula>
    </cfRule>
  </conditionalFormatting>
  <conditionalFormatting sqref="H18:H20">
    <cfRule type="cellIs" dxfId="41" priority="40" operator="equal">
      <formula>"No"</formula>
    </cfRule>
    <cfRule type="cellIs" dxfId="40" priority="41" operator="equal">
      <formula>"NA"</formula>
    </cfRule>
    <cfRule type="cellIs" dxfId="39" priority="42" operator="equal">
      <formula>"Yes"</formula>
    </cfRule>
  </conditionalFormatting>
  <conditionalFormatting sqref="H22:H26">
    <cfRule type="cellIs" dxfId="38" priority="37" operator="equal">
      <formula>"No"</formula>
    </cfRule>
    <cfRule type="cellIs" dxfId="37" priority="38" operator="equal">
      <formula>"NA"</formula>
    </cfRule>
    <cfRule type="cellIs" dxfId="36" priority="39" operator="equal">
      <formula>"Yes"</formula>
    </cfRule>
  </conditionalFormatting>
  <conditionalFormatting sqref="H28:H38">
    <cfRule type="cellIs" dxfId="35" priority="34" operator="equal">
      <formula>"No"</formula>
    </cfRule>
    <cfRule type="cellIs" dxfId="34" priority="35" operator="equal">
      <formula>"NA"</formula>
    </cfRule>
    <cfRule type="cellIs" dxfId="33" priority="36" operator="equal">
      <formula>"Yes"</formula>
    </cfRule>
  </conditionalFormatting>
  <conditionalFormatting sqref="H40:H43">
    <cfRule type="cellIs" dxfId="32" priority="31" operator="equal">
      <formula>"No"</formula>
    </cfRule>
    <cfRule type="cellIs" dxfId="31" priority="32" operator="equal">
      <formula>"NA"</formula>
    </cfRule>
    <cfRule type="cellIs" dxfId="30" priority="33" operator="equal">
      <formula>"Yes"</formula>
    </cfRule>
  </conditionalFormatting>
  <conditionalFormatting sqref="H45:H46">
    <cfRule type="cellIs" dxfId="29" priority="28" operator="equal">
      <formula>"No"</formula>
    </cfRule>
    <cfRule type="cellIs" dxfId="28" priority="29" operator="equal">
      <formula>"NA"</formula>
    </cfRule>
    <cfRule type="cellIs" dxfId="27" priority="30" operator="equal">
      <formula>"Yes"</formula>
    </cfRule>
  </conditionalFormatting>
  <conditionalFormatting sqref="I6">
    <cfRule type="cellIs" dxfId="26" priority="25" operator="equal">
      <formula>"No"</formula>
    </cfRule>
    <cfRule type="cellIs" dxfId="25" priority="26" operator="equal">
      <formula>"NA"</formula>
    </cfRule>
    <cfRule type="cellIs" dxfId="24" priority="27" operator="equal">
      <formula>"Yes"</formula>
    </cfRule>
  </conditionalFormatting>
  <conditionalFormatting sqref="I48">
    <cfRule type="cellIs" dxfId="23" priority="22" operator="equal">
      <formula>"No"</formula>
    </cfRule>
    <cfRule type="cellIs" dxfId="22" priority="23" operator="equal">
      <formula>"NA"</formula>
    </cfRule>
    <cfRule type="cellIs" dxfId="21" priority="24" operator="equal">
      <formula>"Yes"</formula>
    </cfRule>
  </conditionalFormatting>
  <conditionalFormatting sqref="I8:I9">
    <cfRule type="cellIs" dxfId="20" priority="19" operator="equal">
      <formula>"No"</formula>
    </cfRule>
    <cfRule type="cellIs" dxfId="19" priority="20" operator="equal">
      <formula>"NA"</formula>
    </cfRule>
    <cfRule type="cellIs" dxfId="18" priority="21" operator="equal">
      <formula>"Yes"</formula>
    </cfRule>
  </conditionalFormatting>
  <conditionalFormatting sqref="I11:I16">
    <cfRule type="cellIs" dxfId="17" priority="16" operator="equal">
      <formula>"No"</formula>
    </cfRule>
    <cfRule type="cellIs" dxfId="16" priority="17" operator="equal">
      <formula>"NA"</formula>
    </cfRule>
    <cfRule type="cellIs" dxfId="15" priority="18" operator="equal">
      <formula>"Yes"</formula>
    </cfRule>
  </conditionalFormatting>
  <conditionalFormatting sqref="I18:I20">
    <cfRule type="cellIs" dxfId="14" priority="13" operator="equal">
      <formula>"No"</formula>
    </cfRule>
    <cfRule type="cellIs" dxfId="13" priority="14" operator="equal">
      <formula>"NA"</formula>
    </cfRule>
    <cfRule type="cellIs" dxfId="12" priority="15" operator="equal">
      <formula>"Yes"</formula>
    </cfRule>
  </conditionalFormatting>
  <conditionalFormatting sqref="I22:I26">
    <cfRule type="cellIs" dxfId="11" priority="10" operator="equal">
      <formula>"No"</formula>
    </cfRule>
    <cfRule type="cellIs" dxfId="10" priority="11" operator="equal">
      <formula>"NA"</formula>
    </cfRule>
    <cfRule type="cellIs" dxfId="9" priority="12" operator="equal">
      <formula>"Yes"</formula>
    </cfRule>
  </conditionalFormatting>
  <conditionalFormatting sqref="I28:I38">
    <cfRule type="cellIs" dxfId="8" priority="7" operator="equal">
      <formula>"No"</formula>
    </cfRule>
    <cfRule type="cellIs" dxfId="7" priority="8" operator="equal">
      <formula>"NA"</formula>
    </cfRule>
    <cfRule type="cellIs" dxfId="6" priority="9" operator="equal">
      <formula>"Yes"</formula>
    </cfRule>
  </conditionalFormatting>
  <conditionalFormatting sqref="I40:I43">
    <cfRule type="cellIs" dxfId="5" priority="4" operator="equal">
      <formula>"No"</formula>
    </cfRule>
    <cfRule type="cellIs" dxfId="4" priority="5" operator="equal">
      <formula>"NA"</formula>
    </cfRule>
    <cfRule type="cellIs" dxfId="3" priority="6" operator="equal">
      <formula>"Yes"</formula>
    </cfRule>
  </conditionalFormatting>
  <conditionalFormatting sqref="I45:I46">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28:K38 C40:K43 C45:K46 C6:K6 C48:K48 C8:K9 C11:K16 C18:K20 C22:K26"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54</vt:i4>
      </vt:variant>
    </vt:vector>
  </HeadingPairs>
  <TitlesOfParts>
    <vt:vector size="61" baseType="lpstr">
      <vt:lpstr>FrontPage</vt:lpstr>
      <vt:lpstr>General info</vt:lpstr>
      <vt:lpstr>Help</vt:lpstr>
      <vt:lpstr>Metrics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'SAD checklist'!Review.QuestionIds</vt:lpstr>
      <vt:lpstr>'SAD checklist'!Review.ratings</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checklist'!Title.Checklist.Actions.Description</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checklist'!Title.Checklist.Rate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2023-07-31T12:00:34Z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