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Components\Application\Autoliv\AdcIf\Quality_Assurance\Peer_Review\"/>
    </mc:Choice>
  </mc:AlternateContent>
  <xr:revisionPtr revIDLastSave="0" documentId="13_ncr:1_{5910EB3A-A025-4EBC-9960-D980CE1C4E09}" xr6:coauthVersionLast="47" xr6:coauthVersionMax="47" xr10:uidLastSave="{00000000-0000-0000-0000-000000000000}"/>
  <bookViews>
    <workbookView xWindow="-120" yWindow="-120" windowWidth="29040" windowHeight="15990" tabRatio="750" activeTab="5"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 name="UTSR checklist" sheetId="247" r:id="rId9"/>
    <sheet name="ITSR checklist" sheetId="248" r:id="rId10"/>
  </sheets>
  <functionGroups builtInGroupCount="19"/>
  <externalReferences>
    <externalReference r:id="rId11"/>
    <externalReference r:id="rId12"/>
    <externalReference r:id="rId13"/>
    <externalReference r:id="rId14"/>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 localSheetId="9">'[2]General info'!$AJ$84:$AJ$105</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 localSheetId="9">[2]FrontPage!$AD$3</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 localSheetId="9">[2]FrontPage!$E$7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 localSheetId="9">[2]Review!$L$2</definedName>
    <definedName name="NbOfNotTreatedIssues">Review!$L$2</definedName>
    <definedName name="NbOfRejectedIssues" localSheetId="9">[2]Review!$M$2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 localSheetId="9">'[2]General info'!$AI$84:$AI$88</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9">'ITSR checklist'!$A$5:$A$31</definedName>
    <definedName name="Review.QuestionIds" localSheetId="6">'SDD checklist'!$A$5:$A$35</definedName>
    <definedName name="Review.QuestionIds" localSheetId="8">'UTSR checklist'!$A$5:$A$38</definedName>
    <definedName name="Review.ratings" localSheetId="7">'CODE checklist'!$C$5:$C$36</definedName>
    <definedName name="Review.ratings" localSheetId="9">'ITSR checklist'!$C$5:$C$31</definedName>
    <definedName name="Review.ratings" localSheetId="6">'SDD checklist'!$C$5:$C$35</definedName>
    <definedName name="Review.ratings" localSheetId="8">'UTSR checklist'!$C$5:$C$38</definedName>
    <definedName name="ReviewerStatus">Review!$M$4</definedName>
    <definedName name="ReviewFilename">'[1]Generate checklists'!$Q$23</definedName>
    <definedName name="Sheet.ReviewTempate" localSheetId="7">'CODE checklist'!$A$1</definedName>
    <definedName name="Sheet.ReviewTempate" localSheetId="9">'ITSR checklist'!$A$1</definedName>
    <definedName name="Sheet.ReviewTempate" localSheetId="6">'SDD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9">'ITSR checklist'!$B$2</definedName>
    <definedName name="Template.Name" localSheetId="6">'SDD checklist'!$B$2</definedName>
    <definedName name="Template.Question" localSheetId="7">'CODE checklist'!#REF!</definedName>
    <definedName name="Template.Question" localSheetId="9">'ITSR checklist'!#REF!</definedName>
    <definedName name="Template.Question" localSheetId="6">'SDD checklist'!#REF!</definedName>
    <definedName name="Template.Section" localSheetId="7">'CODE checklist'!#REF!</definedName>
    <definedName name="Template.Section" localSheetId="9">'ITSR checklist'!#REF!</definedName>
    <definedName name="Template.Section" localSheetId="6">'SDD checklist'!#REF!</definedName>
    <definedName name="TemplateColumn">Metrics!$B:$B</definedName>
    <definedName name="TemplateRef" localSheetId="9">[2]FrontPage!$W$7</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9">'ITSR checklist'!$B$2</definedName>
    <definedName name="Title.Checklist.Actions.Description" localSheetId="6">'SDD checklist'!$B$2</definedName>
    <definedName name="Title.Checklist.Actions.Responsible" localSheetId="7">[1]!Table1[[#Headers],[Actions
(description)]]</definedName>
    <definedName name="Title.Checklist.Actions.Responsible" localSheetId="9">[1]!Table1[[#Headers],[Actions
(description)]]</definedName>
    <definedName name="Title.Checklist.Actions.Responsible" localSheetId="6">[1]!Table1[[#Headers],[Actions
(description)]]</definedName>
    <definedName name="Title.Checklist.Guide.HowToRate" localSheetId="7">'CODE checklist'!$AO$3</definedName>
    <definedName name="Title.Checklist.Guide.HowToRate" localSheetId="9">'ITSR checklist'!$F$3</definedName>
    <definedName name="Title.Checklist.Guide.HowToRate" localSheetId="6">'SDD checklist'!$J$3</definedName>
    <definedName name="Title.Checklist.Guide.WhatToCheck" localSheetId="7">'CODE checklist'!$AN$3</definedName>
    <definedName name="Title.Checklist.Guide.WhatToCheck" localSheetId="9">'ITSR checklist'!$E$3</definedName>
    <definedName name="Title.Checklist.Guide.WhatToCheck" localSheetId="6">'SDD checklist'!$I$3</definedName>
    <definedName name="Title.Checklist.ManualQuestion" localSheetId="7">'CODE checklist'!$B$34</definedName>
    <definedName name="Title.Checklist.ManualQuestion" localSheetId="9">'ITSR checklist'!$B$29</definedName>
    <definedName name="Title.Checklist.ManualQuestion" localSheetId="6">'SDD checklist'!$B$33</definedName>
    <definedName name="Title.Checklist.NoteForAuditor" localSheetId="7">'CODE checklist'!$AN$2</definedName>
    <definedName name="Title.Checklist.NoteForAuditor" localSheetId="9">'ITSR checklist'!$E$2</definedName>
    <definedName name="Title.Checklist.NoteForAuditor" localSheetId="6">'SDD checklist'!$I$2</definedName>
    <definedName name="Title.Checklist.Question" localSheetId="7">'CODE checklist'!$B$4</definedName>
    <definedName name="Title.Checklist.Question" localSheetId="9">'ITSR checklist'!$B$4</definedName>
    <definedName name="Title.Checklist.Question" localSheetId="6">'SDD checklist'!$B$4</definedName>
    <definedName name="Title.Checklist.QuestionReference" localSheetId="7">'CODE checklist'!$A$2</definedName>
    <definedName name="Title.Checklist.QuestionReference" localSheetId="9">'ITSR checklist'!$A$2</definedName>
    <definedName name="Title.Checklist.QuestionReference" localSheetId="6">'SDD checklist'!$A$2</definedName>
    <definedName name="Title.Checklist.Rate" localSheetId="7">'CODE checklist'!$C$2</definedName>
    <definedName name="Title.Checklist.Rate" localSheetId="9">'ITSR checklist'!$C$2</definedName>
    <definedName name="Title.Checklist.Rate" localSheetId="6">'SDD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9">'ITSR checklist'!$2:$2</definedName>
    <definedName name="TitleRow" localSheetId="6">'SDD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245" l="1"/>
  <c r="F3" i="245"/>
  <c r="E69" i="42"/>
  <c r="G3" i="247"/>
  <c r="E68" i="42"/>
  <c r="D3" i="245"/>
  <c r="E67" i="42"/>
  <c r="E3" i="245"/>
  <c r="F10" i="38"/>
  <c r="W5" i="38"/>
  <c r="W7" i="38"/>
  <c r="A5" i="38"/>
  <c r="AB5" i="38"/>
  <c r="E7" i="38"/>
  <c r="AE7" i="38"/>
  <c r="A7" i="38"/>
  <c r="AB7" i="38"/>
  <c r="AL3" i="246" l="1"/>
  <c r="AK3" i="246"/>
  <c r="AJ3" i="246"/>
  <c r="E65" i="42"/>
  <c r="E64" i="42"/>
  <c r="E63" i="42"/>
  <c r="E62" i="42"/>
  <c r="E61" i="42"/>
  <c r="AI3" i="246"/>
  <c r="AH3" i="246"/>
  <c r="E60" i="42"/>
  <c r="E59" i="42"/>
  <c r="E58" i="42"/>
  <c r="E57" i="42"/>
  <c r="E56" i="42"/>
  <c r="AG3" i="246"/>
  <c r="AF3" i="246"/>
  <c r="AE3" i="246"/>
  <c r="AD3" i="246"/>
  <c r="AC3" i="246"/>
  <c r="F3" i="247"/>
  <c r="AB3" i="246"/>
  <c r="E3" i="247"/>
  <c r="D3" i="247"/>
  <c r="E44" i="42"/>
  <c r="E45" i="42"/>
  <c r="E46" i="42"/>
  <c r="E47" i="42"/>
  <c r="E48" i="42"/>
  <c r="E49" i="42"/>
  <c r="E50" i="42"/>
  <c r="E51" i="42"/>
  <c r="E52" i="42"/>
  <c r="E53" i="42"/>
  <c r="E54" i="42"/>
  <c r="E55" i="42"/>
  <c r="E66" i="42"/>
  <c r="E43" i="42"/>
  <c r="W3" i="246"/>
  <c r="X3" i="246"/>
  <c r="Y3" i="246"/>
  <c r="Z3" i="246"/>
  <c r="AA3" i="246"/>
  <c r="V3" i="246"/>
  <c r="U3" i="246"/>
  <c r="E42" i="42"/>
  <c r="E41" i="42"/>
  <c r="E40" i="42"/>
  <c r="E39" i="42"/>
  <c r="E38" i="42"/>
  <c r="E37" i="42"/>
  <c r="E36" i="42"/>
  <c r="E35" i="42"/>
  <c r="E34" i="42"/>
  <c r="E33" i="42"/>
  <c r="E32" i="42"/>
  <c r="E31" i="42"/>
  <c r="E30" i="42"/>
  <c r="E29" i="42"/>
  <c r="E28" i="42"/>
  <c r="E27" i="42"/>
  <c r="E26" i="42"/>
  <c r="E25" i="42"/>
  <c r="E24" i="42"/>
  <c r="E23" i="42"/>
  <c r="E22" i="42"/>
  <c r="C3" i="248"/>
  <c r="E21" i="42"/>
  <c r="G27" i="16"/>
  <c r="F27" i="16"/>
  <c r="E27" i="16"/>
  <c r="E44" i="16"/>
  <c r="E37" i="16"/>
  <c r="T3" i="246"/>
  <c r="S3" i="246"/>
  <c r="R3" i="246"/>
  <c r="E20" i="42"/>
  <c r="E19" i="42"/>
  <c r="E18" i="42"/>
  <c r="E17" i="42"/>
  <c r="Q3" i="246"/>
  <c r="E16" i="42"/>
  <c r="P3" i="246"/>
  <c r="E15" i="42"/>
  <c r="O3" i="246"/>
  <c r="E14" i="42"/>
  <c r="N3" i="246"/>
  <c r="E13" i="42"/>
  <c r="M3" i="246"/>
  <c r="E12" i="42"/>
  <c r="L3" i="246"/>
  <c r="E11" i="42"/>
  <c r="K3" i="246"/>
  <c r="E10" i="42"/>
  <c r="J3" i="246"/>
  <c r="E9" i="42"/>
  <c r="I3" i="246"/>
  <c r="E8" i="42"/>
  <c r="D3" i="246"/>
  <c r="E3" i="246"/>
  <c r="F3" i="246"/>
  <c r="G3" i="246"/>
  <c r="H3" i="246"/>
  <c r="C3" i="246"/>
  <c r="C3" i="247"/>
  <c r="E7" i="42"/>
  <c r="E6" i="42"/>
  <c r="E5" i="42"/>
  <c r="E4" i="42"/>
  <c r="C3" i="245"/>
  <c r="E3" i="42" l="1"/>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AEM_PROCESS_1.24.00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D3" authorId="0" shapeId="0" xr:uid="{668A6229-FF6A-4BF5-9F64-AE7FAF08E4E4}">
      <text>
        <r>
          <rPr>
            <b/>
            <sz val="9"/>
            <color indexed="81"/>
            <rFont val="Tahoma"/>
            <family val="2"/>
          </rPr>
          <t>Overview :</t>
        </r>
        <r>
          <rPr>
            <sz val="9"/>
            <color indexed="81"/>
            <rFont val="Tahoma"/>
            <family val="2"/>
          </rPr>
          <t xml:space="preserve">
Pourcentage of "yes" answers out of applicable answers</t>
        </r>
      </text>
    </comment>
    <comment ref="E3" authorId="0" shapeId="0" xr:uid="{E568AC2D-A6A8-47CF-AF64-C89E31526109}">
      <text>
        <r>
          <rPr>
            <b/>
            <sz val="9"/>
            <color indexed="81"/>
            <rFont val="Tahoma"/>
            <family val="2"/>
          </rPr>
          <t>Overview :</t>
        </r>
        <r>
          <rPr>
            <sz val="9"/>
            <color indexed="81"/>
            <rFont val="Tahoma"/>
            <family val="2"/>
          </rPr>
          <t xml:space="preserve">
Pourcentage of "yes" answers out of applicable answers</t>
        </r>
      </text>
    </comment>
    <comment ref="F3" authorId="0" shapeId="0" xr:uid="{C952C117-97C1-4036-A2AD-90B13FEC7E72}">
      <text>
        <r>
          <rPr>
            <b/>
            <sz val="9"/>
            <color indexed="81"/>
            <rFont val="Tahoma"/>
            <family val="2"/>
          </rPr>
          <t>Overview :</t>
        </r>
        <r>
          <rPr>
            <sz val="9"/>
            <color indexed="81"/>
            <rFont val="Tahoma"/>
            <family val="2"/>
          </rPr>
          <t xml:space="preserve">
Pourcentage of "yes" answers out of applicable answers</t>
        </r>
      </text>
    </comment>
    <comment ref="G3" authorId="0" shapeId="0" xr:uid="{2198AA78-0EEA-4EF0-98F4-BC50E8301E87}">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 ref="D35" authorId="0" shapeId="0" xr:uid="{BFF0024B-0AA9-4DBA-AD1F-37E35B4061EB}">
      <text>
        <r>
          <rPr>
            <b/>
            <sz val="9"/>
            <color indexed="81"/>
            <rFont val="Tahoma"/>
            <family val="2"/>
          </rPr>
          <t>This cell must be blank</t>
        </r>
      </text>
    </comment>
    <comment ref="E35" authorId="0" shapeId="0" xr:uid="{02B5C8EC-8413-450E-860D-AA8A1C7F91A2}">
      <text>
        <r>
          <rPr>
            <b/>
            <sz val="9"/>
            <color indexed="81"/>
            <rFont val="Tahoma"/>
            <family val="2"/>
          </rPr>
          <t>This cell must be blank</t>
        </r>
      </text>
    </comment>
    <comment ref="F35" authorId="0" shapeId="0" xr:uid="{CF87C186-F56C-4915-A159-EDAD97421625}">
      <text>
        <r>
          <rPr>
            <b/>
            <sz val="9"/>
            <color indexed="81"/>
            <rFont val="Tahoma"/>
            <family val="2"/>
          </rPr>
          <t>This cell must be blank</t>
        </r>
      </text>
    </comment>
    <comment ref="G35" authorId="0" shapeId="0" xr:uid="{E1E2B3D8-4F9A-4FC0-BCD1-98AD952218FB}">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E3" authorId="0" shapeId="0" xr:uid="{CA24352D-FB8F-4FB9-842C-3411BA2D23E7}">
      <text>
        <r>
          <rPr>
            <b/>
            <sz val="9"/>
            <color indexed="81"/>
            <rFont val="Tahoma"/>
            <family val="2"/>
          </rPr>
          <t>Overview :</t>
        </r>
        <r>
          <rPr>
            <sz val="9"/>
            <color indexed="81"/>
            <rFont val="Tahoma"/>
            <family val="2"/>
          </rPr>
          <t xml:space="preserve">
Pourcentage of "yes" answers out of applicable answers</t>
        </r>
      </text>
    </comment>
    <comment ref="F3" authorId="0" shapeId="0" xr:uid="{DE1F9BC4-AAD3-4293-B87B-6AD2DA008845}">
      <text>
        <r>
          <rPr>
            <b/>
            <sz val="9"/>
            <color indexed="81"/>
            <rFont val="Tahoma"/>
            <family val="2"/>
          </rPr>
          <t>Overview :</t>
        </r>
        <r>
          <rPr>
            <sz val="9"/>
            <color indexed="81"/>
            <rFont val="Tahoma"/>
            <family val="2"/>
          </rPr>
          <t xml:space="preserve">
Pourcentage of "yes" answers out of applicable answers</t>
        </r>
      </text>
    </comment>
    <comment ref="G3" authorId="0" shapeId="0" xr:uid="{14DE9116-0A19-4E08-AAB3-7C2349E90769}">
      <text>
        <r>
          <rPr>
            <b/>
            <sz val="9"/>
            <color indexed="81"/>
            <rFont val="Tahoma"/>
            <family val="2"/>
          </rPr>
          <t>Overview :</t>
        </r>
        <r>
          <rPr>
            <sz val="9"/>
            <color indexed="81"/>
            <rFont val="Tahoma"/>
            <family val="2"/>
          </rPr>
          <t xml:space="preserve">
Pourcentage of "yes" answers out of applicable answers</t>
        </r>
      </text>
    </comment>
    <comment ref="H3" authorId="0" shapeId="0" xr:uid="{9D6BF037-3EF0-4FF5-8853-835BB7C46829}">
      <text>
        <r>
          <rPr>
            <b/>
            <sz val="9"/>
            <color indexed="81"/>
            <rFont val="Tahoma"/>
            <family val="2"/>
          </rPr>
          <t>Overview :</t>
        </r>
        <r>
          <rPr>
            <sz val="9"/>
            <color indexed="81"/>
            <rFont val="Tahoma"/>
            <family val="2"/>
          </rPr>
          <t xml:space="preserve">
Pourcentage of "yes" answers out of applicable answers</t>
        </r>
      </text>
    </comment>
    <comment ref="J3" authorId="0" shapeId="0" xr:uid="{9957E571-83AF-482F-8D04-3FD590BD930C}">
      <text>
        <r>
          <rPr>
            <b/>
            <sz val="9"/>
            <color indexed="81"/>
            <rFont val="Tahoma"/>
            <family val="2"/>
          </rPr>
          <t>Overview :</t>
        </r>
        <r>
          <rPr>
            <sz val="9"/>
            <color indexed="81"/>
            <rFont val="Tahoma"/>
            <family val="2"/>
          </rPr>
          <t xml:space="preserve">
Pourcentage of "yes" answers out of applicable answers</t>
        </r>
      </text>
    </comment>
    <comment ref="K3" authorId="0" shapeId="0" xr:uid="{385A783C-496B-4782-BD2D-2C87E3159260}">
      <text>
        <r>
          <rPr>
            <b/>
            <sz val="9"/>
            <color indexed="81"/>
            <rFont val="Tahoma"/>
            <family val="2"/>
          </rPr>
          <t>Overview :</t>
        </r>
        <r>
          <rPr>
            <sz val="9"/>
            <color indexed="81"/>
            <rFont val="Tahoma"/>
            <family val="2"/>
          </rPr>
          <t xml:space="preserve">
Pourcentage of "yes" answers out of applicable answers</t>
        </r>
      </text>
    </comment>
    <comment ref="L3" authorId="0" shapeId="0" xr:uid="{908A5E4A-B3EB-4824-9D36-F5B959B7A5C1}">
      <text>
        <r>
          <rPr>
            <b/>
            <sz val="9"/>
            <color indexed="81"/>
            <rFont val="Tahoma"/>
            <family val="2"/>
          </rPr>
          <t>Overview :</t>
        </r>
        <r>
          <rPr>
            <sz val="9"/>
            <color indexed="81"/>
            <rFont val="Tahoma"/>
            <family val="2"/>
          </rPr>
          <t xml:space="preserve">
Pourcentage of "yes" answers out of applicable answers</t>
        </r>
      </text>
    </comment>
    <comment ref="N3" authorId="0" shapeId="0" xr:uid="{96A6BB4C-53FC-40BA-8697-60B5D98BDFEA}">
      <text>
        <r>
          <rPr>
            <b/>
            <sz val="9"/>
            <color indexed="81"/>
            <rFont val="Tahoma"/>
            <family val="2"/>
          </rPr>
          <t>Overview :</t>
        </r>
        <r>
          <rPr>
            <sz val="9"/>
            <color indexed="81"/>
            <rFont val="Tahoma"/>
            <family val="2"/>
          </rPr>
          <t xml:space="preserve">
Pourcentage of "yes" answers out of applicable answers</t>
        </r>
      </text>
    </comment>
    <comment ref="O3" authorId="0" shapeId="0" xr:uid="{E6F6B620-F7BD-483B-BB0E-44FB3EE6065C}">
      <text>
        <r>
          <rPr>
            <b/>
            <sz val="9"/>
            <color indexed="81"/>
            <rFont val="Tahoma"/>
            <family val="2"/>
          </rPr>
          <t>Overview :</t>
        </r>
        <r>
          <rPr>
            <sz val="9"/>
            <color indexed="81"/>
            <rFont val="Tahoma"/>
            <family val="2"/>
          </rPr>
          <t xml:space="preserve">
Pourcentage of "yes" answers out of applicable answers</t>
        </r>
      </text>
    </comment>
    <comment ref="P3" authorId="0" shapeId="0" xr:uid="{03C97B1B-DCAC-4015-8CA8-BCDD00E736E0}">
      <text>
        <r>
          <rPr>
            <b/>
            <sz val="9"/>
            <color indexed="81"/>
            <rFont val="Tahoma"/>
            <family val="2"/>
          </rPr>
          <t>Overview :</t>
        </r>
        <r>
          <rPr>
            <sz val="9"/>
            <color indexed="81"/>
            <rFont val="Tahoma"/>
            <family val="2"/>
          </rPr>
          <t xml:space="preserve">
Pourcentage of "yes" answers out of applicable answers</t>
        </r>
      </text>
    </comment>
    <comment ref="Q3" authorId="0" shapeId="0" xr:uid="{93A2E36E-B889-45EC-AD25-87BF17795A1B}">
      <text>
        <r>
          <rPr>
            <b/>
            <sz val="9"/>
            <color indexed="81"/>
            <rFont val="Tahoma"/>
            <family val="2"/>
          </rPr>
          <t>Overview :</t>
        </r>
        <r>
          <rPr>
            <sz val="9"/>
            <color indexed="81"/>
            <rFont val="Tahoma"/>
            <family val="2"/>
          </rPr>
          <t xml:space="preserve">
Pourcentage of "yes" answers out of applicable answers</t>
        </r>
      </text>
    </comment>
    <comment ref="S3" authorId="0" shapeId="0" xr:uid="{A8FB5E7C-ECCE-46B3-937D-9E333446889D}">
      <text>
        <r>
          <rPr>
            <b/>
            <sz val="9"/>
            <color indexed="81"/>
            <rFont val="Tahoma"/>
            <family val="2"/>
          </rPr>
          <t>Overview :</t>
        </r>
        <r>
          <rPr>
            <sz val="9"/>
            <color indexed="81"/>
            <rFont val="Tahoma"/>
            <family val="2"/>
          </rPr>
          <t xml:space="preserve">
Pourcentage of "yes" answers out of applicable answers</t>
        </r>
      </text>
    </comment>
    <comment ref="T3" authorId="0" shapeId="0" xr:uid="{0EEF5F94-F46A-4C29-8DD0-CABEEA727DFA}">
      <text>
        <r>
          <rPr>
            <b/>
            <sz val="9"/>
            <color indexed="81"/>
            <rFont val="Tahoma"/>
            <family val="2"/>
          </rPr>
          <t>Overview :</t>
        </r>
        <r>
          <rPr>
            <sz val="9"/>
            <color indexed="81"/>
            <rFont val="Tahoma"/>
            <family val="2"/>
          </rPr>
          <t xml:space="preserve">
Pourcentage of "yes" answers out of applicable answers</t>
        </r>
      </text>
    </comment>
    <comment ref="U3" authorId="0" shapeId="0" xr:uid="{1780BA90-5E67-477E-B547-987BAD7769B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E36" authorId="0" shapeId="0" xr:uid="{F7F240AB-B6F2-47B6-9CD0-5A372E56FEED}">
      <text>
        <r>
          <rPr>
            <b/>
            <sz val="9"/>
            <color indexed="81"/>
            <rFont val="Tahoma"/>
            <family val="2"/>
          </rPr>
          <t>This cell must be blank</t>
        </r>
      </text>
    </comment>
    <comment ref="F36" authorId="0" shapeId="0" xr:uid="{C4DDFA82-6849-4B60-86E1-E342E77530E4}">
      <text>
        <r>
          <rPr>
            <b/>
            <sz val="9"/>
            <color indexed="81"/>
            <rFont val="Tahoma"/>
            <family val="2"/>
          </rPr>
          <t>This cell must be blank</t>
        </r>
      </text>
    </comment>
    <comment ref="G36" authorId="0" shapeId="0" xr:uid="{125EB54A-E272-43E1-B319-96970F552174}">
      <text>
        <r>
          <rPr>
            <b/>
            <sz val="9"/>
            <color indexed="81"/>
            <rFont val="Tahoma"/>
            <family val="2"/>
          </rPr>
          <t>This cell must be blank</t>
        </r>
      </text>
    </comment>
    <comment ref="H36" authorId="0" shapeId="0" xr:uid="{E70A016E-8A75-4260-9D4C-435C513DE129}">
      <text>
        <r>
          <rPr>
            <b/>
            <sz val="9"/>
            <color indexed="81"/>
            <rFont val="Tahoma"/>
            <family val="2"/>
          </rPr>
          <t>This cell must be blank</t>
        </r>
      </text>
    </comment>
    <comment ref="J36" authorId="0" shapeId="0" xr:uid="{CE0C4F79-749A-46BC-9BF6-3024F4068685}">
      <text>
        <r>
          <rPr>
            <b/>
            <sz val="9"/>
            <color indexed="81"/>
            <rFont val="Tahoma"/>
            <family val="2"/>
          </rPr>
          <t>This cell must be blank</t>
        </r>
      </text>
    </comment>
    <comment ref="K36" authorId="0" shapeId="0" xr:uid="{4A99C1B6-BFA9-4BE1-8E1D-F6AC1FFF747E}">
      <text>
        <r>
          <rPr>
            <b/>
            <sz val="9"/>
            <color indexed="81"/>
            <rFont val="Tahoma"/>
            <family val="2"/>
          </rPr>
          <t>This cell must be blank</t>
        </r>
      </text>
    </comment>
    <comment ref="L36" authorId="0" shapeId="0" xr:uid="{F2058984-96F8-4E0F-BDB3-DDDEADC6C887}">
      <text>
        <r>
          <rPr>
            <b/>
            <sz val="9"/>
            <color indexed="81"/>
            <rFont val="Tahoma"/>
            <family val="2"/>
          </rPr>
          <t>This cell must be blank</t>
        </r>
      </text>
    </comment>
    <comment ref="N36" authorId="0" shapeId="0" xr:uid="{BE8D7542-FD6E-4EA8-9399-C2A8D1299B51}">
      <text>
        <r>
          <rPr>
            <b/>
            <sz val="9"/>
            <color indexed="81"/>
            <rFont val="Tahoma"/>
            <family val="2"/>
          </rPr>
          <t>This cell must be blank</t>
        </r>
      </text>
    </comment>
    <comment ref="O36" authorId="0" shapeId="0" xr:uid="{4B62C97D-C24A-40E6-BC64-5D6AF3C88237}">
      <text>
        <r>
          <rPr>
            <b/>
            <sz val="9"/>
            <color indexed="81"/>
            <rFont val="Tahoma"/>
            <family val="2"/>
          </rPr>
          <t>This cell must be blank</t>
        </r>
      </text>
    </comment>
    <comment ref="P36" authorId="0" shapeId="0" xr:uid="{7E75A994-6D63-442F-93EC-DB777BEBFE70}">
      <text>
        <r>
          <rPr>
            <b/>
            <sz val="9"/>
            <color indexed="81"/>
            <rFont val="Tahoma"/>
            <family val="2"/>
          </rPr>
          <t>This cell must be blank</t>
        </r>
      </text>
    </comment>
    <comment ref="Q36" authorId="0" shapeId="0" xr:uid="{9B1E3A2F-2526-42E5-9DCC-F01DF5F393C0}">
      <text>
        <r>
          <rPr>
            <b/>
            <sz val="9"/>
            <color indexed="81"/>
            <rFont val="Tahoma"/>
            <family val="2"/>
          </rPr>
          <t>This cell must be blank</t>
        </r>
      </text>
    </comment>
    <comment ref="S36" authorId="0" shapeId="0" xr:uid="{5F3B9C2E-945A-4927-8C11-E8ECBC2723A0}">
      <text>
        <r>
          <rPr>
            <b/>
            <sz val="9"/>
            <color indexed="81"/>
            <rFont val="Tahoma"/>
            <family val="2"/>
          </rPr>
          <t>This cell must be blank</t>
        </r>
      </text>
    </comment>
    <comment ref="T36" authorId="0" shapeId="0" xr:uid="{A2D3F9DD-B1E6-409F-89D0-E7E3C94D9656}">
      <text>
        <r>
          <rPr>
            <b/>
            <sz val="9"/>
            <color indexed="81"/>
            <rFont val="Tahoma"/>
            <family val="2"/>
          </rPr>
          <t>This cell must be blank</t>
        </r>
      </text>
    </comment>
    <comment ref="U36" authorId="0" shapeId="0" xr:uid="{B8BE8A5C-A2BF-4AA8-98C5-6E6B6A4C52AB}">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FC4AD7ED-FABB-4769-B320-D117FC7302D1}">
      <text>
        <r>
          <rPr>
            <b/>
            <sz val="9"/>
            <color indexed="81"/>
            <rFont val="Tahoma"/>
            <family val="2"/>
          </rPr>
          <t>Overview :</t>
        </r>
        <r>
          <rPr>
            <sz val="9"/>
            <color indexed="81"/>
            <rFont val="Tahoma"/>
            <family val="2"/>
          </rPr>
          <t xml:space="preserve">
Pourcentage of "yes" answers out of applicable answers</t>
        </r>
      </text>
    </comment>
    <comment ref="B36" authorId="0" shapeId="0" xr:uid="{074BA1DE-4B79-4344-A351-EB45E1075508}">
      <text>
        <r>
          <rPr>
            <b/>
            <sz val="9"/>
            <color indexed="81"/>
            <rFont val="Tahoma"/>
            <family val="2"/>
          </rPr>
          <t xml:space="preserve">Everything above this row is generated by Question Library (TEM486 - Master questions library.xlsm) </t>
        </r>
      </text>
    </comment>
    <comment ref="A38" authorId="0" shapeId="0" xr:uid="{2682C0FC-6F02-44CB-9D78-B2843CE37BC0}">
      <text>
        <r>
          <rPr>
            <b/>
            <sz val="9"/>
            <color indexed="81"/>
            <rFont val="Tahoma"/>
            <family val="2"/>
          </rPr>
          <t>This cell must be blank</t>
        </r>
      </text>
    </comment>
    <comment ref="C38" authorId="0" shapeId="0" xr:uid="{5B8D153E-9DD1-4538-BDC7-E9EC9986BD07}">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E1635319-A4E5-42E6-BB07-0A63E14B0A4C}">
      <text>
        <r>
          <rPr>
            <b/>
            <sz val="9"/>
            <color indexed="81"/>
            <rFont val="Tahoma"/>
            <family val="2"/>
          </rPr>
          <t>Overview :</t>
        </r>
        <r>
          <rPr>
            <sz val="9"/>
            <color indexed="81"/>
            <rFont val="Tahoma"/>
            <family val="2"/>
          </rPr>
          <t xml:space="preserve">
Pourcentage of "yes" answers out of applicable answers</t>
        </r>
      </text>
    </comment>
    <comment ref="B10" authorId="1" shapeId="0" xr:uid="{84E73ED5-1815-4A42-82F8-78D92F02142B}">
      <text>
        <r>
          <rPr>
            <b/>
            <sz val="8"/>
            <color indexed="81"/>
            <rFont val="Tahoma"/>
            <family val="2"/>
            <charset val="238"/>
          </rPr>
          <t>Author:</t>
        </r>
        <r>
          <rPr>
            <sz val="8"/>
            <color indexed="81"/>
            <rFont val="Tahoma"/>
            <family val="2"/>
            <charset val="238"/>
          </rPr>
          <t xml:space="preserve">
Test environment is defined at start-up,…</t>
        </r>
      </text>
    </comment>
    <comment ref="B29" authorId="0" shapeId="0" xr:uid="{6BBF521A-929A-4440-97EE-4BC3E297D3C8}">
      <text>
        <r>
          <rPr>
            <b/>
            <sz val="9"/>
            <color indexed="81"/>
            <rFont val="Tahoma"/>
            <family val="2"/>
          </rPr>
          <t xml:space="preserve">Everything above this row is generated by Question Library (TEM486 - Master questions library.xlsm) </t>
        </r>
      </text>
    </comment>
    <comment ref="A31" authorId="0" shapeId="0" xr:uid="{4D419253-148C-4B92-805D-43B26F84C2C2}">
      <text>
        <r>
          <rPr>
            <b/>
            <sz val="9"/>
            <color indexed="81"/>
            <rFont val="Tahoma"/>
            <family val="2"/>
          </rPr>
          <t>This cell must be blank</t>
        </r>
      </text>
    </comment>
    <comment ref="C31" authorId="0" shapeId="0" xr:uid="{61EB6A4F-29F4-468C-8220-1A544DB7792E}">
      <text>
        <r>
          <rPr>
            <b/>
            <sz val="9"/>
            <color indexed="81"/>
            <rFont val="Tahoma"/>
            <family val="2"/>
          </rPr>
          <t>This cell must be blank</t>
        </r>
      </text>
    </comment>
  </commentList>
</comments>
</file>

<file path=xl/sharedStrings.xml><?xml version="1.0" encoding="utf-8"?>
<sst xmlns="http://schemas.openxmlformats.org/spreadsheetml/2006/main" count="2827" uniqueCount="631">
  <si>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</si>
  <si>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</si>
  <si>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</si>
  <si>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</si>
  <si>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</si>
  <si>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</si>
  <si>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</si>
  <si>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</si>
  <si>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</si>
  <si>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</si>
  <si>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</si>
  <si>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</si>
  <si>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</si>
  <si>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</si>
  <si>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</si>
  <si>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</si>
  <si>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</si>
  <si>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</si>
  <si>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</si>
  <si>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</si>
  <si>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</si>
  <si>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</si>
  <si>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</si>
  <si>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</si>
  <si>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</si>
  <si>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</si>
  <si>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</si>
  <si>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</si>
  <si>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</si>
  <si>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</si>
  <si>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</si>
  <si>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</si>
  <si>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</si>
  <si>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</si>
  <si>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</si>
  <si>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</si>
  <si>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</si>
  <si>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</si>
  <si>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</si>
  <si>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</si>
  <si>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</si>
  <si>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</si>
  <si>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</si>
  <si>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</si>
  <si>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</si>
  <si>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</si>
  <si>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</si>
  <si>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</si>
  <si>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</si>
  <si>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</si>
  <si>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</si>
  <si>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</si>
  <si>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</si>
  <si>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</si>
  <si>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</si>
  <si>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</si>
  <si>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</si>
  <si>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</si>
  <si>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</si>
  <si>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</si>
  <si>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</si>
  <si>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</si>
  <si>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</si>
  <si>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</si>
  <si>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</si>
  <si>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</si>
  <si>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</si>
  <si>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</si>
  <si>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</si>
  <si>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</si>
  <si>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</si>
  <si>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</si>
  <si>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</si>
  <si>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</si>
  <si>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</si>
  <si>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</si>
  <si>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</si>
  <si>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</si>
  <si>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</si>
  <si>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</si>
  <si>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</si>
  <si>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</si>
  <si>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</si>
  <si>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</si>
  <si>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</si>
  <si>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</si>
  <si>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</si>
  <si>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</si>
  <si>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</si>
  <si>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</si>
  <si>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</si>
  <si>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</si>
  <si>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</si>
  <si>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</si>
  <si>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</si>
  <si>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</si>
  <si>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</si>
  <si>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</si>
  <si>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</si>
  <si>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</si>
  <si>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</si>
  <si>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</si>
  <si>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</si>
  <si>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</si>
  <si>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</si>
  <si>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</si>
  <si>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</si>
  <si>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</si>
  <si>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</si>
  <si>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</si>
  <si>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</si>
  <si>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</si>
  <si>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</si>
  <si>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</si>
  <si>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</si>
  <si>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</si>
  <si>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</si>
  <si>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</si>
  <si>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</si>
  <si>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</si>
  <si>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</si>
  <si>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</si>
  <si>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</si>
  <si>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</si>
  <si>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</si>
  <si>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</si>
  <si>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</si>
  <si>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</si>
  <si>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</si>
  <si>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</si>
  <si>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</si>
  <si>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</si>
  <si>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</si>
  <si>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</si>
  <si>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</si>
  <si>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</si>
  <si>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</si>
  <si>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</si>
  <si>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</si>
  <si>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</si>
  <si>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</si>
  <si>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</si>
  <si>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</si>
  <si>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</si>
  <si>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</si>
  <si>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</si>
  <si>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</si>
  <si>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</si>
  <si>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</si>
  <si>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</si>
  <si>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</si>
  <si>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</si>
  <si>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</si>
  <si>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</si>
  <si>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</si>
  <si>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</si>
  <si>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</si>
  <si>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</si>
  <si>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</si>
  <si>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</si>
  <si>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</si>
  <si>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</si>
  <si>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</si>
  <si>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</si>
  <si>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</si>
  <si>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</si>
  <si>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</si>
  <si>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</si>
  <si>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</si>
  <si>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</si>
  <si>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</si>
  <si>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</si>
  <si>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</si>
  <si>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</si>
  <si>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</si>
  <si>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</si>
  <si>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</si>
  <si>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</si>
  <si>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</si>
  <si>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</si>
  <si>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</si>
  <si>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</si>
  <si>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</si>
  <si>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</si>
  <si>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</si>
  <si>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</si>
  <si>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</si>
  <si>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</si>
  <si>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</si>
  <si>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</si>
  <si>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</si>
  <si>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</si>
  <si>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</si>
  <si>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</si>
  <si>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</si>
  <si>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</si>
  <si>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</si>
  <si>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</si>
  <si>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</si>
  <si>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</si>
  <si>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</si>
  <si>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</si>
  <si>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</si>
  <si>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</si>
  <si>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</si>
  <si>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</si>
  <si>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</si>
  <si>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</si>
  <si>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</si>
  <si>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</si>
  <si>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</si>
  <si>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</si>
  <si>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</si>
  <si>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</si>
  <si>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</si>
  <si>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</si>
  <si>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</si>
  <si>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</si>
  <si>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</si>
  <si>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</si>
  <si>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</si>
  <si>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</si>
  <si>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Questions out of questions library</t>
  </si>
  <si>
    <r>
      <t xml:space="preserve">Justification
</t>
    </r>
    <r>
      <rPr>
        <sz val="10"/>
        <color theme="0"/>
        <rFont val="Arial"/>
        <family val="2"/>
      </rPr>
      <t>(if not OK)</t>
    </r>
  </si>
  <si>
    <t>Specific question for this checklist</t>
  </si>
  <si>
    <t>Questions generated by questions library tool</t>
  </si>
  <si>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</si>
  <si>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</si>
  <si>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</si>
  <si>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</si>
  <si>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</si>
  <si>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</si>
  <si>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</si>
  <si>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</si>
  <si>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</si>
  <si>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</si>
  <si>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</si>
  <si>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</si>
  <si>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</si>
  <si>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</si>
  <si>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</si>
  <si>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</si>
  <si>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</si>
  <si>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</si>
  <si>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</si>
  <si>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</si>
  <si>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</si>
  <si>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</si>
  <si>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</si>
  <si>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</si>
  <si>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</si>
  <si>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</si>
  <si>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</si>
  <si>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</si>
  <si>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</si>
  <si>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</si>
  <si>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</si>
  <si>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</si>
  <si>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</si>
  <si>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</si>
  <si>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</si>
  <si>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</si>
  <si>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</si>
  <si>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</si>
  <si>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</si>
  <si>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</si>
  <si>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</si>
  <si>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</si>
  <si>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</si>
  <si>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</si>
  <si>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</si>
  <si>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</si>
  <si>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</si>
  <si>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</si>
  <si>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</si>
  <si>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</si>
  <si>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</si>
  <si>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</si>
  <si>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</si>
  <si>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</si>
  <si>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</si>
  <si>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</si>
  <si>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</si>
  <si>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</si>
  <si>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</si>
  <si>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</si>
  <si>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</si>
  <si>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</si>
  <si>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</si>
  <si>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</si>
  <si>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</si>
  <si>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</si>
  <si>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</si>
  <si>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</si>
  <si>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</si>
  <si>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</si>
  <si>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</si>
  <si>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</si>
  <si>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</si>
  <si>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</si>
  <si>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</si>
  <si>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</si>
  <si>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</si>
  <si>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</si>
  <si>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</si>
  <si>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</si>
  <si>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</si>
  <si>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</si>
  <si>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</si>
  <si>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</si>
  <si>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</si>
  <si>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</si>
  <si>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</si>
  <si>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</si>
  <si>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</si>
  <si>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</si>
  <si>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</si>
  <si>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</si>
  <si>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</si>
  <si>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</si>
  <si>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</si>
  <si>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</si>
  <si>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</si>
  <si>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</si>
  <si>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</si>
  <si>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</si>
  <si>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</si>
  <si>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</si>
  <si>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</si>
  <si>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</si>
  <si>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</si>
  <si>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</si>
  <si>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</si>
  <si>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</si>
  <si>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</si>
  <si>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</si>
  <si>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</si>
  <si>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XX-R-REV-0579</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</si>
  <si>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</si>
  <si>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</si>
  <si>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</si>
  <si>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</si>
  <si>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</si>
  <si>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</si>
  <si>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</si>
  <si>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</si>
  <si>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</si>
  <si>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</si>
  <si>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</si>
  <si>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</si>
  <si>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</si>
  <si>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</si>
  <si>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</si>
  <si>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</si>
  <si>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</si>
  <si>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</si>
  <si>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</si>
  <si>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VCH</t>
  </si>
  <si>
    <t>GBR</t>
  </si>
  <si>
    <t>Vlad Chioveanu</t>
  </si>
  <si>
    <t>23.09.2022</t>
  </si>
  <si>
    <t>NA: There is no loop in .h file</t>
  </si>
  <si>
    <t>AdcIf_cfg.h</t>
  </si>
  <si>
    <t>Template not acoording to process</t>
  </si>
  <si>
    <t>Includes that are not relevant shall be deleted</t>
  </si>
  <si>
    <t>AdcIf_cfg.c</t>
  </si>
  <si>
    <t>Magic number -1 shall not be used</t>
  </si>
  <si>
    <t>AdcIf.h</t>
  </si>
  <si>
    <t>AdcIf_runInitFilteredResults function not used, shall be deleted</t>
  </si>
  <si>
    <t>AdcIf.c</t>
  </si>
  <si>
    <t>Multiple includes of the same file shall not be present</t>
  </si>
  <si>
    <t>Unused defines shall be deleted</t>
  </si>
  <si>
    <t>AdcIf_GPTOnTimer_Expiration function:group conversion shall be explained with comments (e.g. : KL30 is monitored by group conversion 1)</t>
  </si>
  <si>
    <t>VPO</t>
  </si>
  <si>
    <t>AdcIf_autotest.c</t>
  </si>
  <si>
    <t>No additional questions</t>
  </si>
  <si>
    <t>AdcIf - Peer Review Workbook.xlsm</t>
  </si>
  <si>
    <t>eCS_Platform.AdcIf.tmb</t>
  </si>
  <si>
    <t>No findings</t>
  </si>
  <si>
    <t>Cornel Albu</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</si>
  <si>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</si>
  <si>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</si>
  <si>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</si>
  <si>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</si>
  <si>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</si>
  <si>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</si>
  <si>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</si>
  <si>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</si>
  <si>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</si>
  <si>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</si>
  <si>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</si>
  <si>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</si>
  <si>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</si>
  <si>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</si>
  <si>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</si>
  <si>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</si>
  <si>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NA: no possible logs provided by TESSY</t>
  </si>
  <si>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</si>
  <si>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</si>
  <si>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</si>
  <si>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</si>
  <si>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</si>
  <si>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</si>
  <si>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</si>
  <si>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</si>
  <si>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</si>
  <si>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</si>
  <si>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</si>
  <si>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</si>
  <si>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</si>
  <si>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NA: No HIL present</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</si>
  <si>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</si>
  <si>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</si>
  <si>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</si>
  <si>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</si>
  <si>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</si>
  <si>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</si>
  <si>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</si>
  <si>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</si>
  <si>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</si>
  <si>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</si>
  <si>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AdcIf_cfg.h - 1.1</t>
  </si>
  <si>
    <t>AdcIf.h - 1.1</t>
  </si>
  <si>
    <t>AdcIf.c - 1.1</t>
  </si>
  <si>
    <t>AdcIf_autotest.c - 1.1</t>
  </si>
  <si>
    <t>Lucian Ardeleanu</t>
  </si>
  <si>
    <t xml:space="preserve">Template changed according to process. </t>
  </si>
  <si>
    <t>Deleted unused includes</t>
  </si>
  <si>
    <t>Fixed, macro added for -1</t>
  </si>
  <si>
    <t>Fixed, function deleted</t>
  </si>
  <si>
    <t>Deleted duplicate includes</t>
  </si>
  <si>
    <t xml:space="preserve">Fixed, deleted unused defines. </t>
  </si>
  <si>
    <t>Fixed, added description in function brief.</t>
  </si>
  <si>
    <t>1.6.1.1</t>
  </si>
  <si>
    <t>Review covered by version 1.6.1.5</t>
  </si>
  <si>
    <t>Ioan Repede</t>
  </si>
  <si>
    <t>1.6.1.2</t>
  </si>
  <si>
    <t>1.6.1.3</t>
  </si>
  <si>
    <t>1.6.1.4</t>
  </si>
  <si>
    <t>AdcIf_cfg.h - 1.6.1.5</t>
  </si>
  <si>
    <t>NA: QAC not aplicable on header</t>
  </si>
  <si>
    <t>AdcIf_cfg.h - v1.6.1.5</t>
  </si>
  <si>
    <t>01.16.2023</t>
  </si>
  <si>
    <t>Ire</t>
  </si>
  <si>
    <t>1.6.1.5</t>
  </si>
  <si>
    <t>Review covered by version 1.3</t>
  </si>
  <si>
    <t>Rename the exported variables according to the coding rules</t>
  </si>
  <si>
    <t>AdcIf_cfg.c - v1.3</t>
  </si>
  <si>
    <t>1.3.2.1</t>
  </si>
  <si>
    <t>Review covered by version 1.3.2.5</t>
  </si>
  <si>
    <t>1.3.2.2</t>
  </si>
  <si>
    <t>1.3.2.3</t>
  </si>
  <si>
    <t>1.3.2.4</t>
  </si>
  <si>
    <t>1.3.2.5</t>
  </si>
  <si>
    <t>Rename exported variables according to the coading rules</t>
  </si>
  <si>
    <t>AdcIf.h - 1.3.2.5</t>
  </si>
  <si>
    <t>AdcIf.h - v1.3.2.5</t>
  </si>
  <si>
    <t>1.19.1.6</t>
  </si>
  <si>
    <t>1.19.1.1</t>
  </si>
  <si>
    <t>Review covered by version 1.19.1.6</t>
  </si>
  <si>
    <t>1.19.1.2</t>
  </si>
  <si>
    <t>1.19.1.3</t>
  </si>
  <si>
    <t>1.19.1.4</t>
  </si>
  <si>
    <t>1.19.1.5</t>
  </si>
  <si>
    <t>In function AdcIf_WaitForConversion do not use call function as paramater in while loop.</t>
  </si>
  <si>
    <t>In function AdcIf_Calib, rename local variables acording to the coding rules.</t>
  </si>
  <si>
    <t>In function AdcIf_Calib, remove symbol '\' from multi-line for loop.</t>
  </si>
  <si>
    <t>In function AdcIf_runGetChannelValue rename function parameters according to the coding guideline.</t>
  </si>
  <si>
    <t>AdcIf.c - 1.19.1.6</t>
  </si>
  <si>
    <t>AdcIf.c - v1.19.1.6</t>
  </si>
  <si>
    <t>Review covered by version 1.4.2.5</t>
  </si>
  <si>
    <t>1.4.2.1</t>
  </si>
  <si>
    <t>1.4.2.2</t>
  </si>
  <si>
    <t>1.4.2.3</t>
  </si>
  <si>
    <t>1.4.2.4</t>
  </si>
  <si>
    <t>AdcIf_autotest.c - 1.4.2.5</t>
  </si>
  <si>
    <t>1.4.2.5</t>
  </si>
  <si>
    <t>01.17.2023</t>
  </si>
  <si>
    <t>Gabriel Brasoveanu</t>
  </si>
  <si>
    <t>AdcIf_cfg.c - 1.3</t>
  </si>
  <si>
    <t>AdcIf_cfg.c - 1.4</t>
  </si>
  <si>
    <t>AdcIf_cfg.c - v1.4</t>
  </si>
  <si>
    <t>1.6.1.6</t>
  </si>
  <si>
    <t>AdcIf_autotests.c</t>
  </si>
  <si>
    <t>AdcIf_cfg.h - 1.6.1.6</t>
  </si>
  <si>
    <t>AdcIf_cfg.h - v1.6.1.6</t>
  </si>
  <si>
    <t>1.3.2.6</t>
  </si>
  <si>
    <t>AdcIf.h - 1.3.2.6</t>
  </si>
  <si>
    <t>AdcIf.h - v1.3.2.6</t>
  </si>
  <si>
    <t>1.19.1.7</t>
  </si>
  <si>
    <t>AdcIf.c - 1.19.1.7</t>
  </si>
  <si>
    <t>AdcIf.c - v1.19.1.7</t>
  </si>
  <si>
    <t>1.4.2.6</t>
  </si>
  <si>
    <t>AdcIf_autotest.c - v1.4.2.6</t>
  </si>
  <si>
    <t>AdcIf_autotest.c - v1.4.2.5</t>
  </si>
  <si>
    <t>1.6.1.4.1.2</t>
  </si>
  <si>
    <t>No findings between 1.6.1.6 and this version</t>
  </si>
  <si>
    <t>No findings between 1.19.1.7 and this version</t>
  </si>
  <si>
    <t>1.19.1.5.1.2.1.1</t>
  </si>
  <si>
    <t>AdcIf_cfg.c - v1.5</t>
  </si>
  <si>
    <t>AdcIf_cfg.h- v1.6.1.4.1.2</t>
  </si>
  <si>
    <t>AdcIf.c - v1.19.1.5.1.2.1.1</t>
  </si>
  <si>
    <t>02.17.2023</t>
  </si>
  <si>
    <t>AdcIf_cfg.c - 1.5</t>
  </si>
  <si>
    <t>AdcIf_cfg.h - 1.6.1.4.1.2</t>
  </si>
  <si>
    <t>AdcIf.c - 1.19.1.5.1.2.1.1</t>
  </si>
  <si>
    <t>Sw_Int_AdcIf_pseCheckAdcCalib_01.txt</t>
  </si>
  <si>
    <t>Sw_Int_AdcIf_pseCheckAdcCalib_02.txt</t>
  </si>
  <si>
    <t>Sw_Int_AdcIf_pseCheckAdcCalib_03.txt</t>
  </si>
  <si>
    <t>Sw_Int_AdcIf_pseCheckAdcCalib_04.txt</t>
  </si>
  <si>
    <t>Sw_Int_AdcIf_pseCheckAdc_01.txt</t>
  </si>
  <si>
    <t>Sw_Int_AdcIf_pseCheckAdc_02.txt</t>
  </si>
  <si>
    <t>Sw_Int_AdcIf_pseCheckAdc_03.txt</t>
  </si>
  <si>
    <t>Sw_Int_AdcIf_pseRawAdcService_01.txt</t>
  </si>
  <si>
    <t>Sw_Int_AdcIf_pseRawAdcService_02.txt</t>
  </si>
  <si>
    <t>Sw_Int_AdcIf_pseRawAdcService_03.txt</t>
  </si>
  <si>
    <t>Sw_Int_AdcIf_pseRawAdcService_04.txt</t>
  </si>
  <si>
    <t>Sw_Int_AdcIf_pseRawAdcService_05.txt</t>
  </si>
  <si>
    <t>Sw_Int_AdcIf_pseRawAdcService_06.txt</t>
  </si>
  <si>
    <t>Sw_Int_AdcIf_pseRawAdcService_07.txt</t>
  </si>
  <si>
    <t>Sw_Int_AdcIf_pseRawAdcService_08.txt</t>
  </si>
  <si>
    <t>Sw_Int_AdcIf_pseRawAdcService_09.txt</t>
  </si>
  <si>
    <t>Sw_Int_AdcIf_pseRawAdcService_10.txt</t>
  </si>
  <si>
    <t>Sw_Int_AdcIf_pseRawAdcService_11.txt</t>
  </si>
  <si>
    <t>Sw_Int_AdcIf_pseStartConversion_01.txt</t>
  </si>
  <si>
    <t>Sw_Int_AdcIf_ptrpAdcIfServices_AdcIf_runInit_01.txt</t>
  </si>
  <si>
    <t>Sw_Int_AdcIf_ptrpEcuMIfServices_01.txt</t>
  </si>
  <si>
    <t>Sw_Int_AdcIf_ptrrAsrAdcServices_Adc_StartGroupConversion_AdcIf_runInit_01.txt</t>
  </si>
  <si>
    <t>Sw_Int_AdcIf_ptrrAsrGptServices_01.txt</t>
  </si>
  <si>
    <t>22.02.2023</t>
  </si>
  <si>
    <t>LAR</t>
  </si>
  <si>
    <t>Review criteria for
Integration tests specifications and report (ITSR)</t>
  </si>
  <si>
    <t>SW-R-INT-0589</t>
  </si>
  <si>
    <r>
      <rPr>
        <b/>
        <sz val="10"/>
        <rFont val="Arial"/>
        <family val="2"/>
      </rPr>
      <t xml:space="preserve">Architecture tests
</t>
    </r>
    <r>
      <rPr>
        <sz val="10"/>
        <rFont val="Arial"/>
        <family val="2"/>
      </rPr>
      <t>Are all applicable SW Architecture specifications (mentioned in the test header) covered 100% by the test case ?</t>
    </r>
  </si>
  <si>
    <t>SW-R-INT-0590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</si>
  <si>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</si>
  <si>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SW-R-XX-0591</t>
  </si>
  <si>
    <r>
      <rPr>
        <b/>
        <sz val="10"/>
        <rFont val="Arial"/>
        <family val="2"/>
      </rPr>
      <t xml:space="preserve">Initial conditions
</t>
    </r>
    <r>
      <rPr>
        <sz val="10"/>
        <rFont val="Arial"/>
        <family val="2"/>
      </rPr>
      <t xml:space="preserve">Are the initial conditions for testing correctly defined ? </t>
    </r>
  </si>
  <si>
    <t>SW-R-INT-0594</t>
  </si>
  <si>
    <r>
      <rPr>
        <b/>
        <sz val="10"/>
        <rFont val="Arial"/>
        <family val="2"/>
      </rPr>
      <t xml:space="preserve">Tests types
</t>
    </r>
    <r>
      <rPr>
        <sz val="10"/>
        <rFont val="Arial"/>
        <family val="2"/>
      </rPr>
      <t>Are all defined test types used in test cases ?
Note: Nominal, Endurance, Robustness, Qualification…</t>
    </r>
  </si>
  <si>
    <t>XX-R-INT-0793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</si>
  <si>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</si>
  <si>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XX-R-INT-0794</t>
  </si>
  <si>
    <r>
      <rPr>
        <b/>
        <sz val="10"/>
        <rFont val="Arial"/>
        <family val="2"/>
      </rPr>
      <t>Execution time</t>
    </r>
    <r>
      <rPr>
        <sz val="10"/>
        <rFont val="Arial"/>
        <family val="2"/>
      </rPr>
      <t xml:space="preserve">
Is the maximum execution time of functions called during initialization (before nominal OS execution) tested?</t>
    </r>
  </si>
  <si>
    <t>XX-R-INT-0795</t>
  </si>
  <si>
    <t>Sw_Int_AdcIf_pseCheckAdcCalib_01.txt - v1.1
Sw_Int_AdcIf_pseCheckAdcCalib_02.txt - v1.1
Sw_Int_AdcIf_pseCheckAdcCalib_03.txt - v1.1
Sw_Int_AdcIf_pseCheckAdcCalib_04.txt - v1.1
Sw_Int_AdcIf_pseCheckAdc_01.txt - v1.1
Sw_Int_AdcIf_pseCheckAdc_02.txt - v1.1
Sw_Int_AdcIf_pseCheckAdc_03.txt - v1.1
Sw_Int_AdcIf_pseRawAdcService_01.txt - v1.1
Sw_Int_AdcIf_pseRawAdcService_02.txt - v1.1
Sw_Int_AdcIf_pseRawAdcService_03.txt - v1.1
Sw_Int_AdcIf_pseRawAdcService_04.txt - v1.1
Sw_Int_AdcIf_pseRawAdcService_05.txt - v1.1
Sw_Int_AdcIf_pseRawAdcService_06.txt - v1.1
Sw_Int_AdcIf_pseRawAdcService_07.txt - v1.1
Sw_Int_AdcIf_pseRawAdcService_08.txt - v1.1
Sw_Int_AdcIf_pseRawAdcService_09.txt - v1.1
Sw_Int_AdcIf_pseRawAdcService_10.txt - v1.1
Sw_Int_AdcIf_pseRawAdcService_11.txt - v1.1
Sw_Int_AdcIf_pseStartConversion_01.txt - v1.1
Sw_Int_AdcIf_ptrpAdcIfServices_AdcIf_runInit_01.txt - v1.1
Sw_Int_AdcIf_ptrpEcuMIfServices_01.txt - v1.1
Sw_Int_AdcIf_ptrrAsrAdcServices_Adc_StartGroupConversion_AdcIf_runInit_01.txt - v1.1
Sw_Int_AdcIf_ptrrAsrGptServices_01.txt - v1.1</t>
  </si>
  <si>
    <t>NA: only interface test</t>
  </si>
  <si>
    <t>NA: no comments</t>
  </si>
  <si>
    <t xml:space="preserve">Line 11 must contain the req in test scope </t>
  </si>
  <si>
    <t>Victor Popina</t>
  </si>
  <si>
    <t>Step 6: Read the Adc Value missing</t>
  </si>
  <si>
    <t>step : soft reset not called for entering startup</t>
  </si>
  <si>
    <t>1.19.1.5.1.2.1.2</t>
  </si>
  <si>
    <t>AdcIf.c - 1.19.1.5.1.2.1.2</t>
  </si>
  <si>
    <t>AdcIf_cfg.c - 1.6</t>
  </si>
  <si>
    <t>AdcIf_cfg.c - v1.6</t>
  </si>
  <si>
    <t>AdcIf.c - v1.19.1.5.1.2.1.2</t>
  </si>
  <si>
    <t>02.23.2023</t>
  </si>
  <si>
    <t>AdcIf_SW_DetailedDesign.docx</t>
  </si>
  <si>
    <t>Template not updated according with process</t>
  </si>
  <si>
    <t>AdcIf_autotest.c - 1.4.2.6</t>
  </si>
  <si>
    <t>AdcIf_SW_DetailedDesign.docx - v1.3</t>
  </si>
  <si>
    <t>The document was full scope checked</t>
  </si>
  <si>
    <t>Open project no.1047503</t>
  </si>
  <si>
    <t>Author name not completed</t>
  </si>
  <si>
    <t>Project number and name and the other fields from header not completed</t>
  </si>
  <si>
    <t>eCS_MCC.AdcIf.tmb - v1.1</t>
  </si>
  <si>
    <t>eCS_Platform.AdcIf.tmb - v1.1</t>
  </si>
  <si>
    <t>no findings</t>
  </si>
  <si>
    <t>Dan Dustinta</t>
  </si>
  <si>
    <t>1.3.2.7</t>
  </si>
  <si>
    <t>1.6.1.4.1.2.1.1</t>
  </si>
  <si>
    <t>1.19.1.5.1.2.1.3</t>
  </si>
  <si>
    <t>1.4.2.7</t>
  </si>
  <si>
    <t>AdcIf_cfg.c - v1.7</t>
  </si>
  <si>
    <t>AdcIf.h - v1.3.2.7</t>
  </si>
  <si>
    <t>AdcIf_cfg.h - v1.6.1.4.1.2.1.1</t>
  </si>
  <si>
    <t>AdcIf.c - v1.19.1.5.1.2.1.3</t>
  </si>
  <si>
    <t>AdcIf_autotest.c - v1.4.2.7</t>
  </si>
  <si>
    <t>eCS_MCC.AdcIf.tmb</t>
  </si>
  <si>
    <t>Robert Hadadea</t>
  </si>
  <si>
    <t>ecS_MCC.AdcIf.tmb - v1.2</t>
  </si>
  <si>
    <t>CAL</t>
  </si>
  <si>
    <t>eCS_MCC.AdcIf.tmb - v1.2</t>
  </si>
  <si>
    <t>1.8</t>
  </si>
  <si>
    <t>AdcIf_cfg.c - v1.8</t>
  </si>
  <si>
    <t>eCS_MCC.AdcIf.tmb - v1.4</t>
  </si>
  <si>
    <t>ecS_MCC.AdcIf.tmb - v1.4</t>
  </si>
  <si>
    <t>Code review between 1.8 and 1.11 versions is covered by this version</t>
  </si>
  <si>
    <t>Assure that all while loops are protected against infinite execution</t>
  </si>
  <si>
    <t>1.6.1.4.1.2.1.2</t>
  </si>
  <si>
    <t>1.3.2.9</t>
  </si>
  <si>
    <t>Code review for 1.3.2.8 version is covered by this version</t>
  </si>
  <si>
    <t>1.4.2.8</t>
  </si>
  <si>
    <t>1.19.1.5.1.2.1.11</t>
  </si>
  <si>
    <t>Code review between 1.19.1.5.1.2.1.3 and 1.19.1.5.1.2.1.11 versions is covered by this version</t>
  </si>
  <si>
    <t>AdcIf_cfg.c - v1.11</t>
  </si>
  <si>
    <t>AdcIf_cfg.h - v1.6.1.4.1.2.1.2</t>
  </si>
  <si>
    <t>AdcIf.h - v1.3.2.9</t>
  </si>
  <si>
    <t>AdcIf_autotest.c - v1.4.2.8</t>
  </si>
  <si>
    <t>AdcIf.c - v1.19.1.5.1.2.1.11</t>
  </si>
  <si>
    <t xml:space="preserve">Fixed, added variable counter to detect a timeout </t>
  </si>
  <si>
    <t>AdcIf_cfg.c - v1.12</t>
  </si>
  <si>
    <t>1.19.1.5.1.2.1.12</t>
  </si>
  <si>
    <t>AdcIf.c - v1.19.1.5.1.2.1.12</t>
  </si>
  <si>
    <t>7/112023</t>
  </si>
  <si>
    <t>1.6.1.4.1.2.1.3</t>
  </si>
  <si>
    <t>1.19.1.5.1.2.1.13</t>
  </si>
  <si>
    <t>AdcIf_cfg.c - v1.13</t>
  </si>
  <si>
    <t>AdcIf_cfg.h - v1.6.1.4.1.2.1.3</t>
  </si>
  <si>
    <t>AdcIf.c - v1.19.1.5.1.2.1.13</t>
  </si>
  <si>
    <t>1.3.1.1.1.23</t>
  </si>
  <si>
    <t>eCS_SW_Arhitecture.eapx</t>
  </si>
  <si>
    <t>Mihai Motoc</t>
  </si>
  <si>
    <t xml:space="preserve">Functions ADCIF_EndOfConvGroup0, ADCIF_EndOfConvGroup1 and AdcIf_WaitForConversion shall describe better functionality and implementation </t>
  </si>
  <si>
    <t>eCS_SW_Arhitecture.eapx - v1.3.1.1.1.23</t>
  </si>
  <si>
    <t>Open project no.1195773</t>
  </si>
  <si>
    <t>1.3.1.1.1.24</t>
  </si>
  <si>
    <t>eCS_SW_Arhitecture.eapx - v1.3.1.1.1.24</t>
  </si>
  <si>
    <t>Nastase Alexandru</t>
  </si>
  <si>
    <t>Adina Macaveiu</t>
  </si>
  <si>
    <t>ecS_MCC.AdcIf.tmb - v1.5</t>
  </si>
  <si>
    <t>NAA</t>
  </si>
  <si>
    <t>eCS_MCC.AdcIf.tmb - v1.5</t>
  </si>
  <si>
    <t>DPU</t>
  </si>
  <si>
    <t>eCS_SW_Arhitecture.eapx - v1.3.1.1.1.26</t>
  </si>
  <si>
    <t>1.3.1.1.1.25</t>
  </si>
  <si>
    <t>1.3.1.1.1.26</t>
  </si>
  <si>
    <t>eCS_SW_Arhitecture.eapx - v1.3.1.1.1.25</t>
  </si>
  <si>
    <t>David Puscasu</t>
  </si>
  <si>
    <t>9/31/2023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</si>
</sst>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b/>
      <sz val="8"/>
      <color indexed="81"/>
      <name val="Tahoma"/>
      <family val="2"/>
      <charset val="238"/>
    </font>
    <font>
      <sz val="8"/>
      <color indexed="81"/>
      <name val="Tahoma"/>
      <family val="2"/>
      <charset val="238"/>
    </font>
  </fonts>
  <fills count="35">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6">
    <xf numFmtId="0" fontId="0" fillId="0" borderId="0"/>
    <xf numFmtId="0" fontId="65" fillId="6" borderId="14" applyNumberFormat="0" applyAlignment="0" applyProtection="0"/>
    <xf numFmtId="0" fontId="66" fillId="0" borderId="0" applyNumberFormat="0" applyFill="0" applyBorder="0" applyAlignment="0" applyProtection="0"/>
    <xf numFmtId="0" fontId="35" fillId="0" borderId="0"/>
    <xf numFmtId="0" fontId="60" fillId="0" borderId="0"/>
    <xf numFmtId="0" fontId="64" fillId="0" borderId="0"/>
    <xf numFmtId="0" fontId="35" fillId="0" borderId="0"/>
    <xf numFmtId="0" fontId="42" fillId="0" borderId="0"/>
    <xf numFmtId="0" fontId="67" fillId="6" borderId="15" applyNumberFormat="0" applyAlignment="0" applyProtection="0"/>
    <xf numFmtId="0" fontId="34" fillId="0" borderId="0"/>
    <xf numFmtId="0" fontId="33" fillId="0" borderId="0"/>
    <xf numFmtId="0" fontId="32" fillId="0" borderId="0"/>
    <xf numFmtId="0" fontId="92" fillId="25" borderId="14" applyNumberFormat="0" applyAlignment="0" applyProtection="0"/>
    <xf numFmtId="0" fontId="93" fillId="26" borderId="0" applyNumberFormat="0" applyBorder="0" applyAlignment="0" applyProtection="0"/>
    <xf numFmtId="0" fontId="31" fillId="27" borderId="0" applyNumberFormat="0" applyBorder="0" applyAlignment="0" applyProtection="0"/>
    <xf numFmtId="0" fontId="35" fillId="0" borderId="0"/>
    <xf numFmtId="0" fontId="30" fillId="27" borderId="0" applyNumberFormat="0" applyBorder="0" applyAlignment="0" applyProtection="0"/>
    <xf numFmtId="0" fontId="29" fillId="27" borderId="0" applyNumberFormat="0" applyBorder="0" applyAlignment="0" applyProtection="0"/>
    <xf numFmtId="0" fontId="28" fillId="27" borderId="0" applyNumberFormat="0" applyBorder="0" applyAlignment="0" applyProtection="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0" borderId="0"/>
    <xf numFmtId="0" fontId="18" fillId="27" borderId="0" applyNumberFormat="0" applyBorder="0" applyAlignment="0" applyProtection="0"/>
    <xf numFmtId="0" fontId="17" fillId="27" borderId="0" applyNumberFormat="0" applyBorder="0" applyAlignment="0" applyProtection="0"/>
    <xf numFmtId="0" fontId="112" fillId="0" borderId="0" applyNumberFormat="0" applyFill="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0" fillId="27" borderId="0" applyNumberFormat="0" applyBorder="0" applyAlignment="0" applyProtection="0"/>
  </cellStyleXfs>
  <cellXfs count="354">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6" fillId="3" borderId="12" xfId="0" applyFont="1" applyFill="1" applyBorder="1" applyAlignment="1">
      <alignment horizontal="center" wrapText="1"/>
    </xf>
    <xf numFmtId="0" fontId="0" fillId="2" borderId="0" xfId="0" applyFill="1" applyAlignment="1">
      <alignment horizontal="center"/>
    </xf>
    <xf numFmtId="0" fontId="36"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5" fillId="0" borderId="1" xfId="0" applyFont="1" applyBorder="1" applyAlignment="1">
      <alignment vertical="center" wrapText="1"/>
    </xf>
    <xf numFmtId="0" fontId="35" fillId="3" borderId="1" xfId="0" applyFont="1" applyFill="1" applyBorder="1" applyAlignment="1">
      <alignment horizontal="center" vertical="center" wrapText="1"/>
    </xf>
    <xf numFmtId="0" fontId="35" fillId="2" borderId="0" xfId="0" applyFont="1" applyFill="1" applyBorder="1" applyAlignment="1">
      <alignment wrapText="1"/>
    </xf>
    <xf numFmtId="0" fontId="68" fillId="7" borderId="0" xfId="0" applyFont="1" applyFill="1" applyBorder="1" applyAlignment="1">
      <alignment horizontal="center" vertical="center" wrapText="1"/>
    </xf>
    <xf numFmtId="0" fontId="68" fillId="0" borderId="0" xfId="0" applyFont="1" applyFill="1" applyBorder="1" applyAlignment="1">
      <alignment horizontal="center" vertical="center" wrapText="1"/>
    </xf>
    <xf numFmtId="0" fontId="68" fillId="0" borderId="0" xfId="0" applyFont="1" applyFill="1" applyAlignment="1">
      <alignment vertical="center"/>
    </xf>
    <xf numFmtId="0" fontId="68" fillId="0" borderId="0" xfId="0" applyFont="1" applyFill="1" applyBorder="1" applyAlignment="1">
      <alignment vertical="center" wrapText="1"/>
    </xf>
    <xf numFmtId="0" fontId="57" fillId="2" borderId="2" xfId="0" applyFont="1" applyFill="1" applyBorder="1"/>
    <xf numFmtId="0" fontId="35" fillId="2" borderId="0" xfId="0" applyFont="1" applyFill="1" applyAlignment="1">
      <alignment horizontal="center"/>
    </xf>
    <xf numFmtId="0" fontId="0" fillId="8" borderId="0" xfId="0" applyFill="1" applyAlignment="1">
      <alignment horizontal="center"/>
    </xf>
    <xf numFmtId="0" fontId="35" fillId="2" borderId="1" xfId="0" applyFont="1" applyFill="1" applyBorder="1" applyAlignment="1">
      <alignment horizontal="center" wrapText="1"/>
    </xf>
    <xf numFmtId="0" fontId="35" fillId="2" borderId="1" xfId="0" applyFont="1" applyFill="1" applyBorder="1" applyAlignment="1">
      <alignment horizontal="center" vertical="center" wrapText="1"/>
    </xf>
    <xf numFmtId="0" fontId="35" fillId="0" borderId="1" xfId="0" applyFont="1" applyFill="1" applyBorder="1" applyAlignment="1">
      <alignment horizontal="center" vertical="center" wrapText="1"/>
    </xf>
    <xf numFmtId="0" fontId="0" fillId="2" borderId="5" xfId="0" applyFill="1" applyBorder="1" applyAlignment="1">
      <alignment wrapText="1"/>
    </xf>
    <xf numFmtId="0" fontId="35" fillId="2" borderId="0" xfId="0" applyFont="1" applyFill="1" applyBorder="1"/>
    <xf numFmtId="0" fontId="36" fillId="9" borderId="1" xfId="0" applyFont="1" applyFill="1" applyBorder="1" applyAlignment="1">
      <alignment horizontal="center" vertical="center" wrapText="1"/>
    </xf>
    <xf numFmtId="0" fontId="35" fillId="2" borderId="10" xfId="0" applyFont="1" applyFill="1" applyBorder="1"/>
    <xf numFmtId="0" fontId="68"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5" fillId="8" borderId="0" xfId="0" applyFont="1" applyFill="1" applyBorder="1" applyAlignment="1">
      <alignment horizontal="center" vertical="center"/>
    </xf>
    <xf numFmtId="0" fontId="35" fillId="8" borderId="1" xfId="0" applyFont="1" applyFill="1" applyBorder="1" applyAlignment="1">
      <alignment horizontal="center" vertical="center"/>
    </xf>
    <xf numFmtId="0" fontId="35" fillId="13" borderId="1" xfId="0" applyFont="1" applyFill="1" applyBorder="1" applyAlignment="1">
      <alignment horizontal="center" vertical="center" wrapText="1"/>
    </xf>
    <xf numFmtId="0" fontId="35"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8" fillId="8" borderId="0" xfId="0" applyFont="1" applyFill="1" applyBorder="1" applyAlignment="1">
      <alignment horizontal="center" vertical="center" wrapText="1"/>
    </xf>
    <xf numFmtId="0" fontId="68" fillId="8" borderId="0" xfId="0" applyFont="1" applyFill="1" applyAlignment="1">
      <alignment horizontal="center" vertical="center" wrapText="1"/>
    </xf>
    <xf numFmtId="0" fontId="68"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8" fillId="14" borderId="1" xfId="0" applyFont="1" applyFill="1" applyBorder="1" applyAlignment="1">
      <alignment horizontal="center" vertical="center" wrapText="1"/>
    </xf>
    <xf numFmtId="0" fontId="68"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41" fillId="13" borderId="1" xfId="0" applyFont="1" applyFill="1" applyBorder="1" applyAlignment="1">
      <alignment horizontal="center" vertical="center" wrapText="1"/>
    </xf>
    <xf numFmtId="0" fontId="0" fillId="0" borderId="0" xfId="0" applyFill="1" applyBorder="1" applyAlignment="1">
      <alignment horizontal="center"/>
    </xf>
    <xf numFmtId="0" fontId="35" fillId="13" borderId="1" xfId="0" applyFont="1" applyFill="1" applyBorder="1" applyAlignment="1">
      <alignment horizontal="center" vertical="center"/>
    </xf>
    <xf numFmtId="0" fontId="0" fillId="13" borderId="1" xfId="0" applyFill="1" applyBorder="1" applyAlignment="1">
      <alignment horizontal="center" vertical="center"/>
    </xf>
    <xf numFmtId="0" fontId="35" fillId="2" borderId="5" xfId="0" applyFont="1" applyFill="1" applyBorder="1" applyAlignment="1">
      <alignment wrapText="1"/>
    </xf>
    <xf numFmtId="0" fontId="35" fillId="10" borderId="0" xfId="0" applyFont="1" applyFill="1" applyBorder="1" applyAlignment="1">
      <alignment horizontal="left" vertical="center"/>
    </xf>
    <xf numFmtId="0" fontId="35" fillId="12" borderId="0" xfId="0" applyFont="1" applyFill="1" applyBorder="1" applyAlignment="1">
      <alignment horizontal="left" vertical="center"/>
    </xf>
    <xf numFmtId="0" fontId="35" fillId="15" borderId="0" xfId="0" applyFont="1" applyFill="1" applyBorder="1" applyAlignment="1">
      <alignment horizontal="left" vertical="center"/>
    </xf>
    <xf numFmtId="0" fontId="35" fillId="13" borderId="0" xfId="0" applyFont="1" applyFill="1" applyBorder="1" applyAlignment="1">
      <alignment horizontal="left" vertical="center"/>
    </xf>
    <xf numFmtId="0" fontId="35" fillId="2" borderId="1" xfId="0" applyFont="1" applyFill="1" applyBorder="1"/>
    <xf numFmtId="0" fontId="35" fillId="0" borderId="1" xfId="0" applyFont="1" applyBorder="1" applyAlignment="1">
      <alignment horizontal="center" vertical="center"/>
    </xf>
    <xf numFmtId="14" fontId="35"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35" fillId="3" borderId="12" xfId="0" applyFont="1" applyFill="1" applyBorder="1" applyAlignment="1">
      <alignment horizontal="center" vertical="center" wrapText="1"/>
    </xf>
    <xf numFmtId="0" fontId="65" fillId="6" borderId="1" xfId="1" applyFont="1" applyBorder="1" applyAlignment="1">
      <alignment horizontal="center"/>
    </xf>
    <xf numFmtId="0" fontId="69" fillId="6" borderId="15" xfId="8" applyFont="1" applyAlignment="1">
      <alignment horizontal="center"/>
    </xf>
    <xf numFmtId="0" fontId="69" fillId="6" borderId="17" xfId="8" applyFont="1" applyBorder="1" applyAlignment="1">
      <alignment horizontal="center"/>
    </xf>
    <xf numFmtId="0" fontId="65" fillId="6" borderId="1" xfId="1" applyBorder="1" applyAlignment="1">
      <alignment horizontal="center" vertical="center"/>
    </xf>
    <xf numFmtId="0" fontId="35" fillId="2" borderId="1" xfId="0" applyFont="1" applyFill="1" applyBorder="1" applyAlignment="1">
      <alignment horizontal="center"/>
    </xf>
    <xf numFmtId="0" fontId="35"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5" fillId="2" borderId="8" xfId="0" applyFont="1" applyFill="1" applyBorder="1" applyAlignment="1">
      <alignment wrapText="1" shrinkToFit="1"/>
    </xf>
    <xf numFmtId="0" fontId="35" fillId="2" borderId="0" xfId="0" applyFont="1" applyFill="1"/>
    <xf numFmtId="0" fontId="35" fillId="2" borderId="0" xfId="0" applyFont="1" applyFill="1" applyAlignment="1">
      <alignment vertical="top"/>
    </xf>
    <xf numFmtId="0" fontId="35" fillId="0" borderId="0" xfId="3" applyAlignment="1">
      <alignment vertical="center"/>
    </xf>
    <xf numFmtId="0" fontId="39" fillId="0" borderId="0" xfId="3" applyFont="1" applyAlignment="1">
      <alignment vertical="center" wrapText="1"/>
    </xf>
    <xf numFmtId="164" fontId="39" fillId="0" borderId="0" xfId="3" applyNumberFormat="1" applyFont="1" applyAlignment="1">
      <alignment horizontal="center" vertical="center" wrapText="1"/>
    </xf>
    <xf numFmtId="20" fontId="39" fillId="0" borderId="0" xfId="3" applyNumberFormat="1" applyFont="1" applyAlignment="1">
      <alignment vertical="center" wrapText="1"/>
    </xf>
    <xf numFmtId="0" fontId="39" fillId="0" borderId="0" xfId="3" applyFont="1" applyAlignment="1">
      <alignment horizontal="left" vertical="center" wrapText="1"/>
    </xf>
    <xf numFmtId="0" fontId="70" fillId="0" borderId="0" xfId="3" quotePrefix="1" applyFont="1" applyAlignment="1">
      <alignment horizontal="right" vertical="center"/>
    </xf>
    <xf numFmtId="0" fontId="40" fillId="0" borderId="0" xfId="3" applyFont="1" applyAlignment="1">
      <alignment horizontal="left" vertical="center" wrapText="1"/>
    </xf>
    <xf numFmtId="0" fontId="35" fillId="0" borderId="0" xfId="3" applyAlignment="1">
      <alignment vertical="center" shrinkToFit="1"/>
    </xf>
    <xf numFmtId="0" fontId="72" fillId="0" borderId="0" xfId="3" applyFont="1" applyAlignment="1">
      <alignment horizontal="left" vertical="center" shrinkToFit="1"/>
    </xf>
    <xf numFmtId="0" fontId="36" fillId="0" borderId="0" xfId="3" applyFont="1" applyAlignment="1">
      <alignment horizontal="left" vertical="center" shrinkToFit="1"/>
    </xf>
    <xf numFmtId="0" fontId="35" fillId="0" borderId="0" xfId="3" applyAlignment="1" applyProtection="1">
      <alignment vertical="center"/>
      <protection locked="0"/>
    </xf>
    <xf numFmtId="0" fontId="35" fillId="0" borderId="0" xfId="3" applyAlignment="1" applyProtection="1">
      <alignment vertical="center" shrinkToFit="1"/>
      <protection locked="0"/>
    </xf>
    <xf numFmtId="0" fontId="77" fillId="0" borderId="2" xfId="3" applyFont="1" applyBorder="1" applyAlignment="1" applyProtection="1">
      <alignment horizontal="left" vertical="center" wrapText="1" shrinkToFit="1"/>
      <protection locked="0"/>
    </xf>
    <xf numFmtId="0" fontId="78" fillId="0" borderId="0" xfId="3" applyFont="1" applyAlignment="1" applyProtection="1">
      <alignment horizontal="left" vertical="center" shrinkToFit="1"/>
      <protection locked="0"/>
    </xf>
    <xf numFmtId="0" fontId="77" fillId="0" borderId="0" xfId="3" applyFont="1" applyAlignment="1" applyProtection="1">
      <alignment horizontal="left" vertical="center" wrapText="1" shrinkToFit="1"/>
      <protection locked="0"/>
    </xf>
    <xf numFmtId="0" fontId="78" fillId="0" borderId="3" xfId="3" applyFont="1" applyBorder="1" applyAlignment="1" applyProtection="1">
      <alignment horizontal="left" vertical="center" shrinkToFit="1"/>
      <protection locked="0"/>
    </xf>
    <xf numFmtId="0" fontId="81" fillId="0" borderId="0" xfId="3" applyFont="1" applyAlignment="1" applyProtection="1">
      <alignment vertical="center"/>
      <protection locked="0"/>
    </xf>
    <xf numFmtId="0" fontId="82" fillId="0" borderId="0" xfId="3" applyFont="1" applyAlignment="1" applyProtection="1">
      <alignment horizontal="center" vertical="center"/>
      <protection locked="0"/>
    </xf>
    <xf numFmtId="0" fontId="34" fillId="8" borderId="0" xfId="9" applyFill="1"/>
    <xf numFmtId="0" fontId="83" fillId="0" borderId="0" xfId="3" applyFont="1" applyAlignment="1">
      <alignment horizontal="right" vertical="center"/>
    </xf>
    <xf numFmtId="0" fontId="84" fillId="0" borderId="18" xfId="3" applyFont="1" applyBorder="1" applyAlignment="1" applyProtection="1">
      <alignment vertical="center"/>
      <protection locked="0"/>
    </xf>
    <xf numFmtId="0" fontId="35" fillId="0" borderId="18" xfId="3" applyBorder="1" applyAlignment="1" applyProtection="1">
      <alignment vertical="center"/>
      <protection locked="0"/>
    </xf>
    <xf numFmtId="0" fontId="85" fillId="0" borderId="0" xfId="3" applyFont="1" applyAlignment="1" applyProtection="1">
      <alignment horizontal="left" vertical="center"/>
      <protection locked="0"/>
    </xf>
    <xf numFmtId="0" fontId="44" fillId="0" borderId="0" xfId="3" applyFont="1" applyAlignment="1" applyProtection="1">
      <alignment horizontal="left" vertical="center"/>
      <protection locked="0"/>
    </xf>
    <xf numFmtId="0" fontId="63" fillId="0" borderId="0" xfId="3" applyFont="1" applyAlignment="1" applyProtection="1">
      <alignment vertical="center"/>
      <protection locked="0"/>
    </xf>
    <xf numFmtId="0" fontId="36" fillId="0" borderId="0" xfId="3" applyFont="1" applyAlignment="1" applyProtection="1">
      <alignment vertical="center"/>
      <protection locked="0"/>
    </xf>
    <xf numFmtId="49" fontId="86" fillId="0" borderId="0" xfId="3" applyNumberFormat="1" applyFont="1" applyAlignment="1" applyProtection="1">
      <alignment horizontal="left" vertical="center"/>
      <protection locked="0"/>
    </xf>
    <xf numFmtId="49" fontId="35" fillId="0" borderId="0" xfId="3" applyNumberFormat="1" applyAlignment="1">
      <alignment horizontal="center" vertical="center" wrapText="1"/>
    </xf>
    <xf numFmtId="49" fontId="35" fillId="0" borderId="0" xfId="3" applyNumberFormat="1" applyAlignment="1" applyProtection="1">
      <alignment horizontal="left" vertical="center" wrapText="1"/>
      <protection locked="0"/>
    </xf>
    <xf numFmtId="49" fontId="35" fillId="0" borderId="0" xfId="3" applyNumberFormat="1" applyAlignment="1">
      <alignment horizontal="left" vertical="center" wrapText="1"/>
    </xf>
    <xf numFmtId="14" fontId="35" fillId="0" borderId="0" xfId="3" applyNumberFormat="1" applyAlignment="1" applyProtection="1">
      <alignment vertical="center"/>
      <protection locked="0"/>
    </xf>
    <xf numFmtId="0" fontId="87" fillId="0" borderId="0" xfId="3" applyFont="1" applyAlignment="1" applyProtection="1">
      <alignment horizontal="left" vertical="center"/>
      <protection locked="0"/>
    </xf>
    <xf numFmtId="0" fontId="35" fillId="0" borderId="0" xfId="3" applyAlignment="1">
      <alignment horizontal="left" vertical="center" wrapText="1"/>
    </xf>
    <xf numFmtId="0" fontId="84" fillId="0" borderId="5" xfId="3" applyFont="1" applyBorder="1" applyAlignment="1" applyProtection="1">
      <alignment vertical="center"/>
      <protection locked="0"/>
    </xf>
    <xf numFmtId="49" fontId="35" fillId="0" borderId="5" xfId="3" applyNumberFormat="1" applyBorder="1" applyAlignment="1" applyProtection="1">
      <alignment horizontal="left" vertical="center" wrapText="1"/>
      <protection locked="0"/>
    </xf>
    <xf numFmtId="0" fontId="35" fillId="0" borderId="5" xfId="3" applyBorder="1" applyAlignment="1">
      <alignment horizontal="left" vertical="center" wrapText="1"/>
    </xf>
    <xf numFmtId="0" fontId="84" fillId="0" borderId="0" xfId="3" applyFont="1" applyAlignment="1" applyProtection="1">
      <alignment vertical="center"/>
      <protection locked="0"/>
    </xf>
    <xf numFmtId="49" fontId="35" fillId="0" borderId="0" xfId="3" applyNumberFormat="1" applyAlignment="1" applyProtection="1">
      <alignment horizontal="left" vertical="center"/>
      <protection locked="0"/>
    </xf>
    <xf numFmtId="0" fontId="35" fillId="0" borderId="0" xfId="3" applyAlignment="1">
      <alignment horizontal="left" vertical="center"/>
    </xf>
    <xf numFmtId="0" fontId="36" fillId="2" borderId="1" xfId="0" applyNumberFormat="1" applyFont="1" applyFill="1" applyBorder="1" applyAlignment="1">
      <alignment horizontal="center" vertical="center"/>
    </xf>
    <xf numFmtId="0" fontId="35" fillId="21" borderId="0" xfId="0" applyFont="1" applyFill="1" applyBorder="1" applyAlignment="1">
      <alignment horizontal="left" vertical="top" wrapText="1"/>
    </xf>
    <xf numFmtId="0" fontId="35" fillId="21" borderId="0" xfId="0" applyFont="1" applyFill="1" applyBorder="1" applyAlignment="1">
      <alignment wrapText="1"/>
    </xf>
    <xf numFmtId="0" fontId="0" fillId="21" borderId="0" xfId="0" applyFill="1" applyBorder="1" applyAlignment="1">
      <alignment wrapText="1"/>
    </xf>
    <xf numFmtId="0" fontId="35" fillId="9" borderId="0" xfId="0" applyFont="1" applyFill="1" applyBorder="1" applyAlignment="1">
      <alignment wrapText="1"/>
    </xf>
    <xf numFmtId="0" fontId="0" fillId="9" borderId="0" xfId="0" applyFill="1" applyBorder="1" applyAlignment="1">
      <alignment wrapText="1"/>
    </xf>
    <xf numFmtId="0" fontId="35" fillId="2" borderId="2" xfId="0" applyFont="1" applyFill="1" applyBorder="1" applyAlignment="1">
      <alignment horizontal="right"/>
    </xf>
    <xf numFmtId="0" fontId="0" fillId="2" borderId="4" xfId="0" applyFill="1" applyBorder="1" applyAlignment="1">
      <alignment horizontal="right"/>
    </xf>
    <xf numFmtId="0" fontId="32" fillId="0" borderId="0" xfId="11"/>
    <xf numFmtId="0" fontId="38" fillId="10" borderId="1" xfId="0" applyFont="1" applyFill="1" applyBorder="1" applyAlignment="1">
      <alignment horizontal="center" vertical="center" wrapText="1"/>
    </xf>
    <xf numFmtId="0" fontId="94" fillId="12" borderId="1" xfId="0" applyFont="1" applyFill="1" applyBorder="1" applyAlignment="1">
      <alignment horizontal="center" vertical="center" wrapText="1"/>
    </xf>
    <xf numFmtId="0" fontId="38" fillId="11" borderId="1" xfId="0" applyFont="1" applyFill="1" applyBorder="1" applyAlignment="1">
      <alignment horizontal="center" vertical="center" wrapText="1"/>
    </xf>
    <xf numFmtId="14" fontId="38" fillId="11" borderId="1" xfId="0" applyNumberFormat="1" applyFont="1" applyFill="1" applyBorder="1" applyAlignment="1">
      <alignment horizontal="center" vertical="center" wrapText="1"/>
    </xf>
    <xf numFmtId="0" fontId="59" fillId="8" borderId="0" xfId="0" applyFont="1" applyFill="1" applyAlignment="1">
      <alignment horizontal="center" vertical="center"/>
    </xf>
    <xf numFmtId="0" fontId="59" fillId="8" borderId="0" xfId="0" applyFont="1" applyFill="1" applyAlignment="1">
      <alignment vertical="center"/>
    </xf>
    <xf numFmtId="0" fontId="59" fillId="0" borderId="0" xfId="0" applyFont="1" applyAlignment="1">
      <alignment vertical="center"/>
    </xf>
    <xf numFmtId="0" fontId="38" fillId="0" borderId="0" xfId="0" applyFont="1" applyFill="1" applyAlignment="1">
      <alignment vertical="center"/>
    </xf>
    <xf numFmtId="0" fontId="65" fillId="6" borderId="14" xfId="1"/>
    <xf numFmtId="0" fontId="96" fillId="29" borderId="20" xfId="14" applyFont="1" applyFill="1" applyBorder="1" applyAlignment="1" applyProtection="1">
      <alignment horizontal="center" vertical="center" wrapText="1"/>
      <protection locked="0"/>
    </xf>
    <xf numFmtId="0" fontId="97" fillId="13" borderId="20" xfId="14" applyFont="1" applyFill="1" applyBorder="1" applyAlignment="1" applyProtection="1">
      <alignment horizontal="center" vertical="center" wrapText="1"/>
    </xf>
    <xf numFmtId="0" fontId="96" fillId="7" borderId="1" xfId="14" applyFont="1" applyFill="1" applyBorder="1" applyAlignment="1">
      <alignment horizontal="left" vertical="center"/>
    </xf>
    <xf numFmtId="0" fontId="92" fillId="25" borderId="14" xfId="12" applyAlignment="1">
      <alignment horizontal="center" vertical="center"/>
    </xf>
    <xf numFmtId="0" fontId="96" fillId="7" borderId="1" xfId="14" applyFont="1" applyFill="1" applyBorder="1" applyAlignment="1">
      <alignment horizontal="center" vertical="center"/>
    </xf>
    <xf numFmtId="0" fontId="35" fillId="5" borderId="0" xfId="15" applyFill="1" applyAlignment="1">
      <alignment vertical="center"/>
    </xf>
    <xf numFmtId="0" fontId="35" fillId="5" borderId="0" xfId="15" applyFill="1" applyAlignment="1">
      <alignment vertical="center" wrapText="1"/>
    </xf>
    <xf numFmtId="0" fontId="37" fillId="5" borderId="0" xfId="15" applyFont="1" applyFill="1" applyAlignment="1">
      <alignment vertical="center"/>
    </xf>
    <xf numFmtId="0" fontId="73" fillId="30" borderId="10" xfId="15" applyFont="1" applyFill="1" applyBorder="1" applyAlignment="1">
      <alignment vertical="center"/>
    </xf>
    <xf numFmtId="0" fontId="102" fillId="30" borderId="19" xfId="15" applyFont="1" applyFill="1" applyBorder="1" applyAlignment="1">
      <alignment vertical="center" wrapText="1"/>
    </xf>
    <xf numFmtId="0" fontId="35" fillId="5" borderId="1" xfId="15" applyFill="1" applyBorder="1" applyAlignment="1">
      <alignment vertical="center"/>
    </xf>
    <xf numFmtId="0" fontId="103" fillId="5" borderId="1" xfId="15" applyFont="1" applyFill="1" applyBorder="1" applyAlignment="1">
      <alignment horizontal="center" vertical="center"/>
    </xf>
    <xf numFmtId="0" fontId="73" fillId="31" borderId="10" xfId="15" applyFont="1" applyFill="1" applyBorder="1" applyAlignment="1">
      <alignment vertical="center"/>
    </xf>
    <xf numFmtId="0" fontId="45" fillId="31" borderId="8" xfId="15" applyFont="1" applyFill="1" applyBorder="1" applyAlignment="1">
      <alignment horizontal="center" vertical="center" wrapText="1"/>
    </xf>
    <xf numFmtId="0" fontId="102" fillId="31" borderId="19" xfId="15" applyFont="1" applyFill="1" applyBorder="1" applyAlignment="1">
      <alignment vertical="center" wrapText="1"/>
    </xf>
    <xf numFmtId="0" fontId="102" fillId="31" borderId="11" xfId="15" applyFont="1" applyFill="1" applyBorder="1" applyAlignment="1">
      <alignment vertical="center" wrapText="1"/>
    </xf>
    <xf numFmtId="0" fontId="45" fillId="30" borderId="19" xfId="15" applyFont="1" applyFill="1" applyBorder="1" applyAlignment="1">
      <alignment vertical="center" wrapText="1"/>
    </xf>
    <xf numFmtId="0" fontId="0" fillId="0" borderId="0" xfId="0" applyAlignment="1" applyProtection="1">
      <alignment vertical="center"/>
      <protection locked="0"/>
    </xf>
    <xf numFmtId="0" fontId="85" fillId="0" borderId="0" xfId="0" applyFont="1" applyAlignment="1" applyProtection="1">
      <alignment horizontal="left" vertical="center"/>
      <protection locked="0"/>
    </xf>
    <xf numFmtId="0" fontId="35" fillId="0" borderId="1" xfId="15" applyBorder="1" applyAlignment="1">
      <alignment vertical="center" wrapText="1"/>
    </xf>
    <xf numFmtId="0" fontId="109" fillId="0" borderId="2" xfId="0" applyFont="1" applyBorder="1" applyAlignment="1">
      <alignment horizontal="right" vertical="center"/>
    </xf>
    <xf numFmtId="0" fontId="111" fillId="0" borderId="0" xfId="0" applyFont="1" applyBorder="1" applyAlignment="1">
      <alignment wrapText="1"/>
    </xf>
    <xf numFmtId="0" fontId="93" fillId="7" borderId="1" xfId="14" applyFont="1" applyFill="1" applyBorder="1" applyAlignment="1">
      <alignment horizontal="center" vertical="center"/>
    </xf>
    <xf numFmtId="0" fontId="112" fillId="8" borderId="0" xfId="30" applyFill="1" applyAlignment="1">
      <alignment horizontal="center" wrapText="1"/>
    </xf>
    <xf numFmtId="0" fontId="38" fillId="3" borderId="12" xfId="0" applyFont="1" applyFill="1" applyBorder="1" applyAlignment="1">
      <alignment horizontal="center" vertical="center" wrapText="1"/>
    </xf>
    <xf numFmtId="0" fontId="38" fillId="3" borderId="16" xfId="0" applyFont="1" applyFill="1" applyBorder="1" applyAlignment="1">
      <alignment horizontal="center" vertical="center" wrapText="1"/>
    </xf>
    <xf numFmtId="0" fontId="38" fillId="3" borderId="1" xfId="0" applyFont="1" applyFill="1" applyBorder="1" applyAlignment="1">
      <alignment horizontal="center" vertical="center" wrapText="1"/>
    </xf>
    <xf numFmtId="0" fontId="65" fillId="6" borderId="16" xfId="1" applyFont="1" applyBorder="1" applyAlignment="1">
      <alignment horizontal="center" vertical="center"/>
    </xf>
    <xf numFmtId="0" fontId="65" fillId="6" borderId="1" xfId="1" applyFont="1" applyBorder="1" applyAlignment="1">
      <alignment horizontal="center" vertical="center"/>
    </xf>
    <xf numFmtId="0" fontId="36" fillId="2" borderId="1" xfId="0" applyFont="1" applyFill="1" applyBorder="1" applyAlignment="1">
      <alignment horizontal="center"/>
    </xf>
    <xf numFmtId="0" fontId="73" fillId="33" borderId="12" xfId="15" applyFont="1" applyFill="1" applyBorder="1" applyAlignment="1">
      <alignment horizontal="center" vertical="center" textRotation="45" wrapText="1"/>
    </xf>
    <xf numFmtId="0" fontId="100" fillId="33" borderId="12" xfId="15" applyFont="1" applyFill="1" applyBorder="1" applyAlignment="1">
      <alignment horizontal="center" vertical="center" wrapText="1"/>
    </xf>
    <xf numFmtId="0" fontId="88" fillId="33" borderId="1" xfId="15" applyFont="1" applyFill="1" applyBorder="1" applyAlignment="1">
      <alignment horizontal="center" vertical="center" textRotation="45" wrapText="1"/>
    </xf>
    <xf numFmtId="0" fontId="88" fillId="33" borderId="1" xfId="15" applyFont="1" applyFill="1" applyBorder="1" applyAlignment="1">
      <alignment horizontal="center" vertical="center" wrapText="1"/>
    </xf>
    <xf numFmtId="0" fontId="73" fillId="33" borderId="13" xfId="15" applyFont="1" applyFill="1" applyBorder="1" applyAlignment="1">
      <alignment horizontal="center" vertical="center"/>
    </xf>
    <xf numFmtId="0" fontId="101" fillId="33" borderId="13" xfId="15" applyFont="1" applyFill="1" applyBorder="1" applyAlignment="1">
      <alignment horizontal="center" vertical="center" wrapText="1"/>
    </xf>
    <xf numFmtId="9" fontId="113" fillId="6" borderId="14" xfId="1" applyNumberFormat="1" applyFont="1" applyAlignment="1">
      <alignment horizontal="center" vertical="center" wrapText="1"/>
    </xf>
    <xf numFmtId="0" fontId="73" fillId="33" borderId="7" xfId="15" applyFont="1" applyFill="1" applyBorder="1" applyAlignment="1">
      <alignment horizontal="center" vertical="center"/>
    </xf>
    <xf numFmtId="0" fontId="104" fillId="33" borderId="8" xfId="15" applyFont="1" applyFill="1" applyBorder="1" applyAlignment="1">
      <alignment horizontal="center" vertical="center" wrapText="1"/>
    </xf>
    <xf numFmtId="0" fontId="101" fillId="33" borderId="8" xfId="15" applyFont="1" applyFill="1" applyBorder="1" applyAlignment="1">
      <alignment horizontal="center" vertical="center" wrapText="1"/>
    </xf>
    <xf numFmtId="0" fontId="101"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45" fillId="15" borderId="0" xfId="0" applyFont="1" applyFill="1" applyAlignment="1">
      <alignment horizontal="center" wrapText="1"/>
    </xf>
    <xf numFmtId="0" fontId="57" fillId="15" borderId="0" xfId="0" applyFont="1" applyFill="1" applyAlignment="1">
      <alignment horizontal="center" wrapText="1"/>
    </xf>
    <xf numFmtId="0" fontId="45" fillId="7" borderId="0" xfId="0" applyFont="1" applyFill="1" applyAlignment="1">
      <alignment horizontal="center" wrapText="1"/>
    </xf>
    <xf numFmtId="0" fontId="114" fillId="7" borderId="0" xfId="0" applyFont="1" applyFill="1" applyAlignment="1">
      <alignment horizontal="center" vertical="center" wrapText="1"/>
    </xf>
    <xf numFmtId="0" fontId="96" fillId="29" borderId="12" xfId="34" applyFont="1" applyFill="1" applyBorder="1" applyAlignment="1">
      <alignment horizontal="center" vertical="center" wrapText="1"/>
    </xf>
    <xf numFmtId="0" fontId="45" fillId="7" borderId="0" xfId="3" applyFont="1" applyFill="1" applyAlignment="1">
      <alignment horizontal="center" wrapText="1"/>
    </xf>
    <xf numFmtId="0" fontId="114" fillId="7" borderId="0" xfId="3" applyFont="1" applyFill="1" applyAlignment="1">
      <alignment horizontal="center" vertical="center" wrapText="1"/>
    </xf>
    <xf numFmtId="0" fontId="12" fillId="0" borderId="0" xfId="11" applyFont="1"/>
    <xf numFmtId="0" fontId="35" fillId="0" borderId="1" xfId="0" applyFont="1" applyBorder="1" applyAlignment="1">
      <alignment vertical="center"/>
    </xf>
    <xf numFmtId="0" fontId="35" fillId="5" borderId="1" xfId="15" applyFill="1" applyBorder="1" applyAlignment="1">
      <alignment vertical="center" wrapText="1"/>
    </xf>
    <xf numFmtId="0" fontId="35" fillId="34" borderId="1" xfId="0" applyFont="1" applyFill="1" applyBorder="1" applyAlignment="1">
      <alignment horizontal="center" vertical="center"/>
    </xf>
    <xf numFmtId="0" fontId="11" fillId="0" borderId="0" xfId="11" applyFont="1"/>
    <xf numFmtId="0" fontId="35" fillId="0" borderId="12" xfId="3" applyBorder="1" applyAlignment="1">
      <alignment vertical="center"/>
    </xf>
    <xf numFmtId="0" fontId="96" fillId="29" borderId="12" xfId="35" applyFont="1" applyFill="1" applyBorder="1" applyAlignment="1">
      <alignment horizontal="center" vertical="center" wrapText="1"/>
    </xf>
    <xf numFmtId="0" fontId="35" fillId="0" borderId="7" xfId="3" applyBorder="1" applyAlignment="1">
      <alignment vertical="center"/>
    </xf>
    <xf numFmtId="0" fontId="35" fillId="34" borderId="1" xfId="3" applyFill="1" applyBorder="1" applyAlignment="1">
      <alignment horizontal="center" vertical="center"/>
    </xf>
    <xf numFmtId="0" fontId="35" fillId="0" borderId="1" xfId="3" applyBorder="1" applyAlignment="1">
      <alignment vertical="center"/>
    </xf>
    <xf numFmtId="0" fontId="45" fillId="15" borderId="0" xfId="3" applyFont="1" applyFill="1" applyAlignment="1">
      <alignment horizontal="center" wrapText="1"/>
    </xf>
    <xf numFmtId="0" fontId="57" fillId="15" borderId="0" xfId="3" applyFont="1" applyFill="1" applyAlignment="1">
      <alignment horizontal="center" wrapText="1"/>
    </xf>
    <xf numFmtId="0" fontId="73" fillId="33" borderId="12" xfId="15" applyFont="1" applyFill="1" applyBorder="1" applyAlignment="1">
      <alignment horizontal="center" vertical="center" textRotation="45"/>
    </xf>
    <xf numFmtId="0" fontId="88" fillId="33" borderId="1" xfId="15" applyFont="1" applyFill="1" applyBorder="1" applyAlignment="1">
      <alignment horizontal="center" vertical="center"/>
    </xf>
    <xf numFmtId="0" fontId="35" fillId="0" borderId="1" xfId="0" applyFont="1" applyFill="1" applyBorder="1" applyAlignment="1">
      <alignment horizontal="left" vertical="center" wrapText="1"/>
    </xf>
    <xf numFmtId="0" fontId="0" fillId="0" borderId="1" xfId="0" applyFill="1" applyBorder="1" applyAlignment="1">
      <alignment horizontal="left" vertical="center" wrapText="1"/>
    </xf>
    <xf numFmtId="0" fontId="32" fillId="0" borderId="0" xfId="11" applyFill="1" applyBorder="1"/>
    <xf numFmtId="0" fontId="9" fillId="0" borderId="0" xfId="11" applyFont="1" applyFill="1" applyBorder="1"/>
    <xf numFmtId="0" fontId="65" fillId="6" borderId="14" xfId="1" applyBorder="1"/>
    <xf numFmtId="0" fontId="32" fillId="0" borderId="0" xfId="11" applyFill="1" applyBorder="1" applyAlignment="1">
      <alignment horizontal="left"/>
    </xf>
    <xf numFmtId="0" fontId="9" fillId="0" borderId="0" xfId="11" applyFont="1" applyFill="1" applyBorder="1" applyAlignment="1">
      <alignment horizontal="left"/>
    </xf>
    <xf numFmtId="14" fontId="32" fillId="0" borderId="0" xfId="11" applyNumberFormat="1" applyFill="1" applyBorder="1" applyAlignment="1">
      <alignment horizontal="left"/>
    </xf>
    <xf numFmtId="0" fontId="0" fillId="0" borderId="1" xfId="0" applyBorder="1"/>
    <xf numFmtId="0" fontId="35" fillId="0" borderId="1" xfId="0" applyFont="1" applyFill="1" applyBorder="1" applyAlignment="1">
      <alignment horizontal="left" vertical="top" wrapText="1"/>
    </xf>
    <xf numFmtId="0" fontId="8" fillId="0" borderId="0" xfId="11" applyFont="1" applyFill="1" applyBorder="1"/>
    <xf numFmtId="0" fontId="0" fillId="0" borderId="1" xfId="0" applyBorder="1" applyAlignment="1">
      <alignment horizontal="center"/>
    </xf>
    <xf numFmtId="0" fontId="35" fillId="0" borderId="20" xfId="0" applyFont="1" applyFill="1" applyBorder="1" applyAlignment="1">
      <alignment horizontal="left" vertical="center" wrapText="1"/>
    </xf>
    <xf numFmtId="0" fontId="7" fillId="0" borderId="0" xfId="11" applyFont="1" applyFill="1" applyBorder="1"/>
    <xf numFmtId="14" fontId="9" fillId="0" borderId="0" xfId="11" applyNumberFormat="1" applyFont="1" applyFill="1" applyBorder="1" applyAlignment="1">
      <alignment horizontal="left"/>
    </xf>
    <xf numFmtId="0" fontId="35" fillId="0" borderId="1" xfId="0" applyFont="1" applyBorder="1" applyAlignment="1">
      <alignment horizontal="left"/>
    </xf>
    <xf numFmtId="0" fontId="6" fillId="0" borderId="0" xfId="11" applyFont="1" applyFill="1" applyBorder="1"/>
    <xf numFmtId="0" fontId="5" fillId="0" borderId="0" xfId="11" applyFont="1" applyFill="1" applyBorder="1"/>
    <xf numFmtId="14" fontId="5" fillId="0" borderId="0" xfId="11" applyNumberFormat="1" applyFont="1" applyFill="1" applyBorder="1" applyAlignment="1">
      <alignment horizontal="left"/>
    </xf>
    <xf numFmtId="0" fontId="35" fillId="0" borderId="1" xfId="0" applyFont="1" applyFill="1" applyBorder="1" applyAlignment="1">
      <alignment vertical="center" wrapText="1"/>
    </xf>
    <xf numFmtId="0" fontId="0" fillId="0" borderId="1" xfId="0" applyFill="1" applyBorder="1" applyAlignment="1">
      <alignment vertical="center" wrapText="1"/>
    </xf>
    <xf numFmtId="0" fontId="4" fillId="0" borderId="0" xfId="11" applyFont="1" applyFill="1" applyBorder="1"/>
    <xf numFmtId="0" fontId="35" fillId="0" borderId="1" xfId="0" applyFont="1" applyBorder="1" applyAlignment="1">
      <alignment horizontal="center" vertical="center" wrapText="1"/>
    </xf>
    <xf numFmtId="0" fontId="35" fillId="0" borderId="11" xfId="0" applyFont="1" applyBorder="1" applyAlignment="1">
      <alignment horizontal="center" vertical="center" wrapText="1"/>
    </xf>
    <xf numFmtId="0" fontId="35" fillId="0" borderId="0" xfId="0" applyFont="1" applyBorder="1" applyAlignment="1">
      <alignment horizontal="center" vertical="center" wrapText="1"/>
    </xf>
    <xf numFmtId="0" fontId="3" fillId="0" borderId="0" xfId="11" applyFont="1" applyFill="1" applyBorder="1"/>
    <xf numFmtId="0" fontId="2" fillId="0" borderId="0" xfId="11" applyFont="1" applyFill="1" applyBorder="1"/>
    <xf numFmtId="0" fontId="65" fillId="6" borderId="21" xfId="1" applyBorder="1"/>
    <xf numFmtId="14" fontId="2" fillId="0" borderId="0" xfId="11" applyNumberFormat="1" applyFont="1" applyFill="1" applyBorder="1" applyAlignment="1">
      <alignment horizontal="left"/>
    </xf>
    <xf numFmtId="0" fontId="32" fillId="0" borderId="0" xfId="11" applyFill="1" applyBorder="1" applyAlignment="1">
      <alignment horizontal="right"/>
    </xf>
    <xf numFmtId="0" fontId="1" fillId="0" borderId="0" xfId="11" applyFont="1" applyFill="1" applyBorder="1"/>
    <xf numFmtId="0" fontId="82" fillId="0" borderId="0" xfId="3" applyFont="1" applyAlignment="1" applyProtection="1">
      <alignment horizontal="center" vertical="center" wrapText="1"/>
      <protection locked="0"/>
    </xf>
    <xf numFmtId="0" fontId="35" fillId="0" borderId="0" xfId="3" applyAlignment="1">
      <alignment vertical="center" wrapText="1"/>
    </xf>
    <xf numFmtId="0" fontId="73" fillId="16" borderId="2" xfId="3" applyFont="1" applyFill="1" applyBorder="1" applyAlignment="1" applyProtection="1">
      <alignment horizontal="center" vertical="center" shrinkToFit="1"/>
      <protection locked="0"/>
    </xf>
    <xf numFmtId="0" fontId="73" fillId="16" borderId="0" xfId="3" applyFont="1" applyFill="1" applyAlignment="1" applyProtection="1">
      <alignment horizontal="center" vertical="center" shrinkToFit="1"/>
      <protection locked="0"/>
    </xf>
    <xf numFmtId="0" fontId="73" fillId="16" borderId="3" xfId="3" applyFont="1" applyFill="1" applyBorder="1" applyAlignment="1" applyProtection="1">
      <alignment horizontal="center" vertical="center" shrinkToFit="1"/>
      <protection locked="0"/>
    </xf>
    <xf numFmtId="0" fontId="35" fillId="0" borderId="4" xfId="3" applyBorder="1" applyAlignment="1" applyProtection="1">
      <alignment horizontal="right" vertical="top" wrapText="1" shrinkToFit="1"/>
      <protection locked="0"/>
    </xf>
    <xf numFmtId="0" fontId="35" fillId="0" borderId="5" xfId="3" applyBorder="1" applyAlignment="1" applyProtection="1">
      <alignment horizontal="right" vertical="top" wrapText="1" shrinkToFit="1"/>
      <protection locked="0"/>
    </xf>
    <xf numFmtId="0" fontId="74" fillId="0" borderId="5" xfId="0" applyFont="1" applyBorder="1" applyAlignment="1" applyProtection="1">
      <alignment horizontal="left" vertical="top" wrapText="1" shrinkToFit="1"/>
      <protection locked="0"/>
    </xf>
    <xf numFmtId="0" fontId="74" fillId="0" borderId="6" xfId="0" applyFont="1" applyBorder="1" applyAlignment="1" applyProtection="1">
      <alignment horizontal="left" vertical="top" wrapText="1" shrinkToFit="1"/>
      <protection locked="0"/>
    </xf>
    <xf numFmtId="0" fontId="37" fillId="0" borderId="5" xfId="3" applyFont="1" applyBorder="1" applyAlignment="1" applyProtection="1">
      <alignment horizontal="left" vertical="top" wrapText="1" shrinkToFit="1"/>
      <protection locked="0"/>
    </xf>
    <xf numFmtId="0" fontId="76" fillId="0" borderId="5" xfId="3" applyFont="1" applyBorder="1" applyAlignment="1" applyProtection="1">
      <alignment horizontal="left" vertical="top" shrinkToFit="1"/>
      <protection locked="0"/>
    </xf>
    <xf numFmtId="0" fontId="76" fillId="0" borderId="6" xfId="3" applyFont="1" applyBorder="1" applyAlignment="1" applyProtection="1">
      <alignment horizontal="left" vertical="top" shrinkToFit="1"/>
      <protection locked="0"/>
    </xf>
    <xf numFmtId="0" fontId="73" fillId="16" borderId="7" xfId="3" applyFont="1" applyFill="1" applyBorder="1" applyAlignment="1" applyProtection="1">
      <alignment horizontal="center" vertical="center" shrinkToFit="1"/>
      <protection locked="0"/>
    </xf>
    <xf numFmtId="0" fontId="73" fillId="16" borderId="8" xfId="3" applyFont="1" applyFill="1" applyBorder="1" applyAlignment="1" applyProtection="1">
      <alignment horizontal="center" vertical="center" shrinkToFit="1"/>
      <protection locked="0"/>
    </xf>
    <xf numFmtId="0" fontId="73" fillId="16" borderId="9" xfId="3" applyFont="1" applyFill="1" applyBorder="1" applyAlignment="1" applyProtection="1">
      <alignment horizontal="center" vertical="center" shrinkToFit="1"/>
      <protection locked="0"/>
    </xf>
    <xf numFmtId="0" fontId="35" fillId="0" borderId="4" xfId="3" applyBorder="1" applyAlignment="1" applyProtection="1">
      <alignment horizontal="center" vertical="top" wrapText="1" shrinkToFit="1"/>
      <protection locked="0"/>
    </xf>
    <xf numFmtId="0" fontId="35" fillId="0" borderId="5" xfId="3" applyBorder="1" applyAlignment="1" applyProtection="1">
      <alignment horizontal="center" vertical="top" wrapText="1" shrinkToFit="1"/>
      <protection locked="0"/>
    </xf>
    <xf numFmtId="0" fontId="35" fillId="0" borderId="6" xfId="3" applyBorder="1" applyAlignment="1" applyProtection="1">
      <alignment horizontal="center" vertical="top" wrapText="1" shrinkToFit="1"/>
      <protection locked="0"/>
    </xf>
    <xf numFmtId="0" fontId="73" fillId="16" borderId="8" xfId="3" applyFont="1" applyFill="1" applyBorder="1" applyAlignment="1" applyProtection="1">
      <alignment horizontal="center" vertical="center" wrapText="1"/>
      <protection locked="0"/>
    </xf>
    <xf numFmtId="0" fontId="73" fillId="16" borderId="0" xfId="3" applyFont="1" applyFill="1" applyAlignment="1" applyProtection="1">
      <alignment horizontal="center" vertical="center" wrapText="1"/>
      <protection locked="0"/>
    </xf>
    <xf numFmtId="0" fontId="35" fillId="0" borderId="7" xfId="3" applyBorder="1" applyAlignment="1" applyProtection="1">
      <alignment horizontal="left" vertical="top"/>
      <protection locked="0"/>
    </xf>
    <xf numFmtId="0" fontId="35" fillId="0" borderId="8" xfId="3" applyBorder="1" applyAlignment="1" applyProtection="1">
      <alignment horizontal="left" vertical="top"/>
      <protection locked="0"/>
    </xf>
    <xf numFmtId="0" fontId="35" fillId="0" borderId="9" xfId="3" applyBorder="1" applyAlignment="1" applyProtection="1">
      <alignment horizontal="left" vertical="top"/>
      <protection locked="0"/>
    </xf>
    <xf numFmtId="0" fontId="35" fillId="0" borderId="4" xfId="3" applyBorder="1" applyAlignment="1" applyProtection="1">
      <alignment horizontal="left" vertical="top"/>
      <protection locked="0"/>
    </xf>
    <xf numFmtId="0" fontId="35" fillId="0" borderId="5" xfId="3" applyBorder="1" applyAlignment="1" applyProtection="1">
      <alignment horizontal="left" vertical="top"/>
      <protection locked="0"/>
    </xf>
    <xf numFmtId="0" fontId="35" fillId="0" borderId="6" xfId="3" applyBorder="1" applyAlignment="1" applyProtection="1">
      <alignment horizontal="left" vertical="top"/>
      <protection locked="0"/>
    </xf>
    <xf numFmtId="0" fontId="73" fillId="16" borderId="2" xfId="3" applyFont="1" applyFill="1" applyBorder="1" applyAlignment="1" applyProtection="1">
      <alignment horizontal="center" vertical="center" wrapText="1" shrinkToFit="1"/>
      <protection locked="0"/>
    </xf>
    <xf numFmtId="0" fontId="73" fillId="16" borderId="0" xfId="3" applyFont="1" applyFill="1" applyAlignment="1" applyProtection="1">
      <alignment horizontal="center" vertical="center" wrapText="1" shrinkToFit="1"/>
      <protection locked="0"/>
    </xf>
    <xf numFmtId="0" fontId="92" fillId="25" borderId="14" xfId="12" applyAlignment="1" applyProtection="1">
      <alignment horizontal="center" vertical="center"/>
      <protection locked="0"/>
    </xf>
    <xf numFmtId="0" fontId="40" fillId="0" borderId="7" xfId="3" applyFont="1" applyBorder="1" applyAlignment="1">
      <alignment horizontal="left" vertical="center" wrapText="1"/>
    </xf>
    <xf numFmtId="0" fontId="40" fillId="0" borderId="8" xfId="3" applyFont="1" applyBorder="1" applyAlignment="1">
      <alignment horizontal="left" vertical="center" wrapText="1"/>
    </xf>
    <xf numFmtId="0" fontId="40" fillId="0" borderId="9" xfId="3" applyFont="1" applyBorder="1" applyAlignment="1">
      <alignment horizontal="left" vertical="center" wrapText="1"/>
    </xf>
    <xf numFmtId="0" fontId="40" fillId="0" borderId="7" xfId="3" applyFont="1" applyBorder="1" applyAlignment="1">
      <alignment horizontal="left" vertical="center" shrinkToFit="1"/>
    </xf>
    <xf numFmtId="0" fontId="40" fillId="0" borderId="8" xfId="3" applyFont="1" applyBorder="1" applyAlignment="1">
      <alignment horizontal="left" vertical="center" shrinkToFit="1"/>
    </xf>
    <xf numFmtId="0" fontId="40" fillId="0" borderId="9" xfId="3" applyFont="1" applyBorder="1" applyAlignment="1">
      <alignment horizontal="left" vertical="center" shrinkToFit="1"/>
    </xf>
    <xf numFmtId="0" fontId="71" fillId="0" borderId="4" xfId="0" applyFont="1" applyBorder="1" applyAlignment="1">
      <alignment horizontal="left" vertical="center" shrinkToFit="1"/>
    </xf>
    <xf numFmtId="0" fontId="71" fillId="0" borderId="5" xfId="0" applyFont="1" applyBorder="1" applyAlignment="1">
      <alignment horizontal="left" vertical="center" shrinkToFit="1"/>
    </xf>
    <xf numFmtId="0" fontId="71" fillId="0" borderId="6" xfId="0" applyFont="1" applyBorder="1" applyAlignment="1">
      <alignment horizontal="left" vertical="center" shrinkToFit="1"/>
    </xf>
    <xf numFmtId="0" fontId="71" fillId="0" borderId="4" xfId="3" applyFont="1" applyBorder="1" applyAlignment="1">
      <alignment horizontal="left" vertical="center" shrinkToFit="1"/>
    </xf>
    <xf numFmtId="0" fontId="71" fillId="0" borderId="5" xfId="3" applyFont="1" applyBorder="1" applyAlignment="1">
      <alignment horizontal="left" vertical="center" shrinkToFit="1"/>
    </xf>
    <xf numFmtId="0" fontId="71" fillId="0" borderId="6" xfId="3" applyFont="1" applyBorder="1" applyAlignment="1">
      <alignment horizontal="left" vertical="center" shrinkToFit="1"/>
    </xf>
    <xf numFmtId="49" fontId="35" fillId="0" borderId="10" xfId="3" applyNumberFormat="1" applyBorder="1" applyAlignment="1" applyProtection="1">
      <alignment horizontal="center" vertical="center" wrapText="1"/>
      <protection locked="0"/>
    </xf>
    <xf numFmtId="49" fontId="35" fillId="0" borderId="19" xfId="3" applyNumberFormat="1" applyBorder="1" applyAlignment="1" applyProtection="1">
      <alignment horizontal="center" vertical="center" wrapText="1"/>
      <protection locked="0"/>
    </xf>
    <xf numFmtId="49" fontId="35" fillId="0" borderId="11" xfId="3" applyNumberFormat="1" applyBorder="1" applyAlignment="1" applyProtection="1">
      <alignment horizontal="center" vertical="center" wrapText="1"/>
      <protection locked="0"/>
    </xf>
    <xf numFmtId="0" fontId="35" fillId="0" borderId="10" xfId="3" applyBorder="1" applyAlignment="1">
      <alignment horizontal="left" vertical="center" wrapText="1"/>
    </xf>
    <xf numFmtId="0" fontId="35" fillId="0" borderId="19" xfId="3" applyBorder="1" applyAlignment="1">
      <alignment horizontal="left" vertical="center" wrapText="1"/>
    </xf>
    <xf numFmtId="0" fontId="35" fillId="0" borderId="11" xfId="3" applyBorder="1" applyAlignment="1">
      <alignment horizontal="left" vertical="center" wrapText="1"/>
    </xf>
    <xf numFmtId="0" fontId="66" fillId="0" borderId="10" xfId="2" applyBorder="1" applyAlignment="1">
      <alignment horizontal="left" vertical="center" wrapText="1"/>
    </xf>
    <xf numFmtId="49" fontId="35" fillId="0" borderId="1" xfId="3" applyNumberFormat="1" applyBorder="1" applyAlignment="1" applyProtection="1">
      <alignment horizontal="left" vertical="center" wrapText="1"/>
      <protection locked="0"/>
    </xf>
    <xf numFmtId="0" fontId="35" fillId="0" borderId="1" xfId="3" applyBorder="1" applyAlignment="1">
      <alignment horizontal="left" vertical="center" wrapText="1"/>
    </xf>
    <xf numFmtId="49" fontId="35" fillId="0" borderId="1" xfId="3" applyNumberFormat="1" applyBorder="1" applyAlignment="1" applyProtection="1">
      <alignment vertical="center" wrapText="1"/>
      <protection locked="0"/>
    </xf>
    <xf numFmtId="0" fontId="54" fillId="18" borderId="1" xfId="3" applyFont="1" applyFill="1" applyBorder="1" applyAlignment="1" applyProtection="1">
      <alignment horizontal="center" vertical="center" wrapText="1"/>
      <protection locked="0"/>
    </xf>
    <xf numFmtId="0" fontId="88" fillId="20" borderId="1" xfId="3" applyFont="1" applyFill="1" applyBorder="1" applyAlignment="1">
      <alignment horizontal="center" vertical="center" wrapText="1"/>
    </xf>
    <xf numFmtId="0" fontId="35" fillId="0" borderId="1" xfId="3" applyBorder="1" applyAlignment="1">
      <alignment horizontal="center" vertical="center" wrapText="1"/>
    </xf>
    <xf numFmtId="14" fontId="35" fillId="0" borderId="10" xfId="3" applyNumberFormat="1" applyBorder="1" applyAlignment="1" applyProtection="1">
      <alignment horizontal="left" vertical="center" wrapText="1"/>
      <protection locked="0"/>
    </xf>
    <xf numFmtId="14" fontId="35" fillId="0" borderId="19" xfId="3" applyNumberFormat="1" applyBorder="1" applyAlignment="1" applyProtection="1">
      <alignment horizontal="left" vertical="center" wrapText="1"/>
      <protection locked="0"/>
    </xf>
    <xf numFmtId="14" fontId="35" fillId="0" borderId="11" xfId="3" applyNumberFormat="1" applyBorder="1" applyAlignment="1" applyProtection="1">
      <alignment horizontal="left" vertical="center" wrapText="1"/>
      <protection locked="0"/>
    </xf>
    <xf numFmtId="49" fontId="35" fillId="0" borderId="1" xfId="3" applyNumberFormat="1" applyBorder="1" applyAlignment="1">
      <alignment horizontal="left" vertical="center" wrapText="1"/>
    </xf>
    <xf numFmtId="49" fontId="35" fillId="0" borderId="1" xfId="3" applyNumberFormat="1" applyBorder="1" applyAlignment="1" applyProtection="1">
      <alignment horizontal="center" vertical="center" wrapText="1"/>
      <protection locked="0"/>
    </xf>
    <xf numFmtId="49" fontId="35" fillId="0" borderId="1" xfId="3" applyNumberFormat="1" applyBorder="1" applyAlignment="1">
      <alignment horizontal="center" vertical="center" wrapText="1"/>
    </xf>
    <xf numFmtId="49" fontId="35" fillId="22" borderId="1" xfId="3" applyNumberFormat="1" applyFill="1" applyBorder="1" applyAlignment="1" applyProtection="1">
      <alignment horizontal="center" vertical="center" wrapText="1"/>
      <protection locked="0"/>
    </xf>
    <xf numFmtId="49" fontId="35" fillId="32" borderId="1" xfId="3" applyNumberFormat="1" applyFont="1" applyFill="1" applyBorder="1" applyAlignment="1" applyProtection="1">
      <alignment horizontal="center" vertical="center" wrapText="1"/>
      <protection locked="0"/>
    </xf>
    <xf numFmtId="49" fontId="68" fillId="24" borderId="1" xfId="3" applyNumberFormat="1" applyFont="1" applyFill="1" applyBorder="1" applyAlignment="1" applyProtection="1">
      <alignment horizontal="center" vertical="center" wrapText="1"/>
      <protection locked="0"/>
    </xf>
    <xf numFmtId="0" fontId="40" fillId="17" borderId="7" xfId="3" applyFont="1" applyFill="1" applyBorder="1" applyAlignment="1">
      <alignment horizontal="left" vertical="center" shrinkToFit="1"/>
    </xf>
    <xf numFmtId="0" fontId="40" fillId="17" borderId="8" xfId="3" applyFont="1" applyFill="1" applyBorder="1" applyAlignment="1">
      <alignment horizontal="left" vertical="center" shrinkToFit="1"/>
    </xf>
    <xf numFmtId="0" fontId="40" fillId="17" borderId="9" xfId="3" applyFont="1" applyFill="1" applyBorder="1" applyAlignment="1">
      <alignment horizontal="left" vertical="center" shrinkToFit="1"/>
    </xf>
    <xf numFmtId="0" fontId="72" fillId="17" borderId="4" xfId="3" applyFont="1" applyFill="1" applyBorder="1" applyAlignment="1">
      <alignment horizontal="left" vertical="center" shrinkToFit="1"/>
    </xf>
    <xf numFmtId="0" fontId="72" fillId="17" borderId="5" xfId="3" applyFont="1" applyFill="1" applyBorder="1" applyAlignment="1">
      <alignment horizontal="left" vertical="center" shrinkToFit="1"/>
    </xf>
    <xf numFmtId="0" fontId="72" fillId="17" borderId="6" xfId="3" applyFont="1" applyFill="1" applyBorder="1" applyAlignment="1">
      <alignment horizontal="left" vertical="center" shrinkToFit="1"/>
    </xf>
    <xf numFmtId="0" fontId="35" fillId="18" borderId="1" xfId="3" applyFill="1" applyBorder="1" applyAlignment="1" applyProtection="1">
      <alignment horizontal="center" vertical="center" wrapText="1"/>
      <protection locked="0"/>
    </xf>
    <xf numFmtId="49" fontId="35" fillId="19" borderId="1" xfId="3" applyNumberFormat="1" applyFill="1" applyBorder="1" applyAlignment="1" applyProtection="1">
      <alignment horizontal="center" vertical="center" wrapText="1"/>
      <protection locked="0"/>
    </xf>
    <xf numFmtId="0" fontId="40" fillId="17" borderId="7" xfId="3" applyFont="1" applyFill="1" applyBorder="1" applyAlignment="1">
      <alignment horizontal="left" vertical="center" wrapText="1"/>
    </xf>
    <xf numFmtId="0" fontId="40" fillId="17" borderId="8" xfId="3" applyFont="1" applyFill="1" applyBorder="1" applyAlignment="1">
      <alignment horizontal="left" vertical="center" wrapText="1"/>
    </xf>
    <xf numFmtId="0" fontId="40" fillId="17" borderId="9" xfId="3" applyFont="1" applyFill="1" applyBorder="1" applyAlignment="1">
      <alignment horizontal="left" vertical="center" wrapText="1"/>
    </xf>
    <xf numFmtId="0" fontId="71" fillId="17" borderId="4" xfId="3" applyFont="1" applyFill="1" applyBorder="1" applyAlignment="1">
      <alignment horizontal="left" vertical="center" shrinkToFit="1"/>
    </xf>
    <xf numFmtId="0" fontId="71" fillId="17" borderId="5" xfId="3" applyFont="1" applyFill="1" applyBorder="1" applyAlignment="1">
      <alignment horizontal="left" vertical="center" shrinkToFit="1"/>
    </xf>
    <xf numFmtId="0" fontId="71" fillId="17" borderId="6" xfId="3" applyFont="1" applyFill="1" applyBorder="1" applyAlignment="1">
      <alignment horizontal="left" vertical="center" shrinkToFit="1"/>
    </xf>
    <xf numFmtId="49" fontId="35" fillId="23" borderId="1" xfId="3" applyNumberFormat="1" applyFill="1" applyBorder="1" applyAlignment="1" applyProtection="1">
      <alignment horizontal="center" vertical="center" wrapText="1"/>
      <protection locked="0"/>
    </xf>
    <xf numFmtId="0" fontId="106" fillId="2" borderId="10" xfId="7" applyFont="1" applyFill="1" applyBorder="1" applyAlignment="1">
      <alignment horizontal="center" vertical="center"/>
    </xf>
    <xf numFmtId="0" fontId="106" fillId="2" borderId="19" xfId="7" applyFont="1" applyFill="1" applyBorder="1" applyAlignment="1">
      <alignment horizontal="center" vertical="center"/>
    </xf>
    <xf numFmtId="0" fontId="106" fillId="2" borderId="11" xfId="7" applyFont="1" applyFill="1" applyBorder="1" applyAlignment="1">
      <alignment horizontal="center" vertical="center"/>
    </xf>
    <xf numFmtId="0" fontId="42" fillId="2" borderId="10" xfId="7" applyFill="1" applyBorder="1" applyAlignment="1">
      <alignment horizontal="justify" vertical="center" wrapText="1"/>
    </xf>
    <xf numFmtId="0" fontId="42" fillId="2" borderId="19" xfId="7" applyFill="1" applyBorder="1" applyAlignment="1">
      <alignment horizontal="justify" vertical="center" wrapText="1"/>
    </xf>
    <xf numFmtId="0" fontId="42" fillId="2" borderId="11" xfId="7" applyFill="1" applyBorder="1" applyAlignment="1">
      <alignment horizontal="justify" vertical="center" wrapText="1"/>
    </xf>
    <xf numFmtId="0" fontId="36" fillId="21" borderId="2" xfId="0" applyFont="1" applyFill="1" applyBorder="1" applyAlignment="1">
      <alignment horizontal="center" vertical="top" textRotation="45"/>
    </xf>
    <xf numFmtId="0" fontId="36" fillId="9" borderId="2" xfId="0" applyFont="1" applyFill="1" applyBorder="1" applyAlignment="1">
      <alignment horizontal="center" vertical="center" textRotation="45"/>
    </xf>
    <xf numFmtId="0" fontId="43" fillId="3" borderId="7" xfId="7" applyFont="1" applyFill="1" applyBorder="1" applyAlignment="1">
      <alignment horizontal="center" vertical="distributed"/>
    </xf>
    <xf numFmtId="0" fontId="43" fillId="3" borderId="8" xfId="7" applyFont="1" applyFill="1" applyBorder="1" applyAlignment="1">
      <alignment horizontal="center" vertical="distributed"/>
    </xf>
    <xf numFmtId="0" fontId="43" fillId="3" borderId="9" xfId="7" applyFont="1" applyFill="1" applyBorder="1" applyAlignment="1">
      <alignment horizontal="center" vertical="distributed"/>
    </xf>
    <xf numFmtId="0" fontId="36" fillId="3" borderId="7" xfId="0" applyFont="1" applyFill="1" applyBorder="1" applyAlignment="1">
      <alignment horizontal="center" wrapText="1"/>
    </xf>
    <xf numFmtId="0" fontId="36" fillId="3" borderId="8" xfId="0" applyFont="1" applyFill="1" applyBorder="1" applyAlignment="1">
      <alignment horizontal="center" wrapText="1"/>
    </xf>
    <xf numFmtId="0" fontId="36" fillId="3" borderId="9" xfId="0" applyFont="1" applyFill="1" applyBorder="1" applyAlignment="1">
      <alignment horizontal="center" wrapText="1"/>
    </xf>
    <xf numFmtId="0" fontId="35" fillId="2" borderId="10" xfId="0" applyFont="1" applyFill="1" applyBorder="1" applyAlignment="1">
      <alignment horizontal="left" vertical="center" wrapText="1" shrinkToFit="1"/>
    </xf>
    <xf numFmtId="0" fontId="35" fillId="2" borderId="11" xfId="0" applyFont="1" applyFill="1" applyBorder="1" applyAlignment="1">
      <alignment horizontal="left" vertical="center" wrapText="1" shrinkToFit="1"/>
    </xf>
    <xf numFmtId="0" fontId="95" fillId="28" borderId="4" xfId="13" applyFont="1" applyFill="1" applyBorder="1" applyAlignment="1" applyProtection="1">
      <alignment horizontal="center" vertical="center" wrapText="1"/>
      <protection locked="0"/>
    </xf>
    <xf numFmtId="0" fontId="95" fillId="28" borderId="5" xfId="13" applyFont="1" applyFill="1" applyBorder="1" applyAlignment="1" applyProtection="1">
      <alignment horizontal="center" vertical="center" wrapText="1"/>
      <protection locked="0"/>
    </xf>
    <xf numFmtId="0" fontId="95" fillId="28" borderId="6" xfId="13" applyFont="1" applyFill="1" applyBorder="1" applyAlignment="1" applyProtection="1">
      <alignment horizontal="center" vertical="center" wrapText="1"/>
      <protection locked="0"/>
    </xf>
    <xf numFmtId="0" fontId="95" fillId="16" borderId="4" xfId="13" applyFont="1" applyFill="1" applyBorder="1" applyAlignment="1" applyProtection="1">
      <alignment horizontal="center" vertical="center" wrapText="1"/>
    </xf>
    <xf numFmtId="0" fontId="95" fillId="16" borderId="5" xfId="13" applyFont="1" applyFill="1" applyBorder="1" applyAlignment="1" applyProtection="1">
      <alignment horizontal="center" vertical="center" wrapText="1"/>
    </xf>
    <xf numFmtId="0" fontId="92" fillId="25" borderId="14" xfId="12" applyAlignment="1">
      <alignment horizontal="left" vertical="center"/>
    </xf>
    <xf numFmtId="0" fontId="45" fillId="8" borderId="5" xfId="0" applyFont="1" applyFill="1" applyBorder="1" applyAlignment="1">
      <alignment horizontal="center" vertical="center"/>
    </xf>
    <xf numFmtId="0" fontId="45" fillId="8" borderId="6" xfId="0" applyFont="1" applyFill="1" applyBorder="1" applyAlignment="1">
      <alignment horizontal="center" vertical="center"/>
    </xf>
    <xf numFmtId="0" fontId="100" fillId="28" borderId="10" xfId="2" applyFont="1" applyFill="1" applyBorder="1" applyAlignment="1" applyProtection="1">
      <alignment horizontal="center" vertical="center" wrapText="1"/>
      <protection locked="0"/>
    </xf>
    <xf numFmtId="0" fontId="100" fillId="28" borderId="11" xfId="2" applyFont="1" applyFill="1" applyBorder="1" applyAlignment="1" applyProtection="1">
      <alignment horizontal="center" vertical="center" wrapText="1"/>
      <protection locked="0"/>
    </xf>
  </cellXfs>
  <cellStyles count="36">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18 2" xfId="35" xr:uid="{8695F824-A09E-441D-A2CE-1EF14FBC040C}"/>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2448">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val="0"/>
        <i val="0"/>
        <strike val="0"/>
        <condense val="0"/>
        <extend val="0"/>
        <outline val="0"/>
        <shadow val="0"/>
        <u val="none"/>
        <vertAlign val="baseline"/>
        <sz val="11"/>
        <color theme="1"/>
        <name val="Calibri"/>
        <family val="2"/>
        <scheme val="minor"/>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18</c:v>
                </c:pt>
                <c:pt idx="1">
                  <c:v>4</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20</c:v>
                </c:pt>
                <c:pt idx="3">
                  <c:v>0</c:v>
                </c:pt>
                <c:pt idx="4">
                  <c:v>31</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51</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vlad.chioveanu\Downloads\AEF1007%20-%20Peer%20Review%20Workbook%20(PRW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david.puscasu\AppData\Roaming\Microsoft\AddIns\alvDocProp.xla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Help"/>
      <sheetName val="Metrics"/>
      <sheetName val="Overview"/>
      <sheetName val="Review"/>
      <sheetName val="QT First level review"/>
      <sheetName val="QT Second level review"/>
      <sheetName val="QT Import for PTC"/>
      <sheetName val="SDP checklist"/>
      <sheetName val="QAP checklist"/>
      <sheetName val="PDP checklist"/>
      <sheetName val="CMP checklist"/>
      <sheetName val="QP checklist"/>
      <sheetName val="ITP checklist"/>
      <sheetName val="REQ checklist"/>
      <sheetName val="SyAD checklist"/>
      <sheetName val="SAD checklist"/>
      <sheetName val="Reuse checklist"/>
      <sheetName val="PS - DS - SPS - QS checklist"/>
      <sheetName val="OTH checklist"/>
      <sheetName val="MBD checklist"/>
      <sheetName val="SDD checklist"/>
      <sheetName val="CODE checklist"/>
      <sheetName val="ITSR checklist"/>
      <sheetName val="UTSR checklist"/>
      <sheetName val="QSR checklist"/>
      <sheetName val="SWPF checklist"/>
      <sheetName val="PA checklist"/>
    </sheetNames>
    <sheetDataSet>
      <sheetData sheetId="0">
        <row r="3">
          <cell r="AD3" t="str">
            <v>AEF1007 - Peer Review Workbook (PRWB).xlsm</v>
          </cell>
        </row>
        <row r="7">
          <cell r="E7" t="str">
            <v>Peer Review Workbook (PRWB)</v>
          </cell>
          <cell r="W7" t="str">
            <v>AEF1007</v>
          </cell>
        </row>
      </sheetData>
      <sheetData sheetId="1">
        <row r="84">
          <cell r="AJ84" t="str">
            <v>All checklists</v>
          </cell>
        </row>
        <row r="85">
          <cell r="AI85" t="str">
            <v>Yes</v>
          </cell>
          <cell r="AJ85" t="str">
            <v>SDP checklist</v>
          </cell>
        </row>
        <row r="86">
          <cell r="AI86" t="str">
            <v>No</v>
          </cell>
          <cell r="AJ86" t="str">
            <v>QAP checklist</v>
          </cell>
        </row>
        <row r="87">
          <cell r="AI87" t="str">
            <v>NA</v>
          </cell>
          <cell r="AJ87" t="str">
            <v>PDP checklist</v>
          </cell>
        </row>
        <row r="88">
          <cell r="AJ88" t="str">
            <v>CMP checklist</v>
          </cell>
        </row>
        <row r="89">
          <cell r="AJ89" t="str">
            <v>QP checklist</v>
          </cell>
        </row>
        <row r="90">
          <cell r="AJ90" t="str">
            <v>ITP checklist</v>
          </cell>
        </row>
        <row r="91">
          <cell r="AJ91" t="str">
            <v>REQ checklist</v>
          </cell>
        </row>
        <row r="92">
          <cell r="AJ92" t="str">
            <v>SyAD checklist</v>
          </cell>
        </row>
        <row r="93">
          <cell r="AJ93" t="str">
            <v>SAD checklist</v>
          </cell>
        </row>
        <row r="94">
          <cell r="AJ94" t="str">
            <v>Reuse checklist</v>
          </cell>
        </row>
        <row r="95">
          <cell r="AJ95" t="str">
            <v>PS - DS - SPS - QS checklist</v>
          </cell>
        </row>
        <row r="96">
          <cell r="AJ96" t="str">
            <v>OTH checklist</v>
          </cell>
        </row>
        <row r="97">
          <cell r="AJ97" t="str">
            <v>MBD checklist</v>
          </cell>
        </row>
        <row r="98">
          <cell r="AJ98" t="str">
            <v>SDD checklist</v>
          </cell>
        </row>
        <row r="99">
          <cell r="AJ99" t="str">
            <v>CODE checklist</v>
          </cell>
        </row>
        <row r="100">
          <cell r="AJ100" t="str">
            <v>ITSR checklist</v>
          </cell>
        </row>
        <row r="101">
          <cell r="AJ101" t="str">
            <v>UTSR checklist</v>
          </cell>
        </row>
        <row r="102">
          <cell r="AJ102" t="str">
            <v>QSR checklist</v>
          </cell>
        </row>
        <row r="103">
          <cell r="AJ103" t="str">
            <v>SWPF checklist</v>
          </cell>
        </row>
        <row r="104">
          <cell r="AJ104" t="str">
            <v>PA checklist</v>
          </cell>
        </row>
        <row r="105">
          <cell r="AJ105" t="str">
            <v>CODE checklist</v>
          </cell>
        </row>
      </sheetData>
      <sheetData sheetId="2" refreshError="1"/>
      <sheetData sheetId="3" refreshError="1"/>
      <sheetData sheetId="4" refreshError="1"/>
      <sheetData sheetId="5">
        <row r="2">
          <cell r="L2">
            <v>12</v>
          </cell>
          <cell r="M2">
            <v>0</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refreshError="1"/>
      <sheetData sheetId="26" refreshError="1"/>
      <sheetData sheetId="27" refreshError="1"/>
      <sheetData sheetId="2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69" totalsRowShown="0" headerRowDxfId="2424" headerRowBorderDxfId="2423" tableBorderDxfId="2422" headerRowCellStyle="40% - Accent5" dataCellStyle="Normal 4">
  <autoFilter ref="A2:O69"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DxfId="2421" dataCellStyle="Normal 4"/>
    <tableColumn id="5" xr3:uid="{A7E8DB5D-2E5B-4D50-802A-7373C2649DB9}" name="Effort (in mn)" dataCellStyle="Calculation">
      <calculatedColumnFormula>SUM(F3:O69)</calculatedColumnFormula>
    </tableColumn>
    <tableColumn id="6" xr3:uid="{DD9655BE-E53F-4CA5-885B-7FC10F8D2395}" name="VCH" dataCellStyle="Normal 4"/>
    <tableColumn id="7" xr3:uid="{525D8884-0C8A-4478-BF05-7E1372CD45F9}" name="VPO" dataCellStyle="Normal 4"/>
    <tableColumn id="8" xr3:uid="{967B83B5-4BDD-455D-9479-4517937966AE}" name="GBR" dataCellStyle="Normal 4"/>
    <tableColumn id="9" xr3:uid="{B1B837F4-0787-4CAA-BD5D-A6B2F7E9368A}" name="Ire" dataCellStyle="Normal 4"/>
    <tableColumn id="10" xr3:uid="{4B029EAF-CE65-4128-A016-A786C51E5D01}" name="LAR" dataCellStyle="Normal 4"/>
    <tableColumn id="11" xr3:uid="{5B3D026C-0D6F-4D5D-949A-921EED9750D8}" name="Dan Dustinta" dataCellStyle="Normal 4"/>
    <tableColumn id="12" xr3:uid="{F47E4945-FC46-4596-99F8-6868803682F5}" name="CAL" dataCellStyle="Normal 4"/>
    <tableColumn id="13" xr3:uid="{5139BD5E-7132-4168-905C-F6084CD7F3D0}" name="NAA" dataCellStyle="Normal 4"/>
    <tableColumn id="14" xr3:uid="{209C6056-7295-438E-8AAC-53D245A1A566}" name="DPU"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1.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F10" sqref="F10:K10"/>
    </sheetView>
  </sheetViews>
  <sheetFormatPr defaultColWidth="0" defaultRowHeight="12.75" customHeight="1" zeroHeight="1"/>
  <cols>
    <col min="1" max="3" width="2.85546875" style="106" customWidth="1"/>
    <col min="4" max="4" width="3.28515625" style="106" customWidth="1"/>
    <col min="5" max="33" width="2.85546875" style="106" customWidth="1"/>
    <col min="34" max="34" width="1.28515625" style="106" customWidth="1"/>
    <col min="35" max="60" width="3.28515625" style="106" hidden="1" customWidth="1"/>
    <col min="61" max="16384" width="0" style="106" hidden="1"/>
  </cols>
  <sheetData>
    <row r="1" spans="1:37" s="96" customFormat="1">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c r="AI1" s="100"/>
      <c r="AJ1" s="100"/>
      <c r="AK1" s="100"/>
    </row>
    <row r="2" spans="1:37" s="96" customFormat="1"/>
    <row r="3" spans="1:37" s="96" customFormat="1">
      <c r="AD3" s="101" t="s">
        <v>376</v>
      </c>
    </row>
    <row r="4" spans="1:37" s="96" customFormat="1" ht="11.1" customHeight="1">
      <c r="A4" s="282" t="s">
        <v>5</v>
      </c>
      <c r="B4" s="283"/>
      <c r="C4" s="283"/>
      <c r="D4" s="283"/>
      <c r="E4" s="283"/>
      <c r="F4" s="283"/>
      <c r="G4" s="283"/>
      <c r="H4" s="283"/>
      <c r="I4" s="283"/>
      <c r="J4" s="283"/>
      <c r="K4" s="283"/>
      <c r="L4" s="283"/>
      <c r="M4" s="283"/>
      <c r="N4" s="283"/>
      <c r="O4" s="283"/>
      <c r="P4" s="283"/>
      <c r="Q4" s="284"/>
      <c r="R4" s="279" t="s">
        <v>12</v>
      </c>
      <c r="S4" s="280"/>
      <c r="T4" s="280"/>
      <c r="U4" s="280"/>
      <c r="V4" s="281"/>
      <c r="W4" s="279" t="s">
        <v>6</v>
      </c>
      <c r="X4" s="280"/>
      <c r="Y4" s="280"/>
      <c r="Z4" s="280"/>
      <c r="AA4" s="281"/>
      <c r="AB4" s="282" t="s">
        <v>136</v>
      </c>
      <c r="AC4" s="283"/>
      <c r="AD4" s="283"/>
      <c r="AE4" s="283"/>
      <c r="AF4" s="283"/>
      <c r="AG4" s="284"/>
      <c r="AH4" s="102"/>
      <c r="AI4" s="102"/>
      <c r="AJ4" s="102"/>
    </row>
    <row r="5" spans="1:37" s="103" customFormat="1" ht="12.75" customHeight="1">
      <c r="A5" s="285" t="str">
        <f ca="1" xml:space="preserve"> IFERROR(IF([3]!alvDocProperty("MXAuthority")="","272502 VW VWA VN 41S1_NAR EL SB",[3]!alvDocProperty("MXAuthority")),"272502 VW VWA VN 41S1_NAR EL SB")</f>
        <v>272502 VW VWA VN 41S1_NAR EL SB</v>
      </c>
      <c r="B5" s="286"/>
      <c r="C5" s="286"/>
      <c r="D5" s="286"/>
      <c r="E5" s="286"/>
      <c r="F5" s="286"/>
      <c r="G5" s="286"/>
      <c r="H5" s="286"/>
      <c r="I5" s="286"/>
      <c r="J5" s="286"/>
      <c r="K5" s="286"/>
      <c r="L5" s="286"/>
      <c r="M5" s="286"/>
      <c r="N5" s="286"/>
      <c r="O5" s="286"/>
      <c r="P5" s="286"/>
      <c r="Q5" s="287"/>
      <c r="R5" s="285" t="s">
        <v>137</v>
      </c>
      <c r="S5" s="286"/>
      <c r="T5" s="286"/>
      <c r="U5" s="286"/>
      <c r="V5" s="287"/>
      <c r="W5" s="285" t="str">
        <f ca="1" xml:space="preserve"> IFERROR(IF([3]!alvDocProperty("MXCurrent.Localized")="","Template released",[3]!alvDocProperty("MXCurrent.Localized")),"Template released")</f>
        <v>Template released</v>
      </c>
      <c r="X5" s="286"/>
      <c r="Y5" s="286"/>
      <c r="Z5" s="286"/>
      <c r="AA5" s="287"/>
      <c r="AB5" s="285" t="str">
        <f ca="1" xml:space="preserve"> IFERROR(IF([3]!alvDocProperty("MXActual_state_Released")="","2022-07",[3]!alvDocProperty("MXActual_state_Released")),"2022-07")</f>
        <v>2022-07</v>
      </c>
      <c r="AC5" s="286"/>
      <c r="AD5" s="286"/>
      <c r="AE5" s="286"/>
      <c r="AF5" s="286"/>
      <c r="AG5" s="287"/>
    </row>
    <row r="6" spans="1:37" s="96" customFormat="1" ht="11.1" customHeight="1">
      <c r="A6" s="279" t="s">
        <v>7</v>
      </c>
      <c r="B6" s="280"/>
      <c r="C6" s="280"/>
      <c r="D6" s="281"/>
      <c r="E6" s="279" t="s">
        <v>8</v>
      </c>
      <c r="F6" s="280"/>
      <c r="G6" s="280"/>
      <c r="H6" s="280"/>
      <c r="I6" s="280"/>
      <c r="J6" s="280"/>
      <c r="K6" s="280"/>
      <c r="L6" s="280"/>
      <c r="M6" s="280"/>
      <c r="N6" s="280"/>
      <c r="O6" s="280"/>
      <c r="P6" s="280"/>
      <c r="Q6" s="280"/>
      <c r="R6" s="280"/>
      <c r="S6" s="280"/>
      <c r="T6" s="280"/>
      <c r="U6" s="280"/>
      <c r="V6" s="281"/>
      <c r="W6" s="282" t="s">
        <v>10</v>
      </c>
      <c r="X6" s="283"/>
      <c r="Y6" s="283"/>
      <c r="Z6" s="283"/>
      <c r="AA6" s="284"/>
      <c r="AB6" s="279" t="s">
        <v>34</v>
      </c>
      <c r="AC6" s="280"/>
      <c r="AD6" s="281"/>
      <c r="AE6" s="279" t="s">
        <v>9</v>
      </c>
      <c r="AF6" s="280"/>
      <c r="AG6" s="281"/>
    </row>
    <row r="7" spans="1:37" s="103" customFormat="1" ht="12.75" customHeight="1">
      <c r="A7" s="285" t="str">
        <f ca="1" xml:space="preserve"> IFERROR(IF([3]!alvDocProperty("MXName")="","TBD",[3]!alvDocProperty("MXName")),"TBD")</f>
        <v>TBD</v>
      </c>
      <c r="B7" s="286"/>
      <c r="C7" s="286"/>
      <c r="D7" s="287"/>
      <c r="E7" s="285" t="str">
        <f ca="1" xml:space="preserve"> IFERROR(IF([3]!alvDocProperty("MXTitle")="","AdcIf - Peer Review Workbook (PRWB)",[3]!alvDocProperty("MXTitle")),"AdcIf - Peer Review Workbook (PRWB)")</f>
        <v>AdcIf - Peer Review Workbook (PRWB)</v>
      </c>
      <c r="F7" s="286"/>
      <c r="G7" s="286"/>
      <c r="H7" s="286"/>
      <c r="I7" s="286"/>
      <c r="J7" s="286"/>
      <c r="K7" s="286"/>
      <c r="L7" s="286"/>
      <c r="M7" s="286"/>
      <c r="N7" s="286"/>
      <c r="O7" s="286"/>
      <c r="P7" s="286"/>
      <c r="Q7" s="286"/>
      <c r="R7" s="286"/>
      <c r="S7" s="286"/>
      <c r="T7" s="286"/>
      <c r="U7" s="286"/>
      <c r="V7" s="287"/>
      <c r="W7" s="288" t="str">
        <f ca="1" xml:space="preserve"> IFERROR(IF([3]!alvDocProperty("MXDocTemplate_Name")="","AEF1007",[3]!alvDocProperty("MXDocTemplate_Name")),"AEF1007")</f>
        <v>AEF1007</v>
      </c>
      <c r="X7" s="289"/>
      <c r="Y7" s="289"/>
      <c r="Z7" s="289"/>
      <c r="AA7" s="290"/>
      <c r="AB7" s="285" t="str">
        <f ca="1" xml:space="preserve"> IFERROR(IF([3]!alvDocProperty("MXRevision")="","TBD",[3]!alvDocProperty("MXRevision")),"TBD")</f>
        <v>TBD</v>
      </c>
      <c r="AC7" s="286"/>
      <c r="AD7" s="287"/>
      <c r="AE7" s="285" t="str">
        <f ca="1" xml:space="preserve"> IFERROR(IF([3]!alvDocProperty("MXVersion")="","TBD",[3]!alvDocProperty("MXVersion")),"TBD")</f>
        <v>TBD</v>
      </c>
      <c r="AF7" s="286"/>
      <c r="AG7" s="287"/>
    </row>
    <row r="8" spans="1:37" s="103" customFormat="1">
      <c r="A8" s="104"/>
      <c r="B8" s="104"/>
      <c r="C8" s="104"/>
      <c r="D8" s="104"/>
      <c r="E8" s="104"/>
      <c r="F8" s="104"/>
      <c r="G8" s="104"/>
      <c r="H8" s="104"/>
      <c r="I8" s="104"/>
      <c r="J8" s="104"/>
      <c r="K8" s="104"/>
      <c r="L8" s="104"/>
      <c r="M8" s="104"/>
      <c r="N8" s="104"/>
      <c r="O8" s="104"/>
      <c r="P8" s="104"/>
      <c r="Q8" s="104"/>
      <c r="R8" s="104"/>
      <c r="S8" s="104"/>
      <c r="T8" s="104"/>
      <c r="U8" s="104"/>
      <c r="V8" s="104"/>
      <c r="W8" s="105"/>
      <c r="X8" s="105"/>
      <c r="Y8" s="105"/>
      <c r="Z8" s="105"/>
      <c r="AA8" s="105"/>
      <c r="AB8" s="104"/>
      <c r="AC8" s="104"/>
      <c r="AD8" s="104"/>
      <c r="AE8" s="104"/>
      <c r="AF8" s="104"/>
      <c r="AG8" s="104"/>
    </row>
    <row r="9" spans="1:37" ht="11.1" customHeight="1">
      <c r="A9" s="252" t="s">
        <v>60</v>
      </c>
      <c r="B9" s="253"/>
      <c r="C9" s="253"/>
      <c r="D9" s="253"/>
      <c r="E9" s="253"/>
      <c r="F9" s="253"/>
      <c r="G9" s="253"/>
      <c r="H9" s="253"/>
      <c r="I9" s="253"/>
      <c r="J9" s="253"/>
      <c r="K9" s="254"/>
      <c r="L9" s="252" t="s">
        <v>12</v>
      </c>
      <c r="M9" s="253"/>
      <c r="N9" s="253"/>
      <c r="O9" s="253"/>
      <c r="P9" s="253"/>
      <c r="Q9" s="253"/>
      <c r="R9" s="253"/>
      <c r="S9" s="253"/>
      <c r="T9" s="253"/>
      <c r="U9" s="253"/>
      <c r="V9" s="254"/>
      <c r="W9" s="252" t="s">
        <v>17</v>
      </c>
      <c r="X9" s="253"/>
      <c r="Y9" s="253"/>
      <c r="Z9" s="253"/>
      <c r="AA9" s="253"/>
      <c r="AB9" s="253"/>
      <c r="AC9" s="253"/>
      <c r="AD9" s="253"/>
      <c r="AE9" s="253"/>
      <c r="AF9" s="253"/>
      <c r="AG9" s="254"/>
    </row>
    <row r="10" spans="1:37" s="107" customFormat="1" ht="39" customHeight="1">
      <c r="A10" s="255" t="s">
        <v>138</v>
      </c>
      <c r="B10" s="256"/>
      <c r="C10" s="256"/>
      <c r="D10" s="256"/>
      <c r="E10" s="256"/>
      <c r="F10" s="257" t="str">
        <f ca="1" xml:space="preserve"> IFERROR(IF([3]!alvDocProperty("MXUser")="","Vlad Chioveanu",[3]!alvDocProperty("MXUser")),"Vlad Chioveanu")</f>
        <v>Vlad Chioveanu</v>
      </c>
      <c r="G10" s="257"/>
      <c r="H10" s="257"/>
      <c r="I10" s="257"/>
      <c r="J10" s="257"/>
      <c r="K10" s="258"/>
      <c r="L10" s="259" t="s">
        <v>139</v>
      </c>
      <c r="M10" s="260"/>
      <c r="N10" s="260"/>
      <c r="O10" s="260"/>
      <c r="P10" s="260"/>
      <c r="Q10" s="260"/>
      <c r="R10" s="260"/>
      <c r="S10" s="260"/>
      <c r="T10" s="260"/>
      <c r="U10" s="260"/>
      <c r="V10" s="261"/>
      <c r="W10" s="259" t="s">
        <v>139</v>
      </c>
      <c r="X10" s="260"/>
      <c r="Y10" s="260"/>
      <c r="Z10" s="260"/>
      <c r="AA10" s="260"/>
      <c r="AB10" s="260"/>
      <c r="AC10" s="260"/>
      <c r="AD10" s="260"/>
      <c r="AE10" s="260"/>
      <c r="AF10" s="260"/>
      <c r="AG10" s="261"/>
    </row>
    <row r="11" spans="1:37" s="107" customFormat="1" ht="4.5" customHeight="1">
      <c r="A11" s="108"/>
      <c r="B11" s="109"/>
      <c r="C11" s="109"/>
      <c r="D11" s="109"/>
      <c r="E11" s="109"/>
      <c r="F11" s="109"/>
      <c r="G11" s="109"/>
      <c r="H11" s="109"/>
      <c r="I11" s="109"/>
      <c r="J11" s="109"/>
      <c r="K11" s="109"/>
      <c r="L11" s="110"/>
      <c r="M11" s="109"/>
      <c r="N11" s="109"/>
      <c r="O11" s="109"/>
      <c r="P11" s="109"/>
      <c r="Q11" s="109"/>
      <c r="R11" s="109"/>
      <c r="S11" s="109"/>
      <c r="T11" s="109"/>
      <c r="U11" s="109"/>
      <c r="V11" s="109"/>
      <c r="W11" s="110"/>
      <c r="X11" s="109"/>
      <c r="Y11" s="109"/>
      <c r="Z11" s="109"/>
      <c r="AA11" s="109"/>
      <c r="AB11" s="109"/>
      <c r="AC11" s="109"/>
      <c r="AD11" s="109"/>
      <c r="AE11" s="109"/>
      <c r="AF11" s="109"/>
      <c r="AG11" s="111"/>
    </row>
    <row r="12" spans="1:37" ht="11.1" customHeight="1">
      <c r="A12" s="262" t="s">
        <v>140</v>
      </c>
      <c r="B12" s="263"/>
      <c r="C12" s="263"/>
      <c r="D12" s="263"/>
      <c r="E12" s="263"/>
      <c r="F12" s="263"/>
      <c r="G12" s="263"/>
      <c r="H12" s="263"/>
      <c r="I12" s="263"/>
      <c r="J12" s="263"/>
      <c r="K12" s="263"/>
      <c r="L12" s="263"/>
      <c r="M12" s="263"/>
      <c r="N12" s="263"/>
      <c r="O12" s="263"/>
      <c r="P12" s="263"/>
      <c r="Q12" s="263"/>
      <c r="R12" s="263"/>
      <c r="S12" s="263"/>
      <c r="T12" s="263"/>
      <c r="U12" s="263"/>
      <c r="V12" s="263"/>
      <c r="W12" s="263"/>
      <c r="X12" s="263"/>
      <c r="Y12" s="263"/>
      <c r="Z12" s="263"/>
      <c r="AA12" s="263"/>
      <c r="AB12" s="263"/>
      <c r="AC12" s="263"/>
      <c r="AD12" s="263"/>
      <c r="AE12" s="263"/>
      <c r="AF12" s="263"/>
      <c r="AG12" s="264"/>
    </row>
    <row r="13" spans="1:37" s="107" customFormat="1" ht="28.5" customHeight="1">
      <c r="A13" s="265" t="s">
        <v>141</v>
      </c>
      <c r="B13" s="266"/>
      <c r="C13" s="266"/>
      <c r="D13" s="266"/>
      <c r="E13" s="266"/>
      <c r="F13" s="266"/>
      <c r="G13" s="266"/>
      <c r="H13" s="266"/>
      <c r="I13" s="266"/>
      <c r="J13" s="266"/>
      <c r="K13" s="266"/>
      <c r="L13" s="266"/>
      <c r="M13" s="266"/>
      <c r="N13" s="266"/>
      <c r="O13" s="266"/>
      <c r="P13" s="266"/>
      <c r="Q13" s="266"/>
      <c r="R13" s="266"/>
      <c r="S13" s="266"/>
      <c r="T13" s="266"/>
      <c r="U13" s="266"/>
      <c r="V13" s="266"/>
      <c r="W13" s="266"/>
      <c r="X13" s="266"/>
      <c r="Y13" s="266"/>
      <c r="Z13" s="266"/>
      <c r="AA13" s="266"/>
      <c r="AB13" s="266"/>
      <c r="AC13" s="266"/>
      <c r="AD13" s="266"/>
      <c r="AE13" s="266"/>
      <c r="AF13" s="266"/>
      <c r="AG13" s="267"/>
    </row>
    <row r="14" spans="1:37" s="107" customFormat="1" ht="4.5" customHeight="1">
      <c r="A14" s="110"/>
      <c r="B14" s="109"/>
      <c r="C14" s="109"/>
      <c r="D14" s="109"/>
      <c r="E14" s="109"/>
      <c r="F14" s="109"/>
      <c r="G14" s="109"/>
      <c r="H14" s="109"/>
      <c r="I14" s="109"/>
      <c r="J14" s="109"/>
      <c r="K14" s="109"/>
      <c r="L14" s="110"/>
      <c r="M14" s="109"/>
      <c r="N14" s="109"/>
      <c r="O14" s="109"/>
      <c r="P14" s="109"/>
      <c r="Q14" s="109"/>
      <c r="R14" s="109"/>
      <c r="S14" s="109"/>
      <c r="T14" s="109"/>
      <c r="U14" s="109"/>
      <c r="V14" s="109"/>
      <c r="W14" s="110"/>
      <c r="X14" s="109"/>
      <c r="Y14" s="109"/>
      <c r="Z14" s="109"/>
      <c r="AA14" s="109"/>
      <c r="AB14" s="109"/>
      <c r="AC14" s="109"/>
      <c r="AD14" s="109"/>
      <c r="AE14" s="109"/>
      <c r="AF14" s="109"/>
      <c r="AG14" s="109"/>
    </row>
    <row r="15" spans="1:37" ht="37.5" customHeight="1">
      <c r="A15" s="268" t="s">
        <v>142</v>
      </c>
      <c r="B15" s="268"/>
      <c r="C15" s="268"/>
      <c r="D15" s="268"/>
      <c r="E15" s="270"/>
      <c r="F15" s="271"/>
      <c r="G15" s="271"/>
      <c r="H15" s="271"/>
      <c r="I15" s="271"/>
      <c r="J15" s="271"/>
      <c r="K15" s="271"/>
      <c r="L15" s="271"/>
      <c r="M15" s="271"/>
      <c r="N15" s="271"/>
      <c r="O15" s="271"/>
      <c r="P15" s="271"/>
      <c r="Q15" s="271"/>
      <c r="R15" s="271"/>
      <c r="S15" s="271"/>
      <c r="T15" s="271"/>
      <c r="U15" s="271"/>
      <c r="V15" s="271"/>
      <c r="W15" s="271"/>
      <c r="X15" s="271"/>
      <c r="Y15" s="271"/>
      <c r="Z15" s="271"/>
      <c r="AA15" s="271"/>
      <c r="AB15" s="271"/>
      <c r="AC15" s="271"/>
      <c r="AD15" s="271"/>
      <c r="AE15" s="271"/>
      <c r="AF15" s="271"/>
      <c r="AG15" s="272"/>
    </row>
    <row r="16" spans="1:37" ht="37.5" customHeight="1">
      <c r="A16" s="269"/>
      <c r="B16" s="269"/>
      <c r="C16" s="269"/>
      <c r="D16" s="269"/>
      <c r="E16" s="273"/>
      <c r="F16" s="274"/>
      <c r="G16" s="274"/>
      <c r="H16" s="274"/>
      <c r="I16" s="274"/>
      <c r="J16" s="274"/>
      <c r="K16" s="274"/>
      <c r="L16" s="274"/>
      <c r="M16" s="274"/>
      <c r="N16" s="274"/>
      <c r="O16" s="274"/>
      <c r="P16" s="274"/>
      <c r="Q16" s="274"/>
      <c r="R16" s="274"/>
      <c r="S16" s="274"/>
      <c r="T16" s="274"/>
      <c r="U16" s="274"/>
      <c r="V16" s="274"/>
      <c r="W16" s="274"/>
      <c r="X16" s="274"/>
      <c r="Y16" s="274"/>
      <c r="Z16" s="274"/>
      <c r="AA16" s="274"/>
      <c r="AB16" s="274"/>
      <c r="AC16" s="274"/>
      <c r="AD16" s="274"/>
      <c r="AE16" s="274"/>
      <c r="AF16" s="274"/>
      <c r="AG16" s="275"/>
    </row>
    <row r="17" spans="1:33">
      <c r="A17" s="112"/>
    </row>
    <row r="18" spans="1:33" ht="26.25" customHeight="1">
      <c r="A18" s="276" t="s">
        <v>291</v>
      </c>
      <c r="B18" s="277"/>
      <c r="C18" s="277"/>
      <c r="D18" s="277"/>
      <c r="E18" s="278" t="s">
        <v>290</v>
      </c>
      <c r="F18" s="278"/>
      <c r="G18" s="278"/>
      <c r="H18" s="278"/>
      <c r="I18" s="278"/>
      <c r="J18" s="278"/>
      <c r="K18" s="278"/>
      <c r="L18" s="278"/>
      <c r="M18" s="278"/>
      <c r="N18" s="278"/>
      <c r="O18" s="278"/>
      <c r="P18" s="278"/>
    </row>
    <row r="19" spans="1:33"/>
    <row r="20" spans="1:33"/>
    <row r="21" spans="1:33" ht="15.75" customHeight="1">
      <c r="Q21" s="113"/>
    </row>
    <row r="22" spans="1:33" ht="12" customHeight="1">
      <c r="Q22" s="113"/>
    </row>
    <row r="23" spans="1:33" ht="60" customHeight="1">
      <c r="A23" s="250" t="str">
        <f ca="1">MXTitle</f>
        <v>AdcIf - Peer Review Workbook (PRWB)</v>
      </c>
      <c r="B23" s="251"/>
      <c r="C23" s="251"/>
      <c r="D23" s="251"/>
      <c r="E23" s="251"/>
      <c r="F23" s="251"/>
      <c r="G23" s="251"/>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c r="AE23" s="251"/>
      <c r="AF23" s="251"/>
      <c r="AG23" s="251"/>
    </row>
    <row r="24" spans="1:33" ht="25.5">
      <c r="Q24" s="113"/>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9" type="noConversion"/>
  <conditionalFormatting sqref="W5">
    <cfRule type="cellIs" dxfId="2447" priority="21" operator="equal">
      <formula>"draft"</formula>
    </cfRule>
  </conditionalFormatting>
  <conditionalFormatting sqref="W5:AA5">
    <cfRule type="cellIs" dxfId="2446" priority="1" operator="equal">
      <formula>"In-Work"</formula>
    </cfRule>
    <cfRule type="cellIs" dxfId="2445" priority="2" stopIfTrue="1" operator="equal">
      <formula>"draft"</formula>
    </cfRule>
    <cfRule type="cellIs" dxfId="2444" priority="3" operator="equal">
      <formula>"In-Work"</formula>
    </cfRule>
    <cfRule type="cellIs" dxfId="2443" priority="4" stopIfTrue="1" operator="equal">
      <formula>"draft"</formula>
    </cfRule>
    <cfRule type="cellIs" dxfId="2442" priority="5" operator="equal">
      <formula>"In-Work"</formula>
    </cfRule>
    <cfRule type="cellIs" dxfId="2441" priority="6" stopIfTrue="1" operator="equal">
      <formula>"draft"</formula>
    </cfRule>
    <cfRule type="cellIs" dxfId="2440" priority="7" operator="equal">
      <formula>"In-Work"</formula>
    </cfRule>
    <cfRule type="cellIs" dxfId="2439" priority="8" stopIfTrue="1" operator="equal">
      <formula>"draft"</formula>
    </cfRule>
    <cfRule type="cellIs" dxfId="2438" priority="9" operator="equal">
      <formula>"In-Work"</formula>
    </cfRule>
    <cfRule type="cellIs" dxfId="2437" priority="10" stopIfTrue="1" operator="equal">
      <formula>"draft"</formula>
    </cfRule>
    <cfRule type="cellIs" dxfId="2436" priority="11" operator="equal">
      <formula>"In-Work"</formula>
    </cfRule>
    <cfRule type="cellIs" dxfId="2435" priority="12" stopIfTrue="1" operator="equal">
      <formula>"draft"</formula>
    </cfRule>
    <cfRule type="cellIs" dxfId="2434" priority="13" operator="equal">
      <formula>"In-Work"</formula>
    </cfRule>
    <cfRule type="cellIs" dxfId="2433" priority="14" stopIfTrue="1" operator="equal">
      <formula>"draft"</formula>
    </cfRule>
    <cfRule type="cellIs" dxfId="2432" priority="15" operator="equal">
      <formula>"In-Work"</formula>
    </cfRule>
    <cfRule type="cellIs" dxfId="2431" priority="16" stopIfTrue="1" operator="equal">
      <formula>"draft"</formula>
    </cfRule>
    <cfRule type="cellIs" dxfId="2430" priority="17" operator="equal">
      <formula>"In-Work"</formula>
    </cfRule>
    <cfRule type="cellIs" dxfId="2429" priority="18" stopIfTrue="1" operator="equal">
      <formula>"draft"</formula>
    </cfRule>
    <cfRule type="cellIs" dxfId="2428" priority="19" operator="equal">
      <formula>"In-Work"</formula>
    </cfRule>
    <cfRule type="cellIs" dxfId="2427"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4" customWidth="1"/>
    <col min="35" max="35" width="9.140625" style="114"/>
    <col min="36" max="36" width="22" style="114" customWidth="1"/>
    <col min="37" max="16384" width="9.140625" style="114"/>
  </cols>
  <sheetData>
    <row r="1" spans="1:34">
      <c r="A1" s="96"/>
      <c r="B1" s="96"/>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row>
    <row r="2" spans="1:34">
      <c r="A2" s="96"/>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row>
    <row r="3" spans="1:34">
      <c r="A3" s="96"/>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115" t="str">
        <f>FileName</f>
        <v>AdcIf - Peer Review Workbook.xlsm</v>
      </c>
      <c r="AE3" s="96"/>
      <c r="AF3" s="96"/>
      <c r="AG3" s="96"/>
      <c r="AH3" s="96"/>
    </row>
    <row r="4" spans="1:34">
      <c r="A4" s="282" t="s">
        <v>5</v>
      </c>
      <c r="B4" s="283"/>
      <c r="C4" s="283"/>
      <c r="D4" s="283"/>
      <c r="E4" s="283"/>
      <c r="F4" s="283"/>
      <c r="G4" s="283"/>
      <c r="H4" s="283"/>
      <c r="I4" s="283"/>
      <c r="J4" s="283"/>
      <c r="K4" s="283"/>
      <c r="L4" s="283"/>
      <c r="M4" s="283"/>
      <c r="N4" s="283"/>
      <c r="O4" s="283"/>
      <c r="P4" s="283"/>
      <c r="Q4" s="283"/>
      <c r="R4" s="283"/>
      <c r="S4" s="283"/>
      <c r="T4" s="283"/>
      <c r="U4" s="283"/>
      <c r="V4" s="284"/>
      <c r="W4" s="321" t="s">
        <v>6</v>
      </c>
      <c r="X4" s="322"/>
      <c r="Y4" s="322"/>
      <c r="Z4" s="322"/>
      <c r="AA4" s="323"/>
      <c r="AB4" s="282" t="s">
        <v>136</v>
      </c>
      <c r="AC4" s="283"/>
      <c r="AD4" s="283"/>
      <c r="AE4" s="283"/>
      <c r="AF4" s="283"/>
      <c r="AG4" s="284"/>
      <c r="AH4" s="102"/>
    </row>
    <row r="5" spans="1:34">
      <c r="A5" s="288" t="s">
        <v>202</v>
      </c>
      <c r="B5" s="289"/>
      <c r="C5" s="289"/>
      <c r="D5" s="289"/>
      <c r="E5" s="289"/>
      <c r="F5" s="289"/>
      <c r="G5" s="289"/>
      <c r="H5" s="289"/>
      <c r="I5" s="289"/>
      <c r="J5" s="289"/>
      <c r="K5" s="289"/>
      <c r="L5" s="289"/>
      <c r="M5" s="289"/>
      <c r="N5" s="289"/>
      <c r="O5" s="289"/>
      <c r="P5" s="289"/>
      <c r="Q5" s="289"/>
      <c r="R5" s="289"/>
      <c r="S5" s="289"/>
      <c r="T5" s="289"/>
      <c r="U5" s="289"/>
      <c r="V5" s="290"/>
      <c r="W5" s="324" t="s">
        <v>201</v>
      </c>
      <c r="X5" s="325"/>
      <c r="Y5" s="325"/>
      <c r="Z5" s="325"/>
      <c r="AA5" s="326"/>
      <c r="AB5" s="288" t="s">
        <v>200</v>
      </c>
      <c r="AC5" s="289"/>
      <c r="AD5" s="289"/>
      <c r="AE5" s="289"/>
      <c r="AF5" s="289"/>
      <c r="AG5" s="290"/>
      <c r="AH5" s="103"/>
    </row>
    <row r="6" spans="1:34">
      <c r="A6" s="313" t="s">
        <v>7</v>
      </c>
      <c r="B6" s="314"/>
      <c r="C6" s="314"/>
      <c r="D6" s="315"/>
      <c r="E6" s="313" t="s">
        <v>8</v>
      </c>
      <c r="F6" s="314"/>
      <c r="G6" s="314"/>
      <c r="H6" s="314"/>
      <c r="I6" s="314"/>
      <c r="J6" s="314"/>
      <c r="K6" s="314"/>
      <c r="L6" s="314"/>
      <c r="M6" s="314"/>
      <c r="N6" s="314"/>
      <c r="O6" s="314"/>
      <c r="P6" s="314"/>
      <c r="Q6" s="314"/>
      <c r="R6" s="314"/>
      <c r="S6" s="314"/>
      <c r="T6" s="314"/>
      <c r="U6" s="314"/>
      <c r="V6" s="315"/>
      <c r="W6" s="282" t="s">
        <v>10</v>
      </c>
      <c r="X6" s="283"/>
      <c r="Y6" s="283"/>
      <c r="Z6" s="283"/>
      <c r="AA6" s="284"/>
      <c r="AB6" s="321" t="s">
        <v>34</v>
      </c>
      <c r="AC6" s="322"/>
      <c r="AD6" s="323"/>
      <c r="AE6" s="321" t="s">
        <v>9</v>
      </c>
      <c r="AF6" s="322"/>
      <c r="AG6" s="323"/>
      <c r="AH6" s="96"/>
    </row>
    <row r="7" spans="1:34">
      <c r="A7" s="324" t="s">
        <v>199</v>
      </c>
      <c r="B7" s="325"/>
      <c r="C7" s="325"/>
      <c r="D7" s="326"/>
      <c r="E7" s="324" t="s">
        <v>204</v>
      </c>
      <c r="F7" s="325"/>
      <c r="G7" s="325"/>
      <c r="H7" s="325"/>
      <c r="I7" s="325"/>
      <c r="J7" s="325"/>
      <c r="K7" s="325"/>
      <c r="L7" s="325"/>
      <c r="M7" s="325"/>
      <c r="N7" s="325"/>
      <c r="O7" s="325"/>
      <c r="P7" s="325"/>
      <c r="Q7" s="325"/>
      <c r="R7" s="325"/>
      <c r="S7" s="325"/>
      <c r="T7" s="325"/>
      <c r="U7" s="325"/>
      <c r="V7" s="326"/>
      <c r="W7" s="324" t="str">
        <f ca="1">TemplateRef</f>
        <v>AEF1007</v>
      </c>
      <c r="X7" s="325"/>
      <c r="Y7" s="325"/>
      <c r="Z7" s="325"/>
      <c r="AA7" s="326"/>
      <c r="AB7" s="324" t="s">
        <v>203</v>
      </c>
      <c r="AC7" s="325"/>
      <c r="AD7" s="326"/>
      <c r="AE7" s="324" t="s">
        <v>203</v>
      </c>
      <c r="AF7" s="325"/>
      <c r="AG7" s="326"/>
      <c r="AH7" s="103"/>
    </row>
    <row r="8" spans="1:34">
      <c r="A8" s="313" t="s">
        <v>143</v>
      </c>
      <c r="B8" s="314"/>
      <c r="C8" s="314"/>
      <c r="D8" s="314"/>
      <c r="E8" s="314"/>
      <c r="F8" s="314"/>
      <c r="G8" s="314"/>
      <c r="H8" s="314"/>
      <c r="I8" s="314"/>
      <c r="J8" s="314"/>
      <c r="K8" s="314"/>
      <c r="L8" s="314"/>
      <c r="M8" s="314"/>
      <c r="N8" s="314"/>
      <c r="O8" s="314"/>
      <c r="P8" s="314"/>
      <c r="Q8" s="314"/>
      <c r="R8" s="314"/>
      <c r="S8" s="314"/>
      <c r="T8" s="314"/>
      <c r="U8" s="314"/>
      <c r="V8" s="314"/>
      <c r="W8" s="314"/>
      <c r="X8" s="314"/>
      <c r="Y8" s="314"/>
      <c r="Z8" s="314"/>
      <c r="AA8" s="314"/>
      <c r="AB8" s="314"/>
      <c r="AC8" s="314"/>
      <c r="AD8" s="314"/>
      <c r="AE8" s="314"/>
      <c r="AF8" s="314"/>
      <c r="AG8" s="315"/>
      <c r="AH8" s="106"/>
    </row>
    <row r="9" spans="1:34">
      <c r="A9" s="316" t="s">
        <v>144</v>
      </c>
      <c r="B9" s="317"/>
      <c r="C9" s="317"/>
      <c r="D9" s="317"/>
      <c r="E9" s="317"/>
      <c r="F9" s="317"/>
      <c r="G9" s="317"/>
      <c r="H9" s="317"/>
      <c r="I9" s="317"/>
      <c r="J9" s="317"/>
      <c r="K9" s="317"/>
      <c r="L9" s="317"/>
      <c r="M9" s="317"/>
      <c r="N9" s="317"/>
      <c r="O9" s="317"/>
      <c r="P9" s="317"/>
      <c r="Q9" s="317"/>
      <c r="R9" s="317"/>
      <c r="S9" s="317"/>
      <c r="T9" s="317"/>
      <c r="U9" s="317"/>
      <c r="V9" s="317"/>
      <c r="W9" s="317"/>
      <c r="X9" s="317"/>
      <c r="Y9" s="317"/>
      <c r="Z9" s="317"/>
      <c r="AA9" s="317"/>
      <c r="AB9" s="317"/>
      <c r="AC9" s="317"/>
      <c r="AD9" s="317"/>
      <c r="AE9" s="317"/>
      <c r="AF9" s="317"/>
      <c r="AG9" s="318"/>
      <c r="AH9" s="106"/>
    </row>
    <row r="10" spans="1:34">
      <c r="A10" s="106"/>
      <c r="B10" s="106"/>
      <c r="C10" s="106"/>
      <c r="D10" s="106"/>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row>
    <row r="11" spans="1:34">
      <c r="A11" s="106"/>
      <c r="B11" s="106"/>
      <c r="C11" s="106"/>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row>
    <row r="12" spans="1:34" ht="26.25">
      <c r="A12" s="106"/>
      <c r="B12" s="116" t="s">
        <v>145</v>
      </c>
      <c r="C12" s="117"/>
      <c r="D12" s="117"/>
      <c r="E12" s="117"/>
      <c r="F12" s="117"/>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06"/>
      <c r="AH12" s="106"/>
    </row>
    <row r="13" spans="1:34">
      <c r="A13" s="106"/>
      <c r="B13" s="106"/>
      <c r="C13" s="106"/>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row>
    <row r="14" spans="1:34" ht="20.25">
      <c r="A14" s="106"/>
      <c r="B14" s="118" t="s">
        <v>146</v>
      </c>
      <c r="C14" s="119"/>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row>
    <row r="15" spans="1:34">
      <c r="A15" s="106"/>
      <c r="B15" s="301" t="s">
        <v>147</v>
      </c>
      <c r="C15" s="319"/>
      <c r="D15" s="319"/>
      <c r="E15" s="319"/>
      <c r="F15" s="319"/>
      <c r="G15" s="301" t="s">
        <v>148</v>
      </c>
      <c r="H15" s="301"/>
      <c r="I15" s="301"/>
      <c r="J15" s="301"/>
      <c r="K15" s="301"/>
      <c r="L15" s="301"/>
      <c r="M15" s="301"/>
      <c r="N15" s="301"/>
      <c r="O15" s="301"/>
      <c r="P15" s="301"/>
      <c r="Q15" s="301"/>
      <c r="R15" s="301"/>
      <c r="S15" s="301"/>
      <c r="T15" s="301"/>
      <c r="U15" s="301"/>
      <c r="V15" s="301"/>
      <c r="W15" s="301"/>
      <c r="X15" s="301"/>
      <c r="Y15" s="301"/>
      <c r="Z15" s="301"/>
      <c r="AA15" s="301"/>
      <c r="AB15" s="301"/>
      <c r="AC15" s="301"/>
      <c r="AD15" s="301"/>
      <c r="AE15" s="301"/>
      <c r="AF15" s="301"/>
      <c r="AG15" s="106"/>
      <c r="AH15" s="106"/>
    </row>
    <row r="16" spans="1:34" ht="55.5" customHeight="1">
      <c r="A16" s="106"/>
      <c r="B16" s="320" t="s">
        <v>149</v>
      </c>
      <c r="C16" s="320"/>
      <c r="D16" s="320"/>
      <c r="E16" s="320"/>
      <c r="F16" s="320"/>
      <c r="G16" s="298" t="s">
        <v>150</v>
      </c>
      <c r="H16" s="298"/>
      <c r="I16" s="298"/>
      <c r="J16" s="298"/>
      <c r="K16" s="298"/>
      <c r="L16" s="298"/>
      <c r="M16" s="298"/>
      <c r="N16" s="298"/>
      <c r="O16" s="298"/>
      <c r="P16" s="298"/>
      <c r="Q16" s="298"/>
      <c r="R16" s="298"/>
      <c r="S16" s="298"/>
      <c r="T16" s="298"/>
      <c r="U16" s="298"/>
      <c r="V16" s="298"/>
      <c r="W16" s="298"/>
      <c r="X16" s="298"/>
      <c r="Y16" s="298"/>
      <c r="Z16" s="298"/>
      <c r="AA16" s="298"/>
      <c r="AB16" s="298"/>
      <c r="AC16" s="298"/>
      <c r="AD16" s="298"/>
      <c r="AE16" s="298"/>
      <c r="AF16" s="298"/>
      <c r="AG16" s="106"/>
      <c r="AH16" s="106"/>
    </row>
    <row r="17" spans="1:34">
      <c r="A17" s="106"/>
      <c r="B17" s="320" t="s">
        <v>151</v>
      </c>
      <c r="C17" s="320"/>
      <c r="D17" s="320"/>
      <c r="E17" s="320"/>
      <c r="F17" s="320"/>
      <c r="G17" s="298" t="s">
        <v>152</v>
      </c>
      <c r="H17" s="298"/>
      <c r="I17" s="298"/>
      <c r="J17" s="298"/>
      <c r="K17" s="298"/>
      <c r="L17" s="298"/>
      <c r="M17" s="298"/>
      <c r="N17" s="298"/>
      <c r="O17" s="298"/>
      <c r="P17" s="298"/>
      <c r="Q17" s="298"/>
      <c r="R17" s="298"/>
      <c r="S17" s="298"/>
      <c r="T17" s="298"/>
      <c r="U17" s="298"/>
      <c r="V17" s="298"/>
      <c r="W17" s="298"/>
      <c r="X17" s="298"/>
      <c r="Y17" s="298"/>
      <c r="Z17" s="298"/>
      <c r="AA17" s="298"/>
      <c r="AB17" s="298"/>
      <c r="AC17" s="298"/>
      <c r="AD17" s="298"/>
      <c r="AE17" s="298"/>
      <c r="AF17" s="298"/>
      <c r="AG17" s="106"/>
      <c r="AH17" s="106"/>
    </row>
    <row r="18" spans="1:34" ht="15" customHeight="1">
      <c r="A18" s="106"/>
      <c r="B18" s="320" t="s">
        <v>15</v>
      </c>
      <c r="C18" s="320"/>
      <c r="D18" s="320"/>
      <c r="E18" s="320"/>
      <c r="F18" s="320"/>
      <c r="G18" s="298" t="s">
        <v>153</v>
      </c>
      <c r="H18" s="298"/>
      <c r="I18" s="298"/>
      <c r="J18" s="298"/>
      <c r="K18" s="298"/>
      <c r="L18" s="298"/>
      <c r="M18" s="298"/>
      <c r="N18" s="298"/>
      <c r="O18" s="298"/>
      <c r="P18" s="298"/>
      <c r="Q18" s="298"/>
      <c r="R18" s="298"/>
      <c r="S18" s="298"/>
      <c r="T18" s="298"/>
      <c r="U18" s="298"/>
      <c r="V18" s="298"/>
      <c r="W18" s="298"/>
      <c r="X18" s="298"/>
      <c r="Y18" s="298"/>
      <c r="Z18" s="298"/>
      <c r="AA18" s="298"/>
      <c r="AB18" s="298"/>
      <c r="AC18" s="298"/>
      <c r="AD18" s="298"/>
      <c r="AE18" s="298"/>
      <c r="AF18" s="298"/>
      <c r="AG18" s="106"/>
      <c r="AH18" s="106"/>
    </row>
    <row r="19" spans="1:34" ht="24" customHeight="1">
      <c r="A19" s="106"/>
      <c r="B19" s="310" t="s">
        <v>188</v>
      </c>
      <c r="C19" s="310"/>
      <c r="D19" s="310"/>
      <c r="E19" s="310"/>
      <c r="F19" s="310"/>
      <c r="G19" s="298" t="s">
        <v>153</v>
      </c>
      <c r="H19" s="298"/>
      <c r="I19" s="298"/>
      <c r="J19" s="298"/>
      <c r="K19" s="298"/>
      <c r="L19" s="298"/>
      <c r="M19" s="298"/>
      <c r="N19" s="298"/>
      <c r="O19" s="298"/>
      <c r="P19" s="298"/>
      <c r="Q19" s="298"/>
      <c r="R19" s="298"/>
      <c r="S19" s="298"/>
      <c r="T19" s="298"/>
      <c r="U19" s="298"/>
      <c r="V19" s="298"/>
      <c r="W19" s="298"/>
      <c r="X19" s="298"/>
      <c r="Y19" s="298"/>
      <c r="Z19" s="298"/>
      <c r="AA19" s="298"/>
      <c r="AB19" s="298"/>
      <c r="AC19" s="298"/>
      <c r="AD19" s="298"/>
      <c r="AE19" s="298"/>
      <c r="AF19" s="298"/>
      <c r="AG19" s="106"/>
      <c r="AH19" s="106"/>
    </row>
    <row r="20" spans="1:34">
      <c r="A20" s="106"/>
      <c r="B20" s="327" t="s">
        <v>189</v>
      </c>
      <c r="C20" s="327"/>
      <c r="D20" s="327"/>
      <c r="E20" s="327"/>
      <c r="F20" s="327"/>
      <c r="G20" s="298" t="s">
        <v>153</v>
      </c>
      <c r="H20" s="298"/>
      <c r="I20" s="298"/>
      <c r="J20" s="298"/>
      <c r="K20" s="298"/>
      <c r="L20" s="298"/>
      <c r="M20" s="298"/>
      <c r="N20" s="298"/>
      <c r="O20" s="298"/>
      <c r="P20" s="298"/>
      <c r="Q20" s="298"/>
      <c r="R20" s="298"/>
      <c r="S20" s="298"/>
      <c r="T20" s="298"/>
      <c r="U20" s="298"/>
      <c r="V20" s="298"/>
      <c r="W20" s="298"/>
      <c r="X20" s="298"/>
      <c r="Y20" s="298"/>
      <c r="Z20" s="298"/>
      <c r="AA20" s="298"/>
      <c r="AB20" s="298"/>
      <c r="AC20" s="298"/>
      <c r="AD20" s="298"/>
      <c r="AE20" s="298"/>
      <c r="AF20" s="298"/>
      <c r="AG20" s="106"/>
      <c r="AH20" s="106"/>
    </row>
    <row r="21" spans="1:34" ht="35.25" customHeight="1">
      <c r="A21" s="106"/>
      <c r="B21" s="311" t="s">
        <v>256</v>
      </c>
      <c r="C21" s="311"/>
      <c r="D21" s="311"/>
      <c r="E21" s="311"/>
      <c r="F21" s="311"/>
      <c r="G21" s="298" t="s">
        <v>257</v>
      </c>
      <c r="H21" s="298"/>
      <c r="I21" s="298"/>
      <c r="J21" s="298"/>
      <c r="K21" s="298"/>
      <c r="L21" s="298"/>
      <c r="M21" s="298"/>
      <c r="N21" s="298"/>
      <c r="O21" s="298"/>
      <c r="P21" s="298"/>
      <c r="Q21" s="298"/>
      <c r="R21" s="298"/>
      <c r="S21" s="298"/>
      <c r="T21" s="298"/>
      <c r="U21" s="298"/>
      <c r="V21" s="298"/>
      <c r="W21" s="298"/>
      <c r="X21" s="298"/>
      <c r="Y21" s="298"/>
      <c r="Z21" s="298"/>
      <c r="AA21" s="298"/>
      <c r="AB21" s="298"/>
      <c r="AC21" s="298"/>
      <c r="AD21" s="298"/>
      <c r="AE21" s="298"/>
      <c r="AF21" s="298"/>
      <c r="AG21" s="106"/>
      <c r="AH21" s="106"/>
    </row>
    <row r="22" spans="1:34" ht="28.5" customHeight="1">
      <c r="A22" s="106"/>
      <c r="B22" s="311" t="s">
        <v>258</v>
      </c>
      <c r="C22" s="311"/>
      <c r="D22" s="311"/>
      <c r="E22" s="311"/>
      <c r="F22" s="311"/>
      <c r="G22" s="298" t="s">
        <v>259</v>
      </c>
      <c r="H22" s="298"/>
      <c r="I22" s="298"/>
      <c r="J22" s="298"/>
      <c r="K22" s="298"/>
      <c r="L22" s="298"/>
      <c r="M22" s="298"/>
      <c r="N22" s="298"/>
      <c r="O22" s="298"/>
      <c r="P22" s="298"/>
      <c r="Q22" s="298"/>
      <c r="R22" s="298"/>
      <c r="S22" s="298"/>
      <c r="T22" s="298"/>
      <c r="U22" s="298"/>
      <c r="V22" s="298"/>
      <c r="W22" s="298"/>
      <c r="X22" s="298"/>
      <c r="Y22" s="298"/>
      <c r="Z22" s="298"/>
      <c r="AA22" s="298"/>
      <c r="AB22" s="298"/>
      <c r="AC22" s="298"/>
      <c r="AD22" s="298"/>
      <c r="AE22" s="298"/>
      <c r="AF22" s="298"/>
      <c r="AG22" s="106"/>
      <c r="AH22" s="106"/>
    </row>
    <row r="23" spans="1:34" ht="22.5" customHeight="1">
      <c r="A23" s="106"/>
      <c r="B23" s="311" t="s">
        <v>260</v>
      </c>
      <c r="C23" s="311"/>
      <c r="D23" s="311"/>
      <c r="E23" s="311"/>
      <c r="F23" s="311"/>
      <c r="G23" s="298" t="s">
        <v>261</v>
      </c>
      <c r="H23" s="298"/>
      <c r="I23" s="298"/>
      <c r="J23" s="298"/>
      <c r="K23" s="298"/>
      <c r="L23" s="298"/>
      <c r="M23" s="298"/>
      <c r="N23" s="298"/>
      <c r="O23" s="298"/>
      <c r="P23" s="298"/>
      <c r="Q23" s="298"/>
      <c r="R23" s="298"/>
      <c r="S23" s="298"/>
      <c r="T23" s="298"/>
      <c r="U23" s="298"/>
      <c r="V23" s="298"/>
      <c r="W23" s="298"/>
      <c r="X23" s="298"/>
      <c r="Y23" s="298"/>
      <c r="Z23" s="298"/>
      <c r="AA23" s="298"/>
      <c r="AB23" s="298"/>
      <c r="AC23" s="298"/>
      <c r="AD23" s="298"/>
      <c r="AE23" s="298"/>
      <c r="AF23" s="298"/>
      <c r="AG23" s="106"/>
      <c r="AH23" s="106"/>
    </row>
    <row r="24" spans="1:34" ht="45" customHeight="1">
      <c r="A24" s="106"/>
      <c r="B24" s="312" t="s">
        <v>190</v>
      </c>
      <c r="C24" s="312"/>
      <c r="D24" s="312"/>
      <c r="E24" s="312"/>
      <c r="F24" s="312"/>
      <c r="G24" s="298" t="s">
        <v>288</v>
      </c>
      <c r="H24" s="298"/>
      <c r="I24" s="298"/>
      <c r="J24" s="298"/>
      <c r="K24" s="298"/>
      <c r="L24" s="298"/>
      <c r="M24" s="298"/>
      <c r="N24" s="298"/>
      <c r="O24" s="298"/>
      <c r="P24" s="298"/>
      <c r="Q24" s="298"/>
      <c r="R24" s="298"/>
      <c r="S24" s="298"/>
      <c r="T24" s="298"/>
      <c r="U24" s="298"/>
      <c r="V24" s="298"/>
      <c r="W24" s="298"/>
      <c r="X24" s="298"/>
      <c r="Y24" s="298"/>
      <c r="Z24" s="298"/>
      <c r="AA24" s="298"/>
      <c r="AB24" s="298"/>
      <c r="AC24" s="298"/>
      <c r="AD24" s="298"/>
      <c r="AE24" s="298"/>
      <c r="AF24" s="298"/>
      <c r="AG24" s="106"/>
      <c r="AH24" s="106"/>
    </row>
    <row r="25" spans="1:34">
      <c r="A25" s="106"/>
      <c r="B25" s="106"/>
      <c r="C25" s="120"/>
      <c r="D25" s="106"/>
      <c r="E25" s="106"/>
      <c r="F25" s="106"/>
      <c r="G25" s="106"/>
      <c r="H25" s="106"/>
      <c r="I25" s="121"/>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row>
    <row r="26" spans="1:34" ht="20.25">
      <c r="A26" s="118"/>
      <c r="B26" s="118" t="s">
        <v>154</v>
      </c>
      <c r="C26" s="120"/>
      <c r="D26" s="106"/>
      <c r="E26" s="106"/>
      <c r="F26" s="106"/>
      <c r="G26" s="106"/>
      <c r="H26" s="106"/>
      <c r="I26" s="121"/>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row>
    <row r="27" spans="1:34">
      <c r="A27" s="106"/>
      <c r="B27" s="301" t="s">
        <v>34</v>
      </c>
      <c r="C27" s="303"/>
      <c r="D27" s="303"/>
      <c r="E27" s="301" t="s">
        <v>92</v>
      </c>
      <c r="F27" s="301"/>
      <c r="G27" s="301"/>
      <c r="H27" s="301"/>
      <c r="I27" s="301" t="s">
        <v>155</v>
      </c>
      <c r="J27" s="303"/>
      <c r="K27" s="303"/>
      <c r="L27" s="303"/>
      <c r="M27" s="303"/>
      <c r="N27" s="303"/>
      <c r="O27" s="303"/>
      <c r="P27" s="303"/>
      <c r="Q27" s="303"/>
      <c r="R27" s="301" t="s">
        <v>156</v>
      </c>
      <c r="S27" s="301"/>
      <c r="T27" s="301"/>
      <c r="U27" s="301"/>
      <c r="V27" s="301"/>
      <c r="W27" s="301"/>
      <c r="X27" s="301"/>
      <c r="Y27" s="301"/>
      <c r="Z27" s="301"/>
      <c r="AA27" s="301"/>
      <c r="AB27" s="301"/>
      <c r="AC27" s="301"/>
      <c r="AD27" s="301"/>
      <c r="AE27" s="301"/>
      <c r="AF27" s="301"/>
      <c r="AG27" s="106"/>
      <c r="AH27" s="106"/>
    </row>
    <row r="28" spans="1:34" ht="40.5" customHeight="1">
      <c r="A28" s="106"/>
      <c r="B28" s="291" t="s">
        <v>334</v>
      </c>
      <c r="C28" s="292" t="s">
        <v>3</v>
      </c>
      <c r="D28" s="293" t="s">
        <v>3</v>
      </c>
      <c r="E28" s="304"/>
      <c r="F28" s="305"/>
      <c r="G28" s="305"/>
      <c r="H28" s="306"/>
      <c r="I28" s="298"/>
      <c r="J28" s="307"/>
      <c r="K28" s="307"/>
      <c r="L28" s="307"/>
      <c r="M28" s="307"/>
      <c r="N28" s="307"/>
      <c r="O28" s="307"/>
      <c r="P28" s="307"/>
      <c r="Q28" s="307"/>
      <c r="R28" s="298" t="s">
        <v>14</v>
      </c>
      <c r="S28" s="298" t="s">
        <v>14</v>
      </c>
      <c r="T28" s="298" t="s">
        <v>14</v>
      </c>
      <c r="U28" s="298" t="s">
        <v>14</v>
      </c>
      <c r="V28" s="298" t="s">
        <v>14</v>
      </c>
      <c r="W28" s="298" t="s">
        <v>14</v>
      </c>
      <c r="X28" s="298" t="s">
        <v>14</v>
      </c>
      <c r="Y28" s="298" t="s">
        <v>14</v>
      </c>
      <c r="Z28" s="298" t="s">
        <v>14</v>
      </c>
      <c r="AA28" s="298" t="s">
        <v>14</v>
      </c>
      <c r="AB28" s="298" t="s">
        <v>14</v>
      </c>
      <c r="AC28" s="298" t="s">
        <v>14</v>
      </c>
      <c r="AD28" s="298" t="s">
        <v>14</v>
      </c>
      <c r="AE28" s="298" t="s">
        <v>14</v>
      </c>
      <c r="AF28" s="298" t="s">
        <v>14</v>
      </c>
      <c r="AG28" s="106"/>
      <c r="AH28" s="106"/>
    </row>
    <row r="29" spans="1:34" ht="60" customHeight="1">
      <c r="A29" s="106"/>
      <c r="B29" s="291" t="s">
        <v>18</v>
      </c>
      <c r="C29" s="292" t="s">
        <v>18</v>
      </c>
      <c r="D29" s="293" t="s">
        <v>18</v>
      </c>
      <c r="E29" s="304">
        <v>40591.490486111114</v>
      </c>
      <c r="F29" s="305">
        <v>40591.490486111114</v>
      </c>
      <c r="G29" s="305">
        <v>40591.490486111114</v>
      </c>
      <c r="H29" s="306">
        <v>40591.490486111114</v>
      </c>
      <c r="I29" s="298" t="s">
        <v>4</v>
      </c>
      <c r="J29" s="307" t="s">
        <v>4</v>
      </c>
      <c r="K29" s="307" t="s">
        <v>4</v>
      </c>
      <c r="L29" s="307" t="s">
        <v>4</v>
      </c>
      <c r="M29" s="307" t="s">
        <v>4</v>
      </c>
      <c r="N29" s="307" t="s">
        <v>4</v>
      </c>
      <c r="O29" s="307" t="s">
        <v>4</v>
      </c>
      <c r="P29" s="307" t="s">
        <v>4</v>
      </c>
      <c r="Q29" s="307" t="s">
        <v>4</v>
      </c>
      <c r="R29" s="298" t="s">
        <v>35</v>
      </c>
      <c r="S29" s="298" t="s">
        <v>35</v>
      </c>
      <c r="T29" s="298" t="s">
        <v>35</v>
      </c>
      <c r="U29" s="298" t="s">
        <v>35</v>
      </c>
      <c r="V29" s="298" t="s">
        <v>35</v>
      </c>
      <c r="W29" s="298" t="s">
        <v>35</v>
      </c>
      <c r="X29" s="298" t="s">
        <v>35</v>
      </c>
      <c r="Y29" s="298" t="s">
        <v>35</v>
      </c>
      <c r="Z29" s="298" t="s">
        <v>35</v>
      </c>
      <c r="AA29" s="298" t="s">
        <v>35</v>
      </c>
      <c r="AB29" s="298" t="s">
        <v>35</v>
      </c>
      <c r="AC29" s="298" t="s">
        <v>35</v>
      </c>
      <c r="AD29" s="298" t="s">
        <v>35</v>
      </c>
      <c r="AE29" s="298" t="s">
        <v>35</v>
      </c>
      <c r="AF29" s="298" t="s">
        <v>35</v>
      </c>
      <c r="AG29" s="106"/>
      <c r="AH29" s="106"/>
    </row>
    <row r="30" spans="1:34" ht="291" customHeight="1">
      <c r="A30" s="106"/>
      <c r="B30" s="291" t="s">
        <v>98</v>
      </c>
      <c r="C30" s="292" t="s">
        <v>98</v>
      </c>
      <c r="D30" s="293" t="s">
        <v>98</v>
      </c>
      <c r="E30" s="304">
        <v>41071.656145833331</v>
      </c>
      <c r="F30" s="305">
        <v>41071.656145833331</v>
      </c>
      <c r="G30" s="305">
        <v>41071.656145833331</v>
      </c>
      <c r="H30" s="306">
        <v>41071.656145833331</v>
      </c>
      <c r="I30" s="298" t="s">
        <v>4</v>
      </c>
      <c r="J30" s="307" t="s">
        <v>4</v>
      </c>
      <c r="K30" s="307" t="s">
        <v>4</v>
      </c>
      <c r="L30" s="307" t="s">
        <v>4</v>
      </c>
      <c r="M30" s="307" t="s">
        <v>4</v>
      </c>
      <c r="N30" s="307" t="s">
        <v>4</v>
      </c>
      <c r="O30" s="307" t="s">
        <v>4</v>
      </c>
      <c r="P30" s="307" t="s">
        <v>4</v>
      </c>
      <c r="Q30" s="307" t="s">
        <v>4</v>
      </c>
      <c r="R30" s="298" t="s">
        <v>129</v>
      </c>
      <c r="S30" s="298" t="s">
        <v>129</v>
      </c>
      <c r="T30" s="298" t="s">
        <v>129</v>
      </c>
      <c r="U30" s="298" t="s">
        <v>129</v>
      </c>
      <c r="V30" s="298" t="s">
        <v>129</v>
      </c>
      <c r="W30" s="298" t="s">
        <v>129</v>
      </c>
      <c r="X30" s="298" t="s">
        <v>129</v>
      </c>
      <c r="Y30" s="298" t="s">
        <v>129</v>
      </c>
      <c r="Z30" s="298" t="s">
        <v>129</v>
      </c>
      <c r="AA30" s="298" t="s">
        <v>129</v>
      </c>
      <c r="AB30" s="298" t="s">
        <v>129</v>
      </c>
      <c r="AC30" s="298" t="s">
        <v>129</v>
      </c>
      <c r="AD30" s="298" t="s">
        <v>129</v>
      </c>
      <c r="AE30" s="298" t="s">
        <v>129</v>
      </c>
      <c r="AF30" s="298" t="s">
        <v>129</v>
      </c>
      <c r="AG30" s="106"/>
      <c r="AH30" s="106"/>
    </row>
    <row r="31" spans="1:34" ht="40.5" customHeight="1">
      <c r="A31" s="106"/>
      <c r="B31" s="291" t="s">
        <v>86</v>
      </c>
      <c r="C31" s="292" t="s">
        <v>86</v>
      </c>
      <c r="D31" s="293" t="s">
        <v>86</v>
      </c>
      <c r="E31" s="304">
        <v>41071.656145833331</v>
      </c>
      <c r="F31" s="305">
        <v>41071.656145833331</v>
      </c>
      <c r="G31" s="305">
        <v>41071.656145833331</v>
      </c>
      <c r="H31" s="306">
        <v>41071.656145833331</v>
      </c>
      <c r="I31" s="298" t="s">
        <v>87</v>
      </c>
      <c r="J31" s="307" t="s">
        <v>87</v>
      </c>
      <c r="K31" s="307" t="s">
        <v>87</v>
      </c>
      <c r="L31" s="307" t="s">
        <v>87</v>
      </c>
      <c r="M31" s="307" t="s">
        <v>87</v>
      </c>
      <c r="N31" s="307" t="s">
        <v>87</v>
      </c>
      <c r="O31" s="307" t="s">
        <v>87</v>
      </c>
      <c r="P31" s="307" t="s">
        <v>87</v>
      </c>
      <c r="Q31" s="307" t="s">
        <v>87</v>
      </c>
      <c r="R31" s="298" t="s">
        <v>100</v>
      </c>
      <c r="S31" s="298" t="s">
        <v>100</v>
      </c>
      <c r="T31" s="298" t="s">
        <v>100</v>
      </c>
      <c r="U31" s="298" t="s">
        <v>100</v>
      </c>
      <c r="V31" s="298" t="s">
        <v>100</v>
      </c>
      <c r="W31" s="298" t="s">
        <v>100</v>
      </c>
      <c r="X31" s="298" t="s">
        <v>100</v>
      </c>
      <c r="Y31" s="298" t="s">
        <v>100</v>
      </c>
      <c r="Z31" s="298" t="s">
        <v>100</v>
      </c>
      <c r="AA31" s="298" t="s">
        <v>100</v>
      </c>
      <c r="AB31" s="298" t="s">
        <v>100</v>
      </c>
      <c r="AC31" s="298" t="s">
        <v>100</v>
      </c>
      <c r="AD31" s="298" t="s">
        <v>100</v>
      </c>
      <c r="AE31" s="298" t="s">
        <v>100</v>
      </c>
      <c r="AF31" s="298" t="s">
        <v>100</v>
      </c>
      <c r="AG31" s="106"/>
      <c r="AH31" s="106"/>
    </row>
    <row r="32" spans="1:34" ht="121.5" customHeight="1">
      <c r="A32" s="106"/>
      <c r="B32" s="291"/>
      <c r="C32" s="292"/>
      <c r="D32" s="293"/>
      <c r="E32" s="304">
        <v>42195</v>
      </c>
      <c r="F32" s="305">
        <v>42195</v>
      </c>
      <c r="G32" s="305">
        <v>42195</v>
      </c>
      <c r="H32" s="306">
        <v>42195</v>
      </c>
      <c r="I32" s="298" t="s">
        <v>99</v>
      </c>
      <c r="J32" s="307" t="s">
        <v>99</v>
      </c>
      <c r="K32" s="307" t="s">
        <v>99</v>
      </c>
      <c r="L32" s="307" t="s">
        <v>99</v>
      </c>
      <c r="M32" s="307" t="s">
        <v>99</v>
      </c>
      <c r="N32" s="307" t="s">
        <v>99</v>
      </c>
      <c r="O32" s="307" t="s">
        <v>99</v>
      </c>
      <c r="P32" s="307" t="s">
        <v>99</v>
      </c>
      <c r="Q32" s="307" t="s">
        <v>99</v>
      </c>
      <c r="R32" s="298" t="s">
        <v>102</v>
      </c>
      <c r="S32" s="298" t="s">
        <v>102</v>
      </c>
      <c r="T32" s="298" t="s">
        <v>102</v>
      </c>
      <c r="U32" s="298" t="s">
        <v>102</v>
      </c>
      <c r="V32" s="298" t="s">
        <v>102</v>
      </c>
      <c r="W32" s="298" t="s">
        <v>102</v>
      </c>
      <c r="X32" s="298" t="s">
        <v>102</v>
      </c>
      <c r="Y32" s="298" t="s">
        <v>102</v>
      </c>
      <c r="Z32" s="298" t="s">
        <v>102</v>
      </c>
      <c r="AA32" s="298" t="s">
        <v>102</v>
      </c>
      <c r="AB32" s="298" t="s">
        <v>102</v>
      </c>
      <c r="AC32" s="298" t="s">
        <v>102</v>
      </c>
      <c r="AD32" s="298" t="s">
        <v>102</v>
      </c>
      <c r="AE32" s="298" t="s">
        <v>102</v>
      </c>
      <c r="AF32" s="298" t="s">
        <v>102</v>
      </c>
      <c r="AG32" s="106"/>
      <c r="AH32" s="106"/>
    </row>
    <row r="33" spans="1:34" ht="114" customHeight="1">
      <c r="A33" s="106"/>
      <c r="B33" s="291" t="s">
        <v>103</v>
      </c>
      <c r="C33" s="292" t="s">
        <v>103</v>
      </c>
      <c r="D33" s="293" t="s">
        <v>103</v>
      </c>
      <c r="E33" s="304">
        <v>42391.634837962964</v>
      </c>
      <c r="F33" s="305">
        <v>42391.634837962964</v>
      </c>
      <c r="G33" s="305">
        <v>42391.634837962964</v>
      </c>
      <c r="H33" s="306">
        <v>42391.634837962964</v>
      </c>
      <c r="I33" s="298" t="s">
        <v>104</v>
      </c>
      <c r="J33" s="307" t="s">
        <v>104</v>
      </c>
      <c r="K33" s="307" t="s">
        <v>104</v>
      </c>
      <c r="L33" s="307" t="s">
        <v>104</v>
      </c>
      <c r="M33" s="307" t="s">
        <v>104</v>
      </c>
      <c r="N33" s="307" t="s">
        <v>104</v>
      </c>
      <c r="O33" s="307" t="s">
        <v>104</v>
      </c>
      <c r="P33" s="307" t="s">
        <v>104</v>
      </c>
      <c r="Q33" s="307" t="s">
        <v>104</v>
      </c>
      <c r="R33" s="298" t="s">
        <v>128</v>
      </c>
      <c r="S33" s="298" t="s">
        <v>128</v>
      </c>
      <c r="T33" s="298" t="s">
        <v>128</v>
      </c>
      <c r="U33" s="298" t="s">
        <v>128</v>
      </c>
      <c r="V33" s="298" t="s">
        <v>128</v>
      </c>
      <c r="W33" s="298" t="s">
        <v>128</v>
      </c>
      <c r="X33" s="298" t="s">
        <v>128</v>
      </c>
      <c r="Y33" s="298" t="s">
        <v>128</v>
      </c>
      <c r="Z33" s="298" t="s">
        <v>128</v>
      </c>
      <c r="AA33" s="298" t="s">
        <v>128</v>
      </c>
      <c r="AB33" s="298" t="s">
        <v>128</v>
      </c>
      <c r="AC33" s="298" t="s">
        <v>128</v>
      </c>
      <c r="AD33" s="298" t="s">
        <v>128</v>
      </c>
      <c r="AE33" s="298" t="s">
        <v>128</v>
      </c>
      <c r="AF33" s="298" t="s">
        <v>128</v>
      </c>
      <c r="AG33" s="106"/>
      <c r="AH33" s="106"/>
    </row>
    <row r="34" spans="1:34" ht="40.5" customHeight="1">
      <c r="A34" s="106"/>
      <c r="B34" s="308" t="s">
        <v>328</v>
      </c>
      <c r="C34" s="309"/>
      <c r="D34" s="309"/>
      <c r="E34" s="304"/>
      <c r="F34" s="305"/>
      <c r="G34" s="305"/>
      <c r="H34" s="306"/>
      <c r="I34" s="298" t="s">
        <v>319</v>
      </c>
      <c r="J34" s="307"/>
      <c r="K34" s="307"/>
      <c r="L34" s="307"/>
      <c r="M34" s="307"/>
      <c r="N34" s="307"/>
      <c r="O34" s="307"/>
      <c r="P34" s="307"/>
      <c r="Q34" s="307"/>
      <c r="R34" s="298" t="s">
        <v>320</v>
      </c>
      <c r="S34" s="298"/>
      <c r="T34" s="298"/>
      <c r="U34" s="298"/>
      <c r="V34" s="298"/>
      <c r="W34" s="298"/>
      <c r="X34" s="298"/>
      <c r="Y34" s="298"/>
      <c r="Z34" s="298"/>
      <c r="AA34" s="298"/>
      <c r="AB34" s="298"/>
      <c r="AC34" s="298"/>
      <c r="AD34" s="298"/>
      <c r="AE34" s="298"/>
      <c r="AF34" s="298"/>
      <c r="AG34" s="106"/>
      <c r="AH34" s="106"/>
    </row>
    <row r="35" spans="1:34" ht="40.5" customHeight="1">
      <c r="A35" s="106"/>
      <c r="B35" s="308" t="s">
        <v>329</v>
      </c>
      <c r="C35" s="309"/>
      <c r="D35" s="309"/>
      <c r="E35" s="304"/>
      <c r="F35" s="305"/>
      <c r="G35" s="305"/>
      <c r="H35" s="306"/>
      <c r="I35" s="298" t="s">
        <v>319</v>
      </c>
      <c r="J35" s="307"/>
      <c r="K35" s="307"/>
      <c r="L35" s="307"/>
      <c r="M35" s="307"/>
      <c r="N35" s="307"/>
      <c r="O35" s="307"/>
      <c r="P35" s="307"/>
      <c r="Q35" s="307"/>
      <c r="R35" s="298" t="s">
        <v>321</v>
      </c>
      <c r="S35" s="298"/>
      <c r="T35" s="298"/>
      <c r="U35" s="298"/>
      <c r="V35" s="298"/>
      <c r="W35" s="298"/>
      <c r="X35" s="298"/>
      <c r="Y35" s="298"/>
      <c r="Z35" s="298"/>
      <c r="AA35" s="298"/>
      <c r="AB35" s="298"/>
      <c r="AC35" s="298"/>
      <c r="AD35" s="298"/>
      <c r="AE35" s="298"/>
      <c r="AF35" s="298"/>
      <c r="AG35" s="106"/>
      <c r="AH35" s="106"/>
    </row>
    <row r="36" spans="1:34" ht="40.5" customHeight="1">
      <c r="A36" s="106"/>
      <c r="B36" s="308" t="s">
        <v>330</v>
      </c>
      <c r="C36" s="309"/>
      <c r="D36" s="309"/>
      <c r="E36" s="304"/>
      <c r="F36" s="305"/>
      <c r="G36" s="305"/>
      <c r="H36" s="306"/>
      <c r="I36" s="298" t="s">
        <v>319</v>
      </c>
      <c r="J36" s="307"/>
      <c r="K36" s="307"/>
      <c r="L36" s="307"/>
      <c r="M36" s="307"/>
      <c r="N36" s="307"/>
      <c r="O36" s="307"/>
      <c r="P36" s="307"/>
      <c r="Q36" s="307"/>
      <c r="R36" s="298" t="s">
        <v>322</v>
      </c>
      <c r="S36" s="298"/>
      <c r="T36" s="298"/>
      <c r="U36" s="298"/>
      <c r="V36" s="298"/>
      <c r="W36" s="298"/>
      <c r="X36" s="298"/>
      <c r="Y36" s="298"/>
      <c r="Z36" s="298"/>
      <c r="AA36" s="298"/>
      <c r="AB36" s="298"/>
      <c r="AC36" s="298"/>
      <c r="AD36" s="298"/>
      <c r="AE36" s="298"/>
      <c r="AF36" s="298"/>
      <c r="AG36" s="106"/>
      <c r="AH36" s="106"/>
    </row>
    <row r="37" spans="1:34" ht="102" customHeight="1">
      <c r="A37" s="106"/>
      <c r="B37" s="308" t="s">
        <v>331</v>
      </c>
      <c r="C37" s="309"/>
      <c r="D37" s="309"/>
      <c r="E37" s="304"/>
      <c r="F37" s="305"/>
      <c r="G37" s="305"/>
      <c r="H37" s="306"/>
      <c r="I37" s="298" t="s">
        <v>319</v>
      </c>
      <c r="J37" s="307"/>
      <c r="K37" s="307"/>
      <c r="L37" s="307"/>
      <c r="M37" s="307"/>
      <c r="N37" s="307"/>
      <c r="O37" s="307"/>
      <c r="P37" s="307"/>
      <c r="Q37" s="307"/>
      <c r="R37" s="298" t="s">
        <v>323</v>
      </c>
      <c r="S37" s="298"/>
      <c r="T37" s="298"/>
      <c r="U37" s="298"/>
      <c r="V37" s="298"/>
      <c r="W37" s="298"/>
      <c r="X37" s="298"/>
      <c r="Y37" s="298"/>
      <c r="Z37" s="298"/>
      <c r="AA37" s="298"/>
      <c r="AB37" s="298"/>
      <c r="AC37" s="298"/>
      <c r="AD37" s="298"/>
      <c r="AE37" s="298"/>
      <c r="AF37" s="298"/>
      <c r="AG37" s="106"/>
      <c r="AH37" s="106"/>
    </row>
    <row r="38" spans="1:34" ht="217.5" customHeight="1">
      <c r="A38" s="106"/>
      <c r="B38" s="308" t="s">
        <v>332</v>
      </c>
      <c r="C38" s="309"/>
      <c r="D38" s="309"/>
      <c r="E38" s="304"/>
      <c r="F38" s="305"/>
      <c r="G38" s="305"/>
      <c r="H38" s="306"/>
      <c r="I38" s="298" t="s">
        <v>319</v>
      </c>
      <c r="J38" s="307"/>
      <c r="K38" s="307"/>
      <c r="L38" s="307"/>
      <c r="M38" s="307"/>
      <c r="N38" s="307"/>
      <c r="O38" s="307"/>
      <c r="P38" s="307"/>
      <c r="Q38" s="307"/>
      <c r="R38" s="298" t="s">
        <v>324</v>
      </c>
      <c r="S38" s="298"/>
      <c r="T38" s="298"/>
      <c r="U38" s="298"/>
      <c r="V38" s="298"/>
      <c r="W38" s="298"/>
      <c r="X38" s="298"/>
      <c r="Y38" s="298"/>
      <c r="Z38" s="298"/>
      <c r="AA38" s="298"/>
      <c r="AB38" s="298"/>
      <c r="AC38" s="298"/>
      <c r="AD38" s="298"/>
      <c r="AE38" s="298"/>
      <c r="AF38" s="298"/>
      <c r="AG38" s="106"/>
      <c r="AH38" s="106"/>
    </row>
    <row r="39" spans="1:34" ht="40.5" customHeight="1">
      <c r="A39" s="106"/>
      <c r="B39" s="308" t="s">
        <v>333</v>
      </c>
      <c r="C39" s="309"/>
      <c r="D39" s="309"/>
      <c r="E39" s="304"/>
      <c r="F39" s="305"/>
      <c r="G39" s="305"/>
      <c r="H39" s="306"/>
      <c r="I39" s="298" t="s">
        <v>319</v>
      </c>
      <c r="J39" s="307"/>
      <c r="K39" s="307"/>
      <c r="L39" s="307"/>
      <c r="M39" s="307"/>
      <c r="N39" s="307"/>
      <c r="O39" s="307"/>
      <c r="P39" s="307"/>
      <c r="Q39" s="307"/>
      <c r="R39" s="298" t="s">
        <v>325</v>
      </c>
      <c r="S39" s="298"/>
      <c r="T39" s="298"/>
      <c r="U39" s="298"/>
      <c r="V39" s="298"/>
      <c r="W39" s="298"/>
      <c r="X39" s="298"/>
      <c r="Y39" s="298"/>
      <c r="Z39" s="298"/>
      <c r="AA39" s="298"/>
      <c r="AB39" s="298"/>
      <c r="AC39" s="298"/>
      <c r="AD39" s="298"/>
      <c r="AE39" s="298"/>
      <c r="AF39" s="298"/>
      <c r="AG39" s="106"/>
      <c r="AH39" s="106"/>
    </row>
    <row r="40" spans="1:34" ht="69" customHeight="1">
      <c r="A40" s="106"/>
      <c r="B40" s="308" t="s">
        <v>327</v>
      </c>
      <c r="C40" s="309"/>
      <c r="D40" s="309"/>
      <c r="E40" s="304">
        <v>44562</v>
      </c>
      <c r="F40" s="305"/>
      <c r="G40" s="305"/>
      <c r="H40" s="306"/>
      <c r="I40" s="298" t="s">
        <v>319</v>
      </c>
      <c r="J40" s="307"/>
      <c r="K40" s="307"/>
      <c r="L40" s="307"/>
      <c r="M40" s="307"/>
      <c r="N40" s="307"/>
      <c r="O40" s="307"/>
      <c r="P40" s="307"/>
      <c r="Q40" s="307"/>
      <c r="R40" s="298" t="s">
        <v>326</v>
      </c>
      <c r="S40" s="298"/>
      <c r="T40" s="298"/>
      <c r="U40" s="298"/>
      <c r="V40" s="298"/>
      <c r="W40" s="298"/>
      <c r="X40" s="298"/>
      <c r="Y40" s="298"/>
      <c r="Z40" s="298"/>
      <c r="AA40" s="298"/>
      <c r="AB40" s="298"/>
      <c r="AC40" s="298"/>
      <c r="AD40" s="298"/>
      <c r="AE40" s="298"/>
      <c r="AF40" s="298"/>
      <c r="AG40" s="106"/>
      <c r="AH40" s="106"/>
    </row>
    <row r="41" spans="1:34">
      <c r="A41" s="106"/>
      <c r="B41" s="122" t="s">
        <v>157</v>
      </c>
      <c r="C41" s="123"/>
      <c r="D41" s="123"/>
      <c r="E41" s="124"/>
      <c r="F41" s="124"/>
      <c r="G41" s="124"/>
      <c r="H41" s="124"/>
      <c r="I41" s="124"/>
      <c r="J41" s="125"/>
      <c r="K41" s="125"/>
      <c r="L41" s="125"/>
      <c r="M41" s="125"/>
      <c r="N41" s="125"/>
      <c r="O41" s="125"/>
      <c r="P41" s="125"/>
      <c r="Q41" s="125"/>
      <c r="R41" s="124"/>
      <c r="S41" s="124"/>
      <c r="T41" s="124"/>
      <c r="U41" s="124"/>
      <c r="V41" s="124"/>
      <c r="W41" s="124"/>
      <c r="X41" s="124"/>
      <c r="Y41" s="124"/>
      <c r="Z41" s="124"/>
      <c r="AA41" s="124"/>
      <c r="AB41" s="124"/>
      <c r="AC41" s="124"/>
      <c r="AD41" s="124"/>
      <c r="AE41" s="124"/>
      <c r="AF41" s="124"/>
      <c r="AG41" s="106"/>
      <c r="AH41" s="106"/>
    </row>
    <row r="42" spans="1:34">
      <c r="A42" s="106"/>
      <c r="B42" s="106"/>
      <c r="C42" s="120"/>
      <c r="D42" s="106"/>
      <c r="E42" s="106"/>
      <c r="F42" s="106"/>
      <c r="G42" s="106"/>
      <c r="H42" s="106"/>
      <c r="I42" s="121"/>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row>
    <row r="43" spans="1:34">
      <c r="A43" s="106"/>
      <c r="B43" s="106"/>
      <c r="C43" s="106"/>
      <c r="D43" s="106"/>
      <c r="E43" s="106"/>
      <c r="F43" s="106"/>
      <c r="G43" s="106"/>
      <c r="H43" s="106"/>
      <c r="I43" s="106"/>
      <c r="J43" s="12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row>
    <row r="44" spans="1:34" ht="20.25">
      <c r="A44" s="106"/>
      <c r="B44" s="118" t="s">
        <v>158</v>
      </c>
      <c r="C44" s="119"/>
      <c r="D44" s="106"/>
      <c r="E44" s="106"/>
      <c r="F44" s="106"/>
      <c r="G44" s="106"/>
      <c r="H44" s="106"/>
      <c r="I44" s="121"/>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row>
    <row r="45" spans="1:34" ht="18.75">
      <c r="A45" s="106"/>
      <c r="B45" s="127" t="s">
        <v>159</v>
      </c>
      <c r="C45" s="119"/>
      <c r="D45" s="106"/>
      <c r="E45" s="106"/>
      <c r="F45" s="106"/>
      <c r="G45" s="106"/>
      <c r="H45" s="106"/>
      <c r="I45" s="121"/>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row>
    <row r="46" spans="1:34">
      <c r="A46" s="106"/>
      <c r="B46" s="301" t="s">
        <v>160</v>
      </c>
      <c r="C46" s="301"/>
      <c r="D46" s="301"/>
      <c r="E46" s="301" t="s">
        <v>161</v>
      </c>
      <c r="F46" s="303"/>
      <c r="G46" s="303"/>
      <c r="H46" s="303"/>
      <c r="I46" s="303"/>
      <c r="J46" s="303"/>
      <c r="K46" s="303"/>
      <c r="L46" s="303"/>
      <c r="M46" s="303"/>
      <c r="N46" s="303"/>
      <c r="O46" s="303"/>
      <c r="P46" s="303"/>
      <c r="Q46" s="303"/>
      <c r="R46" s="303"/>
      <c r="S46" s="303"/>
      <c r="T46" s="303"/>
      <c r="U46" s="303"/>
      <c r="V46" s="303"/>
      <c r="W46" s="303"/>
      <c r="X46" s="303"/>
      <c r="Y46" s="301" t="s">
        <v>162</v>
      </c>
      <c r="Z46" s="301"/>
      <c r="AA46" s="301"/>
      <c r="AB46" s="301"/>
      <c r="AC46" s="301"/>
      <c r="AD46" s="301"/>
      <c r="AE46" s="301"/>
      <c r="AF46" s="301"/>
      <c r="AG46" s="106"/>
      <c r="AH46" s="106"/>
    </row>
    <row r="47" spans="1:34">
      <c r="A47" s="106"/>
      <c r="B47" s="300"/>
      <c r="C47" s="300"/>
      <c r="D47" s="300"/>
      <c r="E47" s="298"/>
      <c r="F47" s="299"/>
      <c r="G47" s="299"/>
      <c r="H47" s="299"/>
      <c r="I47" s="299"/>
      <c r="J47" s="299"/>
      <c r="K47" s="299"/>
      <c r="L47" s="299"/>
      <c r="M47" s="299"/>
      <c r="N47" s="299"/>
      <c r="O47" s="299"/>
      <c r="P47" s="299"/>
      <c r="Q47" s="299"/>
      <c r="R47" s="299"/>
      <c r="S47" s="299"/>
      <c r="T47" s="299"/>
      <c r="U47" s="299"/>
      <c r="V47" s="299"/>
      <c r="W47" s="299"/>
      <c r="X47" s="299"/>
      <c r="Y47" s="298"/>
      <c r="Z47" s="299"/>
      <c r="AA47" s="299"/>
      <c r="AB47" s="299"/>
      <c r="AC47" s="299"/>
      <c r="AD47" s="299"/>
      <c r="AE47" s="299"/>
      <c r="AF47" s="299"/>
      <c r="AG47" s="106"/>
      <c r="AH47" s="106"/>
    </row>
    <row r="48" spans="1:34">
      <c r="A48" s="106"/>
      <c r="B48" s="300"/>
      <c r="C48" s="300"/>
      <c r="D48" s="300"/>
      <c r="E48" s="298"/>
      <c r="F48" s="299"/>
      <c r="G48" s="299"/>
      <c r="H48" s="299"/>
      <c r="I48" s="299"/>
      <c r="J48" s="299"/>
      <c r="K48" s="299"/>
      <c r="L48" s="299"/>
      <c r="M48" s="299"/>
      <c r="N48" s="299"/>
      <c r="O48" s="299"/>
      <c r="P48" s="299"/>
      <c r="Q48" s="299"/>
      <c r="R48" s="299"/>
      <c r="S48" s="299"/>
      <c r="T48" s="299"/>
      <c r="U48" s="299"/>
      <c r="V48" s="299"/>
      <c r="W48" s="299"/>
      <c r="X48" s="299"/>
      <c r="Y48" s="298"/>
      <c r="Z48" s="299"/>
      <c r="AA48" s="299"/>
      <c r="AB48" s="299"/>
      <c r="AC48" s="299"/>
      <c r="AD48" s="299"/>
      <c r="AE48" s="299"/>
      <c r="AF48" s="299"/>
      <c r="AG48" s="106"/>
      <c r="AH48" s="106"/>
    </row>
    <row r="49" spans="1:34">
      <c r="A49" s="106"/>
      <c r="B49" s="300"/>
      <c r="C49" s="300"/>
      <c r="D49" s="300"/>
      <c r="E49" s="298"/>
      <c r="F49" s="299"/>
      <c r="G49" s="299"/>
      <c r="H49" s="299"/>
      <c r="I49" s="299"/>
      <c r="J49" s="299"/>
      <c r="K49" s="299"/>
      <c r="L49" s="299"/>
      <c r="M49" s="299"/>
      <c r="N49" s="299"/>
      <c r="O49" s="299"/>
      <c r="P49" s="299"/>
      <c r="Q49" s="299"/>
      <c r="R49" s="299"/>
      <c r="S49" s="299"/>
      <c r="T49" s="299"/>
      <c r="U49" s="299"/>
      <c r="V49" s="299"/>
      <c r="W49" s="299"/>
      <c r="X49" s="299"/>
      <c r="Y49" s="298"/>
      <c r="Z49" s="299"/>
      <c r="AA49" s="299"/>
      <c r="AB49" s="299"/>
      <c r="AC49" s="299"/>
      <c r="AD49" s="299"/>
      <c r="AE49" s="299"/>
      <c r="AF49" s="299"/>
      <c r="AG49" s="106"/>
      <c r="AH49" s="106"/>
    </row>
    <row r="50" spans="1:34">
      <c r="A50" s="106"/>
      <c r="B50" s="300"/>
      <c r="C50" s="300"/>
      <c r="D50" s="300"/>
      <c r="E50" s="298"/>
      <c r="F50" s="299"/>
      <c r="G50" s="299"/>
      <c r="H50" s="299"/>
      <c r="I50" s="299"/>
      <c r="J50" s="299"/>
      <c r="K50" s="299"/>
      <c r="L50" s="299"/>
      <c r="M50" s="299"/>
      <c r="N50" s="299"/>
      <c r="O50" s="299"/>
      <c r="P50" s="299"/>
      <c r="Q50" s="299"/>
      <c r="R50" s="299"/>
      <c r="S50" s="299"/>
      <c r="T50" s="299"/>
      <c r="U50" s="299"/>
      <c r="V50" s="299"/>
      <c r="W50" s="299"/>
      <c r="X50" s="299"/>
      <c r="Y50" s="298"/>
      <c r="Z50" s="299"/>
      <c r="AA50" s="299"/>
      <c r="AB50" s="299"/>
      <c r="AC50" s="299"/>
      <c r="AD50" s="299"/>
      <c r="AE50" s="299"/>
      <c r="AF50" s="299"/>
      <c r="AG50" s="106"/>
      <c r="AH50" s="106"/>
    </row>
    <row r="51" spans="1:34" ht="18.75">
      <c r="A51" s="106"/>
      <c r="B51" s="127" t="s">
        <v>163</v>
      </c>
      <c r="C51" s="119"/>
      <c r="D51" s="106"/>
      <c r="E51" s="106"/>
      <c r="F51" s="106"/>
      <c r="G51" s="106"/>
      <c r="H51" s="106"/>
      <c r="I51" s="121"/>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row>
    <row r="52" spans="1:34">
      <c r="A52" s="106"/>
      <c r="B52" s="301" t="s">
        <v>160</v>
      </c>
      <c r="C52" s="301"/>
      <c r="D52" s="301"/>
      <c r="E52" s="301" t="s">
        <v>161</v>
      </c>
      <c r="F52" s="303"/>
      <c r="G52" s="303"/>
      <c r="H52" s="303"/>
      <c r="I52" s="303"/>
      <c r="J52" s="303"/>
      <c r="K52" s="303"/>
      <c r="L52" s="303"/>
      <c r="M52" s="303"/>
      <c r="N52" s="303"/>
      <c r="O52" s="303"/>
      <c r="P52" s="303"/>
      <c r="Q52" s="303"/>
      <c r="R52" s="303"/>
      <c r="S52" s="303"/>
      <c r="T52" s="303"/>
      <c r="U52" s="303"/>
      <c r="V52" s="303"/>
      <c r="W52" s="303"/>
      <c r="X52" s="303"/>
      <c r="Y52" s="301" t="s">
        <v>162</v>
      </c>
      <c r="Z52" s="301"/>
      <c r="AA52" s="301"/>
      <c r="AB52" s="301"/>
      <c r="AC52" s="301"/>
      <c r="AD52" s="301"/>
      <c r="AE52" s="301"/>
      <c r="AF52" s="301"/>
      <c r="AG52" s="106"/>
      <c r="AH52" s="106"/>
    </row>
    <row r="53" spans="1:34">
      <c r="A53" s="106"/>
      <c r="B53" s="300"/>
      <c r="C53" s="300"/>
      <c r="D53" s="300"/>
      <c r="E53" s="298"/>
      <c r="F53" s="299"/>
      <c r="G53" s="299"/>
      <c r="H53" s="299"/>
      <c r="I53" s="299"/>
      <c r="J53" s="299"/>
      <c r="K53" s="299"/>
      <c r="L53" s="299"/>
      <c r="M53" s="299"/>
      <c r="N53" s="299"/>
      <c r="O53" s="299"/>
      <c r="P53" s="299"/>
      <c r="Q53" s="299"/>
      <c r="R53" s="299"/>
      <c r="S53" s="299"/>
      <c r="T53" s="299"/>
      <c r="U53" s="299"/>
      <c r="V53" s="299"/>
      <c r="W53" s="299"/>
      <c r="X53" s="299"/>
      <c r="Y53" s="298"/>
      <c r="Z53" s="299"/>
      <c r="AA53" s="299"/>
      <c r="AB53" s="299"/>
      <c r="AC53" s="299"/>
      <c r="AD53" s="299"/>
      <c r="AE53" s="299"/>
      <c r="AF53" s="299"/>
      <c r="AG53" s="106"/>
      <c r="AH53" s="106"/>
    </row>
    <row r="54" spans="1:34">
      <c r="A54" s="106"/>
      <c r="B54" s="300"/>
      <c r="C54" s="300"/>
      <c r="D54" s="300"/>
      <c r="E54" s="298"/>
      <c r="F54" s="299"/>
      <c r="G54" s="299"/>
      <c r="H54" s="299"/>
      <c r="I54" s="299"/>
      <c r="J54" s="299"/>
      <c r="K54" s="299"/>
      <c r="L54" s="299"/>
      <c r="M54" s="299"/>
      <c r="N54" s="299"/>
      <c r="O54" s="299"/>
      <c r="P54" s="299"/>
      <c r="Q54" s="299"/>
      <c r="R54" s="299"/>
      <c r="S54" s="299"/>
      <c r="T54" s="299"/>
      <c r="U54" s="299"/>
      <c r="V54" s="299"/>
      <c r="W54" s="299"/>
      <c r="X54" s="299"/>
      <c r="Y54" s="298"/>
      <c r="Z54" s="299"/>
      <c r="AA54" s="299"/>
      <c r="AB54" s="299"/>
      <c r="AC54" s="299"/>
      <c r="AD54" s="299"/>
      <c r="AE54" s="299"/>
      <c r="AF54" s="299"/>
      <c r="AG54" s="106"/>
      <c r="AH54" s="106"/>
    </row>
    <row r="55" spans="1:34">
      <c r="A55" s="106"/>
      <c r="B55" s="300"/>
      <c r="C55" s="300"/>
      <c r="D55" s="300"/>
      <c r="E55" s="298"/>
      <c r="F55" s="299"/>
      <c r="G55" s="299"/>
      <c r="H55" s="299"/>
      <c r="I55" s="299"/>
      <c r="J55" s="299"/>
      <c r="K55" s="299"/>
      <c r="L55" s="299"/>
      <c r="M55" s="299"/>
      <c r="N55" s="299"/>
      <c r="O55" s="299"/>
      <c r="P55" s="299"/>
      <c r="Q55" s="299"/>
      <c r="R55" s="299"/>
      <c r="S55" s="299"/>
      <c r="T55" s="299"/>
      <c r="U55" s="299"/>
      <c r="V55" s="299"/>
      <c r="W55" s="299"/>
      <c r="X55" s="299"/>
      <c r="Y55" s="298"/>
      <c r="Z55" s="299"/>
      <c r="AA55" s="299"/>
      <c r="AB55" s="299"/>
      <c r="AC55" s="299"/>
      <c r="AD55" s="299"/>
      <c r="AE55" s="299"/>
      <c r="AF55" s="299"/>
      <c r="AG55" s="106"/>
      <c r="AH55" s="106"/>
    </row>
    <row r="56" spans="1:34">
      <c r="A56" s="106"/>
      <c r="B56" s="300"/>
      <c r="C56" s="300"/>
      <c r="D56" s="300"/>
      <c r="E56" s="298"/>
      <c r="F56" s="299"/>
      <c r="G56" s="299"/>
      <c r="H56" s="299"/>
      <c r="I56" s="299"/>
      <c r="J56" s="299"/>
      <c r="K56" s="299"/>
      <c r="L56" s="299"/>
      <c r="M56" s="299"/>
      <c r="N56" s="299"/>
      <c r="O56" s="299"/>
      <c r="P56" s="299"/>
      <c r="Q56" s="299"/>
      <c r="R56" s="299"/>
      <c r="S56" s="299"/>
      <c r="T56" s="299"/>
      <c r="U56" s="299"/>
      <c r="V56" s="299"/>
      <c r="W56" s="299"/>
      <c r="X56" s="299"/>
      <c r="Y56" s="298"/>
      <c r="Z56" s="299"/>
      <c r="AA56" s="299"/>
      <c r="AB56" s="299"/>
      <c r="AC56" s="299"/>
      <c r="AD56" s="299"/>
      <c r="AE56" s="299"/>
      <c r="AF56" s="299"/>
      <c r="AG56" s="106"/>
      <c r="AH56" s="106"/>
    </row>
    <row r="57" spans="1:34">
      <c r="A57" s="106"/>
      <c r="B57" s="106"/>
      <c r="C57" s="120"/>
      <c r="D57" s="106"/>
      <c r="E57" s="106"/>
      <c r="F57" s="106"/>
      <c r="G57" s="106"/>
      <c r="H57" s="106"/>
      <c r="I57" s="121"/>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row>
    <row r="58" spans="1:34" ht="20.25">
      <c r="A58" s="106"/>
      <c r="B58" s="118" t="s">
        <v>164</v>
      </c>
      <c r="C58" s="119"/>
      <c r="D58" s="106"/>
      <c r="E58" s="106"/>
      <c r="F58" s="106"/>
      <c r="G58" s="106"/>
      <c r="H58" s="106"/>
      <c r="I58" s="121"/>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row>
    <row r="59" spans="1:34">
      <c r="A59" s="106"/>
      <c r="B59" s="301" t="s">
        <v>165</v>
      </c>
      <c r="C59" s="301"/>
      <c r="D59" s="301"/>
      <c r="E59" s="301"/>
      <c r="F59" s="301"/>
      <c r="G59" s="301"/>
      <c r="H59" s="302"/>
      <c r="I59" s="302"/>
      <c r="J59" s="302"/>
      <c r="K59" s="302"/>
      <c r="L59" s="302"/>
      <c r="M59" s="302"/>
      <c r="N59" s="302"/>
      <c r="O59" s="302"/>
      <c r="P59" s="302"/>
      <c r="Q59" s="302"/>
      <c r="R59" s="302"/>
      <c r="S59" s="302"/>
      <c r="T59" s="302"/>
      <c r="U59" s="302"/>
      <c r="V59" s="302"/>
      <c r="W59" s="302"/>
      <c r="X59" s="302"/>
      <c r="Y59" s="302"/>
      <c r="Z59" s="302"/>
      <c r="AA59" s="302"/>
      <c r="AB59" s="302"/>
      <c r="AC59" s="302"/>
      <c r="AD59" s="302"/>
      <c r="AE59" s="302"/>
      <c r="AF59" s="302"/>
      <c r="AG59" s="106"/>
      <c r="AH59" s="106"/>
    </row>
    <row r="60" spans="1:34" ht="27.75" customHeight="1">
      <c r="A60" s="106"/>
      <c r="B60" s="291" t="s">
        <v>166</v>
      </c>
      <c r="C60" s="292"/>
      <c r="D60" s="292"/>
      <c r="E60" s="292"/>
      <c r="F60" s="292"/>
      <c r="G60" s="293"/>
      <c r="H60" s="297" t="s">
        <v>167</v>
      </c>
      <c r="I60" s="295"/>
      <c r="J60" s="295"/>
      <c r="K60" s="295"/>
      <c r="L60" s="295"/>
      <c r="M60" s="295"/>
      <c r="N60" s="295"/>
      <c r="O60" s="295"/>
      <c r="P60" s="295"/>
      <c r="Q60" s="295"/>
      <c r="R60" s="295"/>
      <c r="S60" s="295"/>
      <c r="T60" s="295"/>
      <c r="U60" s="295"/>
      <c r="V60" s="295"/>
      <c r="W60" s="295"/>
      <c r="X60" s="295"/>
      <c r="Y60" s="295"/>
      <c r="Z60" s="295"/>
      <c r="AA60" s="295"/>
      <c r="AB60" s="295"/>
      <c r="AC60" s="295"/>
      <c r="AD60" s="295"/>
      <c r="AE60" s="295"/>
      <c r="AF60" s="296"/>
      <c r="AG60" s="106"/>
      <c r="AH60" s="106"/>
    </row>
    <row r="61" spans="1:34">
      <c r="A61" s="106"/>
      <c r="B61" s="291"/>
      <c r="C61" s="292"/>
      <c r="D61" s="292"/>
      <c r="E61" s="292"/>
      <c r="F61" s="292"/>
      <c r="G61" s="293"/>
      <c r="H61" s="294"/>
      <c r="I61" s="295"/>
      <c r="J61" s="295"/>
      <c r="K61" s="295"/>
      <c r="L61" s="295"/>
      <c r="M61" s="295"/>
      <c r="N61" s="295"/>
      <c r="O61" s="295"/>
      <c r="P61" s="295"/>
      <c r="Q61" s="295"/>
      <c r="R61" s="295"/>
      <c r="S61" s="295"/>
      <c r="T61" s="295"/>
      <c r="U61" s="295"/>
      <c r="V61" s="295"/>
      <c r="W61" s="295"/>
      <c r="X61" s="295"/>
      <c r="Y61" s="295"/>
      <c r="Z61" s="295"/>
      <c r="AA61" s="295"/>
      <c r="AB61" s="295"/>
      <c r="AC61" s="295"/>
      <c r="AD61" s="295"/>
      <c r="AE61" s="295"/>
      <c r="AF61" s="296"/>
      <c r="AG61" s="106"/>
      <c r="AH61" s="106"/>
    </row>
    <row r="62" spans="1:34">
      <c r="A62" s="106"/>
      <c r="B62" s="291"/>
      <c r="C62" s="292"/>
      <c r="D62" s="292"/>
      <c r="E62" s="292"/>
      <c r="F62" s="292"/>
      <c r="G62" s="293"/>
      <c r="H62" s="294"/>
      <c r="I62" s="295"/>
      <c r="J62" s="295"/>
      <c r="K62" s="295"/>
      <c r="L62" s="295"/>
      <c r="M62" s="295"/>
      <c r="N62" s="295"/>
      <c r="O62" s="295"/>
      <c r="P62" s="295"/>
      <c r="Q62" s="295"/>
      <c r="R62" s="295"/>
      <c r="S62" s="295"/>
      <c r="T62" s="295"/>
      <c r="U62" s="295"/>
      <c r="V62" s="295"/>
      <c r="W62" s="295"/>
      <c r="X62" s="295"/>
      <c r="Y62" s="295"/>
      <c r="Z62" s="295"/>
      <c r="AA62" s="295"/>
      <c r="AB62" s="295"/>
      <c r="AC62" s="295"/>
      <c r="AD62" s="295"/>
      <c r="AE62" s="295"/>
      <c r="AF62" s="296"/>
      <c r="AG62" s="106"/>
      <c r="AH62" s="106"/>
    </row>
    <row r="63" spans="1:34">
      <c r="A63" s="106"/>
      <c r="B63" s="291"/>
      <c r="C63" s="292"/>
      <c r="D63" s="292"/>
      <c r="E63" s="292"/>
      <c r="F63" s="292"/>
      <c r="G63" s="293"/>
      <c r="H63" s="294"/>
      <c r="I63" s="295"/>
      <c r="J63" s="295"/>
      <c r="K63" s="295"/>
      <c r="L63" s="295"/>
      <c r="M63" s="295"/>
      <c r="N63" s="295"/>
      <c r="O63" s="295"/>
      <c r="P63" s="295"/>
      <c r="Q63" s="295"/>
      <c r="R63" s="295"/>
      <c r="S63" s="295"/>
      <c r="T63" s="295"/>
      <c r="U63" s="295"/>
      <c r="V63" s="295"/>
      <c r="W63" s="295"/>
      <c r="X63" s="295"/>
      <c r="Y63" s="295"/>
      <c r="Z63" s="295"/>
      <c r="AA63" s="295"/>
      <c r="AB63" s="295"/>
      <c r="AC63" s="295"/>
      <c r="AD63" s="295"/>
      <c r="AE63" s="295"/>
      <c r="AF63" s="296"/>
      <c r="AG63" s="106"/>
      <c r="AH63" s="106"/>
    </row>
    <row r="64" spans="1:34">
      <c r="A64" s="106"/>
      <c r="B64" s="291"/>
      <c r="C64" s="292"/>
      <c r="D64" s="292"/>
      <c r="E64" s="292"/>
      <c r="F64" s="292"/>
      <c r="G64" s="293"/>
      <c r="H64" s="294"/>
      <c r="I64" s="295"/>
      <c r="J64" s="295"/>
      <c r="K64" s="295"/>
      <c r="L64" s="295"/>
      <c r="M64" s="295"/>
      <c r="N64" s="295"/>
      <c r="O64" s="295"/>
      <c r="P64" s="295"/>
      <c r="Q64" s="295"/>
      <c r="R64" s="295"/>
      <c r="S64" s="295"/>
      <c r="T64" s="295"/>
      <c r="U64" s="295"/>
      <c r="V64" s="295"/>
      <c r="W64" s="295"/>
      <c r="X64" s="295"/>
      <c r="Y64" s="295"/>
      <c r="Z64" s="295"/>
      <c r="AA64" s="295"/>
      <c r="AB64" s="295"/>
      <c r="AC64" s="295"/>
      <c r="AD64" s="295"/>
      <c r="AE64" s="295"/>
      <c r="AF64" s="296"/>
      <c r="AG64" s="106"/>
      <c r="AH64" s="106"/>
    </row>
    <row r="65" spans="1:34">
      <c r="A65" s="106"/>
      <c r="B65" s="124"/>
      <c r="C65" s="124"/>
      <c r="D65" s="124"/>
      <c r="E65" s="124"/>
      <c r="F65" s="124"/>
      <c r="G65" s="124"/>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06"/>
      <c r="AH65" s="106"/>
    </row>
    <row r="66" spans="1:34">
      <c r="A66" s="106"/>
      <c r="B66" s="124"/>
      <c r="C66" s="124"/>
      <c r="D66" s="124"/>
      <c r="E66" s="124"/>
      <c r="F66" s="124"/>
      <c r="G66" s="124"/>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06"/>
      <c r="AH66" s="106"/>
    </row>
    <row r="67" spans="1:34" ht="26.25">
      <c r="A67" s="106"/>
      <c r="B67" s="129" t="s">
        <v>168</v>
      </c>
      <c r="C67" s="130"/>
      <c r="D67" s="130"/>
      <c r="E67" s="130"/>
      <c r="F67" s="130"/>
      <c r="G67" s="130"/>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06"/>
      <c r="AH67" s="106"/>
    </row>
    <row r="68" spans="1:34" ht="26.25">
      <c r="A68" s="106"/>
      <c r="B68" s="132"/>
      <c r="C68" s="124"/>
      <c r="D68" s="124"/>
      <c r="E68" s="124"/>
      <c r="F68" s="124"/>
      <c r="G68" s="124"/>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06"/>
      <c r="AH68" s="106"/>
    </row>
    <row r="69" spans="1:34" s="170" customFormat="1" ht="20.25">
      <c r="B69" s="171" t="s">
        <v>241</v>
      </c>
    </row>
    <row r="70" spans="1:34">
      <c r="A70" s="106"/>
      <c r="B70" s="133"/>
      <c r="C70" s="133"/>
      <c r="D70" s="133"/>
      <c r="E70" s="133"/>
      <c r="F70" s="133"/>
      <c r="G70" s="133"/>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06"/>
      <c r="AH70" s="106"/>
    </row>
    <row r="71" spans="1:34" ht="52.5" customHeight="1">
      <c r="A71" s="106"/>
      <c r="B71" s="328" t="s">
        <v>237</v>
      </c>
      <c r="C71" s="329"/>
      <c r="D71" s="329"/>
      <c r="E71" s="329"/>
      <c r="F71" s="329"/>
      <c r="G71" s="330"/>
      <c r="H71" s="331" t="s">
        <v>232</v>
      </c>
      <c r="I71" s="332"/>
      <c r="J71" s="332"/>
      <c r="K71" s="332"/>
      <c r="L71" s="332"/>
      <c r="M71" s="332"/>
      <c r="N71" s="332"/>
      <c r="O71" s="332"/>
      <c r="P71" s="332"/>
      <c r="Q71" s="332"/>
      <c r="R71" s="332"/>
      <c r="S71" s="332"/>
      <c r="T71" s="332"/>
      <c r="U71" s="332"/>
      <c r="V71" s="332"/>
      <c r="W71" s="332"/>
      <c r="X71" s="332"/>
      <c r="Y71" s="332"/>
      <c r="Z71" s="332"/>
      <c r="AA71" s="332"/>
      <c r="AB71" s="332"/>
      <c r="AC71" s="332"/>
      <c r="AD71" s="332"/>
      <c r="AE71" s="332"/>
      <c r="AF71" s="333"/>
      <c r="AG71" s="106"/>
      <c r="AH71" s="106"/>
    </row>
    <row r="72" spans="1:34" ht="111" customHeight="1">
      <c r="A72" s="106"/>
      <c r="B72" s="328" t="s">
        <v>238</v>
      </c>
      <c r="C72" s="329"/>
      <c r="D72" s="329"/>
      <c r="E72" s="329"/>
      <c r="F72" s="329"/>
      <c r="G72" s="330"/>
      <c r="H72" s="331" t="s">
        <v>234</v>
      </c>
      <c r="I72" s="332"/>
      <c r="J72" s="332"/>
      <c r="K72" s="332"/>
      <c r="L72" s="332"/>
      <c r="M72" s="332"/>
      <c r="N72" s="332"/>
      <c r="O72" s="332"/>
      <c r="P72" s="332"/>
      <c r="Q72" s="332"/>
      <c r="R72" s="332"/>
      <c r="S72" s="332"/>
      <c r="T72" s="332"/>
      <c r="U72" s="332"/>
      <c r="V72" s="332"/>
      <c r="W72" s="332"/>
      <c r="X72" s="332"/>
      <c r="Y72" s="332"/>
      <c r="Z72" s="332"/>
      <c r="AA72" s="332"/>
      <c r="AB72" s="332"/>
      <c r="AC72" s="332"/>
      <c r="AD72" s="332"/>
      <c r="AE72" s="332"/>
      <c r="AF72" s="333"/>
      <c r="AG72" s="106"/>
      <c r="AH72" s="106"/>
    </row>
    <row r="73" spans="1:34" ht="52.5" customHeight="1">
      <c r="A73" s="106"/>
      <c r="B73" s="328" t="s">
        <v>239</v>
      </c>
      <c r="C73" s="329"/>
      <c r="D73" s="329"/>
      <c r="E73" s="329"/>
      <c r="F73" s="329"/>
      <c r="G73" s="330"/>
      <c r="H73" s="331" t="s">
        <v>242</v>
      </c>
      <c r="I73" s="332"/>
      <c r="J73" s="332"/>
      <c r="K73" s="332"/>
      <c r="L73" s="332"/>
      <c r="M73" s="332"/>
      <c r="N73" s="332"/>
      <c r="O73" s="332"/>
      <c r="P73" s="332"/>
      <c r="Q73" s="332"/>
      <c r="R73" s="332"/>
      <c r="S73" s="332"/>
      <c r="T73" s="332"/>
      <c r="U73" s="332"/>
      <c r="V73" s="332"/>
      <c r="W73" s="332"/>
      <c r="X73" s="332"/>
      <c r="Y73" s="332"/>
      <c r="Z73" s="332"/>
      <c r="AA73" s="332"/>
      <c r="AB73" s="332"/>
      <c r="AC73" s="332"/>
      <c r="AD73" s="332"/>
      <c r="AE73" s="332"/>
      <c r="AF73" s="333"/>
      <c r="AG73" s="106"/>
      <c r="AH73" s="106"/>
    </row>
    <row r="74" spans="1:34" ht="52.5" customHeight="1">
      <c r="A74" s="106"/>
      <c r="B74" s="328" t="s">
        <v>231</v>
      </c>
      <c r="C74" s="329"/>
      <c r="D74" s="329"/>
      <c r="E74" s="329"/>
      <c r="F74" s="329"/>
      <c r="G74" s="330"/>
      <c r="H74" s="331" t="s">
        <v>235</v>
      </c>
      <c r="I74" s="332"/>
      <c r="J74" s="332"/>
      <c r="K74" s="332"/>
      <c r="L74" s="332"/>
      <c r="M74" s="332"/>
      <c r="N74" s="332"/>
      <c r="O74" s="332"/>
      <c r="P74" s="332"/>
      <c r="Q74" s="332"/>
      <c r="R74" s="332"/>
      <c r="S74" s="332"/>
      <c r="T74" s="332"/>
      <c r="U74" s="332"/>
      <c r="V74" s="332"/>
      <c r="W74" s="332"/>
      <c r="X74" s="332"/>
      <c r="Y74" s="332"/>
      <c r="Z74" s="332"/>
      <c r="AA74" s="332"/>
      <c r="AB74" s="332"/>
      <c r="AC74" s="332"/>
      <c r="AD74" s="332"/>
      <c r="AE74" s="332"/>
      <c r="AF74" s="333"/>
      <c r="AG74" s="106"/>
      <c r="AH74" s="106"/>
    </row>
    <row r="75" spans="1:34" ht="81" customHeight="1">
      <c r="A75" s="106"/>
      <c r="B75" s="328" t="s">
        <v>240</v>
      </c>
      <c r="C75" s="329"/>
      <c r="D75" s="329"/>
      <c r="E75" s="329"/>
      <c r="F75" s="329"/>
      <c r="G75" s="330"/>
      <c r="H75" s="331" t="s">
        <v>243</v>
      </c>
      <c r="I75" s="332"/>
      <c r="J75" s="332"/>
      <c r="K75" s="332"/>
      <c r="L75" s="332"/>
      <c r="M75" s="332"/>
      <c r="N75" s="332"/>
      <c r="O75" s="332"/>
      <c r="P75" s="332"/>
      <c r="Q75" s="332"/>
      <c r="R75" s="332"/>
      <c r="S75" s="332"/>
      <c r="T75" s="332"/>
      <c r="U75" s="332"/>
      <c r="V75" s="332"/>
      <c r="W75" s="332"/>
      <c r="X75" s="332"/>
      <c r="Y75" s="332"/>
      <c r="Z75" s="332"/>
      <c r="AA75" s="332"/>
      <c r="AB75" s="332"/>
      <c r="AC75" s="332"/>
      <c r="AD75" s="332"/>
      <c r="AE75" s="332"/>
      <c r="AF75" s="333"/>
      <c r="AG75" s="106"/>
      <c r="AH75" s="106"/>
    </row>
    <row r="76" spans="1:34" ht="97.5" customHeight="1">
      <c r="A76" s="106"/>
      <c r="B76" s="328" t="s">
        <v>233</v>
      </c>
      <c r="C76" s="329"/>
      <c r="D76" s="329"/>
      <c r="E76" s="329"/>
      <c r="F76" s="329"/>
      <c r="G76" s="330"/>
      <c r="H76" s="331" t="s">
        <v>236</v>
      </c>
      <c r="I76" s="332"/>
      <c r="J76" s="332"/>
      <c r="K76" s="332"/>
      <c r="L76" s="332"/>
      <c r="M76" s="332"/>
      <c r="N76" s="332"/>
      <c r="O76" s="332"/>
      <c r="P76" s="332"/>
      <c r="Q76" s="332"/>
      <c r="R76" s="332"/>
      <c r="S76" s="332"/>
      <c r="T76" s="332"/>
      <c r="U76" s="332"/>
      <c r="V76" s="332"/>
      <c r="W76" s="332"/>
      <c r="X76" s="332"/>
      <c r="Y76" s="332"/>
      <c r="Z76" s="332"/>
      <c r="AA76" s="332"/>
      <c r="AB76" s="332"/>
      <c r="AC76" s="332"/>
      <c r="AD76" s="332"/>
      <c r="AE76" s="332"/>
      <c r="AF76" s="333"/>
      <c r="AG76" s="106"/>
      <c r="AH76" s="106"/>
    </row>
    <row r="77" spans="1:34">
      <c r="A77" s="106"/>
      <c r="B77" s="133"/>
      <c r="C77" s="133"/>
      <c r="D77" s="133"/>
      <c r="E77" s="133"/>
      <c r="F77" s="133"/>
      <c r="G77" s="133"/>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06"/>
      <c r="AH77" s="106"/>
    </row>
    <row r="78" spans="1:34">
      <c r="A78" s="106"/>
      <c r="B78" s="133"/>
      <c r="C78" s="133"/>
      <c r="D78" s="133"/>
      <c r="E78" s="133"/>
      <c r="F78" s="133"/>
      <c r="G78" s="133"/>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06"/>
      <c r="AH78" s="106"/>
    </row>
    <row r="79" spans="1:34">
      <c r="A79" s="106"/>
      <c r="B79" s="133"/>
      <c r="C79" s="133"/>
      <c r="D79" s="133"/>
      <c r="E79" s="133"/>
      <c r="F79" s="133"/>
      <c r="G79" s="133"/>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06"/>
      <c r="AH79" s="106"/>
    </row>
    <row r="80" spans="1:34" ht="26.25">
      <c r="A80" s="106"/>
      <c r="B80" s="129" t="s">
        <v>169</v>
      </c>
      <c r="C80" s="130"/>
      <c r="D80" s="130"/>
      <c r="E80" s="130"/>
      <c r="F80" s="130"/>
      <c r="G80" s="130"/>
      <c r="H80" s="131"/>
      <c r="I80" s="131"/>
      <c r="J80" s="131"/>
      <c r="K80" s="131"/>
      <c r="L80" s="131"/>
      <c r="M80" s="131"/>
      <c r="N80" s="131"/>
      <c r="O80" s="131"/>
      <c r="P80" s="131"/>
      <c r="Q80" s="131"/>
      <c r="R80" s="131"/>
      <c r="S80" s="131"/>
      <c r="T80" s="131"/>
      <c r="U80" s="131"/>
      <c r="V80" s="131"/>
      <c r="W80" s="131"/>
      <c r="X80" s="131"/>
      <c r="Y80" s="131"/>
      <c r="Z80" s="131"/>
      <c r="AA80" s="131"/>
      <c r="AB80" s="131"/>
      <c r="AC80" s="131"/>
      <c r="AD80" s="131"/>
      <c r="AE80" s="131"/>
      <c r="AF80" s="131"/>
      <c r="AG80" s="106"/>
      <c r="AH80" s="106"/>
    </row>
    <row r="81" spans="1:36">
      <c r="A81" s="106"/>
      <c r="B81" s="133"/>
      <c r="C81" s="133"/>
      <c r="D81" s="133"/>
      <c r="E81" s="133"/>
      <c r="F81" s="133"/>
      <c r="G81" s="133"/>
      <c r="H81" s="134"/>
      <c r="I81" s="134"/>
      <c r="J81" s="134"/>
      <c r="K81" s="134"/>
      <c r="L81" s="134"/>
      <c r="M81" s="134"/>
      <c r="N81" s="134"/>
      <c r="O81" s="134"/>
      <c r="P81" s="134"/>
      <c r="Q81" s="134"/>
      <c r="R81" s="134"/>
      <c r="S81" s="134"/>
      <c r="T81" s="134"/>
      <c r="U81" s="134"/>
      <c r="V81" s="134"/>
      <c r="W81" s="134"/>
      <c r="X81" s="134"/>
      <c r="Y81" s="134"/>
      <c r="Z81" s="134"/>
      <c r="AA81" s="134"/>
      <c r="AB81" s="134"/>
      <c r="AC81" s="134"/>
      <c r="AD81" s="134"/>
      <c r="AE81" s="134"/>
      <c r="AF81" s="134"/>
      <c r="AG81" s="106"/>
      <c r="AH81" s="106"/>
    </row>
    <row r="82" spans="1:36">
      <c r="A82" s="106"/>
      <c r="B82" s="133" t="s">
        <v>170</v>
      </c>
      <c r="C82" s="133"/>
      <c r="D82" s="133"/>
      <c r="E82" s="133"/>
      <c r="F82" s="133"/>
      <c r="G82" s="133"/>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06"/>
      <c r="AH82" s="106"/>
    </row>
    <row r="83" spans="1:36" ht="67.5">
      <c r="A83" s="106"/>
      <c r="B83" s="133"/>
      <c r="C83" s="133"/>
      <c r="D83" s="133"/>
      <c r="E83" s="133"/>
      <c r="F83" s="133"/>
      <c r="G83" s="133"/>
      <c r="H83" s="134"/>
      <c r="I83" s="134"/>
      <c r="J83" s="134"/>
      <c r="K83" s="134"/>
      <c r="L83" s="134"/>
      <c r="M83" s="134"/>
      <c r="N83" s="134"/>
      <c r="O83" s="134"/>
      <c r="P83" s="134"/>
      <c r="Q83" s="134"/>
      <c r="R83" s="134"/>
      <c r="S83" s="134"/>
      <c r="T83" s="134"/>
      <c r="U83" s="134"/>
      <c r="V83" s="134"/>
      <c r="W83" s="134"/>
      <c r="X83" s="134"/>
      <c r="Y83" s="134"/>
      <c r="Z83" s="134"/>
      <c r="AA83" s="134"/>
      <c r="AB83" s="134"/>
      <c r="AC83" s="134"/>
      <c r="AD83" s="134"/>
      <c r="AE83" s="134"/>
      <c r="AF83" s="134"/>
      <c r="AG83" s="106"/>
      <c r="AH83" s="106"/>
      <c r="AJ83" s="176" t="s">
        <v>289</v>
      </c>
    </row>
    <row r="84" spans="1:36" ht="18.75">
      <c r="A84" s="106"/>
      <c r="C84" s="133"/>
      <c r="D84" s="133"/>
      <c r="E84" s="133"/>
      <c r="F84" s="133"/>
      <c r="G84" s="133"/>
      <c r="H84" s="134"/>
      <c r="I84" s="134"/>
      <c r="J84" s="134"/>
      <c r="K84" s="134"/>
      <c r="L84" s="134"/>
      <c r="M84" s="134"/>
      <c r="N84" s="134"/>
      <c r="O84" s="134"/>
      <c r="P84" s="134"/>
      <c r="Q84" s="134"/>
      <c r="R84" s="134"/>
      <c r="S84" s="134"/>
      <c r="T84" s="134"/>
      <c r="U84" s="134"/>
      <c r="V84" s="134"/>
      <c r="W84" s="134"/>
      <c r="X84" s="134"/>
      <c r="Y84" s="134"/>
      <c r="Z84" s="134"/>
      <c r="AA84" s="134"/>
      <c r="AB84" s="134"/>
      <c r="AC84" s="134"/>
      <c r="AD84" s="134"/>
      <c r="AE84" s="134"/>
      <c r="AF84" s="134"/>
      <c r="AG84" s="106"/>
      <c r="AH84" s="106"/>
      <c r="AI84" s="155"/>
      <c r="AJ84" s="175" t="s">
        <v>290</v>
      </c>
    </row>
    <row r="85" spans="1:36">
      <c r="A85" s="106"/>
      <c r="C85" s="133"/>
      <c r="D85" s="133"/>
      <c r="E85" s="133"/>
      <c r="F85" s="133"/>
      <c r="G85" s="133"/>
      <c r="H85" s="134"/>
      <c r="I85" s="134"/>
      <c r="J85" s="134"/>
      <c r="K85" s="134"/>
      <c r="L85" s="134"/>
      <c r="M85" s="134"/>
      <c r="N85" s="134"/>
      <c r="O85" s="134"/>
      <c r="P85" s="134"/>
      <c r="Q85" s="134"/>
      <c r="R85" s="134"/>
      <c r="S85" s="134"/>
      <c r="T85" s="134"/>
      <c r="U85" s="134"/>
      <c r="V85" s="134"/>
      <c r="W85" s="134"/>
      <c r="X85" s="134"/>
      <c r="Y85" s="134"/>
      <c r="Z85" s="134"/>
      <c r="AA85" s="134"/>
      <c r="AB85" s="134"/>
      <c r="AC85" s="134"/>
      <c r="AD85" s="134"/>
      <c r="AE85" s="134"/>
      <c r="AF85" s="134"/>
      <c r="AG85" s="106"/>
      <c r="AH85" s="106"/>
      <c r="AI85" s="156" t="s">
        <v>213</v>
      </c>
      <c r="AJ85" s="156" t="s">
        <v>171</v>
      </c>
    </row>
    <row r="86" spans="1:36">
      <c r="A86" s="106"/>
      <c r="C86" s="133"/>
      <c r="D86" s="133"/>
      <c r="E86" s="133"/>
      <c r="F86" s="133"/>
      <c r="G86" s="133"/>
      <c r="H86" s="134"/>
      <c r="I86" s="134"/>
      <c r="J86" s="134"/>
      <c r="K86" s="134"/>
      <c r="L86" s="134"/>
      <c r="M86" s="134"/>
      <c r="N86" s="134"/>
      <c r="O86" s="134"/>
      <c r="P86" s="134"/>
      <c r="Q86" s="134"/>
      <c r="R86" s="134"/>
      <c r="S86" s="134"/>
      <c r="T86" s="134"/>
      <c r="U86" s="134"/>
      <c r="V86" s="134"/>
      <c r="W86" s="134"/>
      <c r="X86" s="134"/>
      <c r="Y86" s="134"/>
      <c r="Z86" s="134"/>
      <c r="AA86" s="134"/>
      <c r="AB86" s="134"/>
      <c r="AC86" s="134"/>
      <c r="AD86" s="134"/>
      <c r="AE86" s="134"/>
      <c r="AF86" s="134"/>
      <c r="AG86" s="106"/>
      <c r="AH86" s="106"/>
      <c r="AI86" s="156" t="s">
        <v>23</v>
      </c>
      <c r="AJ86" s="156" t="s">
        <v>173</v>
      </c>
    </row>
    <row r="87" spans="1:36">
      <c r="A87" s="106"/>
      <c r="C87" s="133"/>
      <c r="D87" s="133"/>
      <c r="E87" s="133"/>
      <c r="F87" s="133"/>
      <c r="G87" s="133"/>
      <c r="H87" s="134"/>
      <c r="I87" s="134"/>
      <c r="J87" s="134"/>
      <c r="K87" s="134"/>
      <c r="L87" s="134"/>
      <c r="M87" s="134"/>
      <c r="N87" s="134"/>
      <c r="O87" s="134"/>
      <c r="P87" s="134"/>
      <c r="Q87" s="134"/>
      <c r="R87" s="134"/>
      <c r="S87" s="134"/>
      <c r="T87" s="134"/>
      <c r="U87" s="134"/>
      <c r="V87" s="134"/>
      <c r="W87" s="134"/>
      <c r="X87" s="134"/>
      <c r="Y87" s="134"/>
      <c r="Z87" s="134"/>
      <c r="AA87" s="134"/>
      <c r="AB87" s="134"/>
      <c r="AC87" s="134"/>
      <c r="AD87" s="134"/>
      <c r="AE87" s="134"/>
      <c r="AF87" s="134"/>
      <c r="AG87" s="106"/>
      <c r="AH87" s="106"/>
      <c r="AI87" s="156" t="s">
        <v>11</v>
      </c>
      <c r="AJ87" s="156" t="s">
        <v>215</v>
      </c>
    </row>
    <row r="88" spans="1:36" ht="18.75">
      <c r="A88" s="106"/>
      <c r="C88" s="133"/>
      <c r="D88" s="133"/>
      <c r="E88" s="133"/>
      <c r="F88" s="133"/>
      <c r="G88" s="133"/>
      <c r="H88" s="134"/>
      <c r="I88" s="134"/>
      <c r="J88" s="134"/>
      <c r="K88" s="134"/>
      <c r="L88" s="134"/>
      <c r="M88" s="134"/>
      <c r="N88" s="134"/>
      <c r="O88" s="134"/>
      <c r="P88" s="134"/>
      <c r="Q88" s="134"/>
      <c r="R88" s="134"/>
      <c r="S88" s="134"/>
      <c r="T88" s="134"/>
      <c r="U88" s="134"/>
      <c r="V88" s="134"/>
      <c r="W88" s="134"/>
      <c r="X88" s="134"/>
      <c r="Y88" s="134"/>
      <c r="Z88" s="134"/>
      <c r="AA88" s="134"/>
      <c r="AB88" s="134"/>
      <c r="AC88" s="134"/>
      <c r="AD88" s="134"/>
      <c r="AE88" s="134"/>
      <c r="AF88" s="134"/>
      <c r="AG88" s="106"/>
      <c r="AH88" s="106"/>
      <c r="AI88" s="157"/>
      <c r="AJ88" s="156" t="s">
        <v>174</v>
      </c>
    </row>
    <row r="89" spans="1:36">
      <c r="A89" s="106"/>
      <c r="B89" s="133"/>
      <c r="C89" s="133"/>
      <c r="D89" s="133"/>
      <c r="E89" s="133"/>
      <c r="F89" s="133"/>
      <c r="G89" s="133"/>
      <c r="H89" s="134"/>
      <c r="I89" s="134"/>
      <c r="J89" s="134"/>
      <c r="K89" s="134"/>
      <c r="L89" s="134"/>
      <c r="M89" s="134"/>
      <c r="N89" s="134"/>
      <c r="O89" s="134"/>
      <c r="P89" s="134"/>
      <c r="Q89" s="134"/>
      <c r="R89" s="134"/>
      <c r="S89" s="134"/>
      <c r="T89" s="134"/>
      <c r="U89" s="134"/>
      <c r="V89" s="134"/>
      <c r="W89" s="134"/>
      <c r="X89" s="134"/>
      <c r="Y89" s="134"/>
      <c r="Z89" s="134"/>
      <c r="AA89" s="134"/>
      <c r="AB89" s="134"/>
      <c r="AC89" s="134"/>
      <c r="AD89" s="134"/>
      <c r="AE89" s="134"/>
      <c r="AF89" s="134"/>
      <c r="AG89" s="106"/>
      <c r="AH89" s="106"/>
      <c r="AJ89" s="156" t="s">
        <v>244</v>
      </c>
    </row>
    <row r="90" spans="1:36">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J90" s="156" t="s">
        <v>172</v>
      </c>
    </row>
    <row r="91" spans="1:36">
      <c r="AJ91" s="156" t="s">
        <v>219</v>
      </c>
    </row>
    <row r="92" spans="1:36">
      <c r="AJ92" s="156" t="s">
        <v>245</v>
      </c>
    </row>
    <row r="93" spans="1:36">
      <c r="AJ93" s="156" t="s">
        <v>246</v>
      </c>
    </row>
    <row r="94" spans="1:36">
      <c r="AJ94" s="156" t="s">
        <v>247</v>
      </c>
    </row>
    <row r="95" spans="1:36">
      <c r="AJ95" s="156" t="s">
        <v>248</v>
      </c>
    </row>
    <row r="96" spans="1:36">
      <c r="AJ96" s="156" t="s">
        <v>254</v>
      </c>
    </row>
    <row r="97" spans="36:36">
      <c r="AJ97" s="156" t="s">
        <v>175</v>
      </c>
    </row>
    <row r="98" spans="36:36">
      <c r="AJ98" s="156" t="s">
        <v>249</v>
      </c>
    </row>
    <row r="99" spans="36:36">
      <c r="AJ99" s="156" t="s">
        <v>250</v>
      </c>
    </row>
    <row r="100" spans="36:36">
      <c r="AJ100" s="156" t="s">
        <v>251</v>
      </c>
    </row>
    <row r="101" spans="36:36">
      <c r="AJ101" s="156" t="s">
        <v>252</v>
      </c>
    </row>
    <row r="102" spans="36:36">
      <c r="AJ102" s="156" t="s">
        <v>253</v>
      </c>
    </row>
    <row r="103" spans="36:36">
      <c r="AJ103" s="156" t="s">
        <v>176</v>
      </c>
    </row>
    <row r="104" spans="36:36">
      <c r="AJ104" s="156" t="s">
        <v>255</v>
      </c>
    </row>
    <row r="105" spans="36:36" ht="18.75">
      <c r="AJ105" s="157" t="s">
        <v>250</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89"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36" t="s">
        <v>15</v>
      </c>
      <c r="B1" s="337"/>
      <c r="C1" s="337"/>
      <c r="D1" s="338"/>
    </row>
    <row r="3" spans="1:8">
      <c r="B3" s="339" t="s">
        <v>16</v>
      </c>
      <c r="C3" s="340"/>
      <c r="D3" s="341"/>
    </row>
    <row r="4" spans="1:8">
      <c r="B4" s="89"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39" t="s">
        <v>184</v>
      </c>
      <c r="C12" s="340"/>
      <c r="D12" s="341"/>
    </row>
    <row r="13" spans="1:8" ht="24.75" customHeight="1">
      <c r="B13" s="135" t="s">
        <v>179</v>
      </c>
      <c r="C13" s="342" t="s">
        <v>181</v>
      </c>
      <c r="D13" s="343"/>
    </row>
    <row r="14" spans="1:8" ht="25.5" customHeight="1">
      <c r="B14" s="135" t="s">
        <v>106</v>
      </c>
      <c r="C14" s="342" t="s">
        <v>182</v>
      </c>
      <c r="D14" s="343"/>
      <c r="E14" s="90"/>
      <c r="F14" s="90"/>
      <c r="G14" s="90"/>
      <c r="H14" s="90"/>
    </row>
    <row r="15" spans="1:8" ht="49.5" customHeight="1">
      <c r="B15" s="135" t="s">
        <v>180</v>
      </c>
      <c r="C15" s="342" t="s">
        <v>183</v>
      </c>
      <c r="D15" s="343"/>
      <c r="F15" s="94" t="s">
        <v>135</v>
      </c>
    </row>
    <row r="17" spans="2:6">
      <c r="B17" s="339" t="s">
        <v>13</v>
      </c>
      <c r="C17" s="340"/>
      <c r="D17" s="341"/>
    </row>
    <row r="18" spans="2:6">
      <c r="B18" s="2"/>
      <c r="C18" s="3"/>
      <c r="D18" s="4"/>
      <c r="F18" s="94" t="s">
        <v>132</v>
      </c>
    </row>
    <row r="19" spans="2:6" s="91" customFormat="1" ht="38.25">
      <c r="B19" s="334" t="s">
        <v>185</v>
      </c>
      <c r="C19" s="136" t="s">
        <v>107</v>
      </c>
      <c r="D19" s="92"/>
      <c r="F19" s="95" t="s">
        <v>133</v>
      </c>
    </row>
    <row r="20" spans="2:6">
      <c r="B20" s="334"/>
      <c r="C20" s="137"/>
      <c r="D20" s="4"/>
      <c r="F20" s="94" t="s">
        <v>134</v>
      </c>
    </row>
    <row r="21" spans="2:6" ht="25.5">
      <c r="B21" s="334"/>
      <c r="C21" s="138" t="s">
        <v>108</v>
      </c>
      <c r="D21" s="4"/>
    </row>
    <row r="22" spans="2:6" ht="25.5">
      <c r="B22" s="334"/>
      <c r="C22" s="138" t="s">
        <v>0</v>
      </c>
      <c r="D22" s="4"/>
    </row>
    <row r="23" spans="2:6">
      <c r="B23" s="334"/>
      <c r="C23" s="138" t="s">
        <v>1</v>
      </c>
      <c r="D23" s="4"/>
    </row>
    <row r="24" spans="2:6">
      <c r="B24" s="2"/>
      <c r="C24" s="27"/>
      <c r="D24" s="4"/>
    </row>
    <row r="25" spans="2:6">
      <c r="B25" s="335" t="s">
        <v>186</v>
      </c>
      <c r="C25" s="139" t="s">
        <v>335</v>
      </c>
      <c r="D25" s="4"/>
    </row>
    <row r="26" spans="2:6" ht="25.5">
      <c r="B26" s="335"/>
      <c r="C26" s="140" t="s">
        <v>2</v>
      </c>
      <c r="D26" s="4"/>
    </row>
    <row r="27" spans="2:6">
      <c r="B27" s="335"/>
      <c r="C27" s="139"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73" t="s">
        <v>286</v>
      </c>
      <c r="C50" s="174" t="s">
        <v>287</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3" t="s">
        <v>111</v>
      </c>
      <c r="D123" s="10"/>
    </row>
    <row r="124" spans="2:4">
      <c r="B124" s="141" t="s">
        <v>187</v>
      </c>
      <c r="C124" s="1" t="s">
        <v>110</v>
      </c>
      <c r="D124" s="4"/>
    </row>
    <row r="125" spans="2:4">
      <c r="B125" s="141" t="s">
        <v>187</v>
      </c>
      <c r="C125" s="31" t="s">
        <v>114</v>
      </c>
      <c r="D125" s="4"/>
    </row>
    <row r="126" spans="2:4">
      <c r="B126" s="141" t="s">
        <v>187</v>
      </c>
      <c r="C126" s="27" t="s">
        <v>115</v>
      </c>
      <c r="D126" s="4"/>
    </row>
    <row r="127" spans="2:4">
      <c r="B127" s="141" t="s">
        <v>187</v>
      </c>
      <c r="C127" s="27" t="s">
        <v>116</v>
      </c>
      <c r="D127" s="4"/>
    </row>
    <row r="128" spans="2:4">
      <c r="B128" s="141" t="s">
        <v>187</v>
      </c>
      <c r="C128" s="27" t="s">
        <v>117</v>
      </c>
      <c r="D128" s="4"/>
    </row>
    <row r="129" spans="2:4">
      <c r="B129" s="141" t="s">
        <v>187</v>
      </c>
      <c r="C129" s="27" t="s">
        <v>121</v>
      </c>
      <c r="D129" s="4"/>
    </row>
    <row r="130" spans="2:4">
      <c r="B130" s="141" t="s">
        <v>187</v>
      </c>
      <c r="C130" s="27" t="s">
        <v>122</v>
      </c>
      <c r="D130" s="4"/>
    </row>
    <row r="131" spans="2:4">
      <c r="B131" s="141" t="s">
        <v>187</v>
      </c>
      <c r="C131" s="31" t="s">
        <v>124</v>
      </c>
      <c r="D131" s="4"/>
    </row>
    <row r="132" spans="2:4">
      <c r="B132" s="141" t="s">
        <v>187</v>
      </c>
      <c r="C132" s="31" t="s">
        <v>125</v>
      </c>
      <c r="D132" s="4"/>
    </row>
    <row r="133" spans="2:4">
      <c r="B133" s="141" t="s">
        <v>187</v>
      </c>
      <c r="C133" s="1" t="s">
        <v>123</v>
      </c>
      <c r="D133" s="4"/>
    </row>
    <row r="134" spans="2:4">
      <c r="B134" s="141" t="s">
        <v>187</v>
      </c>
      <c r="C134" s="27" t="s">
        <v>118</v>
      </c>
      <c r="D134" s="4"/>
    </row>
    <row r="135" spans="2:4">
      <c r="B135" s="141" t="s">
        <v>187</v>
      </c>
      <c r="C135" s="27" t="s">
        <v>113</v>
      </c>
      <c r="D135" s="4"/>
    </row>
    <row r="136" spans="2:4">
      <c r="B136" s="141" t="s">
        <v>187</v>
      </c>
      <c r="C136" s="31" t="s">
        <v>119</v>
      </c>
      <c r="D136" s="4"/>
    </row>
    <row r="137" spans="2:4">
      <c r="B137" s="141" t="s">
        <v>187</v>
      </c>
      <c r="C137" s="31" t="s">
        <v>127</v>
      </c>
      <c r="D137" s="4"/>
    </row>
    <row r="138" spans="2:4">
      <c r="B138" s="141" t="s">
        <v>187</v>
      </c>
      <c r="C138" s="31" t="s">
        <v>112</v>
      </c>
      <c r="D138" s="4"/>
    </row>
    <row r="139" spans="2:4">
      <c r="B139" s="141" t="s">
        <v>187</v>
      </c>
      <c r="C139" s="31" t="s">
        <v>126</v>
      </c>
      <c r="D139" s="4"/>
    </row>
    <row r="140" spans="2:4">
      <c r="B140" s="142" t="s">
        <v>187</v>
      </c>
      <c r="C140" s="6" t="s">
        <v>120</v>
      </c>
      <c r="D140" s="7"/>
    </row>
  </sheetData>
  <mergeCells count="9">
    <mergeCell ref="B19:B23"/>
    <mergeCell ref="B25:B27"/>
    <mergeCell ref="A1:D1"/>
    <mergeCell ref="B17:D17"/>
    <mergeCell ref="B3:D3"/>
    <mergeCell ref="B12:D12"/>
    <mergeCell ref="C14:D14"/>
    <mergeCell ref="C15:D15"/>
    <mergeCell ref="C13:D13"/>
  </mergeCells>
  <phoneticPr fontId="37"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P24" sqref="P24"/>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2" customFormat="1" ht="76.5">
      <c r="B24" s="83" t="s">
        <v>89</v>
      </c>
      <c r="C24" s="177" t="s">
        <v>51</v>
      </c>
      <c r="D24" s="178" t="s">
        <v>68</v>
      </c>
      <c r="E24" s="83" t="s">
        <v>249</v>
      </c>
      <c r="F24" s="83" t="s">
        <v>250</v>
      </c>
      <c r="G24" s="83" t="s">
        <v>252</v>
      </c>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5"/>
      <c r="C25" s="39" t="s">
        <v>76</v>
      </c>
      <c r="D25" s="180">
        <f>SUM(E25:AA25)</f>
        <v>18</v>
      </c>
      <c r="E25" s="85">
        <v>0</v>
      </c>
      <c r="F25" s="85">
        <v>18</v>
      </c>
      <c r="G25" s="85">
        <v>0</v>
      </c>
    </row>
    <row r="26" spans="2:52" ht="15">
      <c r="B26" s="86"/>
      <c r="C26" s="40" t="s">
        <v>77</v>
      </c>
      <c r="D26" s="180">
        <f>SUM(E26:AA26)</f>
        <v>4</v>
      </c>
      <c r="E26" s="86">
        <v>0</v>
      </c>
      <c r="F26" s="86">
        <v>4</v>
      </c>
      <c r="G26" s="86">
        <v>0</v>
      </c>
    </row>
    <row r="27" spans="2:52" ht="15">
      <c r="B27" s="84">
        <f>B25+B26</f>
        <v>0</v>
      </c>
      <c r="C27" s="44" t="s">
        <v>22</v>
      </c>
      <c r="D27" s="84">
        <f t="shared" ref="D27" si="0">D25+D26</f>
        <v>22</v>
      </c>
      <c r="E27" s="84">
        <f>E25+E26</f>
        <v>0</v>
      </c>
      <c r="F27" s="84">
        <f>F25+F26</f>
        <v>22</v>
      </c>
      <c r="G27" s="84">
        <f>G25+G26</f>
        <v>0</v>
      </c>
    </row>
    <row r="28" spans="2:52">
      <c r="D28" s="17"/>
      <c r="H28" s="37"/>
    </row>
    <row r="29" spans="2:52">
      <c r="D29" s="17"/>
      <c r="H29" s="37"/>
    </row>
    <row r="30" spans="2:52">
      <c r="D30" s="17"/>
      <c r="H30" s="37"/>
    </row>
    <row r="31" spans="2:52" s="82" customFormat="1" ht="60" customHeight="1">
      <c r="B31" s="83" t="s">
        <v>90</v>
      </c>
      <c r="C31" s="177" t="s">
        <v>47</v>
      </c>
      <c r="D31" s="178" t="s">
        <v>68</v>
      </c>
      <c r="E31" s="83"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5"/>
      <c r="C32" s="40" t="s">
        <v>19</v>
      </c>
      <c r="D32" s="180">
        <f>SUM(E32:AA32)</f>
        <v>0</v>
      </c>
      <c r="E32" s="85">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6"/>
      <c r="C33" s="40" t="s">
        <v>44</v>
      </c>
      <c r="D33" s="180">
        <f>SUM(E33:AA33)</f>
        <v>0</v>
      </c>
      <c r="E33" s="86">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6"/>
      <c r="C34" s="40" t="s">
        <v>20</v>
      </c>
      <c r="D34" s="180">
        <f>SUM(E34:AA34)</f>
        <v>20</v>
      </c>
      <c r="E34" s="86">
        <v>20</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6"/>
      <c r="C35" s="40" t="s">
        <v>21</v>
      </c>
      <c r="D35" s="180">
        <f>SUM(E35:AA35)</f>
        <v>0</v>
      </c>
      <c r="E35" s="86">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6"/>
      <c r="C36" s="40" t="s">
        <v>78</v>
      </c>
      <c r="D36" s="180">
        <f>SUM(E36:AA36)</f>
        <v>31</v>
      </c>
      <c r="E36" s="86">
        <v>31</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7">
        <f>SUM(B32:B36)</f>
        <v>0</v>
      </c>
      <c r="C37" s="44" t="s">
        <v>22</v>
      </c>
      <c r="D37" s="181">
        <f>SUM(D32:D36)</f>
        <v>51</v>
      </c>
      <c r="E37" s="87">
        <f>SUM(E32:E36)</f>
        <v>51</v>
      </c>
    </row>
    <row r="38" spans="2:52">
      <c r="D38" s="17"/>
      <c r="H38" s="37"/>
    </row>
    <row r="39" spans="2:52">
      <c r="D39" s="17"/>
      <c r="H39" s="37"/>
    </row>
    <row r="40" spans="2:52" s="82" customFormat="1" ht="63.75">
      <c r="B40" s="83" t="s">
        <v>90</v>
      </c>
      <c r="C40" s="177" t="s">
        <v>67</v>
      </c>
      <c r="D40" s="178" t="s">
        <v>68</v>
      </c>
      <c r="E40" s="83"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6"/>
      <c r="C41" s="40" t="s">
        <v>75</v>
      </c>
      <c r="D41" s="180">
        <f>SUM(E41:AA41)</f>
        <v>51</v>
      </c>
      <c r="E41" s="86">
        <v>51</v>
      </c>
    </row>
    <row r="42" spans="2:52" ht="15">
      <c r="B42" s="86"/>
      <c r="C42" s="40" t="s">
        <v>74</v>
      </c>
      <c r="D42" s="180">
        <f>SUM(E42:AA42)</f>
        <v>0</v>
      </c>
      <c r="E42" s="86">
        <v>0</v>
      </c>
    </row>
    <row r="43" spans="2:52" s="17" customFormat="1" ht="15">
      <c r="B43" s="86"/>
      <c r="C43" s="40" t="s">
        <v>101</v>
      </c>
      <c r="D43" s="180">
        <f>SUM(E43:AA43)</f>
        <v>0</v>
      </c>
      <c r="E43" s="86">
        <v>0</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7">
        <f>SUM(B41:B43)</f>
        <v>0</v>
      </c>
      <c r="C44" s="44" t="s">
        <v>22</v>
      </c>
      <c r="D44" s="181">
        <f>SUM(D41:D43)</f>
        <v>51</v>
      </c>
      <c r="E44" s="87">
        <f>SUM(E41:E43)</f>
        <v>51</v>
      </c>
    </row>
    <row r="45" spans="2:52">
      <c r="D45" s="17"/>
    </row>
    <row r="46" spans="2:52">
      <c r="D46" s="17"/>
    </row>
    <row r="47" spans="2:52" ht="25.5">
      <c r="C47" s="179" t="s">
        <v>59</v>
      </c>
      <c r="D47" s="179" t="s">
        <v>92</v>
      </c>
      <c r="E47" s="30" t="s">
        <v>91</v>
      </c>
    </row>
    <row r="48" spans="2:52">
      <c r="C48" s="88" t="s">
        <v>93</v>
      </c>
      <c r="D48" s="182" t="s">
        <v>94</v>
      </c>
      <c r="E48" s="88" t="s">
        <v>95</v>
      </c>
    </row>
  </sheetData>
  <phoneticPr fontId="37"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69"/>
  <sheetViews>
    <sheetView showGridLines="0" topLeftCell="A44" zoomScale="85" zoomScaleNormal="85" workbookViewId="0">
      <selection activeCell="K74" sqref="K74"/>
    </sheetView>
  </sheetViews>
  <sheetFormatPr defaultColWidth="8.85546875" defaultRowHeight="15" outlineLevelCol="1"/>
  <cols>
    <col min="1" max="2" width="31.5703125" style="143" customWidth="1"/>
    <col min="3" max="3" width="43.28515625" style="143" customWidth="1"/>
    <col min="4" max="4" width="13.42578125" style="143" customWidth="1"/>
    <col min="5" max="5" width="18.140625" style="143" customWidth="1"/>
    <col min="6" max="14" width="15.28515625" style="143" customWidth="1" outlineLevel="1"/>
    <col min="15" max="15" width="16.7109375" style="143" customWidth="1" outlineLevel="1"/>
    <col min="16" max="16384" width="8.85546875" style="143"/>
  </cols>
  <sheetData>
    <row r="1" spans="1:15" ht="21" customHeight="1">
      <c r="A1" s="344" t="s">
        <v>192</v>
      </c>
      <c r="B1" s="345"/>
      <c r="C1" s="345"/>
      <c r="D1" s="345"/>
      <c r="E1" s="346"/>
      <c r="F1" s="347" t="s">
        <v>198</v>
      </c>
      <c r="G1" s="348"/>
      <c r="H1" s="348"/>
      <c r="I1" s="348"/>
      <c r="J1" s="348"/>
      <c r="K1" s="348"/>
      <c r="L1" s="348"/>
      <c r="M1" s="348"/>
      <c r="N1" s="348"/>
      <c r="O1" s="348"/>
    </row>
    <row r="2" spans="1:15" ht="37.5">
      <c r="A2" s="153" t="s">
        <v>195</v>
      </c>
      <c r="B2" s="153" t="s">
        <v>191</v>
      </c>
      <c r="C2" s="153" t="s">
        <v>193</v>
      </c>
      <c r="D2" s="153" t="s">
        <v>194</v>
      </c>
      <c r="E2" s="153" t="s">
        <v>196</v>
      </c>
      <c r="F2" s="154" t="s">
        <v>357</v>
      </c>
      <c r="G2" s="154" t="s">
        <v>373</v>
      </c>
      <c r="H2" s="154" t="s">
        <v>358</v>
      </c>
      <c r="I2" s="154" t="s">
        <v>443</v>
      </c>
      <c r="J2" s="154" t="s">
        <v>530</v>
      </c>
      <c r="K2" s="154" t="s">
        <v>569</v>
      </c>
      <c r="L2" s="154" t="s">
        <v>582</v>
      </c>
      <c r="M2" s="154" t="s">
        <v>622</v>
      </c>
      <c r="N2" s="154" t="s">
        <v>624</v>
      </c>
      <c r="O2" s="154" t="s">
        <v>197</v>
      </c>
    </row>
    <row r="3" spans="1:15">
      <c r="A3" s="209" t="s">
        <v>362</v>
      </c>
      <c r="B3" s="143" t="s">
        <v>106</v>
      </c>
      <c r="C3" s="205" t="s">
        <v>360</v>
      </c>
      <c r="D3" s="205" t="s">
        <v>360</v>
      </c>
      <c r="E3" s="152">
        <f t="shared" ref="E3:E12" si="0">SUM(F3:O3)</f>
        <v>30</v>
      </c>
      <c r="F3" s="143">
        <v>15</v>
      </c>
      <c r="G3" s="143">
        <v>15</v>
      </c>
    </row>
    <row r="4" spans="1:15">
      <c r="A4" s="221" t="s">
        <v>365</v>
      </c>
      <c r="B4" s="221" t="s">
        <v>106</v>
      </c>
      <c r="C4" s="221" t="s">
        <v>360</v>
      </c>
      <c r="D4" s="222" t="s">
        <v>360</v>
      </c>
      <c r="E4" s="223">
        <f t="shared" si="0"/>
        <v>30</v>
      </c>
      <c r="F4" s="221">
        <v>15</v>
      </c>
      <c r="G4" s="221">
        <v>15</v>
      </c>
      <c r="H4" s="221"/>
      <c r="I4" s="221"/>
      <c r="J4" s="221"/>
      <c r="K4" s="221"/>
      <c r="L4" s="221"/>
      <c r="M4" s="221"/>
      <c r="N4" s="221"/>
      <c r="O4" s="221"/>
    </row>
    <row r="5" spans="1:15">
      <c r="A5" s="221" t="s">
        <v>367</v>
      </c>
      <c r="B5" s="221" t="s">
        <v>106</v>
      </c>
      <c r="C5" s="221" t="s">
        <v>360</v>
      </c>
      <c r="D5" s="222" t="s">
        <v>360</v>
      </c>
      <c r="E5" s="223">
        <f t="shared" si="0"/>
        <v>30</v>
      </c>
      <c r="F5" s="221">
        <v>15</v>
      </c>
      <c r="G5" s="221">
        <v>15</v>
      </c>
      <c r="H5" s="221"/>
      <c r="I5" s="221"/>
      <c r="J5" s="221"/>
      <c r="K5" s="221"/>
      <c r="L5" s="221"/>
      <c r="M5" s="221"/>
      <c r="N5" s="221"/>
      <c r="O5" s="221"/>
    </row>
    <row r="6" spans="1:15">
      <c r="A6" s="221" t="s">
        <v>369</v>
      </c>
      <c r="B6" s="221" t="s">
        <v>106</v>
      </c>
      <c r="C6" s="221" t="s">
        <v>360</v>
      </c>
      <c r="D6" s="222" t="s">
        <v>360</v>
      </c>
      <c r="E6" s="223">
        <f t="shared" si="0"/>
        <v>30</v>
      </c>
      <c r="F6" s="221">
        <v>15</v>
      </c>
      <c r="G6" s="221">
        <v>15</v>
      </c>
      <c r="H6" s="221"/>
      <c r="I6" s="221"/>
      <c r="J6" s="221"/>
      <c r="K6" s="221"/>
      <c r="L6" s="221"/>
      <c r="M6" s="221"/>
      <c r="N6" s="221"/>
      <c r="O6" s="221"/>
    </row>
    <row r="7" spans="1:15">
      <c r="A7" s="221" t="s">
        <v>374</v>
      </c>
      <c r="B7" s="221" t="s">
        <v>106</v>
      </c>
      <c r="C7" s="221" t="s">
        <v>360</v>
      </c>
      <c r="D7" s="222" t="s">
        <v>360</v>
      </c>
      <c r="E7" s="223">
        <f t="shared" si="0"/>
        <v>30</v>
      </c>
      <c r="F7" s="221">
        <v>15</v>
      </c>
      <c r="G7" s="221">
        <v>15</v>
      </c>
      <c r="H7" s="221"/>
      <c r="I7" s="221"/>
      <c r="J7" s="221"/>
      <c r="K7" s="221"/>
      <c r="L7" s="221"/>
      <c r="M7" s="221"/>
      <c r="N7" s="221"/>
      <c r="O7" s="221"/>
    </row>
    <row r="8" spans="1:15">
      <c r="A8" s="221" t="s">
        <v>441</v>
      </c>
      <c r="B8" s="221" t="s">
        <v>106</v>
      </c>
      <c r="C8" s="221" t="s">
        <v>442</v>
      </c>
      <c r="D8" s="222" t="s">
        <v>442</v>
      </c>
      <c r="E8" s="223">
        <f t="shared" si="0"/>
        <v>30</v>
      </c>
      <c r="F8" s="221"/>
      <c r="G8" s="221">
        <v>15</v>
      </c>
      <c r="H8" s="221"/>
      <c r="I8" s="221">
        <v>15</v>
      </c>
      <c r="J8" s="221"/>
      <c r="K8" s="221"/>
      <c r="L8" s="221"/>
      <c r="M8" s="221"/>
      <c r="N8" s="221"/>
      <c r="O8" s="221"/>
    </row>
    <row r="9" spans="1:15">
      <c r="A9" s="221" t="s">
        <v>447</v>
      </c>
      <c r="B9" s="221" t="s">
        <v>106</v>
      </c>
      <c r="C9" s="221" t="s">
        <v>442</v>
      </c>
      <c r="D9" s="222" t="s">
        <v>442</v>
      </c>
      <c r="E9" s="223">
        <f t="shared" si="0"/>
        <v>40</v>
      </c>
      <c r="F9" s="221"/>
      <c r="G9" s="221">
        <v>20</v>
      </c>
      <c r="H9" s="221"/>
      <c r="I9" s="221">
        <v>20</v>
      </c>
      <c r="J9" s="221"/>
      <c r="K9" s="221"/>
      <c r="L9" s="221"/>
      <c r="M9" s="221"/>
      <c r="N9" s="221"/>
      <c r="O9" s="221"/>
    </row>
    <row r="10" spans="1:15">
      <c r="A10" s="221" t="s">
        <v>456</v>
      </c>
      <c r="B10" s="221" t="s">
        <v>106</v>
      </c>
      <c r="C10" s="221" t="s">
        <v>442</v>
      </c>
      <c r="D10" s="222" t="s">
        <v>442</v>
      </c>
      <c r="E10" s="223">
        <f t="shared" si="0"/>
        <v>40</v>
      </c>
      <c r="F10" s="221"/>
      <c r="G10" s="221">
        <v>20</v>
      </c>
      <c r="H10" s="221"/>
      <c r="I10" s="221">
        <v>20</v>
      </c>
      <c r="J10" s="221"/>
      <c r="K10" s="221"/>
      <c r="L10" s="221"/>
      <c r="M10" s="221"/>
      <c r="N10" s="221"/>
      <c r="O10" s="221"/>
    </row>
    <row r="11" spans="1:15">
      <c r="A11" s="221" t="s">
        <v>469</v>
      </c>
      <c r="B11" s="221" t="s">
        <v>106</v>
      </c>
      <c r="C11" s="221" t="s">
        <v>442</v>
      </c>
      <c r="D11" s="222" t="s">
        <v>442</v>
      </c>
      <c r="E11" s="223">
        <f t="shared" si="0"/>
        <v>50</v>
      </c>
      <c r="F11" s="221"/>
      <c r="G11" s="221">
        <v>25</v>
      </c>
      <c r="H11" s="221"/>
      <c r="I11" s="221">
        <v>25</v>
      </c>
      <c r="J11" s="221"/>
      <c r="K11" s="221"/>
      <c r="L11" s="221"/>
      <c r="M11" s="221"/>
      <c r="N11" s="221"/>
      <c r="O11" s="221"/>
    </row>
    <row r="12" spans="1:15">
      <c r="A12" s="221" t="s">
        <v>494</v>
      </c>
      <c r="B12" s="221" t="s">
        <v>106</v>
      </c>
      <c r="C12" s="221" t="s">
        <v>477</v>
      </c>
      <c r="D12" s="222" t="s">
        <v>477</v>
      </c>
      <c r="E12" s="223">
        <f t="shared" si="0"/>
        <v>20</v>
      </c>
      <c r="F12" s="221"/>
      <c r="G12" s="221">
        <v>10</v>
      </c>
      <c r="H12" s="221"/>
      <c r="I12" s="221">
        <v>10</v>
      </c>
      <c r="J12" s="221"/>
      <c r="K12" s="221"/>
      <c r="L12" s="221"/>
      <c r="M12" s="221"/>
      <c r="N12" s="221"/>
      <c r="O12" s="221"/>
    </row>
    <row r="13" spans="1:15">
      <c r="A13" s="221" t="s">
        <v>481</v>
      </c>
      <c r="B13" s="221" t="s">
        <v>106</v>
      </c>
      <c r="C13" s="221" t="s">
        <v>477</v>
      </c>
      <c r="D13" s="222" t="s">
        <v>477</v>
      </c>
      <c r="E13" s="223">
        <f t="shared" ref="E13:E21" si="1">SUM(F13:O13)</f>
        <v>20</v>
      </c>
      <c r="F13" s="221"/>
      <c r="G13" s="221">
        <v>10</v>
      </c>
      <c r="H13" s="221"/>
      <c r="I13" s="221">
        <v>10</v>
      </c>
      <c r="J13" s="221"/>
      <c r="K13" s="221"/>
      <c r="L13" s="221"/>
      <c r="M13" s="221"/>
      <c r="N13" s="221"/>
      <c r="O13" s="221"/>
    </row>
    <row r="14" spans="1:15">
      <c r="A14" s="221" t="s">
        <v>485</v>
      </c>
      <c r="B14" s="221" t="s">
        <v>106</v>
      </c>
      <c r="C14" s="221" t="s">
        <v>477</v>
      </c>
      <c r="D14" s="222" t="s">
        <v>477</v>
      </c>
      <c r="E14" s="223">
        <f t="shared" si="1"/>
        <v>10</v>
      </c>
      <c r="F14" s="221"/>
      <c r="G14" s="221">
        <v>5</v>
      </c>
      <c r="H14" s="221"/>
      <c r="I14" s="221">
        <v>5</v>
      </c>
      <c r="J14" s="221"/>
      <c r="K14" s="221"/>
      <c r="L14" s="221"/>
      <c r="M14" s="221"/>
      <c r="N14" s="221"/>
      <c r="O14" s="221"/>
    </row>
    <row r="15" spans="1:15">
      <c r="A15" s="221" t="s">
        <v>488</v>
      </c>
      <c r="B15" s="221" t="s">
        <v>106</v>
      </c>
      <c r="C15" s="221" t="s">
        <v>477</v>
      </c>
      <c r="D15" s="222" t="s">
        <v>477</v>
      </c>
      <c r="E15" s="223">
        <f t="shared" si="1"/>
        <v>20</v>
      </c>
      <c r="F15" s="221"/>
      <c r="G15" s="221">
        <v>10</v>
      </c>
      <c r="H15" s="221"/>
      <c r="I15" s="221">
        <v>10</v>
      </c>
      <c r="J15" s="221"/>
      <c r="K15" s="221"/>
      <c r="L15" s="221"/>
      <c r="M15" s="221"/>
      <c r="N15" s="221"/>
      <c r="O15" s="221"/>
    </row>
    <row r="16" spans="1:15">
      <c r="A16" s="221" t="s">
        <v>491</v>
      </c>
      <c r="B16" s="221" t="s">
        <v>106</v>
      </c>
      <c r="C16" s="221" t="s">
        <v>477</v>
      </c>
      <c r="D16" s="222" t="s">
        <v>477</v>
      </c>
      <c r="E16" s="223">
        <f t="shared" si="1"/>
        <v>20</v>
      </c>
      <c r="F16" s="221"/>
      <c r="G16" s="221">
        <v>10</v>
      </c>
      <c r="H16" s="221"/>
      <c r="I16" s="221">
        <v>10</v>
      </c>
      <c r="J16" s="221"/>
      <c r="K16" s="221"/>
      <c r="L16" s="221"/>
      <c r="M16" s="221"/>
      <c r="N16" s="221"/>
      <c r="O16" s="221"/>
    </row>
    <row r="17" spans="1:15">
      <c r="A17" s="221" t="s">
        <v>493</v>
      </c>
      <c r="B17" s="221" t="s">
        <v>106</v>
      </c>
      <c r="C17" s="221" t="s">
        <v>477</v>
      </c>
      <c r="D17" s="222" t="s">
        <v>477</v>
      </c>
      <c r="E17" s="223">
        <f t="shared" si="1"/>
        <v>20</v>
      </c>
      <c r="F17" s="221"/>
      <c r="G17" s="221">
        <v>10</v>
      </c>
      <c r="H17" s="221"/>
      <c r="I17" s="221">
        <v>10</v>
      </c>
      <c r="J17" s="221"/>
      <c r="K17" s="221"/>
      <c r="L17" s="221"/>
      <c r="M17" s="221"/>
      <c r="N17" s="221"/>
      <c r="O17" s="221"/>
    </row>
    <row r="18" spans="1:15">
      <c r="A18" s="221" t="s">
        <v>499</v>
      </c>
      <c r="B18" s="221" t="s">
        <v>106</v>
      </c>
      <c r="C18" s="221" t="s">
        <v>502</v>
      </c>
      <c r="D18" s="222" t="s">
        <v>502</v>
      </c>
      <c r="E18" s="223">
        <f t="shared" si="1"/>
        <v>20</v>
      </c>
      <c r="F18" s="221">
        <v>10</v>
      </c>
      <c r="G18" s="221"/>
      <c r="H18" s="221">
        <v>10</v>
      </c>
      <c r="I18" s="221"/>
      <c r="J18" s="221"/>
      <c r="K18" s="221"/>
      <c r="L18" s="221"/>
      <c r="M18" s="221"/>
      <c r="N18" s="221"/>
      <c r="O18" s="221"/>
    </row>
    <row r="19" spans="1:15">
      <c r="A19" s="221" t="s">
        <v>500</v>
      </c>
      <c r="B19" s="221" t="s">
        <v>106</v>
      </c>
      <c r="C19" s="221" t="s">
        <v>502</v>
      </c>
      <c r="D19" s="222" t="s">
        <v>502</v>
      </c>
      <c r="E19" s="223">
        <f t="shared" si="1"/>
        <v>20</v>
      </c>
      <c r="F19" s="221">
        <v>10</v>
      </c>
      <c r="G19" s="221"/>
      <c r="H19" s="221">
        <v>10</v>
      </c>
      <c r="I19" s="221"/>
      <c r="J19" s="221"/>
      <c r="K19" s="221"/>
      <c r="L19" s="221"/>
      <c r="M19" s="221"/>
      <c r="N19" s="221"/>
      <c r="O19" s="221"/>
    </row>
    <row r="20" spans="1:15">
      <c r="A20" s="221" t="s">
        <v>501</v>
      </c>
      <c r="B20" s="221" t="s">
        <v>106</v>
      </c>
      <c r="C20" s="221" t="s">
        <v>502</v>
      </c>
      <c r="D20" s="222" t="s">
        <v>502</v>
      </c>
      <c r="E20" s="223">
        <f t="shared" si="1"/>
        <v>20</v>
      </c>
      <c r="F20" s="221">
        <v>10</v>
      </c>
      <c r="G20" s="221"/>
      <c r="H20" s="221">
        <v>10</v>
      </c>
      <c r="I20" s="221"/>
      <c r="J20" s="221"/>
      <c r="K20" s="221"/>
      <c r="L20" s="221"/>
      <c r="M20" s="221"/>
      <c r="N20" s="221"/>
      <c r="O20" s="221"/>
    </row>
    <row r="21" spans="1:15">
      <c r="A21" s="221" t="s">
        <v>506</v>
      </c>
      <c r="B21" s="221" t="s">
        <v>106</v>
      </c>
      <c r="C21" s="221" t="s">
        <v>529</v>
      </c>
      <c r="D21" s="222" t="s">
        <v>529</v>
      </c>
      <c r="E21" s="223">
        <f t="shared" si="1"/>
        <v>20</v>
      </c>
      <c r="F21" s="221">
        <v>10</v>
      </c>
      <c r="G21" s="221"/>
      <c r="H21" s="221"/>
      <c r="I21" s="221"/>
      <c r="J21" s="221">
        <v>10</v>
      </c>
      <c r="K21" s="221"/>
      <c r="L21" s="221"/>
      <c r="M21" s="221"/>
      <c r="N21" s="221"/>
      <c r="O21" s="221"/>
    </row>
    <row r="22" spans="1:15">
      <c r="A22" s="221" t="s">
        <v>507</v>
      </c>
      <c r="B22" s="221" t="s">
        <v>106</v>
      </c>
      <c r="C22" s="221" t="s">
        <v>529</v>
      </c>
      <c r="D22" s="222" t="s">
        <v>529</v>
      </c>
      <c r="E22" s="223">
        <f t="shared" ref="E22:E42" si="2">SUM(F22:O22)</f>
        <v>20</v>
      </c>
      <c r="F22" s="221">
        <v>10</v>
      </c>
      <c r="G22" s="221"/>
      <c r="H22" s="221"/>
      <c r="I22" s="221"/>
      <c r="J22" s="221">
        <v>10</v>
      </c>
      <c r="K22" s="221"/>
      <c r="L22" s="221"/>
      <c r="M22" s="221"/>
      <c r="N22" s="221"/>
      <c r="O22" s="221"/>
    </row>
    <row r="23" spans="1:15">
      <c r="A23" s="221" t="s">
        <v>508</v>
      </c>
      <c r="B23" s="221" t="s">
        <v>106</v>
      </c>
      <c r="C23" s="221" t="s">
        <v>529</v>
      </c>
      <c r="D23" s="222" t="s">
        <v>529</v>
      </c>
      <c r="E23" s="223">
        <f t="shared" si="2"/>
        <v>20</v>
      </c>
      <c r="F23" s="221">
        <v>10</v>
      </c>
      <c r="G23" s="221"/>
      <c r="H23" s="221"/>
      <c r="I23" s="221"/>
      <c r="J23" s="221">
        <v>10</v>
      </c>
      <c r="K23" s="221"/>
      <c r="L23" s="221"/>
      <c r="M23" s="221"/>
      <c r="N23" s="221"/>
      <c r="O23" s="221"/>
    </row>
    <row r="24" spans="1:15">
      <c r="A24" s="221" t="s">
        <v>509</v>
      </c>
      <c r="B24" s="221" t="s">
        <v>106</v>
      </c>
      <c r="C24" s="221" t="s">
        <v>529</v>
      </c>
      <c r="D24" s="222" t="s">
        <v>529</v>
      </c>
      <c r="E24" s="223">
        <f t="shared" si="2"/>
        <v>20</v>
      </c>
      <c r="F24" s="221">
        <v>10</v>
      </c>
      <c r="G24" s="221"/>
      <c r="H24" s="221"/>
      <c r="I24" s="221"/>
      <c r="J24" s="221">
        <v>10</v>
      </c>
      <c r="K24" s="221"/>
      <c r="L24" s="221"/>
      <c r="M24" s="221"/>
      <c r="N24" s="221"/>
      <c r="O24" s="221"/>
    </row>
    <row r="25" spans="1:15">
      <c r="A25" s="221" t="s">
        <v>510</v>
      </c>
      <c r="B25" s="221" t="s">
        <v>106</v>
      </c>
      <c r="C25" s="221" t="s">
        <v>529</v>
      </c>
      <c r="D25" s="222" t="s">
        <v>529</v>
      </c>
      <c r="E25" s="223">
        <f t="shared" si="2"/>
        <v>20</v>
      </c>
      <c r="F25" s="221">
        <v>10</v>
      </c>
      <c r="G25" s="221"/>
      <c r="H25" s="221"/>
      <c r="I25" s="221"/>
      <c r="J25" s="221">
        <v>10</v>
      </c>
      <c r="K25" s="221"/>
      <c r="L25" s="221"/>
      <c r="M25" s="221"/>
      <c r="N25" s="221"/>
      <c r="O25" s="221"/>
    </row>
    <row r="26" spans="1:15">
      <c r="A26" s="221" t="s">
        <v>511</v>
      </c>
      <c r="B26" s="221" t="s">
        <v>106</v>
      </c>
      <c r="C26" s="221" t="s">
        <v>529</v>
      </c>
      <c r="D26" s="222" t="s">
        <v>529</v>
      </c>
      <c r="E26" s="223">
        <f t="shared" si="2"/>
        <v>20</v>
      </c>
      <c r="F26" s="221">
        <v>10</v>
      </c>
      <c r="G26" s="221"/>
      <c r="H26" s="221"/>
      <c r="I26" s="221"/>
      <c r="J26" s="221">
        <v>10</v>
      </c>
      <c r="K26" s="221"/>
      <c r="L26" s="221"/>
      <c r="M26" s="221"/>
      <c r="N26" s="221"/>
      <c r="O26" s="221"/>
    </row>
    <row r="27" spans="1:15">
      <c r="A27" s="221" t="s">
        <v>512</v>
      </c>
      <c r="B27" s="221" t="s">
        <v>106</v>
      </c>
      <c r="C27" s="221" t="s">
        <v>529</v>
      </c>
      <c r="D27" s="222" t="s">
        <v>529</v>
      </c>
      <c r="E27" s="223">
        <f t="shared" si="2"/>
        <v>20</v>
      </c>
      <c r="F27" s="221">
        <v>10</v>
      </c>
      <c r="G27" s="221"/>
      <c r="H27" s="221"/>
      <c r="I27" s="221"/>
      <c r="J27" s="221">
        <v>10</v>
      </c>
      <c r="K27" s="221"/>
      <c r="L27" s="221"/>
      <c r="M27" s="221"/>
      <c r="N27" s="221"/>
      <c r="O27" s="221"/>
    </row>
    <row r="28" spans="1:15">
      <c r="A28" s="221" t="s">
        <v>513</v>
      </c>
      <c r="B28" s="221" t="s">
        <v>106</v>
      </c>
      <c r="C28" s="221" t="s">
        <v>529</v>
      </c>
      <c r="D28" s="222" t="s">
        <v>529</v>
      </c>
      <c r="E28" s="223">
        <f t="shared" si="2"/>
        <v>20</v>
      </c>
      <c r="F28" s="221">
        <v>10</v>
      </c>
      <c r="G28" s="221"/>
      <c r="H28" s="221"/>
      <c r="I28" s="221"/>
      <c r="J28" s="221">
        <v>10</v>
      </c>
      <c r="K28" s="221"/>
      <c r="L28" s="221"/>
      <c r="M28" s="221"/>
      <c r="N28" s="221"/>
      <c r="O28" s="221"/>
    </row>
    <row r="29" spans="1:15">
      <c r="A29" s="221" t="s">
        <v>514</v>
      </c>
      <c r="B29" s="221" t="s">
        <v>106</v>
      </c>
      <c r="C29" s="221" t="s">
        <v>529</v>
      </c>
      <c r="D29" s="222" t="s">
        <v>529</v>
      </c>
      <c r="E29" s="223">
        <f t="shared" si="2"/>
        <v>20</v>
      </c>
      <c r="F29" s="221">
        <v>10</v>
      </c>
      <c r="G29" s="221"/>
      <c r="H29" s="221"/>
      <c r="I29" s="221"/>
      <c r="J29" s="221">
        <v>10</v>
      </c>
      <c r="K29" s="221"/>
      <c r="L29" s="221"/>
      <c r="M29" s="221"/>
      <c r="N29" s="221"/>
      <c r="O29" s="221"/>
    </row>
    <row r="30" spans="1:15">
      <c r="A30" s="221" t="s">
        <v>515</v>
      </c>
      <c r="B30" s="221" t="s">
        <v>106</v>
      </c>
      <c r="C30" s="221" t="s">
        <v>529</v>
      </c>
      <c r="D30" s="222" t="s">
        <v>529</v>
      </c>
      <c r="E30" s="223">
        <f t="shared" si="2"/>
        <v>20</v>
      </c>
      <c r="F30" s="221">
        <v>10</v>
      </c>
      <c r="G30" s="221"/>
      <c r="H30" s="221"/>
      <c r="I30" s="221"/>
      <c r="J30" s="221">
        <v>10</v>
      </c>
      <c r="K30" s="221"/>
      <c r="L30" s="221"/>
      <c r="M30" s="221"/>
      <c r="N30" s="221"/>
      <c r="O30" s="221"/>
    </row>
    <row r="31" spans="1:15">
      <c r="A31" s="221" t="s">
        <v>516</v>
      </c>
      <c r="B31" s="221" t="s">
        <v>106</v>
      </c>
      <c r="C31" s="221" t="s">
        <v>529</v>
      </c>
      <c r="D31" s="222" t="s">
        <v>529</v>
      </c>
      <c r="E31" s="223">
        <f t="shared" si="2"/>
        <v>20</v>
      </c>
      <c r="F31" s="221">
        <v>10</v>
      </c>
      <c r="G31" s="221"/>
      <c r="H31" s="221"/>
      <c r="I31" s="221"/>
      <c r="J31" s="221">
        <v>10</v>
      </c>
      <c r="K31" s="221"/>
      <c r="L31" s="221"/>
      <c r="M31" s="221"/>
      <c r="N31" s="221"/>
      <c r="O31" s="221"/>
    </row>
    <row r="32" spans="1:15">
      <c r="A32" s="221" t="s">
        <v>517</v>
      </c>
      <c r="B32" s="221" t="s">
        <v>106</v>
      </c>
      <c r="C32" s="221" t="s">
        <v>529</v>
      </c>
      <c r="D32" s="222" t="s">
        <v>529</v>
      </c>
      <c r="E32" s="223">
        <f t="shared" si="2"/>
        <v>20</v>
      </c>
      <c r="F32" s="221">
        <v>10</v>
      </c>
      <c r="G32" s="221"/>
      <c r="H32" s="221"/>
      <c r="I32" s="221"/>
      <c r="J32" s="221">
        <v>10</v>
      </c>
      <c r="K32" s="221"/>
      <c r="L32" s="221"/>
      <c r="M32" s="221"/>
      <c r="N32" s="221"/>
      <c r="O32" s="221"/>
    </row>
    <row r="33" spans="1:15">
      <c r="A33" s="221" t="s">
        <v>518</v>
      </c>
      <c r="B33" s="221" t="s">
        <v>106</v>
      </c>
      <c r="C33" s="221" t="s">
        <v>529</v>
      </c>
      <c r="D33" s="222" t="s">
        <v>529</v>
      </c>
      <c r="E33" s="223">
        <f t="shared" si="2"/>
        <v>20</v>
      </c>
      <c r="F33" s="221">
        <v>10</v>
      </c>
      <c r="G33" s="221"/>
      <c r="H33" s="221"/>
      <c r="I33" s="221"/>
      <c r="J33" s="221">
        <v>10</v>
      </c>
      <c r="K33" s="221"/>
      <c r="L33" s="221"/>
      <c r="M33" s="221"/>
      <c r="N33" s="221"/>
      <c r="O33" s="221"/>
    </row>
    <row r="34" spans="1:15">
      <c r="A34" s="221" t="s">
        <v>519</v>
      </c>
      <c r="B34" s="221" t="s">
        <v>106</v>
      </c>
      <c r="C34" s="221" t="s">
        <v>529</v>
      </c>
      <c r="D34" s="222" t="s">
        <v>529</v>
      </c>
      <c r="E34" s="223">
        <f t="shared" si="2"/>
        <v>20</v>
      </c>
      <c r="F34" s="221">
        <v>10</v>
      </c>
      <c r="G34" s="221"/>
      <c r="H34" s="221"/>
      <c r="I34" s="221"/>
      <c r="J34" s="221">
        <v>10</v>
      </c>
      <c r="K34" s="221"/>
      <c r="L34" s="221"/>
      <c r="M34" s="221"/>
      <c r="N34" s="221"/>
      <c r="O34" s="221"/>
    </row>
    <row r="35" spans="1:15">
      <c r="A35" s="221" t="s">
        <v>520</v>
      </c>
      <c r="B35" s="221" t="s">
        <v>106</v>
      </c>
      <c r="C35" s="221" t="s">
        <v>529</v>
      </c>
      <c r="D35" s="222" t="s">
        <v>529</v>
      </c>
      <c r="E35" s="223">
        <f t="shared" si="2"/>
        <v>20</v>
      </c>
      <c r="F35" s="221">
        <v>10</v>
      </c>
      <c r="G35" s="221"/>
      <c r="H35" s="221"/>
      <c r="I35" s="221"/>
      <c r="J35" s="221">
        <v>10</v>
      </c>
      <c r="K35" s="221"/>
      <c r="L35" s="221"/>
      <c r="M35" s="221"/>
      <c r="N35" s="221"/>
      <c r="O35" s="221"/>
    </row>
    <row r="36" spans="1:15">
      <c r="A36" s="221" t="s">
        <v>521</v>
      </c>
      <c r="B36" s="221" t="s">
        <v>106</v>
      </c>
      <c r="C36" s="221" t="s">
        <v>529</v>
      </c>
      <c r="D36" s="222" t="s">
        <v>529</v>
      </c>
      <c r="E36" s="223">
        <f t="shared" si="2"/>
        <v>20</v>
      </c>
      <c r="F36" s="221">
        <v>10</v>
      </c>
      <c r="G36" s="221"/>
      <c r="H36" s="221"/>
      <c r="I36" s="221"/>
      <c r="J36" s="221">
        <v>10</v>
      </c>
      <c r="K36" s="221"/>
      <c r="L36" s="221"/>
      <c r="M36" s="221"/>
      <c r="N36" s="221"/>
      <c r="O36" s="221"/>
    </row>
    <row r="37" spans="1:15">
      <c r="A37" s="221" t="s">
        <v>522</v>
      </c>
      <c r="B37" s="221" t="s">
        <v>106</v>
      </c>
      <c r="C37" s="221" t="s">
        <v>529</v>
      </c>
      <c r="D37" s="222" t="s">
        <v>529</v>
      </c>
      <c r="E37" s="223">
        <f t="shared" si="2"/>
        <v>20</v>
      </c>
      <c r="F37" s="221">
        <v>10</v>
      </c>
      <c r="G37" s="221"/>
      <c r="H37" s="221"/>
      <c r="I37" s="221"/>
      <c r="J37" s="221">
        <v>10</v>
      </c>
      <c r="K37" s="221"/>
      <c r="L37" s="221"/>
      <c r="M37" s="221"/>
      <c r="N37" s="221"/>
      <c r="O37" s="221"/>
    </row>
    <row r="38" spans="1:15">
      <c r="A38" s="221" t="s">
        <v>523</v>
      </c>
      <c r="B38" s="221" t="s">
        <v>106</v>
      </c>
      <c r="C38" s="221" t="s">
        <v>529</v>
      </c>
      <c r="D38" s="222" t="s">
        <v>529</v>
      </c>
      <c r="E38" s="223">
        <f t="shared" si="2"/>
        <v>20</v>
      </c>
      <c r="F38" s="221">
        <v>10</v>
      </c>
      <c r="G38" s="221"/>
      <c r="H38" s="221"/>
      <c r="I38" s="221"/>
      <c r="J38" s="221">
        <v>10</v>
      </c>
      <c r="K38" s="221"/>
      <c r="L38" s="221"/>
      <c r="M38" s="221"/>
      <c r="N38" s="221"/>
      <c r="O38" s="221"/>
    </row>
    <row r="39" spans="1:15">
      <c r="A39" s="221" t="s">
        <v>524</v>
      </c>
      <c r="B39" s="221" t="s">
        <v>106</v>
      </c>
      <c r="C39" s="221" t="s">
        <v>529</v>
      </c>
      <c r="D39" s="222" t="s">
        <v>529</v>
      </c>
      <c r="E39" s="223">
        <f t="shared" si="2"/>
        <v>20</v>
      </c>
      <c r="F39" s="221">
        <v>10</v>
      </c>
      <c r="G39" s="221"/>
      <c r="H39" s="221"/>
      <c r="I39" s="221"/>
      <c r="J39" s="221">
        <v>10</v>
      </c>
      <c r="K39" s="221"/>
      <c r="L39" s="221"/>
      <c r="M39" s="221"/>
      <c r="N39" s="221"/>
      <c r="O39" s="221"/>
    </row>
    <row r="40" spans="1:15">
      <c r="A40" s="221" t="s">
        <v>525</v>
      </c>
      <c r="B40" s="221" t="s">
        <v>106</v>
      </c>
      <c r="C40" s="221" t="s">
        <v>529</v>
      </c>
      <c r="D40" s="222" t="s">
        <v>529</v>
      </c>
      <c r="E40" s="223">
        <f t="shared" si="2"/>
        <v>20</v>
      </c>
      <c r="F40" s="221">
        <v>10</v>
      </c>
      <c r="G40" s="221"/>
      <c r="H40" s="221"/>
      <c r="I40" s="221"/>
      <c r="J40" s="221">
        <v>10</v>
      </c>
      <c r="K40" s="221"/>
      <c r="L40" s="221"/>
      <c r="M40" s="221"/>
      <c r="N40" s="221"/>
      <c r="O40" s="221"/>
    </row>
    <row r="41" spans="1:15">
      <c r="A41" s="221" t="s">
        <v>526</v>
      </c>
      <c r="B41" s="221" t="s">
        <v>106</v>
      </c>
      <c r="C41" s="221" t="s">
        <v>529</v>
      </c>
      <c r="D41" s="222" t="s">
        <v>529</v>
      </c>
      <c r="E41" s="223">
        <f t="shared" si="2"/>
        <v>20</v>
      </c>
      <c r="F41" s="221">
        <v>10</v>
      </c>
      <c r="G41" s="221"/>
      <c r="H41" s="221"/>
      <c r="I41" s="221"/>
      <c r="J41" s="221">
        <v>10</v>
      </c>
      <c r="K41" s="221"/>
      <c r="L41" s="221"/>
      <c r="M41" s="221"/>
      <c r="N41" s="221"/>
      <c r="O41" s="221"/>
    </row>
    <row r="42" spans="1:15">
      <c r="A42" s="221" t="s">
        <v>527</v>
      </c>
      <c r="B42" s="221" t="s">
        <v>106</v>
      </c>
      <c r="C42" s="221" t="s">
        <v>529</v>
      </c>
      <c r="D42" s="222" t="s">
        <v>529</v>
      </c>
      <c r="E42" s="223">
        <f t="shared" si="2"/>
        <v>20</v>
      </c>
      <c r="F42" s="221">
        <v>10</v>
      </c>
      <c r="G42" s="221"/>
      <c r="H42" s="221"/>
      <c r="I42" s="221"/>
      <c r="J42" s="221">
        <v>10</v>
      </c>
      <c r="K42" s="221"/>
      <c r="L42" s="221"/>
      <c r="M42" s="221"/>
      <c r="N42" s="221"/>
      <c r="O42" s="221"/>
    </row>
    <row r="43" spans="1:15">
      <c r="A43" s="221" t="s">
        <v>528</v>
      </c>
      <c r="B43" s="221" t="s">
        <v>106</v>
      </c>
      <c r="C43" s="221" t="s">
        <v>529</v>
      </c>
      <c r="D43" s="222" t="s">
        <v>529</v>
      </c>
      <c r="E43" s="223">
        <f>SUM(F43:O43)</f>
        <v>20</v>
      </c>
      <c r="F43" s="221">
        <v>10</v>
      </c>
      <c r="G43" s="221"/>
      <c r="H43" s="221"/>
      <c r="I43" s="221"/>
      <c r="J43" s="221">
        <v>10</v>
      </c>
      <c r="K43" s="221"/>
      <c r="L43" s="221"/>
      <c r="M43" s="221"/>
      <c r="N43" s="221"/>
      <c r="O43" s="221"/>
    </row>
    <row r="44" spans="1:15">
      <c r="A44" s="221" t="s">
        <v>556</v>
      </c>
      <c r="B44" s="221" t="s">
        <v>106</v>
      </c>
      <c r="C44" s="221" t="s">
        <v>557</v>
      </c>
      <c r="D44" s="222" t="s">
        <v>557</v>
      </c>
      <c r="E44" s="223">
        <f t="shared" ref="E44:E67" si="3">SUM(F44:O44)</f>
        <v>20</v>
      </c>
      <c r="F44" s="221"/>
      <c r="G44" s="221"/>
      <c r="H44" s="221">
        <v>10</v>
      </c>
      <c r="I44" s="221">
        <v>10</v>
      </c>
      <c r="J44" s="221"/>
      <c r="K44" s="221"/>
      <c r="L44" s="221"/>
      <c r="M44" s="221"/>
      <c r="N44" s="221"/>
      <c r="O44" s="221"/>
    </row>
    <row r="45" spans="1:15">
      <c r="A45" s="221" t="s">
        <v>555</v>
      </c>
      <c r="B45" s="221" t="s">
        <v>106</v>
      </c>
      <c r="C45" s="221" t="s">
        <v>557</v>
      </c>
      <c r="D45" s="222" t="s">
        <v>557</v>
      </c>
      <c r="E45" s="223">
        <f t="shared" si="3"/>
        <v>20</v>
      </c>
      <c r="F45" s="221"/>
      <c r="G45" s="221"/>
      <c r="H45" s="221">
        <v>10</v>
      </c>
      <c r="I45" s="221">
        <v>10</v>
      </c>
      <c r="J45" s="221"/>
      <c r="K45" s="221"/>
      <c r="L45" s="221"/>
      <c r="M45" s="221"/>
      <c r="N45" s="221"/>
      <c r="O45" s="221"/>
    </row>
    <row r="46" spans="1:15">
      <c r="A46" s="221" t="s">
        <v>561</v>
      </c>
      <c r="B46" s="221" t="s">
        <v>106</v>
      </c>
      <c r="C46" s="224" t="s">
        <v>557</v>
      </c>
      <c r="D46" s="225" t="s">
        <v>557</v>
      </c>
      <c r="E46" s="223">
        <f t="shared" si="3"/>
        <v>30</v>
      </c>
      <c r="F46" s="221"/>
      <c r="G46" s="221"/>
      <c r="H46" s="221">
        <v>15</v>
      </c>
      <c r="I46" s="221">
        <v>15</v>
      </c>
      <c r="J46" s="221"/>
      <c r="K46" s="221"/>
      <c r="L46" s="221"/>
      <c r="M46" s="221"/>
      <c r="N46" s="221"/>
      <c r="O46" s="221"/>
    </row>
    <row r="47" spans="1:15">
      <c r="A47" s="221" t="s">
        <v>566</v>
      </c>
      <c r="B47" s="221" t="s">
        <v>106</v>
      </c>
      <c r="C47" s="226">
        <v>44981</v>
      </c>
      <c r="D47" s="226">
        <v>44981</v>
      </c>
      <c r="E47" s="223">
        <f t="shared" si="3"/>
        <v>30</v>
      </c>
      <c r="F47" s="221"/>
      <c r="G47" s="221"/>
      <c r="H47" s="221"/>
      <c r="I47" s="221"/>
      <c r="J47" s="221"/>
      <c r="K47" s="221">
        <v>30</v>
      </c>
      <c r="L47" s="221"/>
      <c r="M47" s="221"/>
      <c r="N47" s="221"/>
      <c r="O47" s="221"/>
    </row>
    <row r="48" spans="1:15">
      <c r="A48" s="221" t="s">
        <v>574</v>
      </c>
      <c r="B48" s="221" t="s">
        <v>106</v>
      </c>
      <c r="C48" s="226">
        <v>44987</v>
      </c>
      <c r="D48" s="226">
        <v>44987</v>
      </c>
      <c r="E48" s="223">
        <f t="shared" si="3"/>
        <v>15</v>
      </c>
      <c r="F48" s="221"/>
      <c r="G48" s="221"/>
      <c r="H48" s="221"/>
      <c r="I48" s="221"/>
      <c r="J48" s="221"/>
      <c r="K48" s="221">
        <v>15</v>
      </c>
      <c r="L48" s="221"/>
      <c r="M48" s="221"/>
      <c r="N48" s="221"/>
      <c r="O48" s="221"/>
    </row>
    <row r="49" spans="1:15">
      <c r="A49" s="221" t="s">
        <v>575</v>
      </c>
      <c r="B49" s="221" t="s">
        <v>106</v>
      </c>
      <c r="C49" s="226">
        <v>44988</v>
      </c>
      <c r="D49" s="226">
        <v>44987</v>
      </c>
      <c r="E49" s="223">
        <f t="shared" si="3"/>
        <v>15</v>
      </c>
      <c r="F49" s="221"/>
      <c r="G49" s="221"/>
      <c r="H49" s="221"/>
      <c r="I49" s="221"/>
      <c r="J49" s="221"/>
      <c r="K49" s="221">
        <v>15</v>
      </c>
      <c r="L49" s="221"/>
      <c r="M49" s="221"/>
      <c r="N49" s="221"/>
      <c r="O49" s="221"/>
    </row>
    <row r="50" spans="1:15">
      <c r="A50" s="221" t="s">
        <v>576</v>
      </c>
      <c r="B50" s="221" t="s">
        <v>106</v>
      </c>
      <c r="C50" s="226">
        <v>44989</v>
      </c>
      <c r="D50" s="226">
        <v>44987</v>
      </c>
      <c r="E50" s="223">
        <f t="shared" si="3"/>
        <v>15</v>
      </c>
      <c r="F50" s="221"/>
      <c r="G50" s="221"/>
      <c r="H50" s="221"/>
      <c r="I50" s="221"/>
      <c r="J50" s="221"/>
      <c r="K50" s="221">
        <v>15</v>
      </c>
      <c r="L50" s="221"/>
      <c r="M50" s="221"/>
      <c r="N50" s="221"/>
      <c r="O50" s="221"/>
    </row>
    <row r="51" spans="1:15">
      <c r="A51" s="221" t="s">
        <v>577</v>
      </c>
      <c r="B51" s="221" t="s">
        <v>106</v>
      </c>
      <c r="C51" s="226">
        <v>44990</v>
      </c>
      <c r="D51" s="226">
        <v>44987</v>
      </c>
      <c r="E51" s="223">
        <f t="shared" si="3"/>
        <v>15</v>
      </c>
      <c r="F51" s="221"/>
      <c r="G51" s="221"/>
      <c r="H51" s="221"/>
      <c r="I51" s="221"/>
      <c r="J51" s="221"/>
      <c r="K51" s="221">
        <v>15</v>
      </c>
      <c r="L51" s="221"/>
      <c r="M51" s="221"/>
      <c r="N51" s="221"/>
      <c r="O51" s="221"/>
    </row>
    <row r="52" spans="1:15">
      <c r="A52" s="221" t="s">
        <v>578</v>
      </c>
      <c r="B52" s="221" t="s">
        <v>106</v>
      </c>
      <c r="C52" s="226">
        <v>44991</v>
      </c>
      <c r="D52" s="226">
        <v>44987</v>
      </c>
      <c r="E52" s="223">
        <f t="shared" si="3"/>
        <v>15</v>
      </c>
      <c r="F52" s="221"/>
      <c r="G52" s="221"/>
      <c r="H52" s="221"/>
      <c r="I52" s="221"/>
      <c r="J52" s="221"/>
      <c r="K52" s="221">
        <v>15</v>
      </c>
      <c r="L52" s="221"/>
      <c r="M52" s="221"/>
      <c r="N52" s="221"/>
      <c r="O52" s="221"/>
    </row>
    <row r="53" spans="1:15">
      <c r="A53" s="229" t="s">
        <v>581</v>
      </c>
      <c r="B53" s="229" t="s">
        <v>106</v>
      </c>
      <c r="C53" s="226">
        <v>45006</v>
      </c>
      <c r="D53" s="226">
        <v>45006</v>
      </c>
      <c r="E53" s="223">
        <f t="shared" si="3"/>
        <v>60</v>
      </c>
      <c r="F53" s="221">
        <v>15</v>
      </c>
      <c r="G53" s="221"/>
      <c r="H53" s="221"/>
      <c r="I53" s="221"/>
      <c r="J53" s="221"/>
      <c r="K53" s="221">
        <v>30</v>
      </c>
      <c r="L53" s="221">
        <v>15</v>
      </c>
      <c r="M53" s="221"/>
      <c r="N53" s="221"/>
      <c r="O53" s="221"/>
    </row>
    <row r="54" spans="1:15">
      <c r="A54" s="229" t="s">
        <v>585</v>
      </c>
      <c r="B54" s="229" t="s">
        <v>106</v>
      </c>
      <c r="C54" s="226">
        <v>45016</v>
      </c>
      <c r="D54" s="233">
        <v>45016</v>
      </c>
      <c r="E54" s="223">
        <f t="shared" si="3"/>
        <v>0</v>
      </c>
      <c r="F54" s="221"/>
      <c r="G54" s="221"/>
      <c r="H54" s="221"/>
      <c r="I54" s="221"/>
      <c r="J54" s="221"/>
      <c r="K54" s="221"/>
      <c r="L54" s="221"/>
      <c r="M54" s="221"/>
      <c r="N54" s="221"/>
      <c r="O54" s="221"/>
    </row>
    <row r="55" spans="1:15">
      <c r="A55" s="232" t="s">
        <v>587</v>
      </c>
      <c r="B55" s="232" t="s">
        <v>106</v>
      </c>
      <c r="C55" s="226">
        <v>45026</v>
      </c>
      <c r="D55" s="233">
        <v>45026</v>
      </c>
      <c r="E55" s="223">
        <f t="shared" si="3"/>
        <v>60</v>
      </c>
      <c r="F55" s="221">
        <v>30</v>
      </c>
      <c r="G55" s="221"/>
      <c r="H55" s="221">
        <v>30</v>
      </c>
      <c r="I55" s="221"/>
      <c r="J55" s="221"/>
      <c r="K55" s="221"/>
      <c r="L55" s="221"/>
      <c r="M55" s="221"/>
      <c r="N55" s="221"/>
      <c r="O55" s="221"/>
    </row>
    <row r="56" spans="1:15">
      <c r="A56" s="235" t="s">
        <v>596</v>
      </c>
      <c r="B56" s="229" t="s">
        <v>106</v>
      </c>
      <c r="C56" s="226">
        <v>45105</v>
      </c>
      <c r="D56" s="226">
        <v>45105</v>
      </c>
      <c r="E56" s="223">
        <f t="shared" ref="E56:E60" si="4">SUM(F56:O56)</f>
        <v>20</v>
      </c>
      <c r="F56" s="221"/>
      <c r="G56" s="221"/>
      <c r="H56" s="221">
        <v>10</v>
      </c>
      <c r="I56" s="221">
        <v>10</v>
      </c>
      <c r="J56" s="221"/>
      <c r="K56" s="221"/>
      <c r="L56" s="221"/>
      <c r="M56" s="221"/>
      <c r="N56" s="221"/>
      <c r="O56" s="221"/>
    </row>
    <row r="57" spans="1:15">
      <c r="A57" s="235" t="s">
        <v>597</v>
      </c>
      <c r="B57" s="221" t="s">
        <v>106</v>
      </c>
      <c r="C57" s="226">
        <v>45105</v>
      </c>
      <c r="D57" s="226">
        <v>45105</v>
      </c>
      <c r="E57" s="223">
        <f t="shared" si="4"/>
        <v>20</v>
      </c>
      <c r="F57" s="221"/>
      <c r="G57" s="221"/>
      <c r="H57" s="221">
        <v>10</v>
      </c>
      <c r="I57" s="221">
        <v>10</v>
      </c>
      <c r="J57" s="221"/>
      <c r="K57" s="221"/>
      <c r="L57" s="221"/>
      <c r="M57" s="221"/>
      <c r="N57" s="221"/>
      <c r="O57" s="221"/>
    </row>
    <row r="58" spans="1:15">
      <c r="A58" s="235" t="s">
        <v>598</v>
      </c>
      <c r="B58" s="221" t="s">
        <v>106</v>
      </c>
      <c r="C58" s="226">
        <v>45105</v>
      </c>
      <c r="D58" s="226">
        <v>45105</v>
      </c>
      <c r="E58" s="223">
        <f t="shared" si="4"/>
        <v>20</v>
      </c>
      <c r="F58" s="221"/>
      <c r="G58" s="221"/>
      <c r="H58" s="221">
        <v>10</v>
      </c>
      <c r="I58" s="221">
        <v>10</v>
      </c>
      <c r="J58" s="221"/>
      <c r="K58" s="221"/>
      <c r="L58" s="221"/>
      <c r="M58" s="221"/>
      <c r="N58" s="221"/>
      <c r="O58" s="221"/>
    </row>
    <row r="59" spans="1:15">
      <c r="A59" s="235" t="s">
        <v>599</v>
      </c>
      <c r="B59" s="221" t="s">
        <v>106</v>
      </c>
      <c r="C59" s="226">
        <v>45105</v>
      </c>
      <c r="D59" s="226">
        <v>45105</v>
      </c>
      <c r="E59" s="223">
        <f t="shared" si="4"/>
        <v>20</v>
      </c>
      <c r="F59" s="221"/>
      <c r="G59" s="221"/>
      <c r="H59" s="221">
        <v>10</v>
      </c>
      <c r="I59" s="221">
        <v>10</v>
      </c>
      <c r="J59" s="221"/>
      <c r="K59" s="221"/>
      <c r="L59" s="221"/>
      <c r="M59" s="221"/>
      <c r="N59" s="221"/>
      <c r="O59" s="221"/>
    </row>
    <row r="60" spans="1:15">
      <c r="A60" s="235" t="s">
        <v>600</v>
      </c>
      <c r="B60" s="221" t="s">
        <v>106</v>
      </c>
      <c r="C60" s="226">
        <v>45105</v>
      </c>
      <c r="D60" s="226">
        <v>45105</v>
      </c>
      <c r="E60" s="223">
        <f t="shared" si="4"/>
        <v>20</v>
      </c>
      <c r="F60" s="221"/>
      <c r="G60" s="221"/>
      <c r="H60" s="221">
        <v>10</v>
      </c>
      <c r="I60" s="221">
        <v>10</v>
      </c>
      <c r="J60" s="221"/>
      <c r="K60" s="221"/>
      <c r="L60" s="221"/>
      <c r="M60" s="221"/>
      <c r="N60" s="221"/>
      <c r="O60" s="221"/>
    </row>
    <row r="61" spans="1:15">
      <c r="A61" s="236" t="s">
        <v>604</v>
      </c>
      <c r="B61" s="221" t="s">
        <v>106</v>
      </c>
      <c r="C61" s="237" t="s">
        <v>605</v>
      </c>
      <c r="D61" s="237" t="s">
        <v>605</v>
      </c>
      <c r="E61" s="223">
        <f t="shared" ref="E61:E62" si="5">SUM(F61:O61)</f>
        <v>20</v>
      </c>
      <c r="F61" s="221"/>
      <c r="G61" s="221"/>
      <c r="H61" s="221">
        <v>10</v>
      </c>
      <c r="I61" s="221">
        <v>10</v>
      </c>
      <c r="J61" s="221"/>
      <c r="K61" s="221"/>
      <c r="L61" s="221"/>
      <c r="M61" s="221"/>
      <c r="N61" s="221"/>
      <c r="O61" s="221"/>
    </row>
    <row r="62" spans="1:15">
      <c r="A62" s="236" t="s">
        <v>602</v>
      </c>
      <c r="B62" s="229" t="s">
        <v>106</v>
      </c>
      <c r="C62" s="237" t="s">
        <v>605</v>
      </c>
      <c r="D62" s="237" t="s">
        <v>605</v>
      </c>
      <c r="E62" s="223">
        <f t="shared" si="5"/>
        <v>20</v>
      </c>
      <c r="F62" s="221"/>
      <c r="G62" s="221"/>
      <c r="H62" s="221">
        <v>10</v>
      </c>
      <c r="I62" s="221">
        <v>10</v>
      </c>
      <c r="J62" s="221"/>
      <c r="K62" s="221"/>
      <c r="L62" s="221"/>
      <c r="M62" s="221"/>
      <c r="N62" s="221"/>
      <c r="O62" s="221"/>
    </row>
    <row r="63" spans="1:15">
      <c r="A63" s="240" t="s">
        <v>608</v>
      </c>
      <c r="B63" s="229" t="s">
        <v>106</v>
      </c>
      <c r="C63" s="237">
        <v>45127</v>
      </c>
      <c r="D63" s="237">
        <v>45127</v>
      </c>
      <c r="E63" s="223">
        <f t="shared" ref="E63:E65" si="6">SUM(F63:O63)</f>
        <v>20</v>
      </c>
      <c r="F63" s="221"/>
      <c r="G63" s="221"/>
      <c r="H63" s="221">
        <v>10</v>
      </c>
      <c r="I63" s="221">
        <v>10</v>
      </c>
      <c r="J63" s="221"/>
      <c r="K63" s="221"/>
      <c r="L63" s="221"/>
      <c r="M63" s="221"/>
      <c r="N63" s="221"/>
      <c r="O63" s="221"/>
    </row>
    <row r="64" spans="1:15">
      <c r="A64" s="240" t="s">
        <v>609</v>
      </c>
      <c r="B64" s="221" t="s">
        <v>106</v>
      </c>
      <c r="C64" s="237">
        <v>45127</v>
      </c>
      <c r="D64" s="237">
        <v>45127</v>
      </c>
      <c r="E64" s="223">
        <f t="shared" si="6"/>
        <v>20</v>
      </c>
      <c r="F64" s="221"/>
      <c r="G64" s="221"/>
      <c r="H64" s="221">
        <v>10</v>
      </c>
      <c r="I64" s="221">
        <v>10</v>
      </c>
      <c r="J64" s="221"/>
      <c r="K64" s="221"/>
      <c r="L64" s="221"/>
      <c r="M64" s="221"/>
      <c r="N64" s="221"/>
      <c r="O64" s="221"/>
    </row>
    <row r="65" spans="1:15">
      <c r="A65" s="240" t="s">
        <v>610</v>
      </c>
      <c r="B65" s="221" t="s">
        <v>106</v>
      </c>
      <c r="C65" s="237">
        <v>45127</v>
      </c>
      <c r="D65" s="237">
        <v>45127</v>
      </c>
      <c r="E65" s="223">
        <f t="shared" si="6"/>
        <v>20</v>
      </c>
      <c r="F65" s="221"/>
      <c r="G65" s="221"/>
      <c r="H65" s="221">
        <v>10</v>
      </c>
      <c r="I65" s="221">
        <v>10</v>
      </c>
      <c r="J65" s="221"/>
      <c r="K65" s="221"/>
      <c r="L65" s="221"/>
      <c r="M65" s="221"/>
      <c r="N65" s="221"/>
      <c r="O65" s="221"/>
    </row>
    <row r="66" spans="1:15" ht="25.5">
      <c r="A66" s="243" t="s">
        <v>615</v>
      </c>
      <c r="B66" s="221" t="s">
        <v>106</v>
      </c>
      <c r="C66" s="237">
        <v>45131</v>
      </c>
      <c r="D66" s="237">
        <v>45131</v>
      </c>
      <c r="E66" s="223">
        <f t="shared" si="3"/>
        <v>20</v>
      </c>
      <c r="F66" s="221"/>
      <c r="G66" s="221"/>
      <c r="H66" s="221"/>
      <c r="I66" s="221"/>
      <c r="J66" s="221">
        <v>10</v>
      </c>
      <c r="K66" s="221">
        <v>10</v>
      </c>
      <c r="L66" s="221"/>
      <c r="M66" s="221"/>
      <c r="N66" s="221"/>
      <c r="O66" s="221"/>
    </row>
    <row r="67" spans="1:15">
      <c r="A67" s="244" t="s">
        <v>618</v>
      </c>
      <c r="B67" s="221" t="s">
        <v>106</v>
      </c>
      <c r="C67" s="237">
        <v>45132</v>
      </c>
      <c r="D67" s="237">
        <v>45132</v>
      </c>
      <c r="E67" s="223">
        <f t="shared" si="3"/>
        <v>20</v>
      </c>
      <c r="F67" s="221"/>
      <c r="G67" s="221"/>
      <c r="H67" s="221"/>
      <c r="I67" s="221"/>
      <c r="J67" s="221">
        <v>10</v>
      </c>
      <c r="K67" s="221">
        <v>10</v>
      </c>
      <c r="L67" s="221"/>
      <c r="M67" s="221"/>
      <c r="N67" s="221"/>
      <c r="O67" s="221"/>
    </row>
    <row r="68" spans="1:15">
      <c r="A68" s="245" t="s">
        <v>621</v>
      </c>
      <c r="B68" s="221" t="s">
        <v>106</v>
      </c>
      <c r="C68" s="247">
        <v>45133</v>
      </c>
      <c r="D68" s="247">
        <v>45133</v>
      </c>
      <c r="E68" s="246">
        <f>SUM(F68:O133)</f>
        <v>50</v>
      </c>
      <c r="F68" s="221">
        <v>15</v>
      </c>
      <c r="G68" s="221"/>
      <c r="H68" s="221"/>
      <c r="I68" s="221"/>
      <c r="J68" s="221"/>
      <c r="K68" s="221"/>
      <c r="L68" s="221"/>
      <c r="M68" s="248">
        <v>15</v>
      </c>
      <c r="N68" s="221"/>
      <c r="O68" s="221"/>
    </row>
    <row r="69" spans="1:15">
      <c r="A69" s="249" t="s">
        <v>625</v>
      </c>
      <c r="B69" s="221" t="s">
        <v>106</v>
      </c>
      <c r="C69" s="247">
        <v>45138</v>
      </c>
      <c r="D69" s="247">
        <v>45138</v>
      </c>
      <c r="E69" s="246">
        <f t="shared" ref="E69" si="7">SUM(F69:O69)</f>
        <v>20</v>
      </c>
      <c r="F69" s="221"/>
      <c r="G69" s="221"/>
      <c r="H69" s="221"/>
      <c r="I69" s="221"/>
      <c r="J69" s="221"/>
      <c r="K69" s="221">
        <v>10</v>
      </c>
      <c r="L69" s="221"/>
      <c r="M69" s="221"/>
      <c r="N69" s="221">
        <v>10</v>
      </c>
      <c r="O69" s="221"/>
    </row>
  </sheetData>
  <mergeCells count="2">
    <mergeCell ref="A1:E1"/>
    <mergeCell ref="F1:O1"/>
  </mergeCells>
  <conditionalFormatting sqref="A21:A43">
    <cfRule type="expression" dxfId="2426" priority="2" stopIfTrue="1">
      <formula>AND($M21="Approved",OR($L21=$R$1,$L21=$T$1))</formula>
    </cfRule>
  </conditionalFormatting>
  <conditionalFormatting sqref="A47">
    <cfRule type="expression" dxfId="2425" priority="1" stopIfTrue="1">
      <formula>AND($M47="Approved",OR($L47=$R$1,$L47=$T$1))</formula>
    </cfRule>
  </conditionalFormatting>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B3:B20 B44:B52 B57:B61 B64:B69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tabSelected="1" zoomScaleNormal="100" workbookViewId="0">
      <pane xSplit="1" ySplit="4" topLeftCell="B100" activePane="bottomRight" state="frozenSplit"/>
      <selection activeCell="K17" sqref="K17"/>
      <selection pane="topRight" activeCell="K17" sqref="K17"/>
      <selection pane="bottomLeft" activeCell="K17" sqref="K17"/>
      <selection pane="bottomRight" activeCell="L111" sqref="L111"/>
    </sheetView>
  </sheetViews>
  <sheetFormatPr defaultRowHeight="12.75" outlineLevelRow="1" outlineLevelCol="1"/>
  <cols>
    <col min="1" max="1" width="5.28515625" style="71" customWidth="1"/>
    <col min="2" max="2" width="17" style="47" customWidth="1"/>
    <col min="3" max="3" width="47"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4.42578125" style="50" bestFit="1"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COUNTA(D5:D500)+COUNTIF(L5:L500,"=Open")+COUNTIF(L5:L500,"=To be fixed")-COUNTA(L5:L500)</f>
        <v>0</v>
      </c>
      <c r="M2" s="53">
        <f>COUNTIF(M5:M500,"=Rejected")</f>
        <v>0</v>
      </c>
      <c r="N2" s="53">
        <f>COUNTA(D5:D500)-COUNTIF(M5:M500,"=Approved")</f>
        <v>0</v>
      </c>
      <c r="O2" s="53">
        <f>COUNTIFS(L5:L500,"=Postponed",M5:M500,"=Approved")</f>
        <v>17</v>
      </c>
      <c r="P2" s="58"/>
      <c r="Q2" s="53">
        <f>COUNTIF($L5:$L500,"=" &amp; Q1)</f>
        <v>0</v>
      </c>
      <c r="R2" s="53">
        <f>COUNTIF($L5:$L500,"=" &amp; R1)</f>
        <v>21</v>
      </c>
      <c r="S2" s="53">
        <f>COUNTIF($L5:$L500,"=" &amp; S1)</f>
        <v>17</v>
      </c>
      <c r="T2" s="53">
        <f>COUNTIF($L5:$L500,"=" &amp; T1)</f>
        <v>69</v>
      </c>
      <c r="U2" s="53">
        <f>COUNTIF($L5:$L500,"=" &amp; U1)+COUNTIFS($L5:$L500,"",$D5:$D500,"&lt;&gt;")</f>
        <v>0</v>
      </c>
      <c r="V2" s="59"/>
      <c r="W2" s="60"/>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3"/>
      <c r="AC2" s="33"/>
      <c r="AD2" s="33"/>
      <c r="AE2" s="33"/>
      <c r="AF2" s="33"/>
      <c r="AH2" s="53">
        <f>COUNTIF($M5:$M500,"=" &amp; AH1)</f>
        <v>107</v>
      </c>
      <c r="AI2" s="53">
        <f>COUNTIF($M5:$M500,"=" &amp; AI1)</f>
        <v>0</v>
      </c>
      <c r="AJ2" s="53">
        <f>COUNTIF($M5:$M500,"=" &amp; AJ1)</f>
        <v>0</v>
      </c>
      <c r="AM2" s="33"/>
      <c r="AN2" s="33"/>
      <c r="AO2" s="33"/>
      <c r="AP2" s="35"/>
      <c r="AQ2" s="35"/>
      <c r="AR2" s="33"/>
      <c r="AS2" s="35"/>
      <c r="AT2" s="35"/>
    </row>
    <row r="3" spans="1:46" s="52" customFormat="1" ht="25.5" customHeight="1" outlineLevel="1">
      <c r="A3" s="350" t="str">
        <f>IF(Issue_to_treat=1,NbOfNotTreatedIssues+NbOfRejectedIssues&amp;" issue(s) to treat",IF(Issues_to_approve=1,NbOfNotApprovedIssues&amp;" issue(s) to approve",IF(Issues_postponed=1,NbOfNotApprovedAndPostponedIssues&amp;" issue(s) postponed","Status OK")))</f>
        <v>17 issue(s) postponed</v>
      </c>
      <c r="B3" s="350"/>
      <c r="C3" s="351"/>
      <c r="D3" s="65" t="s">
        <v>63</v>
      </c>
      <c r="E3" s="349" t="s">
        <v>81</v>
      </c>
      <c r="F3" s="349"/>
      <c r="G3" s="349"/>
      <c r="H3" s="51"/>
      <c r="I3" s="51"/>
      <c r="J3" s="51"/>
      <c r="K3" s="51"/>
      <c r="L3" s="51"/>
      <c r="M3" s="51"/>
      <c r="N3" s="57"/>
      <c r="O3" s="57"/>
      <c r="P3" s="57"/>
      <c r="Q3" s="61"/>
      <c r="R3" s="61"/>
      <c r="S3" s="61"/>
      <c r="T3" s="61"/>
      <c r="U3" s="61"/>
      <c r="V3" s="61"/>
      <c r="W3" s="61"/>
      <c r="X3" s="25"/>
      <c r="Y3" s="25"/>
      <c r="Z3" s="25"/>
      <c r="AA3" s="25"/>
      <c r="AB3" s="25"/>
    </row>
    <row r="4" spans="1:46" s="151" customFormat="1" ht="47.25">
      <c r="A4" s="144" t="s">
        <v>30</v>
      </c>
      <c r="B4" s="144" t="s">
        <v>9</v>
      </c>
      <c r="C4" s="144" t="s">
        <v>32</v>
      </c>
      <c r="D4" s="144" t="s">
        <v>177</v>
      </c>
      <c r="E4" s="144" t="s">
        <v>69</v>
      </c>
      <c r="F4" s="144" t="s">
        <v>31</v>
      </c>
      <c r="G4" s="145" t="s">
        <v>46</v>
      </c>
      <c r="H4" s="146" t="s">
        <v>48</v>
      </c>
      <c r="I4" s="146" t="s">
        <v>105</v>
      </c>
      <c r="J4" s="146" t="s">
        <v>33</v>
      </c>
      <c r="K4" s="147" t="s">
        <v>49</v>
      </c>
      <c r="L4" s="146" t="s">
        <v>47</v>
      </c>
      <c r="M4" s="144" t="s">
        <v>178</v>
      </c>
      <c r="N4" s="148"/>
      <c r="O4" s="148"/>
      <c r="P4" s="148"/>
      <c r="Q4" s="149"/>
      <c r="R4" s="149"/>
      <c r="S4" s="149"/>
      <c r="T4" s="149"/>
      <c r="U4" s="149"/>
      <c r="V4" s="149"/>
      <c r="W4" s="149"/>
      <c r="X4" s="150"/>
      <c r="Y4" s="150"/>
      <c r="Z4" s="150"/>
      <c r="AA4" s="150"/>
      <c r="AB4" s="150"/>
    </row>
    <row r="5" spans="1:46" s="25" customFormat="1" ht="25.5">
      <c r="A5" s="72">
        <v>1</v>
      </c>
      <c r="B5" s="28">
        <v>1.1000000000000001</v>
      </c>
      <c r="C5" s="41" t="s">
        <v>362</v>
      </c>
      <c r="D5" s="29" t="s">
        <v>363</v>
      </c>
      <c r="E5" s="69">
        <v>44827.55809027778</v>
      </c>
      <c r="F5" s="70" t="s">
        <v>359</v>
      </c>
      <c r="G5" s="18" t="s">
        <v>426</v>
      </c>
      <c r="H5" s="22"/>
      <c r="I5" s="22"/>
      <c r="J5" s="22" t="s">
        <v>425</v>
      </c>
      <c r="K5" s="23"/>
      <c r="L5" s="22" t="s">
        <v>20</v>
      </c>
      <c r="M5" s="80" t="s">
        <v>28</v>
      </c>
      <c r="N5" s="57"/>
      <c r="O5" s="57"/>
      <c r="P5" s="57"/>
      <c r="Q5" s="61"/>
      <c r="R5" s="61"/>
      <c r="S5" s="61"/>
      <c r="T5" s="61"/>
      <c r="U5" s="61"/>
      <c r="V5" s="61"/>
      <c r="W5" s="61"/>
    </row>
    <row r="6" spans="1:46" s="25" customFormat="1">
      <c r="A6" s="73">
        <v>2</v>
      </c>
      <c r="B6" s="28">
        <v>1.1000000000000001</v>
      </c>
      <c r="C6" s="41" t="s">
        <v>362</v>
      </c>
      <c r="D6" s="29" t="s">
        <v>364</v>
      </c>
      <c r="E6" s="69">
        <v>44827.559155092589</v>
      </c>
      <c r="F6" s="70" t="s">
        <v>359</v>
      </c>
      <c r="G6" s="18" t="s">
        <v>427</v>
      </c>
      <c r="H6" s="22"/>
      <c r="I6" s="22"/>
      <c r="J6" s="22" t="s">
        <v>425</v>
      </c>
      <c r="K6" s="23"/>
      <c r="L6" s="22" t="s">
        <v>20</v>
      </c>
      <c r="M6" s="22" t="s">
        <v>28</v>
      </c>
      <c r="N6" s="57"/>
      <c r="O6" s="57"/>
      <c r="P6" s="57"/>
      <c r="Q6" s="61"/>
      <c r="R6" s="61"/>
      <c r="S6" s="61"/>
      <c r="T6" s="61"/>
      <c r="U6" s="61"/>
      <c r="V6" s="61"/>
      <c r="W6" s="61"/>
    </row>
    <row r="7" spans="1:46" s="25" customFormat="1" ht="25.5">
      <c r="A7" s="73">
        <v>3</v>
      </c>
      <c r="B7" s="28">
        <v>1.1000000000000001</v>
      </c>
      <c r="C7" s="41" t="s">
        <v>365</v>
      </c>
      <c r="D7" s="29" t="s">
        <v>363</v>
      </c>
      <c r="E7" s="69">
        <v>44827.56454861111</v>
      </c>
      <c r="F7" s="70" t="s">
        <v>359</v>
      </c>
      <c r="G7" s="18" t="s">
        <v>426</v>
      </c>
      <c r="H7" s="22"/>
      <c r="I7" s="22"/>
      <c r="J7" s="22" t="s">
        <v>425</v>
      </c>
      <c r="K7" s="23"/>
      <c r="L7" s="22" t="s">
        <v>20</v>
      </c>
      <c r="M7" s="22" t="s">
        <v>28</v>
      </c>
      <c r="N7" s="57"/>
      <c r="O7" s="57"/>
      <c r="P7" s="57"/>
      <c r="Q7" s="61"/>
      <c r="R7" s="61"/>
      <c r="S7" s="61"/>
      <c r="T7" s="61"/>
      <c r="U7" s="61"/>
      <c r="V7" s="61"/>
      <c r="W7" s="61"/>
    </row>
    <row r="8" spans="1:46" s="25" customFormat="1">
      <c r="A8" s="73">
        <v>4</v>
      </c>
      <c r="B8" s="28">
        <v>1.1000000000000001</v>
      </c>
      <c r="C8" s="41" t="s">
        <v>365</v>
      </c>
      <c r="D8" s="29" t="s">
        <v>364</v>
      </c>
      <c r="E8" s="69">
        <v>44827.566365740742</v>
      </c>
      <c r="F8" s="70" t="s">
        <v>359</v>
      </c>
      <c r="G8" s="18" t="s">
        <v>427</v>
      </c>
      <c r="H8" s="22"/>
      <c r="I8" s="22"/>
      <c r="J8" s="22" t="s">
        <v>425</v>
      </c>
      <c r="K8" s="23"/>
      <c r="L8" s="22" t="s">
        <v>20</v>
      </c>
      <c r="M8" s="22" t="s">
        <v>28</v>
      </c>
      <c r="N8" s="57"/>
      <c r="O8" s="57"/>
      <c r="P8" s="57"/>
      <c r="Q8" s="61"/>
      <c r="R8" s="61"/>
      <c r="S8" s="61"/>
      <c r="T8" s="61"/>
      <c r="U8" s="61"/>
      <c r="V8" s="61"/>
      <c r="W8" s="61"/>
    </row>
    <row r="9" spans="1:46" s="25" customFormat="1">
      <c r="A9" s="73">
        <v>5</v>
      </c>
      <c r="B9" s="28">
        <v>1.1000000000000001</v>
      </c>
      <c r="C9" s="41" t="s">
        <v>365</v>
      </c>
      <c r="D9" s="29" t="s">
        <v>366</v>
      </c>
      <c r="E9" s="69">
        <v>44827.569421296299</v>
      </c>
      <c r="F9" s="70" t="s">
        <v>359</v>
      </c>
      <c r="G9" s="18" t="s">
        <v>428</v>
      </c>
      <c r="H9" s="22"/>
      <c r="I9" s="22"/>
      <c r="J9" s="22" t="s">
        <v>425</v>
      </c>
      <c r="K9" s="23"/>
      <c r="L9" s="22" t="s">
        <v>20</v>
      </c>
      <c r="M9" s="22" t="s">
        <v>28</v>
      </c>
      <c r="N9" s="57"/>
      <c r="O9" s="57"/>
      <c r="P9" s="57"/>
      <c r="Q9" s="61"/>
      <c r="R9" s="61"/>
      <c r="S9" s="61"/>
      <c r="T9" s="61"/>
      <c r="U9" s="61"/>
      <c r="V9" s="61"/>
      <c r="W9" s="61"/>
    </row>
    <row r="10" spans="1:46" s="25" customFormat="1" ht="25.5">
      <c r="A10" s="73">
        <v>6</v>
      </c>
      <c r="B10" s="28">
        <v>1.1000000000000001</v>
      </c>
      <c r="C10" s="41" t="s">
        <v>367</v>
      </c>
      <c r="D10" s="29" t="s">
        <v>363</v>
      </c>
      <c r="E10" s="69">
        <v>44827.571076388886</v>
      </c>
      <c r="F10" s="70" t="s">
        <v>359</v>
      </c>
      <c r="G10" s="18" t="s">
        <v>426</v>
      </c>
      <c r="H10" s="22"/>
      <c r="I10" s="22"/>
      <c r="J10" s="22" t="s">
        <v>425</v>
      </c>
      <c r="K10" s="23"/>
      <c r="L10" s="22" t="s">
        <v>20</v>
      </c>
      <c r="M10" s="22" t="s">
        <v>28</v>
      </c>
      <c r="N10" s="57"/>
      <c r="O10" s="57"/>
      <c r="P10" s="57"/>
      <c r="Q10" s="61"/>
      <c r="R10" s="61"/>
      <c r="S10" s="61"/>
      <c r="T10" s="61"/>
      <c r="U10" s="61"/>
      <c r="V10" s="61"/>
      <c r="W10" s="61"/>
    </row>
    <row r="11" spans="1:46" s="25" customFormat="1">
      <c r="A11" s="73">
        <v>7</v>
      </c>
      <c r="B11" s="28">
        <v>1.1000000000000001</v>
      </c>
      <c r="C11" s="41" t="s">
        <v>367</v>
      </c>
      <c r="D11" s="29" t="s">
        <v>364</v>
      </c>
      <c r="E11" s="69">
        <v>44827.572222222225</v>
      </c>
      <c r="F11" s="70" t="s">
        <v>359</v>
      </c>
      <c r="G11" s="18" t="s">
        <v>427</v>
      </c>
      <c r="H11" s="22"/>
      <c r="I11" s="22"/>
      <c r="J11" s="22" t="s">
        <v>425</v>
      </c>
      <c r="K11" s="81"/>
      <c r="L11" s="22" t="s">
        <v>20</v>
      </c>
      <c r="M11" s="22" t="s">
        <v>28</v>
      </c>
      <c r="N11" s="57"/>
      <c r="O11" s="57"/>
      <c r="P11" s="57"/>
      <c r="Q11" s="61"/>
      <c r="R11" s="61"/>
      <c r="S11" s="61"/>
      <c r="T11" s="61"/>
      <c r="U11" s="61"/>
      <c r="V11" s="61"/>
      <c r="W11" s="61"/>
    </row>
    <row r="12" spans="1:46" s="25" customFormat="1" ht="25.5">
      <c r="A12" s="73">
        <v>8</v>
      </c>
      <c r="B12" s="28">
        <v>1.1000000000000001</v>
      </c>
      <c r="C12" s="41" t="s">
        <v>367</v>
      </c>
      <c r="D12" s="29" t="s">
        <v>368</v>
      </c>
      <c r="E12" s="69">
        <v>44827.573055555556</v>
      </c>
      <c r="F12" s="70" t="s">
        <v>359</v>
      </c>
      <c r="G12" s="18" t="s">
        <v>429</v>
      </c>
      <c r="H12" s="22"/>
      <c r="I12" s="22"/>
      <c r="J12" s="22" t="s">
        <v>425</v>
      </c>
      <c r="K12" s="23"/>
      <c r="L12" s="22" t="s">
        <v>20</v>
      </c>
      <c r="M12" s="22" t="s">
        <v>28</v>
      </c>
      <c r="N12" s="57"/>
      <c r="O12" s="57"/>
      <c r="P12" s="57"/>
      <c r="Q12" s="61"/>
      <c r="R12" s="61"/>
      <c r="S12" s="61"/>
      <c r="T12" s="61"/>
      <c r="U12" s="61"/>
      <c r="V12" s="61"/>
      <c r="W12" s="61"/>
    </row>
    <row r="13" spans="1:46" s="25" customFormat="1" ht="25.5">
      <c r="A13" s="73">
        <v>9</v>
      </c>
      <c r="B13" s="28">
        <v>1.1000000000000001</v>
      </c>
      <c r="C13" s="41" t="s">
        <v>369</v>
      </c>
      <c r="D13" s="29" t="s">
        <v>363</v>
      </c>
      <c r="E13" s="69">
        <v>44827.573773148149</v>
      </c>
      <c r="F13" s="70" t="s">
        <v>359</v>
      </c>
      <c r="G13" s="18" t="s">
        <v>426</v>
      </c>
      <c r="H13" s="22"/>
      <c r="I13" s="22"/>
      <c r="J13" s="22" t="s">
        <v>425</v>
      </c>
      <c r="K13" s="23"/>
      <c r="L13" s="22" t="s">
        <v>20</v>
      </c>
      <c r="M13" s="22" t="s">
        <v>28</v>
      </c>
      <c r="N13" s="57"/>
      <c r="O13" s="57"/>
      <c r="P13" s="57"/>
      <c r="Q13" s="61"/>
      <c r="R13" s="61"/>
      <c r="S13" s="61"/>
      <c r="T13" s="61"/>
      <c r="U13" s="61"/>
      <c r="V13" s="61"/>
      <c r="W13" s="61"/>
    </row>
    <row r="14" spans="1:46" s="25" customFormat="1" ht="25.5">
      <c r="A14" s="73">
        <v>10</v>
      </c>
      <c r="B14" s="28">
        <v>1.1000000000000001</v>
      </c>
      <c r="C14" s="41" t="s">
        <v>369</v>
      </c>
      <c r="D14" s="18" t="s">
        <v>370</v>
      </c>
      <c r="E14" s="69">
        <v>44827.574780092589</v>
      </c>
      <c r="F14" s="70" t="s">
        <v>359</v>
      </c>
      <c r="G14" s="18" t="s">
        <v>430</v>
      </c>
      <c r="H14" s="22"/>
      <c r="I14" s="22"/>
      <c r="J14" s="22" t="s">
        <v>425</v>
      </c>
      <c r="K14" s="23"/>
      <c r="L14" s="22" t="s">
        <v>20</v>
      </c>
      <c r="M14" s="22" t="s">
        <v>28</v>
      </c>
      <c r="N14" s="57"/>
      <c r="O14" s="57"/>
      <c r="P14" s="57"/>
      <c r="Q14" s="61"/>
      <c r="R14" s="61"/>
      <c r="S14" s="61"/>
      <c r="T14" s="61"/>
      <c r="U14" s="61"/>
      <c r="V14" s="61"/>
      <c r="W14" s="61"/>
    </row>
    <row r="15" spans="1:46" s="25" customFormat="1">
      <c r="A15" s="73">
        <v>11</v>
      </c>
      <c r="B15" s="28">
        <v>1.1000000000000001</v>
      </c>
      <c r="C15" s="41" t="s">
        <v>369</v>
      </c>
      <c r="D15" s="18" t="s">
        <v>364</v>
      </c>
      <c r="E15" s="69">
        <v>44827.575324074074</v>
      </c>
      <c r="F15" s="70" t="s">
        <v>359</v>
      </c>
      <c r="G15" s="18" t="s">
        <v>427</v>
      </c>
      <c r="H15" s="22"/>
      <c r="I15" s="22"/>
      <c r="J15" s="22" t="s">
        <v>425</v>
      </c>
      <c r="K15" s="23"/>
      <c r="L15" s="22" t="s">
        <v>20</v>
      </c>
      <c r="M15" s="22" t="s">
        <v>28</v>
      </c>
      <c r="N15" s="57"/>
      <c r="O15" s="57"/>
      <c r="P15" s="57"/>
      <c r="Q15" s="61"/>
      <c r="R15" s="61"/>
      <c r="S15" s="61"/>
      <c r="T15" s="61"/>
      <c r="U15" s="61"/>
      <c r="V15" s="61"/>
      <c r="W15" s="61"/>
    </row>
    <row r="16" spans="1:46" s="25" customFormat="1">
      <c r="A16" s="73">
        <v>12</v>
      </c>
      <c r="B16" s="28">
        <v>1.1000000000000001</v>
      </c>
      <c r="C16" s="41" t="s">
        <v>369</v>
      </c>
      <c r="D16" s="18" t="s">
        <v>371</v>
      </c>
      <c r="E16" s="69">
        <v>44827.577210648145</v>
      </c>
      <c r="F16" s="70" t="s">
        <v>359</v>
      </c>
      <c r="G16" s="18" t="s">
        <v>431</v>
      </c>
      <c r="H16" s="22"/>
      <c r="I16" s="22"/>
      <c r="J16" s="22" t="s">
        <v>425</v>
      </c>
      <c r="K16" s="23"/>
      <c r="L16" s="22" t="s">
        <v>20</v>
      </c>
      <c r="M16" s="22" t="s">
        <v>28</v>
      </c>
      <c r="N16" s="57"/>
      <c r="O16" s="57"/>
      <c r="P16" s="57"/>
      <c r="Q16" s="61"/>
      <c r="R16" s="61"/>
      <c r="S16" s="61"/>
      <c r="T16" s="61"/>
      <c r="U16" s="61"/>
      <c r="V16" s="61"/>
      <c r="W16" s="61"/>
    </row>
    <row r="17" spans="1:23" s="25" customFormat="1" ht="38.25">
      <c r="A17" s="73">
        <v>13</v>
      </c>
      <c r="B17" s="28">
        <v>1.1000000000000001</v>
      </c>
      <c r="C17" s="41" t="s">
        <v>369</v>
      </c>
      <c r="D17" s="18" t="s">
        <v>372</v>
      </c>
      <c r="E17" s="69">
        <v>44827.58090277778</v>
      </c>
      <c r="F17" s="70" t="s">
        <v>359</v>
      </c>
      <c r="G17" s="18" t="s">
        <v>432</v>
      </c>
      <c r="H17" s="22"/>
      <c r="I17" s="22"/>
      <c r="J17" s="22" t="s">
        <v>425</v>
      </c>
      <c r="K17" s="23"/>
      <c r="L17" s="22" t="s">
        <v>20</v>
      </c>
      <c r="M17" s="22" t="s">
        <v>28</v>
      </c>
      <c r="N17" s="57"/>
      <c r="O17" s="57"/>
      <c r="P17" s="57"/>
      <c r="Q17" s="61"/>
      <c r="R17" s="61"/>
      <c r="S17" s="61"/>
      <c r="T17" s="61"/>
      <c r="U17" s="61"/>
      <c r="V17" s="61"/>
      <c r="W17" s="61"/>
    </row>
    <row r="18" spans="1:23" s="25" customFormat="1" ht="25.5">
      <c r="A18" s="73">
        <v>14</v>
      </c>
      <c r="B18" s="28">
        <v>1.1000000000000001</v>
      </c>
      <c r="C18" s="41" t="s">
        <v>483</v>
      </c>
      <c r="D18" s="18" t="s">
        <v>363</v>
      </c>
      <c r="E18" s="69">
        <v>44827.604953703703</v>
      </c>
      <c r="F18" s="70" t="s">
        <v>359</v>
      </c>
      <c r="G18" s="18" t="s">
        <v>426</v>
      </c>
      <c r="H18" s="22"/>
      <c r="I18" s="22"/>
      <c r="J18" s="22" t="s">
        <v>425</v>
      </c>
      <c r="K18" s="23"/>
      <c r="L18" s="22" t="s">
        <v>20</v>
      </c>
      <c r="M18" s="22" t="s">
        <v>28</v>
      </c>
      <c r="N18" s="57"/>
      <c r="O18" s="57"/>
      <c r="P18" s="57"/>
      <c r="Q18" s="61"/>
      <c r="R18" s="61"/>
      <c r="S18" s="61"/>
      <c r="T18" s="61"/>
      <c r="U18" s="61"/>
      <c r="V18" s="61"/>
      <c r="W18" s="61"/>
    </row>
    <row r="19" spans="1:23" s="25" customFormat="1">
      <c r="A19" s="73">
        <v>15</v>
      </c>
      <c r="B19" s="28">
        <v>1.1000000000000001</v>
      </c>
      <c r="C19" s="28" t="s">
        <v>377</v>
      </c>
      <c r="D19" s="18" t="s">
        <v>378</v>
      </c>
      <c r="E19" s="69">
        <v>44893.530277777776</v>
      </c>
      <c r="F19" s="70" t="s">
        <v>359</v>
      </c>
      <c r="G19" s="18"/>
      <c r="H19" s="22"/>
      <c r="I19" s="22"/>
      <c r="J19" s="22" t="s">
        <v>379</v>
      </c>
      <c r="K19" s="23">
        <v>44893.530393518522</v>
      </c>
      <c r="L19" s="22" t="s">
        <v>27</v>
      </c>
      <c r="M19" s="22" t="s">
        <v>28</v>
      </c>
      <c r="N19" s="57"/>
      <c r="O19" s="57"/>
      <c r="P19" s="57"/>
      <c r="Q19" s="61"/>
      <c r="R19" s="61"/>
      <c r="S19" s="61"/>
      <c r="T19" s="61"/>
      <c r="U19" s="61"/>
      <c r="V19" s="61"/>
      <c r="W19" s="61"/>
    </row>
    <row r="20" spans="1:23" s="25" customFormat="1">
      <c r="A20" s="73">
        <v>16</v>
      </c>
      <c r="B20" s="41" t="s">
        <v>433</v>
      </c>
      <c r="C20" s="41" t="s">
        <v>362</v>
      </c>
      <c r="D20" s="29" t="s">
        <v>434</v>
      </c>
      <c r="E20" s="69">
        <v>44942.70349537037</v>
      </c>
      <c r="F20" s="70" t="s">
        <v>435</v>
      </c>
      <c r="G20" s="18"/>
      <c r="H20" s="22"/>
      <c r="I20" s="22"/>
      <c r="J20" s="22" t="s">
        <v>435</v>
      </c>
      <c r="K20" s="23">
        <v>44942.703576388885</v>
      </c>
      <c r="L20" s="22" t="s">
        <v>27</v>
      </c>
      <c r="M20" s="22" t="s">
        <v>28</v>
      </c>
      <c r="N20" s="57"/>
      <c r="O20" s="57"/>
      <c r="P20" s="57"/>
      <c r="Q20" s="61"/>
      <c r="R20" s="61"/>
      <c r="S20" s="61"/>
      <c r="T20" s="61"/>
      <c r="U20" s="61"/>
      <c r="V20" s="61"/>
      <c r="W20" s="61"/>
    </row>
    <row r="21" spans="1:23" s="25" customFormat="1">
      <c r="A21" s="73">
        <v>17</v>
      </c>
      <c r="B21" s="41" t="s">
        <v>436</v>
      </c>
      <c r="C21" s="41" t="s">
        <v>362</v>
      </c>
      <c r="D21" s="29" t="s">
        <v>434</v>
      </c>
      <c r="E21" s="69">
        <v>44942.70349537037</v>
      </c>
      <c r="F21" s="70" t="s">
        <v>435</v>
      </c>
      <c r="G21" s="18"/>
      <c r="H21" s="22"/>
      <c r="I21" s="22"/>
      <c r="J21" s="22" t="s">
        <v>435</v>
      </c>
      <c r="K21" s="23">
        <v>44942.703576388885</v>
      </c>
      <c r="L21" s="22" t="s">
        <v>27</v>
      </c>
      <c r="M21" s="22" t="s">
        <v>28</v>
      </c>
      <c r="N21" s="57"/>
      <c r="O21" s="57"/>
      <c r="P21" s="57"/>
      <c r="Q21" s="61"/>
      <c r="R21" s="61"/>
      <c r="S21" s="61"/>
      <c r="T21" s="61"/>
      <c r="U21" s="61"/>
      <c r="V21" s="61"/>
      <c r="W21" s="61"/>
    </row>
    <row r="22" spans="1:23" s="25" customFormat="1">
      <c r="A22" s="73">
        <v>18</v>
      </c>
      <c r="B22" s="41" t="s">
        <v>437</v>
      </c>
      <c r="C22" s="41" t="s">
        <v>362</v>
      </c>
      <c r="D22" s="29" t="s">
        <v>434</v>
      </c>
      <c r="E22" s="69">
        <v>44942.70349537037</v>
      </c>
      <c r="F22" s="70" t="s">
        <v>435</v>
      </c>
      <c r="G22" s="18"/>
      <c r="H22" s="22"/>
      <c r="I22" s="22"/>
      <c r="J22" s="22" t="s">
        <v>435</v>
      </c>
      <c r="K22" s="23">
        <v>44942.703576388885</v>
      </c>
      <c r="L22" s="22" t="s">
        <v>27</v>
      </c>
      <c r="M22" s="22" t="s">
        <v>28</v>
      </c>
      <c r="N22" s="57"/>
      <c r="O22" s="57"/>
      <c r="P22" s="57"/>
      <c r="Q22" s="61"/>
      <c r="R22" s="61"/>
      <c r="S22" s="61"/>
      <c r="T22" s="61"/>
      <c r="U22" s="61"/>
      <c r="V22" s="61"/>
      <c r="W22" s="61"/>
    </row>
    <row r="23" spans="1:23" s="25" customFormat="1">
      <c r="A23" s="73">
        <v>19</v>
      </c>
      <c r="B23" s="41" t="s">
        <v>438</v>
      </c>
      <c r="C23" s="41" t="s">
        <v>362</v>
      </c>
      <c r="D23" s="29" t="s">
        <v>434</v>
      </c>
      <c r="E23" s="69">
        <v>44942.70349537037</v>
      </c>
      <c r="F23" s="70" t="s">
        <v>435</v>
      </c>
      <c r="G23" s="18"/>
      <c r="H23" s="22"/>
      <c r="I23" s="22"/>
      <c r="J23" s="22" t="s">
        <v>435</v>
      </c>
      <c r="K23" s="23">
        <v>44942.703576388885</v>
      </c>
      <c r="L23" s="22" t="s">
        <v>27</v>
      </c>
      <c r="M23" s="22" t="s">
        <v>28</v>
      </c>
      <c r="N23" s="57"/>
      <c r="O23" s="57"/>
      <c r="P23" s="57"/>
      <c r="Q23" s="61"/>
      <c r="R23" s="61"/>
      <c r="S23" s="61"/>
      <c r="T23" s="61"/>
      <c r="U23" s="61"/>
      <c r="V23" s="61"/>
      <c r="W23" s="61"/>
    </row>
    <row r="24" spans="1:23" s="25" customFormat="1">
      <c r="A24" s="73">
        <v>20</v>
      </c>
      <c r="B24" s="41" t="s">
        <v>444</v>
      </c>
      <c r="C24" s="41" t="s">
        <v>362</v>
      </c>
      <c r="D24" s="29" t="s">
        <v>378</v>
      </c>
      <c r="E24" s="69">
        <v>44942.71230324074</v>
      </c>
      <c r="F24" s="70" t="s">
        <v>435</v>
      </c>
      <c r="G24" s="18"/>
      <c r="H24" s="22"/>
      <c r="I24" s="22"/>
      <c r="J24" s="22" t="s">
        <v>435</v>
      </c>
      <c r="K24" s="23">
        <v>44942.71234953704</v>
      </c>
      <c r="L24" s="22" t="s">
        <v>27</v>
      </c>
      <c r="M24" s="22" t="s">
        <v>28</v>
      </c>
      <c r="N24" s="57"/>
      <c r="O24" s="57"/>
      <c r="P24" s="57"/>
      <c r="Q24" s="61"/>
      <c r="R24" s="61"/>
      <c r="S24" s="61"/>
      <c r="T24" s="61"/>
      <c r="U24" s="61"/>
      <c r="V24" s="61"/>
      <c r="W24" s="61"/>
    </row>
    <row r="25" spans="1:23" s="25" customFormat="1">
      <c r="A25" s="73">
        <v>21</v>
      </c>
      <c r="B25" s="28">
        <v>1.1000000000000001</v>
      </c>
      <c r="C25" s="41" t="s">
        <v>365</v>
      </c>
      <c r="D25" s="29" t="s">
        <v>445</v>
      </c>
      <c r="E25" s="69">
        <v>44942.712847222225</v>
      </c>
      <c r="F25" s="70" t="s">
        <v>435</v>
      </c>
      <c r="G25" s="18"/>
      <c r="H25" s="22"/>
      <c r="I25" s="22"/>
      <c r="J25" s="22" t="s">
        <v>435</v>
      </c>
      <c r="K25" s="23">
        <v>44942.713055555556</v>
      </c>
      <c r="L25" s="22" t="s">
        <v>27</v>
      </c>
      <c r="M25" s="22" t="s">
        <v>28</v>
      </c>
      <c r="N25" s="57"/>
      <c r="O25" s="57"/>
      <c r="P25" s="57"/>
      <c r="Q25" s="61"/>
      <c r="R25" s="61"/>
      <c r="S25" s="61"/>
      <c r="T25" s="61"/>
      <c r="U25" s="61"/>
      <c r="V25" s="61"/>
      <c r="W25" s="61"/>
    </row>
    <row r="26" spans="1:23" s="25" customFormat="1">
      <c r="A26" s="73">
        <v>22</v>
      </c>
      <c r="B26" s="28">
        <v>1.2</v>
      </c>
      <c r="C26" s="41" t="s">
        <v>365</v>
      </c>
      <c r="D26" s="29" t="s">
        <v>445</v>
      </c>
      <c r="E26" s="69">
        <v>44942.712847222225</v>
      </c>
      <c r="F26" s="70" t="s">
        <v>435</v>
      </c>
      <c r="G26" s="18"/>
      <c r="H26" s="22"/>
      <c r="I26" s="22"/>
      <c r="J26" s="22" t="s">
        <v>435</v>
      </c>
      <c r="K26" s="23">
        <v>44942.713055555556</v>
      </c>
      <c r="L26" s="22" t="s">
        <v>27</v>
      </c>
      <c r="M26" s="22" t="s">
        <v>28</v>
      </c>
      <c r="N26" s="57"/>
      <c r="O26" s="57"/>
      <c r="P26" s="57"/>
      <c r="Q26" s="61"/>
      <c r="R26" s="61"/>
      <c r="S26" s="61"/>
      <c r="T26" s="61"/>
      <c r="U26" s="61"/>
      <c r="V26" s="61"/>
      <c r="W26" s="61"/>
    </row>
    <row r="27" spans="1:23" s="25" customFormat="1" ht="25.5">
      <c r="A27" s="73">
        <v>23</v>
      </c>
      <c r="B27" s="28">
        <v>1.3</v>
      </c>
      <c r="C27" s="41" t="s">
        <v>365</v>
      </c>
      <c r="D27" s="29" t="s">
        <v>446</v>
      </c>
      <c r="E27" s="69">
        <v>44942.714814814812</v>
      </c>
      <c r="F27" s="70" t="s">
        <v>435</v>
      </c>
      <c r="G27" s="18"/>
      <c r="H27" s="22"/>
      <c r="I27" s="22"/>
      <c r="J27" s="22" t="s">
        <v>425</v>
      </c>
      <c r="K27" s="23">
        <v>44943.379606481481</v>
      </c>
      <c r="L27" s="22" t="s">
        <v>20</v>
      </c>
      <c r="M27" s="22" t="s">
        <v>28</v>
      </c>
      <c r="N27" s="57"/>
      <c r="O27" s="57"/>
      <c r="P27" s="57"/>
      <c r="Q27" s="61"/>
      <c r="R27" s="61"/>
      <c r="S27" s="61"/>
      <c r="T27" s="61"/>
      <c r="U27" s="61"/>
      <c r="V27" s="61"/>
      <c r="W27" s="61"/>
    </row>
    <row r="28" spans="1:23" s="25" customFormat="1">
      <c r="A28" s="73">
        <v>24</v>
      </c>
      <c r="B28" s="41" t="s">
        <v>448</v>
      </c>
      <c r="C28" s="41" t="s">
        <v>367</v>
      </c>
      <c r="D28" s="29" t="s">
        <v>449</v>
      </c>
      <c r="E28" s="69">
        <v>44942.719178240739</v>
      </c>
      <c r="F28" s="70" t="s">
        <v>435</v>
      </c>
      <c r="G28" s="18"/>
      <c r="H28" s="22"/>
      <c r="I28" s="22"/>
      <c r="J28" s="22" t="s">
        <v>435</v>
      </c>
      <c r="K28" s="23">
        <v>44942.719537037039</v>
      </c>
      <c r="L28" s="22" t="s">
        <v>27</v>
      </c>
      <c r="M28" s="22" t="s">
        <v>28</v>
      </c>
      <c r="N28" s="57"/>
      <c r="O28" s="57"/>
      <c r="P28" s="57"/>
      <c r="Q28" s="61"/>
      <c r="R28" s="61"/>
      <c r="S28" s="61"/>
      <c r="T28" s="61"/>
      <c r="U28" s="61"/>
      <c r="V28" s="61"/>
      <c r="W28" s="61"/>
    </row>
    <row r="29" spans="1:23" s="25" customFormat="1">
      <c r="A29" s="73">
        <v>25</v>
      </c>
      <c r="B29" s="41" t="s">
        <v>450</v>
      </c>
      <c r="C29" s="41" t="s">
        <v>367</v>
      </c>
      <c r="D29" s="29" t="s">
        <v>449</v>
      </c>
      <c r="E29" s="69">
        <v>44942.719178240739</v>
      </c>
      <c r="F29" s="70" t="s">
        <v>435</v>
      </c>
      <c r="G29" s="18"/>
      <c r="H29" s="22"/>
      <c r="I29" s="22"/>
      <c r="J29" s="22" t="s">
        <v>435</v>
      </c>
      <c r="K29" s="23">
        <v>44942.719537037039</v>
      </c>
      <c r="L29" s="22" t="s">
        <v>27</v>
      </c>
      <c r="M29" s="22" t="s">
        <v>28</v>
      </c>
      <c r="N29" s="57"/>
      <c r="O29" s="57"/>
      <c r="P29" s="57"/>
      <c r="Q29" s="61"/>
      <c r="R29" s="61"/>
      <c r="S29" s="61"/>
      <c r="T29" s="61"/>
      <c r="U29" s="61"/>
      <c r="V29" s="61"/>
      <c r="W29" s="61"/>
    </row>
    <row r="30" spans="1:23" s="25" customFormat="1">
      <c r="A30" s="73">
        <v>26</v>
      </c>
      <c r="B30" s="41" t="s">
        <v>451</v>
      </c>
      <c r="C30" s="41" t="s">
        <v>367</v>
      </c>
      <c r="D30" s="29" t="s">
        <v>449</v>
      </c>
      <c r="E30" s="69">
        <v>44942.719178240739</v>
      </c>
      <c r="F30" s="70" t="s">
        <v>435</v>
      </c>
      <c r="G30" s="18"/>
      <c r="H30" s="22"/>
      <c r="I30" s="22"/>
      <c r="J30" s="22" t="s">
        <v>435</v>
      </c>
      <c r="K30" s="23">
        <v>44942.719537037039</v>
      </c>
      <c r="L30" s="22" t="s">
        <v>27</v>
      </c>
      <c r="M30" s="22" t="s">
        <v>28</v>
      </c>
      <c r="N30" s="57"/>
      <c r="O30" s="57"/>
      <c r="P30" s="57"/>
      <c r="Q30" s="61"/>
      <c r="R30" s="61"/>
      <c r="S30" s="61"/>
      <c r="T30" s="61"/>
      <c r="U30" s="61"/>
      <c r="V30" s="61"/>
      <c r="W30" s="61"/>
    </row>
    <row r="31" spans="1:23" s="25" customFormat="1">
      <c r="A31" s="73">
        <v>27</v>
      </c>
      <c r="B31" s="41" t="s">
        <v>452</v>
      </c>
      <c r="C31" s="41" t="s">
        <v>367</v>
      </c>
      <c r="D31" s="29" t="s">
        <v>449</v>
      </c>
      <c r="E31" s="69">
        <v>44942.719178240739</v>
      </c>
      <c r="F31" s="70" t="s">
        <v>435</v>
      </c>
      <c r="G31" s="18"/>
      <c r="H31" s="22"/>
      <c r="I31" s="22"/>
      <c r="J31" s="22" t="s">
        <v>435</v>
      </c>
      <c r="K31" s="23">
        <v>44942.719537037039</v>
      </c>
      <c r="L31" s="22" t="s">
        <v>27</v>
      </c>
      <c r="M31" s="22" t="s">
        <v>28</v>
      </c>
      <c r="N31" s="57"/>
      <c r="O31" s="57"/>
      <c r="P31" s="57"/>
      <c r="Q31" s="61"/>
      <c r="R31" s="61"/>
      <c r="S31" s="61"/>
      <c r="T31" s="61"/>
      <c r="U31" s="61"/>
      <c r="V31" s="61"/>
      <c r="W31" s="61"/>
    </row>
    <row r="32" spans="1:23" s="25" customFormat="1">
      <c r="A32" s="73">
        <v>28</v>
      </c>
      <c r="B32" s="41" t="s">
        <v>452</v>
      </c>
      <c r="C32" s="41" t="s">
        <v>367</v>
      </c>
      <c r="D32" s="29" t="s">
        <v>449</v>
      </c>
      <c r="E32" s="69">
        <v>44942.719178240739</v>
      </c>
      <c r="F32" s="70" t="s">
        <v>435</v>
      </c>
      <c r="G32" s="18"/>
      <c r="H32" s="22"/>
      <c r="I32" s="22"/>
      <c r="J32" s="22" t="s">
        <v>435</v>
      </c>
      <c r="K32" s="23">
        <v>44942.719537037039</v>
      </c>
      <c r="L32" s="22" t="s">
        <v>27</v>
      </c>
      <c r="M32" s="22" t="s">
        <v>28</v>
      </c>
      <c r="N32" s="57"/>
      <c r="O32" s="57"/>
      <c r="P32" s="57"/>
      <c r="Q32" s="61"/>
      <c r="R32" s="61"/>
      <c r="S32" s="61"/>
      <c r="T32" s="61"/>
      <c r="U32" s="61"/>
      <c r="V32" s="61"/>
      <c r="W32" s="61"/>
    </row>
    <row r="33" spans="1:23" s="25" customFormat="1" ht="25.5">
      <c r="A33" s="73">
        <v>29</v>
      </c>
      <c r="B33" s="41" t="s">
        <v>453</v>
      </c>
      <c r="C33" s="41" t="s">
        <v>367</v>
      </c>
      <c r="D33" s="18" t="s">
        <v>454</v>
      </c>
      <c r="E33" s="69">
        <v>44942.722141203703</v>
      </c>
      <c r="F33" s="70" t="s">
        <v>435</v>
      </c>
      <c r="G33" s="18"/>
      <c r="H33" s="22"/>
      <c r="I33" s="22"/>
      <c r="J33" s="22" t="s">
        <v>425</v>
      </c>
      <c r="K33" s="23">
        <v>44943.379965277774</v>
      </c>
      <c r="L33" s="22" t="s">
        <v>20</v>
      </c>
      <c r="M33" s="22" t="s">
        <v>28</v>
      </c>
      <c r="N33" s="57"/>
      <c r="O33" s="57"/>
      <c r="P33" s="57"/>
      <c r="Q33" s="61"/>
      <c r="R33" s="61"/>
      <c r="S33" s="61"/>
      <c r="T33" s="61"/>
      <c r="U33" s="61"/>
      <c r="V33" s="61"/>
      <c r="W33" s="61"/>
    </row>
    <row r="34" spans="1:23" s="25" customFormat="1">
      <c r="A34" s="73">
        <v>30</v>
      </c>
      <c r="B34" s="28" t="s">
        <v>458</v>
      </c>
      <c r="C34" s="41" t="s">
        <v>369</v>
      </c>
      <c r="D34" s="29" t="s">
        <v>459</v>
      </c>
      <c r="E34" s="69">
        <v>44942.725011574075</v>
      </c>
      <c r="F34" s="70" t="s">
        <v>435</v>
      </c>
      <c r="G34" s="18"/>
      <c r="H34" s="22"/>
      <c r="I34" s="22"/>
      <c r="J34" s="22" t="s">
        <v>435</v>
      </c>
      <c r="K34" s="23">
        <v>44942.72519675926</v>
      </c>
      <c r="L34" s="22" t="s">
        <v>27</v>
      </c>
      <c r="M34" s="22" t="s">
        <v>28</v>
      </c>
      <c r="N34" s="57"/>
      <c r="O34" s="57"/>
      <c r="P34" s="57"/>
      <c r="Q34" s="61"/>
      <c r="R34" s="61"/>
      <c r="S34" s="61"/>
      <c r="T34" s="61"/>
      <c r="U34" s="61"/>
      <c r="V34" s="61"/>
      <c r="W34" s="61"/>
    </row>
    <row r="35" spans="1:23" s="25" customFormat="1">
      <c r="A35" s="73">
        <v>31</v>
      </c>
      <c r="B35" s="28" t="s">
        <v>460</v>
      </c>
      <c r="C35" s="41" t="s">
        <v>369</v>
      </c>
      <c r="D35" s="29" t="s">
        <v>459</v>
      </c>
      <c r="E35" s="69">
        <v>44942.725011574075</v>
      </c>
      <c r="F35" s="70" t="s">
        <v>435</v>
      </c>
      <c r="G35" s="18"/>
      <c r="H35" s="22"/>
      <c r="I35" s="22"/>
      <c r="J35" s="22" t="s">
        <v>435</v>
      </c>
      <c r="K35" s="23">
        <v>44942.72519675926</v>
      </c>
      <c r="L35" s="22" t="s">
        <v>27</v>
      </c>
      <c r="M35" s="22" t="s">
        <v>28</v>
      </c>
      <c r="N35" s="57"/>
      <c r="O35" s="57"/>
      <c r="P35" s="57"/>
      <c r="Q35" s="61"/>
      <c r="R35" s="61"/>
      <c r="S35" s="61"/>
      <c r="T35" s="61"/>
      <c r="U35" s="61"/>
      <c r="V35" s="61"/>
      <c r="W35" s="61"/>
    </row>
    <row r="36" spans="1:23" s="25" customFormat="1">
      <c r="A36" s="73">
        <v>32</v>
      </c>
      <c r="B36" s="28" t="s">
        <v>461</v>
      </c>
      <c r="C36" s="41" t="s">
        <v>369</v>
      </c>
      <c r="D36" s="29" t="s">
        <v>459</v>
      </c>
      <c r="E36" s="69">
        <v>44942.725011574075</v>
      </c>
      <c r="F36" s="70" t="s">
        <v>435</v>
      </c>
      <c r="G36" s="18"/>
      <c r="H36" s="22"/>
      <c r="I36" s="22"/>
      <c r="J36" s="22" t="s">
        <v>435</v>
      </c>
      <c r="K36" s="23">
        <v>44942.72519675926</v>
      </c>
      <c r="L36" s="22" t="s">
        <v>27</v>
      </c>
      <c r="M36" s="22" t="s">
        <v>28</v>
      </c>
      <c r="N36" s="57"/>
      <c r="O36" s="57"/>
      <c r="P36" s="57"/>
      <c r="Q36" s="61"/>
      <c r="R36" s="61"/>
      <c r="S36" s="61"/>
      <c r="T36" s="61"/>
      <c r="U36" s="61"/>
      <c r="V36" s="61"/>
      <c r="W36" s="61"/>
    </row>
    <row r="37" spans="1:23" s="25" customFormat="1">
      <c r="A37" s="73">
        <v>33</v>
      </c>
      <c r="B37" s="28" t="s">
        <v>462</v>
      </c>
      <c r="C37" s="41" t="s">
        <v>369</v>
      </c>
      <c r="D37" s="29" t="s">
        <v>459</v>
      </c>
      <c r="E37" s="69">
        <v>44942.725011574075</v>
      </c>
      <c r="F37" s="70" t="s">
        <v>435</v>
      </c>
      <c r="G37" s="18"/>
      <c r="H37" s="22"/>
      <c r="I37" s="22"/>
      <c r="J37" s="22" t="s">
        <v>435</v>
      </c>
      <c r="K37" s="23">
        <v>44942.72519675926</v>
      </c>
      <c r="L37" s="22" t="s">
        <v>27</v>
      </c>
      <c r="M37" s="22" t="s">
        <v>28</v>
      </c>
      <c r="N37" s="57"/>
      <c r="O37" s="57"/>
      <c r="P37" s="57"/>
      <c r="Q37" s="61"/>
      <c r="R37" s="61"/>
      <c r="S37" s="61"/>
      <c r="T37" s="61"/>
      <c r="U37" s="61"/>
      <c r="V37" s="61"/>
      <c r="W37" s="61"/>
    </row>
    <row r="38" spans="1:23" s="25" customFormat="1">
      <c r="A38" s="73">
        <v>34</v>
      </c>
      <c r="B38" s="28" t="s">
        <v>463</v>
      </c>
      <c r="C38" s="41" t="s">
        <v>369</v>
      </c>
      <c r="D38" s="29" t="s">
        <v>459</v>
      </c>
      <c r="E38" s="69">
        <v>44942.725011574075</v>
      </c>
      <c r="F38" s="70" t="s">
        <v>435</v>
      </c>
      <c r="G38" s="18"/>
      <c r="H38" s="22"/>
      <c r="I38" s="22"/>
      <c r="J38" s="22" t="s">
        <v>435</v>
      </c>
      <c r="K38" s="23">
        <v>44942.72519675926</v>
      </c>
      <c r="L38" s="22" t="s">
        <v>27</v>
      </c>
      <c r="M38" s="22" t="s">
        <v>28</v>
      </c>
      <c r="N38" s="57"/>
      <c r="O38" s="57"/>
      <c r="P38" s="57"/>
      <c r="Q38" s="61"/>
      <c r="R38" s="61"/>
      <c r="S38" s="61"/>
      <c r="T38" s="61"/>
      <c r="U38" s="61"/>
      <c r="V38" s="61"/>
      <c r="W38" s="61"/>
    </row>
    <row r="39" spans="1:23" s="25" customFormat="1" ht="25.5">
      <c r="A39" s="73">
        <v>35</v>
      </c>
      <c r="B39" s="28" t="s">
        <v>457</v>
      </c>
      <c r="C39" s="41" t="s">
        <v>369</v>
      </c>
      <c r="D39" s="18" t="s">
        <v>464</v>
      </c>
      <c r="E39" s="69">
        <v>44942.728344907409</v>
      </c>
      <c r="F39" s="70" t="s">
        <v>435</v>
      </c>
      <c r="G39" s="18"/>
      <c r="H39" s="22"/>
      <c r="I39" s="22"/>
      <c r="J39" s="22" t="s">
        <v>425</v>
      </c>
      <c r="K39" s="23">
        <v>44943.386643518519</v>
      </c>
      <c r="L39" s="22" t="s">
        <v>20</v>
      </c>
      <c r="M39" s="22" t="s">
        <v>28</v>
      </c>
      <c r="N39" s="57"/>
      <c r="O39" s="57"/>
      <c r="P39" s="57"/>
      <c r="Q39" s="61"/>
      <c r="R39" s="61"/>
      <c r="S39" s="61"/>
      <c r="T39" s="61"/>
      <c r="U39" s="61"/>
      <c r="V39" s="61"/>
      <c r="W39" s="61"/>
    </row>
    <row r="40" spans="1:23" s="25" customFormat="1" ht="25.5">
      <c r="A40" s="73">
        <v>36</v>
      </c>
      <c r="B40" s="28" t="s">
        <v>457</v>
      </c>
      <c r="C40" s="41" t="s">
        <v>369</v>
      </c>
      <c r="D40" s="18" t="s">
        <v>465</v>
      </c>
      <c r="E40" s="69">
        <v>44942.729756944442</v>
      </c>
      <c r="F40" s="70" t="s">
        <v>435</v>
      </c>
      <c r="G40" s="18"/>
      <c r="H40" s="22"/>
      <c r="I40" s="22"/>
      <c r="J40" s="80" t="s">
        <v>425</v>
      </c>
      <c r="K40" s="23">
        <v>44943.387048611112</v>
      </c>
      <c r="L40" s="22" t="s">
        <v>20</v>
      </c>
      <c r="M40" s="22" t="s">
        <v>28</v>
      </c>
      <c r="N40" s="57"/>
      <c r="O40" s="57"/>
      <c r="P40" s="57"/>
      <c r="Q40" s="61"/>
      <c r="R40" s="61"/>
      <c r="S40" s="61"/>
      <c r="T40" s="61"/>
      <c r="U40" s="61"/>
      <c r="V40" s="61"/>
      <c r="W40" s="61"/>
    </row>
    <row r="41" spans="1:23" s="25" customFormat="1" ht="25.5">
      <c r="A41" s="73">
        <v>37</v>
      </c>
      <c r="B41" s="28" t="s">
        <v>457</v>
      </c>
      <c r="C41" s="41" t="s">
        <v>369</v>
      </c>
      <c r="D41" s="18" t="s">
        <v>466</v>
      </c>
      <c r="E41" s="69">
        <v>44942.72997685185</v>
      </c>
      <c r="F41" s="70" t="s">
        <v>435</v>
      </c>
      <c r="G41" s="18"/>
      <c r="H41" s="22"/>
      <c r="I41" s="22"/>
      <c r="J41" s="22" t="s">
        <v>425</v>
      </c>
      <c r="K41" s="23">
        <v>44943.387291666666</v>
      </c>
      <c r="L41" s="22" t="s">
        <v>20</v>
      </c>
      <c r="M41" s="22" t="s">
        <v>28</v>
      </c>
      <c r="N41" s="57"/>
      <c r="O41" s="57"/>
      <c r="P41" s="57"/>
      <c r="Q41" s="61"/>
      <c r="R41" s="61"/>
      <c r="S41" s="61"/>
      <c r="T41" s="61"/>
      <c r="U41" s="61"/>
      <c r="V41" s="61"/>
      <c r="W41" s="61"/>
    </row>
    <row r="42" spans="1:23" s="25" customFormat="1" ht="38.25">
      <c r="A42" s="73">
        <v>38</v>
      </c>
      <c r="B42" s="28" t="s">
        <v>457</v>
      </c>
      <c r="C42" s="41" t="s">
        <v>369</v>
      </c>
      <c r="D42" s="18" t="s">
        <v>467</v>
      </c>
      <c r="E42" s="69">
        <v>44942.73159722222</v>
      </c>
      <c r="F42" s="70" t="s">
        <v>435</v>
      </c>
      <c r="G42" s="18"/>
      <c r="H42" s="22"/>
      <c r="I42" s="22"/>
      <c r="J42" s="22" t="s">
        <v>425</v>
      </c>
      <c r="K42" s="23">
        <v>44943.387986111113</v>
      </c>
      <c r="L42" s="22" t="s">
        <v>20</v>
      </c>
      <c r="M42" s="22" t="s">
        <v>28</v>
      </c>
      <c r="N42" s="57"/>
      <c r="O42" s="57"/>
      <c r="P42" s="57"/>
      <c r="Q42" s="61"/>
      <c r="R42" s="61"/>
      <c r="S42" s="61"/>
      <c r="T42" s="61"/>
      <c r="U42" s="61"/>
      <c r="V42" s="61"/>
      <c r="W42" s="61"/>
    </row>
    <row r="43" spans="1:23" s="25" customFormat="1">
      <c r="A43" s="73">
        <v>39</v>
      </c>
      <c r="B43" s="28" t="s">
        <v>471</v>
      </c>
      <c r="C43" s="41" t="s">
        <v>483</v>
      </c>
      <c r="D43" s="29" t="s">
        <v>470</v>
      </c>
      <c r="E43" s="69">
        <v>44943.365960648145</v>
      </c>
      <c r="F43" s="70" t="s">
        <v>435</v>
      </c>
      <c r="G43" s="18"/>
      <c r="H43" s="22"/>
      <c r="I43" s="22"/>
      <c r="J43" s="22" t="s">
        <v>435</v>
      </c>
      <c r="K43" s="23">
        <v>44943.366226851853</v>
      </c>
      <c r="L43" s="22" t="s">
        <v>27</v>
      </c>
      <c r="M43" s="22" t="s">
        <v>28</v>
      </c>
      <c r="N43" s="57"/>
      <c r="O43" s="57"/>
      <c r="P43" s="57"/>
      <c r="Q43" s="61"/>
      <c r="R43" s="61"/>
      <c r="S43" s="61"/>
      <c r="T43" s="61"/>
      <c r="U43" s="61"/>
      <c r="V43" s="61"/>
      <c r="W43" s="61"/>
    </row>
    <row r="44" spans="1:23" s="25" customFormat="1">
      <c r="A44" s="73">
        <v>40</v>
      </c>
      <c r="B44" s="28" t="s">
        <v>472</v>
      </c>
      <c r="C44" s="41" t="s">
        <v>483</v>
      </c>
      <c r="D44" s="29" t="s">
        <v>470</v>
      </c>
      <c r="E44" s="69">
        <v>44943.365960648145</v>
      </c>
      <c r="F44" s="70" t="s">
        <v>435</v>
      </c>
      <c r="G44" s="18"/>
      <c r="H44" s="22"/>
      <c r="I44" s="22"/>
      <c r="J44" s="22" t="s">
        <v>435</v>
      </c>
      <c r="K44" s="23">
        <v>44943.366226851853</v>
      </c>
      <c r="L44" s="22" t="s">
        <v>27</v>
      </c>
      <c r="M44" s="22" t="s">
        <v>28</v>
      </c>
      <c r="N44" s="57"/>
      <c r="O44" s="57"/>
      <c r="P44" s="57"/>
      <c r="Q44" s="61"/>
      <c r="R44" s="61"/>
      <c r="S44" s="61"/>
      <c r="T44" s="61"/>
      <c r="U44" s="61"/>
      <c r="V44" s="61"/>
      <c r="W44" s="61"/>
    </row>
    <row r="45" spans="1:23" s="25" customFormat="1">
      <c r="A45" s="73">
        <v>41</v>
      </c>
      <c r="B45" s="28" t="s">
        <v>473</v>
      </c>
      <c r="C45" s="41" t="s">
        <v>483</v>
      </c>
      <c r="D45" s="29" t="s">
        <v>470</v>
      </c>
      <c r="E45" s="69">
        <v>44943.365960648145</v>
      </c>
      <c r="F45" s="70" t="s">
        <v>435</v>
      </c>
      <c r="G45" s="18"/>
      <c r="H45" s="22"/>
      <c r="I45" s="22"/>
      <c r="J45" s="22" t="s">
        <v>435</v>
      </c>
      <c r="K45" s="23">
        <v>44943.366226851853</v>
      </c>
      <c r="L45" s="22" t="s">
        <v>27</v>
      </c>
      <c r="M45" s="22" t="s">
        <v>28</v>
      </c>
      <c r="N45" s="57"/>
      <c r="O45" s="57"/>
      <c r="P45" s="57"/>
      <c r="Q45" s="61"/>
      <c r="R45" s="61"/>
      <c r="S45" s="61"/>
      <c r="T45" s="61"/>
      <c r="U45" s="61"/>
      <c r="V45" s="61"/>
      <c r="W45" s="61"/>
    </row>
    <row r="46" spans="1:23" s="25" customFormat="1">
      <c r="A46" s="73">
        <v>42</v>
      </c>
      <c r="B46" s="28" t="s">
        <v>474</v>
      </c>
      <c r="C46" s="41" t="s">
        <v>483</v>
      </c>
      <c r="D46" s="29" t="s">
        <v>470</v>
      </c>
      <c r="E46" s="69">
        <v>44943.365960648145</v>
      </c>
      <c r="F46" s="70" t="s">
        <v>435</v>
      </c>
      <c r="G46" s="18"/>
      <c r="H46" s="22"/>
      <c r="I46" s="22"/>
      <c r="J46" s="22" t="s">
        <v>435</v>
      </c>
      <c r="K46" s="23">
        <v>44943.366226851853</v>
      </c>
      <c r="L46" s="22" t="s">
        <v>27</v>
      </c>
      <c r="M46" s="22" t="s">
        <v>28</v>
      </c>
      <c r="N46" s="57"/>
      <c r="O46" s="57"/>
      <c r="P46" s="57"/>
      <c r="Q46" s="61"/>
      <c r="R46" s="61"/>
      <c r="S46" s="61"/>
      <c r="T46" s="61"/>
      <c r="U46" s="61"/>
      <c r="V46" s="61"/>
      <c r="W46" s="61"/>
    </row>
    <row r="47" spans="1:23" s="25" customFormat="1">
      <c r="A47" s="73">
        <v>43</v>
      </c>
      <c r="B47" s="28" t="s">
        <v>476</v>
      </c>
      <c r="C47" s="41" t="s">
        <v>483</v>
      </c>
      <c r="D47" s="18" t="s">
        <v>378</v>
      </c>
      <c r="E47" s="69">
        <v>44943.371736111112</v>
      </c>
      <c r="F47" s="70" t="s">
        <v>435</v>
      </c>
      <c r="G47" s="18"/>
      <c r="H47" s="22"/>
      <c r="I47" s="22"/>
      <c r="J47" s="22" t="s">
        <v>435</v>
      </c>
      <c r="K47" s="23">
        <v>44943.371805555558</v>
      </c>
      <c r="L47" s="22" t="s">
        <v>27</v>
      </c>
      <c r="M47" s="22" t="s">
        <v>28</v>
      </c>
      <c r="N47" s="57"/>
      <c r="O47" s="57"/>
      <c r="P47" s="57"/>
      <c r="Q47" s="61"/>
      <c r="R47" s="61"/>
      <c r="S47" s="61"/>
      <c r="T47" s="61"/>
      <c r="U47" s="61"/>
      <c r="V47" s="61"/>
      <c r="W47" s="61"/>
    </row>
    <row r="48" spans="1:23" s="25" customFormat="1" ht="25.5">
      <c r="A48" s="73">
        <v>44</v>
      </c>
      <c r="B48" s="28">
        <v>1.4</v>
      </c>
      <c r="C48" s="41" t="s">
        <v>365</v>
      </c>
      <c r="D48" s="29" t="s">
        <v>378</v>
      </c>
      <c r="E48" s="69">
        <v>44943.405451388891</v>
      </c>
      <c r="F48" s="70" t="s">
        <v>478</v>
      </c>
      <c r="G48" s="18"/>
      <c r="H48" s="22"/>
      <c r="I48" s="22"/>
      <c r="J48" s="22" t="s">
        <v>478</v>
      </c>
      <c r="K48" s="23">
        <v>44943.405497685184</v>
      </c>
      <c r="L48" s="22" t="s">
        <v>27</v>
      </c>
      <c r="M48" s="22" t="s">
        <v>28</v>
      </c>
      <c r="N48" s="57"/>
      <c r="O48" s="57"/>
      <c r="P48" s="57"/>
      <c r="Q48" s="61"/>
      <c r="R48" s="61"/>
      <c r="S48" s="61"/>
      <c r="T48" s="61"/>
      <c r="U48" s="61"/>
      <c r="V48" s="61"/>
      <c r="W48" s="61"/>
    </row>
    <row r="49" spans="1:23" s="25" customFormat="1" ht="25.5">
      <c r="A49" s="73">
        <v>45</v>
      </c>
      <c r="B49" s="41" t="s">
        <v>482</v>
      </c>
      <c r="C49" s="41" t="s">
        <v>362</v>
      </c>
      <c r="D49" s="29" t="s">
        <v>378</v>
      </c>
      <c r="E49" s="69">
        <v>44943.407256944447</v>
      </c>
      <c r="F49" s="70" t="s">
        <v>478</v>
      </c>
      <c r="G49" s="18"/>
      <c r="H49" s="22"/>
      <c r="I49" s="22"/>
      <c r="J49" s="22" t="s">
        <v>478</v>
      </c>
      <c r="K49" s="23">
        <v>44943.40730324074</v>
      </c>
      <c r="L49" s="22" t="s">
        <v>27</v>
      </c>
      <c r="M49" s="22" t="s">
        <v>28</v>
      </c>
      <c r="N49" s="57"/>
      <c r="O49" s="57"/>
      <c r="P49" s="57"/>
      <c r="Q49" s="61"/>
      <c r="R49" s="61"/>
      <c r="S49" s="61"/>
      <c r="T49" s="61"/>
      <c r="U49" s="61"/>
      <c r="V49" s="61"/>
      <c r="W49" s="61"/>
    </row>
    <row r="50" spans="1:23" s="25" customFormat="1" ht="25.5">
      <c r="A50" s="73">
        <v>46</v>
      </c>
      <c r="B50" s="41" t="s">
        <v>486</v>
      </c>
      <c r="C50" s="41" t="s">
        <v>367</v>
      </c>
      <c r="D50" s="29" t="s">
        <v>378</v>
      </c>
      <c r="E50" s="69">
        <v>44943.40865740741</v>
      </c>
      <c r="F50" s="70" t="s">
        <v>478</v>
      </c>
      <c r="G50" s="18"/>
      <c r="H50" s="22"/>
      <c r="I50" s="22"/>
      <c r="J50" s="22" t="s">
        <v>478</v>
      </c>
      <c r="K50" s="23">
        <v>44943.408703703702</v>
      </c>
      <c r="L50" s="22" t="s">
        <v>27</v>
      </c>
      <c r="M50" s="22" t="s">
        <v>28</v>
      </c>
      <c r="N50" s="57"/>
      <c r="O50" s="57"/>
      <c r="P50" s="57"/>
      <c r="Q50" s="61"/>
      <c r="R50" s="61"/>
      <c r="S50" s="61"/>
      <c r="T50" s="61"/>
      <c r="U50" s="61"/>
      <c r="V50" s="61"/>
      <c r="W50" s="61"/>
    </row>
    <row r="51" spans="1:23" s="25" customFormat="1" ht="25.5">
      <c r="A51" s="73">
        <v>47</v>
      </c>
      <c r="B51" s="41" t="s">
        <v>489</v>
      </c>
      <c r="C51" s="41" t="s">
        <v>369</v>
      </c>
      <c r="D51" s="29" t="s">
        <v>378</v>
      </c>
      <c r="E51" s="69">
        <v>44943.410613425927</v>
      </c>
      <c r="F51" s="70" t="s">
        <v>478</v>
      </c>
      <c r="G51" s="18"/>
      <c r="H51" s="22"/>
      <c r="I51" s="22"/>
      <c r="J51" s="22" t="s">
        <v>478</v>
      </c>
      <c r="K51" s="23">
        <v>44943.41065972222</v>
      </c>
      <c r="L51" s="22" t="s">
        <v>27</v>
      </c>
      <c r="M51" s="22" t="s">
        <v>28</v>
      </c>
      <c r="N51" s="57"/>
      <c r="O51" s="57"/>
      <c r="P51" s="57"/>
      <c r="Q51" s="61"/>
      <c r="R51" s="61"/>
      <c r="S51" s="61"/>
      <c r="T51" s="61"/>
      <c r="U51" s="61"/>
      <c r="V51" s="61"/>
      <c r="W51" s="61"/>
    </row>
    <row r="52" spans="1:23" s="25" customFormat="1" ht="25.5">
      <c r="A52" s="73">
        <v>48</v>
      </c>
      <c r="B52" s="41" t="s">
        <v>492</v>
      </c>
      <c r="C52" s="41" t="s">
        <v>374</v>
      </c>
      <c r="D52" s="29" t="s">
        <v>378</v>
      </c>
      <c r="E52" s="69">
        <v>44943.412002314813</v>
      </c>
      <c r="F52" s="70" t="s">
        <v>478</v>
      </c>
      <c r="G52" s="18"/>
      <c r="H52" s="22"/>
      <c r="I52" s="22"/>
      <c r="J52" s="22" t="s">
        <v>478</v>
      </c>
      <c r="K52" s="23">
        <v>44943.412048611113</v>
      </c>
      <c r="L52" s="22" t="s">
        <v>27</v>
      </c>
      <c r="M52" s="22" t="s">
        <v>28</v>
      </c>
      <c r="N52" s="57"/>
      <c r="O52" s="57"/>
      <c r="P52" s="57"/>
      <c r="Q52" s="61"/>
      <c r="R52" s="61"/>
      <c r="S52" s="61"/>
      <c r="T52" s="61"/>
      <c r="U52" s="61"/>
      <c r="V52" s="61"/>
      <c r="W52" s="61"/>
    </row>
    <row r="53" spans="1:23" s="25" customFormat="1" ht="25.5">
      <c r="A53" s="73">
        <v>49</v>
      </c>
      <c r="B53" s="28">
        <v>1.5</v>
      </c>
      <c r="C53" s="41" t="s">
        <v>365</v>
      </c>
      <c r="D53" s="29" t="s">
        <v>378</v>
      </c>
      <c r="E53" s="69">
        <v>44974.586828703701</v>
      </c>
      <c r="F53" s="70" t="s">
        <v>478</v>
      </c>
      <c r="G53" s="18"/>
      <c r="H53" s="22"/>
      <c r="I53" s="22"/>
      <c r="J53" s="22" t="s">
        <v>478</v>
      </c>
      <c r="K53" s="23">
        <v>44974.586898148147</v>
      </c>
      <c r="L53" s="22" t="s">
        <v>27</v>
      </c>
      <c r="M53" s="22" t="s">
        <v>28</v>
      </c>
      <c r="N53" s="57"/>
      <c r="O53" s="57"/>
      <c r="P53" s="57"/>
      <c r="Q53" s="61"/>
      <c r="R53" s="61"/>
      <c r="S53" s="61"/>
      <c r="T53" s="61"/>
      <c r="U53" s="61"/>
      <c r="V53" s="61"/>
      <c r="W53" s="61"/>
    </row>
    <row r="54" spans="1:23" s="25" customFormat="1" ht="25.5">
      <c r="A54" s="73">
        <v>50</v>
      </c>
      <c r="B54" s="41" t="s">
        <v>495</v>
      </c>
      <c r="C54" s="41" t="s">
        <v>362</v>
      </c>
      <c r="D54" s="29" t="s">
        <v>496</v>
      </c>
      <c r="E54" s="69">
        <v>44974.588136574072</v>
      </c>
      <c r="F54" s="70" t="s">
        <v>478</v>
      </c>
      <c r="G54" s="18"/>
      <c r="H54" s="22"/>
      <c r="I54" s="22"/>
      <c r="J54" s="22" t="s">
        <v>478</v>
      </c>
      <c r="K54" s="23">
        <v>44974.588182870371</v>
      </c>
      <c r="L54" s="22" t="s">
        <v>27</v>
      </c>
      <c r="M54" s="22" t="s">
        <v>28</v>
      </c>
      <c r="N54" s="57"/>
      <c r="O54" s="57"/>
      <c r="P54" s="57"/>
      <c r="Q54" s="61"/>
      <c r="R54" s="61"/>
      <c r="S54" s="61"/>
      <c r="T54" s="61"/>
      <c r="U54" s="61"/>
      <c r="V54" s="61"/>
      <c r="W54" s="61"/>
    </row>
    <row r="55" spans="1:23" s="25" customFormat="1" ht="25.5">
      <c r="A55" s="73">
        <v>51</v>
      </c>
      <c r="B55" s="28" t="s">
        <v>498</v>
      </c>
      <c r="C55" s="28" t="s">
        <v>369</v>
      </c>
      <c r="D55" s="18" t="s">
        <v>497</v>
      </c>
      <c r="E55" s="69">
        <v>44974.59134259259</v>
      </c>
      <c r="F55" s="70" t="s">
        <v>478</v>
      </c>
      <c r="G55" s="18"/>
      <c r="H55" s="22"/>
      <c r="I55" s="22"/>
      <c r="J55" s="22" t="s">
        <v>478</v>
      </c>
      <c r="K55" s="23">
        <v>44974.591817129629</v>
      </c>
      <c r="L55" s="22" t="s">
        <v>27</v>
      </c>
      <c r="M55" s="22" t="s">
        <v>28</v>
      </c>
      <c r="N55" s="57"/>
      <c r="O55" s="57"/>
      <c r="P55" s="57"/>
      <c r="Q55" s="61"/>
      <c r="R55" s="61"/>
      <c r="S55" s="61"/>
      <c r="T55" s="61"/>
      <c r="U55" s="61"/>
      <c r="V55" s="61"/>
      <c r="W55" s="61"/>
    </row>
    <row r="56" spans="1:23" s="25" customFormat="1">
      <c r="A56" s="73">
        <v>52</v>
      </c>
      <c r="B56" s="28">
        <v>1.1000000000000001</v>
      </c>
      <c r="C56" t="s">
        <v>506</v>
      </c>
      <c r="D56" s="29" t="s">
        <v>378</v>
      </c>
      <c r="E56" s="69">
        <v>44979.616956018515</v>
      </c>
      <c r="F56" s="70" t="s">
        <v>359</v>
      </c>
      <c r="G56" s="18"/>
      <c r="H56" s="22"/>
      <c r="I56" s="22"/>
      <c r="J56" s="80" t="s">
        <v>549</v>
      </c>
      <c r="K56" s="23">
        <v>44979.617025462961</v>
      </c>
      <c r="L56" s="22" t="s">
        <v>27</v>
      </c>
      <c r="M56" s="22" t="s">
        <v>28</v>
      </c>
      <c r="N56" s="57"/>
      <c r="O56" s="57"/>
      <c r="P56" s="57"/>
      <c r="Q56" s="61"/>
      <c r="R56" s="61"/>
      <c r="S56" s="61"/>
      <c r="T56" s="61"/>
      <c r="U56" s="61"/>
      <c r="V56" s="61"/>
      <c r="W56" s="61"/>
    </row>
    <row r="57" spans="1:23" s="25" customFormat="1">
      <c r="A57" s="73">
        <v>53</v>
      </c>
      <c r="B57" s="28">
        <v>1.1000000000000001</v>
      </c>
      <c r="C57" s="227" t="s">
        <v>507</v>
      </c>
      <c r="D57" s="29" t="s">
        <v>378</v>
      </c>
      <c r="E57" s="69">
        <v>44979.618495370371</v>
      </c>
      <c r="F57" s="70" t="s">
        <v>359</v>
      </c>
      <c r="G57" s="18"/>
      <c r="H57" s="22"/>
      <c r="I57" s="22"/>
      <c r="J57" s="80" t="s">
        <v>549</v>
      </c>
      <c r="K57" s="23">
        <v>44979.622650462959</v>
      </c>
      <c r="L57" s="22" t="s">
        <v>27</v>
      </c>
      <c r="M57" s="22" t="s">
        <v>28</v>
      </c>
      <c r="N57" s="57"/>
      <c r="O57" s="57"/>
      <c r="P57" s="57"/>
      <c r="Q57" s="61"/>
      <c r="R57" s="61"/>
      <c r="S57" s="61"/>
      <c r="T57" s="61"/>
      <c r="U57" s="61"/>
      <c r="V57" s="61"/>
      <c r="W57" s="61"/>
    </row>
    <row r="58" spans="1:23" s="25" customFormat="1">
      <c r="A58" s="73">
        <v>54</v>
      </c>
      <c r="B58" s="28">
        <v>1.1000000000000001</v>
      </c>
      <c r="C58" s="227" t="s">
        <v>508</v>
      </c>
      <c r="D58" s="29" t="s">
        <v>378</v>
      </c>
      <c r="E58" s="69">
        <v>44979.621631944443</v>
      </c>
      <c r="F58" s="70" t="s">
        <v>359</v>
      </c>
      <c r="G58" s="18"/>
      <c r="H58" s="22"/>
      <c r="I58" s="22"/>
      <c r="J58" s="80" t="s">
        <v>549</v>
      </c>
      <c r="K58" s="23">
        <v>44979.622696759259</v>
      </c>
      <c r="L58" s="22" t="s">
        <v>27</v>
      </c>
      <c r="M58" s="22" t="s">
        <v>28</v>
      </c>
      <c r="N58" s="57"/>
      <c r="O58" s="57"/>
      <c r="P58" s="57"/>
      <c r="Q58" s="61"/>
      <c r="R58" s="61"/>
      <c r="S58" s="61"/>
      <c r="T58" s="61"/>
      <c r="U58" s="61"/>
      <c r="V58" s="61"/>
      <c r="W58" s="61"/>
    </row>
    <row r="59" spans="1:23" s="25" customFormat="1">
      <c r="A59" s="73">
        <v>55</v>
      </c>
      <c r="B59" s="28">
        <v>1.1000000000000001</v>
      </c>
      <c r="C59" s="227" t="s">
        <v>509</v>
      </c>
      <c r="D59" s="29" t="s">
        <v>548</v>
      </c>
      <c r="E59" s="69">
        <v>44979.621689814812</v>
      </c>
      <c r="F59" s="70" t="s">
        <v>359</v>
      </c>
      <c r="G59" s="18"/>
      <c r="H59" s="22">
        <v>1049710</v>
      </c>
      <c r="I59" s="22"/>
      <c r="J59" s="80" t="s">
        <v>549</v>
      </c>
      <c r="K59" s="23">
        <v>45005</v>
      </c>
      <c r="L59" s="22" t="s">
        <v>21</v>
      </c>
      <c r="M59" s="22" t="s">
        <v>28</v>
      </c>
      <c r="N59" s="57"/>
      <c r="O59" s="57"/>
      <c r="P59" s="57"/>
      <c r="Q59" s="61"/>
      <c r="R59" s="61"/>
      <c r="S59" s="61"/>
      <c r="T59" s="61"/>
      <c r="U59" s="61"/>
      <c r="V59" s="61"/>
      <c r="W59" s="61"/>
    </row>
    <row r="60" spans="1:23" s="25" customFormat="1">
      <c r="A60" s="73">
        <v>56</v>
      </c>
      <c r="B60" s="28">
        <v>1.1000000000000001</v>
      </c>
      <c r="C60" s="227" t="s">
        <v>510</v>
      </c>
      <c r="D60" s="29" t="s">
        <v>548</v>
      </c>
      <c r="E60" s="69">
        <v>44979.622349537036</v>
      </c>
      <c r="F60" s="70" t="s">
        <v>359</v>
      </c>
      <c r="G60" s="18"/>
      <c r="H60" s="22">
        <v>1049710</v>
      </c>
      <c r="I60" s="22"/>
      <c r="J60" s="80" t="s">
        <v>549</v>
      </c>
      <c r="K60" s="23">
        <v>45005</v>
      </c>
      <c r="L60" s="22" t="s">
        <v>21</v>
      </c>
      <c r="M60" s="22" t="s">
        <v>28</v>
      </c>
      <c r="N60" s="57"/>
      <c r="O60" s="57"/>
      <c r="P60" s="57"/>
      <c r="Q60" s="61"/>
      <c r="R60" s="61"/>
      <c r="S60" s="61"/>
      <c r="T60" s="61"/>
      <c r="U60" s="61"/>
      <c r="V60" s="61"/>
      <c r="W60" s="61"/>
    </row>
    <row r="61" spans="1:23" s="25" customFormat="1">
      <c r="A61" s="73">
        <v>57</v>
      </c>
      <c r="B61" s="28">
        <v>1.1000000000000001</v>
      </c>
      <c r="C61" s="227" t="s">
        <v>511</v>
      </c>
      <c r="D61" s="29" t="s">
        <v>548</v>
      </c>
      <c r="E61" s="69">
        <v>44979.622361111113</v>
      </c>
      <c r="F61" s="70" t="s">
        <v>359</v>
      </c>
      <c r="G61" s="18"/>
      <c r="H61" s="22">
        <v>1049710</v>
      </c>
      <c r="I61" s="22"/>
      <c r="J61" s="80" t="s">
        <v>549</v>
      </c>
      <c r="K61" s="23">
        <v>45005</v>
      </c>
      <c r="L61" s="22" t="s">
        <v>21</v>
      </c>
      <c r="M61" s="22" t="s">
        <v>28</v>
      </c>
      <c r="N61" s="57"/>
      <c r="O61" s="57"/>
      <c r="P61" s="57"/>
      <c r="Q61" s="61"/>
      <c r="R61" s="61"/>
      <c r="S61" s="61"/>
      <c r="T61" s="61"/>
      <c r="U61" s="61"/>
      <c r="V61" s="61"/>
      <c r="W61" s="61"/>
    </row>
    <row r="62" spans="1:23" s="25" customFormat="1">
      <c r="A62" s="73">
        <v>58</v>
      </c>
      <c r="B62" s="28">
        <v>1.1000000000000001</v>
      </c>
      <c r="C62" s="227" t="s">
        <v>512</v>
      </c>
      <c r="D62" s="29" t="s">
        <v>548</v>
      </c>
      <c r="E62" s="69">
        <v>44979.622372685182</v>
      </c>
      <c r="F62" s="70" t="s">
        <v>359</v>
      </c>
      <c r="G62" s="18"/>
      <c r="H62" s="22">
        <v>1049710</v>
      </c>
      <c r="I62" s="22"/>
      <c r="J62" s="80" t="s">
        <v>549</v>
      </c>
      <c r="K62" s="23">
        <v>45005</v>
      </c>
      <c r="L62" s="22" t="s">
        <v>21</v>
      </c>
      <c r="M62" s="22" t="s">
        <v>28</v>
      </c>
      <c r="N62" s="57"/>
      <c r="O62" s="57"/>
      <c r="P62" s="57"/>
      <c r="Q62" s="61"/>
      <c r="R62" s="61"/>
      <c r="S62" s="61"/>
      <c r="T62" s="61"/>
      <c r="U62" s="61"/>
      <c r="V62" s="61"/>
      <c r="W62" s="61"/>
    </row>
    <row r="63" spans="1:23" s="25" customFormat="1">
      <c r="A63" s="73">
        <v>59</v>
      </c>
      <c r="B63" s="28">
        <v>1.1000000000000001</v>
      </c>
      <c r="C63" s="227" t="s">
        <v>513</v>
      </c>
      <c r="D63" s="29" t="s">
        <v>378</v>
      </c>
      <c r="E63" s="69">
        <v>44979.627916666665</v>
      </c>
      <c r="F63" s="70" t="s">
        <v>359</v>
      </c>
      <c r="G63" s="18"/>
      <c r="H63" s="22"/>
      <c r="I63" s="22"/>
      <c r="J63" s="80" t="s">
        <v>549</v>
      </c>
      <c r="K63" s="23">
        <v>44979.635300925926</v>
      </c>
      <c r="L63" s="22" t="s">
        <v>27</v>
      </c>
      <c r="M63" s="22" t="s">
        <v>28</v>
      </c>
      <c r="N63" s="57"/>
      <c r="O63" s="57"/>
      <c r="P63" s="57"/>
      <c r="Q63" s="61"/>
      <c r="R63" s="61"/>
      <c r="S63" s="61"/>
      <c r="T63" s="61"/>
      <c r="U63" s="61"/>
      <c r="V63" s="61"/>
      <c r="W63" s="61"/>
    </row>
    <row r="64" spans="1:23" s="25" customFormat="1">
      <c r="A64" s="73">
        <v>60</v>
      </c>
      <c r="B64" s="28">
        <v>1.1000000000000001</v>
      </c>
      <c r="C64" s="227" t="s">
        <v>514</v>
      </c>
      <c r="D64" s="29" t="s">
        <v>550</v>
      </c>
      <c r="E64" s="69">
        <v>44979.627916666665</v>
      </c>
      <c r="F64" s="70" t="s">
        <v>359</v>
      </c>
      <c r="G64" s="18"/>
      <c r="H64" s="22">
        <v>1049710</v>
      </c>
      <c r="I64" s="22"/>
      <c r="J64" s="80" t="s">
        <v>549</v>
      </c>
      <c r="K64" s="23">
        <v>45005</v>
      </c>
      <c r="L64" s="22" t="s">
        <v>21</v>
      </c>
      <c r="M64" s="22" t="s">
        <v>28</v>
      </c>
      <c r="N64" s="57"/>
      <c r="O64" s="57"/>
      <c r="P64" s="57"/>
      <c r="Q64" s="61"/>
      <c r="R64" s="61"/>
      <c r="S64" s="61"/>
      <c r="T64" s="61"/>
      <c r="U64" s="61"/>
      <c r="V64" s="61"/>
      <c r="W64" s="61"/>
    </row>
    <row r="65" spans="1:23" s="25" customFormat="1">
      <c r="A65" s="73">
        <v>61</v>
      </c>
      <c r="B65" s="28">
        <v>1.1000000000000001</v>
      </c>
      <c r="C65" s="227" t="s">
        <v>515</v>
      </c>
      <c r="D65" s="29" t="s">
        <v>550</v>
      </c>
      <c r="E65" s="69">
        <v>44979.627951388888</v>
      </c>
      <c r="F65" s="70" t="s">
        <v>359</v>
      </c>
      <c r="G65" s="18"/>
      <c r="H65" s="22">
        <v>1049710</v>
      </c>
      <c r="I65" s="22"/>
      <c r="J65" s="80" t="s">
        <v>549</v>
      </c>
      <c r="K65" s="23">
        <v>45005</v>
      </c>
      <c r="L65" s="22" t="s">
        <v>21</v>
      </c>
      <c r="M65" s="22" t="s">
        <v>28</v>
      </c>
      <c r="N65" s="57"/>
      <c r="O65" s="57"/>
      <c r="P65" s="57"/>
      <c r="Q65" s="61"/>
      <c r="R65" s="61"/>
      <c r="S65" s="61"/>
      <c r="T65" s="61"/>
      <c r="U65" s="61"/>
      <c r="V65" s="61"/>
      <c r="W65" s="61"/>
    </row>
    <row r="66" spans="1:23" s="25" customFormat="1">
      <c r="A66" s="73">
        <v>62</v>
      </c>
      <c r="B66" s="28">
        <v>1.1000000000000001</v>
      </c>
      <c r="C66" s="227" t="s">
        <v>516</v>
      </c>
      <c r="D66" s="29" t="s">
        <v>378</v>
      </c>
      <c r="E66" s="69">
        <v>44979.627951388888</v>
      </c>
      <c r="F66" s="70" t="s">
        <v>359</v>
      </c>
      <c r="G66" s="18"/>
      <c r="H66" s="22"/>
      <c r="I66" s="22"/>
      <c r="J66" s="80" t="s">
        <v>549</v>
      </c>
      <c r="K66" s="23">
        <v>44979.635324074072</v>
      </c>
      <c r="L66" s="22" t="s">
        <v>27</v>
      </c>
      <c r="M66" s="22" t="s">
        <v>28</v>
      </c>
      <c r="N66" s="57"/>
      <c r="O66" s="57"/>
      <c r="P66" s="57"/>
      <c r="Q66" s="61"/>
      <c r="R66" s="61"/>
      <c r="S66" s="61"/>
      <c r="T66" s="61"/>
      <c r="U66" s="61"/>
      <c r="V66" s="61"/>
      <c r="W66" s="61"/>
    </row>
    <row r="67" spans="1:23" s="25" customFormat="1">
      <c r="A67" s="73">
        <v>63</v>
      </c>
      <c r="B67" s="28">
        <v>1.1000000000000001</v>
      </c>
      <c r="C67" s="227" t="s">
        <v>517</v>
      </c>
      <c r="D67" s="29" t="s">
        <v>378</v>
      </c>
      <c r="E67" s="69">
        <v>44979.627951388888</v>
      </c>
      <c r="F67" s="70" t="s">
        <v>359</v>
      </c>
      <c r="G67" s="18"/>
      <c r="H67" s="22"/>
      <c r="I67" s="22"/>
      <c r="J67" s="80" t="s">
        <v>549</v>
      </c>
      <c r="K67" s="23">
        <v>44979.635347222225</v>
      </c>
      <c r="L67" s="22" t="s">
        <v>27</v>
      </c>
      <c r="M67" s="22" t="s">
        <v>28</v>
      </c>
      <c r="N67" s="57"/>
      <c r="O67" s="57"/>
      <c r="P67" s="57"/>
      <c r="Q67" s="61"/>
      <c r="R67" s="61"/>
      <c r="S67" s="61"/>
      <c r="T67" s="61"/>
      <c r="U67" s="61"/>
      <c r="V67" s="61"/>
      <c r="W67" s="61"/>
    </row>
    <row r="68" spans="1:23" s="25" customFormat="1">
      <c r="A68" s="73">
        <v>64</v>
      </c>
      <c r="B68" s="28">
        <v>1.1000000000000001</v>
      </c>
      <c r="C68" s="227" t="s">
        <v>518</v>
      </c>
      <c r="D68" s="29" t="s">
        <v>378</v>
      </c>
      <c r="E68" s="69">
        <v>44979.627951388888</v>
      </c>
      <c r="F68" s="70" t="s">
        <v>359</v>
      </c>
      <c r="G68" s="18"/>
      <c r="H68" s="22"/>
      <c r="I68" s="22"/>
      <c r="J68" s="80" t="s">
        <v>549</v>
      </c>
      <c r="K68" s="23">
        <v>44979.635370370372</v>
      </c>
      <c r="L68" s="22" t="s">
        <v>27</v>
      </c>
      <c r="M68" s="22" t="s">
        <v>28</v>
      </c>
      <c r="N68" s="57"/>
      <c r="O68" s="57"/>
      <c r="P68" s="57"/>
      <c r="Q68" s="61"/>
      <c r="R68" s="61"/>
      <c r="S68" s="61"/>
      <c r="T68" s="61"/>
      <c r="U68" s="61"/>
      <c r="V68" s="61"/>
      <c r="W68" s="61"/>
    </row>
    <row r="69" spans="1:23" s="25" customFormat="1">
      <c r="A69" s="73">
        <v>65</v>
      </c>
      <c r="B69" s="28">
        <v>1.1000000000000001</v>
      </c>
      <c r="C69" s="227" t="s">
        <v>519</v>
      </c>
      <c r="D69" s="29" t="s">
        <v>378</v>
      </c>
      <c r="E69" s="69">
        <v>44979.627951388888</v>
      </c>
      <c r="F69" s="70" t="s">
        <v>359</v>
      </c>
      <c r="G69" s="18"/>
      <c r="H69" s="22"/>
      <c r="I69" s="22"/>
      <c r="J69" s="80" t="s">
        <v>549</v>
      </c>
      <c r="K69" s="23">
        <v>44979.635393518518</v>
      </c>
      <c r="L69" s="22" t="s">
        <v>27</v>
      </c>
      <c r="M69" s="22" t="s">
        <v>28</v>
      </c>
      <c r="N69" s="57"/>
      <c r="O69" s="57"/>
      <c r="P69" s="57"/>
      <c r="Q69" s="61"/>
      <c r="R69" s="61"/>
      <c r="S69" s="61"/>
      <c r="T69" s="61"/>
      <c r="U69" s="61"/>
      <c r="V69" s="61"/>
      <c r="W69" s="61"/>
    </row>
    <row r="70" spans="1:23" s="25" customFormat="1">
      <c r="A70" s="73">
        <v>66</v>
      </c>
      <c r="B70" s="28">
        <v>1.1000000000000001</v>
      </c>
      <c r="C70" s="227" t="s">
        <v>520</v>
      </c>
      <c r="D70" s="29" t="s">
        <v>378</v>
      </c>
      <c r="E70" s="69">
        <v>44979.627951388888</v>
      </c>
      <c r="F70" s="70" t="s">
        <v>359</v>
      </c>
      <c r="G70" s="18"/>
      <c r="H70" s="22"/>
      <c r="I70" s="22"/>
      <c r="J70" s="80" t="s">
        <v>549</v>
      </c>
      <c r="K70" s="23">
        <v>44979.635428240741</v>
      </c>
      <c r="L70" s="22" t="s">
        <v>27</v>
      </c>
      <c r="M70" s="22" t="s">
        <v>28</v>
      </c>
      <c r="N70" s="57"/>
      <c r="O70" s="57"/>
      <c r="P70" s="57"/>
      <c r="Q70" s="61"/>
      <c r="R70" s="61"/>
      <c r="S70" s="61"/>
      <c r="T70" s="61"/>
      <c r="U70" s="61"/>
      <c r="V70" s="61"/>
      <c r="W70" s="61"/>
    </row>
    <row r="71" spans="1:23" s="25" customFormat="1">
      <c r="A71" s="73">
        <v>67</v>
      </c>
      <c r="B71" s="28">
        <v>1.1000000000000001</v>
      </c>
      <c r="C71" s="227" t="s">
        <v>521</v>
      </c>
      <c r="D71" s="29" t="s">
        <v>378</v>
      </c>
      <c r="E71" s="69">
        <v>44979.627951388888</v>
      </c>
      <c r="F71" s="70" t="s">
        <v>359</v>
      </c>
      <c r="G71" s="18"/>
      <c r="H71" s="22"/>
      <c r="I71" s="22"/>
      <c r="J71" s="80" t="s">
        <v>549</v>
      </c>
      <c r="K71" s="23">
        <v>44979.635451388887</v>
      </c>
      <c r="L71" s="22" t="s">
        <v>27</v>
      </c>
      <c r="M71" s="22" t="s">
        <v>28</v>
      </c>
      <c r="N71" s="57"/>
      <c r="O71" s="57"/>
      <c r="P71" s="57"/>
      <c r="Q71" s="61"/>
      <c r="R71" s="61"/>
      <c r="S71" s="61"/>
      <c r="T71" s="61"/>
      <c r="U71" s="61"/>
      <c r="V71" s="61"/>
      <c r="W71" s="61"/>
    </row>
    <row r="72" spans="1:23" s="25" customFormat="1">
      <c r="A72" s="73">
        <v>68</v>
      </c>
      <c r="B72" s="28">
        <v>1.1000000000000001</v>
      </c>
      <c r="C72" s="227" t="s">
        <v>522</v>
      </c>
      <c r="D72" s="29" t="s">
        <v>378</v>
      </c>
      <c r="E72" s="69">
        <v>44979.627951388888</v>
      </c>
      <c r="F72" s="70" t="s">
        <v>359</v>
      </c>
      <c r="G72" s="18"/>
      <c r="H72" s="22"/>
      <c r="I72" s="22"/>
      <c r="J72" s="80" t="s">
        <v>549</v>
      </c>
      <c r="K72" s="23">
        <v>44979.635462962964</v>
      </c>
      <c r="L72" s="22" t="s">
        <v>27</v>
      </c>
      <c r="M72" s="22" t="s">
        <v>28</v>
      </c>
      <c r="N72" s="57"/>
      <c r="O72" s="57"/>
      <c r="P72" s="57"/>
      <c r="Q72" s="61"/>
      <c r="R72" s="61"/>
      <c r="S72" s="61"/>
      <c r="T72" s="61"/>
      <c r="U72" s="61"/>
      <c r="V72" s="61"/>
      <c r="W72" s="61"/>
    </row>
    <row r="73" spans="1:23" s="25" customFormat="1">
      <c r="A73" s="73">
        <v>69</v>
      </c>
      <c r="B73" s="28">
        <v>1.1000000000000001</v>
      </c>
      <c r="C73" s="227" t="s">
        <v>523</v>
      </c>
      <c r="D73" s="29" t="s">
        <v>378</v>
      </c>
      <c r="E73" s="69">
        <v>44979.627951388888</v>
      </c>
      <c r="F73" s="70" t="s">
        <v>359</v>
      </c>
      <c r="G73" s="18"/>
      <c r="H73" s="22"/>
      <c r="I73" s="22"/>
      <c r="J73" s="80" t="s">
        <v>549</v>
      </c>
      <c r="K73" s="23">
        <v>44979.63548611111</v>
      </c>
      <c r="L73" s="22" t="s">
        <v>27</v>
      </c>
      <c r="M73" s="22" t="s">
        <v>28</v>
      </c>
      <c r="N73" s="57"/>
      <c r="O73" s="57"/>
      <c r="P73" s="57"/>
      <c r="Q73" s="61"/>
      <c r="R73" s="61"/>
      <c r="S73" s="61"/>
      <c r="T73" s="61"/>
      <c r="U73" s="61"/>
      <c r="V73" s="61"/>
      <c r="W73" s="61"/>
    </row>
    <row r="74" spans="1:23" s="25" customFormat="1">
      <c r="A74" s="73">
        <v>70</v>
      </c>
      <c r="B74" s="28">
        <v>1.1000000000000001</v>
      </c>
      <c r="C74" s="227" t="s">
        <v>524</v>
      </c>
      <c r="D74" s="29" t="s">
        <v>378</v>
      </c>
      <c r="E74" s="69">
        <v>44979.627951388888</v>
      </c>
      <c r="F74" s="70" t="s">
        <v>359</v>
      </c>
      <c r="G74" s="18"/>
      <c r="H74" s="22"/>
      <c r="I74" s="22"/>
      <c r="J74" s="80" t="s">
        <v>549</v>
      </c>
      <c r="K74" s="23">
        <v>44979.635509259257</v>
      </c>
      <c r="L74" s="22" t="s">
        <v>27</v>
      </c>
      <c r="M74" s="22" t="s">
        <v>28</v>
      </c>
      <c r="N74" s="57"/>
      <c r="O74" s="57"/>
      <c r="P74" s="57"/>
      <c r="Q74" s="61"/>
      <c r="R74" s="61"/>
      <c r="S74" s="61"/>
      <c r="T74" s="61"/>
      <c r="U74" s="61"/>
      <c r="V74" s="61"/>
      <c r="W74" s="61"/>
    </row>
    <row r="75" spans="1:23" s="25" customFormat="1">
      <c r="A75" s="73">
        <v>71</v>
      </c>
      <c r="B75" s="28">
        <v>1.1000000000000001</v>
      </c>
      <c r="C75" s="227" t="s">
        <v>525</v>
      </c>
      <c r="D75" s="29" t="s">
        <v>551</v>
      </c>
      <c r="E75" s="69">
        <v>44979.634953703702</v>
      </c>
      <c r="F75" s="70" t="s">
        <v>359</v>
      </c>
      <c r="G75" s="18"/>
      <c r="H75" s="22">
        <v>1049710</v>
      </c>
      <c r="I75" s="22"/>
      <c r="J75" s="80" t="s">
        <v>549</v>
      </c>
      <c r="K75" s="23">
        <v>45005</v>
      </c>
      <c r="L75" s="22" t="s">
        <v>21</v>
      </c>
      <c r="M75" s="22" t="s">
        <v>28</v>
      </c>
      <c r="N75" s="57"/>
      <c r="O75" s="57"/>
      <c r="P75" s="57"/>
      <c r="Q75" s="61"/>
      <c r="R75" s="61"/>
      <c r="S75" s="61"/>
      <c r="T75" s="61"/>
      <c r="U75" s="61"/>
      <c r="V75" s="61"/>
      <c r="W75" s="61"/>
    </row>
    <row r="76" spans="1:23" s="25" customFormat="1">
      <c r="A76" s="73">
        <v>72</v>
      </c>
      <c r="B76" s="28">
        <v>1.1000000000000001</v>
      </c>
      <c r="C76" s="227" t="s">
        <v>526</v>
      </c>
      <c r="D76" s="29" t="s">
        <v>551</v>
      </c>
      <c r="E76" s="69">
        <v>44979.635034722225</v>
      </c>
      <c r="F76" s="70" t="s">
        <v>359</v>
      </c>
      <c r="G76" s="18"/>
      <c r="H76" s="22">
        <v>1049710</v>
      </c>
      <c r="I76" s="22"/>
      <c r="J76" s="80" t="s">
        <v>549</v>
      </c>
      <c r="K76" s="23">
        <v>45005</v>
      </c>
      <c r="L76" s="22" t="s">
        <v>21</v>
      </c>
      <c r="M76" s="22" t="s">
        <v>28</v>
      </c>
      <c r="N76" s="57"/>
      <c r="O76" s="57"/>
      <c r="P76" s="57"/>
      <c r="Q76" s="61"/>
      <c r="R76" s="61"/>
      <c r="S76" s="61"/>
      <c r="T76" s="61"/>
      <c r="U76" s="61"/>
      <c r="V76" s="61"/>
      <c r="W76" s="61"/>
    </row>
    <row r="77" spans="1:23" s="25" customFormat="1">
      <c r="A77" s="73">
        <v>73</v>
      </c>
      <c r="B77" s="28">
        <v>1.1000000000000001</v>
      </c>
      <c r="C77" s="227" t="s">
        <v>527</v>
      </c>
      <c r="D77" s="29" t="s">
        <v>551</v>
      </c>
      <c r="E77" s="69">
        <v>44979.636203703703</v>
      </c>
      <c r="F77" s="70" t="s">
        <v>359</v>
      </c>
      <c r="G77" s="18"/>
      <c r="H77" s="22">
        <v>1049710</v>
      </c>
      <c r="I77" s="22"/>
      <c r="J77" s="80" t="s">
        <v>549</v>
      </c>
      <c r="K77" s="23">
        <v>45005</v>
      </c>
      <c r="L77" s="22" t="s">
        <v>21</v>
      </c>
      <c r="M77" s="22" t="s">
        <v>28</v>
      </c>
      <c r="N77" s="57"/>
      <c r="O77" s="57"/>
      <c r="P77" s="57"/>
      <c r="Q77" s="61"/>
      <c r="R77" s="61"/>
      <c r="S77" s="61"/>
      <c r="T77" s="61"/>
      <c r="U77" s="61"/>
      <c r="V77" s="61"/>
      <c r="W77" s="61"/>
    </row>
    <row r="78" spans="1:23" s="25" customFormat="1">
      <c r="A78" s="73">
        <v>74</v>
      </c>
      <c r="B78" s="28">
        <v>1.1000000000000001</v>
      </c>
      <c r="C78" s="227" t="s">
        <v>528</v>
      </c>
      <c r="D78" s="29" t="s">
        <v>551</v>
      </c>
      <c r="E78" s="69">
        <v>44979.638437499998</v>
      </c>
      <c r="F78" s="70" t="s">
        <v>359</v>
      </c>
      <c r="G78" s="18"/>
      <c r="H78" s="22">
        <v>1049710</v>
      </c>
      <c r="I78" s="22"/>
      <c r="J78" s="80" t="s">
        <v>549</v>
      </c>
      <c r="K78" s="23">
        <v>45005</v>
      </c>
      <c r="L78" s="22" t="s">
        <v>21</v>
      </c>
      <c r="M78" s="22" t="s">
        <v>28</v>
      </c>
      <c r="N78" s="57"/>
      <c r="O78" s="57"/>
      <c r="P78" s="57"/>
      <c r="Q78" s="61"/>
      <c r="R78" s="61"/>
      <c r="S78" s="61"/>
      <c r="T78" s="61"/>
      <c r="U78" s="61"/>
      <c r="V78" s="61"/>
      <c r="W78" s="61"/>
    </row>
    <row r="79" spans="1:23" s="25" customFormat="1" ht="25.5">
      <c r="A79" s="73">
        <v>75</v>
      </c>
      <c r="B79" s="28">
        <v>1.6</v>
      </c>
      <c r="C79" s="219" t="s">
        <v>365</v>
      </c>
      <c r="D79" s="29" t="s">
        <v>378</v>
      </c>
      <c r="E79" s="69">
        <v>44980.399421296293</v>
      </c>
      <c r="F79" s="70" t="s">
        <v>478</v>
      </c>
      <c r="G79" s="18"/>
      <c r="H79" s="22"/>
      <c r="I79" s="22"/>
      <c r="J79" s="80" t="s">
        <v>478</v>
      </c>
      <c r="K79" s="23">
        <v>44980.39947916667</v>
      </c>
      <c r="L79" s="22" t="s">
        <v>27</v>
      </c>
      <c r="M79" s="22" t="s">
        <v>28</v>
      </c>
      <c r="N79" s="57"/>
      <c r="O79" s="57"/>
      <c r="P79" s="57"/>
      <c r="Q79" s="61"/>
      <c r="R79" s="61"/>
      <c r="S79" s="61"/>
      <c r="T79" s="61"/>
      <c r="U79" s="61"/>
      <c r="V79" s="61"/>
      <c r="W79" s="61"/>
    </row>
    <row r="80" spans="1:23" s="25" customFormat="1" ht="25.5">
      <c r="A80" s="73">
        <v>76</v>
      </c>
      <c r="B80" s="41" t="s">
        <v>552</v>
      </c>
      <c r="C80" s="219" t="s">
        <v>369</v>
      </c>
      <c r="D80" s="29" t="s">
        <v>378</v>
      </c>
      <c r="E80" s="69">
        <v>44980.400324074071</v>
      </c>
      <c r="F80" s="70" t="s">
        <v>478</v>
      </c>
      <c r="G80" s="18"/>
      <c r="H80" s="22"/>
      <c r="I80" s="22"/>
      <c r="J80" s="22" t="s">
        <v>478</v>
      </c>
      <c r="K80" s="23">
        <v>44980.400370370371</v>
      </c>
      <c r="L80" s="22" t="s">
        <v>27</v>
      </c>
      <c r="M80" s="22" t="s">
        <v>28</v>
      </c>
      <c r="N80" s="57"/>
      <c r="O80" s="57"/>
      <c r="P80" s="57"/>
      <c r="Q80" s="61"/>
      <c r="R80" s="61"/>
      <c r="S80" s="61"/>
      <c r="T80" s="61"/>
      <c r="U80" s="61"/>
      <c r="V80" s="61"/>
      <c r="W80" s="61"/>
    </row>
    <row r="81" spans="1:23" s="25" customFormat="1" ht="25.5">
      <c r="A81" s="73">
        <v>77</v>
      </c>
      <c r="B81" s="28">
        <v>1.3</v>
      </c>
      <c r="C81" s="219" t="s">
        <v>558</v>
      </c>
      <c r="D81" s="29" t="s">
        <v>559</v>
      </c>
      <c r="E81" s="69">
        <v>44980.407083333332</v>
      </c>
      <c r="F81" s="70" t="s">
        <v>478</v>
      </c>
      <c r="G81" s="18"/>
      <c r="H81" s="22">
        <v>1047503</v>
      </c>
      <c r="I81" s="80" t="s">
        <v>26</v>
      </c>
      <c r="J81" s="80" t="s">
        <v>425</v>
      </c>
      <c r="K81" s="23">
        <v>45005.406087962961</v>
      </c>
      <c r="L81" s="22" t="s">
        <v>21</v>
      </c>
      <c r="M81" s="22" t="s">
        <v>28</v>
      </c>
      <c r="N81" s="57"/>
      <c r="O81" s="57"/>
      <c r="P81" s="57"/>
      <c r="Q81" s="61"/>
      <c r="R81" s="61"/>
      <c r="S81" s="61"/>
      <c r="T81" s="61"/>
      <c r="U81" s="61"/>
      <c r="V81" s="61"/>
      <c r="W81" s="61"/>
    </row>
    <row r="82" spans="1:23" s="25" customFormat="1" ht="25.5">
      <c r="A82" s="73">
        <v>78</v>
      </c>
      <c r="B82" s="28">
        <v>1.3</v>
      </c>
      <c r="C82" s="219" t="s">
        <v>558</v>
      </c>
      <c r="D82" s="29" t="s">
        <v>562</v>
      </c>
      <c r="E82" s="69">
        <v>44980.426724537036</v>
      </c>
      <c r="F82" s="70" t="s">
        <v>478</v>
      </c>
      <c r="G82" s="18"/>
      <c r="H82" s="22"/>
      <c r="I82" s="22"/>
      <c r="J82" s="80" t="s">
        <v>478</v>
      </c>
      <c r="K82" s="23">
        <v>45005.406087962961</v>
      </c>
      <c r="L82" s="22" t="s">
        <v>27</v>
      </c>
      <c r="M82" s="22" t="s">
        <v>28</v>
      </c>
      <c r="N82" s="57"/>
      <c r="O82" s="57"/>
      <c r="P82" s="57"/>
      <c r="Q82" s="61"/>
      <c r="R82" s="61"/>
      <c r="S82" s="61"/>
      <c r="T82" s="61"/>
      <c r="U82" s="61"/>
      <c r="V82" s="61"/>
      <c r="W82" s="61"/>
    </row>
    <row r="83" spans="1:23" s="25" customFormat="1" ht="25.5">
      <c r="A83" s="73">
        <v>79</v>
      </c>
      <c r="B83" s="28">
        <v>1.3</v>
      </c>
      <c r="C83" s="219" t="s">
        <v>558</v>
      </c>
      <c r="D83" s="29" t="s">
        <v>564</v>
      </c>
      <c r="E83" s="69">
        <v>44980.523553240739</v>
      </c>
      <c r="F83" s="70" t="s">
        <v>478</v>
      </c>
      <c r="G83" s="18"/>
      <c r="H83" s="22">
        <v>1047503</v>
      </c>
      <c r="I83" s="80" t="s">
        <v>26</v>
      </c>
      <c r="J83" s="80" t="s">
        <v>425</v>
      </c>
      <c r="K83" s="23">
        <v>45005.406087962961</v>
      </c>
      <c r="L83" s="22" t="s">
        <v>21</v>
      </c>
      <c r="M83" s="22" t="s">
        <v>28</v>
      </c>
      <c r="N83" s="57"/>
      <c r="O83" s="57"/>
      <c r="P83" s="57"/>
      <c r="Q83" s="61"/>
      <c r="R83" s="61"/>
      <c r="S83" s="61"/>
      <c r="T83" s="61"/>
      <c r="U83" s="61"/>
      <c r="V83" s="61"/>
      <c r="W83" s="61"/>
    </row>
    <row r="84" spans="1:23" s="25" customFormat="1" ht="25.5">
      <c r="A84" s="73">
        <v>80</v>
      </c>
      <c r="B84" s="28">
        <v>1.3</v>
      </c>
      <c r="C84" s="219" t="s">
        <v>558</v>
      </c>
      <c r="D84" s="29" t="s">
        <v>565</v>
      </c>
      <c r="E84" s="69">
        <v>44980.523611111108</v>
      </c>
      <c r="F84" s="70" t="s">
        <v>478</v>
      </c>
      <c r="G84" s="18"/>
      <c r="H84" s="22">
        <v>1047503</v>
      </c>
      <c r="I84" s="80" t="s">
        <v>26</v>
      </c>
      <c r="J84" s="80" t="s">
        <v>425</v>
      </c>
      <c r="K84" s="23">
        <v>45005.406087962961</v>
      </c>
      <c r="L84" s="22" t="s">
        <v>21</v>
      </c>
      <c r="M84" s="22" t="s">
        <v>28</v>
      </c>
      <c r="N84" s="57"/>
      <c r="O84" s="57"/>
      <c r="P84" s="57"/>
      <c r="Q84" s="61"/>
      <c r="R84" s="61"/>
      <c r="S84" s="61"/>
      <c r="T84" s="61"/>
      <c r="U84" s="61"/>
      <c r="V84" s="61"/>
      <c r="W84" s="61"/>
    </row>
    <row r="85" spans="1:23" s="25" customFormat="1">
      <c r="A85" s="73">
        <v>81</v>
      </c>
      <c r="B85" s="28">
        <v>1.1000000000000001</v>
      </c>
      <c r="C85" s="220" t="s">
        <v>566</v>
      </c>
      <c r="D85" s="29" t="s">
        <v>568</v>
      </c>
      <c r="E85" s="69"/>
      <c r="F85" s="70"/>
      <c r="G85" s="18"/>
      <c r="H85" s="22"/>
      <c r="I85" s="22"/>
      <c r="J85" s="80" t="s">
        <v>359</v>
      </c>
      <c r="K85" s="23">
        <v>44981.400370370371</v>
      </c>
      <c r="L85" s="22" t="s">
        <v>27</v>
      </c>
      <c r="M85" s="22" t="s">
        <v>28</v>
      </c>
      <c r="N85" s="57"/>
      <c r="O85" s="57"/>
      <c r="P85" s="57"/>
      <c r="Q85" s="61"/>
      <c r="R85" s="61"/>
      <c r="S85" s="61"/>
      <c r="T85" s="61"/>
      <c r="U85" s="61"/>
      <c r="V85" s="61"/>
      <c r="W85" s="61"/>
    </row>
    <row r="86" spans="1:23" s="25" customFormat="1">
      <c r="A86" s="73">
        <v>82</v>
      </c>
      <c r="B86" s="28">
        <v>1.7</v>
      </c>
      <c r="C86" s="219" t="s">
        <v>365</v>
      </c>
      <c r="D86" s="29" t="s">
        <v>568</v>
      </c>
      <c r="E86" s="69">
        <v>44987.315416666665</v>
      </c>
      <c r="F86" s="70" t="s">
        <v>569</v>
      </c>
      <c r="G86" s="18"/>
      <c r="H86" s="22"/>
      <c r="I86" s="22"/>
      <c r="J86" s="80" t="s">
        <v>425</v>
      </c>
      <c r="K86" s="23">
        <v>44987.31689814815</v>
      </c>
      <c r="L86" s="22" t="s">
        <v>27</v>
      </c>
      <c r="M86" s="22" t="s">
        <v>28</v>
      </c>
      <c r="N86" s="57"/>
      <c r="O86" s="57"/>
      <c r="P86" s="57"/>
      <c r="Q86" s="61"/>
      <c r="R86" s="61"/>
      <c r="S86" s="61"/>
      <c r="T86" s="61"/>
      <c r="U86" s="61"/>
      <c r="V86" s="61"/>
      <c r="W86" s="61"/>
    </row>
    <row r="87" spans="1:23" s="25" customFormat="1">
      <c r="A87" s="73">
        <v>83</v>
      </c>
      <c r="B87" s="28" t="s">
        <v>570</v>
      </c>
      <c r="C87" s="219" t="s">
        <v>367</v>
      </c>
      <c r="D87" s="29" t="s">
        <v>568</v>
      </c>
      <c r="E87" s="69">
        <v>44987.316736111112</v>
      </c>
      <c r="F87" s="70" t="s">
        <v>569</v>
      </c>
      <c r="G87" s="18"/>
      <c r="H87" s="22"/>
      <c r="I87" s="22"/>
      <c r="J87" s="80" t="s">
        <v>425</v>
      </c>
      <c r="K87" s="23">
        <v>44987.316921296297</v>
      </c>
      <c r="L87" s="22" t="s">
        <v>27</v>
      </c>
      <c r="M87" s="22" t="s">
        <v>28</v>
      </c>
      <c r="N87" s="57"/>
      <c r="O87" s="57"/>
      <c r="P87" s="57"/>
      <c r="Q87" s="61"/>
      <c r="R87" s="61"/>
      <c r="S87" s="61"/>
      <c r="T87" s="61"/>
      <c r="U87" s="61"/>
      <c r="V87" s="61"/>
      <c r="W87" s="61"/>
    </row>
    <row r="88" spans="1:23" s="25" customFormat="1">
      <c r="A88" s="73">
        <v>84</v>
      </c>
      <c r="B88" s="28" t="s">
        <v>571</v>
      </c>
      <c r="C88" s="219" t="s">
        <v>362</v>
      </c>
      <c r="D88" s="29" t="s">
        <v>568</v>
      </c>
      <c r="E88" s="69">
        <v>44987.316759259258</v>
      </c>
      <c r="F88" s="70" t="s">
        <v>569</v>
      </c>
      <c r="G88" s="18"/>
      <c r="H88" s="22"/>
      <c r="I88" s="22"/>
      <c r="J88" s="80" t="s">
        <v>425</v>
      </c>
      <c r="K88" s="23">
        <v>44987.316944444443</v>
      </c>
      <c r="L88" s="22" t="s">
        <v>27</v>
      </c>
      <c r="M88" s="22" t="s">
        <v>28</v>
      </c>
      <c r="N88" s="57"/>
      <c r="O88" s="57"/>
      <c r="P88" s="57"/>
      <c r="Q88" s="61"/>
      <c r="R88" s="61"/>
      <c r="S88" s="61"/>
      <c r="T88" s="61"/>
      <c r="U88" s="61"/>
      <c r="V88" s="61"/>
      <c r="W88" s="61"/>
    </row>
    <row r="89" spans="1:23" s="25" customFormat="1">
      <c r="A89" s="73">
        <v>85</v>
      </c>
      <c r="B89" s="41" t="s">
        <v>572</v>
      </c>
      <c r="C89" s="219" t="s">
        <v>369</v>
      </c>
      <c r="D89" s="29" t="s">
        <v>568</v>
      </c>
      <c r="E89" s="69">
        <v>44987.316840277781</v>
      </c>
      <c r="F89" s="70" t="s">
        <v>569</v>
      </c>
      <c r="G89" s="18"/>
      <c r="H89" s="22"/>
      <c r="I89" s="22"/>
      <c r="J89" s="80" t="s">
        <v>425</v>
      </c>
      <c r="K89" s="23">
        <v>44987.316967592589</v>
      </c>
      <c r="L89" s="22" t="s">
        <v>27</v>
      </c>
      <c r="M89" s="22" t="s">
        <v>28</v>
      </c>
      <c r="N89" s="57"/>
      <c r="O89" s="57"/>
      <c r="P89" s="57"/>
      <c r="Q89" s="61"/>
      <c r="R89" s="61"/>
      <c r="S89" s="61"/>
      <c r="T89" s="61"/>
      <c r="U89" s="61"/>
      <c r="V89" s="61"/>
      <c r="W89" s="61"/>
    </row>
    <row r="90" spans="1:23" s="25" customFormat="1">
      <c r="A90" s="73">
        <v>86</v>
      </c>
      <c r="B90" s="28" t="s">
        <v>573</v>
      </c>
      <c r="C90" s="219" t="s">
        <v>374</v>
      </c>
      <c r="D90" s="29" t="s">
        <v>568</v>
      </c>
      <c r="E90" s="69">
        <v>44987.316851851851</v>
      </c>
      <c r="F90" s="70" t="s">
        <v>569</v>
      </c>
      <c r="G90" s="18"/>
      <c r="H90" s="22"/>
      <c r="I90" s="22"/>
      <c r="J90" s="80" t="s">
        <v>425</v>
      </c>
      <c r="K90" s="23">
        <v>44987.316979166666</v>
      </c>
      <c r="L90" s="22" t="s">
        <v>27</v>
      </c>
      <c r="M90" s="22" t="s">
        <v>28</v>
      </c>
      <c r="N90" s="57"/>
      <c r="O90" s="57"/>
      <c r="P90" s="57"/>
      <c r="Q90" s="61"/>
      <c r="R90" s="61"/>
      <c r="S90" s="61"/>
      <c r="T90" s="61"/>
      <c r="U90" s="61"/>
      <c r="V90" s="61"/>
      <c r="W90" s="61"/>
    </row>
    <row r="91" spans="1:23" s="25" customFormat="1">
      <c r="A91" s="73">
        <v>87</v>
      </c>
      <c r="B91" s="28">
        <v>1.3</v>
      </c>
      <c r="C91" s="228" t="s">
        <v>579</v>
      </c>
      <c r="D91" s="29" t="s">
        <v>378</v>
      </c>
      <c r="E91" s="69">
        <v>45006.472951388889</v>
      </c>
      <c r="F91" s="70" t="s">
        <v>359</v>
      </c>
      <c r="G91" s="18"/>
      <c r="H91" s="22"/>
      <c r="I91" s="22"/>
      <c r="J91" s="80" t="s">
        <v>580</v>
      </c>
      <c r="K91" s="23">
        <v>45006.476898148147</v>
      </c>
      <c r="L91" s="22" t="s">
        <v>27</v>
      </c>
      <c r="M91" s="22" t="s">
        <v>28</v>
      </c>
      <c r="N91" s="57"/>
      <c r="O91" s="57"/>
      <c r="P91" s="57"/>
      <c r="Q91" s="61"/>
      <c r="R91" s="61"/>
      <c r="S91" s="61"/>
      <c r="T91" s="61"/>
      <c r="U91" s="61"/>
      <c r="V91" s="61"/>
      <c r="W91" s="61"/>
    </row>
    <row r="92" spans="1:23" s="25" customFormat="1">
      <c r="A92" s="73">
        <v>88</v>
      </c>
      <c r="B92" s="230" t="s">
        <v>584</v>
      </c>
      <c r="C92" s="234" t="s">
        <v>365</v>
      </c>
      <c r="D92" s="29" t="s">
        <v>568</v>
      </c>
      <c r="E92" s="69">
        <v>45016</v>
      </c>
      <c r="F92" s="70" t="s">
        <v>569</v>
      </c>
      <c r="G92" s="18"/>
      <c r="H92" s="22"/>
      <c r="I92" s="22"/>
      <c r="J92" s="80" t="s">
        <v>425</v>
      </c>
      <c r="K92" s="23">
        <v>45016</v>
      </c>
      <c r="L92" s="22" t="s">
        <v>27</v>
      </c>
      <c r="M92" s="22" t="s">
        <v>28</v>
      </c>
      <c r="N92" s="57"/>
      <c r="O92" s="57"/>
      <c r="P92" s="57"/>
      <c r="Q92" s="61"/>
      <c r="R92" s="61"/>
      <c r="S92" s="61"/>
      <c r="T92" s="61"/>
      <c r="U92" s="61"/>
      <c r="V92" s="61"/>
      <c r="W92" s="61"/>
    </row>
    <row r="93" spans="1:23" s="25" customFormat="1">
      <c r="A93" s="73">
        <v>89</v>
      </c>
      <c r="B93" s="24">
        <v>1.4</v>
      </c>
      <c r="C93" s="231" t="s">
        <v>579</v>
      </c>
      <c r="D93" s="29" t="s">
        <v>378</v>
      </c>
      <c r="E93" s="69">
        <v>45026.437777777777</v>
      </c>
      <c r="F93" s="70" t="s">
        <v>359</v>
      </c>
      <c r="G93" s="18"/>
      <c r="H93" s="22"/>
      <c r="I93" s="22"/>
      <c r="J93" s="80" t="s">
        <v>580</v>
      </c>
      <c r="K93" s="23">
        <v>45026.43787037037</v>
      </c>
      <c r="L93" s="22" t="s">
        <v>27</v>
      </c>
      <c r="M93" s="22" t="s">
        <v>28</v>
      </c>
      <c r="N93" s="57"/>
      <c r="O93" s="57"/>
      <c r="P93" s="57"/>
      <c r="Q93" s="61"/>
      <c r="R93" s="61"/>
      <c r="S93" s="61"/>
      <c r="T93" s="61"/>
      <c r="U93" s="61"/>
      <c r="V93" s="61"/>
      <c r="W93" s="61"/>
    </row>
    <row r="94" spans="1:23" ht="25.5">
      <c r="A94" s="73">
        <v>90</v>
      </c>
      <c r="B94" s="28">
        <v>1.1100000000000001</v>
      </c>
      <c r="C94" s="219" t="s">
        <v>365</v>
      </c>
      <c r="D94" s="29" t="s">
        <v>588</v>
      </c>
      <c r="E94" s="69">
        <v>45105.656770833331</v>
      </c>
      <c r="F94" s="70" t="s">
        <v>478</v>
      </c>
      <c r="G94" s="18"/>
      <c r="H94" s="22"/>
      <c r="I94" s="22"/>
      <c r="J94" s="80" t="s">
        <v>425</v>
      </c>
      <c r="K94" s="23">
        <v>45105.656817129631</v>
      </c>
      <c r="L94" s="22" t="s">
        <v>27</v>
      </c>
      <c r="M94" s="22" t="s">
        <v>28</v>
      </c>
      <c r="N94" s="57"/>
      <c r="O94" s="57"/>
      <c r="P94" s="57"/>
    </row>
    <row r="95" spans="1:23" ht="25.5">
      <c r="A95" s="73">
        <v>91</v>
      </c>
      <c r="B95" s="28">
        <v>1.1100000000000001</v>
      </c>
      <c r="C95" s="219" t="s">
        <v>365</v>
      </c>
      <c r="D95" s="29" t="s">
        <v>589</v>
      </c>
      <c r="E95" s="69">
        <v>45105.660358796296</v>
      </c>
      <c r="F95" s="70" t="s">
        <v>478</v>
      </c>
      <c r="G95" s="18" t="s">
        <v>601</v>
      </c>
      <c r="H95" s="22"/>
      <c r="I95" s="22"/>
      <c r="J95" s="22" t="s">
        <v>425</v>
      </c>
      <c r="K95" s="23">
        <v>45107.626967592594</v>
      </c>
      <c r="L95" s="22" t="s">
        <v>20</v>
      </c>
      <c r="M95" s="22" t="s">
        <v>28</v>
      </c>
      <c r="N95" s="57"/>
      <c r="O95" s="57"/>
      <c r="P95" s="57"/>
    </row>
    <row r="96" spans="1:23" ht="25.5">
      <c r="A96" s="73">
        <v>92</v>
      </c>
      <c r="B96" s="41" t="s">
        <v>590</v>
      </c>
      <c r="C96" s="219" t="s">
        <v>362</v>
      </c>
      <c r="D96" s="29" t="s">
        <v>378</v>
      </c>
      <c r="E96" s="69">
        <v>45105.66128472222</v>
      </c>
      <c r="F96" s="70" t="s">
        <v>478</v>
      </c>
      <c r="G96" s="18"/>
      <c r="H96" s="22"/>
      <c r="I96" s="22"/>
      <c r="J96" s="80" t="s">
        <v>425</v>
      </c>
      <c r="K96" s="23">
        <v>45105.661319444444</v>
      </c>
      <c r="L96" s="22" t="s">
        <v>27</v>
      </c>
      <c r="M96" s="22" t="s">
        <v>28</v>
      </c>
      <c r="N96" s="57"/>
      <c r="O96" s="57"/>
      <c r="P96" s="57"/>
    </row>
    <row r="97" spans="1:23" ht="25.5">
      <c r="A97" s="73">
        <v>93</v>
      </c>
      <c r="B97" s="41" t="s">
        <v>591</v>
      </c>
      <c r="C97" s="219" t="s">
        <v>367</v>
      </c>
      <c r="D97" s="29" t="s">
        <v>592</v>
      </c>
      <c r="E97" s="69">
        <v>45105.662106481483</v>
      </c>
      <c r="F97" s="70" t="s">
        <v>478</v>
      </c>
      <c r="G97" s="18"/>
      <c r="H97" s="22"/>
      <c r="I97" s="22"/>
      <c r="J97" s="80" t="s">
        <v>425</v>
      </c>
      <c r="K97" s="23">
        <v>45105.662152777775</v>
      </c>
      <c r="L97" s="22" t="s">
        <v>27</v>
      </c>
      <c r="M97" s="22" t="s">
        <v>28</v>
      </c>
      <c r="N97" s="57"/>
      <c r="O97" s="57"/>
      <c r="P97" s="57"/>
    </row>
    <row r="98" spans="1:23" ht="25.5">
      <c r="A98" s="73">
        <v>94</v>
      </c>
      <c r="B98" s="41" t="s">
        <v>591</v>
      </c>
      <c r="C98" s="219" t="s">
        <v>367</v>
      </c>
      <c r="D98" s="29" t="s">
        <v>378</v>
      </c>
      <c r="E98" s="69">
        <v>45105.662916666668</v>
      </c>
      <c r="F98" s="70" t="s">
        <v>478</v>
      </c>
      <c r="G98" s="18"/>
      <c r="H98" s="22"/>
      <c r="I98" s="22"/>
      <c r="J98" s="80" t="s">
        <v>425</v>
      </c>
      <c r="K98" s="23">
        <v>45105.662939814814</v>
      </c>
      <c r="L98" s="22" t="s">
        <v>27</v>
      </c>
      <c r="M98" s="22" t="s">
        <v>28</v>
      </c>
      <c r="N98" s="57"/>
      <c r="O98" s="57"/>
      <c r="P98" s="57"/>
    </row>
    <row r="99" spans="1:23" ht="25.5">
      <c r="A99" s="73">
        <v>95</v>
      </c>
      <c r="B99" s="41" t="s">
        <v>593</v>
      </c>
      <c r="C99" s="219" t="s">
        <v>374</v>
      </c>
      <c r="D99" s="29" t="s">
        <v>378</v>
      </c>
      <c r="E99" s="69">
        <v>45105.663391203707</v>
      </c>
      <c r="F99" s="70" t="s">
        <v>478</v>
      </c>
      <c r="G99" s="18"/>
      <c r="H99" s="22"/>
      <c r="I99" s="22"/>
      <c r="J99" s="80" t="s">
        <v>425</v>
      </c>
      <c r="K99" s="23">
        <v>45105.663414351853</v>
      </c>
      <c r="L99" s="22" t="s">
        <v>27</v>
      </c>
      <c r="M99" s="22" t="s">
        <v>28</v>
      </c>
      <c r="N99" s="57"/>
      <c r="O99" s="57"/>
      <c r="P99" s="57"/>
    </row>
    <row r="100" spans="1:23" ht="38.25">
      <c r="A100" s="73">
        <v>96</v>
      </c>
      <c r="B100" s="41" t="s">
        <v>594</v>
      </c>
      <c r="C100" s="219" t="s">
        <v>369</v>
      </c>
      <c r="D100" s="29" t="s">
        <v>595</v>
      </c>
      <c r="E100" s="69">
        <v>45105.663680555554</v>
      </c>
      <c r="F100" s="70" t="s">
        <v>478</v>
      </c>
      <c r="G100" s="18"/>
      <c r="H100" s="22"/>
      <c r="I100" s="22"/>
      <c r="J100" s="80" t="s">
        <v>425</v>
      </c>
      <c r="K100" s="23">
        <v>45105.663912037038</v>
      </c>
      <c r="L100" s="22" t="s">
        <v>27</v>
      </c>
      <c r="M100" s="22" t="s">
        <v>28</v>
      </c>
      <c r="N100" s="57"/>
      <c r="O100" s="57"/>
      <c r="P100" s="57"/>
    </row>
    <row r="101" spans="1:23" ht="25.5">
      <c r="A101" s="73">
        <v>97</v>
      </c>
      <c r="B101" s="41" t="s">
        <v>594</v>
      </c>
      <c r="C101" s="219" t="s">
        <v>369</v>
      </c>
      <c r="D101" s="29" t="s">
        <v>378</v>
      </c>
      <c r="E101" s="69">
        <v>45105.665497685186</v>
      </c>
      <c r="F101" s="70" t="s">
        <v>478</v>
      </c>
      <c r="G101" s="18"/>
      <c r="H101" s="22"/>
      <c r="I101" s="22"/>
      <c r="J101" s="80" t="s">
        <v>425</v>
      </c>
      <c r="K101" s="23">
        <v>45105.665520833332</v>
      </c>
      <c r="L101" s="22" t="s">
        <v>27</v>
      </c>
      <c r="M101" s="22" t="s">
        <v>28</v>
      </c>
      <c r="N101" s="57"/>
      <c r="O101" s="57"/>
      <c r="P101" s="57"/>
    </row>
    <row r="102" spans="1:23" ht="25.5">
      <c r="A102" s="73">
        <v>98</v>
      </c>
      <c r="B102" s="28">
        <v>1.1200000000000001</v>
      </c>
      <c r="C102" s="238" t="s">
        <v>365</v>
      </c>
      <c r="D102" s="29" t="s">
        <v>378</v>
      </c>
      <c r="E102" s="69">
        <v>45118.543356481481</v>
      </c>
      <c r="F102" s="70" t="s">
        <v>478</v>
      </c>
      <c r="G102" s="18"/>
      <c r="H102" s="22"/>
      <c r="I102" s="22"/>
      <c r="J102" s="80" t="s">
        <v>425</v>
      </c>
      <c r="K102" s="23">
        <v>45118.543391203704</v>
      </c>
      <c r="L102" s="22" t="s">
        <v>27</v>
      </c>
      <c r="M102" s="22" t="s">
        <v>28</v>
      </c>
      <c r="N102" s="57"/>
      <c r="O102" s="57"/>
      <c r="P102" s="57"/>
    </row>
    <row r="103" spans="1:23" ht="25.5">
      <c r="A103" s="73">
        <v>99</v>
      </c>
      <c r="B103" s="41" t="s">
        <v>603</v>
      </c>
      <c r="C103" s="238" t="s">
        <v>369</v>
      </c>
      <c r="D103" s="29" t="s">
        <v>378</v>
      </c>
      <c r="E103" s="69">
        <v>45118.551759259259</v>
      </c>
      <c r="F103" s="70" t="s">
        <v>478</v>
      </c>
      <c r="G103" s="18"/>
      <c r="H103" s="22"/>
      <c r="I103" s="22"/>
      <c r="J103" s="80" t="s">
        <v>425</v>
      </c>
      <c r="K103" s="23">
        <v>45118.551817129628</v>
      </c>
      <c r="L103" s="22" t="s">
        <v>27</v>
      </c>
      <c r="M103" s="22" t="s">
        <v>28</v>
      </c>
      <c r="N103" s="57"/>
      <c r="O103" s="57"/>
      <c r="P103" s="57"/>
    </row>
    <row r="104" spans="1:23" s="26" customFormat="1" ht="25.5">
      <c r="A104" s="73">
        <v>100</v>
      </c>
      <c r="B104" s="28">
        <v>1.1299999999999999</v>
      </c>
      <c r="C104" s="238" t="s">
        <v>365</v>
      </c>
      <c r="D104" s="29" t="s">
        <v>378</v>
      </c>
      <c r="E104" s="69">
        <v>45127.464953703704</v>
      </c>
      <c r="F104" s="70" t="s">
        <v>478</v>
      </c>
      <c r="G104" s="18"/>
      <c r="H104" s="22"/>
      <c r="I104" s="22"/>
      <c r="J104" s="80" t="s">
        <v>425</v>
      </c>
      <c r="K104" s="23">
        <v>45127.465046296296</v>
      </c>
      <c r="L104" s="22" t="s">
        <v>27</v>
      </c>
      <c r="M104" s="22" t="s">
        <v>28</v>
      </c>
      <c r="N104" s="63"/>
      <c r="O104" s="63"/>
      <c r="P104" s="63"/>
      <c r="Q104" s="64"/>
      <c r="R104" s="64"/>
      <c r="S104" s="64"/>
      <c r="T104" s="64"/>
      <c r="U104" s="64"/>
      <c r="V104" s="64"/>
      <c r="W104" s="64"/>
    </row>
    <row r="105" spans="1:23" ht="25.5">
      <c r="A105" s="73">
        <v>101</v>
      </c>
      <c r="B105" s="41" t="s">
        <v>606</v>
      </c>
      <c r="C105" s="238" t="s">
        <v>362</v>
      </c>
      <c r="D105" s="29" t="s">
        <v>378</v>
      </c>
      <c r="E105" s="69">
        <v>45127.46570601852</v>
      </c>
      <c r="F105" s="70" t="s">
        <v>478</v>
      </c>
      <c r="G105" s="18"/>
      <c r="H105" s="22"/>
      <c r="I105" s="22"/>
      <c r="J105" s="80" t="s">
        <v>425</v>
      </c>
      <c r="K105" s="23">
        <v>45127.465740740743</v>
      </c>
      <c r="L105" s="22" t="s">
        <v>27</v>
      </c>
      <c r="M105" s="22" t="s">
        <v>28</v>
      </c>
      <c r="N105" s="63"/>
      <c r="O105" s="63"/>
      <c r="P105" s="63"/>
    </row>
    <row r="106" spans="1:23" ht="25.5">
      <c r="A106" s="73">
        <v>102</v>
      </c>
      <c r="B106" s="41" t="s">
        <v>607</v>
      </c>
      <c r="C106" s="238" t="s">
        <v>369</v>
      </c>
      <c r="D106" s="29" t="s">
        <v>378</v>
      </c>
      <c r="E106" s="69">
        <v>45127.466458333336</v>
      </c>
      <c r="F106" s="70" t="s">
        <v>478</v>
      </c>
      <c r="G106" s="18"/>
      <c r="H106" s="22"/>
      <c r="I106" s="22"/>
      <c r="J106" s="80" t="s">
        <v>425</v>
      </c>
      <c r="K106" s="23">
        <v>45127.466493055559</v>
      </c>
      <c r="L106" s="22" t="s">
        <v>27</v>
      </c>
      <c r="M106" s="22" t="s">
        <v>28</v>
      </c>
    </row>
    <row r="107" spans="1:23" ht="51">
      <c r="A107" s="73">
        <v>103</v>
      </c>
      <c r="B107" s="241" t="s">
        <v>611</v>
      </c>
      <c r="C107" s="242" t="s">
        <v>612</v>
      </c>
      <c r="D107" s="29" t="s">
        <v>614</v>
      </c>
      <c r="E107" s="69">
        <v>45131.466458333336</v>
      </c>
      <c r="F107" s="53" t="s">
        <v>425</v>
      </c>
      <c r="G107" s="18"/>
      <c r="H107" s="22"/>
      <c r="I107" s="22"/>
      <c r="J107" s="80" t="s">
        <v>613</v>
      </c>
      <c r="K107" s="23">
        <v>45193</v>
      </c>
      <c r="L107" s="22" t="s">
        <v>21</v>
      </c>
      <c r="M107" s="22" t="s">
        <v>28</v>
      </c>
    </row>
    <row r="108" spans="1:23" ht="51">
      <c r="A108" s="73">
        <v>104</v>
      </c>
      <c r="B108" s="241" t="s">
        <v>617</v>
      </c>
      <c r="C108" s="242" t="s">
        <v>612</v>
      </c>
      <c r="D108" s="29" t="s">
        <v>614</v>
      </c>
      <c r="E108" s="69">
        <v>45131.466458333336</v>
      </c>
      <c r="F108" s="53" t="s">
        <v>425</v>
      </c>
      <c r="G108" s="18"/>
      <c r="H108" s="22"/>
      <c r="I108" s="22"/>
      <c r="J108" s="80" t="s">
        <v>613</v>
      </c>
      <c r="K108" s="23">
        <v>45193</v>
      </c>
      <c r="L108" s="22" t="s">
        <v>21</v>
      </c>
      <c r="M108" s="22" t="s">
        <v>28</v>
      </c>
    </row>
    <row r="109" spans="1:23" ht="25.5">
      <c r="A109" s="73">
        <v>105</v>
      </c>
      <c r="B109" s="28">
        <v>1.5</v>
      </c>
      <c r="C109" s="231" t="s">
        <v>579</v>
      </c>
      <c r="D109" s="29" t="s">
        <v>378</v>
      </c>
      <c r="E109" s="69">
        <v>45133</v>
      </c>
      <c r="F109" s="53" t="s">
        <v>619</v>
      </c>
      <c r="G109" s="18"/>
      <c r="H109" s="22"/>
      <c r="I109" s="22"/>
      <c r="J109" s="80" t="s">
        <v>620</v>
      </c>
      <c r="K109" s="69">
        <v>45133</v>
      </c>
      <c r="L109" s="22" t="s">
        <v>27</v>
      </c>
      <c r="M109" s="22" t="s">
        <v>28</v>
      </c>
    </row>
    <row r="110" spans="1:23" ht="51">
      <c r="A110" s="73">
        <v>106</v>
      </c>
      <c r="B110" s="241" t="s">
        <v>626</v>
      </c>
      <c r="C110" s="242" t="s">
        <v>612</v>
      </c>
      <c r="D110" s="29" t="s">
        <v>614</v>
      </c>
      <c r="E110" s="69">
        <v>45138.466458333336</v>
      </c>
      <c r="F110" s="53" t="s">
        <v>629</v>
      </c>
      <c r="G110" s="18"/>
      <c r="H110" s="22"/>
      <c r="I110" s="22"/>
      <c r="J110" s="80" t="s">
        <v>613</v>
      </c>
      <c r="K110" s="81" t="s">
        <v>630</v>
      </c>
      <c r="L110" s="22" t="s">
        <v>21</v>
      </c>
      <c r="M110" s="22" t="s">
        <v>28</v>
      </c>
    </row>
    <row r="111" spans="1:23" ht="51">
      <c r="A111" s="73">
        <v>107</v>
      </c>
      <c r="B111" s="241" t="s">
        <v>627</v>
      </c>
      <c r="C111" s="242" t="s">
        <v>612</v>
      </c>
      <c r="D111" s="29" t="s">
        <v>614</v>
      </c>
      <c r="E111" s="69">
        <v>45138.466458333336</v>
      </c>
      <c r="F111" s="53" t="s">
        <v>629</v>
      </c>
      <c r="G111" s="18"/>
      <c r="H111" s="22"/>
      <c r="I111" s="22"/>
      <c r="J111" s="80" t="s">
        <v>613</v>
      </c>
      <c r="K111" s="81" t="s">
        <v>630</v>
      </c>
      <c r="L111" s="22" t="s">
        <v>21</v>
      </c>
      <c r="M111" s="22" t="s">
        <v>28</v>
      </c>
    </row>
    <row r="112" spans="1:23">
      <c r="A112" s="73">
        <v>108</v>
      </c>
      <c r="B112" s="28"/>
      <c r="C112" s="239"/>
      <c r="D112" s="18"/>
      <c r="E112" s="69"/>
      <c r="F112" s="70"/>
      <c r="G112" s="18"/>
      <c r="H112" s="22"/>
      <c r="I112" s="22"/>
      <c r="J112" s="22"/>
      <c r="K112" s="23"/>
      <c r="L112" s="22"/>
      <c r="M112" s="22"/>
    </row>
    <row r="113" spans="1:13">
      <c r="A113" s="73">
        <v>109</v>
      </c>
      <c r="B113" s="28"/>
      <c r="C113" s="239"/>
      <c r="D113" s="18"/>
      <c r="E113" s="69"/>
      <c r="F113" s="70"/>
      <c r="G113" s="18"/>
      <c r="H113" s="22"/>
      <c r="I113" s="22"/>
      <c r="J113" s="22"/>
      <c r="K113" s="23"/>
      <c r="L113" s="22"/>
      <c r="M113" s="22"/>
    </row>
    <row r="114" spans="1:13">
      <c r="A114" s="73">
        <v>110</v>
      </c>
      <c r="B114" s="28"/>
      <c r="C114" s="239"/>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37" type="noConversion"/>
  <conditionalFormatting sqref="L205:L65536 P1:P2">
    <cfRule type="cellIs" dxfId="2420" priority="137" stopIfTrue="1" operator="equal">
      <formula>"Fixed"</formula>
    </cfRule>
    <cfRule type="cellIs" dxfId="2419" priority="138" stopIfTrue="1" operator="equal">
      <formula>"Open"</formula>
    </cfRule>
  </conditionalFormatting>
  <conditionalFormatting sqref="L4">
    <cfRule type="cellIs" dxfId="2418" priority="139" stopIfTrue="1" operator="equal">
      <formula>"Open"</formula>
    </cfRule>
    <cfRule type="cellIs" dxfId="2417" priority="140" stopIfTrue="1" operator="equal">
      <formula>"Fixed"</formula>
    </cfRule>
  </conditionalFormatting>
  <conditionalFormatting sqref="L5:L20 L24:L25 L33:L34 L27:L29 L39:L43 L47:L84 L86:L204">
    <cfRule type="expression" dxfId="2416" priority="141" stopIfTrue="1">
      <formula>AND($M5="Approved",$L5="Fixed")</formula>
    </cfRule>
    <cfRule type="cellIs" dxfId="2415" priority="142" stopIfTrue="1" operator="equal">
      <formula>"Fixed"</formula>
    </cfRule>
    <cfRule type="cellIs" dxfId="2414" priority="143" stopIfTrue="1" operator="equal">
      <formula>"Open"</formula>
    </cfRule>
  </conditionalFormatting>
  <conditionalFormatting sqref="M5:M20 M24:M25 M33:M34 M27:M29 M39:M43 M47:M84 M91:M204">
    <cfRule type="expression" dxfId="2413" priority="144" stopIfTrue="1">
      <formula>OR(M5="Fixed",M5="Approved")</formula>
    </cfRule>
    <cfRule type="cellIs" dxfId="2412" priority="145" stopIfTrue="1" operator="equal">
      <formula>"Rejected"</formula>
    </cfRule>
  </conditionalFormatting>
  <conditionalFormatting sqref="A3">
    <cfRule type="expression" dxfId="2411" priority="131" stopIfTrue="1">
      <formula>$X$2=1</formula>
    </cfRule>
    <cfRule type="expression" dxfId="2410" priority="132" stopIfTrue="1">
      <formula>$Y$2=1</formula>
    </cfRule>
    <cfRule type="expression" dxfId="2409" priority="134" stopIfTrue="1">
      <formula>$AA$2=1</formula>
    </cfRule>
  </conditionalFormatting>
  <conditionalFormatting sqref="A3:C3">
    <cfRule type="expression" dxfId="2408" priority="133" stopIfTrue="1">
      <formula>$Z$2=1</formula>
    </cfRule>
  </conditionalFormatting>
  <conditionalFormatting sqref="A5:K20 A21:A24 D24:K24 A25:C25 E25:K25 A26:A28 A29:K29 D27:K28 B28:K28 A30:A33 D33:K33 A34:K34 A35:A38 A39:B39 A40:A42 D39:K42 A48:K51 A44:A47 D47:K47 A43:K43 A52 C52:K52 A53:K106 A107:A108 D107:K108 A109:K109 A112:K204 A110:A111 D110:K111">
    <cfRule type="expression" dxfId="2407" priority="315" stopIfTrue="1">
      <formula>AND($M5="Approved",OR($L5=$R$1,$L5=$T$1))</formula>
    </cfRule>
  </conditionalFormatting>
  <conditionalFormatting sqref="L21">
    <cfRule type="expression" dxfId="2406" priority="125" stopIfTrue="1">
      <formula>AND($M21="Approved",$L21="Fixed")</formula>
    </cfRule>
    <cfRule type="cellIs" dxfId="2405" priority="126" stopIfTrue="1" operator="equal">
      <formula>"Fixed"</formula>
    </cfRule>
    <cfRule type="cellIs" dxfId="2404" priority="127" stopIfTrue="1" operator="equal">
      <formula>"Open"</formula>
    </cfRule>
  </conditionalFormatting>
  <conditionalFormatting sqref="M21">
    <cfRule type="expression" dxfId="2403" priority="128" stopIfTrue="1">
      <formula>OR(M21="Fixed",M21="Approved")</formula>
    </cfRule>
    <cfRule type="cellIs" dxfId="2402" priority="129" stopIfTrue="1" operator="equal">
      <formula>"Rejected"</formula>
    </cfRule>
  </conditionalFormatting>
  <conditionalFormatting sqref="B21:K21">
    <cfRule type="expression" dxfId="2401" priority="130" stopIfTrue="1">
      <formula>AND($M21="Approved",OR($L21=$R$1,$L21=$T$1))</formula>
    </cfRule>
  </conditionalFormatting>
  <conditionalFormatting sqref="L22">
    <cfRule type="expression" dxfId="2400" priority="119" stopIfTrue="1">
      <formula>AND($M22="Approved",$L22="Fixed")</formula>
    </cfRule>
    <cfRule type="cellIs" dxfId="2399" priority="120" stopIfTrue="1" operator="equal">
      <formula>"Fixed"</formula>
    </cfRule>
    <cfRule type="cellIs" dxfId="2398" priority="121" stopIfTrue="1" operator="equal">
      <formula>"Open"</formula>
    </cfRule>
  </conditionalFormatting>
  <conditionalFormatting sqref="M22">
    <cfRule type="expression" dxfId="2397" priority="122" stopIfTrue="1">
      <formula>OR(M22="Fixed",M22="Approved")</formula>
    </cfRule>
    <cfRule type="cellIs" dxfId="2396" priority="123" stopIfTrue="1" operator="equal">
      <formula>"Rejected"</formula>
    </cfRule>
  </conditionalFormatting>
  <conditionalFormatting sqref="B22:K22">
    <cfRule type="expression" dxfId="2395" priority="124" stopIfTrue="1">
      <formula>AND($M22="Approved",OR($L22=$R$1,$L22=$T$1))</formula>
    </cfRule>
  </conditionalFormatting>
  <conditionalFormatting sqref="L23">
    <cfRule type="expression" dxfId="2394" priority="113" stopIfTrue="1">
      <formula>AND($M23="Approved",$L23="Fixed")</formula>
    </cfRule>
    <cfRule type="cellIs" dxfId="2393" priority="114" stopIfTrue="1" operator="equal">
      <formula>"Fixed"</formula>
    </cfRule>
    <cfRule type="cellIs" dxfId="2392" priority="115" stopIfTrue="1" operator="equal">
      <formula>"Open"</formula>
    </cfRule>
  </conditionalFormatting>
  <conditionalFormatting sqref="M23">
    <cfRule type="expression" dxfId="2391" priority="116" stopIfTrue="1">
      <formula>OR(M23="Fixed",M23="Approved")</formula>
    </cfRule>
    <cfRule type="cellIs" dxfId="2390" priority="117" stopIfTrue="1" operator="equal">
      <formula>"Rejected"</formula>
    </cfRule>
  </conditionalFormatting>
  <conditionalFormatting sqref="B23:K23">
    <cfRule type="expression" dxfId="2389" priority="118" stopIfTrue="1">
      <formula>AND($M23="Approved",OR($L23=$R$1,$L23=$T$1))</formula>
    </cfRule>
  </conditionalFormatting>
  <conditionalFormatting sqref="B24:C24">
    <cfRule type="expression" dxfId="2388" priority="112" stopIfTrue="1">
      <formula>AND($M24="Approved",OR($L24=$R$1,$L24=$T$1))</formula>
    </cfRule>
  </conditionalFormatting>
  <conditionalFormatting sqref="D25">
    <cfRule type="expression" dxfId="2387" priority="111" stopIfTrue="1">
      <formula>AND($M25="Approved",OR($L25=$R$1,$L25=$T$1))</formula>
    </cfRule>
  </conditionalFormatting>
  <conditionalFormatting sqref="L26">
    <cfRule type="expression" dxfId="2386" priority="105" stopIfTrue="1">
      <formula>AND($M26="Approved",$L26="Fixed")</formula>
    </cfRule>
    <cfRule type="cellIs" dxfId="2385" priority="106" stopIfTrue="1" operator="equal">
      <formula>"Fixed"</formula>
    </cfRule>
    <cfRule type="cellIs" dxfId="2384" priority="107" stopIfTrue="1" operator="equal">
      <formula>"Open"</formula>
    </cfRule>
  </conditionalFormatting>
  <conditionalFormatting sqref="M26">
    <cfRule type="expression" dxfId="2383" priority="108" stopIfTrue="1">
      <formula>OR(M26="Fixed",M26="Approved")</formula>
    </cfRule>
    <cfRule type="cellIs" dxfId="2382" priority="109" stopIfTrue="1" operator="equal">
      <formula>"Rejected"</formula>
    </cfRule>
  </conditionalFormatting>
  <conditionalFormatting sqref="B26:C26 E26:K26">
    <cfRule type="expression" dxfId="2381" priority="110" stopIfTrue="1">
      <formula>AND($M26="Approved",OR($L26=$R$1,$L26=$T$1))</formula>
    </cfRule>
  </conditionalFormatting>
  <conditionalFormatting sqref="D26">
    <cfRule type="expression" dxfId="2380" priority="104" stopIfTrue="1">
      <formula>AND($M26="Approved",OR($L26=$R$1,$L26=$T$1))</formula>
    </cfRule>
  </conditionalFormatting>
  <conditionalFormatting sqref="B27:C27">
    <cfRule type="expression" dxfId="2379" priority="103" stopIfTrue="1">
      <formula>AND($M27="Approved",OR($L27=$R$1,$L27=$T$1))</formula>
    </cfRule>
  </conditionalFormatting>
  <conditionalFormatting sqref="B28:C28">
    <cfRule type="expression" dxfId="2378" priority="102" stopIfTrue="1">
      <formula>AND($M28="Approved",OR($L28=$R$1,$L28=$T$1))</formula>
    </cfRule>
  </conditionalFormatting>
  <conditionalFormatting sqref="L30">
    <cfRule type="expression" dxfId="2377" priority="96" stopIfTrue="1">
      <formula>AND($M30="Approved",$L30="Fixed")</formula>
    </cfRule>
    <cfRule type="cellIs" dxfId="2376" priority="97" stopIfTrue="1" operator="equal">
      <formula>"Fixed"</formula>
    </cfRule>
    <cfRule type="cellIs" dxfId="2375" priority="98" stopIfTrue="1" operator="equal">
      <formula>"Open"</formula>
    </cfRule>
  </conditionalFormatting>
  <conditionalFormatting sqref="M30">
    <cfRule type="expression" dxfId="2374" priority="99" stopIfTrue="1">
      <formula>OR(M30="Fixed",M30="Approved")</formula>
    </cfRule>
    <cfRule type="cellIs" dxfId="2373" priority="100" stopIfTrue="1" operator="equal">
      <formula>"Rejected"</formula>
    </cfRule>
  </conditionalFormatting>
  <conditionalFormatting sqref="B30:K30">
    <cfRule type="expression" dxfId="2372" priority="101" stopIfTrue="1">
      <formula>AND($M30="Approved",OR($L30=$R$1,$L30=$T$1))</formula>
    </cfRule>
  </conditionalFormatting>
  <conditionalFormatting sqref="L31">
    <cfRule type="expression" dxfId="2371" priority="90" stopIfTrue="1">
      <formula>AND($M31="Approved",$L31="Fixed")</formula>
    </cfRule>
    <cfRule type="cellIs" dxfId="2370" priority="91" stopIfTrue="1" operator="equal">
      <formula>"Fixed"</formula>
    </cfRule>
    <cfRule type="cellIs" dxfId="2369" priority="92" stopIfTrue="1" operator="equal">
      <formula>"Open"</formula>
    </cfRule>
  </conditionalFormatting>
  <conditionalFormatting sqref="M31">
    <cfRule type="expression" dxfId="2368" priority="93" stopIfTrue="1">
      <formula>OR(M31="Fixed",M31="Approved")</formula>
    </cfRule>
    <cfRule type="cellIs" dxfId="2367" priority="94" stopIfTrue="1" operator="equal">
      <formula>"Rejected"</formula>
    </cfRule>
  </conditionalFormatting>
  <conditionalFormatting sqref="B31:K31">
    <cfRule type="expression" dxfId="2366" priority="95" stopIfTrue="1">
      <formula>AND($M31="Approved",OR($L31=$R$1,$L31=$T$1))</formula>
    </cfRule>
  </conditionalFormatting>
  <conditionalFormatting sqref="L32">
    <cfRule type="expression" dxfId="2365" priority="84" stopIfTrue="1">
      <formula>AND($M32="Approved",$L32="Fixed")</formula>
    </cfRule>
    <cfRule type="cellIs" dxfId="2364" priority="85" stopIfTrue="1" operator="equal">
      <formula>"Fixed"</formula>
    </cfRule>
    <cfRule type="cellIs" dxfId="2363" priority="86" stopIfTrue="1" operator="equal">
      <formula>"Open"</formula>
    </cfRule>
  </conditionalFormatting>
  <conditionalFormatting sqref="M32">
    <cfRule type="expression" dxfId="2362" priority="87" stopIfTrue="1">
      <formula>OR(M32="Fixed",M32="Approved")</formula>
    </cfRule>
    <cfRule type="cellIs" dxfId="2361" priority="88" stopIfTrue="1" operator="equal">
      <formula>"Rejected"</formula>
    </cfRule>
  </conditionalFormatting>
  <conditionalFormatting sqref="B32:K32">
    <cfRule type="expression" dxfId="2360" priority="89" stopIfTrue="1">
      <formula>AND($M32="Approved",OR($L32=$R$1,$L32=$T$1))</formula>
    </cfRule>
  </conditionalFormatting>
  <conditionalFormatting sqref="B27:C27">
    <cfRule type="expression" dxfId="2359" priority="83" stopIfTrue="1">
      <formula>AND($M27="Approved",OR($L27=$R$1,$L27=$T$1))</formula>
    </cfRule>
  </conditionalFormatting>
  <conditionalFormatting sqref="L29">
    <cfRule type="expression" dxfId="2358" priority="77" stopIfTrue="1">
      <formula>AND($M29="Approved",$L29="Fixed")</formula>
    </cfRule>
    <cfRule type="cellIs" dxfId="2357" priority="78" stopIfTrue="1" operator="equal">
      <formula>"Fixed"</formula>
    </cfRule>
    <cfRule type="cellIs" dxfId="2356" priority="79" stopIfTrue="1" operator="equal">
      <formula>"Open"</formula>
    </cfRule>
  </conditionalFormatting>
  <conditionalFormatting sqref="M29">
    <cfRule type="expression" dxfId="2355" priority="80" stopIfTrue="1">
      <formula>OR(M29="Fixed",M29="Approved")</formula>
    </cfRule>
    <cfRule type="cellIs" dxfId="2354" priority="81" stopIfTrue="1" operator="equal">
      <formula>"Rejected"</formula>
    </cfRule>
  </conditionalFormatting>
  <conditionalFormatting sqref="B29:K29">
    <cfRule type="expression" dxfId="2353" priority="82" stopIfTrue="1">
      <formula>AND($M29="Approved",OR($L29=$R$1,$L29=$T$1))</formula>
    </cfRule>
  </conditionalFormatting>
  <conditionalFormatting sqref="L30">
    <cfRule type="expression" dxfId="2352" priority="71" stopIfTrue="1">
      <formula>AND($M30="Approved",$L30="Fixed")</formula>
    </cfRule>
    <cfRule type="cellIs" dxfId="2351" priority="72" stopIfTrue="1" operator="equal">
      <formula>"Fixed"</formula>
    </cfRule>
    <cfRule type="cellIs" dxfId="2350" priority="73" stopIfTrue="1" operator="equal">
      <formula>"Open"</formula>
    </cfRule>
  </conditionalFormatting>
  <conditionalFormatting sqref="M30">
    <cfRule type="expression" dxfId="2349" priority="74" stopIfTrue="1">
      <formula>OR(M30="Fixed",M30="Approved")</formula>
    </cfRule>
    <cfRule type="cellIs" dxfId="2348" priority="75" stopIfTrue="1" operator="equal">
      <formula>"Rejected"</formula>
    </cfRule>
  </conditionalFormatting>
  <conditionalFormatting sqref="B30:K30">
    <cfRule type="expression" dxfId="2347" priority="76" stopIfTrue="1">
      <formula>AND($M30="Approved",OR($L30=$R$1,$L30=$T$1))</formula>
    </cfRule>
  </conditionalFormatting>
  <conditionalFormatting sqref="L31">
    <cfRule type="expression" dxfId="2346" priority="65" stopIfTrue="1">
      <formula>AND($M31="Approved",$L31="Fixed")</formula>
    </cfRule>
    <cfRule type="cellIs" dxfId="2345" priority="66" stopIfTrue="1" operator="equal">
      <formula>"Fixed"</formula>
    </cfRule>
    <cfRule type="cellIs" dxfId="2344" priority="67" stopIfTrue="1" operator="equal">
      <formula>"Open"</formula>
    </cfRule>
  </conditionalFormatting>
  <conditionalFormatting sqref="M31">
    <cfRule type="expression" dxfId="2343" priority="68" stopIfTrue="1">
      <formula>OR(M31="Fixed",M31="Approved")</formula>
    </cfRule>
    <cfRule type="cellIs" dxfId="2342" priority="69" stopIfTrue="1" operator="equal">
      <formula>"Rejected"</formula>
    </cfRule>
  </conditionalFormatting>
  <conditionalFormatting sqref="B31:K31">
    <cfRule type="expression" dxfId="2341" priority="70" stopIfTrue="1">
      <formula>AND($M31="Approved",OR($L31=$R$1,$L31=$T$1))</formula>
    </cfRule>
  </conditionalFormatting>
  <conditionalFormatting sqref="B33">
    <cfRule type="expression" dxfId="2340" priority="64" stopIfTrue="1">
      <formula>AND($M33="Approved",OR($L33=$R$1,$L33=$T$1))</formula>
    </cfRule>
  </conditionalFormatting>
  <conditionalFormatting sqref="C33">
    <cfRule type="expression" dxfId="2339" priority="63" stopIfTrue="1">
      <formula>AND($M33="Approved",OR($L33=$R$1,$L33=$T$1))</formula>
    </cfRule>
  </conditionalFormatting>
  <conditionalFormatting sqref="L35">
    <cfRule type="expression" dxfId="2338" priority="57" stopIfTrue="1">
      <formula>AND($M35="Approved",$L35="Fixed")</formula>
    </cfRule>
    <cfRule type="cellIs" dxfId="2337" priority="58" stopIfTrue="1" operator="equal">
      <formula>"Fixed"</formula>
    </cfRule>
    <cfRule type="cellIs" dxfId="2336" priority="59" stopIfTrue="1" operator="equal">
      <formula>"Open"</formula>
    </cfRule>
  </conditionalFormatting>
  <conditionalFormatting sqref="M35">
    <cfRule type="expression" dxfId="2335" priority="60" stopIfTrue="1">
      <formula>OR(M35="Fixed",M35="Approved")</formula>
    </cfRule>
    <cfRule type="cellIs" dxfId="2334" priority="61" stopIfTrue="1" operator="equal">
      <formula>"Rejected"</formula>
    </cfRule>
  </conditionalFormatting>
  <conditionalFormatting sqref="B35:K35">
    <cfRule type="expression" dxfId="2333" priority="62" stopIfTrue="1">
      <formula>AND($M35="Approved",OR($L35=$R$1,$L35=$T$1))</formula>
    </cfRule>
  </conditionalFormatting>
  <conditionalFormatting sqref="L36">
    <cfRule type="expression" dxfId="2332" priority="51" stopIfTrue="1">
      <formula>AND($M36="Approved",$L36="Fixed")</formula>
    </cfRule>
    <cfRule type="cellIs" dxfId="2331" priority="52" stopIfTrue="1" operator="equal">
      <formula>"Fixed"</formula>
    </cfRule>
    <cfRule type="cellIs" dxfId="2330" priority="53" stopIfTrue="1" operator="equal">
      <formula>"Open"</formula>
    </cfRule>
  </conditionalFormatting>
  <conditionalFormatting sqref="M36">
    <cfRule type="expression" dxfId="2329" priority="54" stopIfTrue="1">
      <formula>OR(M36="Fixed",M36="Approved")</formula>
    </cfRule>
    <cfRule type="cellIs" dxfId="2328" priority="55" stopIfTrue="1" operator="equal">
      <formula>"Rejected"</formula>
    </cfRule>
  </conditionalFormatting>
  <conditionalFormatting sqref="B36:K36">
    <cfRule type="expression" dxfId="2327" priority="56" stopIfTrue="1">
      <formula>AND($M36="Approved",OR($L36=$R$1,$L36=$T$1))</formula>
    </cfRule>
  </conditionalFormatting>
  <conditionalFormatting sqref="L37">
    <cfRule type="expression" dxfId="2326" priority="45" stopIfTrue="1">
      <formula>AND($M37="Approved",$L37="Fixed")</formula>
    </cfRule>
    <cfRule type="cellIs" dxfId="2325" priority="46" stopIfTrue="1" operator="equal">
      <formula>"Fixed"</formula>
    </cfRule>
    <cfRule type="cellIs" dxfId="2324" priority="47" stopIfTrue="1" operator="equal">
      <formula>"Open"</formula>
    </cfRule>
  </conditionalFormatting>
  <conditionalFormatting sqref="M37">
    <cfRule type="expression" dxfId="2323" priority="48" stopIfTrue="1">
      <formula>OR(M37="Fixed",M37="Approved")</formula>
    </cfRule>
    <cfRule type="cellIs" dxfId="2322" priority="49" stopIfTrue="1" operator="equal">
      <formula>"Rejected"</formula>
    </cfRule>
  </conditionalFormatting>
  <conditionalFormatting sqref="B37:K37">
    <cfRule type="expression" dxfId="2321" priority="50" stopIfTrue="1">
      <formula>AND($M37="Approved",OR($L37=$R$1,$L37=$T$1))</formula>
    </cfRule>
  </conditionalFormatting>
  <conditionalFormatting sqref="L38">
    <cfRule type="expression" dxfId="2320" priority="39" stopIfTrue="1">
      <formula>AND($M38="Approved",$L38="Fixed")</formula>
    </cfRule>
    <cfRule type="cellIs" dxfId="2319" priority="40" stopIfTrue="1" operator="equal">
      <formula>"Fixed"</formula>
    </cfRule>
    <cfRule type="cellIs" dxfId="2318" priority="41" stopIfTrue="1" operator="equal">
      <formula>"Open"</formula>
    </cfRule>
  </conditionalFormatting>
  <conditionalFormatting sqref="M38">
    <cfRule type="expression" dxfId="2317" priority="42" stopIfTrue="1">
      <formula>OR(M38="Fixed",M38="Approved")</formula>
    </cfRule>
    <cfRule type="cellIs" dxfId="2316" priority="43" stopIfTrue="1" operator="equal">
      <formula>"Rejected"</formula>
    </cfRule>
  </conditionalFormatting>
  <conditionalFormatting sqref="B38:K38">
    <cfRule type="expression" dxfId="2315" priority="44" stopIfTrue="1">
      <formula>AND($M38="Approved",OR($L38=$R$1,$L38=$T$1))</formula>
    </cfRule>
  </conditionalFormatting>
  <conditionalFormatting sqref="C39">
    <cfRule type="expression" dxfId="2314" priority="38" stopIfTrue="1">
      <formula>AND($M39="Approved",OR($L39=$R$1,$L39=$T$1))</formula>
    </cfRule>
  </conditionalFormatting>
  <conditionalFormatting sqref="B40">
    <cfRule type="expression" dxfId="2313" priority="37" stopIfTrue="1">
      <formula>AND($M40="Approved",OR($L40=$R$1,$L40=$T$1))</formula>
    </cfRule>
  </conditionalFormatting>
  <conditionalFormatting sqref="C40">
    <cfRule type="expression" dxfId="2312" priority="36" stopIfTrue="1">
      <formula>AND($M40="Approved",OR($L40=$R$1,$L40=$T$1))</formula>
    </cfRule>
  </conditionalFormatting>
  <conditionalFormatting sqref="B41">
    <cfRule type="expression" dxfId="2311" priority="35" stopIfTrue="1">
      <formula>AND($M41="Approved",OR($L41=$R$1,$L41=$T$1))</formula>
    </cfRule>
  </conditionalFormatting>
  <conditionalFormatting sqref="C41">
    <cfRule type="expression" dxfId="2310" priority="34" stopIfTrue="1">
      <formula>AND($M41="Approved",OR($L41=$R$1,$L41=$T$1))</formula>
    </cfRule>
  </conditionalFormatting>
  <conditionalFormatting sqref="B42">
    <cfRule type="expression" dxfId="2309" priority="33" stopIfTrue="1">
      <formula>AND($M42="Approved",OR($L42=$R$1,$L42=$T$1))</formula>
    </cfRule>
  </conditionalFormatting>
  <conditionalFormatting sqref="C42">
    <cfRule type="expression" dxfId="2308" priority="32" stopIfTrue="1">
      <formula>AND($M42="Approved",OR($L42=$R$1,$L42=$T$1))</formula>
    </cfRule>
  </conditionalFormatting>
  <conditionalFormatting sqref="L44">
    <cfRule type="expression" dxfId="2307" priority="26" stopIfTrue="1">
      <formula>AND($M44="Approved",$L44="Fixed")</formula>
    </cfRule>
    <cfRule type="cellIs" dxfId="2306" priority="27" stopIfTrue="1" operator="equal">
      <formula>"Fixed"</formula>
    </cfRule>
    <cfRule type="cellIs" dxfId="2305" priority="28" stopIfTrue="1" operator="equal">
      <formula>"Open"</formula>
    </cfRule>
  </conditionalFormatting>
  <conditionalFormatting sqref="M44">
    <cfRule type="expression" dxfId="2304" priority="29" stopIfTrue="1">
      <formula>OR(M44="Fixed",M44="Approved")</formula>
    </cfRule>
    <cfRule type="cellIs" dxfId="2303" priority="30" stopIfTrue="1" operator="equal">
      <formula>"Rejected"</formula>
    </cfRule>
  </conditionalFormatting>
  <conditionalFormatting sqref="B44 D44:K44">
    <cfRule type="expression" dxfId="2302" priority="31" stopIfTrue="1">
      <formula>AND($M44="Approved",OR($L44=$R$1,$L44=$T$1))</formula>
    </cfRule>
  </conditionalFormatting>
  <conditionalFormatting sqref="L45">
    <cfRule type="expression" dxfId="2301" priority="20" stopIfTrue="1">
      <formula>AND($M45="Approved",$L45="Fixed")</formula>
    </cfRule>
    <cfRule type="cellIs" dxfId="2300" priority="21" stopIfTrue="1" operator="equal">
      <formula>"Fixed"</formula>
    </cfRule>
    <cfRule type="cellIs" dxfId="2299" priority="22" stopIfTrue="1" operator="equal">
      <formula>"Open"</formula>
    </cfRule>
  </conditionalFormatting>
  <conditionalFormatting sqref="M45">
    <cfRule type="expression" dxfId="2298" priority="23" stopIfTrue="1">
      <formula>OR(M45="Fixed",M45="Approved")</formula>
    </cfRule>
    <cfRule type="cellIs" dxfId="2297" priority="24" stopIfTrue="1" operator="equal">
      <formula>"Rejected"</formula>
    </cfRule>
  </conditionalFormatting>
  <conditionalFormatting sqref="B45 D45:K45">
    <cfRule type="expression" dxfId="2296" priority="25" stopIfTrue="1">
      <formula>AND($M45="Approved",OR($L45=$R$1,$L45=$T$1))</formula>
    </cfRule>
  </conditionalFormatting>
  <conditionalFormatting sqref="L46">
    <cfRule type="expression" dxfId="2295" priority="14" stopIfTrue="1">
      <formula>AND($M46="Approved",$L46="Fixed")</formula>
    </cfRule>
    <cfRule type="cellIs" dxfId="2294" priority="15" stopIfTrue="1" operator="equal">
      <formula>"Fixed"</formula>
    </cfRule>
    <cfRule type="cellIs" dxfId="2293" priority="16" stopIfTrue="1" operator="equal">
      <formula>"Open"</formula>
    </cfRule>
  </conditionalFormatting>
  <conditionalFormatting sqref="M46">
    <cfRule type="expression" dxfId="2292" priority="17" stopIfTrue="1">
      <formula>OR(M46="Fixed",M46="Approved")</formula>
    </cfRule>
    <cfRule type="cellIs" dxfId="2291" priority="18" stopIfTrue="1" operator="equal">
      <formula>"Rejected"</formula>
    </cfRule>
  </conditionalFormatting>
  <conditionalFormatting sqref="B46 D46:K46">
    <cfRule type="expression" dxfId="2290" priority="19" stopIfTrue="1">
      <formula>AND($M46="Approved",OR($L46=$R$1,$L46=$T$1))</formula>
    </cfRule>
  </conditionalFormatting>
  <conditionalFormatting sqref="B47">
    <cfRule type="expression" dxfId="2289" priority="13" stopIfTrue="1">
      <formula>AND($M47="Approved",OR($L47=$R$1,$L47=$T$1))</formula>
    </cfRule>
  </conditionalFormatting>
  <conditionalFormatting sqref="C44">
    <cfRule type="expression" dxfId="2288" priority="12" stopIfTrue="1">
      <formula>AND($M44="Approved",OR($L44=$R$1,$L44=$T$1))</formula>
    </cfRule>
  </conditionalFormatting>
  <conditionalFormatting sqref="C45">
    <cfRule type="expression" dxfId="2287" priority="11" stopIfTrue="1">
      <formula>AND($M45="Approved",OR($L45=$R$1,$L45=$T$1))</formula>
    </cfRule>
  </conditionalFormatting>
  <conditionalFormatting sqref="C46">
    <cfRule type="expression" dxfId="2286" priority="10" stopIfTrue="1">
      <formula>AND($M46="Approved",OR($L46=$R$1,$L46=$T$1))</formula>
    </cfRule>
  </conditionalFormatting>
  <conditionalFormatting sqref="C47">
    <cfRule type="expression" dxfId="2285" priority="9" stopIfTrue="1">
      <formula>AND($M47="Approved",OR($L47=$R$1,$L47=$T$1))</formula>
    </cfRule>
  </conditionalFormatting>
  <conditionalFormatting sqref="B52">
    <cfRule type="expression" dxfId="2284" priority="8" stopIfTrue="1">
      <formula>AND($M52="Approved",OR($L52=$R$1,$L52=$T$1))</formula>
    </cfRule>
  </conditionalFormatting>
  <conditionalFormatting sqref="L85">
    <cfRule type="expression" dxfId="2283" priority="3" stopIfTrue="1">
      <formula>AND($M85="Approved",$L85="Fixed")</formula>
    </cfRule>
    <cfRule type="cellIs" dxfId="2282" priority="4" stopIfTrue="1" operator="equal">
      <formula>"Fixed"</formula>
    </cfRule>
    <cfRule type="cellIs" dxfId="2281" priority="5" stopIfTrue="1" operator="equal">
      <formula>"Open"</formula>
    </cfRule>
  </conditionalFormatting>
  <conditionalFormatting sqref="M85">
    <cfRule type="expression" dxfId="2280" priority="6" stopIfTrue="1">
      <formula>OR(M85="Fixed",M85="Approved")</formula>
    </cfRule>
    <cfRule type="cellIs" dxfId="2279" priority="7" stopIfTrue="1" operator="equal">
      <formula>"Rejected"</formula>
    </cfRule>
  </conditionalFormatting>
  <conditionalFormatting sqref="M86:M90">
    <cfRule type="expression" dxfId="2278" priority="1" stopIfTrue="1">
      <formula>OR(M86="Fixed",M86="Approved")</formula>
    </cfRule>
    <cfRule type="cellIs" dxfId="2277" priority="2" stopIfTrue="1" operator="equal">
      <formula>"Rejected"</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K35"/>
  <sheetViews>
    <sheetView zoomScale="130" zoomScaleNormal="130" workbookViewId="0">
      <pane xSplit="1" ySplit="3" topLeftCell="B18" activePane="bottomRight" state="frozen"/>
      <selection pane="topRight" activeCell="B1" sqref="B1"/>
      <selection pane="bottomLeft" activeCell="A4" sqref="A4"/>
      <selection pane="bottomRight" activeCell="G3" sqref="G3"/>
    </sheetView>
  </sheetViews>
  <sheetFormatPr defaultColWidth="9.28515625" defaultRowHeight="12.75" outlineLevelCol="1"/>
  <cols>
    <col min="1" max="1" width="12.85546875" style="160" bestFit="1" customWidth="1"/>
    <col min="2" max="2" width="61" style="159" customWidth="1"/>
    <col min="3" max="3" width="11.85546875" style="158" customWidth="1"/>
    <col min="4" max="4" width="11" style="158" customWidth="1"/>
    <col min="5" max="5" width="10" style="158" customWidth="1"/>
    <col min="6" max="6" width="11" style="158" customWidth="1"/>
    <col min="7" max="7" width="10" style="158" customWidth="1"/>
    <col min="8" max="8" width="33.7109375" style="158" customWidth="1"/>
    <col min="9" max="10" width="30.7109375" style="158" customWidth="1" outlineLevel="1"/>
    <col min="11" max="16384" width="9.28515625" style="158"/>
  </cols>
  <sheetData>
    <row r="2" spans="1:11" ht="93.75" customHeight="1">
      <c r="A2" s="183" t="s">
        <v>214</v>
      </c>
      <c r="B2" s="184" t="s">
        <v>227</v>
      </c>
      <c r="C2" s="185" t="s">
        <v>561</v>
      </c>
      <c r="D2" s="185" t="s">
        <v>615</v>
      </c>
      <c r="E2" s="185" t="s">
        <v>618</v>
      </c>
      <c r="F2" s="185" t="s">
        <v>628</v>
      </c>
      <c r="G2" s="185" t="s">
        <v>625</v>
      </c>
      <c r="H2" s="186" t="s">
        <v>223</v>
      </c>
      <c r="I2" s="352" t="s">
        <v>186</v>
      </c>
      <c r="J2" s="353"/>
    </row>
    <row r="3" spans="1:11" ht="18.75">
      <c r="A3" s="187"/>
      <c r="B3" s="188"/>
      <c r="C3" s="189">
        <f>COUNTIF(Review.ratings,"Yes") / ( COUNTA(Review.QuestionIds) - COUNTIF(Review.ratings,"NA"))</f>
        <v>0.90909090909090906</v>
      </c>
      <c r="D3" s="189">
        <f>COUNTIF(Review.ratings,"Yes") / ( COUNTA(Review.QuestionIds) - COUNTIF(Review.ratings,"NA"))</f>
        <v>0.90909090909090906</v>
      </c>
      <c r="E3" s="189">
        <f>COUNTIF(Review.ratings,"Yes") / ( COUNTA(Review.QuestionIds) - COUNTIF(Review.ratings,"NA"))</f>
        <v>0.90909090909090906</v>
      </c>
      <c r="F3" s="189">
        <f>COUNTIF(Review.ratings,"Yes") / ( COUNTA(Review.QuestionIds) - COUNTIF(Review.ratings,"NA"))</f>
        <v>0.90909090909090906</v>
      </c>
      <c r="G3" s="189">
        <f>COUNTIF(Review.ratings,"Yes") / ( COUNTA(Review.QuestionIds) - COUNTIF(Review.ratings,"NA"))</f>
        <v>0.90909090909090906</v>
      </c>
      <c r="H3" s="194"/>
      <c r="I3" s="202" t="s">
        <v>220</v>
      </c>
      <c r="J3" s="202" t="s">
        <v>221</v>
      </c>
      <c r="K3" s="195"/>
    </row>
    <row r="4" spans="1:11" ht="36">
      <c r="A4" s="190"/>
      <c r="B4" s="191" t="s">
        <v>225</v>
      </c>
      <c r="C4" s="192"/>
      <c r="D4" s="192"/>
      <c r="E4" s="192"/>
      <c r="F4" s="192"/>
      <c r="G4" s="192"/>
      <c r="H4" s="192"/>
      <c r="I4" s="192"/>
      <c r="J4" s="193"/>
      <c r="K4" s="25"/>
    </row>
    <row r="5" spans="1:11" ht="18.75">
      <c r="A5" s="161"/>
      <c r="B5" s="169" t="s">
        <v>224</v>
      </c>
      <c r="C5" s="162"/>
      <c r="D5" s="162"/>
      <c r="E5" s="162"/>
      <c r="F5" s="162"/>
      <c r="G5" s="162"/>
      <c r="H5" s="162"/>
      <c r="I5" s="202"/>
      <c r="J5" s="202"/>
    </row>
    <row r="6" spans="1:11" ht="38.25">
      <c r="A6" s="164" t="s">
        <v>337</v>
      </c>
      <c r="B6" s="172" t="s">
        <v>226</v>
      </c>
      <c r="C6" s="196" t="s">
        <v>213</v>
      </c>
      <c r="D6" s="196" t="s">
        <v>213</v>
      </c>
      <c r="E6" s="196" t="s">
        <v>213</v>
      </c>
      <c r="F6" s="196" t="s">
        <v>213</v>
      </c>
      <c r="G6" s="196" t="s">
        <v>213</v>
      </c>
      <c r="H6" s="206"/>
      <c r="I6" s="163"/>
      <c r="J6" s="163"/>
    </row>
    <row r="7" spans="1:11" ht="18.75">
      <c r="A7" s="161"/>
      <c r="B7" s="169" t="s">
        <v>262</v>
      </c>
      <c r="C7" s="162"/>
      <c r="D7" s="162"/>
      <c r="E7" s="162"/>
      <c r="F7" s="162"/>
      <c r="G7" s="162"/>
      <c r="H7" s="162"/>
      <c r="I7" s="202"/>
      <c r="J7" s="202"/>
    </row>
    <row r="8" spans="1:11" ht="38.25">
      <c r="A8" s="164" t="s">
        <v>339</v>
      </c>
      <c r="B8" s="172" t="s">
        <v>263</v>
      </c>
      <c r="C8" s="196" t="s">
        <v>213</v>
      </c>
      <c r="D8" s="196" t="s">
        <v>23</v>
      </c>
      <c r="E8" s="196" t="s">
        <v>23</v>
      </c>
      <c r="F8" s="196" t="s">
        <v>23</v>
      </c>
      <c r="G8" s="196" t="s">
        <v>23</v>
      </c>
      <c r="H8" s="206" t="s">
        <v>616</v>
      </c>
      <c r="I8" s="163"/>
      <c r="J8" s="163"/>
    </row>
    <row r="9" spans="1:11" ht="25.5">
      <c r="A9" s="164" t="s">
        <v>340</v>
      </c>
      <c r="B9" s="172" t="s">
        <v>264</v>
      </c>
      <c r="C9" s="196" t="s">
        <v>213</v>
      </c>
      <c r="D9" s="196" t="s">
        <v>213</v>
      </c>
      <c r="E9" s="196" t="s">
        <v>213</v>
      </c>
      <c r="F9" s="196" t="s">
        <v>213</v>
      </c>
      <c r="G9" s="196" t="s">
        <v>213</v>
      </c>
      <c r="H9" s="197"/>
      <c r="I9" s="163"/>
      <c r="J9" s="163"/>
    </row>
    <row r="10" spans="1:11" ht="38.25">
      <c r="A10" s="164" t="s">
        <v>341</v>
      </c>
      <c r="B10" s="172" t="s">
        <v>342</v>
      </c>
      <c r="C10" s="196" t="s">
        <v>213</v>
      </c>
      <c r="D10" s="196" t="s">
        <v>213</v>
      </c>
      <c r="E10" s="196" t="s">
        <v>213</v>
      </c>
      <c r="F10" s="196" t="s">
        <v>213</v>
      </c>
      <c r="G10" s="196" t="s">
        <v>213</v>
      </c>
      <c r="H10" s="197"/>
      <c r="I10" s="163"/>
      <c r="J10" s="163"/>
    </row>
    <row r="11" spans="1:11" ht="25.5">
      <c r="A11" s="164" t="s">
        <v>343</v>
      </c>
      <c r="B11" s="172" t="s">
        <v>265</v>
      </c>
      <c r="C11" s="196" t="s">
        <v>213</v>
      </c>
      <c r="D11" s="196" t="s">
        <v>213</v>
      </c>
      <c r="E11" s="196" t="s">
        <v>213</v>
      </c>
      <c r="F11" s="196" t="s">
        <v>213</v>
      </c>
      <c r="G11" s="196" t="s">
        <v>213</v>
      </c>
      <c r="H11" s="197"/>
      <c r="I11" s="163"/>
      <c r="J11" s="163"/>
    </row>
    <row r="12" spans="1:11" ht="51">
      <c r="A12" s="164" t="s">
        <v>344</v>
      </c>
      <c r="B12" s="172" t="s">
        <v>266</v>
      </c>
      <c r="C12" s="196" t="s">
        <v>213</v>
      </c>
      <c r="D12" s="196" t="s">
        <v>213</v>
      </c>
      <c r="E12" s="196" t="s">
        <v>213</v>
      </c>
      <c r="F12" s="196" t="s">
        <v>213</v>
      </c>
      <c r="G12" s="196" t="s">
        <v>213</v>
      </c>
      <c r="H12" s="197"/>
      <c r="I12" s="163"/>
      <c r="J12" s="163"/>
    </row>
    <row r="13" spans="1:11" ht="25.5">
      <c r="A13" s="164" t="s">
        <v>345</v>
      </c>
      <c r="B13" s="172" t="s">
        <v>267</v>
      </c>
      <c r="C13" s="196" t="s">
        <v>213</v>
      </c>
      <c r="D13" s="196" t="s">
        <v>213</v>
      </c>
      <c r="E13" s="196" t="s">
        <v>213</v>
      </c>
      <c r="F13" s="196" t="s">
        <v>213</v>
      </c>
      <c r="G13" s="196" t="s">
        <v>213</v>
      </c>
      <c r="H13" s="197"/>
      <c r="I13" s="163"/>
      <c r="J13" s="163"/>
    </row>
    <row r="14" spans="1:11" ht="25.5">
      <c r="A14" s="164" t="s">
        <v>346</v>
      </c>
      <c r="B14" s="172" t="s">
        <v>268</v>
      </c>
      <c r="C14" s="196" t="s">
        <v>213</v>
      </c>
      <c r="D14" s="196" t="s">
        <v>213</v>
      </c>
      <c r="E14" s="196" t="s">
        <v>213</v>
      </c>
      <c r="F14" s="196" t="s">
        <v>213</v>
      </c>
      <c r="G14" s="196" t="s">
        <v>213</v>
      </c>
      <c r="H14" s="197"/>
      <c r="I14" s="163"/>
      <c r="J14" s="163"/>
    </row>
    <row r="15" spans="1:11" ht="38.25">
      <c r="A15" s="164" t="s">
        <v>347</v>
      </c>
      <c r="B15" s="172" t="s">
        <v>269</v>
      </c>
      <c r="C15" s="196" t="s">
        <v>213</v>
      </c>
      <c r="D15" s="196" t="s">
        <v>213</v>
      </c>
      <c r="E15" s="196" t="s">
        <v>213</v>
      </c>
      <c r="F15" s="196" t="s">
        <v>213</v>
      </c>
      <c r="G15" s="196" t="s">
        <v>213</v>
      </c>
      <c r="H15" s="197"/>
      <c r="I15" s="163"/>
      <c r="J15" s="163"/>
    </row>
    <row r="16" spans="1:11" ht="25.5">
      <c r="A16" s="164" t="s">
        <v>348</v>
      </c>
      <c r="B16" s="172" t="s">
        <v>338</v>
      </c>
      <c r="C16" s="196" t="s">
        <v>213</v>
      </c>
      <c r="D16" s="196" t="s">
        <v>213</v>
      </c>
      <c r="E16" s="196" t="s">
        <v>213</v>
      </c>
      <c r="F16" s="196" t="s">
        <v>213</v>
      </c>
      <c r="G16" s="196" t="s">
        <v>213</v>
      </c>
      <c r="H16" s="197"/>
      <c r="I16" s="163"/>
      <c r="J16" s="163"/>
    </row>
    <row r="17" spans="1:10" ht="38.25">
      <c r="A17" s="164" t="s">
        <v>349</v>
      </c>
      <c r="B17" s="172" t="s">
        <v>350</v>
      </c>
      <c r="C17" s="196" t="s">
        <v>213</v>
      </c>
      <c r="D17" s="196" t="s">
        <v>213</v>
      </c>
      <c r="E17" s="196" t="s">
        <v>213</v>
      </c>
      <c r="F17" s="196" t="s">
        <v>213</v>
      </c>
      <c r="G17" s="196" t="s">
        <v>213</v>
      </c>
      <c r="H17" s="197"/>
      <c r="I17" s="163"/>
      <c r="J17" s="163"/>
    </row>
    <row r="18" spans="1:10" ht="38.25">
      <c r="A18" s="164" t="s">
        <v>351</v>
      </c>
      <c r="B18" s="172" t="s">
        <v>270</v>
      </c>
      <c r="C18" s="196" t="s">
        <v>213</v>
      </c>
      <c r="D18" s="196" t="s">
        <v>213</v>
      </c>
      <c r="E18" s="196" t="s">
        <v>213</v>
      </c>
      <c r="F18" s="196" t="s">
        <v>213</v>
      </c>
      <c r="G18" s="196" t="s">
        <v>213</v>
      </c>
      <c r="H18" s="197"/>
      <c r="I18" s="163"/>
      <c r="J18" s="163"/>
    </row>
    <row r="19" spans="1:10" ht="25.5">
      <c r="A19" s="164" t="s">
        <v>352</v>
      </c>
      <c r="B19" s="172" t="s">
        <v>271</v>
      </c>
      <c r="C19" s="196" t="s">
        <v>213</v>
      </c>
      <c r="D19" s="196" t="s">
        <v>213</v>
      </c>
      <c r="E19" s="196" t="s">
        <v>213</v>
      </c>
      <c r="F19" s="196" t="s">
        <v>213</v>
      </c>
      <c r="G19" s="196" t="s">
        <v>213</v>
      </c>
      <c r="H19" s="197"/>
      <c r="I19" s="163"/>
      <c r="J19" s="163"/>
    </row>
    <row r="20" spans="1:10" ht="25.5">
      <c r="A20" s="164" t="s">
        <v>353</v>
      </c>
      <c r="B20" s="172" t="s">
        <v>272</v>
      </c>
      <c r="C20" s="196" t="s">
        <v>213</v>
      </c>
      <c r="D20" s="196" t="s">
        <v>213</v>
      </c>
      <c r="E20" s="196" t="s">
        <v>213</v>
      </c>
      <c r="F20" s="196" t="s">
        <v>213</v>
      </c>
      <c r="G20" s="196" t="s">
        <v>213</v>
      </c>
      <c r="H20" s="197"/>
      <c r="I20" s="163"/>
      <c r="J20" s="163"/>
    </row>
    <row r="21" spans="1:10" ht="38.25">
      <c r="A21" s="164" t="s">
        <v>354</v>
      </c>
      <c r="B21" s="172" t="s">
        <v>273</v>
      </c>
      <c r="C21" s="196" t="s">
        <v>213</v>
      </c>
      <c r="D21" s="196" t="s">
        <v>213</v>
      </c>
      <c r="E21" s="196" t="s">
        <v>213</v>
      </c>
      <c r="F21" s="196" t="s">
        <v>213</v>
      </c>
      <c r="G21" s="196" t="s">
        <v>213</v>
      </c>
      <c r="H21" s="197"/>
      <c r="I21" s="163"/>
      <c r="J21" s="163"/>
    </row>
    <row r="22" spans="1:10" ht="38.25">
      <c r="A22" s="164" t="s">
        <v>355</v>
      </c>
      <c r="B22" s="172" t="s">
        <v>356</v>
      </c>
      <c r="C22" s="196" t="s">
        <v>213</v>
      </c>
      <c r="D22" s="196" t="s">
        <v>213</v>
      </c>
      <c r="E22" s="196" t="s">
        <v>213</v>
      </c>
      <c r="F22" s="196" t="s">
        <v>213</v>
      </c>
      <c r="G22" s="196" t="s">
        <v>213</v>
      </c>
      <c r="H22" s="197"/>
      <c r="I22" s="163"/>
      <c r="J22" s="163"/>
    </row>
    <row r="23" spans="1:10" ht="18.75">
      <c r="A23" s="161"/>
      <c r="B23" s="169" t="s">
        <v>217</v>
      </c>
      <c r="C23" s="162"/>
      <c r="D23" s="162"/>
      <c r="E23" s="162"/>
      <c r="F23" s="162"/>
      <c r="G23" s="162"/>
      <c r="H23" s="162"/>
      <c r="I23" s="202"/>
      <c r="J23" s="202"/>
    </row>
    <row r="24" spans="1:10" ht="38.25">
      <c r="A24" s="164" t="s">
        <v>312</v>
      </c>
      <c r="B24" s="172" t="s">
        <v>207</v>
      </c>
      <c r="C24" s="196" t="s">
        <v>23</v>
      </c>
      <c r="D24" s="196" t="s">
        <v>213</v>
      </c>
      <c r="E24" s="196" t="s">
        <v>213</v>
      </c>
      <c r="F24" s="196" t="s">
        <v>213</v>
      </c>
      <c r="G24" s="196" t="s">
        <v>213</v>
      </c>
      <c r="H24" s="206" t="s">
        <v>563</v>
      </c>
      <c r="I24" s="163"/>
      <c r="J24" s="163"/>
    </row>
    <row r="25" spans="1:10" ht="25.5">
      <c r="A25" s="164" t="s">
        <v>313</v>
      </c>
      <c r="B25" s="172" t="s">
        <v>208</v>
      </c>
      <c r="C25" s="196" t="s">
        <v>213</v>
      </c>
      <c r="D25" s="196" t="s">
        <v>213</v>
      </c>
      <c r="E25" s="196" t="s">
        <v>213</v>
      </c>
      <c r="F25" s="196" t="s">
        <v>213</v>
      </c>
      <c r="G25" s="196" t="s">
        <v>213</v>
      </c>
      <c r="H25" s="197"/>
      <c r="I25" s="163"/>
      <c r="J25" s="163"/>
    </row>
    <row r="26" spans="1:10" ht="38.25">
      <c r="A26" s="164" t="s">
        <v>314</v>
      </c>
      <c r="B26" s="172" t="s">
        <v>209</v>
      </c>
      <c r="C26" s="196" t="s">
        <v>23</v>
      </c>
      <c r="D26" s="196" t="s">
        <v>213</v>
      </c>
      <c r="E26" s="196" t="s">
        <v>213</v>
      </c>
      <c r="F26" s="196" t="s">
        <v>213</v>
      </c>
      <c r="G26" s="196" t="s">
        <v>213</v>
      </c>
      <c r="H26" s="206" t="s">
        <v>563</v>
      </c>
      <c r="I26" s="163"/>
      <c r="J26" s="163"/>
    </row>
    <row r="27" spans="1:10" ht="38.25">
      <c r="A27" s="164" t="s">
        <v>315</v>
      </c>
      <c r="B27" s="172" t="s">
        <v>210</v>
      </c>
      <c r="C27" s="196" t="s">
        <v>213</v>
      </c>
      <c r="D27" s="196" t="s">
        <v>213</v>
      </c>
      <c r="E27" s="196" t="s">
        <v>213</v>
      </c>
      <c r="F27" s="196" t="s">
        <v>213</v>
      </c>
      <c r="G27" s="196" t="s">
        <v>213</v>
      </c>
      <c r="H27" s="197"/>
      <c r="I27" s="163"/>
      <c r="J27" s="163"/>
    </row>
    <row r="28" spans="1:10" ht="18.75">
      <c r="A28" s="161"/>
      <c r="B28" s="169" t="s">
        <v>218</v>
      </c>
      <c r="C28" s="162"/>
      <c r="D28" s="162"/>
      <c r="E28" s="162"/>
      <c r="F28" s="162"/>
      <c r="G28" s="162"/>
      <c r="H28" s="162"/>
      <c r="I28" s="202"/>
      <c r="J28" s="202"/>
    </row>
    <row r="29" spans="1:10" ht="38.25">
      <c r="A29" s="164" t="s">
        <v>316</v>
      </c>
      <c r="B29" s="172" t="s">
        <v>211</v>
      </c>
      <c r="C29" s="196" t="s">
        <v>213</v>
      </c>
      <c r="D29" s="196" t="s">
        <v>213</v>
      </c>
      <c r="E29" s="196" t="s">
        <v>213</v>
      </c>
      <c r="F29" s="196" t="s">
        <v>213</v>
      </c>
      <c r="G29" s="196" t="s">
        <v>213</v>
      </c>
      <c r="H29" s="197"/>
      <c r="I29" s="163"/>
      <c r="J29" s="163"/>
    </row>
    <row r="30" spans="1:10" ht="38.25">
      <c r="A30" s="164" t="s">
        <v>317</v>
      </c>
      <c r="B30" s="172" t="s">
        <v>212</v>
      </c>
      <c r="C30" s="196" t="s">
        <v>213</v>
      </c>
      <c r="D30" s="196" t="s">
        <v>213</v>
      </c>
      <c r="E30" s="196" t="s">
        <v>213</v>
      </c>
      <c r="F30" s="196" t="s">
        <v>213</v>
      </c>
      <c r="G30" s="196" t="s">
        <v>213</v>
      </c>
      <c r="H30" s="197"/>
      <c r="I30" s="163"/>
      <c r="J30" s="163"/>
    </row>
    <row r="31" spans="1:10" ht="18.75">
      <c r="A31" s="161"/>
      <c r="B31" s="169" t="s">
        <v>205</v>
      </c>
      <c r="C31" s="162"/>
      <c r="D31" s="162"/>
      <c r="E31" s="162"/>
      <c r="F31" s="162"/>
      <c r="G31" s="162"/>
      <c r="H31" s="162"/>
      <c r="I31" s="202"/>
      <c r="J31" s="202"/>
    </row>
    <row r="32" spans="1:10" ht="51">
      <c r="A32" s="164" t="s">
        <v>318</v>
      </c>
      <c r="B32" s="172" t="s">
        <v>206</v>
      </c>
      <c r="C32" s="196" t="s">
        <v>11</v>
      </c>
      <c r="D32" s="196" t="s">
        <v>11</v>
      </c>
      <c r="E32" s="196" t="s">
        <v>11</v>
      </c>
      <c r="F32" s="196" t="s">
        <v>11</v>
      </c>
      <c r="G32" s="196" t="s">
        <v>11</v>
      </c>
      <c r="H32" s="206" t="s">
        <v>375</v>
      </c>
      <c r="I32" s="163"/>
      <c r="J32" s="163"/>
    </row>
    <row r="33" spans="1:10" ht="18">
      <c r="A33" s="198"/>
      <c r="B33" s="199" t="s">
        <v>222</v>
      </c>
      <c r="C33" s="198"/>
      <c r="D33" s="198"/>
      <c r="E33" s="198"/>
      <c r="F33" s="198"/>
      <c r="G33" s="198"/>
      <c r="H33" s="198"/>
      <c r="I33" s="198"/>
      <c r="J33" s="198"/>
    </row>
    <row r="34" spans="1:10">
      <c r="A34" s="164"/>
      <c r="B34" s="172"/>
    </row>
    <row r="35" spans="1:10" ht="15">
      <c r="A35" s="200"/>
      <c r="B35" s="201" t="s">
        <v>336</v>
      </c>
      <c r="C35" s="200"/>
      <c r="D35" s="200"/>
      <c r="E35" s="200"/>
      <c r="F35" s="200"/>
      <c r="G35" s="200"/>
      <c r="H35" s="200"/>
      <c r="I35" s="200"/>
      <c r="J35" s="200"/>
    </row>
  </sheetData>
  <mergeCells count="1">
    <mergeCell ref="I2:J2"/>
  </mergeCells>
  <conditionalFormatting sqref="C24:G24">
    <cfRule type="cellIs" dxfId="2276" priority="335" operator="equal">
      <formula>"No"</formula>
    </cfRule>
    <cfRule type="cellIs" dxfId="2275" priority="336" operator="equal">
      <formula>"NA"</formula>
    </cfRule>
    <cfRule type="cellIs" dxfId="2274" priority="337" operator="equal">
      <formula>"Yes"</formula>
    </cfRule>
  </conditionalFormatting>
  <conditionalFormatting sqref="C25:G25">
    <cfRule type="cellIs" dxfId="2273" priority="289" operator="equal">
      <formula>"No"</formula>
    </cfRule>
    <cfRule type="cellIs" dxfId="2272" priority="290" operator="equal">
      <formula>"NA"</formula>
    </cfRule>
    <cfRule type="cellIs" dxfId="2271" priority="291" operator="equal">
      <formula>"Yes"</formula>
    </cfRule>
  </conditionalFormatting>
  <conditionalFormatting sqref="C32:G32">
    <cfRule type="cellIs" dxfId="2270" priority="59" operator="equal">
      <formula>"No"</formula>
    </cfRule>
    <cfRule type="cellIs" dxfId="2269" priority="60" operator="equal">
      <formula>"NA"</formula>
    </cfRule>
    <cfRule type="cellIs" dxfId="2268" priority="61" operator="equal">
      <formula>"Yes"</formula>
    </cfRule>
  </conditionalFormatting>
  <conditionalFormatting sqref="C26:G27">
    <cfRule type="cellIs" dxfId="2267" priority="13" operator="equal">
      <formula>"No"</formula>
    </cfRule>
    <cfRule type="cellIs" dxfId="2266" priority="14" operator="equal">
      <formula>"NA"</formula>
    </cfRule>
    <cfRule type="cellIs" dxfId="2265" priority="15" operator="equal">
      <formula>"Yes"</formula>
    </cfRule>
  </conditionalFormatting>
  <conditionalFormatting sqref="C29:G30">
    <cfRule type="cellIs" dxfId="2264" priority="10" operator="equal">
      <formula>"No"</formula>
    </cfRule>
    <cfRule type="cellIs" dxfId="2263" priority="11" operator="equal">
      <formula>"NA"</formula>
    </cfRule>
    <cfRule type="cellIs" dxfId="2262" priority="12" operator="equal">
      <formula>"Yes"</formula>
    </cfRule>
  </conditionalFormatting>
  <conditionalFormatting sqref="C16:G22">
    <cfRule type="cellIs" dxfId="2261" priority="7" operator="equal">
      <formula>"No"</formula>
    </cfRule>
    <cfRule type="cellIs" dxfId="2260" priority="8" operator="equal">
      <formula>"NA"</formula>
    </cfRule>
    <cfRule type="cellIs" dxfId="2259" priority="9" operator="equal">
      <formula>"Yes"</formula>
    </cfRule>
  </conditionalFormatting>
  <conditionalFormatting sqref="C8:G15">
    <cfRule type="cellIs" dxfId="2258" priority="4" operator="equal">
      <formula>"No"</formula>
    </cfRule>
    <cfRule type="cellIs" dxfId="2257" priority="5" operator="equal">
      <formula>"NA"</formula>
    </cfRule>
    <cfRule type="cellIs" dxfId="2256" priority="6" operator="equal">
      <formula>"Yes"</formula>
    </cfRule>
  </conditionalFormatting>
  <conditionalFormatting sqref="C6:G6">
    <cfRule type="cellIs" dxfId="2255" priority="1" operator="equal">
      <formula>"No"</formula>
    </cfRule>
    <cfRule type="cellIs" dxfId="2254" priority="2" operator="equal">
      <formula>"NA"</formula>
    </cfRule>
    <cfRule type="cellIs" dxfId="2253" priority="3" operator="equal">
      <formula>"Yes"</formula>
    </cfRule>
  </conditionalFormatting>
  <dataValidations count="1">
    <dataValidation type="list" allowBlank="1" showInputMessage="1" showErrorMessage="1" sqref="C6:G6 C24:G27 C32:G32 C29:G30 C8:G2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AP36"/>
  <sheetViews>
    <sheetView zoomScaleNormal="100" workbookViewId="0">
      <pane xSplit="1" ySplit="3" topLeftCell="B4" activePane="bottomRight" state="frozen"/>
      <selection pane="topRight" activeCell="B1" sqref="B1"/>
      <selection pane="bottomLeft" activeCell="A4" sqref="A4"/>
      <selection pane="bottomRight" activeCell="AL3" sqref="AL3"/>
    </sheetView>
  </sheetViews>
  <sheetFormatPr defaultColWidth="9.28515625" defaultRowHeight="12.75" outlineLevelCol="1"/>
  <cols>
    <col min="1" max="1" width="13" style="160" bestFit="1" customWidth="1"/>
    <col min="2" max="2" width="61" style="159" customWidth="1"/>
    <col min="3" max="12" width="6.28515625" style="158" hidden="1" customWidth="1"/>
    <col min="13" max="13" width="6.28515625" style="158" customWidth="1"/>
    <col min="14" max="17" width="6.28515625" style="158" bestFit="1" customWidth="1"/>
    <col min="18" max="18" width="6.28515625" style="158" customWidth="1"/>
    <col min="19" max="20" width="6.28515625" style="158" bestFit="1" customWidth="1"/>
    <col min="21" max="21" width="6.42578125" style="158" customWidth="1"/>
    <col min="22" max="38" width="6.28515625" style="158" customWidth="1"/>
    <col min="39" max="39" width="33.7109375" style="158" customWidth="1"/>
    <col min="40" max="41" width="30.7109375" style="158" customWidth="1" outlineLevel="1"/>
    <col min="42" max="16384" width="9.28515625" style="158"/>
  </cols>
  <sheetData>
    <row r="2" spans="1:42" ht="69">
      <c r="A2" s="183" t="s">
        <v>214</v>
      </c>
      <c r="B2" s="184" t="s">
        <v>228</v>
      </c>
      <c r="C2" s="185" t="s">
        <v>421</v>
      </c>
      <c r="D2" s="185" t="s">
        <v>421</v>
      </c>
      <c r="E2" s="185" t="s">
        <v>422</v>
      </c>
      <c r="F2" s="185" t="s">
        <v>423</v>
      </c>
      <c r="G2" s="185" t="s">
        <v>424</v>
      </c>
      <c r="H2" s="185" t="s">
        <v>439</v>
      </c>
      <c r="I2" s="185" t="s">
        <v>479</v>
      </c>
      <c r="J2" s="185" t="s">
        <v>455</v>
      </c>
      <c r="K2" s="185" t="s">
        <v>468</v>
      </c>
      <c r="L2" s="185" t="s">
        <v>475</v>
      </c>
      <c r="M2" s="185" t="s">
        <v>480</v>
      </c>
      <c r="N2" s="185" t="s">
        <v>484</v>
      </c>
      <c r="O2" s="185" t="s">
        <v>487</v>
      </c>
      <c r="P2" s="185" t="s">
        <v>490</v>
      </c>
      <c r="Q2" s="185" t="s">
        <v>560</v>
      </c>
      <c r="R2" s="185" t="s">
        <v>503</v>
      </c>
      <c r="S2" s="185" t="s">
        <v>504</v>
      </c>
      <c r="T2" s="185" t="s">
        <v>505</v>
      </c>
      <c r="U2" s="185" t="s">
        <v>553</v>
      </c>
      <c r="V2" s="185" t="s">
        <v>554</v>
      </c>
      <c r="W2" s="185" t="s">
        <v>574</v>
      </c>
      <c r="X2" s="185" t="s">
        <v>575</v>
      </c>
      <c r="Y2" s="185" t="s">
        <v>576</v>
      </c>
      <c r="Z2" s="185" t="s">
        <v>577</v>
      </c>
      <c r="AA2" s="185" t="s">
        <v>578</v>
      </c>
      <c r="AB2" s="185" t="s">
        <v>585</v>
      </c>
      <c r="AC2" s="185" t="s">
        <v>596</v>
      </c>
      <c r="AD2" s="185" t="s">
        <v>597</v>
      </c>
      <c r="AE2" s="185" t="s">
        <v>598</v>
      </c>
      <c r="AF2" s="185" t="s">
        <v>599</v>
      </c>
      <c r="AG2" s="185" t="s">
        <v>600</v>
      </c>
      <c r="AH2" s="185" t="s">
        <v>602</v>
      </c>
      <c r="AI2" s="185" t="s">
        <v>604</v>
      </c>
      <c r="AJ2" s="185" t="s">
        <v>610</v>
      </c>
      <c r="AK2" s="185" t="s">
        <v>609</v>
      </c>
      <c r="AL2" s="185" t="s">
        <v>608</v>
      </c>
      <c r="AM2" s="186" t="s">
        <v>223</v>
      </c>
      <c r="AN2" s="352" t="s">
        <v>186</v>
      </c>
      <c r="AO2" s="353"/>
    </row>
    <row r="3" spans="1:42" ht="18.75">
      <c r="A3" s="187"/>
      <c r="B3" s="188"/>
      <c r="C3" s="189">
        <f>COUNTIF(C5:C36,"Yes") / ( COUNTA(C5:C36) - COUNTIF(C5:C36,"NA"))</f>
        <v>0.81818181818181823</v>
      </c>
      <c r="D3" s="189">
        <f t="shared" ref="D3:H3" si="0">COUNTIF(D5:D36,"Yes") / ( COUNTA(D5:D36) - COUNTIF(D5:D36,"NA"))</f>
        <v>0.81818181818181823</v>
      </c>
      <c r="E3" s="189">
        <f t="shared" si="0"/>
        <v>0.81818181818181823</v>
      </c>
      <c r="F3" s="189">
        <f t="shared" si="0"/>
        <v>0.78260869565217395</v>
      </c>
      <c r="G3" s="189">
        <f t="shared" si="0"/>
        <v>0.78260869565217395</v>
      </c>
      <c r="H3" s="189">
        <f t="shared" si="0"/>
        <v>1</v>
      </c>
      <c r="I3" s="189">
        <f t="shared" ref="I3:L3" si="1">COUNTIF(I5:I36,"Yes") / ( COUNTA(I5:I36) - COUNTIF(I5:I36,"NA"))</f>
        <v>1</v>
      </c>
      <c r="J3" s="189">
        <f t="shared" si="1"/>
        <v>0.95238095238095233</v>
      </c>
      <c r="K3" s="189">
        <f t="shared" si="1"/>
        <v>0.91304347826086951</v>
      </c>
      <c r="L3" s="189">
        <f t="shared" si="1"/>
        <v>1</v>
      </c>
      <c r="M3" s="189">
        <f t="shared" ref="M3:Q3" si="2">COUNTIF(M5:M36,"Yes") / ( COUNTA(M5:M36) - COUNTIF(M5:M36,"NA"))</f>
        <v>1</v>
      </c>
      <c r="N3" s="189">
        <f t="shared" si="2"/>
        <v>1</v>
      </c>
      <c r="O3" s="189">
        <f t="shared" si="2"/>
        <v>1</v>
      </c>
      <c r="P3" s="189">
        <f t="shared" si="2"/>
        <v>1</v>
      </c>
      <c r="Q3" s="189">
        <f t="shared" si="2"/>
        <v>1</v>
      </c>
      <c r="R3" s="189">
        <f t="shared" ref="R3:T3" si="3">COUNTIF(R5:R36,"Yes") / ( COUNTA(R5:R36) - COUNTIF(R5:R36,"NA"))</f>
        <v>1</v>
      </c>
      <c r="S3" s="189">
        <f t="shared" si="3"/>
        <v>1</v>
      </c>
      <c r="T3" s="189">
        <f t="shared" si="3"/>
        <v>1</v>
      </c>
      <c r="U3" s="189">
        <f t="shared" ref="U3:AA3" si="4">COUNTIF(U5:U36,"Yes") / ( COUNTA(U5:U36) - COUNTIF(U5:U36,"NA"))</f>
        <v>1</v>
      </c>
      <c r="V3" s="189">
        <f t="shared" si="4"/>
        <v>1</v>
      </c>
      <c r="W3" s="189">
        <f t="shared" si="4"/>
        <v>1</v>
      </c>
      <c r="X3" s="189">
        <f t="shared" si="4"/>
        <v>1</v>
      </c>
      <c r="Y3" s="189">
        <f t="shared" si="4"/>
        <v>1</v>
      </c>
      <c r="Z3" s="189">
        <f t="shared" si="4"/>
        <v>1</v>
      </c>
      <c r="AA3" s="189">
        <f t="shared" si="4"/>
        <v>1</v>
      </c>
      <c r="AB3" s="189">
        <f t="shared" ref="AB3:AG3" si="5">COUNTIF(AB5:AB36,"Yes") / ( COUNTA(AB5:AB36) - COUNTIF(AB5:AB36,"NA"))</f>
        <v>1</v>
      </c>
      <c r="AC3" s="189">
        <f t="shared" si="5"/>
        <v>0.91304347826086951</v>
      </c>
      <c r="AD3" s="189">
        <f t="shared" si="5"/>
        <v>1</v>
      </c>
      <c r="AE3" s="189">
        <f t="shared" si="5"/>
        <v>1</v>
      </c>
      <c r="AF3" s="189">
        <f t="shared" si="5"/>
        <v>1</v>
      </c>
      <c r="AG3" s="189">
        <f t="shared" si="5"/>
        <v>0.95652173913043481</v>
      </c>
      <c r="AH3" s="189">
        <f t="shared" ref="AH3:AI3" si="6">COUNTIF(AH5:AH36,"Yes") / ( COUNTA(AH5:AH36) - COUNTIF(AH5:AH36,"NA"))</f>
        <v>1</v>
      </c>
      <c r="AI3" s="189">
        <f t="shared" si="6"/>
        <v>1</v>
      </c>
      <c r="AJ3" s="189">
        <f t="shared" ref="AJ3:AL3" si="7">COUNTIF(AJ5:AJ36,"Yes") / ( COUNTA(AJ5:AJ36) - COUNTIF(AJ5:AJ36,"NA"))</f>
        <v>1</v>
      </c>
      <c r="AK3" s="189">
        <f t="shared" si="7"/>
        <v>1</v>
      </c>
      <c r="AL3" s="189">
        <f t="shared" si="7"/>
        <v>1</v>
      </c>
      <c r="AM3" s="194"/>
      <c r="AN3" s="202" t="s">
        <v>220</v>
      </c>
      <c r="AO3" s="202" t="s">
        <v>221</v>
      </c>
      <c r="AP3" s="195"/>
    </row>
    <row r="4" spans="1:42" ht="36">
      <c r="A4" s="190"/>
      <c r="B4" s="191" t="s">
        <v>225</v>
      </c>
      <c r="C4" s="192"/>
      <c r="D4" s="192"/>
      <c r="E4" s="192"/>
      <c r="F4" s="192"/>
      <c r="G4" s="192"/>
      <c r="H4" s="192"/>
      <c r="I4" s="192"/>
      <c r="J4" s="192"/>
      <c r="K4" s="192"/>
      <c r="L4" s="192"/>
      <c r="M4" s="192"/>
      <c r="N4" s="192"/>
      <c r="O4" s="192"/>
      <c r="P4" s="192"/>
      <c r="Q4" s="192"/>
      <c r="R4" s="192"/>
      <c r="S4" s="192"/>
      <c r="T4" s="192"/>
      <c r="U4" s="192"/>
      <c r="V4" s="192"/>
      <c r="W4" s="192"/>
      <c r="X4" s="192"/>
      <c r="Y4" s="192"/>
      <c r="Z4" s="192"/>
      <c r="AA4" s="192"/>
      <c r="AB4" s="192"/>
      <c r="AC4" s="192"/>
      <c r="AD4" s="192"/>
      <c r="AE4" s="192"/>
      <c r="AF4" s="192"/>
      <c r="AG4" s="192"/>
      <c r="AH4" s="192"/>
      <c r="AI4" s="192"/>
      <c r="AJ4" s="192"/>
      <c r="AK4" s="192"/>
      <c r="AL4" s="192"/>
      <c r="AM4" s="192"/>
      <c r="AN4" s="192"/>
      <c r="AO4" s="193"/>
      <c r="AP4" s="25"/>
    </row>
    <row r="5" spans="1:42" ht="18.75">
      <c r="A5" s="161"/>
      <c r="B5" s="169" t="s">
        <v>216</v>
      </c>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2"/>
      <c r="AG5" s="162"/>
      <c r="AH5" s="162"/>
      <c r="AI5" s="162"/>
      <c r="AJ5" s="162"/>
      <c r="AK5" s="162"/>
      <c r="AL5" s="162"/>
      <c r="AM5" s="162"/>
      <c r="AN5" s="202"/>
      <c r="AO5" s="202"/>
    </row>
    <row r="6" spans="1:42" ht="38.25">
      <c r="A6" s="164" t="s">
        <v>292</v>
      </c>
      <c r="B6" s="172" t="s">
        <v>229</v>
      </c>
      <c r="C6" s="196" t="s">
        <v>23</v>
      </c>
      <c r="D6" s="196" t="s">
        <v>23</v>
      </c>
      <c r="E6" s="196" t="s">
        <v>23</v>
      </c>
      <c r="F6" s="196" t="s">
        <v>23</v>
      </c>
      <c r="G6" s="196" t="s">
        <v>23</v>
      </c>
      <c r="H6" s="196" t="s">
        <v>213</v>
      </c>
      <c r="I6" s="196" t="s">
        <v>213</v>
      </c>
      <c r="J6" s="196" t="s">
        <v>213</v>
      </c>
      <c r="K6" s="196" t="s">
        <v>213</v>
      </c>
      <c r="L6" s="196" t="s">
        <v>213</v>
      </c>
      <c r="M6" s="196" t="s">
        <v>213</v>
      </c>
      <c r="N6" s="196" t="s">
        <v>213</v>
      </c>
      <c r="O6" s="196" t="s">
        <v>213</v>
      </c>
      <c r="P6" s="196" t="s">
        <v>213</v>
      </c>
      <c r="Q6" s="196" t="s">
        <v>213</v>
      </c>
      <c r="R6" s="196" t="s">
        <v>213</v>
      </c>
      <c r="S6" s="196" t="s">
        <v>213</v>
      </c>
      <c r="T6" s="196" t="s">
        <v>213</v>
      </c>
      <c r="U6" s="196" t="s">
        <v>213</v>
      </c>
      <c r="V6" s="196" t="s">
        <v>213</v>
      </c>
      <c r="W6" s="196" t="s">
        <v>213</v>
      </c>
      <c r="X6" s="196" t="s">
        <v>213</v>
      </c>
      <c r="Y6" s="196" t="s">
        <v>213</v>
      </c>
      <c r="Z6" s="196" t="s">
        <v>213</v>
      </c>
      <c r="AA6" s="196" t="s">
        <v>213</v>
      </c>
      <c r="AB6" s="196" t="s">
        <v>213</v>
      </c>
      <c r="AC6" s="196" t="s">
        <v>213</v>
      </c>
      <c r="AD6" s="196" t="s">
        <v>213</v>
      </c>
      <c r="AE6" s="196" t="s">
        <v>213</v>
      </c>
      <c r="AF6" s="196" t="s">
        <v>213</v>
      </c>
      <c r="AG6" s="196" t="s">
        <v>213</v>
      </c>
      <c r="AH6" s="196" t="s">
        <v>213</v>
      </c>
      <c r="AI6" s="196" t="s">
        <v>213</v>
      </c>
      <c r="AJ6" s="196" t="s">
        <v>213</v>
      </c>
      <c r="AK6" s="196" t="s">
        <v>213</v>
      </c>
      <c r="AL6" s="196" t="s">
        <v>213</v>
      </c>
      <c r="AM6" s="197"/>
      <c r="AN6" s="163"/>
      <c r="AO6" s="163"/>
    </row>
    <row r="7" spans="1:42" ht="38.25">
      <c r="A7" s="164" t="s">
        <v>293</v>
      </c>
      <c r="B7" s="172" t="s">
        <v>230</v>
      </c>
      <c r="C7" s="196" t="s">
        <v>23</v>
      </c>
      <c r="D7" s="196" t="s">
        <v>23</v>
      </c>
      <c r="E7" s="196" t="s">
        <v>23</v>
      </c>
      <c r="F7" s="196" t="s">
        <v>23</v>
      </c>
      <c r="G7" s="196" t="s">
        <v>23</v>
      </c>
      <c r="H7" s="196" t="s">
        <v>213</v>
      </c>
      <c r="I7" s="196" t="s">
        <v>213</v>
      </c>
      <c r="J7" s="196" t="s">
        <v>213</v>
      </c>
      <c r="K7" s="196" t="s">
        <v>213</v>
      </c>
      <c r="L7" s="196" t="s">
        <v>213</v>
      </c>
      <c r="M7" s="196" t="s">
        <v>213</v>
      </c>
      <c r="N7" s="196" t="s">
        <v>213</v>
      </c>
      <c r="O7" s="196" t="s">
        <v>213</v>
      </c>
      <c r="P7" s="196" t="s">
        <v>213</v>
      </c>
      <c r="Q7" s="196" t="s">
        <v>213</v>
      </c>
      <c r="R7" s="196" t="s">
        <v>213</v>
      </c>
      <c r="S7" s="196" t="s">
        <v>213</v>
      </c>
      <c r="T7" s="196" t="s">
        <v>213</v>
      </c>
      <c r="U7" s="196" t="s">
        <v>213</v>
      </c>
      <c r="V7" s="196" t="s">
        <v>213</v>
      </c>
      <c r="W7" s="196" t="s">
        <v>213</v>
      </c>
      <c r="X7" s="196" t="s">
        <v>213</v>
      </c>
      <c r="Y7" s="196" t="s">
        <v>213</v>
      </c>
      <c r="Z7" s="196" t="s">
        <v>213</v>
      </c>
      <c r="AA7" s="196" t="s">
        <v>213</v>
      </c>
      <c r="AB7" s="196" t="s">
        <v>213</v>
      </c>
      <c r="AC7" s="196" t="s">
        <v>213</v>
      </c>
      <c r="AD7" s="196" t="s">
        <v>213</v>
      </c>
      <c r="AE7" s="196" t="s">
        <v>213</v>
      </c>
      <c r="AF7" s="196" t="s">
        <v>213</v>
      </c>
      <c r="AG7" s="196" t="s">
        <v>213</v>
      </c>
      <c r="AH7" s="196" t="s">
        <v>213</v>
      </c>
      <c r="AI7" s="196" t="s">
        <v>213</v>
      </c>
      <c r="AJ7" s="196" t="s">
        <v>213</v>
      </c>
      <c r="AK7" s="196" t="s">
        <v>213</v>
      </c>
      <c r="AL7" s="196" t="s">
        <v>213</v>
      </c>
      <c r="AM7" s="197"/>
      <c r="AN7" s="163"/>
      <c r="AO7" s="163"/>
    </row>
    <row r="8" spans="1:42" ht="18.75">
      <c r="A8" s="161"/>
      <c r="B8" s="169" t="s">
        <v>262</v>
      </c>
      <c r="C8" s="162"/>
      <c r="D8" s="162"/>
      <c r="E8" s="162"/>
      <c r="F8" s="162"/>
      <c r="G8" s="162"/>
      <c r="H8" s="162"/>
      <c r="I8" s="162"/>
      <c r="J8" s="162"/>
      <c r="K8" s="162"/>
      <c r="L8" s="162"/>
      <c r="M8" s="162"/>
      <c r="N8" s="162"/>
      <c r="O8" s="162"/>
      <c r="P8" s="162"/>
      <c r="Q8" s="162"/>
      <c r="R8" s="162"/>
      <c r="S8" s="162"/>
      <c r="T8" s="162"/>
      <c r="U8" s="162"/>
      <c r="V8" s="162"/>
      <c r="W8" s="162"/>
      <c r="X8" s="162"/>
      <c r="Y8" s="162"/>
      <c r="Z8" s="162"/>
      <c r="AA8" s="162"/>
      <c r="AB8" s="162"/>
      <c r="AC8" s="162"/>
      <c r="AD8" s="162"/>
      <c r="AE8" s="162"/>
      <c r="AF8" s="162"/>
      <c r="AG8" s="162"/>
      <c r="AH8" s="162"/>
      <c r="AI8" s="162"/>
      <c r="AJ8" s="162"/>
      <c r="AK8" s="162"/>
      <c r="AL8" s="162"/>
      <c r="AM8" s="162"/>
      <c r="AN8" s="202"/>
      <c r="AO8" s="202"/>
    </row>
    <row r="9" spans="1:42" ht="25.5">
      <c r="A9" s="164" t="s">
        <v>294</v>
      </c>
      <c r="B9" s="172" t="s">
        <v>274</v>
      </c>
      <c r="C9" s="196" t="s">
        <v>213</v>
      </c>
      <c r="D9" s="196" t="s">
        <v>213</v>
      </c>
      <c r="E9" s="196" t="s">
        <v>213</v>
      </c>
      <c r="F9" s="196" t="s">
        <v>213</v>
      </c>
      <c r="G9" s="196" t="s">
        <v>213</v>
      </c>
      <c r="H9" s="196" t="s">
        <v>213</v>
      </c>
      <c r="I9" s="196" t="s">
        <v>213</v>
      </c>
      <c r="J9" s="196" t="s">
        <v>23</v>
      </c>
      <c r="K9" s="196" t="s">
        <v>23</v>
      </c>
      <c r="L9" s="196" t="s">
        <v>213</v>
      </c>
      <c r="M9" s="196" t="s">
        <v>213</v>
      </c>
      <c r="N9" s="196" t="s">
        <v>213</v>
      </c>
      <c r="O9" s="196" t="s">
        <v>213</v>
      </c>
      <c r="P9" s="196" t="s">
        <v>213</v>
      </c>
      <c r="Q9" s="196" t="s">
        <v>213</v>
      </c>
      <c r="R9" s="196" t="s">
        <v>213</v>
      </c>
      <c r="S9" s="196" t="s">
        <v>213</v>
      </c>
      <c r="T9" s="196" t="s">
        <v>213</v>
      </c>
      <c r="U9" s="196" t="s">
        <v>213</v>
      </c>
      <c r="V9" s="196" t="s">
        <v>213</v>
      </c>
      <c r="W9" s="196" t="s">
        <v>213</v>
      </c>
      <c r="X9" s="196" t="s">
        <v>213</v>
      </c>
      <c r="Y9" s="196" t="s">
        <v>213</v>
      </c>
      <c r="Z9" s="196" t="s">
        <v>213</v>
      </c>
      <c r="AA9" s="196" t="s">
        <v>213</v>
      </c>
      <c r="AB9" s="196" t="s">
        <v>213</v>
      </c>
      <c r="AC9" s="196" t="s">
        <v>213</v>
      </c>
      <c r="AD9" s="196" t="s">
        <v>213</v>
      </c>
      <c r="AE9" s="196" t="s">
        <v>213</v>
      </c>
      <c r="AF9" s="196" t="s">
        <v>213</v>
      </c>
      <c r="AG9" s="196" t="s">
        <v>213</v>
      </c>
      <c r="AH9" s="196" t="s">
        <v>213</v>
      </c>
      <c r="AI9" s="196" t="s">
        <v>213</v>
      </c>
      <c r="AJ9" s="196" t="s">
        <v>213</v>
      </c>
      <c r="AK9" s="196" t="s">
        <v>213</v>
      </c>
      <c r="AL9" s="196" t="s">
        <v>213</v>
      </c>
      <c r="AM9" s="197"/>
      <c r="AN9" s="163"/>
      <c r="AO9" s="163"/>
    </row>
    <row r="10" spans="1:42" ht="25.5">
      <c r="A10" s="164" t="s">
        <v>295</v>
      </c>
      <c r="B10" s="172" t="s">
        <v>275</v>
      </c>
      <c r="C10" s="196" t="s">
        <v>23</v>
      </c>
      <c r="D10" s="196" t="s">
        <v>23</v>
      </c>
      <c r="E10" s="196" t="s">
        <v>23</v>
      </c>
      <c r="F10" s="196" t="s">
        <v>23</v>
      </c>
      <c r="G10" s="196" t="s">
        <v>23</v>
      </c>
      <c r="H10" s="208" t="s">
        <v>11</v>
      </c>
      <c r="I10" s="196" t="s">
        <v>213</v>
      </c>
      <c r="J10" s="208" t="s">
        <v>11</v>
      </c>
      <c r="K10" s="196" t="s">
        <v>213</v>
      </c>
      <c r="L10" s="196" t="s">
        <v>213</v>
      </c>
      <c r="M10" s="196" t="s">
        <v>213</v>
      </c>
      <c r="N10" s="208" t="s">
        <v>11</v>
      </c>
      <c r="O10" s="208" t="s">
        <v>11</v>
      </c>
      <c r="P10" s="196" t="s">
        <v>213</v>
      </c>
      <c r="Q10" s="196" t="s">
        <v>213</v>
      </c>
      <c r="R10" s="196" t="s">
        <v>213</v>
      </c>
      <c r="S10" s="208" t="s">
        <v>11</v>
      </c>
      <c r="T10" s="196" t="s">
        <v>213</v>
      </c>
      <c r="U10" s="196" t="s">
        <v>213</v>
      </c>
      <c r="V10" s="196" t="s">
        <v>213</v>
      </c>
      <c r="W10" s="196" t="s">
        <v>213</v>
      </c>
      <c r="X10" s="196" t="s">
        <v>213</v>
      </c>
      <c r="Y10" s="196" t="s">
        <v>213</v>
      </c>
      <c r="Z10" s="196" t="s">
        <v>213</v>
      </c>
      <c r="AA10" s="196" t="s">
        <v>213</v>
      </c>
      <c r="AB10" s="196" t="s">
        <v>213</v>
      </c>
      <c r="AC10" s="196" t="s">
        <v>23</v>
      </c>
      <c r="AD10" s="196" t="s">
        <v>11</v>
      </c>
      <c r="AE10" s="196" t="s">
        <v>11</v>
      </c>
      <c r="AF10" s="196" t="s">
        <v>213</v>
      </c>
      <c r="AG10" s="196" t="s">
        <v>23</v>
      </c>
      <c r="AH10" s="196" t="s">
        <v>213</v>
      </c>
      <c r="AI10" s="196" t="s">
        <v>213</v>
      </c>
      <c r="AJ10" s="196" t="s">
        <v>213</v>
      </c>
      <c r="AK10" s="196" t="s">
        <v>11</v>
      </c>
      <c r="AL10" s="196" t="s">
        <v>213</v>
      </c>
      <c r="AM10" s="206" t="s">
        <v>440</v>
      </c>
      <c r="AN10" s="163"/>
      <c r="AO10" s="163"/>
    </row>
    <row r="11" spans="1:42" ht="38.25">
      <c r="A11" s="164" t="s">
        <v>296</v>
      </c>
      <c r="B11" s="172" t="s">
        <v>297</v>
      </c>
      <c r="C11" s="196" t="s">
        <v>213</v>
      </c>
      <c r="D11" s="196" t="s">
        <v>213</v>
      </c>
      <c r="E11" s="196" t="s">
        <v>213</v>
      </c>
      <c r="F11" s="196" t="s">
        <v>213</v>
      </c>
      <c r="G11" s="196" t="s">
        <v>213</v>
      </c>
      <c r="H11" s="196" t="s">
        <v>213</v>
      </c>
      <c r="I11" s="196" t="s">
        <v>213</v>
      </c>
      <c r="J11" s="196" t="s">
        <v>213</v>
      </c>
      <c r="K11" s="196" t="s">
        <v>213</v>
      </c>
      <c r="L11" s="196" t="s">
        <v>213</v>
      </c>
      <c r="M11" s="196" t="s">
        <v>213</v>
      </c>
      <c r="N11" s="196" t="s">
        <v>213</v>
      </c>
      <c r="O11" s="196" t="s">
        <v>213</v>
      </c>
      <c r="P11" s="196" t="s">
        <v>213</v>
      </c>
      <c r="Q11" s="196" t="s">
        <v>213</v>
      </c>
      <c r="R11" s="196" t="s">
        <v>213</v>
      </c>
      <c r="S11" s="196" t="s">
        <v>213</v>
      </c>
      <c r="T11" s="196" t="s">
        <v>213</v>
      </c>
      <c r="U11" s="196" t="s">
        <v>213</v>
      </c>
      <c r="V11" s="196" t="s">
        <v>213</v>
      </c>
      <c r="W11" s="196" t="s">
        <v>213</v>
      </c>
      <c r="X11" s="196" t="s">
        <v>213</v>
      </c>
      <c r="Y11" s="196" t="s">
        <v>213</v>
      </c>
      <c r="Z11" s="196" t="s">
        <v>213</v>
      </c>
      <c r="AA11" s="196" t="s">
        <v>213</v>
      </c>
      <c r="AB11" s="196" t="s">
        <v>213</v>
      </c>
      <c r="AC11" s="196" t="s">
        <v>213</v>
      </c>
      <c r="AD11" s="196" t="s">
        <v>213</v>
      </c>
      <c r="AE11" s="196" t="s">
        <v>213</v>
      </c>
      <c r="AF11" s="196" t="s">
        <v>213</v>
      </c>
      <c r="AG11" s="196" t="s">
        <v>213</v>
      </c>
      <c r="AH11" s="196" t="s">
        <v>213</v>
      </c>
      <c r="AI11" s="196" t="s">
        <v>213</v>
      </c>
      <c r="AJ11" s="196" t="s">
        <v>213</v>
      </c>
      <c r="AK11" s="196" t="s">
        <v>213</v>
      </c>
      <c r="AL11" s="196" t="s">
        <v>213</v>
      </c>
      <c r="AM11" s="197"/>
      <c r="AN11" s="163"/>
      <c r="AO11" s="163"/>
    </row>
    <row r="12" spans="1:42" ht="63.75">
      <c r="A12" s="164" t="s">
        <v>298</v>
      </c>
      <c r="B12" s="172" t="s">
        <v>299</v>
      </c>
      <c r="C12" s="196" t="s">
        <v>213</v>
      </c>
      <c r="D12" s="196" t="s">
        <v>213</v>
      </c>
      <c r="E12" s="196" t="s">
        <v>213</v>
      </c>
      <c r="F12" s="196" t="s">
        <v>213</v>
      </c>
      <c r="G12" s="196" t="s">
        <v>213</v>
      </c>
      <c r="H12" s="196" t="s">
        <v>213</v>
      </c>
      <c r="I12" s="196" t="s">
        <v>213</v>
      </c>
      <c r="J12" s="196" t="s">
        <v>213</v>
      </c>
      <c r="K12" s="196" t="s">
        <v>213</v>
      </c>
      <c r="L12" s="196" t="s">
        <v>213</v>
      </c>
      <c r="M12" s="196" t="s">
        <v>213</v>
      </c>
      <c r="N12" s="196" t="s">
        <v>213</v>
      </c>
      <c r="O12" s="196" t="s">
        <v>213</v>
      </c>
      <c r="P12" s="196" t="s">
        <v>213</v>
      </c>
      <c r="Q12" s="196" t="s">
        <v>213</v>
      </c>
      <c r="R12" s="196" t="s">
        <v>213</v>
      </c>
      <c r="S12" s="196" t="s">
        <v>213</v>
      </c>
      <c r="T12" s="196" t="s">
        <v>213</v>
      </c>
      <c r="U12" s="196" t="s">
        <v>213</v>
      </c>
      <c r="V12" s="196" t="s">
        <v>213</v>
      </c>
      <c r="W12" s="196" t="s">
        <v>213</v>
      </c>
      <c r="X12" s="196" t="s">
        <v>213</v>
      </c>
      <c r="Y12" s="196" t="s">
        <v>213</v>
      </c>
      <c r="Z12" s="196" t="s">
        <v>213</v>
      </c>
      <c r="AA12" s="196" t="s">
        <v>213</v>
      </c>
      <c r="AB12" s="196" t="s">
        <v>213</v>
      </c>
      <c r="AC12" s="196" t="s">
        <v>213</v>
      </c>
      <c r="AD12" s="196" t="s">
        <v>213</v>
      </c>
      <c r="AE12" s="196" t="s">
        <v>213</v>
      </c>
      <c r="AF12" s="196" t="s">
        <v>213</v>
      </c>
      <c r="AG12" s="196" t="s">
        <v>213</v>
      </c>
      <c r="AH12" s="196" t="s">
        <v>213</v>
      </c>
      <c r="AI12" s="196" t="s">
        <v>213</v>
      </c>
      <c r="AJ12" s="196" t="s">
        <v>213</v>
      </c>
      <c r="AK12" s="196" t="s">
        <v>213</v>
      </c>
      <c r="AL12" s="196" t="s">
        <v>213</v>
      </c>
      <c r="AM12" s="197"/>
      <c r="AN12" s="163"/>
      <c r="AO12" s="163"/>
    </row>
    <row r="13" spans="1:42" ht="63.75">
      <c r="A13" s="164" t="s">
        <v>300</v>
      </c>
      <c r="B13" s="172" t="s">
        <v>301</v>
      </c>
      <c r="C13" s="196" t="s">
        <v>213</v>
      </c>
      <c r="D13" s="196" t="s">
        <v>213</v>
      </c>
      <c r="E13" s="196" t="s">
        <v>213</v>
      </c>
      <c r="F13" s="196" t="s">
        <v>213</v>
      </c>
      <c r="G13" s="196" t="s">
        <v>213</v>
      </c>
      <c r="H13" s="196" t="s">
        <v>213</v>
      </c>
      <c r="I13" s="196" t="s">
        <v>213</v>
      </c>
      <c r="J13" s="196" t="s">
        <v>213</v>
      </c>
      <c r="K13" s="196" t="s">
        <v>213</v>
      </c>
      <c r="L13" s="196" t="s">
        <v>213</v>
      </c>
      <c r="M13" s="196" t="s">
        <v>213</v>
      </c>
      <c r="N13" s="196" t="s">
        <v>213</v>
      </c>
      <c r="O13" s="196" t="s">
        <v>213</v>
      </c>
      <c r="P13" s="196" t="s">
        <v>213</v>
      </c>
      <c r="Q13" s="196" t="s">
        <v>213</v>
      </c>
      <c r="R13" s="196" t="s">
        <v>213</v>
      </c>
      <c r="S13" s="196" t="s">
        <v>213</v>
      </c>
      <c r="T13" s="196" t="s">
        <v>213</v>
      </c>
      <c r="U13" s="196" t="s">
        <v>213</v>
      </c>
      <c r="V13" s="196" t="s">
        <v>213</v>
      </c>
      <c r="W13" s="196" t="s">
        <v>213</v>
      </c>
      <c r="X13" s="196" t="s">
        <v>213</v>
      </c>
      <c r="Y13" s="196" t="s">
        <v>213</v>
      </c>
      <c r="Z13" s="196" t="s">
        <v>213</v>
      </c>
      <c r="AA13" s="196" t="s">
        <v>213</v>
      </c>
      <c r="AB13" s="196" t="s">
        <v>213</v>
      </c>
      <c r="AC13" s="196" t="s">
        <v>213</v>
      </c>
      <c r="AD13" s="196" t="s">
        <v>213</v>
      </c>
      <c r="AE13" s="196" t="s">
        <v>213</v>
      </c>
      <c r="AF13" s="196" t="s">
        <v>213</v>
      </c>
      <c r="AG13" s="196" t="s">
        <v>213</v>
      </c>
      <c r="AH13" s="196" t="s">
        <v>213</v>
      </c>
      <c r="AI13" s="196" t="s">
        <v>213</v>
      </c>
      <c r="AJ13" s="196" t="s">
        <v>213</v>
      </c>
      <c r="AK13" s="196" t="s">
        <v>213</v>
      </c>
      <c r="AL13" s="196" t="s">
        <v>213</v>
      </c>
      <c r="AM13" s="197"/>
      <c r="AN13" s="163"/>
      <c r="AO13" s="163"/>
    </row>
    <row r="14" spans="1:42" ht="25.5">
      <c r="A14" s="164" t="s">
        <v>302</v>
      </c>
      <c r="B14" s="172" t="s">
        <v>276</v>
      </c>
      <c r="C14" s="196" t="s">
        <v>213</v>
      </c>
      <c r="D14" s="196" t="s">
        <v>213</v>
      </c>
      <c r="E14" s="196" t="s">
        <v>213</v>
      </c>
      <c r="F14" s="196" t="s">
        <v>213</v>
      </c>
      <c r="G14" s="196" t="s">
        <v>213</v>
      </c>
      <c r="H14" s="196" t="s">
        <v>213</v>
      </c>
      <c r="I14" s="196" t="s">
        <v>213</v>
      </c>
      <c r="J14" s="196" t="s">
        <v>213</v>
      </c>
      <c r="K14" s="196" t="s">
        <v>213</v>
      </c>
      <c r="L14" s="196" t="s">
        <v>213</v>
      </c>
      <c r="M14" s="196" t="s">
        <v>213</v>
      </c>
      <c r="N14" s="196" t="s">
        <v>213</v>
      </c>
      <c r="O14" s="196" t="s">
        <v>213</v>
      </c>
      <c r="P14" s="196" t="s">
        <v>213</v>
      </c>
      <c r="Q14" s="196" t="s">
        <v>213</v>
      </c>
      <c r="R14" s="196" t="s">
        <v>213</v>
      </c>
      <c r="S14" s="196" t="s">
        <v>213</v>
      </c>
      <c r="T14" s="196" t="s">
        <v>213</v>
      </c>
      <c r="U14" s="196" t="s">
        <v>213</v>
      </c>
      <c r="V14" s="196" t="s">
        <v>213</v>
      </c>
      <c r="W14" s="196" t="s">
        <v>213</v>
      </c>
      <c r="X14" s="196" t="s">
        <v>213</v>
      </c>
      <c r="Y14" s="196" t="s">
        <v>213</v>
      </c>
      <c r="Z14" s="196" t="s">
        <v>213</v>
      </c>
      <c r="AA14" s="196" t="s">
        <v>213</v>
      </c>
      <c r="AB14" s="196" t="s">
        <v>213</v>
      </c>
      <c r="AC14" s="196" t="s">
        <v>213</v>
      </c>
      <c r="AD14" s="196" t="s">
        <v>213</v>
      </c>
      <c r="AE14" s="196" t="s">
        <v>213</v>
      </c>
      <c r="AF14" s="196" t="s">
        <v>213</v>
      </c>
      <c r="AG14" s="196" t="s">
        <v>213</v>
      </c>
      <c r="AH14" s="196" t="s">
        <v>213</v>
      </c>
      <c r="AI14" s="196" t="s">
        <v>213</v>
      </c>
      <c r="AJ14" s="196" t="s">
        <v>213</v>
      </c>
      <c r="AK14" s="196" t="s">
        <v>213</v>
      </c>
      <c r="AL14" s="196" t="s">
        <v>213</v>
      </c>
      <c r="AM14" s="197"/>
      <c r="AN14" s="163"/>
      <c r="AO14" s="163"/>
    </row>
    <row r="15" spans="1:42" ht="25.5">
      <c r="A15" s="164" t="s">
        <v>303</v>
      </c>
      <c r="B15" s="172" t="s">
        <v>277</v>
      </c>
      <c r="C15" s="196" t="s">
        <v>213</v>
      </c>
      <c r="D15" s="196" t="s">
        <v>213</v>
      </c>
      <c r="E15" s="196" t="s">
        <v>213</v>
      </c>
      <c r="F15" s="196" t="s">
        <v>23</v>
      </c>
      <c r="G15" s="196" t="s">
        <v>23</v>
      </c>
      <c r="H15" s="196" t="s">
        <v>213</v>
      </c>
      <c r="I15" s="196" t="s">
        <v>213</v>
      </c>
      <c r="J15" s="196" t="s">
        <v>213</v>
      </c>
      <c r="K15" s="196" t="s">
        <v>23</v>
      </c>
      <c r="L15" s="196" t="s">
        <v>213</v>
      </c>
      <c r="M15" s="196" t="s">
        <v>213</v>
      </c>
      <c r="N15" s="196" t="s">
        <v>213</v>
      </c>
      <c r="O15" s="196" t="s">
        <v>213</v>
      </c>
      <c r="P15" s="196" t="s">
        <v>213</v>
      </c>
      <c r="Q15" s="196" t="s">
        <v>213</v>
      </c>
      <c r="R15" s="196" t="s">
        <v>213</v>
      </c>
      <c r="S15" s="196" t="s">
        <v>213</v>
      </c>
      <c r="T15" s="196" t="s">
        <v>213</v>
      </c>
      <c r="U15" s="196" t="s">
        <v>213</v>
      </c>
      <c r="V15" s="196" t="s">
        <v>213</v>
      </c>
      <c r="W15" s="196" t="s">
        <v>213</v>
      </c>
      <c r="X15" s="196" t="s">
        <v>213</v>
      </c>
      <c r="Y15" s="196" t="s">
        <v>213</v>
      </c>
      <c r="Z15" s="196" t="s">
        <v>213</v>
      </c>
      <c r="AA15" s="196" t="s">
        <v>213</v>
      </c>
      <c r="AB15" s="196" t="s">
        <v>213</v>
      </c>
      <c r="AC15" s="196" t="s">
        <v>213</v>
      </c>
      <c r="AD15" s="196" t="s">
        <v>213</v>
      </c>
      <c r="AE15" s="196" t="s">
        <v>213</v>
      </c>
      <c r="AF15" s="196" t="s">
        <v>213</v>
      </c>
      <c r="AG15" s="196" t="s">
        <v>213</v>
      </c>
      <c r="AH15" s="196" t="s">
        <v>213</v>
      </c>
      <c r="AI15" s="196" t="s">
        <v>213</v>
      </c>
      <c r="AJ15" s="196" t="s">
        <v>213</v>
      </c>
      <c r="AK15" s="196" t="s">
        <v>213</v>
      </c>
      <c r="AL15" s="196" t="s">
        <v>213</v>
      </c>
      <c r="AM15" s="197"/>
      <c r="AN15" s="163"/>
      <c r="AO15" s="163"/>
    </row>
    <row r="16" spans="1:42" ht="25.5">
      <c r="A16" s="164" t="s">
        <v>304</v>
      </c>
      <c r="B16" s="172" t="s">
        <v>278</v>
      </c>
      <c r="C16" s="196" t="s">
        <v>11</v>
      </c>
      <c r="D16" s="196" t="s">
        <v>11</v>
      </c>
      <c r="E16" s="196" t="s">
        <v>11</v>
      </c>
      <c r="F16" s="196" t="s">
        <v>213</v>
      </c>
      <c r="G16" s="196" t="s">
        <v>213</v>
      </c>
      <c r="H16" s="196" t="s">
        <v>11</v>
      </c>
      <c r="I16" s="196" t="s">
        <v>11</v>
      </c>
      <c r="J16" s="196" t="s">
        <v>11</v>
      </c>
      <c r="K16" s="196" t="s">
        <v>213</v>
      </c>
      <c r="L16" s="196" t="s">
        <v>213</v>
      </c>
      <c r="M16" s="196" t="s">
        <v>11</v>
      </c>
      <c r="N16" s="196" t="s">
        <v>11</v>
      </c>
      <c r="O16" s="196" t="s">
        <v>11</v>
      </c>
      <c r="P16" s="196" t="s">
        <v>213</v>
      </c>
      <c r="Q16" s="196" t="s">
        <v>213</v>
      </c>
      <c r="R16" s="196" t="s">
        <v>11</v>
      </c>
      <c r="S16" s="196" t="s">
        <v>11</v>
      </c>
      <c r="T16" s="196" t="s">
        <v>213</v>
      </c>
      <c r="U16" s="196" t="s">
        <v>213</v>
      </c>
      <c r="V16" s="196" t="s">
        <v>11</v>
      </c>
      <c r="W16" s="196" t="s">
        <v>11</v>
      </c>
      <c r="X16" s="196" t="s">
        <v>11</v>
      </c>
      <c r="Y16" s="196" t="s">
        <v>11</v>
      </c>
      <c r="Z16" s="196" t="s">
        <v>11</v>
      </c>
      <c r="AA16" s="196" t="s">
        <v>11</v>
      </c>
      <c r="AB16" s="196" t="s">
        <v>11</v>
      </c>
      <c r="AC16" s="196" t="s">
        <v>23</v>
      </c>
      <c r="AD16" s="196" t="s">
        <v>11</v>
      </c>
      <c r="AE16" s="196" t="s">
        <v>11</v>
      </c>
      <c r="AF16" s="196" t="s">
        <v>213</v>
      </c>
      <c r="AG16" s="196" t="s">
        <v>213</v>
      </c>
      <c r="AH16" s="196" t="s">
        <v>213</v>
      </c>
      <c r="AI16" s="196" t="s">
        <v>213</v>
      </c>
      <c r="AJ16" s="196" t="s">
        <v>213</v>
      </c>
      <c r="AK16" s="196" t="s">
        <v>11</v>
      </c>
      <c r="AL16" s="196" t="s">
        <v>213</v>
      </c>
      <c r="AM16" s="197" t="s">
        <v>361</v>
      </c>
      <c r="AN16" s="163"/>
      <c r="AO16" s="163"/>
    </row>
    <row r="17" spans="1:41" ht="51">
      <c r="A17" s="164" t="s">
        <v>305</v>
      </c>
      <c r="B17" s="172" t="s">
        <v>279</v>
      </c>
      <c r="C17" s="196" t="s">
        <v>213</v>
      </c>
      <c r="D17" s="196" t="s">
        <v>213</v>
      </c>
      <c r="E17" s="196" t="s">
        <v>213</v>
      </c>
      <c r="F17" s="196" t="s">
        <v>213</v>
      </c>
      <c r="G17" s="196" t="s">
        <v>213</v>
      </c>
      <c r="H17" s="196" t="s">
        <v>213</v>
      </c>
      <c r="I17" s="196" t="s">
        <v>213</v>
      </c>
      <c r="J17" s="196" t="s">
        <v>213</v>
      </c>
      <c r="K17" s="196" t="s">
        <v>213</v>
      </c>
      <c r="L17" s="196" t="s">
        <v>213</v>
      </c>
      <c r="M17" s="196" t="s">
        <v>213</v>
      </c>
      <c r="N17" s="196" t="s">
        <v>213</v>
      </c>
      <c r="O17" s="196" t="s">
        <v>213</v>
      </c>
      <c r="P17" s="196" t="s">
        <v>213</v>
      </c>
      <c r="Q17" s="196" t="s">
        <v>213</v>
      </c>
      <c r="R17" s="196" t="s">
        <v>213</v>
      </c>
      <c r="S17" s="196" t="s">
        <v>213</v>
      </c>
      <c r="T17" s="196" t="s">
        <v>213</v>
      </c>
      <c r="U17" s="196" t="s">
        <v>213</v>
      </c>
      <c r="V17" s="196" t="s">
        <v>213</v>
      </c>
      <c r="W17" s="196" t="s">
        <v>213</v>
      </c>
      <c r="X17" s="196" t="s">
        <v>213</v>
      </c>
      <c r="Y17" s="196" t="s">
        <v>213</v>
      </c>
      <c r="Z17" s="196" t="s">
        <v>213</v>
      </c>
      <c r="AA17" s="196" t="s">
        <v>213</v>
      </c>
      <c r="AB17" s="196" t="s">
        <v>213</v>
      </c>
      <c r="AC17" s="196" t="s">
        <v>213</v>
      </c>
      <c r="AD17" s="196" t="s">
        <v>213</v>
      </c>
      <c r="AE17" s="196" t="s">
        <v>213</v>
      </c>
      <c r="AF17" s="196" t="s">
        <v>213</v>
      </c>
      <c r="AG17" s="196" t="s">
        <v>213</v>
      </c>
      <c r="AH17" s="196" t="s">
        <v>213</v>
      </c>
      <c r="AI17" s="196" t="s">
        <v>213</v>
      </c>
      <c r="AJ17" s="196" t="s">
        <v>213</v>
      </c>
      <c r="AK17" s="196" t="s">
        <v>213</v>
      </c>
      <c r="AL17" s="196" t="s">
        <v>213</v>
      </c>
      <c r="AM17" s="197"/>
      <c r="AN17" s="163"/>
      <c r="AO17" s="163"/>
    </row>
    <row r="18" spans="1:41" ht="38.25">
      <c r="A18" s="164" t="s">
        <v>306</v>
      </c>
      <c r="B18" s="172" t="s">
        <v>280</v>
      </c>
      <c r="C18" s="196" t="s">
        <v>213</v>
      </c>
      <c r="D18" s="196" t="s">
        <v>213</v>
      </c>
      <c r="E18" s="196" t="s">
        <v>213</v>
      </c>
      <c r="F18" s="196" t="s">
        <v>213</v>
      </c>
      <c r="G18" s="196" t="s">
        <v>213</v>
      </c>
      <c r="H18" s="196" t="s">
        <v>213</v>
      </c>
      <c r="I18" s="196" t="s">
        <v>213</v>
      </c>
      <c r="J18" s="196" t="s">
        <v>213</v>
      </c>
      <c r="K18" s="196" t="s">
        <v>213</v>
      </c>
      <c r="L18" s="196" t="s">
        <v>213</v>
      </c>
      <c r="M18" s="196" t="s">
        <v>213</v>
      </c>
      <c r="N18" s="196" t="s">
        <v>213</v>
      </c>
      <c r="O18" s="196" t="s">
        <v>213</v>
      </c>
      <c r="P18" s="196" t="s">
        <v>213</v>
      </c>
      <c r="Q18" s="196" t="s">
        <v>213</v>
      </c>
      <c r="R18" s="196" t="s">
        <v>213</v>
      </c>
      <c r="S18" s="196" t="s">
        <v>213</v>
      </c>
      <c r="T18" s="196" t="s">
        <v>213</v>
      </c>
      <c r="U18" s="196" t="s">
        <v>213</v>
      </c>
      <c r="V18" s="196" t="s">
        <v>213</v>
      </c>
      <c r="W18" s="196" t="s">
        <v>213</v>
      </c>
      <c r="X18" s="196" t="s">
        <v>213</v>
      </c>
      <c r="Y18" s="196" t="s">
        <v>213</v>
      </c>
      <c r="Z18" s="196" t="s">
        <v>213</v>
      </c>
      <c r="AA18" s="196" t="s">
        <v>213</v>
      </c>
      <c r="AB18" s="196" t="s">
        <v>213</v>
      </c>
      <c r="AC18" s="196" t="s">
        <v>213</v>
      </c>
      <c r="AD18" s="196" t="s">
        <v>213</v>
      </c>
      <c r="AE18" s="196" t="s">
        <v>213</v>
      </c>
      <c r="AF18" s="196" t="s">
        <v>213</v>
      </c>
      <c r="AG18" s="196" t="s">
        <v>213</v>
      </c>
      <c r="AH18" s="196" t="s">
        <v>213</v>
      </c>
      <c r="AI18" s="196" t="s">
        <v>213</v>
      </c>
      <c r="AJ18" s="196" t="s">
        <v>213</v>
      </c>
      <c r="AK18" s="196" t="s">
        <v>213</v>
      </c>
      <c r="AL18" s="196" t="s">
        <v>213</v>
      </c>
      <c r="AM18" s="197"/>
      <c r="AN18" s="163"/>
      <c r="AO18" s="163"/>
    </row>
    <row r="19" spans="1:41" ht="51">
      <c r="A19" s="164" t="s">
        <v>307</v>
      </c>
      <c r="B19" s="172" t="s">
        <v>281</v>
      </c>
      <c r="C19" s="196" t="s">
        <v>213</v>
      </c>
      <c r="D19" s="196" t="s">
        <v>213</v>
      </c>
      <c r="E19" s="196" t="s">
        <v>213</v>
      </c>
      <c r="F19" s="196" t="s">
        <v>213</v>
      </c>
      <c r="G19" s="196" t="s">
        <v>213</v>
      </c>
      <c r="H19" s="196" t="s">
        <v>213</v>
      </c>
      <c r="I19" s="196" t="s">
        <v>213</v>
      </c>
      <c r="J19" s="196" t="s">
        <v>213</v>
      </c>
      <c r="K19" s="196" t="s">
        <v>213</v>
      </c>
      <c r="L19" s="196" t="s">
        <v>213</v>
      </c>
      <c r="M19" s="196" t="s">
        <v>213</v>
      </c>
      <c r="N19" s="196" t="s">
        <v>213</v>
      </c>
      <c r="O19" s="196" t="s">
        <v>213</v>
      </c>
      <c r="P19" s="196" t="s">
        <v>213</v>
      </c>
      <c r="Q19" s="196" t="s">
        <v>213</v>
      </c>
      <c r="R19" s="196" t="s">
        <v>213</v>
      </c>
      <c r="S19" s="196" t="s">
        <v>213</v>
      </c>
      <c r="T19" s="196" t="s">
        <v>213</v>
      </c>
      <c r="U19" s="196" t="s">
        <v>213</v>
      </c>
      <c r="V19" s="196" t="s">
        <v>213</v>
      </c>
      <c r="W19" s="196" t="s">
        <v>213</v>
      </c>
      <c r="X19" s="196" t="s">
        <v>213</v>
      </c>
      <c r="Y19" s="196" t="s">
        <v>213</v>
      </c>
      <c r="Z19" s="196" t="s">
        <v>213</v>
      </c>
      <c r="AA19" s="196" t="s">
        <v>213</v>
      </c>
      <c r="AB19" s="196" t="s">
        <v>213</v>
      </c>
      <c r="AC19" s="196" t="s">
        <v>213</v>
      </c>
      <c r="AD19" s="196" t="s">
        <v>213</v>
      </c>
      <c r="AE19" s="196" t="s">
        <v>213</v>
      </c>
      <c r="AF19" s="196" t="s">
        <v>213</v>
      </c>
      <c r="AG19" s="196" t="s">
        <v>213</v>
      </c>
      <c r="AH19" s="196" t="s">
        <v>213</v>
      </c>
      <c r="AI19" s="196" t="s">
        <v>213</v>
      </c>
      <c r="AJ19" s="196" t="s">
        <v>213</v>
      </c>
      <c r="AK19" s="196" t="s">
        <v>213</v>
      </c>
      <c r="AL19" s="196" t="s">
        <v>213</v>
      </c>
      <c r="AM19" s="197"/>
      <c r="AN19" s="163"/>
      <c r="AO19" s="163"/>
    </row>
    <row r="20" spans="1:41" ht="38.25">
      <c r="A20" s="164" t="s">
        <v>308</v>
      </c>
      <c r="B20" s="172" t="s">
        <v>282</v>
      </c>
      <c r="C20" s="196" t="s">
        <v>213</v>
      </c>
      <c r="D20" s="196" t="s">
        <v>213</v>
      </c>
      <c r="E20" s="196" t="s">
        <v>213</v>
      </c>
      <c r="F20" s="196" t="s">
        <v>213</v>
      </c>
      <c r="G20" s="196" t="s">
        <v>213</v>
      </c>
      <c r="H20" s="196" t="s">
        <v>213</v>
      </c>
      <c r="I20" s="196" t="s">
        <v>213</v>
      </c>
      <c r="J20" s="196" t="s">
        <v>213</v>
      </c>
      <c r="K20" s="196" t="s">
        <v>213</v>
      </c>
      <c r="L20" s="196" t="s">
        <v>213</v>
      </c>
      <c r="M20" s="196" t="s">
        <v>213</v>
      </c>
      <c r="N20" s="196" t="s">
        <v>213</v>
      </c>
      <c r="O20" s="196" t="s">
        <v>213</v>
      </c>
      <c r="P20" s="196" t="s">
        <v>213</v>
      </c>
      <c r="Q20" s="196" t="s">
        <v>213</v>
      </c>
      <c r="R20" s="196" t="s">
        <v>213</v>
      </c>
      <c r="S20" s="196" t="s">
        <v>213</v>
      </c>
      <c r="T20" s="196" t="s">
        <v>213</v>
      </c>
      <c r="U20" s="196" t="s">
        <v>213</v>
      </c>
      <c r="V20" s="196" t="s">
        <v>213</v>
      </c>
      <c r="W20" s="196" t="s">
        <v>213</v>
      </c>
      <c r="X20" s="196" t="s">
        <v>213</v>
      </c>
      <c r="Y20" s="196" t="s">
        <v>213</v>
      </c>
      <c r="Z20" s="196" t="s">
        <v>213</v>
      </c>
      <c r="AA20" s="196" t="s">
        <v>213</v>
      </c>
      <c r="AB20" s="196" t="s">
        <v>213</v>
      </c>
      <c r="AC20" s="196" t="s">
        <v>213</v>
      </c>
      <c r="AD20" s="196" t="s">
        <v>213</v>
      </c>
      <c r="AE20" s="196" t="s">
        <v>213</v>
      </c>
      <c r="AF20" s="196" t="s">
        <v>213</v>
      </c>
      <c r="AG20" s="196" t="s">
        <v>213</v>
      </c>
      <c r="AH20" s="196" t="s">
        <v>213</v>
      </c>
      <c r="AI20" s="196" t="s">
        <v>213</v>
      </c>
      <c r="AJ20" s="196" t="s">
        <v>213</v>
      </c>
      <c r="AK20" s="196" t="s">
        <v>213</v>
      </c>
      <c r="AL20" s="196" t="s">
        <v>213</v>
      </c>
      <c r="AM20" s="197"/>
      <c r="AN20" s="163"/>
      <c r="AO20" s="163"/>
    </row>
    <row r="21" spans="1:41" ht="25.5">
      <c r="A21" s="164" t="s">
        <v>309</v>
      </c>
      <c r="B21" s="172" t="s">
        <v>283</v>
      </c>
      <c r="C21" s="196" t="s">
        <v>213</v>
      </c>
      <c r="D21" s="196" t="s">
        <v>213</v>
      </c>
      <c r="E21" s="196" t="s">
        <v>213</v>
      </c>
      <c r="F21" s="196" t="s">
        <v>213</v>
      </c>
      <c r="G21" s="196" t="s">
        <v>213</v>
      </c>
      <c r="H21" s="196" t="s">
        <v>213</v>
      </c>
      <c r="I21" s="196" t="s">
        <v>213</v>
      </c>
      <c r="J21" s="196" t="s">
        <v>213</v>
      </c>
      <c r="K21" s="196" t="s">
        <v>213</v>
      </c>
      <c r="L21" s="196" t="s">
        <v>213</v>
      </c>
      <c r="M21" s="196" t="s">
        <v>213</v>
      </c>
      <c r="N21" s="196" t="s">
        <v>213</v>
      </c>
      <c r="O21" s="196" t="s">
        <v>213</v>
      </c>
      <c r="P21" s="196" t="s">
        <v>213</v>
      </c>
      <c r="Q21" s="196" t="s">
        <v>213</v>
      </c>
      <c r="R21" s="196" t="s">
        <v>213</v>
      </c>
      <c r="S21" s="196" t="s">
        <v>213</v>
      </c>
      <c r="T21" s="196" t="s">
        <v>213</v>
      </c>
      <c r="U21" s="196" t="s">
        <v>213</v>
      </c>
      <c r="V21" s="196" t="s">
        <v>213</v>
      </c>
      <c r="W21" s="196" t="s">
        <v>213</v>
      </c>
      <c r="X21" s="196" t="s">
        <v>213</v>
      </c>
      <c r="Y21" s="196" t="s">
        <v>213</v>
      </c>
      <c r="Z21" s="196" t="s">
        <v>213</v>
      </c>
      <c r="AA21" s="196" t="s">
        <v>213</v>
      </c>
      <c r="AB21" s="196" t="s">
        <v>213</v>
      </c>
      <c r="AC21" s="196" t="s">
        <v>213</v>
      </c>
      <c r="AD21" s="196" t="s">
        <v>213</v>
      </c>
      <c r="AE21" s="196" t="s">
        <v>213</v>
      </c>
      <c r="AF21" s="196" t="s">
        <v>213</v>
      </c>
      <c r="AG21" s="196" t="s">
        <v>213</v>
      </c>
      <c r="AH21" s="196" t="s">
        <v>213</v>
      </c>
      <c r="AI21" s="196" t="s">
        <v>213</v>
      </c>
      <c r="AJ21" s="196" t="s">
        <v>213</v>
      </c>
      <c r="AK21" s="196" t="s">
        <v>213</v>
      </c>
      <c r="AL21" s="196" t="s">
        <v>213</v>
      </c>
      <c r="AM21" s="197"/>
      <c r="AN21" s="163"/>
      <c r="AO21" s="163"/>
    </row>
    <row r="22" spans="1:41" ht="38.25">
      <c r="A22" s="164" t="s">
        <v>310</v>
      </c>
      <c r="B22" s="172" t="s">
        <v>284</v>
      </c>
      <c r="C22" s="196" t="s">
        <v>213</v>
      </c>
      <c r="D22" s="196" t="s">
        <v>213</v>
      </c>
      <c r="E22" s="196" t="s">
        <v>213</v>
      </c>
      <c r="F22" s="196" t="s">
        <v>213</v>
      </c>
      <c r="G22" s="196" t="s">
        <v>213</v>
      </c>
      <c r="H22" s="196" t="s">
        <v>213</v>
      </c>
      <c r="I22" s="196" t="s">
        <v>213</v>
      </c>
      <c r="J22" s="196" t="s">
        <v>213</v>
      </c>
      <c r="K22" s="196" t="s">
        <v>213</v>
      </c>
      <c r="L22" s="196" t="s">
        <v>213</v>
      </c>
      <c r="M22" s="196" t="s">
        <v>213</v>
      </c>
      <c r="N22" s="196" t="s">
        <v>213</v>
      </c>
      <c r="O22" s="196" t="s">
        <v>213</v>
      </c>
      <c r="P22" s="196" t="s">
        <v>213</v>
      </c>
      <c r="Q22" s="196" t="s">
        <v>213</v>
      </c>
      <c r="R22" s="196" t="s">
        <v>213</v>
      </c>
      <c r="S22" s="196" t="s">
        <v>213</v>
      </c>
      <c r="T22" s="196" t="s">
        <v>213</v>
      </c>
      <c r="U22" s="196" t="s">
        <v>213</v>
      </c>
      <c r="V22" s="196" t="s">
        <v>213</v>
      </c>
      <c r="W22" s="196" t="s">
        <v>213</v>
      </c>
      <c r="X22" s="196" t="s">
        <v>213</v>
      </c>
      <c r="Y22" s="196" t="s">
        <v>213</v>
      </c>
      <c r="Z22" s="196" t="s">
        <v>213</v>
      </c>
      <c r="AA22" s="196" t="s">
        <v>213</v>
      </c>
      <c r="AB22" s="196" t="s">
        <v>213</v>
      </c>
      <c r="AC22" s="196" t="s">
        <v>213</v>
      </c>
      <c r="AD22" s="196" t="s">
        <v>213</v>
      </c>
      <c r="AE22" s="196" t="s">
        <v>213</v>
      </c>
      <c r="AF22" s="196" t="s">
        <v>213</v>
      </c>
      <c r="AG22" s="196" t="s">
        <v>213</v>
      </c>
      <c r="AH22" s="196" t="s">
        <v>213</v>
      </c>
      <c r="AI22" s="196" t="s">
        <v>213</v>
      </c>
      <c r="AJ22" s="196" t="s">
        <v>213</v>
      </c>
      <c r="AK22" s="196" t="s">
        <v>213</v>
      </c>
      <c r="AL22" s="196" t="s">
        <v>213</v>
      </c>
      <c r="AM22" s="197"/>
      <c r="AN22" s="163"/>
      <c r="AO22" s="163"/>
    </row>
    <row r="23" spans="1:41" ht="25.5">
      <c r="A23" s="164" t="s">
        <v>311</v>
      </c>
      <c r="B23" s="172" t="s">
        <v>285</v>
      </c>
      <c r="C23" s="196" t="s">
        <v>213</v>
      </c>
      <c r="D23" s="196" t="s">
        <v>213</v>
      </c>
      <c r="E23" s="196" t="s">
        <v>213</v>
      </c>
      <c r="F23" s="196" t="s">
        <v>213</v>
      </c>
      <c r="G23" s="196" t="s">
        <v>213</v>
      </c>
      <c r="H23" s="196" t="s">
        <v>213</v>
      </c>
      <c r="I23" s="196" t="s">
        <v>213</v>
      </c>
      <c r="J23" s="196" t="s">
        <v>213</v>
      </c>
      <c r="K23" s="196" t="s">
        <v>213</v>
      </c>
      <c r="L23" s="196" t="s">
        <v>213</v>
      </c>
      <c r="M23" s="196" t="s">
        <v>213</v>
      </c>
      <c r="N23" s="196" t="s">
        <v>213</v>
      </c>
      <c r="O23" s="196" t="s">
        <v>213</v>
      </c>
      <c r="P23" s="196" t="s">
        <v>213</v>
      </c>
      <c r="Q23" s="196" t="s">
        <v>213</v>
      </c>
      <c r="R23" s="196" t="s">
        <v>213</v>
      </c>
      <c r="S23" s="196" t="s">
        <v>213</v>
      </c>
      <c r="T23" s="196" t="s">
        <v>213</v>
      </c>
      <c r="U23" s="196" t="s">
        <v>213</v>
      </c>
      <c r="V23" s="196" t="s">
        <v>213</v>
      </c>
      <c r="W23" s="196" t="s">
        <v>213</v>
      </c>
      <c r="X23" s="196" t="s">
        <v>213</v>
      </c>
      <c r="Y23" s="196" t="s">
        <v>213</v>
      </c>
      <c r="Z23" s="196" t="s">
        <v>213</v>
      </c>
      <c r="AA23" s="196" t="s">
        <v>213</v>
      </c>
      <c r="AB23" s="196" t="s">
        <v>213</v>
      </c>
      <c r="AC23" s="196" t="s">
        <v>213</v>
      </c>
      <c r="AD23" s="196" t="s">
        <v>213</v>
      </c>
      <c r="AE23" s="196" t="s">
        <v>213</v>
      </c>
      <c r="AF23" s="196" t="s">
        <v>213</v>
      </c>
      <c r="AG23" s="196" t="s">
        <v>213</v>
      </c>
      <c r="AH23" s="196" t="s">
        <v>213</v>
      </c>
      <c r="AI23" s="196" t="s">
        <v>213</v>
      </c>
      <c r="AJ23" s="196" t="s">
        <v>213</v>
      </c>
      <c r="AK23" s="196" t="s">
        <v>213</v>
      </c>
      <c r="AL23" s="196" t="s">
        <v>213</v>
      </c>
      <c r="AM23" s="197"/>
      <c r="AN23" s="163"/>
      <c r="AO23" s="163"/>
    </row>
    <row r="24" spans="1:41" ht="18.75">
      <c r="A24" s="161"/>
      <c r="B24" s="169" t="s">
        <v>217</v>
      </c>
      <c r="C24" s="162"/>
      <c r="D24" s="162"/>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202"/>
      <c r="AO24" s="202"/>
    </row>
    <row r="25" spans="1:41" ht="38.25">
      <c r="A25" s="164" t="s">
        <v>312</v>
      </c>
      <c r="B25" s="172" t="s">
        <v>207</v>
      </c>
      <c r="C25" s="196" t="s">
        <v>23</v>
      </c>
      <c r="D25" s="196" t="s">
        <v>23</v>
      </c>
      <c r="E25" s="196" t="s">
        <v>23</v>
      </c>
      <c r="F25" s="196" t="s">
        <v>23</v>
      </c>
      <c r="G25" s="196" t="s">
        <v>23</v>
      </c>
      <c r="H25" s="196" t="s">
        <v>213</v>
      </c>
      <c r="I25" s="196" t="s">
        <v>213</v>
      </c>
      <c r="J25" s="196" t="s">
        <v>213</v>
      </c>
      <c r="K25" s="196" t="s">
        <v>213</v>
      </c>
      <c r="L25" s="196" t="s">
        <v>213</v>
      </c>
      <c r="M25" s="196" t="s">
        <v>213</v>
      </c>
      <c r="N25" s="196" t="s">
        <v>213</v>
      </c>
      <c r="O25" s="196" t="s">
        <v>213</v>
      </c>
      <c r="P25" s="196" t="s">
        <v>213</v>
      </c>
      <c r="Q25" s="196" t="s">
        <v>213</v>
      </c>
      <c r="R25" s="196" t="s">
        <v>213</v>
      </c>
      <c r="S25" s="196" t="s">
        <v>213</v>
      </c>
      <c r="T25" s="196" t="s">
        <v>213</v>
      </c>
      <c r="U25" s="196" t="s">
        <v>213</v>
      </c>
      <c r="V25" s="196" t="s">
        <v>213</v>
      </c>
      <c r="W25" s="196" t="s">
        <v>213</v>
      </c>
      <c r="X25" s="196" t="s">
        <v>213</v>
      </c>
      <c r="Y25" s="196" t="s">
        <v>213</v>
      </c>
      <c r="Z25" s="196" t="s">
        <v>213</v>
      </c>
      <c r="AA25" s="196" t="s">
        <v>213</v>
      </c>
      <c r="AB25" s="196" t="s">
        <v>213</v>
      </c>
      <c r="AC25" s="196" t="s">
        <v>213</v>
      </c>
      <c r="AD25" s="196" t="s">
        <v>213</v>
      </c>
      <c r="AE25" s="196" t="s">
        <v>213</v>
      </c>
      <c r="AF25" s="196" t="s">
        <v>213</v>
      </c>
      <c r="AG25" s="196" t="s">
        <v>213</v>
      </c>
      <c r="AH25" s="196" t="s">
        <v>213</v>
      </c>
      <c r="AI25" s="196" t="s">
        <v>213</v>
      </c>
      <c r="AJ25" s="196" t="s">
        <v>213</v>
      </c>
      <c r="AK25" s="196" t="s">
        <v>213</v>
      </c>
      <c r="AL25" s="196" t="s">
        <v>213</v>
      </c>
      <c r="AM25" s="197"/>
      <c r="AN25" s="163"/>
      <c r="AO25" s="163"/>
    </row>
    <row r="26" spans="1:41" ht="25.5">
      <c r="A26" s="164" t="s">
        <v>313</v>
      </c>
      <c r="B26" s="172" t="s">
        <v>208</v>
      </c>
      <c r="C26" s="196" t="s">
        <v>213</v>
      </c>
      <c r="D26" s="196" t="s">
        <v>213</v>
      </c>
      <c r="E26" s="196" t="s">
        <v>213</v>
      </c>
      <c r="F26" s="196" t="s">
        <v>213</v>
      </c>
      <c r="G26" s="196" t="s">
        <v>213</v>
      </c>
      <c r="H26" s="196" t="s">
        <v>213</v>
      </c>
      <c r="I26" s="196" t="s">
        <v>213</v>
      </c>
      <c r="J26" s="196" t="s">
        <v>213</v>
      </c>
      <c r="K26" s="196" t="s">
        <v>213</v>
      </c>
      <c r="L26" s="196" t="s">
        <v>213</v>
      </c>
      <c r="M26" s="196" t="s">
        <v>213</v>
      </c>
      <c r="N26" s="196" t="s">
        <v>213</v>
      </c>
      <c r="O26" s="196" t="s">
        <v>213</v>
      </c>
      <c r="P26" s="196" t="s">
        <v>213</v>
      </c>
      <c r="Q26" s="196" t="s">
        <v>213</v>
      </c>
      <c r="R26" s="196" t="s">
        <v>213</v>
      </c>
      <c r="S26" s="196" t="s">
        <v>213</v>
      </c>
      <c r="T26" s="196" t="s">
        <v>213</v>
      </c>
      <c r="U26" s="196" t="s">
        <v>213</v>
      </c>
      <c r="V26" s="196" t="s">
        <v>213</v>
      </c>
      <c r="W26" s="196" t="s">
        <v>213</v>
      </c>
      <c r="X26" s="196" t="s">
        <v>213</v>
      </c>
      <c r="Y26" s="196" t="s">
        <v>213</v>
      </c>
      <c r="Z26" s="196" t="s">
        <v>213</v>
      </c>
      <c r="AA26" s="196" t="s">
        <v>213</v>
      </c>
      <c r="AB26" s="196" t="s">
        <v>213</v>
      </c>
      <c r="AC26" s="196" t="s">
        <v>213</v>
      </c>
      <c r="AD26" s="196" t="s">
        <v>213</v>
      </c>
      <c r="AE26" s="196" t="s">
        <v>213</v>
      </c>
      <c r="AF26" s="196" t="s">
        <v>213</v>
      </c>
      <c r="AG26" s="196" t="s">
        <v>213</v>
      </c>
      <c r="AH26" s="196" t="s">
        <v>213</v>
      </c>
      <c r="AI26" s="196" t="s">
        <v>213</v>
      </c>
      <c r="AJ26" s="196" t="s">
        <v>213</v>
      </c>
      <c r="AK26" s="196" t="s">
        <v>213</v>
      </c>
      <c r="AL26" s="196" t="s">
        <v>213</v>
      </c>
      <c r="AM26" s="197"/>
      <c r="AN26" s="163"/>
      <c r="AO26" s="163"/>
    </row>
    <row r="27" spans="1:41" ht="38.25">
      <c r="A27" s="164" t="s">
        <v>314</v>
      </c>
      <c r="B27" s="172" t="s">
        <v>209</v>
      </c>
      <c r="C27" s="196" t="s">
        <v>213</v>
      </c>
      <c r="D27" s="196" t="s">
        <v>213</v>
      </c>
      <c r="E27" s="196" t="s">
        <v>213</v>
      </c>
      <c r="F27" s="196" t="s">
        <v>213</v>
      </c>
      <c r="G27" s="196" t="s">
        <v>213</v>
      </c>
      <c r="H27" s="196" t="s">
        <v>213</v>
      </c>
      <c r="I27" s="196" t="s">
        <v>213</v>
      </c>
      <c r="J27" s="196" t="s">
        <v>213</v>
      </c>
      <c r="K27" s="196" t="s">
        <v>213</v>
      </c>
      <c r="L27" s="196" t="s">
        <v>213</v>
      </c>
      <c r="M27" s="196" t="s">
        <v>213</v>
      </c>
      <c r="N27" s="196" t="s">
        <v>213</v>
      </c>
      <c r="O27" s="196" t="s">
        <v>213</v>
      </c>
      <c r="P27" s="196" t="s">
        <v>213</v>
      </c>
      <c r="Q27" s="196" t="s">
        <v>213</v>
      </c>
      <c r="R27" s="196" t="s">
        <v>213</v>
      </c>
      <c r="S27" s="196" t="s">
        <v>213</v>
      </c>
      <c r="T27" s="196" t="s">
        <v>213</v>
      </c>
      <c r="U27" s="196" t="s">
        <v>213</v>
      </c>
      <c r="V27" s="196" t="s">
        <v>213</v>
      </c>
      <c r="W27" s="196" t="s">
        <v>213</v>
      </c>
      <c r="X27" s="196" t="s">
        <v>213</v>
      </c>
      <c r="Y27" s="196" t="s">
        <v>213</v>
      </c>
      <c r="Z27" s="196" t="s">
        <v>213</v>
      </c>
      <c r="AA27" s="196" t="s">
        <v>213</v>
      </c>
      <c r="AB27" s="196" t="s">
        <v>213</v>
      </c>
      <c r="AC27" s="196" t="s">
        <v>213</v>
      </c>
      <c r="AD27" s="196" t="s">
        <v>213</v>
      </c>
      <c r="AE27" s="196" t="s">
        <v>213</v>
      </c>
      <c r="AF27" s="196" t="s">
        <v>213</v>
      </c>
      <c r="AG27" s="196" t="s">
        <v>213</v>
      </c>
      <c r="AH27" s="196" t="s">
        <v>213</v>
      </c>
      <c r="AI27" s="196" t="s">
        <v>213</v>
      </c>
      <c r="AJ27" s="196" t="s">
        <v>213</v>
      </c>
      <c r="AK27" s="196" t="s">
        <v>213</v>
      </c>
      <c r="AL27" s="196" t="s">
        <v>213</v>
      </c>
      <c r="AM27" s="197"/>
      <c r="AN27" s="163"/>
      <c r="AO27" s="163"/>
    </row>
    <row r="28" spans="1:41" ht="38.25">
      <c r="A28" s="164" t="s">
        <v>315</v>
      </c>
      <c r="B28" s="172" t="s">
        <v>210</v>
      </c>
      <c r="C28" s="196" t="s">
        <v>213</v>
      </c>
      <c r="D28" s="196" t="s">
        <v>213</v>
      </c>
      <c r="E28" s="196" t="s">
        <v>213</v>
      </c>
      <c r="F28" s="196" t="s">
        <v>213</v>
      </c>
      <c r="G28" s="196" t="s">
        <v>213</v>
      </c>
      <c r="H28" s="196" t="s">
        <v>213</v>
      </c>
      <c r="I28" s="196" t="s">
        <v>213</v>
      </c>
      <c r="J28" s="196" t="s">
        <v>213</v>
      </c>
      <c r="K28" s="196" t="s">
        <v>213</v>
      </c>
      <c r="L28" s="196" t="s">
        <v>213</v>
      </c>
      <c r="M28" s="196" t="s">
        <v>213</v>
      </c>
      <c r="N28" s="196" t="s">
        <v>213</v>
      </c>
      <c r="O28" s="196" t="s">
        <v>213</v>
      </c>
      <c r="P28" s="196" t="s">
        <v>213</v>
      </c>
      <c r="Q28" s="196" t="s">
        <v>213</v>
      </c>
      <c r="R28" s="196" t="s">
        <v>213</v>
      </c>
      <c r="S28" s="196" t="s">
        <v>213</v>
      </c>
      <c r="T28" s="196" t="s">
        <v>213</v>
      </c>
      <c r="U28" s="196" t="s">
        <v>213</v>
      </c>
      <c r="V28" s="196" t="s">
        <v>213</v>
      </c>
      <c r="W28" s="196" t="s">
        <v>213</v>
      </c>
      <c r="X28" s="196" t="s">
        <v>213</v>
      </c>
      <c r="Y28" s="196" t="s">
        <v>213</v>
      </c>
      <c r="Z28" s="196" t="s">
        <v>213</v>
      </c>
      <c r="AA28" s="196" t="s">
        <v>213</v>
      </c>
      <c r="AB28" s="196" t="s">
        <v>213</v>
      </c>
      <c r="AC28" s="196" t="s">
        <v>213</v>
      </c>
      <c r="AD28" s="196" t="s">
        <v>213</v>
      </c>
      <c r="AE28" s="196" t="s">
        <v>213</v>
      </c>
      <c r="AF28" s="196" t="s">
        <v>213</v>
      </c>
      <c r="AG28" s="196" t="s">
        <v>213</v>
      </c>
      <c r="AH28" s="196" t="s">
        <v>213</v>
      </c>
      <c r="AI28" s="196" t="s">
        <v>213</v>
      </c>
      <c r="AJ28" s="196" t="s">
        <v>213</v>
      </c>
      <c r="AK28" s="196" t="s">
        <v>213</v>
      </c>
      <c r="AL28" s="196" t="s">
        <v>213</v>
      </c>
      <c r="AM28" s="197"/>
      <c r="AN28" s="163"/>
      <c r="AO28" s="163"/>
    </row>
    <row r="29" spans="1:41" ht="18.75">
      <c r="A29" s="161"/>
      <c r="B29" s="169" t="s">
        <v>218</v>
      </c>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202"/>
      <c r="AO29" s="202"/>
    </row>
    <row r="30" spans="1:41" ht="38.25">
      <c r="A30" s="164" t="s">
        <v>316</v>
      </c>
      <c r="B30" s="172" t="s">
        <v>211</v>
      </c>
      <c r="C30" s="196" t="s">
        <v>213</v>
      </c>
      <c r="D30" s="196" t="s">
        <v>213</v>
      </c>
      <c r="E30" s="196" t="s">
        <v>213</v>
      </c>
      <c r="F30" s="196" t="s">
        <v>213</v>
      </c>
      <c r="G30" s="196" t="s">
        <v>213</v>
      </c>
      <c r="H30" s="196" t="s">
        <v>213</v>
      </c>
      <c r="I30" s="196" t="s">
        <v>213</v>
      </c>
      <c r="J30" s="196" t="s">
        <v>213</v>
      </c>
      <c r="K30" s="196" t="s">
        <v>213</v>
      </c>
      <c r="L30" s="196" t="s">
        <v>213</v>
      </c>
      <c r="M30" s="196" t="s">
        <v>213</v>
      </c>
      <c r="N30" s="196" t="s">
        <v>213</v>
      </c>
      <c r="O30" s="196" t="s">
        <v>213</v>
      </c>
      <c r="P30" s="196" t="s">
        <v>213</v>
      </c>
      <c r="Q30" s="196" t="s">
        <v>213</v>
      </c>
      <c r="R30" s="196" t="s">
        <v>213</v>
      </c>
      <c r="S30" s="196" t="s">
        <v>213</v>
      </c>
      <c r="T30" s="196" t="s">
        <v>213</v>
      </c>
      <c r="U30" s="196" t="s">
        <v>213</v>
      </c>
      <c r="V30" s="196" t="s">
        <v>213</v>
      </c>
      <c r="W30" s="196" t="s">
        <v>213</v>
      </c>
      <c r="X30" s="196" t="s">
        <v>213</v>
      </c>
      <c r="Y30" s="196" t="s">
        <v>213</v>
      </c>
      <c r="Z30" s="196" t="s">
        <v>213</v>
      </c>
      <c r="AA30" s="196" t="s">
        <v>213</v>
      </c>
      <c r="AB30" s="196" t="s">
        <v>213</v>
      </c>
      <c r="AC30" s="196" t="s">
        <v>213</v>
      </c>
      <c r="AD30" s="196" t="s">
        <v>213</v>
      </c>
      <c r="AE30" s="196" t="s">
        <v>213</v>
      </c>
      <c r="AF30" s="196" t="s">
        <v>213</v>
      </c>
      <c r="AG30" s="196" t="s">
        <v>213</v>
      </c>
      <c r="AH30" s="196" t="s">
        <v>213</v>
      </c>
      <c r="AI30" s="196" t="s">
        <v>213</v>
      </c>
      <c r="AJ30" s="196" t="s">
        <v>213</v>
      </c>
      <c r="AK30" s="196" t="s">
        <v>213</v>
      </c>
      <c r="AL30" s="196" t="s">
        <v>213</v>
      </c>
      <c r="AM30" s="197"/>
      <c r="AN30" s="163"/>
      <c r="AO30" s="163"/>
    </row>
    <row r="31" spans="1:41" ht="38.25">
      <c r="A31" s="164" t="s">
        <v>317</v>
      </c>
      <c r="B31" s="172" t="s">
        <v>212</v>
      </c>
      <c r="C31" s="196" t="s">
        <v>213</v>
      </c>
      <c r="D31" s="196" t="s">
        <v>213</v>
      </c>
      <c r="E31" s="196" t="s">
        <v>213</v>
      </c>
      <c r="F31" s="196" t="s">
        <v>213</v>
      </c>
      <c r="G31" s="196" t="s">
        <v>213</v>
      </c>
      <c r="H31" s="196" t="s">
        <v>213</v>
      </c>
      <c r="I31" s="196" t="s">
        <v>213</v>
      </c>
      <c r="J31" s="196" t="s">
        <v>213</v>
      </c>
      <c r="K31" s="196" t="s">
        <v>213</v>
      </c>
      <c r="L31" s="196" t="s">
        <v>213</v>
      </c>
      <c r="M31" s="196" t="s">
        <v>213</v>
      </c>
      <c r="N31" s="196" t="s">
        <v>213</v>
      </c>
      <c r="O31" s="196" t="s">
        <v>213</v>
      </c>
      <c r="P31" s="196" t="s">
        <v>213</v>
      </c>
      <c r="Q31" s="196" t="s">
        <v>213</v>
      </c>
      <c r="R31" s="196" t="s">
        <v>213</v>
      </c>
      <c r="S31" s="196" t="s">
        <v>213</v>
      </c>
      <c r="T31" s="196" t="s">
        <v>213</v>
      </c>
      <c r="U31" s="196" t="s">
        <v>213</v>
      </c>
      <c r="V31" s="196" t="s">
        <v>213</v>
      </c>
      <c r="W31" s="196" t="s">
        <v>213</v>
      </c>
      <c r="X31" s="196" t="s">
        <v>213</v>
      </c>
      <c r="Y31" s="196" t="s">
        <v>213</v>
      </c>
      <c r="Z31" s="196" t="s">
        <v>213</v>
      </c>
      <c r="AA31" s="196" t="s">
        <v>213</v>
      </c>
      <c r="AB31" s="196" t="s">
        <v>213</v>
      </c>
      <c r="AC31" s="196" t="s">
        <v>213</v>
      </c>
      <c r="AD31" s="196" t="s">
        <v>213</v>
      </c>
      <c r="AE31" s="196" t="s">
        <v>213</v>
      </c>
      <c r="AF31" s="196" t="s">
        <v>213</v>
      </c>
      <c r="AG31" s="196" t="s">
        <v>213</v>
      </c>
      <c r="AH31" s="196" t="s">
        <v>213</v>
      </c>
      <c r="AI31" s="196" t="s">
        <v>213</v>
      </c>
      <c r="AJ31" s="196" t="s">
        <v>213</v>
      </c>
      <c r="AK31" s="196" t="s">
        <v>213</v>
      </c>
      <c r="AL31" s="196" t="s">
        <v>213</v>
      </c>
      <c r="AM31" s="197"/>
      <c r="AN31" s="163"/>
      <c r="AO31" s="163"/>
    </row>
    <row r="32" spans="1:41" ht="18.75">
      <c r="A32" s="161"/>
      <c r="B32" s="169" t="s">
        <v>205</v>
      </c>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202"/>
      <c r="AO32" s="202"/>
    </row>
    <row r="33" spans="1:41" ht="51">
      <c r="A33" s="164" t="s">
        <v>318</v>
      </c>
      <c r="B33" s="172" t="s">
        <v>206</v>
      </c>
      <c r="C33" s="196" t="s">
        <v>11</v>
      </c>
      <c r="D33" s="196" t="s">
        <v>11</v>
      </c>
      <c r="E33" s="196" t="s">
        <v>11</v>
      </c>
      <c r="F33" s="196" t="s">
        <v>11</v>
      </c>
      <c r="G33" s="196" t="s">
        <v>11</v>
      </c>
      <c r="H33" s="196" t="s">
        <v>11</v>
      </c>
      <c r="I33" s="196" t="s">
        <v>11</v>
      </c>
      <c r="J33" s="196" t="s">
        <v>11</v>
      </c>
      <c r="K33" s="196" t="s">
        <v>11</v>
      </c>
      <c r="L33" s="196" t="s">
        <v>11</v>
      </c>
      <c r="M33" s="196" t="s">
        <v>11</v>
      </c>
      <c r="N33" s="196" t="s">
        <v>11</v>
      </c>
      <c r="O33" s="196" t="s">
        <v>11</v>
      </c>
      <c r="P33" s="196" t="s">
        <v>11</v>
      </c>
      <c r="Q33" s="196" t="s">
        <v>11</v>
      </c>
      <c r="R33" s="196" t="s">
        <v>11</v>
      </c>
      <c r="S33" s="196" t="s">
        <v>11</v>
      </c>
      <c r="T33" s="196" t="s">
        <v>11</v>
      </c>
      <c r="U33" s="196" t="s">
        <v>11</v>
      </c>
      <c r="V33" s="196" t="s">
        <v>11</v>
      </c>
      <c r="W33" s="196" t="s">
        <v>11</v>
      </c>
      <c r="X33" s="196" t="s">
        <v>11</v>
      </c>
      <c r="Y33" s="196" t="s">
        <v>11</v>
      </c>
      <c r="Z33" s="196" t="s">
        <v>11</v>
      </c>
      <c r="AA33" s="196" t="s">
        <v>11</v>
      </c>
      <c r="AB33" s="196" t="s">
        <v>11</v>
      </c>
      <c r="AC33" s="196" t="s">
        <v>11</v>
      </c>
      <c r="AD33" s="196" t="s">
        <v>11</v>
      </c>
      <c r="AE33" s="196" t="s">
        <v>11</v>
      </c>
      <c r="AF33" s="196" t="s">
        <v>11</v>
      </c>
      <c r="AG33" s="196" t="s">
        <v>11</v>
      </c>
      <c r="AH33" s="196" t="s">
        <v>11</v>
      </c>
      <c r="AI33" s="196" t="s">
        <v>11</v>
      </c>
      <c r="AJ33" s="196" t="s">
        <v>11</v>
      </c>
      <c r="AK33" s="196" t="s">
        <v>11</v>
      </c>
      <c r="AL33" s="196" t="s">
        <v>11</v>
      </c>
      <c r="AM33" s="206" t="s">
        <v>375</v>
      </c>
      <c r="AN33" s="163"/>
      <c r="AO33" s="163"/>
    </row>
    <row r="34" spans="1:41" ht="18">
      <c r="A34" s="198"/>
      <c r="B34" s="199" t="s">
        <v>222</v>
      </c>
      <c r="C34" s="198"/>
      <c r="D34" s="198"/>
      <c r="E34" s="198"/>
      <c r="F34" s="198"/>
      <c r="G34" s="198"/>
      <c r="H34" s="198"/>
      <c r="I34" s="198"/>
      <c r="J34" s="198"/>
      <c r="K34" s="198"/>
      <c r="L34" s="198"/>
      <c r="M34" s="198"/>
      <c r="N34" s="198"/>
      <c r="O34" s="198"/>
      <c r="P34" s="198"/>
      <c r="Q34" s="198"/>
      <c r="R34" s="198"/>
      <c r="S34" s="198"/>
      <c r="T34" s="198"/>
      <c r="U34" s="198"/>
      <c r="V34" s="198"/>
      <c r="W34" s="198"/>
      <c r="X34" s="198"/>
      <c r="Y34" s="198"/>
      <c r="Z34" s="198"/>
      <c r="AA34" s="198"/>
      <c r="AB34" s="198"/>
      <c r="AC34" s="198"/>
      <c r="AD34" s="198"/>
      <c r="AE34" s="198"/>
      <c r="AF34" s="198"/>
      <c r="AG34" s="198"/>
      <c r="AH34" s="198"/>
      <c r="AI34" s="198"/>
      <c r="AJ34" s="198"/>
      <c r="AK34" s="198"/>
      <c r="AL34" s="198"/>
      <c r="AM34" s="198"/>
      <c r="AN34" s="198"/>
      <c r="AO34" s="198"/>
    </row>
    <row r="35" spans="1:41" ht="15">
      <c r="A35" s="165"/>
      <c r="B35" s="166"/>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8"/>
    </row>
    <row r="36" spans="1:41" ht="15">
      <c r="A36" s="203"/>
      <c r="B36" s="204" t="s">
        <v>336</v>
      </c>
      <c r="C36" s="203"/>
      <c r="D36" s="203"/>
      <c r="E36" s="203"/>
      <c r="F36" s="203"/>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c r="AG36" s="203"/>
      <c r="AH36" s="203"/>
      <c r="AI36" s="203"/>
      <c r="AJ36" s="203"/>
      <c r="AK36" s="203"/>
      <c r="AL36" s="203"/>
      <c r="AM36" s="203"/>
      <c r="AN36" s="203"/>
      <c r="AO36" s="203"/>
    </row>
  </sheetData>
  <mergeCells count="1">
    <mergeCell ref="AN2:AO2"/>
  </mergeCells>
  <conditionalFormatting sqref="C6:G6 Q30:Q31 Q33 Q6:Q7 Q9:Q23 Q25:Q28">
    <cfRule type="cellIs" dxfId="2252" priority="3334" operator="equal">
      <formula>"No"</formula>
    </cfRule>
    <cfRule type="cellIs" dxfId="2251" priority="3335" operator="equal">
      <formula>"NA"</formula>
    </cfRule>
    <cfRule type="cellIs" dxfId="2250" priority="3336" operator="equal">
      <formula>"Yes"</formula>
    </cfRule>
  </conditionalFormatting>
  <conditionalFormatting sqref="C7:G7">
    <cfRule type="cellIs" dxfId="2249" priority="3288" operator="equal">
      <formula>"No"</formula>
    </cfRule>
    <cfRule type="cellIs" dxfId="2248" priority="3289" operator="equal">
      <formula>"NA"</formula>
    </cfRule>
    <cfRule type="cellIs" dxfId="2247" priority="3290" operator="equal">
      <formula>"Yes"</formula>
    </cfRule>
  </conditionalFormatting>
  <conditionalFormatting sqref="C9:G9">
    <cfRule type="cellIs" dxfId="2246" priority="3242" operator="equal">
      <formula>"No"</formula>
    </cfRule>
    <cfRule type="cellIs" dxfId="2245" priority="3243" operator="equal">
      <formula>"NA"</formula>
    </cfRule>
    <cfRule type="cellIs" dxfId="2244" priority="3244" operator="equal">
      <formula>"Yes"</formula>
    </cfRule>
  </conditionalFormatting>
  <conditionalFormatting sqref="C10:D10">
    <cfRule type="cellIs" dxfId="2243" priority="3196" operator="equal">
      <formula>"No"</formula>
    </cfRule>
    <cfRule type="cellIs" dxfId="2242" priority="3197" operator="equal">
      <formula>"NA"</formula>
    </cfRule>
    <cfRule type="cellIs" dxfId="2241" priority="3198" operator="equal">
      <formula>"Yes"</formula>
    </cfRule>
  </conditionalFormatting>
  <conditionalFormatting sqref="C11:G11">
    <cfRule type="cellIs" dxfId="2240" priority="3150" operator="equal">
      <formula>"No"</formula>
    </cfRule>
    <cfRule type="cellIs" dxfId="2239" priority="3151" operator="equal">
      <formula>"NA"</formula>
    </cfRule>
    <cfRule type="cellIs" dxfId="2238" priority="3152" operator="equal">
      <formula>"Yes"</formula>
    </cfRule>
  </conditionalFormatting>
  <conditionalFormatting sqref="C12:G12">
    <cfRule type="cellIs" dxfId="2237" priority="3104" operator="equal">
      <formula>"No"</formula>
    </cfRule>
    <cfRule type="cellIs" dxfId="2236" priority="3105" operator="equal">
      <formula>"NA"</formula>
    </cfRule>
    <cfRule type="cellIs" dxfId="2235" priority="3106" operator="equal">
      <formula>"Yes"</formula>
    </cfRule>
  </conditionalFormatting>
  <conditionalFormatting sqref="C13:G13">
    <cfRule type="cellIs" dxfId="2234" priority="3058" operator="equal">
      <formula>"No"</formula>
    </cfRule>
    <cfRule type="cellIs" dxfId="2233" priority="3059" operator="equal">
      <formula>"NA"</formula>
    </cfRule>
    <cfRule type="cellIs" dxfId="2232" priority="3060" operator="equal">
      <formula>"Yes"</formula>
    </cfRule>
  </conditionalFormatting>
  <conditionalFormatting sqref="C14:G14">
    <cfRule type="cellIs" dxfId="2231" priority="3012" operator="equal">
      <formula>"No"</formula>
    </cfRule>
    <cfRule type="cellIs" dxfId="2230" priority="3013" operator="equal">
      <formula>"NA"</formula>
    </cfRule>
    <cfRule type="cellIs" dxfId="2229" priority="3014" operator="equal">
      <formula>"Yes"</formula>
    </cfRule>
  </conditionalFormatting>
  <conditionalFormatting sqref="C15:D15">
    <cfRule type="cellIs" dxfId="2228" priority="2966" operator="equal">
      <formula>"No"</formula>
    </cfRule>
    <cfRule type="cellIs" dxfId="2227" priority="2967" operator="equal">
      <formula>"NA"</formula>
    </cfRule>
    <cfRule type="cellIs" dxfId="2226" priority="2968" operator="equal">
      <formula>"Yes"</formula>
    </cfRule>
  </conditionalFormatting>
  <conditionalFormatting sqref="C16:D16">
    <cfRule type="cellIs" dxfId="2225" priority="2920" operator="equal">
      <formula>"No"</formula>
    </cfRule>
    <cfRule type="cellIs" dxfId="2224" priority="2921" operator="equal">
      <formula>"NA"</formula>
    </cfRule>
    <cfRule type="cellIs" dxfId="2223" priority="2922" operator="equal">
      <formula>"Yes"</formula>
    </cfRule>
  </conditionalFormatting>
  <conditionalFormatting sqref="C17:D17">
    <cfRule type="cellIs" dxfId="2222" priority="2874" operator="equal">
      <formula>"No"</formula>
    </cfRule>
    <cfRule type="cellIs" dxfId="2221" priority="2875" operator="equal">
      <formula>"NA"</formula>
    </cfRule>
    <cfRule type="cellIs" dxfId="2220" priority="2876" operator="equal">
      <formula>"Yes"</formula>
    </cfRule>
  </conditionalFormatting>
  <conditionalFormatting sqref="C18:G18">
    <cfRule type="cellIs" dxfId="2219" priority="2828" operator="equal">
      <formula>"No"</formula>
    </cfRule>
    <cfRule type="cellIs" dxfId="2218" priority="2829" operator="equal">
      <formula>"NA"</formula>
    </cfRule>
    <cfRule type="cellIs" dxfId="2217" priority="2830" operator="equal">
      <formula>"Yes"</formula>
    </cfRule>
  </conditionalFormatting>
  <conditionalFormatting sqref="C19:G19">
    <cfRule type="cellIs" dxfId="2216" priority="2782" operator="equal">
      <formula>"No"</formula>
    </cfRule>
    <cfRule type="cellIs" dxfId="2215" priority="2783" operator="equal">
      <formula>"NA"</formula>
    </cfRule>
    <cfRule type="cellIs" dxfId="2214" priority="2784" operator="equal">
      <formula>"Yes"</formula>
    </cfRule>
  </conditionalFormatting>
  <conditionalFormatting sqref="C20:G20">
    <cfRule type="cellIs" dxfId="2213" priority="2736" operator="equal">
      <formula>"No"</formula>
    </cfRule>
    <cfRule type="cellIs" dxfId="2212" priority="2737" operator="equal">
      <formula>"NA"</formula>
    </cfRule>
    <cfRule type="cellIs" dxfId="2211" priority="2738" operator="equal">
      <formula>"Yes"</formula>
    </cfRule>
  </conditionalFormatting>
  <conditionalFormatting sqref="C21:G21">
    <cfRule type="cellIs" dxfId="2210" priority="2690" operator="equal">
      <formula>"No"</formula>
    </cfRule>
    <cfRule type="cellIs" dxfId="2209" priority="2691" operator="equal">
      <formula>"NA"</formula>
    </cfRule>
    <cfRule type="cellIs" dxfId="2208" priority="2692" operator="equal">
      <formula>"Yes"</formula>
    </cfRule>
  </conditionalFormatting>
  <conditionalFormatting sqref="C22:G22">
    <cfRule type="cellIs" dxfId="2207" priority="2644" operator="equal">
      <formula>"No"</formula>
    </cfRule>
    <cfRule type="cellIs" dxfId="2206" priority="2645" operator="equal">
      <formula>"NA"</formula>
    </cfRule>
    <cfRule type="cellIs" dxfId="2205" priority="2646" operator="equal">
      <formula>"Yes"</formula>
    </cfRule>
  </conditionalFormatting>
  <conditionalFormatting sqref="C23:G23">
    <cfRule type="cellIs" dxfId="2204" priority="2598" operator="equal">
      <formula>"No"</formula>
    </cfRule>
    <cfRule type="cellIs" dxfId="2203" priority="2599" operator="equal">
      <formula>"NA"</formula>
    </cfRule>
    <cfRule type="cellIs" dxfId="2202" priority="2600" operator="equal">
      <formula>"Yes"</formula>
    </cfRule>
  </conditionalFormatting>
  <conditionalFormatting sqref="C25:D25">
    <cfRule type="cellIs" dxfId="2201" priority="2552" operator="equal">
      <formula>"No"</formula>
    </cfRule>
    <cfRule type="cellIs" dxfId="2200" priority="2553" operator="equal">
      <formula>"NA"</formula>
    </cfRule>
    <cfRule type="cellIs" dxfId="2199" priority="2554" operator="equal">
      <formula>"Yes"</formula>
    </cfRule>
  </conditionalFormatting>
  <conditionalFormatting sqref="C26:G26">
    <cfRule type="cellIs" dxfId="2198" priority="2506" operator="equal">
      <formula>"No"</formula>
    </cfRule>
    <cfRule type="cellIs" dxfId="2197" priority="2507" operator="equal">
      <formula>"NA"</formula>
    </cfRule>
    <cfRule type="cellIs" dxfId="2196" priority="2508" operator="equal">
      <formula>"Yes"</formula>
    </cfRule>
  </conditionalFormatting>
  <conditionalFormatting sqref="C27:G27">
    <cfRule type="cellIs" dxfId="2195" priority="2460" operator="equal">
      <formula>"No"</formula>
    </cfRule>
    <cfRule type="cellIs" dxfId="2194" priority="2461" operator="equal">
      <formula>"NA"</formula>
    </cfRule>
    <cfRule type="cellIs" dxfId="2193" priority="2462" operator="equal">
      <formula>"Yes"</formula>
    </cfRule>
  </conditionalFormatting>
  <conditionalFormatting sqref="C28:G28">
    <cfRule type="cellIs" dxfId="2192" priority="2414" operator="equal">
      <formula>"No"</formula>
    </cfRule>
    <cfRule type="cellIs" dxfId="2191" priority="2415" operator="equal">
      <formula>"NA"</formula>
    </cfRule>
    <cfRule type="cellIs" dxfId="2190" priority="2416" operator="equal">
      <formula>"Yes"</formula>
    </cfRule>
  </conditionalFormatting>
  <conditionalFormatting sqref="C30:G30">
    <cfRule type="cellIs" dxfId="2189" priority="2368" operator="equal">
      <formula>"No"</formula>
    </cfRule>
    <cfRule type="cellIs" dxfId="2188" priority="2369" operator="equal">
      <formula>"NA"</formula>
    </cfRule>
    <cfRule type="cellIs" dxfId="2187" priority="2370" operator="equal">
      <formula>"Yes"</formula>
    </cfRule>
  </conditionalFormatting>
  <conditionalFormatting sqref="C31:G31">
    <cfRule type="cellIs" dxfId="2186" priority="2322" operator="equal">
      <formula>"No"</formula>
    </cfRule>
    <cfRule type="cellIs" dxfId="2185" priority="2323" operator="equal">
      <formula>"NA"</formula>
    </cfRule>
    <cfRule type="cellIs" dxfId="2184" priority="2324" operator="equal">
      <formula>"Yes"</formula>
    </cfRule>
  </conditionalFormatting>
  <conditionalFormatting sqref="C33:G33">
    <cfRule type="cellIs" dxfId="2183" priority="2276" operator="equal">
      <formula>"No"</formula>
    </cfRule>
    <cfRule type="cellIs" dxfId="2182" priority="2277" operator="equal">
      <formula>"NA"</formula>
    </cfRule>
    <cfRule type="cellIs" dxfId="2181" priority="2278" operator="equal">
      <formula>"Yes"</formula>
    </cfRule>
  </conditionalFormatting>
  <conditionalFormatting sqref="E10">
    <cfRule type="cellIs" dxfId="2180" priority="2221" operator="equal">
      <formula>"No"</formula>
    </cfRule>
    <cfRule type="cellIs" dxfId="2179" priority="2222" operator="equal">
      <formula>"NA"</formula>
    </cfRule>
    <cfRule type="cellIs" dxfId="2178" priority="2223" operator="equal">
      <formula>"Yes"</formula>
    </cfRule>
  </conditionalFormatting>
  <conditionalFormatting sqref="E15">
    <cfRule type="cellIs" dxfId="2177" priority="2206" operator="equal">
      <formula>"No"</formula>
    </cfRule>
    <cfRule type="cellIs" dxfId="2176" priority="2207" operator="equal">
      <formula>"NA"</formula>
    </cfRule>
    <cfRule type="cellIs" dxfId="2175" priority="2208" operator="equal">
      <formula>"Yes"</formula>
    </cfRule>
  </conditionalFormatting>
  <conditionalFormatting sqref="E16">
    <cfRule type="cellIs" dxfId="2174" priority="2203" operator="equal">
      <formula>"No"</formula>
    </cfRule>
    <cfRule type="cellIs" dxfId="2173" priority="2204" operator="equal">
      <formula>"NA"</formula>
    </cfRule>
    <cfRule type="cellIs" dxfId="2172" priority="2205" operator="equal">
      <formula>"Yes"</formula>
    </cfRule>
  </conditionalFormatting>
  <conditionalFormatting sqref="E17">
    <cfRule type="cellIs" dxfId="2171" priority="2200" operator="equal">
      <formula>"No"</formula>
    </cfRule>
    <cfRule type="cellIs" dxfId="2170" priority="2201" operator="equal">
      <formula>"NA"</formula>
    </cfRule>
    <cfRule type="cellIs" dxfId="2169" priority="2202" operator="equal">
      <formula>"Yes"</formula>
    </cfRule>
  </conditionalFormatting>
  <conditionalFormatting sqref="E25">
    <cfRule type="cellIs" dxfId="2168" priority="2179" operator="equal">
      <formula>"No"</formula>
    </cfRule>
    <cfRule type="cellIs" dxfId="2167" priority="2180" operator="equal">
      <formula>"NA"</formula>
    </cfRule>
    <cfRule type="cellIs" dxfId="2166" priority="2181" operator="equal">
      <formula>"Yes"</formula>
    </cfRule>
  </conditionalFormatting>
  <conditionalFormatting sqref="F10">
    <cfRule type="cellIs" dxfId="2165" priority="2149" operator="equal">
      <formula>"No"</formula>
    </cfRule>
    <cfRule type="cellIs" dxfId="2164" priority="2150" operator="equal">
      <formula>"NA"</formula>
    </cfRule>
    <cfRule type="cellIs" dxfId="2163" priority="2151" operator="equal">
      <formula>"Yes"</formula>
    </cfRule>
  </conditionalFormatting>
  <conditionalFormatting sqref="F15">
    <cfRule type="cellIs" dxfId="2162" priority="2134" operator="equal">
      <formula>"No"</formula>
    </cfRule>
    <cfRule type="cellIs" dxfId="2161" priority="2135" operator="equal">
      <formula>"NA"</formula>
    </cfRule>
    <cfRule type="cellIs" dxfId="2160" priority="2136" operator="equal">
      <formula>"Yes"</formula>
    </cfRule>
  </conditionalFormatting>
  <conditionalFormatting sqref="F16">
    <cfRule type="cellIs" dxfId="2159" priority="2131" operator="equal">
      <formula>"No"</formula>
    </cfRule>
    <cfRule type="cellIs" dxfId="2158" priority="2132" operator="equal">
      <formula>"NA"</formula>
    </cfRule>
    <cfRule type="cellIs" dxfId="2157" priority="2133" operator="equal">
      <formula>"Yes"</formula>
    </cfRule>
  </conditionalFormatting>
  <conditionalFormatting sqref="F17">
    <cfRule type="cellIs" dxfId="2156" priority="2128" operator="equal">
      <formula>"No"</formula>
    </cfRule>
    <cfRule type="cellIs" dxfId="2155" priority="2129" operator="equal">
      <formula>"NA"</formula>
    </cfRule>
    <cfRule type="cellIs" dxfId="2154" priority="2130" operator="equal">
      <formula>"Yes"</formula>
    </cfRule>
  </conditionalFormatting>
  <conditionalFormatting sqref="F25">
    <cfRule type="cellIs" dxfId="2153" priority="2107" operator="equal">
      <formula>"No"</formula>
    </cfRule>
    <cfRule type="cellIs" dxfId="2152" priority="2108" operator="equal">
      <formula>"NA"</formula>
    </cfRule>
    <cfRule type="cellIs" dxfId="2151" priority="2109" operator="equal">
      <formula>"Yes"</formula>
    </cfRule>
  </conditionalFormatting>
  <conditionalFormatting sqref="G10">
    <cfRule type="cellIs" dxfId="2150" priority="2077" operator="equal">
      <formula>"No"</formula>
    </cfRule>
    <cfRule type="cellIs" dxfId="2149" priority="2078" operator="equal">
      <formula>"NA"</formula>
    </cfRule>
    <cfRule type="cellIs" dxfId="2148" priority="2079" operator="equal">
      <formula>"Yes"</formula>
    </cfRule>
  </conditionalFormatting>
  <conditionalFormatting sqref="G15">
    <cfRule type="cellIs" dxfId="2147" priority="2062" operator="equal">
      <formula>"No"</formula>
    </cfRule>
    <cfRule type="cellIs" dxfId="2146" priority="2063" operator="equal">
      <formula>"NA"</formula>
    </cfRule>
    <cfRule type="cellIs" dxfId="2145" priority="2064" operator="equal">
      <formula>"Yes"</formula>
    </cfRule>
  </conditionalFormatting>
  <conditionalFormatting sqref="G16">
    <cfRule type="cellIs" dxfId="2144" priority="2059" operator="equal">
      <formula>"No"</formula>
    </cfRule>
    <cfRule type="cellIs" dxfId="2143" priority="2060" operator="equal">
      <formula>"NA"</formula>
    </cfRule>
    <cfRule type="cellIs" dxfId="2142" priority="2061" operator="equal">
      <formula>"Yes"</formula>
    </cfRule>
  </conditionalFormatting>
  <conditionalFormatting sqref="G17">
    <cfRule type="cellIs" dxfId="2141" priority="2056" operator="equal">
      <formula>"No"</formula>
    </cfRule>
    <cfRule type="cellIs" dxfId="2140" priority="2057" operator="equal">
      <formula>"NA"</formula>
    </cfRule>
    <cfRule type="cellIs" dxfId="2139" priority="2058" operator="equal">
      <formula>"Yes"</formula>
    </cfRule>
  </conditionalFormatting>
  <conditionalFormatting sqref="G25">
    <cfRule type="cellIs" dxfId="2138" priority="2035" operator="equal">
      <formula>"No"</formula>
    </cfRule>
    <cfRule type="cellIs" dxfId="2137" priority="2036" operator="equal">
      <formula>"NA"</formula>
    </cfRule>
    <cfRule type="cellIs" dxfId="2136" priority="2037" operator="equal">
      <formula>"Yes"</formula>
    </cfRule>
  </conditionalFormatting>
  <conditionalFormatting sqref="H9">
    <cfRule type="cellIs" dxfId="2135" priority="2008" operator="equal">
      <formula>"No"</formula>
    </cfRule>
    <cfRule type="cellIs" dxfId="2134" priority="2009" operator="equal">
      <formula>"NA"</formula>
    </cfRule>
    <cfRule type="cellIs" dxfId="2133" priority="2010" operator="equal">
      <formula>"Yes"</formula>
    </cfRule>
  </conditionalFormatting>
  <conditionalFormatting sqref="H10">
    <cfRule type="cellIs" dxfId="2132" priority="2005" operator="equal">
      <formula>"No"</formula>
    </cfRule>
    <cfRule type="cellIs" dxfId="2131" priority="2006" operator="equal">
      <formula>"NA"</formula>
    </cfRule>
    <cfRule type="cellIs" dxfId="2130" priority="2007" operator="equal">
      <formula>"Yes"</formula>
    </cfRule>
  </conditionalFormatting>
  <conditionalFormatting sqref="H11">
    <cfRule type="cellIs" dxfId="2129" priority="2002" operator="equal">
      <formula>"No"</formula>
    </cfRule>
    <cfRule type="cellIs" dxfId="2128" priority="2003" operator="equal">
      <formula>"NA"</formula>
    </cfRule>
    <cfRule type="cellIs" dxfId="2127" priority="2004" operator="equal">
      <formula>"Yes"</formula>
    </cfRule>
  </conditionalFormatting>
  <conditionalFormatting sqref="H12">
    <cfRule type="cellIs" dxfId="2126" priority="1999" operator="equal">
      <formula>"No"</formula>
    </cfRule>
    <cfRule type="cellIs" dxfId="2125" priority="2000" operator="equal">
      <formula>"NA"</formula>
    </cfRule>
    <cfRule type="cellIs" dxfId="2124" priority="2001" operator="equal">
      <formula>"Yes"</formula>
    </cfRule>
  </conditionalFormatting>
  <conditionalFormatting sqref="H13">
    <cfRule type="cellIs" dxfId="2123" priority="1996" operator="equal">
      <formula>"No"</formula>
    </cfRule>
    <cfRule type="cellIs" dxfId="2122" priority="1997" operator="equal">
      <formula>"NA"</formula>
    </cfRule>
    <cfRule type="cellIs" dxfId="2121" priority="1998" operator="equal">
      <formula>"Yes"</formula>
    </cfRule>
  </conditionalFormatting>
  <conditionalFormatting sqref="H14">
    <cfRule type="cellIs" dxfId="2120" priority="1993" operator="equal">
      <formula>"No"</formula>
    </cfRule>
    <cfRule type="cellIs" dxfId="2119" priority="1994" operator="equal">
      <formula>"NA"</formula>
    </cfRule>
    <cfRule type="cellIs" dxfId="2118" priority="1995" operator="equal">
      <formula>"Yes"</formula>
    </cfRule>
  </conditionalFormatting>
  <conditionalFormatting sqref="H15">
    <cfRule type="cellIs" dxfId="2117" priority="1990" operator="equal">
      <formula>"No"</formula>
    </cfRule>
    <cfRule type="cellIs" dxfId="2116" priority="1991" operator="equal">
      <formula>"NA"</formula>
    </cfRule>
    <cfRule type="cellIs" dxfId="2115" priority="1992" operator="equal">
      <formula>"Yes"</formula>
    </cfRule>
  </conditionalFormatting>
  <conditionalFormatting sqref="H16">
    <cfRule type="cellIs" dxfId="2114" priority="1987" operator="equal">
      <formula>"No"</formula>
    </cfRule>
    <cfRule type="cellIs" dxfId="2113" priority="1988" operator="equal">
      <formula>"NA"</formula>
    </cfRule>
    <cfRule type="cellIs" dxfId="2112" priority="1989" operator="equal">
      <formula>"Yes"</formula>
    </cfRule>
  </conditionalFormatting>
  <conditionalFormatting sqref="H17">
    <cfRule type="cellIs" dxfId="2111" priority="1984" operator="equal">
      <formula>"No"</formula>
    </cfRule>
    <cfRule type="cellIs" dxfId="2110" priority="1985" operator="equal">
      <formula>"NA"</formula>
    </cfRule>
    <cfRule type="cellIs" dxfId="2109" priority="1986" operator="equal">
      <formula>"Yes"</formula>
    </cfRule>
  </conditionalFormatting>
  <conditionalFormatting sqref="H18">
    <cfRule type="cellIs" dxfId="2108" priority="1981" operator="equal">
      <formula>"No"</formula>
    </cfRule>
    <cfRule type="cellIs" dxfId="2107" priority="1982" operator="equal">
      <formula>"NA"</formula>
    </cfRule>
    <cfRule type="cellIs" dxfId="2106" priority="1983" operator="equal">
      <formula>"Yes"</formula>
    </cfRule>
  </conditionalFormatting>
  <conditionalFormatting sqref="H19">
    <cfRule type="cellIs" dxfId="2105" priority="1978" operator="equal">
      <formula>"No"</formula>
    </cfRule>
    <cfRule type="cellIs" dxfId="2104" priority="1979" operator="equal">
      <formula>"NA"</formula>
    </cfRule>
    <cfRule type="cellIs" dxfId="2103" priority="1980" operator="equal">
      <formula>"Yes"</formula>
    </cfRule>
  </conditionalFormatting>
  <conditionalFormatting sqref="H20">
    <cfRule type="cellIs" dxfId="2102" priority="1975" operator="equal">
      <formula>"No"</formula>
    </cfRule>
    <cfRule type="cellIs" dxfId="2101" priority="1976" operator="equal">
      <formula>"NA"</formula>
    </cfRule>
    <cfRule type="cellIs" dxfId="2100" priority="1977" operator="equal">
      <formula>"Yes"</formula>
    </cfRule>
  </conditionalFormatting>
  <conditionalFormatting sqref="H21">
    <cfRule type="cellIs" dxfId="2099" priority="1972" operator="equal">
      <formula>"No"</formula>
    </cfRule>
    <cfRule type="cellIs" dxfId="2098" priority="1973" operator="equal">
      <formula>"NA"</formula>
    </cfRule>
    <cfRule type="cellIs" dxfId="2097" priority="1974" operator="equal">
      <formula>"Yes"</formula>
    </cfRule>
  </conditionalFormatting>
  <conditionalFormatting sqref="H22">
    <cfRule type="cellIs" dxfId="2096" priority="1969" operator="equal">
      <formula>"No"</formula>
    </cfRule>
    <cfRule type="cellIs" dxfId="2095" priority="1970" operator="equal">
      <formula>"NA"</formula>
    </cfRule>
    <cfRule type="cellIs" dxfId="2094" priority="1971" operator="equal">
      <formula>"Yes"</formula>
    </cfRule>
  </conditionalFormatting>
  <conditionalFormatting sqref="H23">
    <cfRule type="cellIs" dxfId="2093" priority="1966" operator="equal">
      <formula>"No"</formula>
    </cfRule>
    <cfRule type="cellIs" dxfId="2092" priority="1967" operator="equal">
      <formula>"NA"</formula>
    </cfRule>
    <cfRule type="cellIs" dxfId="2091" priority="1968" operator="equal">
      <formula>"Yes"</formula>
    </cfRule>
  </conditionalFormatting>
  <conditionalFormatting sqref="H26">
    <cfRule type="cellIs" dxfId="2090" priority="1960" operator="equal">
      <formula>"No"</formula>
    </cfRule>
    <cfRule type="cellIs" dxfId="2089" priority="1961" operator="equal">
      <formula>"NA"</formula>
    </cfRule>
    <cfRule type="cellIs" dxfId="2088" priority="1962" operator="equal">
      <formula>"Yes"</formula>
    </cfRule>
  </conditionalFormatting>
  <conditionalFormatting sqref="H27">
    <cfRule type="cellIs" dxfId="2087" priority="1957" operator="equal">
      <formula>"No"</formula>
    </cfRule>
    <cfRule type="cellIs" dxfId="2086" priority="1958" operator="equal">
      <formula>"NA"</formula>
    </cfRule>
    <cfRule type="cellIs" dxfId="2085" priority="1959" operator="equal">
      <formula>"Yes"</formula>
    </cfRule>
  </conditionalFormatting>
  <conditionalFormatting sqref="H28">
    <cfRule type="cellIs" dxfId="2084" priority="1954" operator="equal">
      <formula>"No"</formula>
    </cfRule>
    <cfRule type="cellIs" dxfId="2083" priority="1955" operator="equal">
      <formula>"NA"</formula>
    </cfRule>
    <cfRule type="cellIs" dxfId="2082" priority="1956" operator="equal">
      <formula>"Yes"</formula>
    </cfRule>
  </conditionalFormatting>
  <conditionalFormatting sqref="H30">
    <cfRule type="cellIs" dxfId="2081" priority="1951" operator="equal">
      <formula>"No"</formula>
    </cfRule>
    <cfRule type="cellIs" dxfId="2080" priority="1952" operator="equal">
      <formula>"NA"</formula>
    </cfRule>
    <cfRule type="cellIs" dxfId="2079" priority="1953" operator="equal">
      <formula>"Yes"</formula>
    </cfRule>
  </conditionalFormatting>
  <conditionalFormatting sqref="H31">
    <cfRule type="cellIs" dxfId="2078" priority="1948" operator="equal">
      <formula>"No"</formula>
    </cfRule>
    <cfRule type="cellIs" dxfId="2077" priority="1949" operator="equal">
      <formula>"NA"</formula>
    </cfRule>
    <cfRule type="cellIs" dxfId="2076" priority="1950" operator="equal">
      <formula>"Yes"</formula>
    </cfRule>
  </conditionalFormatting>
  <conditionalFormatting sqref="H33">
    <cfRule type="cellIs" dxfId="2075" priority="1945" operator="equal">
      <formula>"No"</formula>
    </cfRule>
    <cfRule type="cellIs" dxfId="2074" priority="1946" operator="equal">
      <formula>"NA"</formula>
    </cfRule>
    <cfRule type="cellIs" dxfId="2073" priority="1947" operator="equal">
      <formula>"Yes"</formula>
    </cfRule>
  </conditionalFormatting>
  <conditionalFormatting sqref="H6">
    <cfRule type="cellIs" dxfId="2072" priority="1942" operator="equal">
      <formula>"No"</formula>
    </cfRule>
    <cfRule type="cellIs" dxfId="2071" priority="1943" operator="equal">
      <formula>"NA"</formula>
    </cfRule>
    <cfRule type="cellIs" dxfId="2070" priority="1944" operator="equal">
      <formula>"Yes"</formula>
    </cfRule>
  </conditionalFormatting>
  <conditionalFormatting sqref="H7">
    <cfRule type="cellIs" dxfId="2069" priority="1939" operator="equal">
      <formula>"No"</formula>
    </cfRule>
    <cfRule type="cellIs" dxfId="2068" priority="1940" operator="equal">
      <formula>"NA"</formula>
    </cfRule>
    <cfRule type="cellIs" dxfId="2067" priority="1941" operator="equal">
      <formula>"Yes"</formula>
    </cfRule>
  </conditionalFormatting>
  <conditionalFormatting sqref="H25">
    <cfRule type="cellIs" dxfId="2066" priority="1936" operator="equal">
      <formula>"No"</formula>
    </cfRule>
    <cfRule type="cellIs" dxfId="2065" priority="1937" operator="equal">
      <formula>"NA"</formula>
    </cfRule>
    <cfRule type="cellIs" dxfId="2064" priority="1938" operator="equal">
      <formula>"Yes"</formula>
    </cfRule>
  </conditionalFormatting>
  <conditionalFormatting sqref="I9">
    <cfRule type="cellIs" dxfId="2063" priority="1927" operator="equal">
      <formula>"No"</formula>
    </cfRule>
    <cfRule type="cellIs" dxfId="2062" priority="1928" operator="equal">
      <formula>"NA"</formula>
    </cfRule>
    <cfRule type="cellIs" dxfId="2061" priority="1929" operator="equal">
      <formula>"Yes"</formula>
    </cfRule>
  </conditionalFormatting>
  <conditionalFormatting sqref="I11">
    <cfRule type="cellIs" dxfId="2060" priority="1921" operator="equal">
      <formula>"No"</formula>
    </cfRule>
    <cfRule type="cellIs" dxfId="2059" priority="1922" operator="equal">
      <formula>"NA"</formula>
    </cfRule>
    <cfRule type="cellIs" dxfId="2058" priority="1923" operator="equal">
      <formula>"Yes"</formula>
    </cfRule>
  </conditionalFormatting>
  <conditionalFormatting sqref="I12">
    <cfRule type="cellIs" dxfId="2057" priority="1918" operator="equal">
      <formula>"No"</formula>
    </cfRule>
    <cfRule type="cellIs" dxfId="2056" priority="1919" operator="equal">
      <formula>"NA"</formula>
    </cfRule>
    <cfRule type="cellIs" dxfId="2055" priority="1920" operator="equal">
      <formula>"Yes"</formula>
    </cfRule>
  </conditionalFormatting>
  <conditionalFormatting sqref="I13">
    <cfRule type="cellIs" dxfId="2054" priority="1915" operator="equal">
      <formula>"No"</formula>
    </cfRule>
    <cfRule type="cellIs" dxfId="2053" priority="1916" operator="equal">
      <formula>"NA"</formula>
    </cfRule>
    <cfRule type="cellIs" dxfId="2052" priority="1917" operator="equal">
      <formula>"Yes"</formula>
    </cfRule>
  </conditionalFormatting>
  <conditionalFormatting sqref="I14">
    <cfRule type="cellIs" dxfId="2051" priority="1912" operator="equal">
      <formula>"No"</formula>
    </cfRule>
    <cfRule type="cellIs" dxfId="2050" priority="1913" operator="equal">
      <formula>"NA"</formula>
    </cfRule>
    <cfRule type="cellIs" dxfId="2049" priority="1914" operator="equal">
      <formula>"Yes"</formula>
    </cfRule>
  </conditionalFormatting>
  <conditionalFormatting sqref="I15">
    <cfRule type="cellIs" dxfId="2048" priority="1909" operator="equal">
      <formula>"No"</formula>
    </cfRule>
    <cfRule type="cellIs" dxfId="2047" priority="1910" operator="equal">
      <formula>"NA"</formula>
    </cfRule>
    <cfRule type="cellIs" dxfId="2046" priority="1911" operator="equal">
      <formula>"Yes"</formula>
    </cfRule>
  </conditionalFormatting>
  <conditionalFormatting sqref="I16">
    <cfRule type="cellIs" dxfId="2045" priority="1906" operator="equal">
      <formula>"No"</formula>
    </cfRule>
    <cfRule type="cellIs" dxfId="2044" priority="1907" operator="equal">
      <formula>"NA"</formula>
    </cfRule>
    <cfRule type="cellIs" dxfId="2043" priority="1908" operator="equal">
      <formula>"Yes"</formula>
    </cfRule>
  </conditionalFormatting>
  <conditionalFormatting sqref="I17">
    <cfRule type="cellIs" dxfId="2042" priority="1903" operator="equal">
      <formula>"No"</formula>
    </cfRule>
    <cfRule type="cellIs" dxfId="2041" priority="1904" operator="equal">
      <formula>"NA"</formula>
    </cfRule>
    <cfRule type="cellIs" dxfId="2040" priority="1905" operator="equal">
      <formula>"Yes"</formula>
    </cfRule>
  </conditionalFormatting>
  <conditionalFormatting sqref="I18">
    <cfRule type="cellIs" dxfId="2039" priority="1900" operator="equal">
      <formula>"No"</formula>
    </cfRule>
    <cfRule type="cellIs" dxfId="2038" priority="1901" operator="equal">
      <formula>"NA"</formula>
    </cfRule>
    <cfRule type="cellIs" dxfId="2037" priority="1902" operator="equal">
      <formula>"Yes"</formula>
    </cfRule>
  </conditionalFormatting>
  <conditionalFormatting sqref="I19">
    <cfRule type="cellIs" dxfId="2036" priority="1897" operator="equal">
      <formula>"No"</formula>
    </cfRule>
    <cfRule type="cellIs" dxfId="2035" priority="1898" operator="equal">
      <formula>"NA"</formula>
    </cfRule>
    <cfRule type="cellIs" dxfId="2034" priority="1899" operator="equal">
      <formula>"Yes"</formula>
    </cfRule>
  </conditionalFormatting>
  <conditionalFormatting sqref="I20">
    <cfRule type="cellIs" dxfId="2033" priority="1894" operator="equal">
      <formula>"No"</formula>
    </cfRule>
    <cfRule type="cellIs" dxfId="2032" priority="1895" operator="equal">
      <formula>"NA"</formula>
    </cfRule>
    <cfRule type="cellIs" dxfId="2031" priority="1896" operator="equal">
      <formula>"Yes"</formula>
    </cfRule>
  </conditionalFormatting>
  <conditionalFormatting sqref="I21">
    <cfRule type="cellIs" dxfId="2030" priority="1891" operator="equal">
      <formula>"No"</formula>
    </cfRule>
    <cfRule type="cellIs" dxfId="2029" priority="1892" operator="equal">
      <formula>"NA"</formula>
    </cfRule>
    <cfRule type="cellIs" dxfId="2028" priority="1893" operator="equal">
      <formula>"Yes"</formula>
    </cfRule>
  </conditionalFormatting>
  <conditionalFormatting sqref="I22">
    <cfRule type="cellIs" dxfId="2027" priority="1888" operator="equal">
      <formula>"No"</formula>
    </cfRule>
    <cfRule type="cellIs" dxfId="2026" priority="1889" operator="equal">
      <formula>"NA"</formula>
    </cfRule>
    <cfRule type="cellIs" dxfId="2025" priority="1890" operator="equal">
      <formula>"Yes"</formula>
    </cfRule>
  </conditionalFormatting>
  <conditionalFormatting sqref="I23">
    <cfRule type="cellIs" dxfId="2024" priority="1885" operator="equal">
      <formula>"No"</formula>
    </cfRule>
    <cfRule type="cellIs" dxfId="2023" priority="1886" operator="equal">
      <formula>"NA"</formula>
    </cfRule>
    <cfRule type="cellIs" dxfId="2022" priority="1887" operator="equal">
      <formula>"Yes"</formula>
    </cfRule>
  </conditionalFormatting>
  <conditionalFormatting sqref="I26">
    <cfRule type="cellIs" dxfId="2021" priority="1879" operator="equal">
      <formula>"No"</formula>
    </cfRule>
    <cfRule type="cellIs" dxfId="2020" priority="1880" operator="equal">
      <formula>"NA"</formula>
    </cfRule>
    <cfRule type="cellIs" dxfId="2019" priority="1881" operator="equal">
      <formula>"Yes"</formula>
    </cfRule>
  </conditionalFormatting>
  <conditionalFormatting sqref="I27">
    <cfRule type="cellIs" dxfId="2018" priority="1876" operator="equal">
      <formula>"No"</formula>
    </cfRule>
    <cfRule type="cellIs" dxfId="2017" priority="1877" operator="equal">
      <formula>"NA"</formula>
    </cfRule>
    <cfRule type="cellIs" dxfId="2016" priority="1878" operator="equal">
      <formula>"Yes"</formula>
    </cfRule>
  </conditionalFormatting>
  <conditionalFormatting sqref="I28">
    <cfRule type="cellIs" dxfId="2015" priority="1873" operator="equal">
      <formula>"No"</formula>
    </cfRule>
    <cfRule type="cellIs" dxfId="2014" priority="1874" operator="equal">
      <formula>"NA"</formula>
    </cfRule>
    <cfRule type="cellIs" dxfId="2013" priority="1875" operator="equal">
      <formula>"Yes"</formula>
    </cfRule>
  </conditionalFormatting>
  <conditionalFormatting sqref="I30">
    <cfRule type="cellIs" dxfId="2012" priority="1870" operator="equal">
      <formula>"No"</formula>
    </cfRule>
    <cfRule type="cellIs" dxfId="2011" priority="1871" operator="equal">
      <formula>"NA"</formula>
    </cfRule>
    <cfRule type="cellIs" dxfId="2010" priority="1872" operator="equal">
      <formula>"Yes"</formula>
    </cfRule>
  </conditionalFormatting>
  <conditionalFormatting sqref="I31">
    <cfRule type="cellIs" dxfId="2009" priority="1867" operator="equal">
      <formula>"No"</formula>
    </cfRule>
    <cfRule type="cellIs" dxfId="2008" priority="1868" operator="equal">
      <formula>"NA"</formula>
    </cfRule>
    <cfRule type="cellIs" dxfId="2007" priority="1869" operator="equal">
      <formula>"Yes"</formula>
    </cfRule>
  </conditionalFormatting>
  <conditionalFormatting sqref="I33">
    <cfRule type="cellIs" dxfId="2006" priority="1864" operator="equal">
      <formula>"No"</formula>
    </cfRule>
    <cfRule type="cellIs" dxfId="2005" priority="1865" operator="equal">
      <formula>"NA"</formula>
    </cfRule>
    <cfRule type="cellIs" dxfId="2004" priority="1866" operator="equal">
      <formula>"Yes"</formula>
    </cfRule>
  </conditionalFormatting>
  <conditionalFormatting sqref="I6">
    <cfRule type="cellIs" dxfId="2003" priority="1861" operator="equal">
      <formula>"No"</formula>
    </cfRule>
    <cfRule type="cellIs" dxfId="2002" priority="1862" operator="equal">
      <formula>"NA"</formula>
    </cfRule>
    <cfRule type="cellIs" dxfId="2001" priority="1863" operator="equal">
      <formula>"Yes"</formula>
    </cfRule>
  </conditionalFormatting>
  <conditionalFormatting sqref="I7">
    <cfRule type="cellIs" dxfId="2000" priority="1858" operator="equal">
      <formula>"No"</formula>
    </cfRule>
    <cfRule type="cellIs" dxfId="1999" priority="1859" operator="equal">
      <formula>"NA"</formula>
    </cfRule>
    <cfRule type="cellIs" dxfId="1998" priority="1860" operator="equal">
      <formula>"Yes"</formula>
    </cfRule>
  </conditionalFormatting>
  <conditionalFormatting sqref="I10">
    <cfRule type="cellIs" dxfId="1997" priority="1855" operator="equal">
      <formula>"No"</formula>
    </cfRule>
    <cfRule type="cellIs" dxfId="1996" priority="1856" operator="equal">
      <formula>"NA"</formula>
    </cfRule>
    <cfRule type="cellIs" dxfId="1995" priority="1857" operator="equal">
      <formula>"Yes"</formula>
    </cfRule>
  </conditionalFormatting>
  <conditionalFormatting sqref="I25">
    <cfRule type="cellIs" dxfId="1994" priority="1852" operator="equal">
      <formula>"No"</formula>
    </cfRule>
    <cfRule type="cellIs" dxfId="1993" priority="1853" operator="equal">
      <formula>"NA"</formula>
    </cfRule>
    <cfRule type="cellIs" dxfId="1992" priority="1854" operator="equal">
      <formula>"Yes"</formula>
    </cfRule>
  </conditionalFormatting>
  <conditionalFormatting sqref="J11">
    <cfRule type="cellIs" dxfId="1991" priority="1840" operator="equal">
      <formula>"No"</formula>
    </cfRule>
    <cfRule type="cellIs" dxfId="1990" priority="1841" operator="equal">
      <formula>"NA"</formula>
    </cfRule>
    <cfRule type="cellIs" dxfId="1989" priority="1842" operator="equal">
      <formula>"Yes"</formula>
    </cfRule>
  </conditionalFormatting>
  <conditionalFormatting sqref="J12">
    <cfRule type="cellIs" dxfId="1988" priority="1837" operator="equal">
      <formula>"No"</formula>
    </cfRule>
    <cfRule type="cellIs" dxfId="1987" priority="1838" operator="equal">
      <formula>"NA"</formula>
    </cfRule>
    <cfRule type="cellIs" dxfId="1986" priority="1839" operator="equal">
      <formula>"Yes"</formula>
    </cfRule>
  </conditionalFormatting>
  <conditionalFormatting sqref="J13">
    <cfRule type="cellIs" dxfId="1985" priority="1834" operator="equal">
      <formula>"No"</formula>
    </cfRule>
    <cfRule type="cellIs" dxfId="1984" priority="1835" operator="equal">
      <formula>"NA"</formula>
    </cfRule>
    <cfRule type="cellIs" dxfId="1983" priority="1836" operator="equal">
      <formula>"Yes"</formula>
    </cfRule>
  </conditionalFormatting>
  <conditionalFormatting sqref="J14">
    <cfRule type="cellIs" dxfId="1982" priority="1831" operator="equal">
      <formula>"No"</formula>
    </cfRule>
    <cfRule type="cellIs" dxfId="1981" priority="1832" operator="equal">
      <formula>"NA"</formula>
    </cfRule>
    <cfRule type="cellIs" dxfId="1980" priority="1833" operator="equal">
      <formula>"Yes"</formula>
    </cfRule>
  </conditionalFormatting>
  <conditionalFormatting sqref="J18">
    <cfRule type="cellIs" dxfId="1979" priority="1828" operator="equal">
      <formula>"No"</formula>
    </cfRule>
    <cfRule type="cellIs" dxfId="1978" priority="1829" operator="equal">
      <formula>"NA"</formula>
    </cfRule>
    <cfRule type="cellIs" dxfId="1977" priority="1830" operator="equal">
      <formula>"Yes"</formula>
    </cfRule>
  </conditionalFormatting>
  <conditionalFormatting sqref="J19">
    <cfRule type="cellIs" dxfId="1976" priority="1825" operator="equal">
      <formula>"No"</formula>
    </cfRule>
    <cfRule type="cellIs" dxfId="1975" priority="1826" operator="equal">
      <formula>"NA"</formula>
    </cfRule>
    <cfRule type="cellIs" dxfId="1974" priority="1827" operator="equal">
      <formula>"Yes"</formula>
    </cfRule>
  </conditionalFormatting>
  <conditionalFormatting sqref="J20">
    <cfRule type="cellIs" dxfId="1973" priority="1822" operator="equal">
      <formula>"No"</formula>
    </cfRule>
    <cfRule type="cellIs" dxfId="1972" priority="1823" operator="equal">
      <formula>"NA"</formula>
    </cfRule>
    <cfRule type="cellIs" dxfId="1971" priority="1824" operator="equal">
      <formula>"Yes"</formula>
    </cfRule>
  </conditionalFormatting>
  <conditionalFormatting sqref="J21">
    <cfRule type="cellIs" dxfId="1970" priority="1819" operator="equal">
      <formula>"No"</formula>
    </cfRule>
    <cfRule type="cellIs" dxfId="1969" priority="1820" operator="equal">
      <formula>"NA"</formula>
    </cfRule>
    <cfRule type="cellIs" dxfId="1968" priority="1821" operator="equal">
      <formula>"Yes"</formula>
    </cfRule>
  </conditionalFormatting>
  <conditionalFormatting sqref="J22">
    <cfRule type="cellIs" dxfId="1967" priority="1816" operator="equal">
      <formula>"No"</formula>
    </cfRule>
    <cfRule type="cellIs" dxfId="1966" priority="1817" operator="equal">
      <formula>"NA"</formula>
    </cfRule>
    <cfRule type="cellIs" dxfId="1965" priority="1818" operator="equal">
      <formula>"Yes"</formula>
    </cfRule>
  </conditionalFormatting>
  <conditionalFormatting sqref="J23">
    <cfRule type="cellIs" dxfId="1964" priority="1813" operator="equal">
      <formula>"No"</formula>
    </cfRule>
    <cfRule type="cellIs" dxfId="1963" priority="1814" operator="equal">
      <formula>"NA"</formula>
    </cfRule>
    <cfRule type="cellIs" dxfId="1962" priority="1815" operator="equal">
      <formula>"Yes"</formula>
    </cfRule>
  </conditionalFormatting>
  <conditionalFormatting sqref="J26">
    <cfRule type="cellIs" dxfId="1961" priority="1810" operator="equal">
      <formula>"No"</formula>
    </cfRule>
    <cfRule type="cellIs" dxfId="1960" priority="1811" operator="equal">
      <formula>"NA"</formula>
    </cfRule>
    <cfRule type="cellIs" dxfId="1959" priority="1812" operator="equal">
      <formula>"Yes"</formula>
    </cfRule>
  </conditionalFormatting>
  <conditionalFormatting sqref="J27">
    <cfRule type="cellIs" dxfId="1958" priority="1807" operator="equal">
      <formula>"No"</formula>
    </cfRule>
    <cfRule type="cellIs" dxfId="1957" priority="1808" operator="equal">
      <formula>"NA"</formula>
    </cfRule>
    <cfRule type="cellIs" dxfId="1956" priority="1809" operator="equal">
      <formula>"Yes"</formula>
    </cfRule>
  </conditionalFormatting>
  <conditionalFormatting sqref="J28">
    <cfRule type="cellIs" dxfId="1955" priority="1804" operator="equal">
      <formula>"No"</formula>
    </cfRule>
    <cfRule type="cellIs" dxfId="1954" priority="1805" operator="equal">
      <formula>"NA"</formula>
    </cfRule>
    <cfRule type="cellIs" dxfId="1953" priority="1806" operator="equal">
      <formula>"Yes"</formula>
    </cfRule>
  </conditionalFormatting>
  <conditionalFormatting sqref="J30">
    <cfRule type="cellIs" dxfId="1952" priority="1801" operator="equal">
      <formula>"No"</formula>
    </cfRule>
    <cfRule type="cellIs" dxfId="1951" priority="1802" operator="equal">
      <formula>"NA"</formula>
    </cfRule>
    <cfRule type="cellIs" dxfId="1950" priority="1803" operator="equal">
      <formula>"Yes"</formula>
    </cfRule>
  </conditionalFormatting>
  <conditionalFormatting sqref="J31">
    <cfRule type="cellIs" dxfId="1949" priority="1798" operator="equal">
      <formula>"No"</formula>
    </cfRule>
    <cfRule type="cellIs" dxfId="1948" priority="1799" operator="equal">
      <formula>"NA"</formula>
    </cfRule>
    <cfRule type="cellIs" dxfId="1947" priority="1800" operator="equal">
      <formula>"Yes"</formula>
    </cfRule>
  </conditionalFormatting>
  <conditionalFormatting sqref="J33">
    <cfRule type="cellIs" dxfId="1946" priority="1795" operator="equal">
      <formula>"No"</formula>
    </cfRule>
    <cfRule type="cellIs" dxfId="1945" priority="1796" operator="equal">
      <formula>"NA"</formula>
    </cfRule>
    <cfRule type="cellIs" dxfId="1944" priority="1797" operator="equal">
      <formula>"Yes"</formula>
    </cfRule>
  </conditionalFormatting>
  <conditionalFormatting sqref="J15">
    <cfRule type="cellIs" dxfId="1943" priority="1789" operator="equal">
      <formula>"No"</formula>
    </cfRule>
    <cfRule type="cellIs" dxfId="1942" priority="1790" operator="equal">
      <formula>"NA"</formula>
    </cfRule>
    <cfRule type="cellIs" dxfId="1941" priority="1791" operator="equal">
      <formula>"Yes"</formula>
    </cfRule>
  </conditionalFormatting>
  <conditionalFormatting sqref="J16">
    <cfRule type="cellIs" dxfId="1940" priority="1786" operator="equal">
      <formula>"No"</formula>
    </cfRule>
    <cfRule type="cellIs" dxfId="1939" priority="1787" operator="equal">
      <formula>"NA"</formula>
    </cfRule>
    <cfRule type="cellIs" dxfId="1938" priority="1788" operator="equal">
      <formula>"Yes"</formula>
    </cfRule>
  </conditionalFormatting>
  <conditionalFormatting sqref="J17">
    <cfRule type="cellIs" dxfId="1937" priority="1783" operator="equal">
      <formula>"No"</formula>
    </cfRule>
    <cfRule type="cellIs" dxfId="1936" priority="1784" operator="equal">
      <formula>"NA"</formula>
    </cfRule>
    <cfRule type="cellIs" dxfId="1935" priority="1785" operator="equal">
      <formula>"Yes"</formula>
    </cfRule>
  </conditionalFormatting>
  <conditionalFormatting sqref="J6">
    <cfRule type="cellIs" dxfId="1934" priority="1777" operator="equal">
      <formula>"No"</formula>
    </cfRule>
    <cfRule type="cellIs" dxfId="1933" priority="1778" operator="equal">
      <formula>"NA"</formula>
    </cfRule>
    <cfRule type="cellIs" dxfId="1932" priority="1779" operator="equal">
      <formula>"Yes"</formula>
    </cfRule>
  </conditionalFormatting>
  <conditionalFormatting sqref="J7">
    <cfRule type="cellIs" dxfId="1931" priority="1774" operator="equal">
      <formula>"No"</formula>
    </cfRule>
    <cfRule type="cellIs" dxfId="1930" priority="1775" operator="equal">
      <formula>"NA"</formula>
    </cfRule>
    <cfRule type="cellIs" dxfId="1929" priority="1776" operator="equal">
      <formula>"Yes"</formula>
    </cfRule>
  </conditionalFormatting>
  <conditionalFormatting sqref="J10">
    <cfRule type="cellIs" dxfId="1928" priority="1771" operator="equal">
      <formula>"No"</formula>
    </cfRule>
    <cfRule type="cellIs" dxfId="1927" priority="1772" operator="equal">
      <formula>"NA"</formula>
    </cfRule>
    <cfRule type="cellIs" dxfId="1926" priority="1773" operator="equal">
      <formula>"Yes"</formula>
    </cfRule>
  </conditionalFormatting>
  <conditionalFormatting sqref="J9">
    <cfRule type="cellIs" dxfId="1925" priority="1768" operator="equal">
      <formula>"No"</formula>
    </cfRule>
    <cfRule type="cellIs" dxfId="1924" priority="1769" operator="equal">
      <formula>"NA"</formula>
    </cfRule>
    <cfRule type="cellIs" dxfId="1923" priority="1770" operator="equal">
      <formula>"Yes"</formula>
    </cfRule>
  </conditionalFormatting>
  <conditionalFormatting sqref="J25">
    <cfRule type="cellIs" dxfId="1922" priority="1765" operator="equal">
      <formula>"No"</formula>
    </cfRule>
    <cfRule type="cellIs" dxfId="1921" priority="1766" operator="equal">
      <formula>"NA"</formula>
    </cfRule>
    <cfRule type="cellIs" dxfId="1920" priority="1767" operator="equal">
      <formula>"Yes"</formula>
    </cfRule>
  </conditionalFormatting>
  <conditionalFormatting sqref="K11">
    <cfRule type="cellIs" dxfId="1919" priority="1753" operator="equal">
      <formula>"No"</formula>
    </cfRule>
    <cfRule type="cellIs" dxfId="1918" priority="1754" operator="equal">
      <formula>"NA"</formula>
    </cfRule>
    <cfRule type="cellIs" dxfId="1917" priority="1755" operator="equal">
      <formula>"Yes"</formula>
    </cfRule>
  </conditionalFormatting>
  <conditionalFormatting sqref="K12">
    <cfRule type="cellIs" dxfId="1916" priority="1750" operator="equal">
      <formula>"No"</formula>
    </cfRule>
    <cfRule type="cellIs" dxfId="1915" priority="1751" operator="equal">
      <formula>"NA"</formula>
    </cfRule>
    <cfRule type="cellIs" dxfId="1914" priority="1752" operator="equal">
      <formula>"Yes"</formula>
    </cfRule>
  </conditionalFormatting>
  <conditionalFormatting sqref="K13">
    <cfRule type="cellIs" dxfId="1913" priority="1747" operator="equal">
      <formula>"No"</formula>
    </cfRule>
    <cfRule type="cellIs" dxfId="1912" priority="1748" operator="equal">
      <formula>"NA"</formula>
    </cfRule>
    <cfRule type="cellIs" dxfId="1911" priority="1749" operator="equal">
      <formula>"Yes"</formula>
    </cfRule>
  </conditionalFormatting>
  <conditionalFormatting sqref="K14">
    <cfRule type="cellIs" dxfId="1910" priority="1744" operator="equal">
      <formula>"No"</formula>
    </cfRule>
    <cfRule type="cellIs" dxfId="1909" priority="1745" operator="equal">
      <formula>"NA"</formula>
    </cfRule>
    <cfRule type="cellIs" dxfId="1908" priority="1746" operator="equal">
      <formula>"Yes"</formula>
    </cfRule>
  </conditionalFormatting>
  <conditionalFormatting sqref="K18">
    <cfRule type="cellIs" dxfId="1907" priority="1741" operator="equal">
      <formula>"No"</formula>
    </cfRule>
    <cfRule type="cellIs" dxfId="1906" priority="1742" operator="equal">
      <formula>"NA"</formula>
    </cfRule>
    <cfRule type="cellIs" dxfId="1905" priority="1743" operator="equal">
      <formula>"Yes"</formula>
    </cfRule>
  </conditionalFormatting>
  <conditionalFormatting sqref="K19">
    <cfRule type="cellIs" dxfId="1904" priority="1738" operator="equal">
      <formula>"No"</formula>
    </cfRule>
    <cfRule type="cellIs" dxfId="1903" priority="1739" operator="equal">
      <formula>"NA"</formula>
    </cfRule>
    <cfRule type="cellIs" dxfId="1902" priority="1740" operator="equal">
      <formula>"Yes"</formula>
    </cfRule>
  </conditionalFormatting>
  <conditionalFormatting sqref="K20">
    <cfRule type="cellIs" dxfId="1901" priority="1735" operator="equal">
      <formula>"No"</formula>
    </cfRule>
    <cfRule type="cellIs" dxfId="1900" priority="1736" operator="equal">
      <formula>"NA"</formula>
    </cfRule>
    <cfRule type="cellIs" dxfId="1899" priority="1737" operator="equal">
      <formula>"Yes"</formula>
    </cfRule>
  </conditionalFormatting>
  <conditionalFormatting sqref="K21">
    <cfRule type="cellIs" dxfId="1898" priority="1732" operator="equal">
      <formula>"No"</formula>
    </cfRule>
    <cfRule type="cellIs" dxfId="1897" priority="1733" operator="equal">
      <formula>"NA"</formula>
    </cfRule>
    <cfRule type="cellIs" dxfId="1896" priority="1734" operator="equal">
      <formula>"Yes"</formula>
    </cfRule>
  </conditionalFormatting>
  <conditionalFormatting sqref="K22">
    <cfRule type="cellIs" dxfId="1895" priority="1729" operator="equal">
      <formula>"No"</formula>
    </cfRule>
    <cfRule type="cellIs" dxfId="1894" priority="1730" operator="equal">
      <formula>"NA"</formula>
    </cfRule>
    <cfRule type="cellIs" dxfId="1893" priority="1731" operator="equal">
      <formula>"Yes"</formula>
    </cfRule>
  </conditionalFormatting>
  <conditionalFormatting sqref="K23">
    <cfRule type="cellIs" dxfId="1892" priority="1726" operator="equal">
      <formula>"No"</formula>
    </cfRule>
    <cfRule type="cellIs" dxfId="1891" priority="1727" operator="equal">
      <formula>"NA"</formula>
    </cfRule>
    <cfRule type="cellIs" dxfId="1890" priority="1728" operator="equal">
      <formula>"Yes"</formula>
    </cfRule>
  </conditionalFormatting>
  <conditionalFormatting sqref="K26">
    <cfRule type="cellIs" dxfId="1889" priority="1723" operator="equal">
      <formula>"No"</formula>
    </cfRule>
    <cfRule type="cellIs" dxfId="1888" priority="1724" operator="equal">
      <formula>"NA"</formula>
    </cfRule>
    <cfRule type="cellIs" dxfId="1887" priority="1725" operator="equal">
      <formula>"Yes"</formula>
    </cfRule>
  </conditionalFormatting>
  <conditionalFormatting sqref="K27">
    <cfRule type="cellIs" dxfId="1886" priority="1720" operator="equal">
      <formula>"No"</formula>
    </cfRule>
    <cfRule type="cellIs" dxfId="1885" priority="1721" operator="equal">
      <formula>"NA"</formula>
    </cfRule>
    <cfRule type="cellIs" dxfId="1884" priority="1722" operator="equal">
      <formula>"Yes"</formula>
    </cfRule>
  </conditionalFormatting>
  <conditionalFormatting sqref="K28">
    <cfRule type="cellIs" dxfId="1883" priority="1717" operator="equal">
      <formula>"No"</formula>
    </cfRule>
    <cfRule type="cellIs" dxfId="1882" priority="1718" operator="equal">
      <formula>"NA"</formula>
    </cfRule>
    <cfRule type="cellIs" dxfId="1881" priority="1719" operator="equal">
      <formula>"Yes"</formula>
    </cfRule>
  </conditionalFormatting>
  <conditionalFormatting sqref="K30">
    <cfRule type="cellIs" dxfId="1880" priority="1714" operator="equal">
      <formula>"No"</formula>
    </cfRule>
    <cfRule type="cellIs" dxfId="1879" priority="1715" operator="equal">
      <formula>"NA"</formula>
    </cfRule>
    <cfRule type="cellIs" dxfId="1878" priority="1716" operator="equal">
      <formula>"Yes"</formula>
    </cfRule>
  </conditionalFormatting>
  <conditionalFormatting sqref="K31">
    <cfRule type="cellIs" dxfId="1877" priority="1711" operator="equal">
      <formula>"No"</formula>
    </cfRule>
    <cfRule type="cellIs" dxfId="1876" priority="1712" operator="equal">
      <formula>"NA"</formula>
    </cfRule>
    <cfRule type="cellIs" dxfId="1875" priority="1713" operator="equal">
      <formula>"Yes"</formula>
    </cfRule>
  </conditionalFormatting>
  <conditionalFormatting sqref="K33">
    <cfRule type="cellIs" dxfId="1874" priority="1708" operator="equal">
      <formula>"No"</formula>
    </cfRule>
    <cfRule type="cellIs" dxfId="1873" priority="1709" operator="equal">
      <formula>"NA"</formula>
    </cfRule>
    <cfRule type="cellIs" dxfId="1872" priority="1710" operator="equal">
      <formula>"Yes"</formula>
    </cfRule>
  </conditionalFormatting>
  <conditionalFormatting sqref="K15">
    <cfRule type="cellIs" dxfId="1871" priority="1702" operator="equal">
      <formula>"No"</formula>
    </cfRule>
    <cfRule type="cellIs" dxfId="1870" priority="1703" operator="equal">
      <formula>"NA"</formula>
    </cfRule>
    <cfRule type="cellIs" dxfId="1869" priority="1704" operator="equal">
      <formula>"Yes"</formula>
    </cfRule>
  </conditionalFormatting>
  <conditionalFormatting sqref="K16">
    <cfRule type="cellIs" dxfId="1868" priority="1699" operator="equal">
      <formula>"No"</formula>
    </cfRule>
    <cfRule type="cellIs" dxfId="1867" priority="1700" operator="equal">
      <formula>"NA"</formula>
    </cfRule>
    <cfRule type="cellIs" dxfId="1866" priority="1701" operator="equal">
      <formula>"Yes"</formula>
    </cfRule>
  </conditionalFormatting>
  <conditionalFormatting sqref="K17">
    <cfRule type="cellIs" dxfId="1865" priority="1696" operator="equal">
      <formula>"No"</formula>
    </cfRule>
    <cfRule type="cellIs" dxfId="1864" priority="1697" operator="equal">
      <formula>"NA"</formula>
    </cfRule>
    <cfRule type="cellIs" dxfId="1863" priority="1698" operator="equal">
      <formula>"Yes"</formula>
    </cfRule>
  </conditionalFormatting>
  <conditionalFormatting sqref="K6">
    <cfRule type="cellIs" dxfId="1862" priority="1690" operator="equal">
      <formula>"No"</formula>
    </cfRule>
    <cfRule type="cellIs" dxfId="1861" priority="1691" operator="equal">
      <formula>"NA"</formula>
    </cfRule>
    <cfRule type="cellIs" dxfId="1860" priority="1692" operator="equal">
      <formula>"Yes"</formula>
    </cfRule>
  </conditionalFormatting>
  <conditionalFormatting sqref="K7">
    <cfRule type="cellIs" dxfId="1859" priority="1687" operator="equal">
      <formula>"No"</formula>
    </cfRule>
    <cfRule type="cellIs" dxfId="1858" priority="1688" operator="equal">
      <formula>"NA"</formula>
    </cfRule>
    <cfRule type="cellIs" dxfId="1857" priority="1689" operator="equal">
      <formula>"Yes"</formula>
    </cfRule>
  </conditionalFormatting>
  <conditionalFormatting sqref="K10">
    <cfRule type="cellIs" dxfId="1856" priority="1684" operator="equal">
      <formula>"No"</formula>
    </cfRule>
    <cfRule type="cellIs" dxfId="1855" priority="1685" operator="equal">
      <formula>"NA"</formula>
    </cfRule>
    <cfRule type="cellIs" dxfId="1854" priority="1686" operator="equal">
      <formula>"Yes"</formula>
    </cfRule>
  </conditionalFormatting>
  <conditionalFormatting sqref="K9">
    <cfRule type="cellIs" dxfId="1853" priority="1681" operator="equal">
      <formula>"No"</formula>
    </cfRule>
    <cfRule type="cellIs" dxfId="1852" priority="1682" operator="equal">
      <formula>"NA"</formula>
    </cfRule>
    <cfRule type="cellIs" dxfId="1851" priority="1683" operator="equal">
      <formula>"Yes"</formula>
    </cfRule>
  </conditionalFormatting>
  <conditionalFormatting sqref="K25">
    <cfRule type="cellIs" dxfId="1850" priority="1678" operator="equal">
      <formula>"No"</formula>
    </cfRule>
    <cfRule type="cellIs" dxfId="1849" priority="1679" operator="equal">
      <formula>"NA"</formula>
    </cfRule>
    <cfRule type="cellIs" dxfId="1848" priority="1680" operator="equal">
      <formula>"Yes"</formula>
    </cfRule>
  </conditionalFormatting>
  <conditionalFormatting sqref="L9">
    <cfRule type="cellIs" dxfId="1847" priority="1669" operator="equal">
      <formula>"No"</formula>
    </cfRule>
    <cfRule type="cellIs" dxfId="1846" priority="1670" operator="equal">
      <formula>"NA"</formula>
    </cfRule>
    <cfRule type="cellIs" dxfId="1845" priority="1671" operator="equal">
      <formula>"Yes"</formula>
    </cfRule>
  </conditionalFormatting>
  <conditionalFormatting sqref="L11">
    <cfRule type="cellIs" dxfId="1844" priority="1666" operator="equal">
      <formula>"No"</formula>
    </cfRule>
    <cfRule type="cellIs" dxfId="1843" priority="1667" operator="equal">
      <formula>"NA"</formula>
    </cfRule>
    <cfRule type="cellIs" dxfId="1842" priority="1668" operator="equal">
      <formula>"Yes"</formula>
    </cfRule>
  </conditionalFormatting>
  <conditionalFormatting sqref="L12">
    <cfRule type="cellIs" dxfId="1841" priority="1663" operator="equal">
      <formula>"No"</formula>
    </cfRule>
    <cfRule type="cellIs" dxfId="1840" priority="1664" operator="equal">
      <formula>"NA"</formula>
    </cfRule>
    <cfRule type="cellIs" dxfId="1839" priority="1665" operator="equal">
      <formula>"Yes"</formula>
    </cfRule>
  </conditionalFormatting>
  <conditionalFormatting sqref="L13">
    <cfRule type="cellIs" dxfId="1838" priority="1660" operator="equal">
      <formula>"No"</formula>
    </cfRule>
    <cfRule type="cellIs" dxfId="1837" priority="1661" operator="equal">
      <formula>"NA"</formula>
    </cfRule>
    <cfRule type="cellIs" dxfId="1836" priority="1662" operator="equal">
      <formula>"Yes"</formula>
    </cfRule>
  </conditionalFormatting>
  <conditionalFormatting sqref="L14">
    <cfRule type="cellIs" dxfId="1835" priority="1657" operator="equal">
      <formula>"No"</formula>
    </cfRule>
    <cfRule type="cellIs" dxfId="1834" priority="1658" operator="equal">
      <formula>"NA"</formula>
    </cfRule>
    <cfRule type="cellIs" dxfId="1833" priority="1659" operator="equal">
      <formula>"Yes"</formula>
    </cfRule>
  </conditionalFormatting>
  <conditionalFormatting sqref="L18">
    <cfRule type="cellIs" dxfId="1832" priority="1654" operator="equal">
      <formula>"No"</formula>
    </cfRule>
    <cfRule type="cellIs" dxfId="1831" priority="1655" operator="equal">
      <formula>"NA"</formula>
    </cfRule>
    <cfRule type="cellIs" dxfId="1830" priority="1656" operator="equal">
      <formula>"Yes"</formula>
    </cfRule>
  </conditionalFormatting>
  <conditionalFormatting sqref="L19">
    <cfRule type="cellIs" dxfId="1829" priority="1651" operator="equal">
      <formula>"No"</formula>
    </cfRule>
    <cfRule type="cellIs" dxfId="1828" priority="1652" operator="equal">
      <formula>"NA"</formula>
    </cfRule>
    <cfRule type="cellIs" dxfId="1827" priority="1653" operator="equal">
      <formula>"Yes"</formula>
    </cfRule>
  </conditionalFormatting>
  <conditionalFormatting sqref="L20">
    <cfRule type="cellIs" dxfId="1826" priority="1648" operator="equal">
      <formula>"No"</formula>
    </cfRule>
    <cfRule type="cellIs" dxfId="1825" priority="1649" operator="equal">
      <formula>"NA"</formula>
    </cfRule>
    <cfRule type="cellIs" dxfId="1824" priority="1650" operator="equal">
      <formula>"Yes"</formula>
    </cfRule>
  </conditionalFormatting>
  <conditionalFormatting sqref="L21">
    <cfRule type="cellIs" dxfId="1823" priority="1645" operator="equal">
      <formula>"No"</formula>
    </cfRule>
    <cfRule type="cellIs" dxfId="1822" priority="1646" operator="equal">
      <formula>"NA"</formula>
    </cfRule>
    <cfRule type="cellIs" dxfId="1821" priority="1647" operator="equal">
      <formula>"Yes"</formula>
    </cfRule>
  </conditionalFormatting>
  <conditionalFormatting sqref="L22">
    <cfRule type="cellIs" dxfId="1820" priority="1642" operator="equal">
      <formula>"No"</formula>
    </cfRule>
    <cfRule type="cellIs" dxfId="1819" priority="1643" operator="equal">
      <formula>"NA"</formula>
    </cfRule>
    <cfRule type="cellIs" dxfId="1818" priority="1644" operator="equal">
      <formula>"Yes"</formula>
    </cfRule>
  </conditionalFormatting>
  <conditionalFormatting sqref="L23">
    <cfRule type="cellIs" dxfId="1817" priority="1639" operator="equal">
      <formula>"No"</formula>
    </cfRule>
    <cfRule type="cellIs" dxfId="1816" priority="1640" operator="equal">
      <formula>"NA"</formula>
    </cfRule>
    <cfRule type="cellIs" dxfId="1815" priority="1641" operator="equal">
      <formula>"Yes"</formula>
    </cfRule>
  </conditionalFormatting>
  <conditionalFormatting sqref="L26">
    <cfRule type="cellIs" dxfId="1814" priority="1636" operator="equal">
      <formula>"No"</formula>
    </cfRule>
    <cfRule type="cellIs" dxfId="1813" priority="1637" operator="equal">
      <formula>"NA"</formula>
    </cfRule>
    <cfRule type="cellIs" dxfId="1812" priority="1638" operator="equal">
      <formula>"Yes"</formula>
    </cfRule>
  </conditionalFormatting>
  <conditionalFormatting sqref="L27">
    <cfRule type="cellIs" dxfId="1811" priority="1633" operator="equal">
      <formula>"No"</formula>
    </cfRule>
    <cfRule type="cellIs" dxfId="1810" priority="1634" operator="equal">
      <formula>"NA"</formula>
    </cfRule>
    <cfRule type="cellIs" dxfId="1809" priority="1635" operator="equal">
      <formula>"Yes"</formula>
    </cfRule>
  </conditionalFormatting>
  <conditionalFormatting sqref="L28">
    <cfRule type="cellIs" dxfId="1808" priority="1630" operator="equal">
      <formula>"No"</formula>
    </cfRule>
    <cfRule type="cellIs" dxfId="1807" priority="1631" operator="equal">
      <formula>"NA"</formula>
    </cfRule>
    <cfRule type="cellIs" dxfId="1806" priority="1632" operator="equal">
      <formula>"Yes"</formula>
    </cfRule>
  </conditionalFormatting>
  <conditionalFormatting sqref="L30">
    <cfRule type="cellIs" dxfId="1805" priority="1627" operator="equal">
      <formula>"No"</formula>
    </cfRule>
    <cfRule type="cellIs" dxfId="1804" priority="1628" operator="equal">
      <formula>"NA"</formula>
    </cfRule>
    <cfRule type="cellIs" dxfId="1803" priority="1629" operator="equal">
      <formula>"Yes"</formula>
    </cfRule>
  </conditionalFormatting>
  <conditionalFormatting sqref="L31">
    <cfRule type="cellIs" dxfId="1802" priority="1624" operator="equal">
      <formula>"No"</formula>
    </cfRule>
    <cfRule type="cellIs" dxfId="1801" priority="1625" operator="equal">
      <formula>"NA"</formula>
    </cfRule>
    <cfRule type="cellIs" dxfId="1800" priority="1626" operator="equal">
      <formula>"Yes"</formula>
    </cfRule>
  </conditionalFormatting>
  <conditionalFormatting sqref="L33">
    <cfRule type="cellIs" dxfId="1799" priority="1621" operator="equal">
      <formula>"No"</formula>
    </cfRule>
    <cfRule type="cellIs" dxfId="1798" priority="1622" operator="equal">
      <formula>"NA"</formula>
    </cfRule>
    <cfRule type="cellIs" dxfId="1797" priority="1623" operator="equal">
      <formula>"Yes"</formula>
    </cfRule>
  </conditionalFormatting>
  <conditionalFormatting sqref="L10">
    <cfRule type="cellIs" dxfId="1796" priority="1618" operator="equal">
      <formula>"No"</formula>
    </cfRule>
    <cfRule type="cellIs" dxfId="1795" priority="1619" operator="equal">
      <formula>"NA"</formula>
    </cfRule>
    <cfRule type="cellIs" dxfId="1794" priority="1620" operator="equal">
      <formula>"Yes"</formula>
    </cfRule>
  </conditionalFormatting>
  <conditionalFormatting sqref="L16">
    <cfRule type="cellIs" dxfId="1793" priority="1612" operator="equal">
      <formula>"No"</formula>
    </cfRule>
    <cfRule type="cellIs" dxfId="1792" priority="1613" operator="equal">
      <formula>"NA"</formula>
    </cfRule>
    <cfRule type="cellIs" dxfId="1791" priority="1614" operator="equal">
      <formula>"Yes"</formula>
    </cfRule>
  </conditionalFormatting>
  <conditionalFormatting sqref="L17">
    <cfRule type="cellIs" dxfId="1790" priority="1609" operator="equal">
      <formula>"No"</formula>
    </cfRule>
    <cfRule type="cellIs" dxfId="1789" priority="1610" operator="equal">
      <formula>"NA"</formula>
    </cfRule>
    <cfRule type="cellIs" dxfId="1788" priority="1611" operator="equal">
      <formula>"Yes"</formula>
    </cfRule>
  </conditionalFormatting>
  <conditionalFormatting sqref="L6">
    <cfRule type="cellIs" dxfId="1787" priority="1603" operator="equal">
      <formula>"No"</formula>
    </cfRule>
    <cfRule type="cellIs" dxfId="1786" priority="1604" operator="equal">
      <formula>"NA"</formula>
    </cfRule>
    <cfRule type="cellIs" dxfId="1785" priority="1605" operator="equal">
      <formula>"Yes"</formula>
    </cfRule>
  </conditionalFormatting>
  <conditionalFormatting sqref="L7">
    <cfRule type="cellIs" dxfId="1784" priority="1600" operator="equal">
      <formula>"No"</formula>
    </cfRule>
    <cfRule type="cellIs" dxfId="1783" priority="1601" operator="equal">
      <formula>"NA"</formula>
    </cfRule>
    <cfRule type="cellIs" dxfId="1782" priority="1602" operator="equal">
      <formula>"Yes"</formula>
    </cfRule>
  </conditionalFormatting>
  <conditionalFormatting sqref="L15">
    <cfRule type="cellIs" dxfId="1781" priority="1597" operator="equal">
      <formula>"No"</formula>
    </cfRule>
    <cfRule type="cellIs" dxfId="1780" priority="1598" operator="equal">
      <formula>"NA"</formula>
    </cfRule>
    <cfRule type="cellIs" dxfId="1779" priority="1599" operator="equal">
      <formula>"Yes"</formula>
    </cfRule>
  </conditionalFormatting>
  <conditionalFormatting sqref="L25">
    <cfRule type="cellIs" dxfId="1778" priority="1594" operator="equal">
      <formula>"No"</formula>
    </cfRule>
    <cfRule type="cellIs" dxfId="1777" priority="1595" operator="equal">
      <formula>"NA"</formula>
    </cfRule>
    <cfRule type="cellIs" dxfId="1776" priority="1596" operator="equal">
      <formula>"Yes"</formula>
    </cfRule>
  </conditionalFormatting>
  <conditionalFormatting sqref="M9">
    <cfRule type="cellIs" dxfId="1775" priority="1591" operator="equal">
      <formula>"No"</formula>
    </cfRule>
    <cfRule type="cellIs" dxfId="1774" priority="1592" operator="equal">
      <formula>"NA"</formula>
    </cfRule>
    <cfRule type="cellIs" dxfId="1773" priority="1593" operator="equal">
      <formula>"Yes"</formula>
    </cfRule>
  </conditionalFormatting>
  <conditionalFormatting sqref="M11">
    <cfRule type="cellIs" dxfId="1772" priority="1588" operator="equal">
      <formula>"No"</formula>
    </cfRule>
    <cfRule type="cellIs" dxfId="1771" priority="1589" operator="equal">
      <formula>"NA"</formula>
    </cfRule>
    <cfRule type="cellIs" dxfId="1770" priority="1590" operator="equal">
      <formula>"Yes"</formula>
    </cfRule>
  </conditionalFormatting>
  <conditionalFormatting sqref="M12">
    <cfRule type="cellIs" dxfId="1769" priority="1585" operator="equal">
      <formula>"No"</formula>
    </cfRule>
    <cfRule type="cellIs" dxfId="1768" priority="1586" operator="equal">
      <formula>"NA"</formula>
    </cfRule>
    <cfRule type="cellIs" dxfId="1767" priority="1587" operator="equal">
      <formula>"Yes"</formula>
    </cfRule>
  </conditionalFormatting>
  <conditionalFormatting sqref="M13">
    <cfRule type="cellIs" dxfId="1766" priority="1582" operator="equal">
      <formula>"No"</formula>
    </cfRule>
    <cfRule type="cellIs" dxfId="1765" priority="1583" operator="equal">
      <formula>"NA"</formula>
    </cfRule>
    <cfRule type="cellIs" dxfId="1764" priority="1584" operator="equal">
      <formula>"Yes"</formula>
    </cfRule>
  </conditionalFormatting>
  <conditionalFormatting sqref="M14">
    <cfRule type="cellIs" dxfId="1763" priority="1579" operator="equal">
      <formula>"No"</formula>
    </cfRule>
    <cfRule type="cellIs" dxfId="1762" priority="1580" operator="equal">
      <formula>"NA"</formula>
    </cfRule>
    <cfRule type="cellIs" dxfId="1761" priority="1581" operator="equal">
      <formula>"Yes"</formula>
    </cfRule>
  </conditionalFormatting>
  <conditionalFormatting sqref="M15">
    <cfRule type="cellIs" dxfId="1760" priority="1576" operator="equal">
      <formula>"No"</formula>
    </cfRule>
    <cfRule type="cellIs" dxfId="1759" priority="1577" operator="equal">
      <formula>"NA"</formula>
    </cfRule>
    <cfRule type="cellIs" dxfId="1758" priority="1578" operator="equal">
      <formula>"Yes"</formula>
    </cfRule>
  </conditionalFormatting>
  <conditionalFormatting sqref="M16">
    <cfRule type="cellIs" dxfId="1757" priority="1573" operator="equal">
      <formula>"No"</formula>
    </cfRule>
    <cfRule type="cellIs" dxfId="1756" priority="1574" operator="equal">
      <formula>"NA"</formula>
    </cfRule>
    <cfRule type="cellIs" dxfId="1755" priority="1575" operator="equal">
      <formula>"Yes"</formula>
    </cfRule>
  </conditionalFormatting>
  <conditionalFormatting sqref="M17">
    <cfRule type="cellIs" dxfId="1754" priority="1570" operator="equal">
      <formula>"No"</formula>
    </cfRule>
    <cfRule type="cellIs" dxfId="1753" priority="1571" operator="equal">
      <formula>"NA"</formula>
    </cfRule>
    <cfRule type="cellIs" dxfId="1752" priority="1572" operator="equal">
      <formula>"Yes"</formula>
    </cfRule>
  </conditionalFormatting>
  <conditionalFormatting sqref="M18">
    <cfRule type="cellIs" dxfId="1751" priority="1567" operator="equal">
      <formula>"No"</formula>
    </cfRule>
    <cfRule type="cellIs" dxfId="1750" priority="1568" operator="equal">
      <formula>"NA"</formula>
    </cfRule>
    <cfRule type="cellIs" dxfId="1749" priority="1569" operator="equal">
      <formula>"Yes"</formula>
    </cfRule>
  </conditionalFormatting>
  <conditionalFormatting sqref="M19">
    <cfRule type="cellIs" dxfId="1748" priority="1564" operator="equal">
      <formula>"No"</formula>
    </cfRule>
    <cfRule type="cellIs" dxfId="1747" priority="1565" operator="equal">
      <formula>"NA"</formula>
    </cfRule>
    <cfRule type="cellIs" dxfId="1746" priority="1566" operator="equal">
      <formula>"Yes"</formula>
    </cfRule>
  </conditionalFormatting>
  <conditionalFormatting sqref="M20">
    <cfRule type="cellIs" dxfId="1745" priority="1561" operator="equal">
      <formula>"No"</formula>
    </cfRule>
    <cfRule type="cellIs" dxfId="1744" priority="1562" operator="equal">
      <formula>"NA"</formula>
    </cfRule>
    <cfRule type="cellIs" dxfId="1743" priority="1563" operator="equal">
      <formula>"Yes"</formula>
    </cfRule>
  </conditionalFormatting>
  <conditionalFormatting sqref="M21">
    <cfRule type="cellIs" dxfId="1742" priority="1558" operator="equal">
      <formula>"No"</formula>
    </cfRule>
    <cfRule type="cellIs" dxfId="1741" priority="1559" operator="equal">
      <formula>"NA"</formula>
    </cfRule>
    <cfRule type="cellIs" dxfId="1740" priority="1560" operator="equal">
      <formula>"Yes"</formula>
    </cfRule>
  </conditionalFormatting>
  <conditionalFormatting sqref="M22">
    <cfRule type="cellIs" dxfId="1739" priority="1555" operator="equal">
      <formula>"No"</formula>
    </cfRule>
    <cfRule type="cellIs" dxfId="1738" priority="1556" operator="equal">
      <formula>"NA"</formula>
    </cfRule>
    <cfRule type="cellIs" dxfId="1737" priority="1557" operator="equal">
      <formula>"Yes"</formula>
    </cfRule>
  </conditionalFormatting>
  <conditionalFormatting sqref="M23">
    <cfRule type="cellIs" dxfId="1736" priority="1552" operator="equal">
      <formula>"No"</formula>
    </cfRule>
    <cfRule type="cellIs" dxfId="1735" priority="1553" operator="equal">
      <formula>"NA"</formula>
    </cfRule>
    <cfRule type="cellIs" dxfId="1734" priority="1554" operator="equal">
      <formula>"Yes"</formula>
    </cfRule>
  </conditionalFormatting>
  <conditionalFormatting sqref="M26">
    <cfRule type="cellIs" dxfId="1733" priority="1549" operator="equal">
      <formula>"No"</formula>
    </cfRule>
    <cfRule type="cellIs" dxfId="1732" priority="1550" operator="equal">
      <formula>"NA"</formula>
    </cfRule>
    <cfRule type="cellIs" dxfId="1731" priority="1551" operator="equal">
      <formula>"Yes"</formula>
    </cfRule>
  </conditionalFormatting>
  <conditionalFormatting sqref="M27">
    <cfRule type="cellIs" dxfId="1730" priority="1546" operator="equal">
      <formula>"No"</formula>
    </cfRule>
    <cfRule type="cellIs" dxfId="1729" priority="1547" operator="equal">
      <formula>"NA"</formula>
    </cfRule>
    <cfRule type="cellIs" dxfId="1728" priority="1548" operator="equal">
      <formula>"Yes"</formula>
    </cfRule>
  </conditionalFormatting>
  <conditionalFormatting sqref="M28">
    <cfRule type="cellIs" dxfId="1727" priority="1543" operator="equal">
      <formula>"No"</formula>
    </cfRule>
    <cfRule type="cellIs" dxfId="1726" priority="1544" operator="equal">
      <formula>"NA"</formula>
    </cfRule>
    <cfRule type="cellIs" dxfId="1725" priority="1545" operator="equal">
      <formula>"Yes"</formula>
    </cfRule>
  </conditionalFormatting>
  <conditionalFormatting sqref="M30">
    <cfRule type="cellIs" dxfId="1724" priority="1540" operator="equal">
      <formula>"No"</formula>
    </cfRule>
    <cfRule type="cellIs" dxfId="1723" priority="1541" operator="equal">
      <formula>"NA"</formula>
    </cfRule>
    <cfRule type="cellIs" dxfId="1722" priority="1542" operator="equal">
      <formula>"Yes"</formula>
    </cfRule>
  </conditionalFormatting>
  <conditionalFormatting sqref="M31">
    <cfRule type="cellIs" dxfId="1721" priority="1537" operator="equal">
      <formula>"No"</formula>
    </cfRule>
    <cfRule type="cellIs" dxfId="1720" priority="1538" operator="equal">
      <formula>"NA"</formula>
    </cfRule>
    <cfRule type="cellIs" dxfId="1719" priority="1539" operator="equal">
      <formula>"Yes"</formula>
    </cfRule>
  </conditionalFormatting>
  <conditionalFormatting sqref="M33">
    <cfRule type="cellIs" dxfId="1718" priority="1534" operator="equal">
      <formula>"No"</formula>
    </cfRule>
    <cfRule type="cellIs" dxfId="1717" priority="1535" operator="equal">
      <formula>"NA"</formula>
    </cfRule>
    <cfRule type="cellIs" dxfId="1716" priority="1536" operator="equal">
      <formula>"Yes"</formula>
    </cfRule>
  </conditionalFormatting>
  <conditionalFormatting sqref="M6">
    <cfRule type="cellIs" dxfId="1715" priority="1531" operator="equal">
      <formula>"No"</formula>
    </cfRule>
    <cfRule type="cellIs" dxfId="1714" priority="1532" operator="equal">
      <formula>"NA"</formula>
    </cfRule>
    <cfRule type="cellIs" dxfId="1713" priority="1533" operator="equal">
      <formula>"Yes"</formula>
    </cfRule>
  </conditionalFormatting>
  <conditionalFormatting sqref="M7">
    <cfRule type="cellIs" dxfId="1712" priority="1528" operator="equal">
      <formula>"No"</formula>
    </cfRule>
    <cfRule type="cellIs" dxfId="1711" priority="1529" operator="equal">
      <formula>"NA"</formula>
    </cfRule>
    <cfRule type="cellIs" dxfId="1710" priority="1530" operator="equal">
      <formula>"Yes"</formula>
    </cfRule>
  </conditionalFormatting>
  <conditionalFormatting sqref="M10">
    <cfRule type="cellIs" dxfId="1709" priority="1525" operator="equal">
      <formula>"No"</formula>
    </cfRule>
    <cfRule type="cellIs" dxfId="1708" priority="1526" operator="equal">
      <formula>"NA"</formula>
    </cfRule>
    <cfRule type="cellIs" dxfId="1707" priority="1527" operator="equal">
      <formula>"Yes"</formula>
    </cfRule>
  </conditionalFormatting>
  <conditionalFormatting sqref="M25">
    <cfRule type="cellIs" dxfId="1706" priority="1522" operator="equal">
      <formula>"No"</formula>
    </cfRule>
    <cfRule type="cellIs" dxfId="1705" priority="1523" operator="equal">
      <formula>"NA"</formula>
    </cfRule>
    <cfRule type="cellIs" dxfId="1704" priority="1524" operator="equal">
      <formula>"Yes"</formula>
    </cfRule>
  </conditionalFormatting>
  <conditionalFormatting sqref="N9">
    <cfRule type="cellIs" dxfId="1703" priority="1519" operator="equal">
      <formula>"No"</formula>
    </cfRule>
    <cfRule type="cellIs" dxfId="1702" priority="1520" operator="equal">
      <formula>"NA"</formula>
    </cfRule>
    <cfRule type="cellIs" dxfId="1701" priority="1521" operator="equal">
      <formula>"Yes"</formula>
    </cfRule>
  </conditionalFormatting>
  <conditionalFormatting sqref="N10">
    <cfRule type="cellIs" dxfId="1700" priority="1516" operator="equal">
      <formula>"No"</formula>
    </cfRule>
    <cfRule type="cellIs" dxfId="1699" priority="1517" operator="equal">
      <formula>"NA"</formula>
    </cfRule>
    <cfRule type="cellIs" dxfId="1698" priority="1518" operator="equal">
      <formula>"Yes"</formula>
    </cfRule>
  </conditionalFormatting>
  <conditionalFormatting sqref="N11">
    <cfRule type="cellIs" dxfId="1697" priority="1513" operator="equal">
      <formula>"No"</formula>
    </cfRule>
    <cfRule type="cellIs" dxfId="1696" priority="1514" operator="equal">
      <formula>"NA"</formula>
    </cfRule>
    <cfRule type="cellIs" dxfId="1695" priority="1515" operator="equal">
      <formula>"Yes"</formula>
    </cfRule>
  </conditionalFormatting>
  <conditionalFormatting sqref="N12">
    <cfRule type="cellIs" dxfId="1694" priority="1510" operator="equal">
      <formula>"No"</formula>
    </cfRule>
    <cfRule type="cellIs" dxfId="1693" priority="1511" operator="equal">
      <formula>"NA"</formula>
    </cfRule>
    <cfRule type="cellIs" dxfId="1692" priority="1512" operator="equal">
      <formula>"Yes"</formula>
    </cfRule>
  </conditionalFormatting>
  <conditionalFormatting sqref="N13">
    <cfRule type="cellIs" dxfId="1691" priority="1507" operator="equal">
      <formula>"No"</formula>
    </cfRule>
    <cfRule type="cellIs" dxfId="1690" priority="1508" operator="equal">
      <formula>"NA"</formula>
    </cfRule>
    <cfRule type="cellIs" dxfId="1689" priority="1509" operator="equal">
      <formula>"Yes"</formula>
    </cfRule>
  </conditionalFormatting>
  <conditionalFormatting sqref="N14">
    <cfRule type="cellIs" dxfId="1688" priority="1504" operator="equal">
      <formula>"No"</formula>
    </cfRule>
    <cfRule type="cellIs" dxfId="1687" priority="1505" operator="equal">
      <formula>"NA"</formula>
    </cfRule>
    <cfRule type="cellIs" dxfId="1686" priority="1506" operator="equal">
      <formula>"Yes"</formula>
    </cfRule>
  </conditionalFormatting>
  <conditionalFormatting sqref="N15">
    <cfRule type="cellIs" dxfId="1685" priority="1501" operator="equal">
      <formula>"No"</formula>
    </cfRule>
    <cfRule type="cellIs" dxfId="1684" priority="1502" operator="equal">
      <formula>"NA"</formula>
    </cfRule>
    <cfRule type="cellIs" dxfId="1683" priority="1503" operator="equal">
      <formula>"Yes"</formula>
    </cfRule>
  </conditionalFormatting>
  <conditionalFormatting sqref="N16">
    <cfRule type="cellIs" dxfId="1682" priority="1498" operator="equal">
      <formula>"No"</formula>
    </cfRule>
    <cfRule type="cellIs" dxfId="1681" priority="1499" operator="equal">
      <formula>"NA"</formula>
    </cfRule>
    <cfRule type="cellIs" dxfId="1680" priority="1500" operator="equal">
      <formula>"Yes"</formula>
    </cfRule>
  </conditionalFormatting>
  <conditionalFormatting sqref="N17">
    <cfRule type="cellIs" dxfId="1679" priority="1495" operator="equal">
      <formula>"No"</formula>
    </cfRule>
    <cfRule type="cellIs" dxfId="1678" priority="1496" operator="equal">
      <formula>"NA"</formula>
    </cfRule>
    <cfRule type="cellIs" dxfId="1677" priority="1497" operator="equal">
      <formula>"Yes"</formula>
    </cfRule>
  </conditionalFormatting>
  <conditionalFormatting sqref="N18">
    <cfRule type="cellIs" dxfId="1676" priority="1492" operator="equal">
      <formula>"No"</formula>
    </cfRule>
    <cfRule type="cellIs" dxfId="1675" priority="1493" operator="equal">
      <formula>"NA"</formula>
    </cfRule>
    <cfRule type="cellIs" dxfId="1674" priority="1494" operator="equal">
      <formula>"Yes"</formula>
    </cfRule>
  </conditionalFormatting>
  <conditionalFormatting sqref="N19">
    <cfRule type="cellIs" dxfId="1673" priority="1489" operator="equal">
      <formula>"No"</formula>
    </cfRule>
    <cfRule type="cellIs" dxfId="1672" priority="1490" operator="equal">
      <formula>"NA"</formula>
    </cfRule>
    <cfRule type="cellIs" dxfId="1671" priority="1491" operator="equal">
      <formula>"Yes"</formula>
    </cfRule>
  </conditionalFormatting>
  <conditionalFormatting sqref="N20">
    <cfRule type="cellIs" dxfId="1670" priority="1486" operator="equal">
      <formula>"No"</formula>
    </cfRule>
    <cfRule type="cellIs" dxfId="1669" priority="1487" operator="equal">
      <formula>"NA"</formula>
    </cfRule>
    <cfRule type="cellIs" dxfId="1668" priority="1488" operator="equal">
      <formula>"Yes"</formula>
    </cfRule>
  </conditionalFormatting>
  <conditionalFormatting sqref="N21">
    <cfRule type="cellIs" dxfId="1667" priority="1483" operator="equal">
      <formula>"No"</formula>
    </cfRule>
    <cfRule type="cellIs" dxfId="1666" priority="1484" operator="equal">
      <formula>"NA"</formula>
    </cfRule>
    <cfRule type="cellIs" dxfId="1665" priority="1485" operator="equal">
      <formula>"Yes"</formula>
    </cfRule>
  </conditionalFormatting>
  <conditionalFormatting sqref="N22">
    <cfRule type="cellIs" dxfId="1664" priority="1480" operator="equal">
      <formula>"No"</formula>
    </cfRule>
    <cfRule type="cellIs" dxfId="1663" priority="1481" operator="equal">
      <formula>"NA"</formula>
    </cfRule>
    <cfRule type="cellIs" dxfId="1662" priority="1482" operator="equal">
      <formula>"Yes"</formula>
    </cfRule>
  </conditionalFormatting>
  <conditionalFormatting sqref="N23">
    <cfRule type="cellIs" dxfId="1661" priority="1477" operator="equal">
      <formula>"No"</formula>
    </cfRule>
    <cfRule type="cellIs" dxfId="1660" priority="1478" operator="equal">
      <formula>"NA"</formula>
    </cfRule>
    <cfRule type="cellIs" dxfId="1659" priority="1479" operator="equal">
      <formula>"Yes"</formula>
    </cfRule>
  </conditionalFormatting>
  <conditionalFormatting sqref="N26">
    <cfRule type="cellIs" dxfId="1658" priority="1474" operator="equal">
      <formula>"No"</formula>
    </cfRule>
    <cfRule type="cellIs" dxfId="1657" priority="1475" operator="equal">
      <formula>"NA"</formula>
    </cfRule>
    <cfRule type="cellIs" dxfId="1656" priority="1476" operator="equal">
      <formula>"Yes"</formula>
    </cfRule>
  </conditionalFormatting>
  <conditionalFormatting sqref="N27">
    <cfRule type="cellIs" dxfId="1655" priority="1471" operator="equal">
      <formula>"No"</formula>
    </cfRule>
    <cfRule type="cellIs" dxfId="1654" priority="1472" operator="equal">
      <formula>"NA"</formula>
    </cfRule>
    <cfRule type="cellIs" dxfId="1653" priority="1473" operator="equal">
      <formula>"Yes"</formula>
    </cfRule>
  </conditionalFormatting>
  <conditionalFormatting sqref="N28">
    <cfRule type="cellIs" dxfId="1652" priority="1468" operator="equal">
      <formula>"No"</formula>
    </cfRule>
    <cfRule type="cellIs" dxfId="1651" priority="1469" operator="equal">
      <formula>"NA"</formula>
    </cfRule>
    <cfRule type="cellIs" dxfId="1650" priority="1470" operator="equal">
      <formula>"Yes"</formula>
    </cfRule>
  </conditionalFormatting>
  <conditionalFormatting sqref="N30">
    <cfRule type="cellIs" dxfId="1649" priority="1465" operator="equal">
      <formula>"No"</formula>
    </cfRule>
    <cfRule type="cellIs" dxfId="1648" priority="1466" operator="equal">
      <formula>"NA"</formula>
    </cfRule>
    <cfRule type="cellIs" dxfId="1647" priority="1467" operator="equal">
      <formula>"Yes"</formula>
    </cfRule>
  </conditionalFormatting>
  <conditionalFormatting sqref="N31">
    <cfRule type="cellIs" dxfId="1646" priority="1462" operator="equal">
      <formula>"No"</formula>
    </cfRule>
    <cfRule type="cellIs" dxfId="1645" priority="1463" operator="equal">
      <formula>"NA"</formula>
    </cfRule>
    <cfRule type="cellIs" dxfId="1644" priority="1464" operator="equal">
      <formula>"Yes"</formula>
    </cfRule>
  </conditionalFormatting>
  <conditionalFormatting sqref="N33">
    <cfRule type="cellIs" dxfId="1643" priority="1459" operator="equal">
      <formula>"No"</formula>
    </cfRule>
    <cfRule type="cellIs" dxfId="1642" priority="1460" operator="equal">
      <formula>"NA"</formula>
    </cfRule>
    <cfRule type="cellIs" dxfId="1641" priority="1461" operator="equal">
      <formula>"Yes"</formula>
    </cfRule>
  </conditionalFormatting>
  <conditionalFormatting sqref="N6">
    <cfRule type="cellIs" dxfId="1640" priority="1456" operator="equal">
      <formula>"No"</formula>
    </cfRule>
    <cfRule type="cellIs" dxfId="1639" priority="1457" operator="equal">
      <formula>"NA"</formula>
    </cfRule>
    <cfRule type="cellIs" dxfId="1638" priority="1458" operator="equal">
      <formula>"Yes"</formula>
    </cfRule>
  </conditionalFormatting>
  <conditionalFormatting sqref="N7">
    <cfRule type="cellIs" dxfId="1637" priority="1453" operator="equal">
      <formula>"No"</formula>
    </cfRule>
    <cfRule type="cellIs" dxfId="1636" priority="1454" operator="equal">
      <formula>"NA"</formula>
    </cfRule>
    <cfRule type="cellIs" dxfId="1635" priority="1455" operator="equal">
      <formula>"Yes"</formula>
    </cfRule>
  </conditionalFormatting>
  <conditionalFormatting sqref="N25">
    <cfRule type="cellIs" dxfId="1634" priority="1450" operator="equal">
      <formula>"No"</formula>
    </cfRule>
    <cfRule type="cellIs" dxfId="1633" priority="1451" operator="equal">
      <formula>"NA"</formula>
    </cfRule>
    <cfRule type="cellIs" dxfId="1632" priority="1452" operator="equal">
      <formula>"Yes"</formula>
    </cfRule>
  </conditionalFormatting>
  <conditionalFormatting sqref="O11">
    <cfRule type="cellIs" dxfId="1631" priority="1447" operator="equal">
      <formula>"No"</formula>
    </cfRule>
    <cfRule type="cellIs" dxfId="1630" priority="1448" operator="equal">
      <formula>"NA"</formula>
    </cfRule>
    <cfRule type="cellIs" dxfId="1629" priority="1449" operator="equal">
      <formula>"Yes"</formula>
    </cfRule>
  </conditionalFormatting>
  <conditionalFormatting sqref="O12">
    <cfRule type="cellIs" dxfId="1628" priority="1444" operator="equal">
      <formula>"No"</formula>
    </cfRule>
    <cfRule type="cellIs" dxfId="1627" priority="1445" operator="equal">
      <formula>"NA"</formula>
    </cfRule>
    <cfRule type="cellIs" dxfId="1626" priority="1446" operator="equal">
      <formula>"Yes"</formula>
    </cfRule>
  </conditionalFormatting>
  <conditionalFormatting sqref="O13">
    <cfRule type="cellIs" dxfId="1625" priority="1441" operator="equal">
      <formula>"No"</formula>
    </cfRule>
    <cfRule type="cellIs" dxfId="1624" priority="1442" operator="equal">
      <formula>"NA"</formula>
    </cfRule>
    <cfRule type="cellIs" dxfId="1623" priority="1443" operator="equal">
      <formula>"Yes"</formula>
    </cfRule>
  </conditionalFormatting>
  <conditionalFormatting sqref="O14">
    <cfRule type="cellIs" dxfId="1622" priority="1438" operator="equal">
      <formula>"No"</formula>
    </cfRule>
    <cfRule type="cellIs" dxfId="1621" priority="1439" operator="equal">
      <formula>"NA"</formula>
    </cfRule>
    <cfRule type="cellIs" dxfId="1620" priority="1440" operator="equal">
      <formula>"Yes"</formula>
    </cfRule>
  </conditionalFormatting>
  <conditionalFormatting sqref="O18">
    <cfRule type="cellIs" dxfId="1619" priority="1435" operator="equal">
      <formula>"No"</formula>
    </cfRule>
    <cfRule type="cellIs" dxfId="1618" priority="1436" operator="equal">
      <formula>"NA"</formula>
    </cfRule>
    <cfRule type="cellIs" dxfId="1617" priority="1437" operator="equal">
      <formula>"Yes"</formula>
    </cfRule>
  </conditionalFormatting>
  <conditionalFormatting sqref="O19">
    <cfRule type="cellIs" dxfId="1616" priority="1432" operator="equal">
      <formula>"No"</formula>
    </cfRule>
    <cfRule type="cellIs" dxfId="1615" priority="1433" operator="equal">
      <formula>"NA"</formula>
    </cfRule>
    <cfRule type="cellIs" dxfId="1614" priority="1434" operator="equal">
      <formula>"Yes"</formula>
    </cfRule>
  </conditionalFormatting>
  <conditionalFormatting sqref="O20">
    <cfRule type="cellIs" dxfId="1613" priority="1429" operator="equal">
      <formula>"No"</formula>
    </cfRule>
    <cfRule type="cellIs" dxfId="1612" priority="1430" operator="equal">
      <formula>"NA"</formula>
    </cfRule>
    <cfRule type="cellIs" dxfId="1611" priority="1431" operator="equal">
      <formula>"Yes"</formula>
    </cfRule>
  </conditionalFormatting>
  <conditionalFormatting sqref="O21">
    <cfRule type="cellIs" dxfId="1610" priority="1426" operator="equal">
      <formula>"No"</formula>
    </cfRule>
    <cfRule type="cellIs" dxfId="1609" priority="1427" operator="equal">
      <formula>"NA"</formula>
    </cfRule>
    <cfRule type="cellIs" dxfId="1608" priority="1428" operator="equal">
      <formula>"Yes"</formula>
    </cfRule>
  </conditionalFormatting>
  <conditionalFormatting sqref="O22">
    <cfRule type="cellIs" dxfId="1607" priority="1423" operator="equal">
      <formula>"No"</formula>
    </cfRule>
    <cfRule type="cellIs" dxfId="1606" priority="1424" operator="equal">
      <formula>"NA"</formula>
    </cfRule>
    <cfRule type="cellIs" dxfId="1605" priority="1425" operator="equal">
      <formula>"Yes"</formula>
    </cfRule>
  </conditionalFormatting>
  <conditionalFormatting sqref="O23">
    <cfRule type="cellIs" dxfId="1604" priority="1420" operator="equal">
      <formula>"No"</formula>
    </cfRule>
    <cfRule type="cellIs" dxfId="1603" priority="1421" operator="equal">
      <formula>"NA"</formula>
    </cfRule>
    <cfRule type="cellIs" dxfId="1602" priority="1422" operator="equal">
      <formula>"Yes"</formula>
    </cfRule>
  </conditionalFormatting>
  <conditionalFormatting sqref="O26">
    <cfRule type="cellIs" dxfId="1601" priority="1417" operator="equal">
      <formula>"No"</formula>
    </cfRule>
    <cfRule type="cellIs" dxfId="1600" priority="1418" operator="equal">
      <formula>"NA"</formula>
    </cfRule>
    <cfRule type="cellIs" dxfId="1599" priority="1419" operator="equal">
      <formula>"Yes"</formula>
    </cfRule>
  </conditionalFormatting>
  <conditionalFormatting sqref="O27">
    <cfRule type="cellIs" dxfId="1598" priority="1414" operator="equal">
      <formula>"No"</formula>
    </cfRule>
    <cfRule type="cellIs" dxfId="1597" priority="1415" operator="equal">
      <formula>"NA"</formula>
    </cfRule>
    <cfRule type="cellIs" dxfId="1596" priority="1416" operator="equal">
      <formula>"Yes"</formula>
    </cfRule>
  </conditionalFormatting>
  <conditionalFormatting sqref="O28">
    <cfRule type="cellIs" dxfId="1595" priority="1411" operator="equal">
      <formula>"No"</formula>
    </cfRule>
    <cfRule type="cellIs" dxfId="1594" priority="1412" operator="equal">
      <formula>"NA"</formula>
    </cfRule>
    <cfRule type="cellIs" dxfId="1593" priority="1413" operator="equal">
      <formula>"Yes"</formula>
    </cfRule>
  </conditionalFormatting>
  <conditionalFormatting sqref="O30">
    <cfRule type="cellIs" dxfId="1592" priority="1408" operator="equal">
      <formula>"No"</formula>
    </cfRule>
    <cfRule type="cellIs" dxfId="1591" priority="1409" operator="equal">
      <formula>"NA"</formula>
    </cfRule>
    <cfRule type="cellIs" dxfId="1590" priority="1410" operator="equal">
      <formula>"Yes"</formula>
    </cfRule>
  </conditionalFormatting>
  <conditionalFormatting sqref="O31">
    <cfRule type="cellIs" dxfId="1589" priority="1405" operator="equal">
      <formula>"No"</formula>
    </cfRule>
    <cfRule type="cellIs" dxfId="1588" priority="1406" operator="equal">
      <formula>"NA"</formula>
    </cfRule>
    <cfRule type="cellIs" dxfId="1587" priority="1407" operator="equal">
      <formula>"Yes"</formula>
    </cfRule>
  </conditionalFormatting>
  <conditionalFormatting sqref="O33">
    <cfRule type="cellIs" dxfId="1586" priority="1402" operator="equal">
      <formula>"No"</formula>
    </cfRule>
    <cfRule type="cellIs" dxfId="1585" priority="1403" operator="equal">
      <formula>"NA"</formula>
    </cfRule>
    <cfRule type="cellIs" dxfId="1584" priority="1404" operator="equal">
      <formula>"Yes"</formula>
    </cfRule>
  </conditionalFormatting>
  <conditionalFormatting sqref="O15">
    <cfRule type="cellIs" dxfId="1583" priority="1399" operator="equal">
      <formula>"No"</formula>
    </cfRule>
    <cfRule type="cellIs" dxfId="1582" priority="1400" operator="equal">
      <formula>"NA"</formula>
    </cfRule>
    <cfRule type="cellIs" dxfId="1581" priority="1401" operator="equal">
      <formula>"Yes"</formula>
    </cfRule>
  </conditionalFormatting>
  <conditionalFormatting sqref="O16">
    <cfRule type="cellIs" dxfId="1580" priority="1396" operator="equal">
      <formula>"No"</formula>
    </cfRule>
    <cfRule type="cellIs" dxfId="1579" priority="1397" operator="equal">
      <formula>"NA"</formula>
    </cfRule>
    <cfRule type="cellIs" dxfId="1578" priority="1398" operator="equal">
      <formula>"Yes"</formula>
    </cfRule>
  </conditionalFormatting>
  <conditionalFormatting sqref="O17">
    <cfRule type="cellIs" dxfId="1577" priority="1393" operator="equal">
      <formula>"No"</formula>
    </cfRule>
    <cfRule type="cellIs" dxfId="1576" priority="1394" operator="equal">
      <formula>"NA"</formula>
    </cfRule>
    <cfRule type="cellIs" dxfId="1575" priority="1395" operator="equal">
      <formula>"Yes"</formula>
    </cfRule>
  </conditionalFormatting>
  <conditionalFormatting sqref="O6">
    <cfRule type="cellIs" dxfId="1574" priority="1390" operator="equal">
      <formula>"No"</formula>
    </cfRule>
    <cfRule type="cellIs" dxfId="1573" priority="1391" operator="equal">
      <formula>"NA"</formula>
    </cfRule>
    <cfRule type="cellIs" dxfId="1572" priority="1392" operator="equal">
      <formula>"Yes"</formula>
    </cfRule>
  </conditionalFormatting>
  <conditionalFormatting sqref="O7">
    <cfRule type="cellIs" dxfId="1571" priority="1387" operator="equal">
      <formula>"No"</formula>
    </cfRule>
    <cfRule type="cellIs" dxfId="1570" priority="1388" operator="equal">
      <formula>"NA"</formula>
    </cfRule>
    <cfRule type="cellIs" dxfId="1569" priority="1389" operator="equal">
      <formula>"Yes"</formula>
    </cfRule>
  </conditionalFormatting>
  <conditionalFormatting sqref="O10">
    <cfRule type="cellIs" dxfId="1568" priority="1384" operator="equal">
      <formula>"No"</formula>
    </cfRule>
    <cfRule type="cellIs" dxfId="1567" priority="1385" operator="equal">
      <formula>"NA"</formula>
    </cfRule>
    <cfRule type="cellIs" dxfId="1566" priority="1386" operator="equal">
      <formula>"Yes"</formula>
    </cfRule>
  </conditionalFormatting>
  <conditionalFormatting sqref="O25">
    <cfRule type="cellIs" dxfId="1565" priority="1378" operator="equal">
      <formula>"No"</formula>
    </cfRule>
    <cfRule type="cellIs" dxfId="1564" priority="1379" operator="equal">
      <formula>"NA"</formula>
    </cfRule>
    <cfRule type="cellIs" dxfId="1563" priority="1380" operator="equal">
      <formula>"Yes"</formula>
    </cfRule>
  </conditionalFormatting>
  <conditionalFormatting sqref="O9">
    <cfRule type="cellIs" dxfId="1562" priority="1375" operator="equal">
      <formula>"No"</formula>
    </cfRule>
    <cfRule type="cellIs" dxfId="1561" priority="1376" operator="equal">
      <formula>"NA"</formula>
    </cfRule>
    <cfRule type="cellIs" dxfId="1560" priority="1377" operator="equal">
      <formula>"Yes"</formula>
    </cfRule>
  </conditionalFormatting>
  <conditionalFormatting sqref="P11">
    <cfRule type="cellIs" dxfId="1559" priority="1300" operator="equal">
      <formula>"No"</formula>
    </cfRule>
    <cfRule type="cellIs" dxfId="1558" priority="1301" operator="equal">
      <formula>"NA"</formula>
    </cfRule>
    <cfRule type="cellIs" dxfId="1557" priority="1302" operator="equal">
      <formula>"Yes"</formula>
    </cfRule>
  </conditionalFormatting>
  <conditionalFormatting sqref="P12">
    <cfRule type="cellIs" dxfId="1556" priority="1297" operator="equal">
      <formula>"No"</formula>
    </cfRule>
    <cfRule type="cellIs" dxfId="1555" priority="1298" operator="equal">
      <formula>"NA"</formula>
    </cfRule>
    <cfRule type="cellIs" dxfId="1554" priority="1299" operator="equal">
      <formula>"Yes"</formula>
    </cfRule>
  </conditionalFormatting>
  <conditionalFormatting sqref="P13">
    <cfRule type="cellIs" dxfId="1553" priority="1294" operator="equal">
      <formula>"No"</formula>
    </cfRule>
    <cfRule type="cellIs" dxfId="1552" priority="1295" operator="equal">
      <formula>"NA"</formula>
    </cfRule>
    <cfRule type="cellIs" dxfId="1551" priority="1296" operator="equal">
      <formula>"Yes"</formula>
    </cfRule>
  </conditionalFormatting>
  <conditionalFormatting sqref="P14">
    <cfRule type="cellIs" dxfId="1550" priority="1291" operator="equal">
      <formula>"No"</formula>
    </cfRule>
    <cfRule type="cellIs" dxfId="1549" priority="1292" operator="equal">
      <formula>"NA"</formula>
    </cfRule>
    <cfRule type="cellIs" dxfId="1548" priority="1293" operator="equal">
      <formula>"Yes"</formula>
    </cfRule>
  </conditionalFormatting>
  <conditionalFormatting sqref="P18">
    <cfRule type="cellIs" dxfId="1547" priority="1288" operator="equal">
      <formula>"No"</formula>
    </cfRule>
    <cfRule type="cellIs" dxfId="1546" priority="1289" operator="equal">
      <formula>"NA"</formula>
    </cfRule>
    <cfRule type="cellIs" dxfId="1545" priority="1290" operator="equal">
      <formula>"Yes"</formula>
    </cfRule>
  </conditionalFormatting>
  <conditionalFormatting sqref="P19">
    <cfRule type="cellIs" dxfId="1544" priority="1285" operator="equal">
      <formula>"No"</formula>
    </cfRule>
    <cfRule type="cellIs" dxfId="1543" priority="1286" operator="equal">
      <formula>"NA"</formula>
    </cfRule>
    <cfRule type="cellIs" dxfId="1542" priority="1287" operator="equal">
      <formula>"Yes"</formula>
    </cfRule>
  </conditionalFormatting>
  <conditionalFormatting sqref="P20">
    <cfRule type="cellIs" dxfId="1541" priority="1282" operator="equal">
      <formula>"No"</formula>
    </cfRule>
    <cfRule type="cellIs" dxfId="1540" priority="1283" operator="equal">
      <formula>"NA"</formula>
    </cfRule>
    <cfRule type="cellIs" dxfId="1539" priority="1284" operator="equal">
      <formula>"Yes"</formula>
    </cfRule>
  </conditionalFormatting>
  <conditionalFormatting sqref="P21">
    <cfRule type="cellIs" dxfId="1538" priority="1279" operator="equal">
      <formula>"No"</formula>
    </cfRule>
    <cfRule type="cellIs" dxfId="1537" priority="1280" operator="equal">
      <formula>"NA"</formula>
    </cfRule>
    <cfRule type="cellIs" dxfId="1536" priority="1281" operator="equal">
      <formula>"Yes"</formula>
    </cfRule>
  </conditionalFormatting>
  <conditionalFormatting sqref="P22">
    <cfRule type="cellIs" dxfId="1535" priority="1276" operator="equal">
      <formula>"No"</formula>
    </cfRule>
    <cfRule type="cellIs" dxfId="1534" priority="1277" operator="equal">
      <formula>"NA"</formula>
    </cfRule>
    <cfRule type="cellIs" dxfId="1533" priority="1278" operator="equal">
      <formula>"Yes"</formula>
    </cfRule>
  </conditionalFormatting>
  <conditionalFormatting sqref="P23">
    <cfRule type="cellIs" dxfId="1532" priority="1273" operator="equal">
      <formula>"No"</formula>
    </cfRule>
    <cfRule type="cellIs" dxfId="1531" priority="1274" operator="equal">
      <formula>"NA"</formula>
    </cfRule>
    <cfRule type="cellIs" dxfId="1530" priority="1275" operator="equal">
      <formula>"Yes"</formula>
    </cfRule>
  </conditionalFormatting>
  <conditionalFormatting sqref="P26">
    <cfRule type="cellIs" dxfId="1529" priority="1270" operator="equal">
      <formula>"No"</formula>
    </cfRule>
    <cfRule type="cellIs" dxfId="1528" priority="1271" operator="equal">
      <formula>"NA"</formula>
    </cfRule>
    <cfRule type="cellIs" dxfId="1527" priority="1272" operator="equal">
      <formula>"Yes"</formula>
    </cfRule>
  </conditionalFormatting>
  <conditionalFormatting sqref="P27">
    <cfRule type="cellIs" dxfId="1526" priority="1267" operator="equal">
      <formula>"No"</formula>
    </cfRule>
    <cfRule type="cellIs" dxfId="1525" priority="1268" operator="equal">
      <formula>"NA"</formula>
    </cfRule>
    <cfRule type="cellIs" dxfId="1524" priority="1269" operator="equal">
      <formula>"Yes"</formula>
    </cfRule>
  </conditionalFormatting>
  <conditionalFormatting sqref="P28">
    <cfRule type="cellIs" dxfId="1523" priority="1264" operator="equal">
      <formula>"No"</formula>
    </cfRule>
    <cfRule type="cellIs" dxfId="1522" priority="1265" operator="equal">
      <formula>"NA"</formula>
    </cfRule>
    <cfRule type="cellIs" dxfId="1521" priority="1266" operator="equal">
      <formula>"Yes"</formula>
    </cfRule>
  </conditionalFormatting>
  <conditionalFormatting sqref="P30">
    <cfRule type="cellIs" dxfId="1520" priority="1261" operator="equal">
      <formula>"No"</formula>
    </cfRule>
    <cfRule type="cellIs" dxfId="1519" priority="1262" operator="equal">
      <formula>"NA"</formula>
    </cfRule>
    <cfRule type="cellIs" dxfId="1518" priority="1263" operator="equal">
      <formula>"Yes"</formula>
    </cfRule>
  </conditionalFormatting>
  <conditionalFormatting sqref="P31">
    <cfRule type="cellIs" dxfId="1517" priority="1258" operator="equal">
      <formula>"No"</formula>
    </cfRule>
    <cfRule type="cellIs" dxfId="1516" priority="1259" operator="equal">
      <formula>"NA"</formula>
    </cfRule>
    <cfRule type="cellIs" dxfId="1515" priority="1260" operator="equal">
      <formula>"Yes"</formula>
    </cfRule>
  </conditionalFormatting>
  <conditionalFormatting sqref="P33">
    <cfRule type="cellIs" dxfId="1514" priority="1255" operator="equal">
      <formula>"No"</formula>
    </cfRule>
    <cfRule type="cellIs" dxfId="1513" priority="1256" operator="equal">
      <formula>"NA"</formula>
    </cfRule>
    <cfRule type="cellIs" dxfId="1512" priority="1257" operator="equal">
      <formula>"Yes"</formula>
    </cfRule>
  </conditionalFormatting>
  <conditionalFormatting sqref="P16">
    <cfRule type="cellIs" dxfId="1511" priority="1249" operator="equal">
      <formula>"No"</formula>
    </cfRule>
    <cfRule type="cellIs" dxfId="1510" priority="1250" operator="equal">
      <formula>"NA"</formula>
    </cfRule>
    <cfRule type="cellIs" dxfId="1509" priority="1251" operator="equal">
      <formula>"Yes"</formula>
    </cfRule>
  </conditionalFormatting>
  <conditionalFormatting sqref="P17">
    <cfRule type="cellIs" dxfId="1508" priority="1246" operator="equal">
      <formula>"No"</formula>
    </cfRule>
    <cfRule type="cellIs" dxfId="1507" priority="1247" operator="equal">
      <formula>"NA"</formula>
    </cfRule>
    <cfRule type="cellIs" dxfId="1506" priority="1248" operator="equal">
      <formula>"Yes"</formula>
    </cfRule>
  </conditionalFormatting>
  <conditionalFormatting sqref="P6">
    <cfRule type="cellIs" dxfId="1505" priority="1243" operator="equal">
      <formula>"No"</formula>
    </cfRule>
    <cfRule type="cellIs" dxfId="1504" priority="1244" operator="equal">
      <formula>"NA"</formula>
    </cfRule>
    <cfRule type="cellIs" dxfId="1503" priority="1245" operator="equal">
      <formula>"Yes"</formula>
    </cfRule>
  </conditionalFormatting>
  <conditionalFormatting sqref="P7">
    <cfRule type="cellIs" dxfId="1502" priority="1240" operator="equal">
      <formula>"No"</formula>
    </cfRule>
    <cfRule type="cellIs" dxfId="1501" priority="1241" operator="equal">
      <formula>"NA"</formula>
    </cfRule>
    <cfRule type="cellIs" dxfId="1500" priority="1242" operator="equal">
      <formula>"Yes"</formula>
    </cfRule>
  </conditionalFormatting>
  <conditionalFormatting sqref="P10">
    <cfRule type="cellIs" dxfId="1499" priority="1237" operator="equal">
      <formula>"No"</formula>
    </cfRule>
    <cfRule type="cellIs" dxfId="1498" priority="1238" operator="equal">
      <formula>"NA"</formula>
    </cfRule>
    <cfRule type="cellIs" dxfId="1497" priority="1239" operator="equal">
      <formula>"Yes"</formula>
    </cfRule>
  </conditionalFormatting>
  <conditionalFormatting sqref="P25">
    <cfRule type="cellIs" dxfId="1496" priority="1231" operator="equal">
      <formula>"No"</formula>
    </cfRule>
    <cfRule type="cellIs" dxfId="1495" priority="1232" operator="equal">
      <formula>"NA"</formula>
    </cfRule>
    <cfRule type="cellIs" dxfId="1494" priority="1233" operator="equal">
      <formula>"Yes"</formula>
    </cfRule>
  </conditionalFormatting>
  <conditionalFormatting sqref="P9">
    <cfRule type="cellIs" dxfId="1493" priority="1228" operator="equal">
      <formula>"No"</formula>
    </cfRule>
    <cfRule type="cellIs" dxfId="1492" priority="1229" operator="equal">
      <formula>"NA"</formula>
    </cfRule>
    <cfRule type="cellIs" dxfId="1491" priority="1230" operator="equal">
      <formula>"Yes"</formula>
    </cfRule>
  </conditionalFormatting>
  <conditionalFormatting sqref="P15">
    <cfRule type="cellIs" dxfId="1490" priority="1225" operator="equal">
      <formula>"No"</formula>
    </cfRule>
    <cfRule type="cellIs" dxfId="1489" priority="1226" operator="equal">
      <formula>"NA"</formula>
    </cfRule>
    <cfRule type="cellIs" dxfId="1488" priority="1227" operator="equal">
      <formula>"Yes"</formula>
    </cfRule>
  </conditionalFormatting>
  <conditionalFormatting sqref="R9">
    <cfRule type="cellIs" dxfId="1487" priority="1150" operator="equal">
      <formula>"No"</formula>
    </cfRule>
    <cfRule type="cellIs" dxfId="1486" priority="1151" operator="equal">
      <formula>"NA"</formula>
    </cfRule>
    <cfRule type="cellIs" dxfId="1485" priority="1152" operator="equal">
      <formula>"Yes"</formula>
    </cfRule>
  </conditionalFormatting>
  <conditionalFormatting sqref="R11">
    <cfRule type="cellIs" dxfId="1484" priority="1147" operator="equal">
      <formula>"No"</formula>
    </cfRule>
    <cfRule type="cellIs" dxfId="1483" priority="1148" operator="equal">
      <formula>"NA"</formula>
    </cfRule>
    <cfRule type="cellIs" dxfId="1482" priority="1149" operator="equal">
      <formula>"Yes"</formula>
    </cfRule>
  </conditionalFormatting>
  <conditionalFormatting sqref="R12">
    <cfRule type="cellIs" dxfId="1481" priority="1144" operator="equal">
      <formula>"No"</formula>
    </cfRule>
    <cfRule type="cellIs" dxfId="1480" priority="1145" operator="equal">
      <formula>"NA"</formula>
    </cfRule>
    <cfRule type="cellIs" dxfId="1479" priority="1146" operator="equal">
      <formula>"Yes"</formula>
    </cfRule>
  </conditionalFormatting>
  <conditionalFormatting sqref="R13">
    <cfRule type="cellIs" dxfId="1478" priority="1141" operator="equal">
      <formula>"No"</formula>
    </cfRule>
    <cfRule type="cellIs" dxfId="1477" priority="1142" operator="equal">
      <formula>"NA"</formula>
    </cfRule>
    <cfRule type="cellIs" dxfId="1476" priority="1143" operator="equal">
      <formula>"Yes"</formula>
    </cfRule>
  </conditionalFormatting>
  <conditionalFormatting sqref="R14">
    <cfRule type="cellIs" dxfId="1475" priority="1138" operator="equal">
      <formula>"No"</formula>
    </cfRule>
    <cfRule type="cellIs" dxfId="1474" priority="1139" operator="equal">
      <formula>"NA"</formula>
    </cfRule>
    <cfRule type="cellIs" dxfId="1473" priority="1140" operator="equal">
      <formula>"Yes"</formula>
    </cfRule>
  </conditionalFormatting>
  <conditionalFormatting sqref="R15">
    <cfRule type="cellIs" dxfId="1472" priority="1135" operator="equal">
      <formula>"No"</formula>
    </cfRule>
    <cfRule type="cellIs" dxfId="1471" priority="1136" operator="equal">
      <formula>"NA"</formula>
    </cfRule>
    <cfRule type="cellIs" dxfId="1470" priority="1137" operator="equal">
      <formula>"Yes"</formula>
    </cfRule>
  </conditionalFormatting>
  <conditionalFormatting sqref="R16">
    <cfRule type="cellIs" dxfId="1469" priority="1132" operator="equal">
      <formula>"No"</formula>
    </cfRule>
    <cfRule type="cellIs" dxfId="1468" priority="1133" operator="equal">
      <formula>"NA"</formula>
    </cfRule>
    <cfRule type="cellIs" dxfId="1467" priority="1134" operator="equal">
      <formula>"Yes"</formula>
    </cfRule>
  </conditionalFormatting>
  <conditionalFormatting sqref="R17">
    <cfRule type="cellIs" dxfId="1466" priority="1129" operator="equal">
      <formula>"No"</formula>
    </cfRule>
    <cfRule type="cellIs" dxfId="1465" priority="1130" operator="equal">
      <formula>"NA"</formula>
    </cfRule>
    <cfRule type="cellIs" dxfId="1464" priority="1131" operator="equal">
      <formula>"Yes"</formula>
    </cfRule>
  </conditionalFormatting>
  <conditionalFormatting sqref="R18">
    <cfRule type="cellIs" dxfId="1463" priority="1126" operator="equal">
      <formula>"No"</formula>
    </cfRule>
    <cfRule type="cellIs" dxfId="1462" priority="1127" operator="equal">
      <formula>"NA"</formula>
    </cfRule>
    <cfRule type="cellIs" dxfId="1461" priority="1128" operator="equal">
      <formula>"Yes"</formula>
    </cfRule>
  </conditionalFormatting>
  <conditionalFormatting sqref="R19">
    <cfRule type="cellIs" dxfId="1460" priority="1123" operator="equal">
      <formula>"No"</formula>
    </cfRule>
    <cfRule type="cellIs" dxfId="1459" priority="1124" operator="equal">
      <formula>"NA"</formula>
    </cfRule>
    <cfRule type="cellIs" dxfId="1458" priority="1125" operator="equal">
      <formula>"Yes"</formula>
    </cfRule>
  </conditionalFormatting>
  <conditionalFormatting sqref="R20">
    <cfRule type="cellIs" dxfId="1457" priority="1120" operator="equal">
      <formula>"No"</formula>
    </cfRule>
    <cfRule type="cellIs" dxfId="1456" priority="1121" operator="equal">
      <formula>"NA"</formula>
    </cfRule>
    <cfRule type="cellIs" dxfId="1455" priority="1122" operator="equal">
      <formula>"Yes"</formula>
    </cfRule>
  </conditionalFormatting>
  <conditionalFormatting sqref="R21">
    <cfRule type="cellIs" dxfId="1454" priority="1117" operator="equal">
      <formula>"No"</formula>
    </cfRule>
    <cfRule type="cellIs" dxfId="1453" priority="1118" operator="equal">
      <formula>"NA"</formula>
    </cfRule>
    <cfRule type="cellIs" dxfId="1452" priority="1119" operator="equal">
      <formula>"Yes"</formula>
    </cfRule>
  </conditionalFormatting>
  <conditionalFormatting sqref="R22">
    <cfRule type="cellIs" dxfId="1451" priority="1114" operator="equal">
      <formula>"No"</formula>
    </cfRule>
    <cfRule type="cellIs" dxfId="1450" priority="1115" operator="equal">
      <formula>"NA"</formula>
    </cfRule>
    <cfRule type="cellIs" dxfId="1449" priority="1116" operator="equal">
      <formula>"Yes"</formula>
    </cfRule>
  </conditionalFormatting>
  <conditionalFormatting sqref="R23">
    <cfRule type="cellIs" dxfId="1448" priority="1111" operator="equal">
      <formula>"No"</formula>
    </cfRule>
    <cfRule type="cellIs" dxfId="1447" priority="1112" operator="equal">
      <formula>"NA"</formula>
    </cfRule>
    <cfRule type="cellIs" dxfId="1446" priority="1113" operator="equal">
      <formula>"Yes"</formula>
    </cfRule>
  </conditionalFormatting>
  <conditionalFormatting sqref="R26">
    <cfRule type="cellIs" dxfId="1445" priority="1108" operator="equal">
      <formula>"No"</formula>
    </cfRule>
    <cfRule type="cellIs" dxfId="1444" priority="1109" operator="equal">
      <formula>"NA"</formula>
    </cfRule>
    <cfRule type="cellIs" dxfId="1443" priority="1110" operator="equal">
      <formula>"Yes"</formula>
    </cfRule>
  </conditionalFormatting>
  <conditionalFormatting sqref="R27">
    <cfRule type="cellIs" dxfId="1442" priority="1105" operator="equal">
      <formula>"No"</formula>
    </cfRule>
    <cfRule type="cellIs" dxfId="1441" priority="1106" operator="equal">
      <formula>"NA"</formula>
    </cfRule>
    <cfRule type="cellIs" dxfId="1440" priority="1107" operator="equal">
      <formula>"Yes"</formula>
    </cfRule>
  </conditionalFormatting>
  <conditionalFormatting sqref="R28">
    <cfRule type="cellIs" dxfId="1439" priority="1102" operator="equal">
      <formula>"No"</formula>
    </cfRule>
    <cfRule type="cellIs" dxfId="1438" priority="1103" operator="equal">
      <formula>"NA"</formula>
    </cfRule>
    <cfRule type="cellIs" dxfId="1437" priority="1104" operator="equal">
      <formula>"Yes"</formula>
    </cfRule>
  </conditionalFormatting>
  <conditionalFormatting sqref="R30">
    <cfRule type="cellIs" dxfId="1436" priority="1099" operator="equal">
      <formula>"No"</formula>
    </cfRule>
    <cfRule type="cellIs" dxfId="1435" priority="1100" operator="equal">
      <formula>"NA"</formula>
    </cfRule>
    <cfRule type="cellIs" dxfId="1434" priority="1101" operator="equal">
      <formula>"Yes"</formula>
    </cfRule>
  </conditionalFormatting>
  <conditionalFormatting sqref="R31">
    <cfRule type="cellIs" dxfId="1433" priority="1096" operator="equal">
      <formula>"No"</formula>
    </cfRule>
    <cfRule type="cellIs" dxfId="1432" priority="1097" operator="equal">
      <formula>"NA"</formula>
    </cfRule>
    <cfRule type="cellIs" dxfId="1431" priority="1098" operator="equal">
      <formula>"Yes"</formula>
    </cfRule>
  </conditionalFormatting>
  <conditionalFormatting sqref="R33">
    <cfRule type="cellIs" dxfId="1430" priority="1093" operator="equal">
      <formula>"No"</formula>
    </cfRule>
    <cfRule type="cellIs" dxfId="1429" priority="1094" operator="equal">
      <formula>"NA"</formula>
    </cfRule>
    <cfRule type="cellIs" dxfId="1428" priority="1095" operator="equal">
      <formula>"Yes"</formula>
    </cfRule>
  </conditionalFormatting>
  <conditionalFormatting sqref="R6">
    <cfRule type="cellIs" dxfId="1427" priority="1090" operator="equal">
      <formula>"No"</formula>
    </cfRule>
    <cfRule type="cellIs" dxfId="1426" priority="1091" operator="equal">
      <formula>"NA"</formula>
    </cfRule>
    <cfRule type="cellIs" dxfId="1425" priority="1092" operator="equal">
      <formula>"Yes"</formula>
    </cfRule>
  </conditionalFormatting>
  <conditionalFormatting sqref="R7">
    <cfRule type="cellIs" dxfId="1424" priority="1087" operator="equal">
      <formula>"No"</formula>
    </cfRule>
    <cfRule type="cellIs" dxfId="1423" priority="1088" operator="equal">
      <formula>"NA"</formula>
    </cfRule>
    <cfRule type="cellIs" dxfId="1422" priority="1089" operator="equal">
      <formula>"Yes"</formula>
    </cfRule>
  </conditionalFormatting>
  <conditionalFormatting sqref="R10">
    <cfRule type="cellIs" dxfId="1421" priority="1084" operator="equal">
      <formula>"No"</formula>
    </cfRule>
    <cfRule type="cellIs" dxfId="1420" priority="1085" operator="equal">
      <formula>"NA"</formula>
    </cfRule>
    <cfRule type="cellIs" dxfId="1419" priority="1086" operator="equal">
      <formula>"Yes"</formula>
    </cfRule>
  </conditionalFormatting>
  <conditionalFormatting sqref="R25">
    <cfRule type="cellIs" dxfId="1418" priority="1081" operator="equal">
      <formula>"No"</formula>
    </cfRule>
    <cfRule type="cellIs" dxfId="1417" priority="1082" operator="equal">
      <formula>"NA"</formula>
    </cfRule>
    <cfRule type="cellIs" dxfId="1416" priority="1083" operator="equal">
      <formula>"Yes"</formula>
    </cfRule>
  </conditionalFormatting>
  <conditionalFormatting sqref="S9">
    <cfRule type="cellIs" dxfId="1415" priority="1078" operator="equal">
      <formula>"No"</formula>
    </cfRule>
    <cfRule type="cellIs" dxfId="1414" priority="1079" operator="equal">
      <formula>"NA"</formula>
    </cfRule>
    <cfRule type="cellIs" dxfId="1413" priority="1080" operator="equal">
      <formula>"Yes"</formula>
    </cfRule>
  </conditionalFormatting>
  <conditionalFormatting sqref="S10">
    <cfRule type="cellIs" dxfId="1412" priority="1075" operator="equal">
      <formula>"No"</formula>
    </cfRule>
    <cfRule type="cellIs" dxfId="1411" priority="1076" operator="equal">
      <formula>"NA"</formula>
    </cfRule>
    <cfRule type="cellIs" dxfId="1410" priority="1077" operator="equal">
      <formula>"Yes"</formula>
    </cfRule>
  </conditionalFormatting>
  <conditionalFormatting sqref="S11">
    <cfRule type="cellIs" dxfId="1409" priority="1072" operator="equal">
      <formula>"No"</formula>
    </cfRule>
    <cfRule type="cellIs" dxfId="1408" priority="1073" operator="equal">
      <formula>"NA"</formula>
    </cfRule>
    <cfRule type="cellIs" dxfId="1407" priority="1074" operator="equal">
      <formula>"Yes"</formula>
    </cfRule>
  </conditionalFormatting>
  <conditionalFormatting sqref="S12">
    <cfRule type="cellIs" dxfId="1406" priority="1069" operator="equal">
      <formula>"No"</formula>
    </cfRule>
    <cfRule type="cellIs" dxfId="1405" priority="1070" operator="equal">
      <formula>"NA"</formula>
    </cfRule>
    <cfRule type="cellIs" dxfId="1404" priority="1071" operator="equal">
      <formula>"Yes"</formula>
    </cfRule>
  </conditionalFormatting>
  <conditionalFormatting sqref="S13">
    <cfRule type="cellIs" dxfId="1403" priority="1066" operator="equal">
      <formula>"No"</formula>
    </cfRule>
    <cfRule type="cellIs" dxfId="1402" priority="1067" operator="equal">
      <formula>"NA"</formula>
    </cfRule>
    <cfRule type="cellIs" dxfId="1401" priority="1068" operator="equal">
      <formula>"Yes"</formula>
    </cfRule>
  </conditionalFormatting>
  <conditionalFormatting sqref="S14">
    <cfRule type="cellIs" dxfId="1400" priority="1063" operator="equal">
      <formula>"No"</formula>
    </cfRule>
    <cfRule type="cellIs" dxfId="1399" priority="1064" operator="equal">
      <formula>"NA"</formula>
    </cfRule>
    <cfRule type="cellIs" dxfId="1398" priority="1065" operator="equal">
      <formula>"Yes"</formula>
    </cfRule>
  </conditionalFormatting>
  <conditionalFormatting sqref="S15">
    <cfRule type="cellIs" dxfId="1397" priority="1060" operator="equal">
      <formula>"No"</formula>
    </cfRule>
    <cfRule type="cellIs" dxfId="1396" priority="1061" operator="equal">
      <formula>"NA"</formula>
    </cfRule>
    <cfRule type="cellIs" dxfId="1395" priority="1062" operator="equal">
      <formula>"Yes"</formula>
    </cfRule>
  </conditionalFormatting>
  <conditionalFormatting sqref="S16">
    <cfRule type="cellIs" dxfId="1394" priority="1057" operator="equal">
      <formula>"No"</formula>
    </cfRule>
    <cfRule type="cellIs" dxfId="1393" priority="1058" operator="equal">
      <formula>"NA"</formula>
    </cfRule>
    <cfRule type="cellIs" dxfId="1392" priority="1059" operator="equal">
      <formula>"Yes"</formula>
    </cfRule>
  </conditionalFormatting>
  <conditionalFormatting sqref="S17">
    <cfRule type="cellIs" dxfId="1391" priority="1054" operator="equal">
      <formula>"No"</formula>
    </cfRule>
    <cfRule type="cellIs" dxfId="1390" priority="1055" operator="equal">
      <formula>"NA"</formula>
    </cfRule>
    <cfRule type="cellIs" dxfId="1389" priority="1056" operator="equal">
      <formula>"Yes"</formula>
    </cfRule>
  </conditionalFormatting>
  <conditionalFormatting sqref="S18">
    <cfRule type="cellIs" dxfId="1388" priority="1051" operator="equal">
      <formula>"No"</formula>
    </cfRule>
    <cfRule type="cellIs" dxfId="1387" priority="1052" operator="equal">
      <formula>"NA"</formula>
    </cfRule>
    <cfRule type="cellIs" dxfId="1386" priority="1053" operator="equal">
      <formula>"Yes"</formula>
    </cfRule>
  </conditionalFormatting>
  <conditionalFormatting sqref="S19">
    <cfRule type="cellIs" dxfId="1385" priority="1048" operator="equal">
      <formula>"No"</formula>
    </cfRule>
    <cfRule type="cellIs" dxfId="1384" priority="1049" operator="equal">
      <formula>"NA"</formula>
    </cfRule>
    <cfRule type="cellIs" dxfId="1383" priority="1050" operator="equal">
      <formula>"Yes"</formula>
    </cfRule>
  </conditionalFormatting>
  <conditionalFormatting sqref="S20">
    <cfRule type="cellIs" dxfId="1382" priority="1045" operator="equal">
      <formula>"No"</formula>
    </cfRule>
    <cfRule type="cellIs" dxfId="1381" priority="1046" operator="equal">
      <formula>"NA"</formula>
    </cfRule>
    <cfRule type="cellIs" dxfId="1380" priority="1047" operator="equal">
      <formula>"Yes"</formula>
    </cfRule>
  </conditionalFormatting>
  <conditionalFormatting sqref="S21">
    <cfRule type="cellIs" dxfId="1379" priority="1042" operator="equal">
      <formula>"No"</formula>
    </cfRule>
    <cfRule type="cellIs" dxfId="1378" priority="1043" operator="equal">
      <formula>"NA"</formula>
    </cfRule>
    <cfRule type="cellIs" dxfId="1377" priority="1044" operator="equal">
      <formula>"Yes"</formula>
    </cfRule>
  </conditionalFormatting>
  <conditionalFormatting sqref="S22">
    <cfRule type="cellIs" dxfId="1376" priority="1039" operator="equal">
      <formula>"No"</formula>
    </cfRule>
    <cfRule type="cellIs" dxfId="1375" priority="1040" operator="equal">
      <formula>"NA"</formula>
    </cfRule>
    <cfRule type="cellIs" dxfId="1374" priority="1041" operator="equal">
      <formula>"Yes"</formula>
    </cfRule>
  </conditionalFormatting>
  <conditionalFormatting sqref="S23">
    <cfRule type="cellIs" dxfId="1373" priority="1036" operator="equal">
      <formula>"No"</formula>
    </cfRule>
    <cfRule type="cellIs" dxfId="1372" priority="1037" operator="equal">
      <formula>"NA"</formula>
    </cfRule>
    <cfRule type="cellIs" dxfId="1371" priority="1038" operator="equal">
      <formula>"Yes"</formula>
    </cfRule>
  </conditionalFormatting>
  <conditionalFormatting sqref="S26">
    <cfRule type="cellIs" dxfId="1370" priority="1033" operator="equal">
      <formula>"No"</formula>
    </cfRule>
    <cfRule type="cellIs" dxfId="1369" priority="1034" operator="equal">
      <formula>"NA"</formula>
    </cfRule>
    <cfRule type="cellIs" dxfId="1368" priority="1035" operator="equal">
      <formula>"Yes"</formula>
    </cfRule>
  </conditionalFormatting>
  <conditionalFormatting sqref="S27">
    <cfRule type="cellIs" dxfId="1367" priority="1030" operator="equal">
      <formula>"No"</formula>
    </cfRule>
    <cfRule type="cellIs" dxfId="1366" priority="1031" operator="equal">
      <formula>"NA"</formula>
    </cfRule>
    <cfRule type="cellIs" dxfId="1365" priority="1032" operator="equal">
      <formula>"Yes"</formula>
    </cfRule>
  </conditionalFormatting>
  <conditionalFormatting sqref="S28">
    <cfRule type="cellIs" dxfId="1364" priority="1027" operator="equal">
      <formula>"No"</formula>
    </cfRule>
    <cfRule type="cellIs" dxfId="1363" priority="1028" operator="equal">
      <formula>"NA"</formula>
    </cfRule>
    <cfRule type="cellIs" dxfId="1362" priority="1029" operator="equal">
      <formula>"Yes"</formula>
    </cfRule>
  </conditionalFormatting>
  <conditionalFormatting sqref="S30">
    <cfRule type="cellIs" dxfId="1361" priority="1024" operator="equal">
      <formula>"No"</formula>
    </cfRule>
    <cfRule type="cellIs" dxfId="1360" priority="1025" operator="equal">
      <formula>"NA"</formula>
    </cfRule>
    <cfRule type="cellIs" dxfId="1359" priority="1026" operator="equal">
      <formula>"Yes"</formula>
    </cfRule>
  </conditionalFormatting>
  <conditionalFormatting sqref="S31">
    <cfRule type="cellIs" dxfId="1358" priority="1021" operator="equal">
      <formula>"No"</formula>
    </cfRule>
    <cfRule type="cellIs" dxfId="1357" priority="1022" operator="equal">
      <formula>"NA"</formula>
    </cfRule>
    <cfRule type="cellIs" dxfId="1356" priority="1023" operator="equal">
      <formula>"Yes"</formula>
    </cfRule>
  </conditionalFormatting>
  <conditionalFormatting sqref="S33">
    <cfRule type="cellIs" dxfId="1355" priority="1018" operator="equal">
      <formula>"No"</formula>
    </cfRule>
    <cfRule type="cellIs" dxfId="1354" priority="1019" operator="equal">
      <formula>"NA"</formula>
    </cfRule>
    <cfRule type="cellIs" dxfId="1353" priority="1020" operator="equal">
      <formula>"Yes"</formula>
    </cfRule>
  </conditionalFormatting>
  <conditionalFormatting sqref="S6">
    <cfRule type="cellIs" dxfId="1352" priority="1015" operator="equal">
      <formula>"No"</formula>
    </cfRule>
    <cfRule type="cellIs" dxfId="1351" priority="1016" operator="equal">
      <formula>"NA"</formula>
    </cfRule>
    <cfRule type="cellIs" dxfId="1350" priority="1017" operator="equal">
      <formula>"Yes"</formula>
    </cfRule>
  </conditionalFormatting>
  <conditionalFormatting sqref="S7">
    <cfRule type="cellIs" dxfId="1349" priority="1012" operator="equal">
      <formula>"No"</formula>
    </cfRule>
    <cfRule type="cellIs" dxfId="1348" priority="1013" operator="equal">
      <formula>"NA"</formula>
    </cfRule>
    <cfRule type="cellIs" dxfId="1347" priority="1014" operator="equal">
      <formula>"Yes"</formula>
    </cfRule>
  </conditionalFormatting>
  <conditionalFormatting sqref="S25">
    <cfRule type="cellIs" dxfId="1346" priority="1009" operator="equal">
      <formula>"No"</formula>
    </cfRule>
    <cfRule type="cellIs" dxfId="1345" priority="1010" operator="equal">
      <formula>"NA"</formula>
    </cfRule>
    <cfRule type="cellIs" dxfId="1344" priority="1011" operator="equal">
      <formula>"Yes"</formula>
    </cfRule>
  </conditionalFormatting>
  <conditionalFormatting sqref="T11">
    <cfRule type="cellIs" dxfId="1343" priority="1006" operator="equal">
      <formula>"No"</formula>
    </cfRule>
    <cfRule type="cellIs" dxfId="1342" priority="1007" operator="equal">
      <formula>"NA"</formula>
    </cfRule>
    <cfRule type="cellIs" dxfId="1341" priority="1008" operator="equal">
      <formula>"Yes"</formula>
    </cfRule>
  </conditionalFormatting>
  <conditionalFormatting sqref="T12">
    <cfRule type="cellIs" dxfId="1340" priority="1003" operator="equal">
      <formula>"No"</formula>
    </cfRule>
    <cfRule type="cellIs" dxfId="1339" priority="1004" operator="equal">
      <formula>"NA"</formula>
    </cfRule>
    <cfRule type="cellIs" dxfId="1338" priority="1005" operator="equal">
      <formula>"Yes"</formula>
    </cfRule>
  </conditionalFormatting>
  <conditionalFormatting sqref="T13">
    <cfRule type="cellIs" dxfId="1337" priority="1000" operator="equal">
      <formula>"No"</formula>
    </cfRule>
    <cfRule type="cellIs" dxfId="1336" priority="1001" operator="equal">
      <formula>"NA"</formula>
    </cfRule>
    <cfRule type="cellIs" dxfId="1335" priority="1002" operator="equal">
      <formula>"Yes"</formula>
    </cfRule>
  </conditionalFormatting>
  <conditionalFormatting sqref="T14">
    <cfRule type="cellIs" dxfId="1334" priority="997" operator="equal">
      <formula>"No"</formula>
    </cfRule>
    <cfRule type="cellIs" dxfId="1333" priority="998" operator="equal">
      <formula>"NA"</formula>
    </cfRule>
    <cfRule type="cellIs" dxfId="1332" priority="999" operator="equal">
      <formula>"Yes"</formula>
    </cfRule>
  </conditionalFormatting>
  <conditionalFormatting sqref="T18">
    <cfRule type="cellIs" dxfId="1331" priority="994" operator="equal">
      <formula>"No"</formula>
    </cfRule>
    <cfRule type="cellIs" dxfId="1330" priority="995" operator="equal">
      <formula>"NA"</formula>
    </cfRule>
    <cfRule type="cellIs" dxfId="1329" priority="996" operator="equal">
      <formula>"Yes"</formula>
    </cfRule>
  </conditionalFormatting>
  <conditionalFormatting sqref="T19">
    <cfRule type="cellIs" dxfId="1328" priority="991" operator="equal">
      <formula>"No"</formula>
    </cfRule>
    <cfRule type="cellIs" dxfId="1327" priority="992" operator="equal">
      <formula>"NA"</formula>
    </cfRule>
    <cfRule type="cellIs" dxfId="1326" priority="993" operator="equal">
      <formula>"Yes"</formula>
    </cfRule>
  </conditionalFormatting>
  <conditionalFormatting sqref="T20">
    <cfRule type="cellIs" dxfId="1325" priority="988" operator="equal">
      <formula>"No"</formula>
    </cfRule>
    <cfRule type="cellIs" dxfId="1324" priority="989" operator="equal">
      <formula>"NA"</formula>
    </cfRule>
    <cfRule type="cellIs" dxfId="1323" priority="990" operator="equal">
      <formula>"Yes"</formula>
    </cfRule>
  </conditionalFormatting>
  <conditionalFormatting sqref="T21">
    <cfRule type="cellIs" dxfId="1322" priority="985" operator="equal">
      <formula>"No"</formula>
    </cfRule>
    <cfRule type="cellIs" dxfId="1321" priority="986" operator="equal">
      <formula>"NA"</formula>
    </cfRule>
    <cfRule type="cellIs" dxfId="1320" priority="987" operator="equal">
      <formula>"Yes"</formula>
    </cfRule>
  </conditionalFormatting>
  <conditionalFormatting sqref="T22">
    <cfRule type="cellIs" dxfId="1319" priority="982" operator="equal">
      <formula>"No"</formula>
    </cfRule>
    <cfRule type="cellIs" dxfId="1318" priority="983" operator="equal">
      <formula>"NA"</formula>
    </cfRule>
    <cfRule type="cellIs" dxfId="1317" priority="984" operator="equal">
      <formula>"Yes"</formula>
    </cfRule>
  </conditionalFormatting>
  <conditionalFormatting sqref="T23">
    <cfRule type="cellIs" dxfId="1316" priority="979" operator="equal">
      <formula>"No"</formula>
    </cfRule>
    <cfRule type="cellIs" dxfId="1315" priority="980" operator="equal">
      <formula>"NA"</formula>
    </cfRule>
    <cfRule type="cellIs" dxfId="1314" priority="981" operator="equal">
      <formula>"Yes"</formula>
    </cfRule>
  </conditionalFormatting>
  <conditionalFormatting sqref="T26">
    <cfRule type="cellIs" dxfId="1313" priority="976" operator="equal">
      <formula>"No"</formula>
    </cfRule>
    <cfRule type="cellIs" dxfId="1312" priority="977" operator="equal">
      <formula>"NA"</formula>
    </cfRule>
    <cfRule type="cellIs" dxfId="1311" priority="978" operator="equal">
      <formula>"Yes"</formula>
    </cfRule>
  </conditionalFormatting>
  <conditionalFormatting sqref="T27">
    <cfRule type="cellIs" dxfId="1310" priority="973" operator="equal">
      <formula>"No"</formula>
    </cfRule>
    <cfRule type="cellIs" dxfId="1309" priority="974" operator="equal">
      <formula>"NA"</formula>
    </cfRule>
    <cfRule type="cellIs" dxfId="1308" priority="975" operator="equal">
      <formula>"Yes"</formula>
    </cfRule>
  </conditionalFormatting>
  <conditionalFormatting sqref="T28">
    <cfRule type="cellIs" dxfId="1307" priority="970" operator="equal">
      <formula>"No"</formula>
    </cfRule>
    <cfRule type="cellIs" dxfId="1306" priority="971" operator="equal">
      <formula>"NA"</formula>
    </cfRule>
    <cfRule type="cellIs" dxfId="1305" priority="972" operator="equal">
      <formula>"Yes"</formula>
    </cfRule>
  </conditionalFormatting>
  <conditionalFormatting sqref="T30">
    <cfRule type="cellIs" dxfId="1304" priority="967" operator="equal">
      <formula>"No"</formula>
    </cfRule>
    <cfRule type="cellIs" dxfId="1303" priority="968" operator="equal">
      <formula>"NA"</formula>
    </cfRule>
    <cfRule type="cellIs" dxfId="1302" priority="969" operator="equal">
      <formula>"Yes"</formula>
    </cfRule>
  </conditionalFormatting>
  <conditionalFormatting sqref="T31">
    <cfRule type="cellIs" dxfId="1301" priority="964" operator="equal">
      <formula>"No"</formula>
    </cfRule>
    <cfRule type="cellIs" dxfId="1300" priority="965" operator="equal">
      <formula>"NA"</formula>
    </cfRule>
    <cfRule type="cellIs" dxfId="1299" priority="966" operator="equal">
      <formula>"Yes"</formula>
    </cfRule>
  </conditionalFormatting>
  <conditionalFormatting sqref="T33">
    <cfRule type="cellIs" dxfId="1298" priority="961" operator="equal">
      <formula>"No"</formula>
    </cfRule>
    <cfRule type="cellIs" dxfId="1297" priority="962" operator="equal">
      <formula>"NA"</formula>
    </cfRule>
    <cfRule type="cellIs" dxfId="1296" priority="963" operator="equal">
      <formula>"Yes"</formula>
    </cfRule>
  </conditionalFormatting>
  <conditionalFormatting sqref="T15">
    <cfRule type="cellIs" dxfId="1295" priority="958" operator="equal">
      <formula>"No"</formula>
    </cfRule>
    <cfRule type="cellIs" dxfId="1294" priority="959" operator="equal">
      <formula>"NA"</formula>
    </cfRule>
    <cfRule type="cellIs" dxfId="1293" priority="960" operator="equal">
      <formula>"Yes"</formula>
    </cfRule>
  </conditionalFormatting>
  <conditionalFormatting sqref="T16">
    <cfRule type="cellIs" dxfId="1292" priority="955" operator="equal">
      <formula>"No"</formula>
    </cfRule>
    <cfRule type="cellIs" dxfId="1291" priority="956" operator="equal">
      <formula>"NA"</formula>
    </cfRule>
    <cfRule type="cellIs" dxfId="1290" priority="957" operator="equal">
      <formula>"Yes"</formula>
    </cfRule>
  </conditionalFormatting>
  <conditionalFormatting sqref="T17">
    <cfRule type="cellIs" dxfId="1289" priority="952" operator="equal">
      <formula>"No"</formula>
    </cfRule>
    <cfRule type="cellIs" dxfId="1288" priority="953" operator="equal">
      <formula>"NA"</formula>
    </cfRule>
    <cfRule type="cellIs" dxfId="1287" priority="954" operator="equal">
      <formula>"Yes"</formula>
    </cfRule>
  </conditionalFormatting>
  <conditionalFormatting sqref="T6">
    <cfRule type="cellIs" dxfId="1286" priority="949" operator="equal">
      <formula>"No"</formula>
    </cfRule>
    <cfRule type="cellIs" dxfId="1285" priority="950" operator="equal">
      <formula>"NA"</formula>
    </cfRule>
    <cfRule type="cellIs" dxfId="1284" priority="951" operator="equal">
      <formula>"Yes"</formula>
    </cfRule>
  </conditionalFormatting>
  <conditionalFormatting sqref="T7">
    <cfRule type="cellIs" dxfId="1283" priority="946" operator="equal">
      <formula>"No"</formula>
    </cfRule>
    <cfRule type="cellIs" dxfId="1282" priority="947" operator="equal">
      <formula>"NA"</formula>
    </cfRule>
    <cfRule type="cellIs" dxfId="1281" priority="948" operator="equal">
      <formula>"Yes"</formula>
    </cfRule>
  </conditionalFormatting>
  <conditionalFormatting sqref="T10">
    <cfRule type="cellIs" dxfId="1280" priority="943" operator="equal">
      <formula>"No"</formula>
    </cfRule>
    <cfRule type="cellIs" dxfId="1279" priority="944" operator="equal">
      <formula>"NA"</formula>
    </cfRule>
    <cfRule type="cellIs" dxfId="1278" priority="945" operator="equal">
      <formula>"Yes"</formula>
    </cfRule>
  </conditionalFormatting>
  <conditionalFormatting sqref="T9">
    <cfRule type="cellIs" dxfId="1277" priority="940" operator="equal">
      <formula>"No"</formula>
    </cfRule>
    <cfRule type="cellIs" dxfId="1276" priority="941" operator="equal">
      <formula>"NA"</formula>
    </cfRule>
    <cfRule type="cellIs" dxfId="1275" priority="942" operator="equal">
      <formula>"Yes"</formula>
    </cfRule>
  </conditionalFormatting>
  <conditionalFormatting sqref="T25">
    <cfRule type="cellIs" dxfId="1274" priority="937" operator="equal">
      <formula>"No"</formula>
    </cfRule>
    <cfRule type="cellIs" dxfId="1273" priority="938" operator="equal">
      <formula>"NA"</formula>
    </cfRule>
    <cfRule type="cellIs" dxfId="1272" priority="939" operator="equal">
      <formula>"Yes"</formula>
    </cfRule>
  </conditionalFormatting>
  <conditionalFormatting sqref="U11">
    <cfRule type="cellIs" dxfId="1271" priority="934" operator="equal">
      <formula>"No"</formula>
    </cfRule>
    <cfRule type="cellIs" dxfId="1270" priority="935" operator="equal">
      <formula>"NA"</formula>
    </cfRule>
    <cfRule type="cellIs" dxfId="1269" priority="936" operator="equal">
      <formula>"Yes"</formula>
    </cfRule>
  </conditionalFormatting>
  <conditionalFormatting sqref="U12">
    <cfRule type="cellIs" dxfId="1268" priority="931" operator="equal">
      <formula>"No"</formula>
    </cfRule>
    <cfRule type="cellIs" dxfId="1267" priority="932" operator="equal">
      <formula>"NA"</formula>
    </cfRule>
    <cfRule type="cellIs" dxfId="1266" priority="933" operator="equal">
      <formula>"Yes"</formula>
    </cfRule>
  </conditionalFormatting>
  <conditionalFormatting sqref="U13">
    <cfRule type="cellIs" dxfId="1265" priority="928" operator="equal">
      <formula>"No"</formula>
    </cfRule>
    <cfRule type="cellIs" dxfId="1264" priority="929" operator="equal">
      <formula>"NA"</formula>
    </cfRule>
    <cfRule type="cellIs" dxfId="1263" priority="930" operator="equal">
      <formula>"Yes"</formula>
    </cfRule>
  </conditionalFormatting>
  <conditionalFormatting sqref="U14">
    <cfRule type="cellIs" dxfId="1262" priority="925" operator="equal">
      <formula>"No"</formula>
    </cfRule>
    <cfRule type="cellIs" dxfId="1261" priority="926" operator="equal">
      <formula>"NA"</formula>
    </cfRule>
    <cfRule type="cellIs" dxfId="1260" priority="927" operator="equal">
      <formula>"Yes"</formula>
    </cfRule>
  </conditionalFormatting>
  <conditionalFormatting sqref="U18">
    <cfRule type="cellIs" dxfId="1259" priority="922" operator="equal">
      <formula>"No"</formula>
    </cfRule>
    <cfRule type="cellIs" dxfId="1258" priority="923" operator="equal">
      <formula>"NA"</formula>
    </cfRule>
    <cfRule type="cellIs" dxfId="1257" priority="924" operator="equal">
      <formula>"Yes"</formula>
    </cfRule>
  </conditionalFormatting>
  <conditionalFormatting sqref="U19">
    <cfRule type="cellIs" dxfId="1256" priority="919" operator="equal">
      <formula>"No"</formula>
    </cfRule>
    <cfRule type="cellIs" dxfId="1255" priority="920" operator="equal">
      <formula>"NA"</formula>
    </cfRule>
    <cfRule type="cellIs" dxfId="1254" priority="921" operator="equal">
      <formula>"Yes"</formula>
    </cfRule>
  </conditionalFormatting>
  <conditionalFormatting sqref="U20">
    <cfRule type="cellIs" dxfId="1253" priority="916" operator="equal">
      <formula>"No"</formula>
    </cfRule>
    <cfRule type="cellIs" dxfId="1252" priority="917" operator="equal">
      <formula>"NA"</formula>
    </cfRule>
    <cfRule type="cellIs" dxfId="1251" priority="918" operator="equal">
      <formula>"Yes"</formula>
    </cfRule>
  </conditionalFormatting>
  <conditionalFormatting sqref="U21">
    <cfRule type="cellIs" dxfId="1250" priority="913" operator="equal">
      <formula>"No"</formula>
    </cfRule>
    <cfRule type="cellIs" dxfId="1249" priority="914" operator="equal">
      <formula>"NA"</formula>
    </cfRule>
    <cfRule type="cellIs" dxfId="1248" priority="915" operator="equal">
      <formula>"Yes"</formula>
    </cfRule>
  </conditionalFormatting>
  <conditionalFormatting sqref="U22">
    <cfRule type="cellIs" dxfId="1247" priority="910" operator="equal">
      <formula>"No"</formula>
    </cfRule>
    <cfRule type="cellIs" dxfId="1246" priority="911" operator="equal">
      <formula>"NA"</formula>
    </cfRule>
    <cfRule type="cellIs" dxfId="1245" priority="912" operator="equal">
      <formula>"Yes"</formula>
    </cfRule>
  </conditionalFormatting>
  <conditionalFormatting sqref="U23">
    <cfRule type="cellIs" dxfId="1244" priority="907" operator="equal">
      <formula>"No"</formula>
    </cfRule>
    <cfRule type="cellIs" dxfId="1243" priority="908" operator="equal">
      <formula>"NA"</formula>
    </cfRule>
    <cfRule type="cellIs" dxfId="1242" priority="909" operator="equal">
      <formula>"Yes"</formula>
    </cfRule>
  </conditionalFormatting>
  <conditionalFormatting sqref="U26">
    <cfRule type="cellIs" dxfId="1241" priority="904" operator="equal">
      <formula>"No"</formula>
    </cfRule>
    <cfRule type="cellIs" dxfId="1240" priority="905" operator="equal">
      <formula>"NA"</formula>
    </cfRule>
    <cfRule type="cellIs" dxfId="1239" priority="906" operator="equal">
      <formula>"Yes"</formula>
    </cfRule>
  </conditionalFormatting>
  <conditionalFormatting sqref="U27">
    <cfRule type="cellIs" dxfId="1238" priority="901" operator="equal">
      <formula>"No"</formula>
    </cfRule>
    <cfRule type="cellIs" dxfId="1237" priority="902" operator="equal">
      <formula>"NA"</formula>
    </cfRule>
    <cfRule type="cellIs" dxfId="1236" priority="903" operator="equal">
      <formula>"Yes"</formula>
    </cfRule>
  </conditionalFormatting>
  <conditionalFormatting sqref="U28">
    <cfRule type="cellIs" dxfId="1235" priority="898" operator="equal">
      <formula>"No"</formula>
    </cfRule>
    <cfRule type="cellIs" dxfId="1234" priority="899" operator="equal">
      <formula>"NA"</formula>
    </cfRule>
    <cfRule type="cellIs" dxfId="1233" priority="900" operator="equal">
      <formula>"Yes"</formula>
    </cfRule>
  </conditionalFormatting>
  <conditionalFormatting sqref="U30">
    <cfRule type="cellIs" dxfId="1232" priority="895" operator="equal">
      <formula>"No"</formula>
    </cfRule>
    <cfRule type="cellIs" dxfId="1231" priority="896" operator="equal">
      <formula>"NA"</formula>
    </cfRule>
    <cfRule type="cellIs" dxfId="1230" priority="897" operator="equal">
      <formula>"Yes"</formula>
    </cfRule>
  </conditionalFormatting>
  <conditionalFormatting sqref="U31">
    <cfRule type="cellIs" dxfId="1229" priority="892" operator="equal">
      <formula>"No"</formula>
    </cfRule>
    <cfRule type="cellIs" dxfId="1228" priority="893" operator="equal">
      <formula>"NA"</formula>
    </cfRule>
    <cfRule type="cellIs" dxfId="1227" priority="894" operator="equal">
      <formula>"Yes"</formula>
    </cfRule>
  </conditionalFormatting>
  <conditionalFormatting sqref="U33">
    <cfRule type="cellIs" dxfId="1226" priority="889" operator="equal">
      <formula>"No"</formula>
    </cfRule>
    <cfRule type="cellIs" dxfId="1225" priority="890" operator="equal">
      <formula>"NA"</formula>
    </cfRule>
    <cfRule type="cellIs" dxfId="1224" priority="891" operator="equal">
      <formula>"Yes"</formula>
    </cfRule>
  </conditionalFormatting>
  <conditionalFormatting sqref="U15">
    <cfRule type="cellIs" dxfId="1223" priority="886" operator="equal">
      <formula>"No"</formula>
    </cfRule>
    <cfRule type="cellIs" dxfId="1222" priority="887" operator="equal">
      <formula>"NA"</formula>
    </cfRule>
    <cfRule type="cellIs" dxfId="1221" priority="888" operator="equal">
      <formula>"Yes"</formula>
    </cfRule>
  </conditionalFormatting>
  <conditionalFormatting sqref="U16">
    <cfRule type="cellIs" dxfId="1220" priority="883" operator="equal">
      <formula>"No"</formula>
    </cfRule>
    <cfRule type="cellIs" dxfId="1219" priority="884" operator="equal">
      <formula>"NA"</formula>
    </cfRule>
    <cfRule type="cellIs" dxfId="1218" priority="885" operator="equal">
      <formula>"Yes"</formula>
    </cfRule>
  </conditionalFormatting>
  <conditionalFormatting sqref="U17">
    <cfRule type="cellIs" dxfId="1217" priority="880" operator="equal">
      <formula>"No"</formula>
    </cfRule>
    <cfRule type="cellIs" dxfId="1216" priority="881" operator="equal">
      <formula>"NA"</formula>
    </cfRule>
    <cfRule type="cellIs" dxfId="1215" priority="882" operator="equal">
      <formula>"Yes"</formula>
    </cfRule>
  </conditionalFormatting>
  <conditionalFormatting sqref="U6">
    <cfRule type="cellIs" dxfId="1214" priority="877" operator="equal">
      <formula>"No"</formula>
    </cfRule>
    <cfRule type="cellIs" dxfId="1213" priority="878" operator="equal">
      <formula>"NA"</formula>
    </cfRule>
    <cfRule type="cellIs" dxfId="1212" priority="879" operator="equal">
      <formula>"Yes"</formula>
    </cfRule>
  </conditionalFormatting>
  <conditionalFormatting sqref="U7">
    <cfRule type="cellIs" dxfId="1211" priority="874" operator="equal">
      <formula>"No"</formula>
    </cfRule>
    <cfRule type="cellIs" dxfId="1210" priority="875" operator="equal">
      <formula>"NA"</formula>
    </cfRule>
    <cfRule type="cellIs" dxfId="1209" priority="876" operator="equal">
      <formula>"Yes"</formula>
    </cfRule>
  </conditionalFormatting>
  <conditionalFormatting sqref="U10">
    <cfRule type="cellIs" dxfId="1208" priority="871" operator="equal">
      <formula>"No"</formula>
    </cfRule>
    <cfRule type="cellIs" dxfId="1207" priority="872" operator="equal">
      <formula>"NA"</formula>
    </cfRule>
    <cfRule type="cellIs" dxfId="1206" priority="873" operator="equal">
      <formula>"Yes"</formula>
    </cfRule>
  </conditionalFormatting>
  <conditionalFormatting sqref="U9">
    <cfRule type="cellIs" dxfId="1205" priority="868" operator="equal">
      <formula>"No"</formula>
    </cfRule>
    <cfRule type="cellIs" dxfId="1204" priority="869" operator="equal">
      <formula>"NA"</formula>
    </cfRule>
    <cfRule type="cellIs" dxfId="1203" priority="870" operator="equal">
      <formula>"Yes"</formula>
    </cfRule>
  </conditionalFormatting>
  <conditionalFormatting sqref="U25">
    <cfRule type="cellIs" dxfId="1202" priority="865" operator="equal">
      <formula>"No"</formula>
    </cfRule>
    <cfRule type="cellIs" dxfId="1201" priority="866" operator="equal">
      <formula>"NA"</formula>
    </cfRule>
    <cfRule type="cellIs" dxfId="1200" priority="867" operator="equal">
      <formula>"Yes"</formula>
    </cfRule>
  </conditionalFormatting>
  <conditionalFormatting sqref="V9">
    <cfRule type="cellIs" dxfId="1199" priority="862" operator="equal">
      <formula>"No"</formula>
    </cfRule>
    <cfRule type="cellIs" dxfId="1198" priority="863" operator="equal">
      <formula>"NA"</formula>
    </cfRule>
    <cfRule type="cellIs" dxfId="1197" priority="864" operator="equal">
      <formula>"Yes"</formula>
    </cfRule>
  </conditionalFormatting>
  <conditionalFormatting sqref="V11">
    <cfRule type="cellIs" dxfId="1196" priority="859" operator="equal">
      <formula>"No"</formula>
    </cfRule>
    <cfRule type="cellIs" dxfId="1195" priority="860" operator="equal">
      <formula>"NA"</formula>
    </cfRule>
    <cfRule type="cellIs" dxfId="1194" priority="861" operator="equal">
      <formula>"Yes"</formula>
    </cfRule>
  </conditionalFormatting>
  <conditionalFormatting sqref="V12">
    <cfRule type="cellIs" dxfId="1193" priority="856" operator="equal">
      <formula>"No"</formula>
    </cfRule>
    <cfRule type="cellIs" dxfId="1192" priority="857" operator="equal">
      <formula>"NA"</formula>
    </cfRule>
    <cfRule type="cellIs" dxfId="1191" priority="858" operator="equal">
      <formula>"Yes"</formula>
    </cfRule>
  </conditionalFormatting>
  <conditionalFormatting sqref="V13">
    <cfRule type="cellIs" dxfId="1190" priority="853" operator="equal">
      <formula>"No"</formula>
    </cfRule>
    <cfRule type="cellIs" dxfId="1189" priority="854" operator="equal">
      <formula>"NA"</formula>
    </cfRule>
    <cfRule type="cellIs" dxfId="1188" priority="855" operator="equal">
      <formula>"Yes"</formula>
    </cfRule>
  </conditionalFormatting>
  <conditionalFormatting sqref="V14">
    <cfRule type="cellIs" dxfId="1187" priority="850" operator="equal">
      <formula>"No"</formula>
    </cfRule>
    <cfRule type="cellIs" dxfId="1186" priority="851" operator="equal">
      <formula>"NA"</formula>
    </cfRule>
    <cfRule type="cellIs" dxfId="1185" priority="852" operator="equal">
      <formula>"Yes"</formula>
    </cfRule>
  </conditionalFormatting>
  <conditionalFormatting sqref="V15">
    <cfRule type="cellIs" dxfId="1184" priority="847" operator="equal">
      <formula>"No"</formula>
    </cfRule>
    <cfRule type="cellIs" dxfId="1183" priority="848" operator="equal">
      <formula>"NA"</formula>
    </cfRule>
    <cfRule type="cellIs" dxfId="1182" priority="849" operator="equal">
      <formula>"Yes"</formula>
    </cfRule>
  </conditionalFormatting>
  <conditionalFormatting sqref="V16">
    <cfRule type="cellIs" dxfId="1181" priority="844" operator="equal">
      <formula>"No"</formula>
    </cfRule>
    <cfRule type="cellIs" dxfId="1180" priority="845" operator="equal">
      <formula>"NA"</formula>
    </cfRule>
    <cfRule type="cellIs" dxfId="1179" priority="846" operator="equal">
      <formula>"Yes"</formula>
    </cfRule>
  </conditionalFormatting>
  <conditionalFormatting sqref="V17">
    <cfRule type="cellIs" dxfId="1178" priority="841" operator="equal">
      <formula>"No"</formula>
    </cfRule>
    <cfRule type="cellIs" dxfId="1177" priority="842" operator="equal">
      <formula>"NA"</formula>
    </cfRule>
    <cfRule type="cellIs" dxfId="1176" priority="843" operator="equal">
      <formula>"Yes"</formula>
    </cfRule>
  </conditionalFormatting>
  <conditionalFormatting sqref="V18">
    <cfRule type="cellIs" dxfId="1175" priority="838" operator="equal">
      <formula>"No"</formula>
    </cfRule>
    <cfRule type="cellIs" dxfId="1174" priority="839" operator="equal">
      <formula>"NA"</formula>
    </cfRule>
    <cfRule type="cellIs" dxfId="1173" priority="840" operator="equal">
      <formula>"Yes"</formula>
    </cfRule>
  </conditionalFormatting>
  <conditionalFormatting sqref="V19">
    <cfRule type="cellIs" dxfId="1172" priority="835" operator="equal">
      <formula>"No"</formula>
    </cfRule>
    <cfRule type="cellIs" dxfId="1171" priority="836" operator="equal">
      <formula>"NA"</formula>
    </cfRule>
    <cfRule type="cellIs" dxfId="1170" priority="837" operator="equal">
      <formula>"Yes"</formula>
    </cfRule>
  </conditionalFormatting>
  <conditionalFormatting sqref="V20">
    <cfRule type="cellIs" dxfId="1169" priority="832" operator="equal">
      <formula>"No"</formula>
    </cfRule>
    <cfRule type="cellIs" dxfId="1168" priority="833" operator="equal">
      <formula>"NA"</formula>
    </cfRule>
    <cfRule type="cellIs" dxfId="1167" priority="834" operator="equal">
      <formula>"Yes"</formula>
    </cfRule>
  </conditionalFormatting>
  <conditionalFormatting sqref="V21">
    <cfRule type="cellIs" dxfId="1166" priority="829" operator="equal">
      <formula>"No"</formula>
    </cfRule>
    <cfRule type="cellIs" dxfId="1165" priority="830" operator="equal">
      <formula>"NA"</formula>
    </cfRule>
    <cfRule type="cellIs" dxfId="1164" priority="831" operator="equal">
      <formula>"Yes"</formula>
    </cfRule>
  </conditionalFormatting>
  <conditionalFormatting sqref="V22">
    <cfRule type="cellIs" dxfId="1163" priority="826" operator="equal">
      <formula>"No"</formula>
    </cfRule>
    <cfRule type="cellIs" dxfId="1162" priority="827" operator="equal">
      <formula>"NA"</formula>
    </cfRule>
    <cfRule type="cellIs" dxfId="1161" priority="828" operator="equal">
      <formula>"Yes"</formula>
    </cfRule>
  </conditionalFormatting>
  <conditionalFormatting sqref="V23">
    <cfRule type="cellIs" dxfId="1160" priority="823" operator="equal">
      <formula>"No"</formula>
    </cfRule>
    <cfRule type="cellIs" dxfId="1159" priority="824" operator="equal">
      <formula>"NA"</formula>
    </cfRule>
    <cfRule type="cellIs" dxfId="1158" priority="825" operator="equal">
      <formula>"Yes"</formula>
    </cfRule>
  </conditionalFormatting>
  <conditionalFormatting sqref="V26">
    <cfRule type="cellIs" dxfId="1157" priority="820" operator="equal">
      <formula>"No"</formula>
    </cfRule>
    <cfRule type="cellIs" dxfId="1156" priority="821" operator="equal">
      <formula>"NA"</formula>
    </cfRule>
    <cfRule type="cellIs" dxfId="1155" priority="822" operator="equal">
      <formula>"Yes"</formula>
    </cfRule>
  </conditionalFormatting>
  <conditionalFormatting sqref="V27">
    <cfRule type="cellIs" dxfId="1154" priority="817" operator="equal">
      <formula>"No"</formula>
    </cfRule>
    <cfRule type="cellIs" dxfId="1153" priority="818" operator="equal">
      <formula>"NA"</formula>
    </cfRule>
    <cfRule type="cellIs" dxfId="1152" priority="819" operator="equal">
      <formula>"Yes"</formula>
    </cfRule>
  </conditionalFormatting>
  <conditionalFormatting sqref="V28">
    <cfRule type="cellIs" dxfId="1151" priority="814" operator="equal">
      <formula>"No"</formula>
    </cfRule>
    <cfRule type="cellIs" dxfId="1150" priority="815" operator="equal">
      <formula>"NA"</formula>
    </cfRule>
    <cfRule type="cellIs" dxfId="1149" priority="816" operator="equal">
      <formula>"Yes"</formula>
    </cfRule>
  </conditionalFormatting>
  <conditionalFormatting sqref="V30">
    <cfRule type="cellIs" dxfId="1148" priority="811" operator="equal">
      <formula>"No"</formula>
    </cfRule>
    <cfRule type="cellIs" dxfId="1147" priority="812" operator="equal">
      <formula>"NA"</formula>
    </cfRule>
    <cfRule type="cellIs" dxfId="1146" priority="813" operator="equal">
      <formula>"Yes"</formula>
    </cfRule>
  </conditionalFormatting>
  <conditionalFormatting sqref="V31">
    <cfRule type="cellIs" dxfId="1145" priority="808" operator="equal">
      <formula>"No"</formula>
    </cfRule>
    <cfRule type="cellIs" dxfId="1144" priority="809" operator="equal">
      <formula>"NA"</formula>
    </cfRule>
    <cfRule type="cellIs" dxfId="1143" priority="810" operator="equal">
      <formula>"Yes"</formula>
    </cfRule>
  </conditionalFormatting>
  <conditionalFormatting sqref="V33">
    <cfRule type="cellIs" dxfId="1142" priority="805" operator="equal">
      <formula>"No"</formula>
    </cfRule>
    <cfRule type="cellIs" dxfId="1141" priority="806" operator="equal">
      <formula>"NA"</formula>
    </cfRule>
    <cfRule type="cellIs" dxfId="1140" priority="807" operator="equal">
      <formula>"Yes"</formula>
    </cfRule>
  </conditionalFormatting>
  <conditionalFormatting sqref="V6">
    <cfRule type="cellIs" dxfId="1139" priority="802" operator="equal">
      <formula>"No"</formula>
    </cfRule>
    <cfRule type="cellIs" dxfId="1138" priority="803" operator="equal">
      <formula>"NA"</formula>
    </cfRule>
    <cfRule type="cellIs" dxfId="1137" priority="804" operator="equal">
      <formula>"Yes"</formula>
    </cfRule>
  </conditionalFormatting>
  <conditionalFormatting sqref="V7">
    <cfRule type="cellIs" dxfId="1136" priority="799" operator="equal">
      <formula>"No"</formula>
    </cfRule>
    <cfRule type="cellIs" dxfId="1135" priority="800" operator="equal">
      <formula>"NA"</formula>
    </cfRule>
    <cfRule type="cellIs" dxfId="1134" priority="801" operator="equal">
      <formula>"Yes"</formula>
    </cfRule>
  </conditionalFormatting>
  <conditionalFormatting sqref="V10">
    <cfRule type="cellIs" dxfId="1133" priority="796" operator="equal">
      <formula>"No"</formula>
    </cfRule>
    <cfRule type="cellIs" dxfId="1132" priority="797" operator="equal">
      <formula>"NA"</formula>
    </cfRule>
    <cfRule type="cellIs" dxfId="1131" priority="798" operator="equal">
      <formula>"Yes"</formula>
    </cfRule>
  </conditionalFormatting>
  <conditionalFormatting sqref="V25">
    <cfRule type="cellIs" dxfId="1130" priority="793" operator="equal">
      <formula>"No"</formula>
    </cfRule>
    <cfRule type="cellIs" dxfId="1129" priority="794" operator="equal">
      <formula>"NA"</formula>
    </cfRule>
    <cfRule type="cellIs" dxfId="1128" priority="795" operator="equal">
      <formula>"Yes"</formula>
    </cfRule>
  </conditionalFormatting>
  <conditionalFormatting sqref="W9:AA9">
    <cfRule type="cellIs" dxfId="1127" priority="790" operator="equal">
      <formula>"No"</formula>
    </cfRule>
    <cfRule type="cellIs" dxfId="1126" priority="791" operator="equal">
      <formula>"NA"</formula>
    </cfRule>
    <cfRule type="cellIs" dxfId="1125" priority="792" operator="equal">
      <formula>"Yes"</formula>
    </cfRule>
  </conditionalFormatting>
  <conditionalFormatting sqref="W11:AA11">
    <cfRule type="cellIs" dxfId="1124" priority="787" operator="equal">
      <formula>"No"</formula>
    </cfRule>
    <cfRule type="cellIs" dxfId="1123" priority="788" operator="equal">
      <formula>"NA"</formula>
    </cfRule>
    <cfRule type="cellIs" dxfId="1122" priority="789" operator="equal">
      <formula>"Yes"</formula>
    </cfRule>
  </conditionalFormatting>
  <conditionalFormatting sqref="W12:AA12">
    <cfRule type="cellIs" dxfId="1121" priority="784" operator="equal">
      <formula>"No"</formula>
    </cfRule>
    <cfRule type="cellIs" dxfId="1120" priority="785" operator="equal">
      <formula>"NA"</formula>
    </cfRule>
    <cfRule type="cellIs" dxfId="1119" priority="786" operator="equal">
      <formula>"Yes"</formula>
    </cfRule>
  </conditionalFormatting>
  <conditionalFormatting sqref="W13:AA13">
    <cfRule type="cellIs" dxfId="1118" priority="781" operator="equal">
      <formula>"No"</formula>
    </cfRule>
    <cfRule type="cellIs" dxfId="1117" priority="782" operator="equal">
      <formula>"NA"</formula>
    </cfRule>
    <cfRule type="cellIs" dxfId="1116" priority="783" operator="equal">
      <formula>"Yes"</formula>
    </cfRule>
  </conditionalFormatting>
  <conditionalFormatting sqref="W14:AA14">
    <cfRule type="cellIs" dxfId="1115" priority="778" operator="equal">
      <formula>"No"</formula>
    </cfRule>
    <cfRule type="cellIs" dxfId="1114" priority="779" operator="equal">
      <formula>"NA"</formula>
    </cfRule>
    <cfRule type="cellIs" dxfId="1113" priority="780" operator="equal">
      <formula>"Yes"</formula>
    </cfRule>
  </conditionalFormatting>
  <conditionalFormatting sqref="W15:AA15">
    <cfRule type="cellIs" dxfId="1112" priority="775" operator="equal">
      <formula>"No"</formula>
    </cfRule>
    <cfRule type="cellIs" dxfId="1111" priority="776" operator="equal">
      <formula>"NA"</formula>
    </cfRule>
    <cfRule type="cellIs" dxfId="1110" priority="777" operator="equal">
      <formula>"Yes"</formula>
    </cfRule>
  </conditionalFormatting>
  <conditionalFormatting sqref="W16:AA16">
    <cfRule type="cellIs" dxfId="1109" priority="772" operator="equal">
      <formula>"No"</formula>
    </cfRule>
    <cfRule type="cellIs" dxfId="1108" priority="773" operator="equal">
      <formula>"NA"</formula>
    </cfRule>
    <cfRule type="cellIs" dxfId="1107" priority="774" operator="equal">
      <formula>"Yes"</formula>
    </cfRule>
  </conditionalFormatting>
  <conditionalFormatting sqref="W17:AA17">
    <cfRule type="cellIs" dxfId="1106" priority="769" operator="equal">
      <formula>"No"</formula>
    </cfRule>
    <cfRule type="cellIs" dxfId="1105" priority="770" operator="equal">
      <formula>"NA"</formula>
    </cfRule>
    <cfRule type="cellIs" dxfId="1104" priority="771" operator="equal">
      <formula>"Yes"</formula>
    </cfRule>
  </conditionalFormatting>
  <conditionalFormatting sqref="W18:AA18">
    <cfRule type="cellIs" dxfId="1103" priority="766" operator="equal">
      <formula>"No"</formula>
    </cfRule>
    <cfRule type="cellIs" dxfId="1102" priority="767" operator="equal">
      <formula>"NA"</formula>
    </cfRule>
    <cfRule type="cellIs" dxfId="1101" priority="768" operator="equal">
      <formula>"Yes"</formula>
    </cfRule>
  </conditionalFormatting>
  <conditionalFormatting sqref="W19:AA19">
    <cfRule type="cellIs" dxfId="1100" priority="763" operator="equal">
      <formula>"No"</formula>
    </cfRule>
    <cfRule type="cellIs" dxfId="1099" priority="764" operator="equal">
      <formula>"NA"</formula>
    </cfRule>
    <cfRule type="cellIs" dxfId="1098" priority="765" operator="equal">
      <formula>"Yes"</formula>
    </cfRule>
  </conditionalFormatting>
  <conditionalFormatting sqref="W20:AA20">
    <cfRule type="cellIs" dxfId="1097" priority="760" operator="equal">
      <formula>"No"</formula>
    </cfRule>
    <cfRule type="cellIs" dxfId="1096" priority="761" operator="equal">
      <formula>"NA"</formula>
    </cfRule>
    <cfRule type="cellIs" dxfId="1095" priority="762" operator="equal">
      <formula>"Yes"</formula>
    </cfRule>
  </conditionalFormatting>
  <conditionalFormatting sqref="W21:AA21">
    <cfRule type="cellIs" dxfId="1094" priority="757" operator="equal">
      <formula>"No"</formula>
    </cfRule>
    <cfRule type="cellIs" dxfId="1093" priority="758" operator="equal">
      <formula>"NA"</formula>
    </cfRule>
    <cfRule type="cellIs" dxfId="1092" priority="759" operator="equal">
      <formula>"Yes"</formula>
    </cfRule>
  </conditionalFormatting>
  <conditionalFormatting sqref="W22:AA22">
    <cfRule type="cellIs" dxfId="1091" priority="754" operator="equal">
      <formula>"No"</formula>
    </cfRule>
    <cfRule type="cellIs" dxfId="1090" priority="755" operator="equal">
      <formula>"NA"</formula>
    </cfRule>
    <cfRule type="cellIs" dxfId="1089" priority="756" operator="equal">
      <formula>"Yes"</formula>
    </cfRule>
  </conditionalFormatting>
  <conditionalFormatting sqref="W23:AA23">
    <cfRule type="cellIs" dxfId="1088" priority="751" operator="equal">
      <formula>"No"</formula>
    </cfRule>
    <cfRule type="cellIs" dxfId="1087" priority="752" operator="equal">
      <formula>"NA"</formula>
    </cfRule>
    <cfRule type="cellIs" dxfId="1086" priority="753" operator="equal">
      <formula>"Yes"</formula>
    </cfRule>
  </conditionalFormatting>
  <conditionalFormatting sqref="W26:AA26">
    <cfRule type="cellIs" dxfId="1085" priority="748" operator="equal">
      <formula>"No"</formula>
    </cfRule>
    <cfRule type="cellIs" dxfId="1084" priority="749" operator="equal">
      <formula>"NA"</formula>
    </cfRule>
    <cfRule type="cellIs" dxfId="1083" priority="750" operator="equal">
      <formula>"Yes"</formula>
    </cfRule>
  </conditionalFormatting>
  <conditionalFormatting sqref="W27:AA27">
    <cfRule type="cellIs" dxfId="1082" priority="745" operator="equal">
      <formula>"No"</formula>
    </cfRule>
    <cfRule type="cellIs" dxfId="1081" priority="746" operator="equal">
      <formula>"NA"</formula>
    </cfRule>
    <cfRule type="cellIs" dxfId="1080" priority="747" operator="equal">
      <formula>"Yes"</formula>
    </cfRule>
  </conditionalFormatting>
  <conditionalFormatting sqref="W28:AA28">
    <cfRule type="cellIs" dxfId="1079" priority="742" operator="equal">
      <formula>"No"</formula>
    </cfRule>
    <cfRule type="cellIs" dxfId="1078" priority="743" operator="equal">
      <formula>"NA"</formula>
    </cfRule>
    <cfRule type="cellIs" dxfId="1077" priority="744" operator="equal">
      <formula>"Yes"</formula>
    </cfRule>
  </conditionalFormatting>
  <conditionalFormatting sqref="W30:AA30">
    <cfRule type="cellIs" dxfId="1076" priority="739" operator="equal">
      <formula>"No"</formula>
    </cfRule>
    <cfRule type="cellIs" dxfId="1075" priority="740" operator="equal">
      <formula>"NA"</formula>
    </cfRule>
    <cfRule type="cellIs" dxfId="1074" priority="741" operator="equal">
      <formula>"Yes"</formula>
    </cfRule>
  </conditionalFormatting>
  <conditionalFormatting sqref="W31:AA31">
    <cfRule type="cellIs" dxfId="1073" priority="736" operator="equal">
      <formula>"No"</formula>
    </cfRule>
    <cfRule type="cellIs" dxfId="1072" priority="737" operator="equal">
      <formula>"NA"</formula>
    </cfRule>
    <cfRule type="cellIs" dxfId="1071" priority="738" operator="equal">
      <formula>"Yes"</formula>
    </cfRule>
  </conditionalFormatting>
  <conditionalFormatting sqref="W33:AA33">
    <cfRule type="cellIs" dxfId="1070" priority="733" operator="equal">
      <formula>"No"</formula>
    </cfRule>
    <cfRule type="cellIs" dxfId="1069" priority="734" operator="equal">
      <formula>"NA"</formula>
    </cfRule>
    <cfRule type="cellIs" dxfId="1068" priority="735" operator="equal">
      <formula>"Yes"</formula>
    </cfRule>
  </conditionalFormatting>
  <conditionalFormatting sqref="W6:AA6">
    <cfRule type="cellIs" dxfId="1067" priority="730" operator="equal">
      <formula>"No"</formula>
    </cfRule>
    <cfRule type="cellIs" dxfId="1066" priority="731" operator="equal">
      <formula>"NA"</formula>
    </cfRule>
    <cfRule type="cellIs" dxfId="1065" priority="732" operator="equal">
      <formula>"Yes"</formula>
    </cfRule>
  </conditionalFormatting>
  <conditionalFormatting sqref="W7:AA7">
    <cfRule type="cellIs" dxfId="1064" priority="727" operator="equal">
      <formula>"No"</formula>
    </cfRule>
    <cfRule type="cellIs" dxfId="1063" priority="728" operator="equal">
      <formula>"NA"</formula>
    </cfRule>
    <cfRule type="cellIs" dxfId="1062" priority="729" operator="equal">
      <formula>"Yes"</formula>
    </cfRule>
  </conditionalFormatting>
  <conditionalFormatting sqref="W10:AA10">
    <cfRule type="cellIs" dxfId="1061" priority="724" operator="equal">
      <formula>"No"</formula>
    </cfRule>
    <cfRule type="cellIs" dxfId="1060" priority="725" operator="equal">
      <formula>"NA"</formula>
    </cfRule>
    <cfRule type="cellIs" dxfId="1059" priority="726" operator="equal">
      <formula>"Yes"</formula>
    </cfRule>
  </conditionalFormatting>
  <conditionalFormatting sqref="W25:AA25">
    <cfRule type="cellIs" dxfId="1058" priority="721" operator="equal">
      <formula>"No"</formula>
    </cfRule>
    <cfRule type="cellIs" dxfId="1057" priority="722" operator="equal">
      <formula>"NA"</formula>
    </cfRule>
    <cfRule type="cellIs" dxfId="1056" priority="723" operator="equal">
      <formula>"Yes"</formula>
    </cfRule>
  </conditionalFormatting>
  <conditionalFormatting sqref="AB9">
    <cfRule type="cellIs" dxfId="1055" priority="718" operator="equal">
      <formula>"No"</formula>
    </cfRule>
    <cfRule type="cellIs" dxfId="1054" priority="719" operator="equal">
      <formula>"NA"</formula>
    </cfRule>
    <cfRule type="cellIs" dxfId="1053" priority="720" operator="equal">
      <formula>"Yes"</formula>
    </cfRule>
  </conditionalFormatting>
  <conditionalFormatting sqref="AB11">
    <cfRule type="cellIs" dxfId="1052" priority="715" operator="equal">
      <formula>"No"</formula>
    </cfRule>
    <cfRule type="cellIs" dxfId="1051" priority="716" operator="equal">
      <formula>"NA"</formula>
    </cfRule>
    <cfRule type="cellIs" dxfId="1050" priority="717" operator="equal">
      <formula>"Yes"</formula>
    </cfRule>
  </conditionalFormatting>
  <conditionalFormatting sqref="AB12">
    <cfRule type="cellIs" dxfId="1049" priority="712" operator="equal">
      <formula>"No"</formula>
    </cfRule>
    <cfRule type="cellIs" dxfId="1048" priority="713" operator="equal">
      <formula>"NA"</formula>
    </cfRule>
    <cfRule type="cellIs" dxfId="1047" priority="714" operator="equal">
      <formula>"Yes"</formula>
    </cfRule>
  </conditionalFormatting>
  <conditionalFormatting sqref="AB13">
    <cfRule type="cellIs" dxfId="1046" priority="709" operator="equal">
      <formula>"No"</formula>
    </cfRule>
    <cfRule type="cellIs" dxfId="1045" priority="710" operator="equal">
      <formula>"NA"</formula>
    </cfRule>
    <cfRule type="cellIs" dxfId="1044" priority="711" operator="equal">
      <formula>"Yes"</formula>
    </cfRule>
  </conditionalFormatting>
  <conditionalFormatting sqref="AB14">
    <cfRule type="cellIs" dxfId="1043" priority="706" operator="equal">
      <formula>"No"</formula>
    </cfRule>
    <cfRule type="cellIs" dxfId="1042" priority="707" operator="equal">
      <formula>"NA"</formula>
    </cfRule>
    <cfRule type="cellIs" dxfId="1041" priority="708" operator="equal">
      <formula>"Yes"</formula>
    </cfRule>
  </conditionalFormatting>
  <conditionalFormatting sqref="AB15">
    <cfRule type="cellIs" dxfId="1040" priority="703" operator="equal">
      <formula>"No"</formula>
    </cfRule>
    <cfRule type="cellIs" dxfId="1039" priority="704" operator="equal">
      <formula>"NA"</formula>
    </cfRule>
    <cfRule type="cellIs" dxfId="1038" priority="705" operator="equal">
      <formula>"Yes"</formula>
    </cfRule>
  </conditionalFormatting>
  <conditionalFormatting sqref="AB16">
    <cfRule type="cellIs" dxfId="1037" priority="700" operator="equal">
      <formula>"No"</formula>
    </cfRule>
    <cfRule type="cellIs" dxfId="1036" priority="701" operator="equal">
      <formula>"NA"</formula>
    </cfRule>
    <cfRule type="cellIs" dxfId="1035" priority="702" operator="equal">
      <formula>"Yes"</formula>
    </cfRule>
  </conditionalFormatting>
  <conditionalFormatting sqref="AB17">
    <cfRule type="cellIs" dxfId="1034" priority="697" operator="equal">
      <formula>"No"</formula>
    </cfRule>
    <cfRule type="cellIs" dxfId="1033" priority="698" operator="equal">
      <formula>"NA"</formula>
    </cfRule>
    <cfRule type="cellIs" dxfId="1032" priority="699" operator="equal">
      <formula>"Yes"</formula>
    </cfRule>
  </conditionalFormatting>
  <conditionalFormatting sqref="AB18">
    <cfRule type="cellIs" dxfId="1031" priority="694" operator="equal">
      <formula>"No"</formula>
    </cfRule>
    <cfRule type="cellIs" dxfId="1030" priority="695" operator="equal">
      <formula>"NA"</formula>
    </cfRule>
    <cfRule type="cellIs" dxfId="1029" priority="696" operator="equal">
      <formula>"Yes"</formula>
    </cfRule>
  </conditionalFormatting>
  <conditionalFormatting sqref="AB19">
    <cfRule type="cellIs" dxfId="1028" priority="691" operator="equal">
      <formula>"No"</formula>
    </cfRule>
    <cfRule type="cellIs" dxfId="1027" priority="692" operator="equal">
      <formula>"NA"</formula>
    </cfRule>
    <cfRule type="cellIs" dxfId="1026" priority="693" operator="equal">
      <formula>"Yes"</formula>
    </cfRule>
  </conditionalFormatting>
  <conditionalFormatting sqref="AB20">
    <cfRule type="cellIs" dxfId="1025" priority="688" operator="equal">
      <formula>"No"</formula>
    </cfRule>
    <cfRule type="cellIs" dxfId="1024" priority="689" operator="equal">
      <formula>"NA"</formula>
    </cfRule>
    <cfRule type="cellIs" dxfId="1023" priority="690" operator="equal">
      <formula>"Yes"</formula>
    </cfRule>
  </conditionalFormatting>
  <conditionalFormatting sqref="AB21">
    <cfRule type="cellIs" dxfId="1022" priority="685" operator="equal">
      <formula>"No"</formula>
    </cfRule>
    <cfRule type="cellIs" dxfId="1021" priority="686" operator="equal">
      <formula>"NA"</formula>
    </cfRule>
    <cfRule type="cellIs" dxfId="1020" priority="687" operator="equal">
      <formula>"Yes"</formula>
    </cfRule>
  </conditionalFormatting>
  <conditionalFormatting sqref="AB22">
    <cfRule type="cellIs" dxfId="1019" priority="682" operator="equal">
      <formula>"No"</formula>
    </cfRule>
    <cfRule type="cellIs" dxfId="1018" priority="683" operator="equal">
      <formula>"NA"</formula>
    </cfRule>
    <cfRule type="cellIs" dxfId="1017" priority="684" operator="equal">
      <formula>"Yes"</formula>
    </cfRule>
  </conditionalFormatting>
  <conditionalFormatting sqref="AB23">
    <cfRule type="cellIs" dxfId="1016" priority="679" operator="equal">
      <formula>"No"</formula>
    </cfRule>
    <cfRule type="cellIs" dxfId="1015" priority="680" operator="equal">
      <formula>"NA"</formula>
    </cfRule>
    <cfRule type="cellIs" dxfId="1014" priority="681" operator="equal">
      <formula>"Yes"</formula>
    </cfRule>
  </conditionalFormatting>
  <conditionalFormatting sqref="AB26">
    <cfRule type="cellIs" dxfId="1013" priority="676" operator="equal">
      <formula>"No"</formula>
    </cfRule>
    <cfRule type="cellIs" dxfId="1012" priority="677" operator="equal">
      <formula>"NA"</formula>
    </cfRule>
    <cfRule type="cellIs" dxfId="1011" priority="678" operator="equal">
      <formula>"Yes"</formula>
    </cfRule>
  </conditionalFormatting>
  <conditionalFormatting sqref="AB27">
    <cfRule type="cellIs" dxfId="1010" priority="673" operator="equal">
      <formula>"No"</formula>
    </cfRule>
    <cfRule type="cellIs" dxfId="1009" priority="674" operator="equal">
      <formula>"NA"</formula>
    </cfRule>
    <cfRule type="cellIs" dxfId="1008" priority="675" operator="equal">
      <formula>"Yes"</formula>
    </cfRule>
  </conditionalFormatting>
  <conditionalFormatting sqref="AB28">
    <cfRule type="cellIs" dxfId="1007" priority="670" operator="equal">
      <formula>"No"</formula>
    </cfRule>
    <cfRule type="cellIs" dxfId="1006" priority="671" operator="equal">
      <formula>"NA"</formula>
    </cfRule>
    <cfRule type="cellIs" dxfId="1005" priority="672" operator="equal">
      <formula>"Yes"</formula>
    </cfRule>
  </conditionalFormatting>
  <conditionalFormatting sqref="AB30">
    <cfRule type="cellIs" dxfId="1004" priority="667" operator="equal">
      <formula>"No"</formula>
    </cfRule>
    <cfRule type="cellIs" dxfId="1003" priority="668" operator="equal">
      <formula>"NA"</formula>
    </cfRule>
    <cfRule type="cellIs" dxfId="1002" priority="669" operator="equal">
      <formula>"Yes"</formula>
    </cfRule>
  </conditionalFormatting>
  <conditionalFormatting sqref="AB31">
    <cfRule type="cellIs" dxfId="1001" priority="664" operator="equal">
      <formula>"No"</formula>
    </cfRule>
    <cfRule type="cellIs" dxfId="1000" priority="665" operator="equal">
      <formula>"NA"</formula>
    </cfRule>
    <cfRule type="cellIs" dxfId="999" priority="666" operator="equal">
      <formula>"Yes"</formula>
    </cfRule>
  </conditionalFormatting>
  <conditionalFormatting sqref="AB33">
    <cfRule type="cellIs" dxfId="998" priority="661" operator="equal">
      <formula>"No"</formula>
    </cfRule>
    <cfRule type="cellIs" dxfId="997" priority="662" operator="equal">
      <formula>"NA"</formula>
    </cfRule>
    <cfRule type="cellIs" dxfId="996" priority="663" operator="equal">
      <formula>"Yes"</formula>
    </cfRule>
  </conditionalFormatting>
  <conditionalFormatting sqref="AB6">
    <cfRule type="cellIs" dxfId="995" priority="658" operator="equal">
      <formula>"No"</formula>
    </cfRule>
    <cfRule type="cellIs" dxfId="994" priority="659" operator="equal">
      <formula>"NA"</formula>
    </cfRule>
    <cfRule type="cellIs" dxfId="993" priority="660" operator="equal">
      <formula>"Yes"</formula>
    </cfRule>
  </conditionalFormatting>
  <conditionalFormatting sqref="AB7">
    <cfRule type="cellIs" dxfId="992" priority="655" operator="equal">
      <formula>"No"</formula>
    </cfRule>
    <cfRule type="cellIs" dxfId="991" priority="656" operator="equal">
      <formula>"NA"</formula>
    </cfRule>
    <cfRule type="cellIs" dxfId="990" priority="657" operator="equal">
      <formula>"Yes"</formula>
    </cfRule>
  </conditionalFormatting>
  <conditionalFormatting sqref="AB10">
    <cfRule type="cellIs" dxfId="989" priority="652" operator="equal">
      <formula>"No"</formula>
    </cfRule>
    <cfRule type="cellIs" dxfId="988" priority="653" operator="equal">
      <formula>"NA"</formula>
    </cfRule>
    <cfRule type="cellIs" dxfId="987" priority="654" operator="equal">
      <formula>"Yes"</formula>
    </cfRule>
  </conditionalFormatting>
  <conditionalFormatting sqref="AB25">
    <cfRule type="cellIs" dxfId="986" priority="649" operator="equal">
      <formula>"No"</formula>
    </cfRule>
    <cfRule type="cellIs" dxfId="985" priority="650" operator="equal">
      <formula>"NA"</formula>
    </cfRule>
    <cfRule type="cellIs" dxfId="984" priority="651" operator="equal">
      <formula>"Yes"</formula>
    </cfRule>
  </conditionalFormatting>
  <conditionalFormatting sqref="AC9">
    <cfRule type="cellIs" dxfId="983" priority="646" operator="equal">
      <formula>"No"</formula>
    </cfRule>
    <cfRule type="cellIs" dxfId="982" priority="647" operator="equal">
      <formula>"NA"</formula>
    </cfRule>
    <cfRule type="cellIs" dxfId="981" priority="648" operator="equal">
      <formula>"Yes"</formula>
    </cfRule>
  </conditionalFormatting>
  <conditionalFormatting sqref="AC11">
    <cfRule type="cellIs" dxfId="980" priority="643" operator="equal">
      <formula>"No"</formula>
    </cfRule>
    <cfRule type="cellIs" dxfId="979" priority="644" operator="equal">
      <formula>"NA"</formula>
    </cfRule>
    <cfRule type="cellIs" dxfId="978" priority="645" operator="equal">
      <formula>"Yes"</formula>
    </cfRule>
  </conditionalFormatting>
  <conditionalFormatting sqref="AC12">
    <cfRule type="cellIs" dxfId="977" priority="640" operator="equal">
      <formula>"No"</formula>
    </cfRule>
    <cfRule type="cellIs" dxfId="976" priority="641" operator="equal">
      <formula>"NA"</formula>
    </cfRule>
    <cfRule type="cellIs" dxfId="975" priority="642" operator="equal">
      <formula>"Yes"</formula>
    </cfRule>
  </conditionalFormatting>
  <conditionalFormatting sqref="AC13">
    <cfRule type="cellIs" dxfId="974" priority="637" operator="equal">
      <formula>"No"</formula>
    </cfRule>
    <cfRule type="cellIs" dxfId="973" priority="638" operator="equal">
      <formula>"NA"</formula>
    </cfRule>
    <cfRule type="cellIs" dxfId="972" priority="639" operator="equal">
      <formula>"Yes"</formula>
    </cfRule>
  </conditionalFormatting>
  <conditionalFormatting sqref="AC14">
    <cfRule type="cellIs" dxfId="971" priority="634" operator="equal">
      <formula>"No"</formula>
    </cfRule>
    <cfRule type="cellIs" dxfId="970" priority="635" operator="equal">
      <formula>"NA"</formula>
    </cfRule>
    <cfRule type="cellIs" dxfId="969" priority="636" operator="equal">
      <formula>"Yes"</formula>
    </cfRule>
  </conditionalFormatting>
  <conditionalFormatting sqref="AC15">
    <cfRule type="cellIs" dxfId="968" priority="631" operator="equal">
      <formula>"No"</formula>
    </cfRule>
    <cfRule type="cellIs" dxfId="967" priority="632" operator="equal">
      <formula>"NA"</formula>
    </cfRule>
    <cfRule type="cellIs" dxfId="966" priority="633" operator="equal">
      <formula>"Yes"</formula>
    </cfRule>
  </conditionalFormatting>
  <conditionalFormatting sqref="AC16">
    <cfRule type="cellIs" dxfId="965" priority="628" operator="equal">
      <formula>"No"</formula>
    </cfRule>
    <cfRule type="cellIs" dxfId="964" priority="629" operator="equal">
      <formula>"NA"</formula>
    </cfRule>
    <cfRule type="cellIs" dxfId="963" priority="630" operator="equal">
      <formula>"Yes"</formula>
    </cfRule>
  </conditionalFormatting>
  <conditionalFormatting sqref="AC17">
    <cfRule type="cellIs" dxfId="962" priority="625" operator="equal">
      <formula>"No"</formula>
    </cfRule>
    <cfRule type="cellIs" dxfId="961" priority="626" operator="equal">
      <formula>"NA"</formula>
    </cfRule>
    <cfRule type="cellIs" dxfId="960" priority="627" operator="equal">
      <formula>"Yes"</formula>
    </cfRule>
  </conditionalFormatting>
  <conditionalFormatting sqref="AC18">
    <cfRule type="cellIs" dxfId="959" priority="622" operator="equal">
      <formula>"No"</formula>
    </cfRule>
    <cfRule type="cellIs" dxfId="958" priority="623" operator="equal">
      <formula>"NA"</formula>
    </cfRule>
    <cfRule type="cellIs" dxfId="957" priority="624" operator="equal">
      <formula>"Yes"</formula>
    </cfRule>
  </conditionalFormatting>
  <conditionalFormatting sqref="AC19">
    <cfRule type="cellIs" dxfId="956" priority="619" operator="equal">
      <formula>"No"</formula>
    </cfRule>
    <cfRule type="cellIs" dxfId="955" priority="620" operator="equal">
      <formula>"NA"</formula>
    </cfRule>
    <cfRule type="cellIs" dxfId="954" priority="621" operator="equal">
      <formula>"Yes"</formula>
    </cfRule>
  </conditionalFormatting>
  <conditionalFormatting sqref="AC20">
    <cfRule type="cellIs" dxfId="953" priority="616" operator="equal">
      <formula>"No"</formula>
    </cfRule>
    <cfRule type="cellIs" dxfId="952" priority="617" operator="equal">
      <formula>"NA"</formula>
    </cfRule>
    <cfRule type="cellIs" dxfId="951" priority="618" operator="equal">
      <formula>"Yes"</formula>
    </cfRule>
  </conditionalFormatting>
  <conditionalFormatting sqref="AC21">
    <cfRule type="cellIs" dxfId="950" priority="613" operator="equal">
      <formula>"No"</formula>
    </cfRule>
    <cfRule type="cellIs" dxfId="949" priority="614" operator="equal">
      <formula>"NA"</formula>
    </cfRule>
    <cfRule type="cellIs" dxfId="948" priority="615" operator="equal">
      <formula>"Yes"</formula>
    </cfRule>
  </conditionalFormatting>
  <conditionalFormatting sqref="AC22">
    <cfRule type="cellIs" dxfId="947" priority="610" operator="equal">
      <formula>"No"</formula>
    </cfRule>
    <cfRule type="cellIs" dxfId="946" priority="611" operator="equal">
      <formula>"NA"</formula>
    </cfRule>
    <cfRule type="cellIs" dxfId="945" priority="612" operator="equal">
      <formula>"Yes"</formula>
    </cfRule>
  </conditionalFormatting>
  <conditionalFormatting sqref="AC23">
    <cfRule type="cellIs" dxfId="944" priority="607" operator="equal">
      <formula>"No"</formula>
    </cfRule>
    <cfRule type="cellIs" dxfId="943" priority="608" operator="equal">
      <formula>"NA"</formula>
    </cfRule>
    <cfRule type="cellIs" dxfId="942" priority="609" operator="equal">
      <formula>"Yes"</formula>
    </cfRule>
  </conditionalFormatting>
  <conditionalFormatting sqref="AC26">
    <cfRule type="cellIs" dxfId="941" priority="604" operator="equal">
      <formula>"No"</formula>
    </cfRule>
    <cfRule type="cellIs" dxfId="940" priority="605" operator="equal">
      <formula>"NA"</formula>
    </cfRule>
    <cfRule type="cellIs" dxfId="939" priority="606" operator="equal">
      <formula>"Yes"</formula>
    </cfRule>
  </conditionalFormatting>
  <conditionalFormatting sqref="AC27">
    <cfRule type="cellIs" dxfId="938" priority="601" operator="equal">
      <formula>"No"</formula>
    </cfRule>
    <cfRule type="cellIs" dxfId="937" priority="602" operator="equal">
      <formula>"NA"</formula>
    </cfRule>
    <cfRule type="cellIs" dxfId="936" priority="603" operator="equal">
      <formula>"Yes"</formula>
    </cfRule>
  </conditionalFormatting>
  <conditionalFormatting sqref="AC28">
    <cfRule type="cellIs" dxfId="935" priority="598" operator="equal">
      <formula>"No"</formula>
    </cfRule>
    <cfRule type="cellIs" dxfId="934" priority="599" operator="equal">
      <formula>"NA"</formula>
    </cfRule>
    <cfRule type="cellIs" dxfId="933" priority="600" operator="equal">
      <formula>"Yes"</formula>
    </cfRule>
  </conditionalFormatting>
  <conditionalFormatting sqref="AC30">
    <cfRule type="cellIs" dxfId="932" priority="595" operator="equal">
      <formula>"No"</formula>
    </cfRule>
    <cfRule type="cellIs" dxfId="931" priority="596" operator="equal">
      <formula>"NA"</formula>
    </cfRule>
    <cfRule type="cellIs" dxfId="930" priority="597" operator="equal">
      <formula>"Yes"</formula>
    </cfRule>
  </conditionalFormatting>
  <conditionalFormatting sqref="AC31">
    <cfRule type="cellIs" dxfId="929" priority="592" operator="equal">
      <formula>"No"</formula>
    </cfRule>
    <cfRule type="cellIs" dxfId="928" priority="593" operator="equal">
      <formula>"NA"</formula>
    </cfRule>
    <cfRule type="cellIs" dxfId="927" priority="594" operator="equal">
      <formula>"Yes"</formula>
    </cfRule>
  </conditionalFormatting>
  <conditionalFormatting sqref="AC33">
    <cfRule type="cellIs" dxfId="926" priority="589" operator="equal">
      <formula>"No"</formula>
    </cfRule>
    <cfRule type="cellIs" dxfId="925" priority="590" operator="equal">
      <formula>"NA"</formula>
    </cfRule>
    <cfRule type="cellIs" dxfId="924" priority="591" operator="equal">
      <formula>"Yes"</formula>
    </cfRule>
  </conditionalFormatting>
  <conditionalFormatting sqref="AC6">
    <cfRule type="cellIs" dxfId="923" priority="586" operator="equal">
      <formula>"No"</formula>
    </cfRule>
    <cfRule type="cellIs" dxfId="922" priority="587" operator="equal">
      <formula>"NA"</formula>
    </cfRule>
    <cfRule type="cellIs" dxfId="921" priority="588" operator="equal">
      <formula>"Yes"</formula>
    </cfRule>
  </conditionalFormatting>
  <conditionalFormatting sqref="AC7">
    <cfRule type="cellIs" dxfId="920" priority="583" operator="equal">
      <formula>"No"</formula>
    </cfRule>
    <cfRule type="cellIs" dxfId="919" priority="584" operator="equal">
      <formula>"NA"</formula>
    </cfRule>
    <cfRule type="cellIs" dxfId="918" priority="585" operator="equal">
      <formula>"Yes"</formula>
    </cfRule>
  </conditionalFormatting>
  <conditionalFormatting sqref="AC10">
    <cfRule type="cellIs" dxfId="917" priority="580" operator="equal">
      <formula>"No"</formula>
    </cfRule>
    <cfRule type="cellIs" dxfId="916" priority="581" operator="equal">
      <formula>"NA"</formula>
    </cfRule>
    <cfRule type="cellIs" dxfId="915" priority="582" operator="equal">
      <formula>"Yes"</formula>
    </cfRule>
  </conditionalFormatting>
  <conditionalFormatting sqref="AC25">
    <cfRule type="cellIs" dxfId="914" priority="577" operator="equal">
      <formula>"No"</formula>
    </cfRule>
    <cfRule type="cellIs" dxfId="913" priority="578" operator="equal">
      <formula>"NA"</formula>
    </cfRule>
    <cfRule type="cellIs" dxfId="912" priority="579" operator="equal">
      <formula>"Yes"</formula>
    </cfRule>
  </conditionalFormatting>
  <conditionalFormatting sqref="AD9">
    <cfRule type="cellIs" dxfId="911" priority="574" operator="equal">
      <formula>"No"</formula>
    </cfRule>
    <cfRule type="cellIs" dxfId="910" priority="575" operator="equal">
      <formula>"NA"</formula>
    </cfRule>
    <cfRule type="cellIs" dxfId="909" priority="576" operator="equal">
      <formula>"Yes"</formula>
    </cfRule>
  </conditionalFormatting>
  <conditionalFormatting sqref="AD11">
    <cfRule type="cellIs" dxfId="908" priority="571" operator="equal">
      <formula>"No"</formula>
    </cfRule>
    <cfRule type="cellIs" dxfId="907" priority="572" operator="equal">
      <formula>"NA"</formula>
    </cfRule>
    <cfRule type="cellIs" dxfId="906" priority="573" operator="equal">
      <formula>"Yes"</formula>
    </cfRule>
  </conditionalFormatting>
  <conditionalFormatting sqref="AD12">
    <cfRule type="cellIs" dxfId="905" priority="568" operator="equal">
      <formula>"No"</formula>
    </cfRule>
    <cfRule type="cellIs" dxfId="904" priority="569" operator="equal">
      <formula>"NA"</formula>
    </cfRule>
    <cfRule type="cellIs" dxfId="903" priority="570" operator="equal">
      <formula>"Yes"</formula>
    </cfRule>
  </conditionalFormatting>
  <conditionalFormatting sqref="AD13">
    <cfRule type="cellIs" dxfId="902" priority="565" operator="equal">
      <formula>"No"</formula>
    </cfRule>
    <cfRule type="cellIs" dxfId="901" priority="566" operator="equal">
      <formula>"NA"</formula>
    </cfRule>
    <cfRule type="cellIs" dxfId="900" priority="567" operator="equal">
      <formula>"Yes"</formula>
    </cfRule>
  </conditionalFormatting>
  <conditionalFormatting sqref="AD14">
    <cfRule type="cellIs" dxfId="899" priority="562" operator="equal">
      <formula>"No"</formula>
    </cfRule>
    <cfRule type="cellIs" dxfId="898" priority="563" operator="equal">
      <formula>"NA"</formula>
    </cfRule>
    <cfRule type="cellIs" dxfId="897" priority="564" operator="equal">
      <formula>"Yes"</formula>
    </cfRule>
  </conditionalFormatting>
  <conditionalFormatting sqref="AD15">
    <cfRule type="cellIs" dxfId="896" priority="559" operator="equal">
      <formula>"No"</formula>
    </cfRule>
    <cfRule type="cellIs" dxfId="895" priority="560" operator="equal">
      <formula>"NA"</formula>
    </cfRule>
    <cfRule type="cellIs" dxfId="894" priority="561" operator="equal">
      <formula>"Yes"</formula>
    </cfRule>
  </conditionalFormatting>
  <conditionalFormatting sqref="AD16">
    <cfRule type="cellIs" dxfId="893" priority="556" operator="equal">
      <formula>"No"</formula>
    </cfRule>
    <cfRule type="cellIs" dxfId="892" priority="557" operator="equal">
      <formula>"NA"</formula>
    </cfRule>
    <cfRule type="cellIs" dxfId="891" priority="558" operator="equal">
      <formula>"Yes"</formula>
    </cfRule>
  </conditionalFormatting>
  <conditionalFormatting sqref="AD17">
    <cfRule type="cellIs" dxfId="890" priority="553" operator="equal">
      <formula>"No"</formula>
    </cfRule>
    <cfRule type="cellIs" dxfId="889" priority="554" operator="equal">
      <formula>"NA"</formula>
    </cfRule>
    <cfRule type="cellIs" dxfId="888" priority="555" operator="equal">
      <formula>"Yes"</formula>
    </cfRule>
  </conditionalFormatting>
  <conditionalFormatting sqref="AD18">
    <cfRule type="cellIs" dxfId="887" priority="550" operator="equal">
      <formula>"No"</formula>
    </cfRule>
    <cfRule type="cellIs" dxfId="886" priority="551" operator="equal">
      <formula>"NA"</formula>
    </cfRule>
    <cfRule type="cellIs" dxfId="885" priority="552" operator="equal">
      <formula>"Yes"</formula>
    </cfRule>
  </conditionalFormatting>
  <conditionalFormatting sqref="AD19">
    <cfRule type="cellIs" dxfId="884" priority="547" operator="equal">
      <formula>"No"</formula>
    </cfRule>
    <cfRule type="cellIs" dxfId="883" priority="548" operator="equal">
      <formula>"NA"</formula>
    </cfRule>
    <cfRule type="cellIs" dxfId="882" priority="549" operator="equal">
      <formula>"Yes"</formula>
    </cfRule>
  </conditionalFormatting>
  <conditionalFormatting sqref="AD20">
    <cfRule type="cellIs" dxfId="881" priority="544" operator="equal">
      <formula>"No"</formula>
    </cfRule>
    <cfRule type="cellIs" dxfId="880" priority="545" operator="equal">
      <formula>"NA"</formula>
    </cfRule>
    <cfRule type="cellIs" dxfId="879" priority="546" operator="equal">
      <formula>"Yes"</formula>
    </cfRule>
  </conditionalFormatting>
  <conditionalFormatting sqref="AD21">
    <cfRule type="cellIs" dxfId="878" priority="541" operator="equal">
      <formula>"No"</formula>
    </cfRule>
    <cfRule type="cellIs" dxfId="877" priority="542" operator="equal">
      <formula>"NA"</formula>
    </cfRule>
    <cfRule type="cellIs" dxfId="876" priority="543" operator="equal">
      <formula>"Yes"</formula>
    </cfRule>
  </conditionalFormatting>
  <conditionalFormatting sqref="AD22">
    <cfRule type="cellIs" dxfId="875" priority="538" operator="equal">
      <formula>"No"</formula>
    </cfRule>
    <cfRule type="cellIs" dxfId="874" priority="539" operator="equal">
      <formula>"NA"</formula>
    </cfRule>
    <cfRule type="cellIs" dxfId="873" priority="540" operator="equal">
      <formula>"Yes"</formula>
    </cfRule>
  </conditionalFormatting>
  <conditionalFormatting sqref="AD23">
    <cfRule type="cellIs" dxfId="872" priority="535" operator="equal">
      <formula>"No"</formula>
    </cfRule>
    <cfRule type="cellIs" dxfId="871" priority="536" operator="equal">
      <formula>"NA"</formula>
    </cfRule>
    <cfRule type="cellIs" dxfId="870" priority="537" operator="equal">
      <formula>"Yes"</formula>
    </cfRule>
  </conditionalFormatting>
  <conditionalFormatting sqref="AD26">
    <cfRule type="cellIs" dxfId="869" priority="532" operator="equal">
      <formula>"No"</formula>
    </cfRule>
    <cfRule type="cellIs" dxfId="868" priority="533" operator="equal">
      <formula>"NA"</formula>
    </cfRule>
    <cfRule type="cellIs" dxfId="867" priority="534" operator="equal">
      <formula>"Yes"</formula>
    </cfRule>
  </conditionalFormatting>
  <conditionalFormatting sqref="AD27">
    <cfRule type="cellIs" dxfId="866" priority="529" operator="equal">
      <formula>"No"</formula>
    </cfRule>
    <cfRule type="cellIs" dxfId="865" priority="530" operator="equal">
      <formula>"NA"</formula>
    </cfRule>
    <cfRule type="cellIs" dxfId="864" priority="531" operator="equal">
      <formula>"Yes"</formula>
    </cfRule>
  </conditionalFormatting>
  <conditionalFormatting sqref="AD28">
    <cfRule type="cellIs" dxfId="863" priority="526" operator="equal">
      <formula>"No"</formula>
    </cfRule>
    <cfRule type="cellIs" dxfId="862" priority="527" operator="equal">
      <formula>"NA"</formula>
    </cfRule>
    <cfRule type="cellIs" dxfId="861" priority="528" operator="equal">
      <formula>"Yes"</formula>
    </cfRule>
  </conditionalFormatting>
  <conditionalFormatting sqref="AD30">
    <cfRule type="cellIs" dxfId="860" priority="523" operator="equal">
      <formula>"No"</formula>
    </cfRule>
    <cfRule type="cellIs" dxfId="859" priority="524" operator="equal">
      <formula>"NA"</formula>
    </cfRule>
    <cfRule type="cellIs" dxfId="858" priority="525" operator="equal">
      <formula>"Yes"</formula>
    </cfRule>
  </conditionalFormatting>
  <conditionalFormatting sqref="AD31">
    <cfRule type="cellIs" dxfId="857" priority="520" operator="equal">
      <formula>"No"</formula>
    </cfRule>
    <cfRule type="cellIs" dxfId="856" priority="521" operator="equal">
      <formula>"NA"</formula>
    </cfRule>
    <cfRule type="cellIs" dxfId="855" priority="522" operator="equal">
      <formula>"Yes"</formula>
    </cfRule>
  </conditionalFormatting>
  <conditionalFormatting sqref="AD33">
    <cfRule type="cellIs" dxfId="854" priority="517" operator="equal">
      <formula>"No"</formula>
    </cfRule>
    <cfRule type="cellIs" dxfId="853" priority="518" operator="equal">
      <formula>"NA"</formula>
    </cfRule>
    <cfRule type="cellIs" dxfId="852" priority="519" operator="equal">
      <formula>"Yes"</formula>
    </cfRule>
  </conditionalFormatting>
  <conditionalFormatting sqref="AD6">
    <cfRule type="cellIs" dxfId="851" priority="514" operator="equal">
      <formula>"No"</formula>
    </cfRule>
    <cfRule type="cellIs" dxfId="850" priority="515" operator="equal">
      <formula>"NA"</formula>
    </cfRule>
    <cfRule type="cellIs" dxfId="849" priority="516" operator="equal">
      <formula>"Yes"</formula>
    </cfRule>
  </conditionalFormatting>
  <conditionalFormatting sqref="AD7">
    <cfRule type="cellIs" dxfId="848" priority="511" operator="equal">
      <formula>"No"</formula>
    </cfRule>
    <cfRule type="cellIs" dxfId="847" priority="512" operator="equal">
      <formula>"NA"</formula>
    </cfRule>
    <cfRule type="cellIs" dxfId="846" priority="513" operator="equal">
      <formula>"Yes"</formula>
    </cfRule>
  </conditionalFormatting>
  <conditionalFormatting sqref="AD10">
    <cfRule type="cellIs" dxfId="845" priority="508" operator="equal">
      <formula>"No"</formula>
    </cfRule>
    <cfRule type="cellIs" dxfId="844" priority="509" operator="equal">
      <formula>"NA"</formula>
    </cfRule>
    <cfRule type="cellIs" dxfId="843" priority="510" operator="equal">
      <formula>"Yes"</formula>
    </cfRule>
  </conditionalFormatting>
  <conditionalFormatting sqref="AD25">
    <cfRule type="cellIs" dxfId="842" priority="505" operator="equal">
      <formula>"No"</formula>
    </cfRule>
    <cfRule type="cellIs" dxfId="841" priority="506" operator="equal">
      <formula>"NA"</formula>
    </cfRule>
    <cfRule type="cellIs" dxfId="840" priority="507" operator="equal">
      <formula>"Yes"</formula>
    </cfRule>
  </conditionalFormatting>
  <conditionalFormatting sqref="AE9">
    <cfRule type="cellIs" dxfId="839" priority="502" operator="equal">
      <formula>"No"</formula>
    </cfRule>
    <cfRule type="cellIs" dxfId="838" priority="503" operator="equal">
      <formula>"NA"</formula>
    </cfRule>
    <cfRule type="cellIs" dxfId="837" priority="504" operator="equal">
      <formula>"Yes"</formula>
    </cfRule>
  </conditionalFormatting>
  <conditionalFormatting sqref="AE11">
    <cfRule type="cellIs" dxfId="836" priority="499" operator="equal">
      <formula>"No"</formula>
    </cfRule>
    <cfRule type="cellIs" dxfId="835" priority="500" operator="equal">
      <formula>"NA"</formula>
    </cfRule>
    <cfRule type="cellIs" dxfId="834" priority="501" operator="equal">
      <formula>"Yes"</formula>
    </cfRule>
  </conditionalFormatting>
  <conditionalFormatting sqref="AE12">
    <cfRule type="cellIs" dxfId="833" priority="496" operator="equal">
      <formula>"No"</formula>
    </cfRule>
    <cfRule type="cellIs" dxfId="832" priority="497" operator="equal">
      <formula>"NA"</formula>
    </cfRule>
    <cfRule type="cellIs" dxfId="831" priority="498" operator="equal">
      <formula>"Yes"</formula>
    </cfRule>
  </conditionalFormatting>
  <conditionalFormatting sqref="AE13">
    <cfRule type="cellIs" dxfId="830" priority="493" operator="equal">
      <formula>"No"</formula>
    </cfRule>
    <cfRule type="cellIs" dxfId="829" priority="494" operator="equal">
      <formula>"NA"</formula>
    </cfRule>
    <cfRule type="cellIs" dxfId="828" priority="495" operator="equal">
      <formula>"Yes"</formula>
    </cfRule>
  </conditionalFormatting>
  <conditionalFormatting sqref="AE14">
    <cfRule type="cellIs" dxfId="827" priority="490" operator="equal">
      <formula>"No"</formula>
    </cfRule>
    <cfRule type="cellIs" dxfId="826" priority="491" operator="equal">
      <formula>"NA"</formula>
    </cfRule>
    <cfRule type="cellIs" dxfId="825" priority="492" operator="equal">
      <formula>"Yes"</formula>
    </cfRule>
  </conditionalFormatting>
  <conditionalFormatting sqref="AE15">
    <cfRule type="cellIs" dxfId="824" priority="487" operator="equal">
      <formula>"No"</formula>
    </cfRule>
    <cfRule type="cellIs" dxfId="823" priority="488" operator="equal">
      <formula>"NA"</formula>
    </cfRule>
    <cfRule type="cellIs" dxfId="822" priority="489" operator="equal">
      <formula>"Yes"</formula>
    </cfRule>
  </conditionalFormatting>
  <conditionalFormatting sqref="AE16">
    <cfRule type="cellIs" dxfId="821" priority="484" operator="equal">
      <formula>"No"</formula>
    </cfRule>
    <cfRule type="cellIs" dxfId="820" priority="485" operator="equal">
      <formula>"NA"</formula>
    </cfRule>
    <cfRule type="cellIs" dxfId="819" priority="486" operator="equal">
      <formula>"Yes"</formula>
    </cfRule>
  </conditionalFormatting>
  <conditionalFormatting sqref="AE17">
    <cfRule type="cellIs" dxfId="818" priority="481" operator="equal">
      <formula>"No"</formula>
    </cfRule>
    <cfRule type="cellIs" dxfId="817" priority="482" operator="equal">
      <formula>"NA"</formula>
    </cfRule>
    <cfRule type="cellIs" dxfId="816" priority="483" operator="equal">
      <formula>"Yes"</formula>
    </cfRule>
  </conditionalFormatting>
  <conditionalFormatting sqref="AE18">
    <cfRule type="cellIs" dxfId="815" priority="478" operator="equal">
      <formula>"No"</formula>
    </cfRule>
    <cfRule type="cellIs" dxfId="814" priority="479" operator="equal">
      <formula>"NA"</formula>
    </cfRule>
    <cfRule type="cellIs" dxfId="813" priority="480" operator="equal">
      <formula>"Yes"</formula>
    </cfRule>
  </conditionalFormatting>
  <conditionalFormatting sqref="AE19">
    <cfRule type="cellIs" dxfId="812" priority="475" operator="equal">
      <formula>"No"</formula>
    </cfRule>
    <cfRule type="cellIs" dxfId="811" priority="476" operator="equal">
      <formula>"NA"</formula>
    </cfRule>
    <cfRule type="cellIs" dxfId="810" priority="477" operator="equal">
      <formula>"Yes"</formula>
    </cfRule>
  </conditionalFormatting>
  <conditionalFormatting sqref="AE20">
    <cfRule type="cellIs" dxfId="809" priority="472" operator="equal">
      <formula>"No"</formula>
    </cfRule>
    <cfRule type="cellIs" dxfId="808" priority="473" operator="equal">
      <formula>"NA"</formula>
    </cfRule>
    <cfRule type="cellIs" dxfId="807" priority="474" operator="equal">
      <formula>"Yes"</formula>
    </cfRule>
  </conditionalFormatting>
  <conditionalFormatting sqref="AE21">
    <cfRule type="cellIs" dxfId="806" priority="469" operator="equal">
      <formula>"No"</formula>
    </cfRule>
    <cfRule type="cellIs" dxfId="805" priority="470" operator="equal">
      <formula>"NA"</formula>
    </cfRule>
    <cfRule type="cellIs" dxfId="804" priority="471" operator="equal">
      <formula>"Yes"</formula>
    </cfRule>
  </conditionalFormatting>
  <conditionalFormatting sqref="AE22">
    <cfRule type="cellIs" dxfId="803" priority="466" operator="equal">
      <formula>"No"</formula>
    </cfRule>
    <cfRule type="cellIs" dxfId="802" priority="467" operator="equal">
      <formula>"NA"</formula>
    </cfRule>
    <cfRule type="cellIs" dxfId="801" priority="468" operator="equal">
      <formula>"Yes"</formula>
    </cfRule>
  </conditionalFormatting>
  <conditionalFormatting sqref="AE23">
    <cfRule type="cellIs" dxfId="800" priority="463" operator="equal">
      <formula>"No"</formula>
    </cfRule>
    <cfRule type="cellIs" dxfId="799" priority="464" operator="equal">
      <formula>"NA"</formula>
    </cfRule>
    <cfRule type="cellIs" dxfId="798" priority="465" operator="equal">
      <formula>"Yes"</formula>
    </cfRule>
  </conditionalFormatting>
  <conditionalFormatting sqref="AE26">
    <cfRule type="cellIs" dxfId="797" priority="460" operator="equal">
      <formula>"No"</formula>
    </cfRule>
    <cfRule type="cellIs" dxfId="796" priority="461" operator="equal">
      <formula>"NA"</formula>
    </cfRule>
    <cfRule type="cellIs" dxfId="795" priority="462" operator="equal">
      <formula>"Yes"</formula>
    </cfRule>
  </conditionalFormatting>
  <conditionalFormatting sqref="AE27">
    <cfRule type="cellIs" dxfId="794" priority="457" operator="equal">
      <formula>"No"</formula>
    </cfRule>
    <cfRule type="cellIs" dxfId="793" priority="458" operator="equal">
      <formula>"NA"</formula>
    </cfRule>
    <cfRule type="cellIs" dxfId="792" priority="459" operator="equal">
      <formula>"Yes"</formula>
    </cfRule>
  </conditionalFormatting>
  <conditionalFormatting sqref="AE28">
    <cfRule type="cellIs" dxfId="791" priority="454" operator="equal">
      <formula>"No"</formula>
    </cfRule>
    <cfRule type="cellIs" dxfId="790" priority="455" operator="equal">
      <formula>"NA"</formula>
    </cfRule>
    <cfRule type="cellIs" dxfId="789" priority="456" operator="equal">
      <formula>"Yes"</formula>
    </cfRule>
  </conditionalFormatting>
  <conditionalFormatting sqref="AE30">
    <cfRule type="cellIs" dxfId="788" priority="451" operator="equal">
      <formula>"No"</formula>
    </cfRule>
    <cfRule type="cellIs" dxfId="787" priority="452" operator="equal">
      <formula>"NA"</formula>
    </cfRule>
    <cfRule type="cellIs" dxfId="786" priority="453" operator="equal">
      <formula>"Yes"</formula>
    </cfRule>
  </conditionalFormatting>
  <conditionalFormatting sqref="AE31">
    <cfRule type="cellIs" dxfId="785" priority="448" operator="equal">
      <formula>"No"</formula>
    </cfRule>
    <cfRule type="cellIs" dxfId="784" priority="449" operator="equal">
      <formula>"NA"</formula>
    </cfRule>
    <cfRule type="cellIs" dxfId="783" priority="450" operator="equal">
      <formula>"Yes"</formula>
    </cfRule>
  </conditionalFormatting>
  <conditionalFormatting sqref="AE33">
    <cfRule type="cellIs" dxfId="782" priority="445" operator="equal">
      <formula>"No"</formula>
    </cfRule>
    <cfRule type="cellIs" dxfId="781" priority="446" operator="equal">
      <formula>"NA"</formula>
    </cfRule>
    <cfRule type="cellIs" dxfId="780" priority="447" operator="equal">
      <formula>"Yes"</formula>
    </cfRule>
  </conditionalFormatting>
  <conditionalFormatting sqref="AE6">
    <cfRule type="cellIs" dxfId="779" priority="442" operator="equal">
      <formula>"No"</formula>
    </cfRule>
    <cfRule type="cellIs" dxfId="778" priority="443" operator="equal">
      <formula>"NA"</formula>
    </cfRule>
    <cfRule type="cellIs" dxfId="777" priority="444" operator="equal">
      <formula>"Yes"</formula>
    </cfRule>
  </conditionalFormatting>
  <conditionalFormatting sqref="AE7">
    <cfRule type="cellIs" dxfId="776" priority="439" operator="equal">
      <formula>"No"</formula>
    </cfRule>
    <cfRule type="cellIs" dxfId="775" priority="440" operator="equal">
      <formula>"NA"</formula>
    </cfRule>
    <cfRule type="cellIs" dxfId="774" priority="441" operator="equal">
      <formula>"Yes"</formula>
    </cfRule>
  </conditionalFormatting>
  <conditionalFormatting sqref="AE10">
    <cfRule type="cellIs" dxfId="773" priority="436" operator="equal">
      <formula>"No"</formula>
    </cfRule>
    <cfRule type="cellIs" dxfId="772" priority="437" operator="equal">
      <formula>"NA"</formula>
    </cfRule>
    <cfRule type="cellIs" dxfId="771" priority="438" operator="equal">
      <formula>"Yes"</formula>
    </cfRule>
  </conditionalFormatting>
  <conditionalFormatting sqref="AE25">
    <cfRule type="cellIs" dxfId="770" priority="433" operator="equal">
      <formula>"No"</formula>
    </cfRule>
    <cfRule type="cellIs" dxfId="769" priority="434" operator="equal">
      <formula>"NA"</formula>
    </cfRule>
    <cfRule type="cellIs" dxfId="768" priority="435" operator="equal">
      <formula>"Yes"</formula>
    </cfRule>
  </conditionalFormatting>
  <conditionalFormatting sqref="AF9">
    <cfRule type="cellIs" dxfId="767" priority="430" operator="equal">
      <formula>"No"</formula>
    </cfRule>
    <cfRule type="cellIs" dxfId="766" priority="431" operator="equal">
      <formula>"NA"</formula>
    </cfRule>
    <cfRule type="cellIs" dxfId="765" priority="432" operator="equal">
      <formula>"Yes"</formula>
    </cfRule>
  </conditionalFormatting>
  <conditionalFormatting sqref="AF11">
    <cfRule type="cellIs" dxfId="764" priority="427" operator="equal">
      <formula>"No"</formula>
    </cfRule>
    <cfRule type="cellIs" dxfId="763" priority="428" operator="equal">
      <formula>"NA"</formula>
    </cfRule>
    <cfRule type="cellIs" dxfId="762" priority="429" operator="equal">
      <formula>"Yes"</formula>
    </cfRule>
  </conditionalFormatting>
  <conditionalFormatting sqref="AF12">
    <cfRule type="cellIs" dxfId="761" priority="424" operator="equal">
      <formula>"No"</formula>
    </cfRule>
    <cfRule type="cellIs" dxfId="760" priority="425" operator="equal">
      <formula>"NA"</formula>
    </cfRule>
    <cfRule type="cellIs" dxfId="759" priority="426" operator="equal">
      <formula>"Yes"</formula>
    </cfRule>
  </conditionalFormatting>
  <conditionalFormatting sqref="AF13">
    <cfRule type="cellIs" dxfId="758" priority="421" operator="equal">
      <formula>"No"</formula>
    </cfRule>
    <cfRule type="cellIs" dxfId="757" priority="422" operator="equal">
      <formula>"NA"</formula>
    </cfRule>
    <cfRule type="cellIs" dxfId="756" priority="423" operator="equal">
      <formula>"Yes"</formula>
    </cfRule>
  </conditionalFormatting>
  <conditionalFormatting sqref="AF14">
    <cfRule type="cellIs" dxfId="755" priority="418" operator="equal">
      <formula>"No"</formula>
    </cfRule>
    <cfRule type="cellIs" dxfId="754" priority="419" operator="equal">
      <formula>"NA"</formula>
    </cfRule>
    <cfRule type="cellIs" dxfId="753" priority="420" operator="equal">
      <formula>"Yes"</formula>
    </cfRule>
  </conditionalFormatting>
  <conditionalFormatting sqref="AF15">
    <cfRule type="cellIs" dxfId="752" priority="415" operator="equal">
      <formula>"No"</formula>
    </cfRule>
    <cfRule type="cellIs" dxfId="751" priority="416" operator="equal">
      <formula>"NA"</formula>
    </cfRule>
    <cfRule type="cellIs" dxfId="750" priority="417" operator="equal">
      <formula>"Yes"</formula>
    </cfRule>
  </conditionalFormatting>
  <conditionalFormatting sqref="AF16">
    <cfRule type="cellIs" dxfId="749" priority="412" operator="equal">
      <formula>"No"</formula>
    </cfRule>
    <cfRule type="cellIs" dxfId="748" priority="413" operator="equal">
      <formula>"NA"</formula>
    </cfRule>
    <cfRule type="cellIs" dxfId="747" priority="414" operator="equal">
      <formula>"Yes"</formula>
    </cfRule>
  </conditionalFormatting>
  <conditionalFormatting sqref="AF17">
    <cfRule type="cellIs" dxfId="746" priority="409" operator="equal">
      <formula>"No"</formula>
    </cfRule>
    <cfRule type="cellIs" dxfId="745" priority="410" operator="equal">
      <formula>"NA"</formula>
    </cfRule>
    <cfRule type="cellIs" dxfId="744" priority="411" operator="equal">
      <formula>"Yes"</formula>
    </cfRule>
  </conditionalFormatting>
  <conditionalFormatting sqref="AF18">
    <cfRule type="cellIs" dxfId="743" priority="406" operator="equal">
      <formula>"No"</formula>
    </cfRule>
    <cfRule type="cellIs" dxfId="742" priority="407" operator="equal">
      <formula>"NA"</formula>
    </cfRule>
    <cfRule type="cellIs" dxfId="741" priority="408" operator="equal">
      <formula>"Yes"</formula>
    </cfRule>
  </conditionalFormatting>
  <conditionalFormatting sqref="AF19">
    <cfRule type="cellIs" dxfId="740" priority="403" operator="equal">
      <formula>"No"</formula>
    </cfRule>
    <cfRule type="cellIs" dxfId="739" priority="404" operator="equal">
      <formula>"NA"</formula>
    </cfRule>
    <cfRule type="cellIs" dxfId="738" priority="405" operator="equal">
      <formula>"Yes"</formula>
    </cfRule>
  </conditionalFormatting>
  <conditionalFormatting sqref="AF20">
    <cfRule type="cellIs" dxfId="737" priority="400" operator="equal">
      <formula>"No"</formula>
    </cfRule>
    <cfRule type="cellIs" dxfId="736" priority="401" operator="equal">
      <formula>"NA"</formula>
    </cfRule>
    <cfRule type="cellIs" dxfId="735" priority="402" operator="equal">
      <formula>"Yes"</formula>
    </cfRule>
  </conditionalFormatting>
  <conditionalFormatting sqref="AF21">
    <cfRule type="cellIs" dxfId="734" priority="397" operator="equal">
      <formula>"No"</formula>
    </cfRule>
    <cfRule type="cellIs" dxfId="733" priority="398" operator="equal">
      <formula>"NA"</formula>
    </cfRule>
    <cfRule type="cellIs" dxfId="732" priority="399" operator="equal">
      <formula>"Yes"</formula>
    </cfRule>
  </conditionalFormatting>
  <conditionalFormatting sqref="AF22">
    <cfRule type="cellIs" dxfId="731" priority="394" operator="equal">
      <formula>"No"</formula>
    </cfRule>
    <cfRule type="cellIs" dxfId="730" priority="395" operator="equal">
      <formula>"NA"</formula>
    </cfRule>
    <cfRule type="cellIs" dxfId="729" priority="396" operator="equal">
      <formula>"Yes"</formula>
    </cfRule>
  </conditionalFormatting>
  <conditionalFormatting sqref="AF23">
    <cfRule type="cellIs" dxfId="728" priority="391" operator="equal">
      <formula>"No"</formula>
    </cfRule>
    <cfRule type="cellIs" dxfId="727" priority="392" operator="equal">
      <formula>"NA"</formula>
    </cfRule>
    <cfRule type="cellIs" dxfId="726" priority="393" operator="equal">
      <formula>"Yes"</formula>
    </cfRule>
  </conditionalFormatting>
  <conditionalFormatting sqref="AF26">
    <cfRule type="cellIs" dxfId="725" priority="388" operator="equal">
      <formula>"No"</formula>
    </cfRule>
    <cfRule type="cellIs" dxfId="724" priority="389" operator="equal">
      <formula>"NA"</formula>
    </cfRule>
    <cfRule type="cellIs" dxfId="723" priority="390" operator="equal">
      <formula>"Yes"</formula>
    </cfRule>
  </conditionalFormatting>
  <conditionalFormatting sqref="AF27">
    <cfRule type="cellIs" dxfId="722" priority="385" operator="equal">
      <formula>"No"</formula>
    </cfRule>
    <cfRule type="cellIs" dxfId="721" priority="386" operator="equal">
      <formula>"NA"</formula>
    </cfRule>
    <cfRule type="cellIs" dxfId="720" priority="387" operator="equal">
      <formula>"Yes"</formula>
    </cfRule>
  </conditionalFormatting>
  <conditionalFormatting sqref="AF28">
    <cfRule type="cellIs" dxfId="719" priority="382" operator="equal">
      <formula>"No"</formula>
    </cfRule>
    <cfRule type="cellIs" dxfId="718" priority="383" operator="equal">
      <formula>"NA"</formula>
    </cfRule>
    <cfRule type="cellIs" dxfId="717" priority="384" operator="equal">
      <formula>"Yes"</formula>
    </cfRule>
  </conditionalFormatting>
  <conditionalFormatting sqref="AF30">
    <cfRule type="cellIs" dxfId="716" priority="379" operator="equal">
      <formula>"No"</formula>
    </cfRule>
    <cfRule type="cellIs" dxfId="715" priority="380" operator="equal">
      <formula>"NA"</formula>
    </cfRule>
    <cfRule type="cellIs" dxfId="714" priority="381" operator="equal">
      <formula>"Yes"</formula>
    </cfRule>
  </conditionalFormatting>
  <conditionalFormatting sqref="AF31">
    <cfRule type="cellIs" dxfId="713" priority="376" operator="equal">
      <formula>"No"</formula>
    </cfRule>
    <cfRule type="cellIs" dxfId="712" priority="377" operator="equal">
      <formula>"NA"</formula>
    </cfRule>
    <cfRule type="cellIs" dxfId="711" priority="378" operator="equal">
      <formula>"Yes"</formula>
    </cfRule>
  </conditionalFormatting>
  <conditionalFormatting sqref="AF33">
    <cfRule type="cellIs" dxfId="710" priority="373" operator="equal">
      <formula>"No"</formula>
    </cfRule>
    <cfRule type="cellIs" dxfId="709" priority="374" operator="equal">
      <formula>"NA"</formula>
    </cfRule>
    <cfRule type="cellIs" dxfId="708" priority="375" operator="equal">
      <formula>"Yes"</formula>
    </cfRule>
  </conditionalFormatting>
  <conditionalFormatting sqref="AF6">
    <cfRule type="cellIs" dxfId="707" priority="370" operator="equal">
      <formula>"No"</formula>
    </cfRule>
    <cfRule type="cellIs" dxfId="706" priority="371" operator="equal">
      <formula>"NA"</formula>
    </cfRule>
    <cfRule type="cellIs" dxfId="705" priority="372" operator="equal">
      <formula>"Yes"</formula>
    </cfRule>
  </conditionalFormatting>
  <conditionalFormatting sqref="AF7">
    <cfRule type="cellIs" dxfId="704" priority="367" operator="equal">
      <formula>"No"</formula>
    </cfRule>
    <cfRule type="cellIs" dxfId="703" priority="368" operator="equal">
      <formula>"NA"</formula>
    </cfRule>
    <cfRule type="cellIs" dxfId="702" priority="369" operator="equal">
      <formula>"Yes"</formula>
    </cfRule>
  </conditionalFormatting>
  <conditionalFormatting sqref="AF10">
    <cfRule type="cellIs" dxfId="701" priority="364" operator="equal">
      <formula>"No"</formula>
    </cfRule>
    <cfRule type="cellIs" dxfId="700" priority="365" operator="equal">
      <formula>"NA"</formula>
    </cfRule>
    <cfRule type="cellIs" dxfId="699" priority="366" operator="equal">
      <formula>"Yes"</formula>
    </cfRule>
  </conditionalFormatting>
  <conditionalFormatting sqref="AF25">
    <cfRule type="cellIs" dxfId="698" priority="361" operator="equal">
      <formula>"No"</formula>
    </cfRule>
    <cfRule type="cellIs" dxfId="697" priority="362" operator="equal">
      <formula>"NA"</formula>
    </cfRule>
    <cfRule type="cellIs" dxfId="696" priority="363" operator="equal">
      <formula>"Yes"</formula>
    </cfRule>
  </conditionalFormatting>
  <conditionalFormatting sqref="AG9">
    <cfRule type="cellIs" dxfId="695" priority="358" operator="equal">
      <formula>"No"</formula>
    </cfRule>
    <cfRule type="cellIs" dxfId="694" priority="359" operator="equal">
      <formula>"NA"</formula>
    </cfRule>
    <cfRule type="cellIs" dxfId="693" priority="360" operator="equal">
      <formula>"Yes"</formula>
    </cfRule>
  </conditionalFormatting>
  <conditionalFormatting sqref="AG11">
    <cfRule type="cellIs" dxfId="692" priority="355" operator="equal">
      <formula>"No"</formula>
    </cfRule>
    <cfRule type="cellIs" dxfId="691" priority="356" operator="equal">
      <formula>"NA"</formula>
    </cfRule>
    <cfRule type="cellIs" dxfId="690" priority="357" operator="equal">
      <formula>"Yes"</formula>
    </cfRule>
  </conditionalFormatting>
  <conditionalFormatting sqref="AG12">
    <cfRule type="cellIs" dxfId="689" priority="352" operator="equal">
      <formula>"No"</formula>
    </cfRule>
    <cfRule type="cellIs" dxfId="688" priority="353" operator="equal">
      <formula>"NA"</formula>
    </cfRule>
    <cfRule type="cellIs" dxfId="687" priority="354" operator="equal">
      <formula>"Yes"</formula>
    </cfRule>
  </conditionalFormatting>
  <conditionalFormatting sqref="AG13">
    <cfRule type="cellIs" dxfId="686" priority="349" operator="equal">
      <formula>"No"</formula>
    </cfRule>
    <cfRule type="cellIs" dxfId="685" priority="350" operator="equal">
      <formula>"NA"</formula>
    </cfRule>
    <cfRule type="cellIs" dxfId="684" priority="351" operator="equal">
      <formula>"Yes"</formula>
    </cfRule>
  </conditionalFormatting>
  <conditionalFormatting sqref="AG14">
    <cfRule type="cellIs" dxfId="683" priority="346" operator="equal">
      <formula>"No"</formula>
    </cfRule>
    <cfRule type="cellIs" dxfId="682" priority="347" operator="equal">
      <formula>"NA"</formula>
    </cfRule>
    <cfRule type="cellIs" dxfId="681" priority="348" operator="equal">
      <formula>"Yes"</formula>
    </cfRule>
  </conditionalFormatting>
  <conditionalFormatting sqref="AG15">
    <cfRule type="cellIs" dxfId="680" priority="343" operator="equal">
      <formula>"No"</formula>
    </cfRule>
    <cfRule type="cellIs" dxfId="679" priority="344" operator="equal">
      <formula>"NA"</formula>
    </cfRule>
    <cfRule type="cellIs" dxfId="678" priority="345" operator="equal">
      <formula>"Yes"</formula>
    </cfRule>
  </conditionalFormatting>
  <conditionalFormatting sqref="AG16">
    <cfRule type="cellIs" dxfId="677" priority="340" operator="equal">
      <formula>"No"</formula>
    </cfRule>
    <cfRule type="cellIs" dxfId="676" priority="341" operator="equal">
      <formula>"NA"</formula>
    </cfRule>
    <cfRule type="cellIs" dxfId="675" priority="342" operator="equal">
      <formula>"Yes"</formula>
    </cfRule>
  </conditionalFormatting>
  <conditionalFormatting sqref="AG17">
    <cfRule type="cellIs" dxfId="674" priority="337" operator="equal">
      <formula>"No"</formula>
    </cfRule>
    <cfRule type="cellIs" dxfId="673" priority="338" operator="equal">
      <formula>"NA"</formula>
    </cfRule>
    <cfRule type="cellIs" dxfId="672" priority="339" operator="equal">
      <formula>"Yes"</formula>
    </cfRule>
  </conditionalFormatting>
  <conditionalFormatting sqref="AG18">
    <cfRule type="cellIs" dxfId="671" priority="334" operator="equal">
      <formula>"No"</formula>
    </cfRule>
    <cfRule type="cellIs" dxfId="670" priority="335" operator="equal">
      <formula>"NA"</formula>
    </cfRule>
    <cfRule type="cellIs" dxfId="669" priority="336" operator="equal">
      <formula>"Yes"</formula>
    </cfRule>
  </conditionalFormatting>
  <conditionalFormatting sqref="AG19">
    <cfRule type="cellIs" dxfId="668" priority="331" operator="equal">
      <formula>"No"</formula>
    </cfRule>
    <cfRule type="cellIs" dxfId="667" priority="332" operator="equal">
      <formula>"NA"</formula>
    </cfRule>
    <cfRule type="cellIs" dxfId="666" priority="333" operator="equal">
      <formula>"Yes"</formula>
    </cfRule>
  </conditionalFormatting>
  <conditionalFormatting sqref="AG20">
    <cfRule type="cellIs" dxfId="665" priority="328" operator="equal">
      <formula>"No"</formula>
    </cfRule>
    <cfRule type="cellIs" dxfId="664" priority="329" operator="equal">
      <formula>"NA"</formula>
    </cfRule>
    <cfRule type="cellIs" dxfId="663" priority="330" operator="equal">
      <formula>"Yes"</formula>
    </cfRule>
  </conditionalFormatting>
  <conditionalFormatting sqref="AG21">
    <cfRule type="cellIs" dxfId="662" priority="325" operator="equal">
      <formula>"No"</formula>
    </cfRule>
    <cfRule type="cellIs" dxfId="661" priority="326" operator="equal">
      <formula>"NA"</formula>
    </cfRule>
    <cfRule type="cellIs" dxfId="660" priority="327" operator="equal">
      <formula>"Yes"</formula>
    </cfRule>
  </conditionalFormatting>
  <conditionalFormatting sqref="AG22">
    <cfRule type="cellIs" dxfId="659" priority="322" operator="equal">
      <formula>"No"</formula>
    </cfRule>
    <cfRule type="cellIs" dxfId="658" priority="323" operator="equal">
      <formula>"NA"</formula>
    </cfRule>
    <cfRule type="cellIs" dxfId="657" priority="324" operator="equal">
      <formula>"Yes"</formula>
    </cfRule>
  </conditionalFormatting>
  <conditionalFormatting sqref="AG23">
    <cfRule type="cellIs" dxfId="656" priority="319" operator="equal">
      <formula>"No"</formula>
    </cfRule>
    <cfRule type="cellIs" dxfId="655" priority="320" operator="equal">
      <formula>"NA"</formula>
    </cfRule>
    <cfRule type="cellIs" dxfId="654" priority="321" operator="equal">
      <formula>"Yes"</formula>
    </cfRule>
  </conditionalFormatting>
  <conditionalFormatting sqref="AG26">
    <cfRule type="cellIs" dxfId="653" priority="316" operator="equal">
      <formula>"No"</formula>
    </cfRule>
    <cfRule type="cellIs" dxfId="652" priority="317" operator="equal">
      <formula>"NA"</formula>
    </cfRule>
    <cfRule type="cellIs" dxfId="651" priority="318" operator="equal">
      <formula>"Yes"</formula>
    </cfRule>
  </conditionalFormatting>
  <conditionalFormatting sqref="AG27">
    <cfRule type="cellIs" dxfId="650" priority="313" operator="equal">
      <formula>"No"</formula>
    </cfRule>
    <cfRule type="cellIs" dxfId="649" priority="314" operator="equal">
      <formula>"NA"</formula>
    </cfRule>
    <cfRule type="cellIs" dxfId="648" priority="315" operator="equal">
      <formula>"Yes"</formula>
    </cfRule>
  </conditionalFormatting>
  <conditionalFormatting sqref="AG28">
    <cfRule type="cellIs" dxfId="647" priority="310" operator="equal">
      <formula>"No"</formula>
    </cfRule>
    <cfRule type="cellIs" dxfId="646" priority="311" operator="equal">
      <formula>"NA"</formula>
    </cfRule>
    <cfRule type="cellIs" dxfId="645" priority="312" operator="equal">
      <formula>"Yes"</formula>
    </cfRule>
  </conditionalFormatting>
  <conditionalFormatting sqref="AG30">
    <cfRule type="cellIs" dxfId="644" priority="307" operator="equal">
      <formula>"No"</formula>
    </cfRule>
    <cfRule type="cellIs" dxfId="643" priority="308" operator="equal">
      <formula>"NA"</formula>
    </cfRule>
    <cfRule type="cellIs" dxfId="642" priority="309" operator="equal">
      <formula>"Yes"</formula>
    </cfRule>
  </conditionalFormatting>
  <conditionalFormatting sqref="AG31">
    <cfRule type="cellIs" dxfId="641" priority="304" operator="equal">
      <formula>"No"</formula>
    </cfRule>
    <cfRule type="cellIs" dxfId="640" priority="305" operator="equal">
      <formula>"NA"</formula>
    </cfRule>
    <cfRule type="cellIs" dxfId="639" priority="306" operator="equal">
      <formula>"Yes"</formula>
    </cfRule>
  </conditionalFormatting>
  <conditionalFormatting sqref="AG33">
    <cfRule type="cellIs" dxfId="638" priority="301" operator="equal">
      <formula>"No"</formula>
    </cfRule>
    <cfRule type="cellIs" dxfId="637" priority="302" operator="equal">
      <formula>"NA"</formula>
    </cfRule>
    <cfRule type="cellIs" dxfId="636" priority="303" operator="equal">
      <formula>"Yes"</formula>
    </cfRule>
  </conditionalFormatting>
  <conditionalFormatting sqref="AG6">
    <cfRule type="cellIs" dxfId="635" priority="298" operator="equal">
      <formula>"No"</formula>
    </cfRule>
    <cfRule type="cellIs" dxfId="634" priority="299" operator="equal">
      <formula>"NA"</formula>
    </cfRule>
    <cfRule type="cellIs" dxfId="633" priority="300" operator="equal">
      <formula>"Yes"</formula>
    </cfRule>
  </conditionalFormatting>
  <conditionalFormatting sqref="AG7">
    <cfRule type="cellIs" dxfId="632" priority="295" operator="equal">
      <formula>"No"</formula>
    </cfRule>
    <cfRule type="cellIs" dxfId="631" priority="296" operator="equal">
      <formula>"NA"</formula>
    </cfRule>
    <cfRule type="cellIs" dxfId="630" priority="297" operator="equal">
      <formula>"Yes"</formula>
    </cfRule>
  </conditionalFormatting>
  <conditionalFormatting sqref="AG10">
    <cfRule type="cellIs" dxfId="629" priority="292" operator="equal">
      <formula>"No"</formula>
    </cfRule>
    <cfRule type="cellIs" dxfId="628" priority="293" operator="equal">
      <formula>"NA"</formula>
    </cfRule>
    <cfRule type="cellIs" dxfId="627" priority="294" operator="equal">
      <formula>"Yes"</formula>
    </cfRule>
  </conditionalFormatting>
  <conditionalFormatting sqref="AG25">
    <cfRule type="cellIs" dxfId="626" priority="289" operator="equal">
      <formula>"No"</formula>
    </cfRule>
    <cfRule type="cellIs" dxfId="625" priority="290" operator="equal">
      <formula>"NA"</formula>
    </cfRule>
    <cfRule type="cellIs" dxfId="624" priority="291" operator="equal">
      <formula>"Yes"</formula>
    </cfRule>
  </conditionalFormatting>
  <conditionalFormatting sqref="AH9">
    <cfRule type="cellIs" dxfId="623" priority="286" operator="equal">
      <formula>"No"</formula>
    </cfRule>
    <cfRule type="cellIs" dxfId="622" priority="287" operator="equal">
      <formula>"NA"</formula>
    </cfRule>
    <cfRule type="cellIs" dxfId="621" priority="288" operator="equal">
      <formula>"Yes"</formula>
    </cfRule>
  </conditionalFormatting>
  <conditionalFormatting sqref="AH11">
    <cfRule type="cellIs" dxfId="620" priority="283" operator="equal">
      <formula>"No"</formula>
    </cfRule>
    <cfRule type="cellIs" dxfId="619" priority="284" operator="equal">
      <formula>"NA"</formula>
    </cfRule>
    <cfRule type="cellIs" dxfId="618" priority="285" operator="equal">
      <formula>"Yes"</formula>
    </cfRule>
  </conditionalFormatting>
  <conditionalFormatting sqref="AH12">
    <cfRule type="cellIs" dxfId="617" priority="280" operator="equal">
      <formula>"No"</formula>
    </cfRule>
    <cfRule type="cellIs" dxfId="616" priority="281" operator="equal">
      <formula>"NA"</formula>
    </cfRule>
    <cfRule type="cellIs" dxfId="615" priority="282" operator="equal">
      <formula>"Yes"</formula>
    </cfRule>
  </conditionalFormatting>
  <conditionalFormatting sqref="AH13">
    <cfRule type="cellIs" dxfId="614" priority="277" operator="equal">
      <formula>"No"</formula>
    </cfRule>
    <cfRule type="cellIs" dxfId="613" priority="278" operator="equal">
      <formula>"NA"</formula>
    </cfRule>
    <cfRule type="cellIs" dxfId="612" priority="279" operator="equal">
      <formula>"Yes"</formula>
    </cfRule>
  </conditionalFormatting>
  <conditionalFormatting sqref="AH14">
    <cfRule type="cellIs" dxfId="611" priority="274" operator="equal">
      <formula>"No"</formula>
    </cfRule>
    <cfRule type="cellIs" dxfId="610" priority="275" operator="equal">
      <formula>"NA"</formula>
    </cfRule>
    <cfRule type="cellIs" dxfId="609" priority="276" operator="equal">
      <formula>"Yes"</formula>
    </cfRule>
  </conditionalFormatting>
  <conditionalFormatting sqref="AH15">
    <cfRule type="cellIs" dxfId="608" priority="271" operator="equal">
      <formula>"No"</formula>
    </cfRule>
    <cfRule type="cellIs" dxfId="607" priority="272" operator="equal">
      <formula>"NA"</formula>
    </cfRule>
    <cfRule type="cellIs" dxfId="606" priority="273" operator="equal">
      <formula>"Yes"</formula>
    </cfRule>
  </conditionalFormatting>
  <conditionalFormatting sqref="AH16">
    <cfRule type="cellIs" dxfId="605" priority="268" operator="equal">
      <formula>"No"</formula>
    </cfRule>
    <cfRule type="cellIs" dxfId="604" priority="269" operator="equal">
      <formula>"NA"</formula>
    </cfRule>
    <cfRule type="cellIs" dxfId="603" priority="270" operator="equal">
      <formula>"Yes"</formula>
    </cfRule>
  </conditionalFormatting>
  <conditionalFormatting sqref="AH17">
    <cfRule type="cellIs" dxfId="602" priority="265" operator="equal">
      <formula>"No"</formula>
    </cfRule>
    <cfRule type="cellIs" dxfId="601" priority="266" operator="equal">
      <formula>"NA"</formula>
    </cfRule>
    <cfRule type="cellIs" dxfId="600" priority="267" operator="equal">
      <formula>"Yes"</formula>
    </cfRule>
  </conditionalFormatting>
  <conditionalFormatting sqref="AH18">
    <cfRule type="cellIs" dxfId="599" priority="262" operator="equal">
      <formula>"No"</formula>
    </cfRule>
    <cfRule type="cellIs" dxfId="598" priority="263" operator="equal">
      <formula>"NA"</formula>
    </cfRule>
    <cfRule type="cellIs" dxfId="597" priority="264" operator="equal">
      <formula>"Yes"</formula>
    </cfRule>
  </conditionalFormatting>
  <conditionalFormatting sqref="AH19">
    <cfRule type="cellIs" dxfId="596" priority="259" operator="equal">
      <formula>"No"</formula>
    </cfRule>
    <cfRule type="cellIs" dxfId="595" priority="260" operator="equal">
      <formula>"NA"</formula>
    </cfRule>
    <cfRule type="cellIs" dxfId="594" priority="261" operator="equal">
      <formula>"Yes"</formula>
    </cfRule>
  </conditionalFormatting>
  <conditionalFormatting sqref="AH20">
    <cfRule type="cellIs" dxfId="593" priority="256" operator="equal">
      <formula>"No"</formula>
    </cfRule>
    <cfRule type="cellIs" dxfId="592" priority="257" operator="equal">
      <formula>"NA"</formula>
    </cfRule>
    <cfRule type="cellIs" dxfId="591" priority="258" operator="equal">
      <formula>"Yes"</formula>
    </cfRule>
  </conditionalFormatting>
  <conditionalFormatting sqref="AH21">
    <cfRule type="cellIs" dxfId="590" priority="253" operator="equal">
      <formula>"No"</formula>
    </cfRule>
    <cfRule type="cellIs" dxfId="589" priority="254" operator="equal">
      <formula>"NA"</formula>
    </cfRule>
    <cfRule type="cellIs" dxfId="588" priority="255" operator="equal">
      <formula>"Yes"</formula>
    </cfRule>
  </conditionalFormatting>
  <conditionalFormatting sqref="AH22">
    <cfRule type="cellIs" dxfId="587" priority="250" operator="equal">
      <formula>"No"</formula>
    </cfRule>
    <cfRule type="cellIs" dxfId="586" priority="251" operator="equal">
      <formula>"NA"</formula>
    </cfRule>
    <cfRule type="cellIs" dxfId="585" priority="252" operator="equal">
      <formula>"Yes"</formula>
    </cfRule>
  </conditionalFormatting>
  <conditionalFormatting sqref="AH23">
    <cfRule type="cellIs" dxfId="584" priority="247" operator="equal">
      <formula>"No"</formula>
    </cfRule>
    <cfRule type="cellIs" dxfId="583" priority="248" operator="equal">
      <formula>"NA"</formula>
    </cfRule>
    <cfRule type="cellIs" dxfId="582" priority="249" operator="equal">
      <formula>"Yes"</formula>
    </cfRule>
  </conditionalFormatting>
  <conditionalFormatting sqref="AH26">
    <cfRule type="cellIs" dxfId="581" priority="244" operator="equal">
      <formula>"No"</formula>
    </cfRule>
    <cfRule type="cellIs" dxfId="580" priority="245" operator="equal">
      <formula>"NA"</formula>
    </cfRule>
    <cfRule type="cellIs" dxfId="579" priority="246" operator="equal">
      <formula>"Yes"</formula>
    </cfRule>
  </conditionalFormatting>
  <conditionalFormatting sqref="AH27">
    <cfRule type="cellIs" dxfId="578" priority="241" operator="equal">
      <formula>"No"</formula>
    </cfRule>
    <cfRule type="cellIs" dxfId="577" priority="242" operator="equal">
      <formula>"NA"</formula>
    </cfRule>
    <cfRule type="cellIs" dxfId="576" priority="243" operator="equal">
      <formula>"Yes"</formula>
    </cfRule>
  </conditionalFormatting>
  <conditionalFormatting sqref="AH28">
    <cfRule type="cellIs" dxfId="575" priority="238" operator="equal">
      <formula>"No"</formula>
    </cfRule>
    <cfRule type="cellIs" dxfId="574" priority="239" operator="equal">
      <formula>"NA"</formula>
    </cfRule>
    <cfRule type="cellIs" dxfId="573" priority="240" operator="equal">
      <formula>"Yes"</formula>
    </cfRule>
  </conditionalFormatting>
  <conditionalFormatting sqref="AH30">
    <cfRule type="cellIs" dxfId="572" priority="235" operator="equal">
      <formula>"No"</formula>
    </cfRule>
    <cfRule type="cellIs" dxfId="571" priority="236" operator="equal">
      <formula>"NA"</formula>
    </cfRule>
    <cfRule type="cellIs" dxfId="570" priority="237" operator="equal">
      <formula>"Yes"</formula>
    </cfRule>
  </conditionalFormatting>
  <conditionalFormatting sqref="AH31">
    <cfRule type="cellIs" dxfId="569" priority="232" operator="equal">
      <formula>"No"</formula>
    </cfRule>
    <cfRule type="cellIs" dxfId="568" priority="233" operator="equal">
      <formula>"NA"</formula>
    </cfRule>
    <cfRule type="cellIs" dxfId="567" priority="234" operator="equal">
      <formula>"Yes"</formula>
    </cfRule>
  </conditionalFormatting>
  <conditionalFormatting sqref="AH33">
    <cfRule type="cellIs" dxfId="566" priority="229" operator="equal">
      <formula>"No"</formula>
    </cfRule>
    <cfRule type="cellIs" dxfId="565" priority="230" operator="equal">
      <formula>"NA"</formula>
    </cfRule>
    <cfRule type="cellIs" dxfId="564" priority="231" operator="equal">
      <formula>"Yes"</formula>
    </cfRule>
  </conditionalFormatting>
  <conditionalFormatting sqref="AH6">
    <cfRule type="cellIs" dxfId="563" priority="226" operator="equal">
      <formula>"No"</formula>
    </cfRule>
    <cfRule type="cellIs" dxfId="562" priority="227" operator="equal">
      <formula>"NA"</formula>
    </cfRule>
    <cfRule type="cellIs" dxfId="561" priority="228" operator="equal">
      <formula>"Yes"</formula>
    </cfRule>
  </conditionalFormatting>
  <conditionalFormatting sqref="AH7">
    <cfRule type="cellIs" dxfId="560" priority="223" operator="equal">
      <formula>"No"</formula>
    </cfRule>
    <cfRule type="cellIs" dxfId="559" priority="224" operator="equal">
      <formula>"NA"</formula>
    </cfRule>
    <cfRule type="cellIs" dxfId="558" priority="225" operator="equal">
      <formula>"Yes"</formula>
    </cfRule>
  </conditionalFormatting>
  <conditionalFormatting sqref="AH10">
    <cfRule type="cellIs" dxfId="557" priority="220" operator="equal">
      <formula>"No"</formula>
    </cfRule>
    <cfRule type="cellIs" dxfId="556" priority="221" operator="equal">
      <formula>"NA"</formula>
    </cfRule>
    <cfRule type="cellIs" dxfId="555" priority="222" operator="equal">
      <formula>"Yes"</formula>
    </cfRule>
  </conditionalFormatting>
  <conditionalFormatting sqref="AH25">
    <cfRule type="cellIs" dxfId="554" priority="217" operator="equal">
      <formula>"No"</formula>
    </cfRule>
    <cfRule type="cellIs" dxfId="553" priority="218" operator="equal">
      <formula>"NA"</formula>
    </cfRule>
    <cfRule type="cellIs" dxfId="552" priority="219" operator="equal">
      <formula>"Yes"</formula>
    </cfRule>
  </conditionalFormatting>
  <conditionalFormatting sqref="AI9:AJ9">
    <cfRule type="cellIs" dxfId="551" priority="214" operator="equal">
      <formula>"No"</formula>
    </cfRule>
    <cfRule type="cellIs" dxfId="550" priority="215" operator="equal">
      <formula>"NA"</formula>
    </cfRule>
    <cfRule type="cellIs" dxfId="549" priority="216" operator="equal">
      <formula>"Yes"</formula>
    </cfRule>
  </conditionalFormatting>
  <conditionalFormatting sqref="AI11:AJ11">
    <cfRule type="cellIs" dxfId="548" priority="211" operator="equal">
      <formula>"No"</formula>
    </cfRule>
    <cfRule type="cellIs" dxfId="547" priority="212" operator="equal">
      <formula>"NA"</formula>
    </cfRule>
    <cfRule type="cellIs" dxfId="546" priority="213" operator="equal">
      <formula>"Yes"</formula>
    </cfRule>
  </conditionalFormatting>
  <conditionalFormatting sqref="AI12:AJ12">
    <cfRule type="cellIs" dxfId="545" priority="208" operator="equal">
      <formula>"No"</formula>
    </cfRule>
    <cfRule type="cellIs" dxfId="544" priority="209" operator="equal">
      <formula>"NA"</formula>
    </cfRule>
    <cfRule type="cellIs" dxfId="543" priority="210" operator="equal">
      <formula>"Yes"</formula>
    </cfRule>
  </conditionalFormatting>
  <conditionalFormatting sqref="AI13:AJ13">
    <cfRule type="cellIs" dxfId="542" priority="205" operator="equal">
      <formula>"No"</formula>
    </cfRule>
    <cfRule type="cellIs" dxfId="541" priority="206" operator="equal">
      <formula>"NA"</formula>
    </cfRule>
    <cfRule type="cellIs" dxfId="540" priority="207" operator="equal">
      <formula>"Yes"</formula>
    </cfRule>
  </conditionalFormatting>
  <conditionalFormatting sqref="AI14:AJ14">
    <cfRule type="cellIs" dxfId="539" priority="202" operator="equal">
      <formula>"No"</formula>
    </cfRule>
    <cfRule type="cellIs" dxfId="538" priority="203" operator="equal">
      <formula>"NA"</formula>
    </cfRule>
    <cfRule type="cellIs" dxfId="537" priority="204" operator="equal">
      <formula>"Yes"</formula>
    </cfRule>
  </conditionalFormatting>
  <conditionalFormatting sqref="AI15:AJ15">
    <cfRule type="cellIs" dxfId="536" priority="199" operator="equal">
      <formula>"No"</formula>
    </cfRule>
    <cfRule type="cellIs" dxfId="535" priority="200" operator="equal">
      <formula>"NA"</formula>
    </cfRule>
    <cfRule type="cellIs" dxfId="534" priority="201" operator="equal">
      <formula>"Yes"</formula>
    </cfRule>
  </conditionalFormatting>
  <conditionalFormatting sqref="AI16:AJ16">
    <cfRule type="cellIs" dxfId="533" priority="196" operator="equal">
      <formula>"No"</formula>
    </cfRule>
    <cfRule type="cellIs" dxfId="532" priority="197" operator="equal">
      <formula>"NA"</formula>
    </cfRule>
    <cfRule type="cellIs" dxfId="531" priority="198" operator="equal">
      <formula>"Yes"</formula>
    </cfRule>
  </conditionalFormatting>
  <conditionalFormatting sqref="AI17:AJ17">
    <cfRule type="cellIs" dxfId="530" priority="193" operator="equal">
      <formula>"No"</formula>
    </cfRule>
    <cfRule type="cellIs" dxfId="529" priority="194" operator="equal">
      <formula>"NA"</formula>
    </cfRule>
    <cfRule type="cellIs" dxfId="528" priority="195" operator="equal">
      <formula>"Yes"</formula>
    </cfRule>
  </conditionalFormatting>
  <conditionalFormatting sqref="AI18:AJ18">
    <cfRule type="cellIs" dxfId="527" priority="190" operator="equal">
      <formula>"No"</formula>
    </cfRule>
    <cfRule type="cellIs" dxfId="526" priority="191" operator="equal">
      <formula>"NA"</formula>
    </cfRule>
    <cfRule type="cellIs" dxfId="525" priority="192" operator="equal">
      <formula>"Yes"</formula>
    </cfRule>
  </conditionalFormatting>
  <conditionalFormatting sqref="AI19:AJ19">
    <cfRule type="cellIs" dxfId="524" priority="187" operator="equal">
      <formula>"No"</formula>
    </cfRule>
    <cfRule type="cellIs" dxfId="523" priority="188" operator="equal">
      <formula>"NA"</formula>
    </cfRule>
    <cfRule type="cellIs" dxfId="522" priority="189" operator="equal">
      <formula>"Yes"</formula>
    </cfRule>
  </conditionalFormatting>
  <conditionalFormatting sqref="AI20:AJ20">
    <cfRule type="cellIs" dxfId="521" priority="184" operator="equal">
      <formula>"No"</formula>
    </cfRule>
    <cfRule type="cellIs" dxfId="520" priority="185" operator="equal">
      <formula>"NA"</formula>
    </cfRule>
    <cfRule type="cellIs" dxfId="519" priority="186" operator="equal">
      <formula>"Yes"</formula>
    </cfRule>
  </conditionalFormatting>
  <conditionalFormatting sqref="AI21:AJ21">
    <cfRule type="cellIs" dxfId="518" priority="181" operator="equal">
      <formula>"No"</formula>
    </cfRule>
    <cfRule type="cellIs" dxfId="517" priority="182" operator="equal">
      <formula>"NA"</formula>
    </cfRule>
    <cfRule type="cellIs" dxfId="516" priority="183" operator="equal">
      <formula>"Yes"</formula>
    </cfRule>
  </conditionalFormatting>
  <conditionalFormatting sqref="AI22:AJ22">
    <cfRule type="cellIs" dxfId="515" priority="178" operator="equal">
      <formula>"No"</formula>
    </cfRule>
    <cfRule type="cellIs" dxfId="514" priority="179" operator="equal">
      <formula>"NA"</formula>
    </cfRule>
    <cfRule type="cellIs" dxfId="513" priority="180" operator="equal">
      <formula>"Yes"</formula>
    </cfRule>
  </conditionalFormatting>
  <conditionalFormatting sqref="AI23:AJ23">
    <cfRule type="cellIs" dxfId="512" priority="175" operator="equal">
      <formula>"No"</formula>
    </cfRule>
    <cfRule type="cellIs" dxfId="511" priority="176" operator="equal">
      <formula>"NA"</formula>
    </cfRule>
    <cfRule type="cellIs" dxfId="510" priority="177" operator="equal">
      <formula>"Yes"</formula>
    </cfRule>
  </conditionalFormatting>
  <conditionalFormatting sqref="AI26:AJ26">
    <cfRule type="cellIs" dxfId="509" priority="172" operator="equal">
      <formula>"No"</formula>
    </cfRule>
    <cfRule type="cellIs" dxfId="508" priority="173" operator="equal">
      <formula>"NA"</formula>
    </cfRule>
    <cfRule type="cellIs" dxfId="507" priority="174" operator="equal">
      <formula>"Yes"</formula>
    </cfRule>
  </conditionalFormatting>
  <conditionalFormatting sqref="AI27:AJ27">
    <cfRule type="cellIs" dxfId="506" priority="169" operator="equal">
      <formula>"No"</formula>
    </cfRule>
    <cfRule type="cellIs" dxfId="505" priority="170" operator="equal">
      <formula>"NA"</formula>
    </cfRule>
    <cfRule type="cellIs" dxfId="504" priority="171" operator="equal">
      <formula>"Yes"</formula>
    </cfRule>
  </conditionalFormatting>
  <conditionalFormatting sqref="AI28:AJ28">
    <cfRule type="cellIs" dxfId="503" priority="166" operator="equal">
      <formula>"No"</formula>
    </cfRule>
    <cfRule type="cellIs" dxfId="502" priority="167" operator="equal">
      <formula>"NA"</formula>
    </cfRule>
    <cfRule type="cellIs" dxfId="501" priority="168" operator="equal">
      <formula>"Yes"</formula>
    </cfRule>
  </conditionalFormatting>
  <conditionalFormatting sqref="AI30:AJ30">
    <cfRule type="cellIs" dxfId="500" priority="163" operator="equal">
      <formula>"No"</formula>
    </cfRule>
    <cfRule type="cellIs" dxfId="499" priority="164" operator="equal">
      <formula>"NA"</formula>
    </cfRule>
    <cfRule type="cellIs" dxfId="498" priority="165" operator="equal">
      <formula>"Yes"</formula>
    </cfRule>
  </conditionalFormatting>
  <conditionalFormatting sqref="AI31:AJ31">
    <cfRule type="cellIs" dxfId="497" priority="160" operator="equal">
      <formula>"No"</formula>
    </cfRule>
    <cfRule type="cellIs" dxfId="496" priority="161" operator="equal">
      <formula>"NA"</formula>
    </cfRule>
    <cfRule type="cellIs" dxfId="495" priority="162" operator="equal">
      <formula>"Yes"</formula>
    </cfRule>
  </conditionalFormatting>
  <conditionalFormatting sqref="AI33:AJ33">
    <cfRule type="cellIs" dxfId="494" priority="157" operator="equal">
      <formula>"No"</formula>
    </cfRule>
    <cfRule type="cellIs" dxfId="493" priority="158" operator="equal">
      <formula>"NA"</formula>
    </cfRule>
    <cfRule type="cellIs" dxfId="492" priority="159" operator="equal">
      <formula>"Yes"</formula>
    </cfRule>
  </conditionalFormatting>
  <conditionalFormatting sqref="AI6:AJ6">
    <cfRule type="cellIs" dxfId="491" priority="154" operator="equal">
      <formula>"No"</formula>
    </cfRule>
    <cfRule type="cellIs" dxfId="490" priority="155" operator="equal">
      <formula>"NA"</formula>
    </cfRule>
    <cfRule type="cellIs" dxfId="489" priority="156" operator="equal">
      <formula>"Yes"</formula>
    </cfRule>
  </conditionalFormatting>
  <conditionalFormatting sqref="AI7:AJ7">
    <cfRule type="cellIs" dxfId="488" priority="151" operator="equal">
      <formula>"No"</formula>
    </cfRule>
    <cfRule type="cellIs" dxfId="487" priority="152" operator="equal">
      <formula>"NA"</formula>
    </cfRule>
    <cfRule type="cellIs" dxfId="486" priority="153" operator="equal">
      <formula>"Yes"</formula>
    </cfRule>
  </conditionalFormatting>
  <conditionalFormatting sqref="AI10:AJ10">
    <cfRule type="cellIs" dxfId="485" priority="148" operator="equal">
      <formula>"No"</formula>
    </cfRule>
    <cfRule type="cellIs" dxfId="484" priority="149" operator="equal">
      <formula>"NA"</formula>
    </cfRule>
    <cfRule type="cellIs" dxfId="483" priority="150" operator="equal">
      <formula>"Yes"</formula>
    </cfRule>
  </conditionalFormatting>
  <conditionalFormatting sqref="AI25:AJ25">
    <cfRule type="cellIs" dxfId="482" priority="145" operator="equal">
      <formula>"No"</formula>
    </cfRule>
    <cfRule type="cellIs" dxfId="481" priority="146" operator="equal">
      <formula>"NA"</formula>
    </cfRule>
    <cfRule type="cellIs" dxfId="480" priority="147" operator="equal">
      <formula>"Yes"</formula>
    </cfRule>
  </conditionalFormatting>
  <conditionalFormatting sqref="AK9">
    <cfRule type="cellIs" dxfId="479" priority="142" operator="equal">
      <formula>"No"</formula>
    </cfRule>
    <cfRule type="cellIs" dxfId="478" priority="143" operator="equal">
      <formula>"NA"</formula>
    </cfRule>
    <cfRule type="cellIs" dxfId="477" priority="144" operator="equal">
      <formula>"Yes"</formula>
    </cfRule>
  </conditionalFormatting>
  <conditionalFormatting sqref="AK11">
    <cfRule type="cellIs" dxfId="476" priority="139" operator="equal">
      <formula>"No"</formula>
    </cfRule>
    <cfRule type="cellIs" dxfId="475" priority="140" operator="equal">
      <formula>"NA"</formula>
    </cfRule>
    <cfRule type="cellIs" dxfId="474" priority="141" operator="equal">
      <formula>"Yes"</formula>
    </cfRule>
  </conditionalFormatting>
  <conditionalFormatting sqref="AK12">
    <cfRule type="cellIs" dxfId="473" priority="136" operator="equal">
      <formula>"No"</formula>
    </cfRule>
    <cfRule type="cellIs" dxfId="472" priority="137" operator="equal">
      <formula>"NA"</formula>
    </cfRule>
    <cfRule type="cellIs" dxfId="471" priority="138" operator="equal">
      <formula>"Yes"</formula>
    </cfRule>
  </conditionalFormatting>
  <conditionalFormatting sqref="AK13">
    <cfRule type="cellIs" dxfId="470" priority="133" operator="equal">
      <formula>"No"</formula>
    </cfRule>
    <cfRule type="cellIs" dxfId="469" priority="134" operator="equal">
      <formula>"NA"</formula>
    </cfRule>
    <cfRule type="cellIs" dxfId="468" priority="135" operator="equal">
      <formula>"Yes"</formula>
    </cfRule>
  </conditionalFormatting>
  <conditionalFormatting sqref="AK14">
    <cfRule type="cellIs" dxfId="467" priority="130" operator="equal">
      <formula>"No"</formula>
    </cfRule>
    <cfRule type="cellIs" dxfId="466" priority="131" operator="equal">
      <formula>"NA"</formula>
    </cfRule>
    <cfRule type="cellIs" dxfId="465" priority="132" operator="equal">
      <formula>"Yes"</formula>
    </cfRule>
  </conditionalFormatting>
  <conditionalFormatting sqref="AK15">
    <cfRule type="cellIs" dxfId="464" priority="127" operator="equal">
      <formula>"No"</formula>
    </cfRule>
    <cfRule type="cellIs" dxfId="463" priority="128" operator="equal">
      <formula>"NA"</formula>
    </cfRule>
    <cfRule type="cellIs" dxfId="462" priority="129" operator="equal">
      <formula>"Yes"</formula>
    </cfRule>
  </conditionalFormatting>
  <conditionalFormatting sqref="AK16">
    <cfRule type="cellIs" dxfId="461" priority="124" operator="equal">
      <formula>"No"</formula>
    </cfRule>
    <cfRule type="cellIs" dxfId="460" priority="125" operator="equal">
      <formula>"NA"</formula>
    </cfRule>
    <cfRule type="cellIs" dxfId="459" priority="126" operator="equal">
      <formula>"Yes"</formula>
    </cfRule>
  </conditionalFormatting>
  <conditionalFormatting sqref="AK17">
    <cfRule type="cellIs" dxfId="458" priority="121" operator="equal">
      <formula>"No"</formula>
    </cfRule>
    <cfRule type="cellIs" dxfId="457" priority="122" operator="equal">
      <formula>"NA"</formula>
    </cfRule>
    <cfRule type="cellIs" dxfId="456" priority="123" operator="equal">
      <formula>"Yes"</formula>
    </cfRule>
  </conditionalFormatting>
  <conditionalFormatting sqref="AK18">
    <cfRule type="cellIs" dxfId="455" priority="118" operator="equal">
      <formula>"No"</formula>
    </cfRule>
    <cfRule type="cellIs" dxfId="454" priority="119" operator="equal">
      <formula>"NA"</formula>
    </cfRule>
    <cfRule type="cellIs" dxfId="453" priority="120" operator="equal">
      <formula>"Yes"</formula>
    </cfRule>
  </conditionalFormatting>
  <conditionalFormatting sqref="AK19">
    <cfRule type="cellIs" dxfId="452" priority="115" operator="equal">
      <formula>"No"</formula>
    </cfRule>
    <cfRule type="cellIs" dxfId="451" priority="116" operator="equal">
      <formula>"NA"</formula>
    </cfRule>
    <cfRule type="cellIs" dxfId="450" priority="117" operator="equal">
      <formula>"Yes"</formula>
    </cfRule>
  </conditionalFormatting>
  <conditionalFormatting sqref="AK20">
    <cfRule type="cellIs" dxfId="449" priority="112" operator="equal">
      <formula>"No"</formula>
    </cfRule>
    <cfRule type="cellIs" dxfId="448" priority="113" operator="equal">
      <formula>"NA"</formula>
    </cfRule>
    <cfRule type="cellIs" dxfId="447" priority="114" operator="equal">
      <formula>"Yes"</formula>
    </cfRule>
  </conditionalFormatting>
  <conditionalFormatting sqref="AK21">
    <cfRule type="cellIs" dxfId="446" priority="109" operator="equal">
      <formula>"No"</formula>
    </cfRule>
    <cfRule type="cellIs" dxfId="445" priority="110" operator="equal">
      <formula>"NA"</formula>
    </cfRule>
    <cfRule type="cellIs" dxfId="444" priority="111" operator="equal">
      <formula>"Yes"</formula>
    </cfRule>
  </conditionalFormatting>
  <conditionalFormatting sqref="AK22">
    <cfRule type="cellIs" dxfId="443" priority="106" operator="equal">
      <formula>"No"</formula>
    </cfRule>
    <cfRule type="cellIs" dxfId="442" priority="107" operator="equal">
      <formula>"NA"</formula>
    </cfRule>
    <cfRule type="cellIs" dxfId="441" priority="108" operator="equal">
      <formula>"Yes"</formula>
    </cfRule>
  </conditionalFormatting>
  <conditionalFormatting sqref="AK23">
    <cfRule type="cellIs" dxfId="440" priority="103" operator="equal">
      <formula>"No"</formula>
    </cfRule>
    <cfRule type="cellIs" dxfId="439" priority="104" operator="equal">
      <formula>"NA"</formula>
    </cfRule>
    <cfRule type="cellIs" dxfId="438" priority="105" operator="equal">
      <formula>"Yes"</formula>
    </cfRule>
  </conditionalFormatting>
  <conditionalFormatting sqref="AK26">
    <cfRule type="cellIs" dxfId="437" priority="100" operator="equal">
      <formula>"No"</formula>
    </cfRule>
    <cfRule type="cellIs" dxfId="436" priority="101" operator="equal">
      <formula>"NA"</formula>
    </cfRule>
    <cfRule type="cellIs" dxfId="435" priority="102" operator="equal">
      <formula>"Yes"</formula>
    </cfRule>
  </conditionalFormatting>
  <conditionalFormatting sqref="AK27">
    <cfRule type="cellIs" dxfId="434" priority="97" operator="equal">
      <formula>"No"</formula>
    </cfRule>
    <cfRule type="cellIs" dxfId="433" priority="98" operator="equal">
      <formula>"NA"</formula>
    </cfRule>
    <cfRule type="cellIs" dxfId="432" priority="99" operator="equal">
      <formula>"Yes"</formula>
    </cfRule>
  </conditionalFormatting>
  <conditionalFormatting sqref="AK28">
    <cfRule type="cellIs" dxfId="431" priority="94" operator="equal">
      <formula>"No"</formula>
    </cfRule>
    <cfRule type="cellIs" dxfId="430" priority="95" operator="equal">
      <formula>"NA"</formula>
    </cfRule>
    <cfRule type="cellIs" dxfId="429" priority="96" operator="equal">
      <formula>"Yes"</formula>
    </cfRule>
  </conditionalFormatting>
  <conditionalFormatting sqref="AK30">
    <cfRule type="cellIs" dxfId="428" priority="91" operator="equal">
      <formula>"No"</formula>
    </cfRule>
    <cfRule type="cellIs" dxfId="427" priority="92" operator="equal">
      <formula>"NA"</formula>
    </cfRule>
    <cfRule type="cellIs" dxfId="426" priority="93" operator="equal">
      <formula>"Yes"</formula>
    </cfRule>
  </conditionalFormatting>
  <conditionalFormatting sqref="AK31">
    <cfRule type="cellIs" dxfId="425" priority="88" operator="equal">
      <formula>"No"</formula>
    </cfRule>
    <cfRule type="cellIs" dxfId="424" priority="89" operator="equal">
      <formula>"NA"</formula>
    </cfRule>
    <cfRule type="cellIs" dxfId="423" priority="90" operator="equal">
      <formula>"Yes"</formula>
    </cfRule>
  </conditionalFormatting>
  <conditionalFormatting sqref="AK33">
    <cfRule type="cellIs" dxfId="422" priority="85" operator="equal">
      <formula>"No"</formula>
    </cfRule>
    <cfRule type="cellIs" dxfId="421" priority="86" operator="equal">
      <formula>"NA"</formula>
    </cfRule>
    <cfRule type="cellIs" dxfId="420" priority="87" operator="equal">
      <formula>"Yes"</formula>
    </cfRule>
  </conditionalFormatting>
  <conditionalFormatting sqref="AK6">
    <cfRule type="cellIs" dxfId="419" priority="82" operator="equal">
      <formula>"No"</formula>
    </cfRule>
    <cfRule type="cellIs" dxfId="418" priority="83" operator="equal">
      <formula>"NA"</formula>
    </cfRule>
    <cfRule type="cellIs" dxfId="417" priority="84" operator="equal">
      <formula>"Yes"</formula>
    </cfRule>
  </conditionalFormatting>
  <conditionalFormatting sqref="AK7">
    <cfRule type="cellIs" dxfId="416" priority="79" operator="equal">
      <formula>"No"</formula>
    </cfRule>
    <cfRule type="cellIs" dxfId="415" priority="80" operator="equal">
      <formula>"NA"</formula>
    </cfRule>
    <cfRule type="cellIs" dxfId="414" priority="81" operator="equal">
      <formula>"Yes"</formula>
    </cfRule>
  </conditionalFormatting>
  <conditionalFormatting sqref="AK10">
    <cfRule type="cellIs" dxfId="413" priority="76" operator="equal">
      <formula>"No"</formula>
    </cfRule>
    <cfRule type="cellIs" dxfId="412" priority="77" operator="equal">
      <formula>"NA"</formula>
    </cfRule>
    <cfRule type="cellIs" dxfId="411" priority="78" operator="equal">
      <formula>"Yes"</formula>
    </cfRule>
  </conditionalFormatting>
  <conditionalFormatting sqref="AK25">
    <cfRule type="cellIs" dxfId="410" priority="73" operator="equal">
      <formula>"No"</formula>
    </cfRule>
    <cfRule type="cellIs" dxfId="409" priority="74" operator="equal">
      <formula>"NA"</formula>
    </cfRule>
    <cfRule type="cellIs" dxfId="408" priority="75" operator="equal">
      <formula>"Yes"</formula>
    </cfRule>
  </conditionalFormatting>
  <conditionalFormatting sqref="AL9">
    <cfRule type="cellIs" dxfId="407" priority="70" operator="equal">
      <formula>"No"</formula>
    </cfRule>
    <cfRule type="cellIs" dxfId="406" priority="71" operator="equal">
      <formula>"NA"</formula>
    </cfRule>
    <cfRule type="cellIs" dxfId="405" priority="72" operator="equal">
      <formula>"Yes"</formula>
    </cfRule>
  </conditionalFormatting>
  <conditionalFormatting sqref="AL11">
    <cfRule type="cellIs" dxfId="404" priority="67" operator="equal">
      <formula>"No"</formula>
    </cfRule>
    <cfRule type="cellIs" dxfId="403" priority="68" operator="equal">
      <formula>"NA"</formula>
    </cfRule>
    <cfRule type="cellIs" dxfId="402" priority="69" operator="equal">
      <formula>"Yes"</formula>
    </cfRule>
  </conditionalFormatting>
  <conditionalFormatting sqref="AL12">
    <cfRule type="cellIs" dxfId="401" priority="64" operator="equal">
      <formula>"No"</formula>
    </cfRule>
    <cfRule type="cellIs" dxfId="400" priority="65" operator="equal">
      <formula>"NA"</formula>
    </cfRule>
    <cfRule type="cellIs" dxfId="399" priority="66" operator="equal">
      <formula>"Yes"</formula>
    </cfRule>
  </conditionalFormatting>
  <conditionalFormatting sqref="AL13">
    <cfRule type="cellIs" dxfId="398" priority="61" operator="equal">
      <formula>"No"</formula>
    </cfRule>
    <cfRule type="cellIs" dxfId="397" priority="62" operator="equal">
      <formula>"NA"</formula>
    </cfRule>
    <cfRule type="cellIs" dxfId="396" priority="63" operator="equal">
      <formula>"Yes"</formula>
    </cfRule>
  </conditionalFormatting>
  <conditionalFormatting sqref="AL14">
    <cfRule type="cellIs" dxfId="395" priority="58" operator="equal">
      <formula>"No"</formula>
    </cfRule>
    <cfRule type="cellIs" dxfId="394" priority="59" operator="equal">
      <formula>"NA"</formula>
    </cfRule>
    <cfRule type="cellIs" dxfId="393" priority="60" operator="equal">
      <formula>"Yes"</formula>
    </cfRule>
  </conditionalFormatting>
  <conditionalFormatting sqref="AL15">
    <cfRule type="cellIs" dxfId="392" priority="55" operator="equal">
      <formula>"No"</formula>
    </cfRule>
    <cfRule type="cellIs" dxfId="391" priority="56" operator="equal">
      <formula>"NA"</formula>
    </cfRule>
    <cfRule type="cellIs" dxfId="390" priority="57" operator="equal">
      <formula>"Yes"</formula>
    </cfRule>
  </conditionalFormatting>
  <conditionalFormatting sqref="AL16">
    <cfRule type="cellIs" dxfId="389" priority="52" operator="equal">
      <formula>"No"</formula>
    </cfRule>
    <cfRule type="cellIs" dxfId="388" priority="53" operator="equal">
      <formula>"NA"</formula>
    </cfRule>
    <cfRule type="cellIs" dxfId="387" priority="54" operator="equal">
      <formula>"Yes"</formula>
    </cfRule>
  </conditionalFormatting>
  <conditionalFormatting sqref="AL17">
    <cfRule type="cellIs" dxfId="386" priority="49" operator="equal">
      <formula>"No"</formula>
    </cfRule>
    <cfRule type="cellIs" dxfId="385" priority="50" operator="equal">
      <formula>"NA"</formula>
    </cfRule>
    <cfRule type="cellIs" dxfId="384" priority="51" operator="equal">
      <formula>"Yes"</formula>
    </cfRule>
  </conditionalFormatting>
  <conditionalFormatting sqref="AL18">
    <cfRule type="cellIs" dxfId="383" priority="46" operator="equal">
      <formula>"No"</formula>
    </cfRule>
    <cfRule type="cellIs" dxfId="382" priority="47" operator="equal">
      <formula>"NA"</formula>
    </cfRule>
    <cfRule type="cellIs" dxfId="381" priority="48" operator="equal">
      <formula>"Yes"</formula>
    </cfRule>
  </conditionalFormatting>
  <conditionalFormatting sqref="AL19">
    <cfRule type="cellIs" dxfId="380" priority="43" operator="equal">
      <formula>"No"</formula>
    </cfRule>
    <cfRule type="cellIs" dxfId="379" priority="44" operator="equal">
      <formula>"NA"</formula>
    </cfRule>
    <cfRule type="cellIs" dxfId="378" priority="45" operator="equal">
      <formula>"Yes"</formula>
    </cfRule>
  </conditionalFormatting>
  <conditionalFormatting sqref="AL20">
    <cfRule type="cellIs" dxfId="377" priority="40" operator="equal">
      <formula>"No"</formula>
    </cfRule>
    <cfRule type="cellIs" dxfId="376" priority="41" operator="equal">
      <formula>"NA"</formula>
    </cfRule>
    <cfRule type="cellIs" dxfId="375" priority="42" operator="equal">
      <formula>"Yes"</formula>
    </cfRule>
  </conditionalFormatting>
  <conditionalFormatting sqref="AL21">
    <cfRule type="cellIs" dxfId="374" priority="37" operator="equal">
      <formula>"No"</formula>
    </cfRule>
    <cfRule type="cellIs" dxfId="373" priority="38" operator="equal">
      <formula>"NA"</formula>
    </cfRule>
    <cfRule type="cellIs" dxfId="372" priority="39" operator="equal">
      <formula>"Yes"</formula>
    </cfRule>
  </conditionalFormatting>
  <conditionalFormatting sqref="AL22">
    <cfRule type="cellIs" dxfId="371" priority="34" operator="equal">
      <formula>"No"</formula>
    </cfRule>
    <cfRule type="cellIs" dxfId="370" priority="35" operator="equal">
      <formula>"NA"</formula>
    </cfRule>
    <cfRule type="cellIs" dxfId="369" priority="36" operator="equal">
      <formula>"Yes"</formula>
    </cfRule>
  </conditionalFormatting>
  <conditionalFormatting sqref="AL23">
    <cfRule type="cellIs" dxfId="368" priority="31" operator="equal">
      <formula>"No"</formula>
    </cfRule>
    <cfRule type="cellIs" dxfId="367" priority="32" operator="equal">
      <formula>"NA"</formula>
    </cfRule>
    <cfRule type="cellIs" dxfId="366" priority="33" operator="equal">
      <formula>"Yes"</formula>
    </cfRule>
  </conditionalFormatting>
  <conditionalFormatting sqref="AL26">
    <cfRule type="cellIs" dxfId="365" priority="28" operator="equal">
      <formula>"No"</formula>
    </cfRule>
    <cfRule type="cellIs" dxfId="364" priority="29" operator="equal">
      <formula>"NA"</formula>
    </cfRule>
    <cfRule type="cellIs" dxfId="363" priority="30" operator="equal">
      <formula>"Yes"</formula>
    </cfRule>
  </conditionalFormatting>
  <conditionalFormatting sqref="AL27">
    <cfRule type="cellIs" dxfId="362" priority="25" operator="equal">
      <formula>"No"</formula>
    </cfRule>
    <cfRule type="cellIs" dxfId="361" priority="26" operator="equal">
      <formula>"NA"</formula>
    </cfRule>
    <cfRule type="cellIs" dxfId="360" priority="27" operator="equal">
      <formula>"Yes"</formula>
    </cfRule>
  </conditionalFormatting>
  <conditionalFormatting sqref="AL28">
    <cfRule type="cellIs" dxfId="359" priority="22" operator="equal">
      <formula>"No"</formula>
    </cfRule>
    <cfRule type="cellIs" dxfId="358" priority="23" operator="equal">
      <formula>"NA"</formula>
    </cfRule>
    <cfRule type="cellIs" dxfId="357" priority="24" operator="equal">
      <formula>"Yes"</formula>
    </cfRule>
  </conditionalFormatting>
  <conditionalFormatting sqref="AL30">
    <cfRule type="cellIs" dxfId="356" priority="19" operator="equal">
      <formula>"No"</formula>
    </cfRule>
    <cfRule type="cellIs" dxfId="355" priority="20" operator="equal">
      <formula>"NA"</formula>
    </cfRule>
    <cfRule type="cellIs" dxfId="354" priority="21" operator="equal">
      <formula>"Yes"</formula>
    </cfRule>
  </conditionalFormatting>
  <conditionalFormatting sqref="AL31">
    <cfRule type="cellIs" dxfId="353" priority="16" operator="equal">
      <formula>"No"</formula>
    </cfRule>
    <cfRule type="cellIs" dxfId="352" priority="17" operator="equal">
      <formula>"NA"</formula>
    </cfRule>
    <cfRule type="cellIs" dxfId="351" priority="18" operator="equal">
      <formula>"Yes"</formula>
    </cfRule>
  </conditionalFormatting>
  <conditionalFormatting sqref="AL33">
    <cfRule type="cellIs" dxfId="350" priority="13" operator="equal">
      <formula>"No"</formula>
    </cfRule>
    <cfRule type="cellIs" dxfId="349" priority="14" operator="equal">
      <formula>"NA"</formula>
    </cfRule>
    <cfRule type="cellIs" dxfId="348" priority="15" operator="equal">
      <formula>"Yes"</formula>
    </cfRule>
  </conditionalFormatting>
  <conditionalFormatting sqref="AL6">
    <cfRule type="cellIs" dxfId="347" priority="10" operator="equal">
      <formula>"No"</formula>
    </cfRule>
    <cfRule type="cellIs" dxfId="346" priority="11" operator="equal">
      <formula>"NA"</formula>
    </cfRule>
    <cfRule type="cellIs" dxfId="345" priority="12" operator="equal">
      <formula>"Yes"</formula>
    </cfRule>
  </conditionalFormatting>
  <conditionalFormatting sqref="AL7">
    <cfRule type="cellIs" dxfId="344" priority="7" operator="equal">
      <formula>"No"</formula>
    </cfRule>
    <cfRule type="cellIs" dxfId="343" priority="8" operator="equal">
      <formula>"NA"</formula>
    </cfRule>
    <cfRule type="cellIs" dxfId="342" priority="9" operator="equal">
      <formula>"Yes"</formula>
    </cfRule>
  </conditionalFormatting>
  <conditionalFormatting sqref="AL10">
    <cfRule type="cellIs" dxfId="341" priority="4" operator="equal">
      <formula>"No"</formula>
    </cfRule>
    <cfRule type="cellIs" dxfId="340" priority="5" operator="equal">
      <formula>"NA"</formula>
    </cfRule>
    <cfRule type="cellIs" dxfId="339" priority="6" operator="equal">
      <formula>"Yes"</formula>
    </cfRule>
  </conditionalFormatting>
  <conditionalFormatting sqref="AL25">
    <cfRule type="cellIs" dxfId="338" priority="1" operator="equal">
      <formula>"No"</formula>
    </cfRule>
    <cfRule type="cellIs" dxfId="337" priority="2" operator="equal">
      <formula>"NA"</formula>
    </cfRule>
    <cfRule type="cellIs" dxfId="336" priority="3" operator="equal">
      <formula>"Yes"</formula>
    </cfRule>
  </conditionalFormatting>
  <dataValidations count="1">
    <dataValidation type="list" allowBlank="1" showInputMessage="1" showErrorMessage="1" sqref="C6:AL7 C25:AL28 C33:AL33 C30:AL31 C9:AL2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523BE-FCE0-4EAB-9A4C-70DDFE521F8F}">
  <sheetPr>
    <tabColor theme="7" tint="0.39997558519241921"/>
  </sheetPr>
  <dimension ref="A2:J38"/>
  <sheetViews>
    <sheetView workbookViewId="0">
      <selection activeCell="G3" sqref="G3"/>
    </sheetView>
  </sheetViews>
  <sheetFormatPr defaultRowHeight="12.75" outlineLevelCol="1"/>
  <cols>
    <col min="1" max="1" width="12.5703125" style="160" bestFit="1" customWidth="1"/>
    <col min="2" max="2" width="61" style="159" customWidth="1"/>
    <col min="3" max="3" width="6.28515625" style="158" bestFit="1" customWidth="1"/>
    <col min="4" max="7" width="6.28515625" style="158" customWidth="1"/>
    <col min="8" max="8" width="33.7109375" style="158" customWidth="1"/>
    <col min="9" max="10" width="30.7109375" style="158" customWidth="1" outlineLevel="1"/>
  </cols>
  <sheetData>
    <row r="2" spans="1:10" ht="69.75">
      <c r="A2" s="183" t="s">
        <v>214</v>
      </c>
      <c r="B2" s="184" t="s">
        <v>380</v>
      </c>
      <c r="C2" s="185" t="s">
        <v>567</v>
      </c>
      <c r="D2" s="185" t="s">
        <v>566</v>
      </c>
      <c r="E2" s="185" t="s">
        <v>583</v>
      </c>
      <c r="F2" s="185" t="s">
        <v>586</v>
      </c>
      <c r="G2" s="185" t="s">
        <v>623</v>
      </c>
      <c r="H2" s="186" t="s">
        <v>223</v>
      </c>
      <c r="I2" s="352" t="s">
        <v>186</v>
      </c>
      <c r="J2" s="353"/>
    </row>
    <row r="3" spans="1:10" ht="18.75">
      <c r="A3" s="187"/>
      <c r="B3" s="188"/>
      <c r="C3" s="189">
        <f>COUNTIF(Review.ratings,"Yes") / ( COUNTA(Review.QuestionIds) - COUNTIF(Review.ratings,"NA"))</f>
        <v>0.88888888888888884</v>
      </c>
      <c r="D3" s="189">
        <f>COUNTIF(Review.ratings,"Yes") / ( COUNTA(Review.QuestionIds) - COUNTIF(Review.ratings,"NA"))</f>
        <v>0.88888888888888884</v>
      </c>
      <c r="E3" s="189">
        <f>COUNTIF(E6:E35,"Yes") / ( COUNTA(Review.QuestionIds) - COUNTIF(E6:E35,"NA"))</f>
        <v>1</v>
      </c>
      <c r="F3" s="189">
        <f>COUNTIF(F6:F35,"Yes") / ( COUNTA(Review.QuestionIds) - COUNTIF(F6:F35,"NA"))</f>
        <v>1</v>
      </c>
      <c r="G3" s="189">
        <f>COUNTIF(G6:G35,"Yes") / ( COUNTA(Review.QuestionIds) - COUNTIF(G6:G35,"NA"))</f>
        <v>1</v>
      </c>
      <c r="H3" s="194"/>
      <c r="I3" s="202" t="s">
        <v>220</v>
      </c>
      <c r="J3" s="202" t="s">
        <v>221</v>
      </c>
    </row>
    <row r="4" spans="1:10" ht="36">
      <c r="A4" s="190"/>
      <c r="B4" s="191" t="s">
        <v>225</v>
      </c>
      <c r="C4" s="192"/>
      <c r="D4" s="192"/>
      <c r="E4" s="192"/>
      <c r="F4" s="192"/>
      <c r="G4" s="192"/>
      <c r="H4" s="192"/>
      <c r="I4" s="192"/>
      <c r="J4" s="193"/>
    </row>
    <row r="5" spans="1:10" ht="18.75">
      <c r="A5" s="161"/>
      <c r="B5" s="169" t="s">
        <v>381</v>
      </c>
      <c r="C5" s="162"/>
      <c r="D5" s="162"/>
      <c r="E5" s="162"/>
      <c r="F5" s="162"/>
      <c r="G5" s="162"/>
      <c r="H5" s="162"/>
      <c r="I5" s="202"/>
      <c r="J5" s="202"/>
    </row>
    <row r="6" spans="1:10" ht="25.5">
      <c r="A6" s="164" t="s">
        <v>382</v>
      </c>
      <c r="B6" s="172" t="s">
        <v>383</v>
      </c>
      <c r="C6" s="196" t="s">
        <v>213</v>
      </c>
      <c r="D6" s="196" t="s">
        <v>213</v>
      </c>
      <c r="E6" s="196" t="s">
        <v>213</v>
      </c>
      <c r="F6" s="196" t="s">
        <v>213</v>
      </c>
      <c r="G6" s="196" t="s">
        <v>213</v>
      </c>
      <c r="H6" s="197"/>
      <c r="I6" s="163"/>
      <c r="J6" s="163"/>
    </row>
    <row r="7" spans="1:10" ht="38.25">
      <c r="A7" s="164" t="s">
        <v>384</v>
      </c>
      <c r="B7" s="172" t="s">
        <v>385</v>
      </c>
      <c r="C7" s="196" t="s">
        <v>213</v>
      </c>
      <c r="D7" s="196" t="s">
        <v>213</v>
      </c>
      <c r="E7" s="196" t="s">
        <v>213</v>
      </c>
      <c r="F7" s="196" t="s">
        <v>213</v>
      </c>
      <c r="G7" s="196" t="s">
        <v>213</v>
      </c>
      <c r="H7" s="197"/>
      <c r="I7" s="207"/>
      <c r="J7" s="163"/>
    </row>
    <row r="8" spans="1:10" ht="25.5">
      <c r="A8" s="164" t="s">
        <v>387</v>
      </c>
      <c r="B8" s="172" t="s">
        <v>388</v>
      </c>
      <c r="C8" s="196" t="s">
        <v>213</v>
      </c>
      <c r="D8" s="196" t="s">
        <v>213</v>
      </c>
      <c r="E8" s="196" t="s">
        <v>213</v>
      </c>
      <c r="F8" s="196" t="s">
        <v>213</v>
      </c>
      <c r="G8" s="196" t="s">
        <v>213</v>
      </c>
      <c r="H8" s="197"/>
      <c r="I8" s="163"/>
      <c r="J8" s="163"/>
    </row>
    <row r="9" spans="1:10" ht="25.5">
      <c r="A9" s="164" t="s">
        <v>389</v>
      </c>
      <c r="B9" s="172" t="s">
        <v>390</v>
      </c>
      <c r="C9" s="196" t="s">
        <v>213</v>
      </c>
      <c r="D9" s="196" t="s">
        <v>213</v>
      </c>
      <c r="E9" s="196" t="s">
        <v>213</v>
      </c>
      <c r="F9" s="196" t="s">
        <v>213</v>
      </c>
      <c r="G9" s="196" t="s">
        <v>213</v>
      </c>
      <c r="H9" s="197"/>
      <c r="I9" s="163"/>
      <c r="J9" s="163"/>
    </row>
    <row r="10" spans="1:10" ht="38.25">
      <c r="A10" s="164" t="s">
        <v>391</v>
      </c>
      <c r="B10" s="172" t="s">
        <v>392</v>
      </c>
      <c r="C10" s="196" t="s">
        <v>213</v>
      </c>
      <c r="D10" s="196" t="s">
        <v>213</v>
      </c>
      <c r="E10" s="196" t="s">
        <v>213</v>
      </c>
      <c r="F10" s="196" t="s">
        <v>213</v>
      </c>
      <c r="G10" s="196" t="s">
        <v>213</v>
      </c>
      <c r="H10" s="197"/>
      <c r="I10" s="163"/>
      <c r="J10" s="163"/>
    </row>
    <row r="11" spans="1:10" ht="18.75">
      <c r="A11" s="161"/>
      <c r="B11" s="169" t="s">
        <v>393</v>
      </c>
      <c r="C11" s="162"/>
      <c r="D11" s="162"/>
      <c r="E11" s="162"/>
      <c r="F11" s="162"/>
      <c r="G11" s="162"/>
      <c r="H11" s="162"/>
      <c r="I11" s="202"/>
      <c r="J11" s="202"/>
    </row>
    <row r="12" spans="1:10" ht="63.75">
      <c r="A12" s="164" t="s">
        <v>394</v>
      </c>
      <c r="B12" s="172" t="s">
        <v>395</v>
      </c>
      <c r="C12" s="196" t="s">
        <v>11</v>
      </c>
      <c r="D12" s="196" t="s">
        <v>11</v>
      </c>
      <c r="E12" s="196" t="s">
        <v>11</v>
      </c>
      <c r="F12" s="196" t="s">
        <v>11</v>
      </c>
      <c r="G12" s="196" t="s">
        <v>11</v>
      </c>
      <c r="H12" s="206" t="s">
        <v>396</v>
      </c>
      <c r="I12" s="163"/>
      <c r="J12" s="163"/>
    </row>
    <row r="13" spans="1:10" ht="63.75">
      <c r="A13" s="164" t="s">
        <v>397</v>
      </c>
      <c r="B13" s="172" t="s">
        <v>398</v>
      </c>
      <c r="C13" s="196" t="s">
        <v>213</v>
      </c>
      <c r="D13" s="196" t="s">
        <v>213</v>
      </c>
      <c r="E13" s="196" t="s">
        <v>213</v>
      </c>
      <c r="F13" s="196" t="s">
        <v>213</v>
      </c>
      <c r="G13" s="196" t="s">
        <v>213</v>
      </c>
      <c r="H13" s="197"/>
      <c r="I13" s="163"/>
      <c r="J13" s="163"/>
    </row>
    <row r="14" spans="1:10" ht="51">
      <c r="A14" s="164" t="s">
        <v>399</v>
      </c>
      <c r="B14" s="172" t="s">
        <v>400</v>
      </c>
      <c r="C14" s="196" t="s">
        <v>213</v>
      </c>
      <c r="D14" s="196" t="s">
        <v>213</v>
      </c>
      <c r="E14" s="196" t="s">
        <v>213</v>
      </c>
      <c r="F14" s="196" t="s">
        <v>213</v>
      </c>
      <c r="G14" s="196" t="s">
        <v>213</v>
      </c>
      <c r="H14" s="197"/>
      <c r="I14" s="163"/>
      <c r="J14" s="163"/>
    </row>
    <row r="15" spans="1:10" ht="25.5">
      <c r="A15" s="164" t="s">
        <v>401</v>
      </c>
      <c r="B15" s="172" t="s">
        <v>402</v>
      </c>
      <c r="C15" s="196" t="s">
        <v>213</v>
      </c>
      <c r="D15" s="196" t="s">
        <v>213</v>
      </c>
      <c r="E15" s="196" t="s">
        <v>213</v>
      </c>
      <c r="F15" s="196" t="s">
        <v>213</v>
      </c>
      <c r="G15" s="196" t="s">
        <v>213</v>
      </c>
      <c r="H15" s="197"/>
      <c r="I15" s="163"/>
      <c r="J15" s="163"/>
    </row>
    <row r="16" spans="1:10" ht="18.75">
      <c r="A16" s="161"/>
      <c r="B16" s="169" t="s">
        <v>403</v>
      </c>
      <c r="C16" s="162"/>
      <c r="D16" s="162"/>
      <c r="E16" s="162"/>
      <c r="F16" s="162"/>
      <c r="G16" s="162"/>
      <c r="H16" s="162"/>
      <c r="I16" s="202"/>
      <c r="J16" s="202"/>
    </row>
    <row r="17" spans="1:10" ht="38.25">
      <c r="A17" s="164" t="s">
        <v>404</v>
      </c>
      <c r="B17" s="172" t="s">
        <v>405</v>
      </c>
      <c r="C17" s="196" t="s">
        <v>23</v>
      </c>
      <c r="D17" s="196" t="s">
        <v>213</v>
      </c>
      <c r="E17" s="196" t="s">
        <v>213</v>
      </c>
      <c r="F17" s="196" t="s">
        <v>213</v>
      </c>
      <c r="G17" s="196" t="s">
        <v>213</v>
      </c>
      <c r="H17" s="197"/>
      <c r="I17" s="163"/>
      <c r="J17" s="163"/>
    </row>
    <row r="18" spans="1:10" ht="76.5">
      <c r="A18" s="164" t="s">
        <v>406</v>
      </c>
      <c r="B18" s="172" t="s">
        <v>407</v>
      </c>
      <c r="C18" s="196" t="s">
        <v>23</v>
      </c>
      <c r="D18" s="196" t="s">
        <v>213</v>
      </c>
      <c r="E18" s="196" t="s">
        <v>213</v>
      </c>
      <c r="F18" s="196" t="s">
        <v>213</v>
      </c>
      <c r="G18" s="196" t="s">
        <v>213</v>
      </c>
      <c r="H18" s="197"/>
      <c r="I18" s="163"/>
      <c r="J18" s="163"/>
    </row>
    <row r="19" spans="1:10" ht="18.75">
      <c r="A19" s="161"/>
      <c r="B19" s="169" t="s">
        <v>262</v>
      </c>
      <c r="C19" s="162"/>
      <c r="D19" s="162"/>
      <c r="E19" s="162"/>
      <c r="F19" s="162"/>
      <c r="G19" s="162"/>
      <c r="H19" s="162"/>
      <c r="I19" s="202"/>
      <c r="J19" s="202"/>
    </row>
    <row r="20" spans="1:10" ht="51">
      <c r="A20" s="164" t="s">
        <v>408</v>
      </c>
      <c r="B20" s="172" t="s">
        <v>409</v>
      </c>
      <c r="C20" s="196" t="s">
        <v>11</v>
      </c>
      <c r="D20" s="196" t="s">
        <v>11</v>
      </c>
      <c r="E20" s="196" t="s">
        <v>11</v>
      </c>
      <c r="F20" s="196" t="s">
        <v>11</v>
      </c>
      <c r="G20" s="196" t="s">
        <v>11</v>
      </c>
      <c r="H20" s="206" t="s">
        <v>410</v>
      </c>
      <c r="I20" s="163"/>
      <c r="J20" s="163"/>
    </row>
    <row r="21" spans="1:10" ht="51">
      <c r="A21" s="164" t="s">
        <v>411</v>
      </c>
      <c r="B21" s="172" t="s">
        <v>412</v>
      </c>
      <c r="C21" s="196" t="s">
        <v>11</v>
      </c>
      <c r="D21" s="196" t="s">
        <v>11</v>
      </c>
      <c r="E21" s="196" t="s">
        <v>11</v>
      </c>
      <c r="F21" s="196" t="s">
        <v>11</v>
      </c>
      <c r="G21" s="196" t="s">
        <v>11</v>
      </c>
      <c r="H21" s="206" t="s">
        <v>410</v>
      </c>
      <c r="I21" s="163"/>
      <c r="J21" s="163"/>
    </row>
    <row r="22" spans="1:10" ht="51">
      <c r="A22" s="164" t="s">
        <v>413</v>
      </c>
      <c r="B22" s="172" t="s">
        <v>414</v>
      </c>
      <c r="C22" s="196" t="s">
        <v>11</v>
      </c>
      <c r="D22" s="196" t="s">
        <v>11</v>
      </c>
      <c r="E22" s="196" t="s">
        <v>11</v>
      </c>
      <c r="F22" s="196" t="s">
        <v>11</v>
      </c>
      <c r="G22" s="196" t="s">
        <v>11</v>
      </c>
      <c r="H22" s="206" t="s">
        <v>410</v>
      </c>
      <c r="I22" s="163"/>
      <c r="J22" s="163"/>
    </row>
    <row r="23" spans="1:10" ht="25.5">
      <c r="A23" s="164" t="s">
        <v>415</v>
      </c>
      <c r="B23" s="172" t="s">
        <v>416</v>
      </c>
      <c r="C23" s="196" t="s">
        <v>213</v>
      </c>
      <c r="D23" s="196" t="s">
        <v>213</v>
      </c>
      <c r="E23" s="196" t="s">
        <v>213</v>
      </c>
      <c r="F23" s="196" t="s">
        <v>213</v>
      </c>
      <c r="G23" s="196" t="s">
        <v>213</v>
      </c>
      <c r="H23" s="197"/>
      <c r="I23" s="163"/>
      <c r="J23" s="163"/>
    </row>
    <row r="24" spans="1:10" ht="51">
      <c r="A24" s="164" t="s">
        <v>417</v>
      </c>
      <c r="B24" s="172" t="s">
        <v>418</v>
      </c>
      <c r="C24" s="196" t="s">
        <v>11</v>
      </c>
      <c r="D24" s="196" t="s">
        <v>11</v>
      </c>
      <c r="E24" s="196" t="s">
        <v>11</v>
      </c>
      <c r="F24" s="196" t="s">
        <v>11</v>
      </c>
      <c r="G24" s="196" t="s">
        <v>11</v>
      </c>
      <c r="H24" s="206" t="s">
        <v>410</v>
      </c>
      <c r="I24" s="163"/>
      <c r="J24" s="163"/>
    </row>
    <row r="25" spans="1:10" ht="25.5">
      <c r="A25" s="164" t="s">
        <v>419</v>
      </c>
      <c r="B25" s="172" t="s">
        <v>420</v>
      </c>
      <c r="C25" s="196" t="s">
        <v>213</v>
      </c>
      <c r="D25" s="196" t="s">
        <v>213</v>
      </c>
      <c r="E25" s="196" t="s">
        <v>213</v>
      </c>
      <c r="F25" s="196" t="s">
        <v>213</v>
      </c>
      <c r="G25" s="196" t="s">
        <v>213</v>
      </c>
      <c r="H25" s="197"/>
      <c r="I25" s="163"/>
      <c r="J25" s="163"/>
    </row>
    <row r="26" spans="1:10" ht="18.75">
      <c r="A26" s="161"/>
      <c r="B26" s="169" t="s">
        <v>217</v>
      </c>
      <c r="C26" s="162"/>
      <c r="D26" s="162"/>
      <c r="E26" s="162"/>
      <c r="F26" s="162"/>
      <c r="G26" s="162"/>
      <c r="H26" s="162"/>
      <c r="I26" s="202"/>
      <c r="J26" s="202"/>
    </row>
    <row r="27" spans="1:10" ht="38.25">
      <c r="A27" s="164" t="s">
        <v>312</v>
      </c>
      <c r="B27" s="172" t="s">
        <v>207</v>
      </c>
      <c r="C27" s="196" t="s">
        <v>213</v>
      </c>
      <c r="D27" s="196" t="s">
        <v>213</v>
      </c>
      <c r="E27" s="196" t="s">
        <v>213</v>
      </c>
      <c r="F27" s="196" t="s">
        <v>213</v>
      </c>
      <c r="G27" s="196" t="s">
        <v>213</v>
      </c>
      <c r="H27" s="197"/>
      <c r="I27" s="163"/>
      <c r="J27" s="163"/>
    </row>
    <row r="28" spans="1:10" ht="25.5">
      <c r="A28" s="164" t="s">
        <v>313</v>
      </c>
      <c r="B28" s="172" t="s">
        <v>208</v>
      </c>
      <c r="C28" s="196" t="s">
        <v>213</v>
      </c>
      <c r="D28" s="196" t="s">
        <v>213</v>
      </c>
      <c r="E28" s="196" t="s">
        <v>213</v>
      </c>
      <c r="F28" s="196" t="s">
        <v>213</v>
      </c>
      <c r="G28" s="196" t="s">
        <v>213</v>
      </c>
      <c r="H28" s="197"/>
      <c r="I28" s="163"/>
      <c r="J28" s="163"/>
    </row>
    <row r="29" spans="1:10" ht="38.25">
      <c r="A29" s="164" t="s">
        <v>314</v>
      </c>
      <c r="B29" s="172" t="s">
        <v>209</v>
      </c>
      <c r="C29" s="196" t="s">
        <v>213</v>
      </c>
      <c r="D29" s="196" t="s">
        <v>213</v>
      </c>
      <c r="E29" s="196" t="s">
        <v>213</v>
      </c>
      <c r="F29" s="196" t="s">
        <v>213</v>
      </c>
      <c r="G29" s="196" t="s">
        <v>213</v>
      </c>
      <c r="H29" s="197"/>
      <c r="I29" s="163"/>
      <c r="J29" s="163"/>
    </row>
    <row r="30" spans="1:10" ht="38.25">
      <c r="A30" s="164" t="s">
        <v>315</v>
      </c>
      <c r="B30" s="172" t="s">
        <v>210</v>
      </c>
      <c r="C30" s="196" t="s">
        <v>213</v>
      </c>
      <c r="D30" s="196" t="s">
        <v>213</v>
      </c>
      <c r="E30" s="196" t="s">
        <v>213</v>
      </c>
      <c r="F30" s="196" t="s">
        <v>213</v>
      </c>
      <c r="G30" s="196" t="s">
        <v>213</v>
      </c>
      <c r="H30" s="197"/>
      <c r="I30" s="163"/>
      <c r="J30" s="163"/>
    </row>
    <row r="31" spans="1:10" ht="18.75">
      <c r="A31" s="161"/>
      <c r="B31" s="169" t="s">
        <v>218</v>
      </c>
      <c r="C31" s="162"/>
      <c r="D31" s="162"/>
      <c r="E31" s="162"/>
      <c r="F31" s="162"/>
      <c r="G31" s="162"/>
      <c r="H31" s="162"/>
      <c r="I31" s="202"/>
      <c r="J31" s="202"/>
    </row>
    <row r="32" spans="1:10" ht="38.25">
      <c r="A32" s="164" t="s">
        <v>316</v>
      </c>
      <c r="B32" s="172" t="s">
        <v>211</v>
      </c>
      <c r="C32" s="196" t="s">
        <v>213</v>
      </c>
      <c r="D32" s="196" t="s">
        <v>213</v>
      </c>
      <c r="E32" s="196" t="s">
        <v>213</v>
      </c>
      <c r="F32" s="196" t="s">
        <v>213</v>
      </c>
      <c r="G32" s="196" t="s">
        <v>213</v>
      </c>
      <c r="H32" s="197"/>
      <c r="I32" s="163"/>
      <c r="J32" s="163"/>
    </row>
    <row r="33" spans="1:10" ht="38.25">
      <c r="A33" s="164" t="s">
        <v>317</v>
      </c>
      <c r="B33" s="172" t="s">
        <v>212</v>
      </c>
      <c r="C33" s="196" t="s">
        <v>213</v>
      </c>
      <c r="D33" s="196" t="s">
        <v>213</v>
      </c>
      <c r="E33" s="196" t="s">
        <v>213</v>
      </c>
      <c r="F33" s="196" t="s">
        <v>213</v>
      </c>
      <c r="G33" s="196" t="s">
        <v>213</v>
      </c>
      <c r="H33" s="197"/>
      <c r="I33" s="163"/>
      <c r="J33" s="163"/>
    </row>
    <row r="34" spans="1:10" ht="18.75">
      <c r="A34" s="161"/>
      <c r="B34" s="169" t="s">
        <v>205</v>
      </c>
      <c r="C34" s="162"/>
      <c r="D34" s="162"/>
      <c r="E34" s="162"/>
      <c r="F34" s="162"/>
      <c r="G34" s="162"/>
      <c r="H34" s="162"/>
      <c r="I34" s="202"/>
      <c r="J34" s="202"/>
    </row>
    <row r="35" spans="1:10" ht="51">
      <c r="A35" s="164" t="s">
        <v>318</v>
      </c>
      <c r="B35" s="172" t="s">
        <v>206</v>
      </c>
      <c r="C35" s="196" t="s">
        <v>11</v>
      </c>
      <c r="D35" s="196" t="s">
        <v>11</v>
      </c>
      <c r="E35" s="196" t="s">
        <v>11</v>
      </c>
      <c r="F35" s="196" t="s">
        <v>11</v>
      </c>
      <c r="G35" s="196" t="s">
        <v>11</v>
      </c>
      <c r="H35" s="197"/>
      <c r="I35" s="163"/>
      <c r="J35" s="163"/>
    </row>
    <row r="36" spans="1:10" ht="18">
      <c r="A36" s="198"/>
      <c r="B36" s="199" t="s">
        <v>222</v>
      </c>
      <c r="C36" s="198"/>
      <c r="D36" s="198"/>
      <c r="E36" s="198"/>
      <c r="F36" s="198"/>
      <c r="G36" s="198"/>
      <c r="H36" s="198"/>
      <c r="I36" s="198"/>
      <c r="J36" s="198"/>
    </row>
    <row r="37" spans="1:10">
      <c r="A37" s="164"/>
      <c r="B37" s="172"/>
    </row>
    <row r="38" spans="1:10" ht="15">
      <c r="A38" s="200"/>
      <c r="B38" s="201" t="s">
        <v>336</v>
      </c>
      <c r="C38" s="200"/>
      <c r="D38" s="200"/>
      <c r="E38" s="200"/>
      <c r="F38" s="200"/>
      <c r="G38" s="200"/>
      <c r="H38" s="200"/>
      <c r="I38" s="200"/>
      <c r="J38" s="200"/>
    </row>
  </sheetData>
  <mergeCells count="1">
    <mergeCell ref="I2:J2"/>
  </mergeCells>
  <conditionalFormatting sqref="C6">
    <cfRule type="cellIs" dxfId="335" priority="283" operator="equal">
      <formula>"No"</formula>
    </cfRule>
    <cfRule type="cellIs" dxfId="334" priority="284" operator="equal">
      <formula>"NA"</formula>
    </cfRule>
    <cfRule type="cellIs" dxfId="333" priority="285" operator="equal">
      <formula>"Yes"</formula>
    </cfRule>
  </conditionalFormatting>
  <conditionalFormatting sqref="C7">
    <cfRule type="cellIs" dxfId="332" priority="280" operator="equal">
      <formula>"No"</formula>
    </cfRule>
    <cfRule type="cellIs" dxfId="331" priority="281" operator="equal">
      <formula>"NA"</formula>
    </cfRule>
    <cfRule type="cellIs" dxfId="330" priority="282" operator="equal">
      <formula>"Yes"</formula>
    </cfRule>
  </conditionalFormatting>
  <conditionalFormatting sqref="C8">
    <cfRule type="cellIs" dxfId="329" priority="277" operator="equal">
      <formula>"No"</formula>
    </cfRule>
    <cfRule type="cellIs" dxfId="328" priority="278" operator="equal">
      <formula>"NA"</formula>
    </cfRule>
    <cfRule type="cellIs" dxfId="327" priority="279" operator="equal">
      <formula>"Yes"</formula>
    </cfRule>
  </conditionalFormatting>
  <conditionalFormatting sqref="C9">
    <cfRule type="cellIs" dxfId="326" priority="274" operator="equal">
      <formula>"No"</formula>
    </cfRule>
    <cfRule type="cellIs" dxfId="325" priority="275" operator="equal">
      <formula>"NA"</formula>
    </cfRule>
    <cfRule type="cellIs" dxfId="324" priority="276" operator="equal">
      <formula>"Yes"</formula>
    </cfRule>
  </conditionalFormatting>
  <conditionalFormatting sqref="C10">
    <cfRule type="cellIs" dxfId="323" priority="271" operator="equal">
      <formula>"No"</formula>
    </cfRule>
    <cfRule type="cellIs" dxfId="322" priority="272" operator="equal">
      <formula>"NA"</formula>
    </cfRule>
    <cfRule type="cellIs" dxfId="321" priority="273" operator="equal">
      <formula>"Yes"</formula>
    </cfRule>
  </conditionalFormatting>
  <conditionalFormatting sqref="C12">
    <cfRule type="cellIs" dxfId="320" priority="268" operator="equal">
      <formula>"No"</formula>
    </cfRule>
    <cfRule type="cellIs" dxfId="319" priority="269" operator="equal">
      <formula>"NA"</formula>
    </cfRule>
    <cfRule type="cellIs" dxfId="318" priority="270" operator="equal">
      <formula>"Yes"</formula>
    </cfRule>
  </conditionalFormatting>
  <conditionalFormatting sqref="C13">
    <cfRule type="cellIs" dxfId="317" priority="265" operator="equal">
      <formula>"No"</formula>
    </cfRule>
    <cfRule type="cellIs" dxfId="316" priority="266" operator="equal">
      <formula>"NA"</formula>
    </cfRule>
    <cfRule type="cellIs" dxfId="315" priority="267" operator="equal">
      <formula>"Yes"</formula>
    </cfRule>
  </conditionalFormatting>
  <conditionalFormatting sqref="C14">
    <cfRule type="cellIs" dxfId="314" priority="262" operator="equal">
      <formula>"No"</formula>
    </cfRule>
    <cfRule type="cellIs" dxfId="313" priority="263" operator="equal">
      <formula>"NA"</formula>
    </cfRule>
    <cfRule type="cellIs" dxfId="312" priority="264" operator="equal">
      <formula>"Yes"</formula>
    </cfRule>
  </conditionalFormatting>
  <conditionalFormatting sqref="C15">
    <cfRule type="cellIs" dxfId="311" priority="259" operator="equal">
      <formula>"No"</formula>
    </cfRule>
    <cfRule type="cellIs" dxfId="310" priority="260" operator="equal">
      <formula>"NA"</formula>
    </cfRule>
    <cfRule type="cellIs" dxfId="309" priority="261" operator="equal">
      <formula>"Yes"</formula>
    </cfRule>
  </conditionalFormatting>
  <conditionalFormatting sqref="C17">
    <cfRule type="cellIs" dxfId="308" priority="256" operator="equal">
      <formula>"No"</formula>
    </cfRule>
    <cfRule type="cellIs" dxfId="307" priority="257" operator="equal">
      <formula>"NA"</formula>
    </cfRule>
    <cfRule type="cellIs" dxfId="306" priority="258" operator="equal">
      <formula>"Yes"</formula>
    </cfRule>
  </conditionalFormatting>
  <conditionalFormatting sqref="C18">
    <cfRule type="cellIs" dxfId="305" priority="253" operator="equal">
      <formula>"No"</formula>
    </cfRule>
    <cfRule type="cellIs" dxfId="304" priority="254" operator="equal">
      <formula>"NA"</formula>
    </cfRule>
    <cfRule type="cellIs" dxfId="303" priority="255" operator="equal">
      <formula>"Yes"</formula>
    </cfRule>
  </conditionalFormatting>
  <conditionalFormatting sqref="C20">
    <cfRule type="cellIs" dxfId="302" priority="250" operator="equal">
      <formula>"No"</formula>
    </cfRule>
    <cfRule type="cellIs" dxfId="301" priority="251" operator="equal">
      <formula>"NA"</formula>
    </cfRule>
    <cfRule type="cellIs" dxfId="300" priority="252" operator="equal">
      <formula>"Yes"</formula>
    </cfRule>
  </conditionalFormatting>
  <conditionalFormatting sqref="C21">
    <cfRule type="cellIs" dxfId="299" priority="247" operator="equal">
      <formula>"No"</formula>
    </cfRule>
    <cfRule type="cellIs" dxfId="298" priority="248" operator="equal">
      <formula>"NA"</formula>
    </cfRule>
    <cfRule type="cellIs" dxfId="297" priority="249" operator="equal">
      <formula>"Yes"</formula>
    </cfRule>
  </conditionalFormatting>
  <conditionalFormatting sqref="C22">
    <cfRule type="cellIs" dxfId="296" priority="244" operator="equal">
      <formula>"No"</formula>
    </cfRule>
    <cfRule type="cellIs" dxfId="295" priority="245" operator="equal">
      <formula>"NA"</formula>
    </cfRule>
    <cfRule type="cellIs" dxfId="294" priority="246" operator="equal">
      <formula>"Yes"</formula>
    </cfRule>
  </conditionalFormatting>
  <conditionalFormatting sqref="C23">
    <cfRule type="cellIs" dxfId="293" priority="241" operator="equal">
      <formula>"No"</formula>
    </cfRule>
    <cfRule type="cellIs" dxfId="292" priority="242" operator="equal">
      <formula>"NA"</formula>
    </cfRule>
    <cfRule type="cellIs" dxfId="291" priority="243" operator="equal">
      <formula>"Yes"</formula>
    </cfRule>
  </conditionalFormatting>
  <conditionalFormatting sqref="C24">
    <cfRule type="cellIs" dxfId="290" priority="238" operator="equal">
      <formula>"No"</formula>
    </cfRule>
    <cfRule type="cellIs" dxfId="289" priority="239" operator="equal">
      <formula>"NA"</formula>
    </cfRule>
    <cfRule type="cellIs" dxfId="288" priority="240" operator="equal">
      <formula>"Yes"</formula>
    </cfRule>
  </conditionalFormatting>
  <conditionalFormatting sqref="C25">
    <cfRule type="cellIs" dxfId="287" priority="235" operator="equal">
      <formula>"No"</formula>
    </cfRule>
    <cfRule type="cellIs" dxfId="286" priority="236" operator="equal">
      <formula>"NA"</formula>
    </cfRule>
    <cfRule type="cellIs" dxfId="285" priority="237" operator="equal">
      <formula>"Yes"</formula>
    </cfRule>
  </conditionalFormatting>
  <conditionalFormatting sqref="C27">
    <cfRule type="cellIs" dxfId="284" priority="232" operator="equal">
      <formula>"No"</formula>
    </cfRule>
    <cfRule type="cellIs" dxfId="283" priority="233" operator="equal">
      <formula>"NA"</formula>
    </cfRule>
    <cfRule type="cellIs" dxfId="282" priority="234" operator="equal">
      <formula>"Yes"</formula>
    </cfRule>
  </conditionalFormatting>
  <conditionalFormatting sqref="C28">
    <cfRule type="cellIs" dxfId="281" priority="229" operator="equal">
      <formula>"No"</formula>
    </cfRule>
    <cfRule type="cellIs" dxfId="280" priority="230" operator="equal">
      <formula>"NA"</formula>
    </cfRule>
    <cfRule type="cellIs" dxfId="279" priority="231" operator="equal">
      <formula>"Yes"</formula>
    </cfRule>
  </conditionalFormatting>
  <conditionalFormatting sqref="C29">
    <cfRule type="cellIs" dxfId="278" priority="226" operator="equal">
      <formula>"No"</formula>
    </cfRule>
    <cfRule type="cellIs" dxfId="277" priority="227" operator="equal">
      <formula>"NA"</formula>
    </cfRule>
    <cfRule type="cellIs" dxfId="276" priority="228" operator="equal">
      <formula>"Yes"</formula>
    </cfRule>
  </conditionalFormatting>
  <conditionalFormatting sqref="C30">
    <cfRule type="cellIs" dxfId="275" priority="223" operator="equal">
      <formula>"No"</formula>
    </cfRule>
    <cfRule type="cellIs" dxfId="274" priority="224" operator="equal">
      <formula>"NA"</formula>
    </cfRule>
    <cfRule type="cellIs" dxfId="273" priority="225" operator="equal">
      <formula>"Yes"</formula>
    </cfRule>
  </conditionalFormatting>
  <conditionalFormatting sqref="C32">
    <cfRule type="cellIs" dxfId="272" priority="220" operator="equal">
      <formula>"No"</formula>
    </cfRule>
    <cfRule type="cellIs" dxfId="271" priority="221" operator="equal">
      <formula>"NA"</formula>
    </cfRule>
    <cfRule type="cellIs" dxfId="270" priority="222" operator="equal">
      <formula>"Yes"</formula>
    </cfRule>
  </conditionalFormatting>
  <conditionalFormatting sqref="C33">
    <cfRule type="cellIs" dxfId="269" priority="217" operator="equal">
      <formula>"No"</formula>
    </cfRule>
    <cfRule type="cellIs" dxfId="268" priority="218" operator="equal">
      <formula>"NA"</formula>
    </cfRule>
    <cfRule type="cellIs" dxfId="267" priority="219" operator="equal">
      <formula>"Yes"</formula>
    </cfRule>
  </conditionalFormatting>
  <conditionalFormatting sqref="C35">
    <cfRule type="cellIs" dxfId="266" priority="214" operator="equal">
      <formula>"No"</formula>
    </cfRule>
    <cfRule type="cellIs" dxfId="265" priority="215" operator="equal">
      <formula>"NA"</formula>
    </cfRule>
    <cfRule type="cellIs" dxfId="264" priority="216" operator="equal">
      <formula>"Yes"</formula>
    </cfRule>
  </conditionalFormatting>
  <conditionalFormatting sqref="D6">
    <cfRule type="cellIs" dxfId="263" priority="211" operator="equal">
      <formula>"No"</formula>
    </cfRule>
    <cfRule type="cellIs" dxfId="262" priority="212" operator="equal">
      <formula>"NA"</formula>
    </cfRule>
    <cfRule type="cellIs" dxfId="261" priority="213" operator="equal">
      <formula>"Yes"</formula>
    </cfRule>
  </conditionalFormatting>
  <conditionalFormatting sqref="D7">
    <cfRule type="cellIs" dxfId="260" priority="208" operator="equal">
      <formula>"No"</formula>
    </cfRule>
    <cfRule type="cellIs" dxfId="259" priority="209" operator="equal">
      <formula>"NA"</formula>
    </cfRule>
    <cfRule type="cellIs" dxfId="258" priority="210" operator="equal">
      <formula>"Yes"</formula>
    </cfRule>
  </conditionalFormatting>
  <conditionalFormatting sqref="D8">
    <cfRule type="cellIs" dxfId="257" priority="205" operator="equal">
      <formula>"No"</formula>
    </cfRule>
    <cfRule type="cellIs" dxfId="256" priority="206" operator="equal">
      <formula>"NA"</formula>
    </cfRule>
    <cfRule type="cellIs" dxfId="255" priority="207" operator="equal">
      <formula>"Yes"</formula>
    </cfRule>
  </conditionalFormatting>
  <conditionalFormatting sqref="D9">
    <cfRule type="cellIs" dxfId="254" priority="202" operator="equal">
      <formula>"No"</formula>
    </cfRule>
    <cfRule type="cellIs" dxfId="253" priority="203" operator="equal">
      <formula>"NA"</formula>
    </cfRule>
    <cfRule type="cellIs" dxfId="252" priority="204" operator="equal">
      <formula>"Yes"</formula>
    </cfRule>
  </conditionalFormatting>
  <conditionalFormatting sqref="D10">
    <cfRule type="cellIs" dxfId="251" priority="199" operator="equal">
      <formula>"No"</formula>
    </cfRule>
    <cfRule type="cellIs" dxfId="250" priority="200" operator="equal">
      <formula>"NA"</formula>
    </cfRule>
    <cfRule type="cellIs" dxfId="249" priority="201" operator="equal">
      <formula>"Yes"</formula>
    </cfRule>
  </conditionalFormatting>
  <conditionalFormatting sqref="D12">
    <cfRule type="cellIs" dxfId="248" priority="196" operator="equal">
      <formula>"No"</formula>
    </cfRule>
    <cfRule type="cellIs" dxfId="247" priority="197" operator="equal">
      <formula>"NA"</formula>
    </cfRule>
    <cfRule type="cellIs" dxfId="246" priority="198" operator="equal">
      <formula>"Yes"</formula>
    </cfRule>
  </conditionalFormatting>
  <conditionalFormatting sqref="D13">
    <cfRule type="cellIs" dxfId="245" priority="193" operator="equal">
      <formula>"No"</formula>
    </cfRule>
    <cfRule type="cellIs" dxfId="244" priority="194" operator="equal">
      <formula>"NA"</formula>
    </cfRule>
    <cfRule type="cellIs" dxfId="243" priority="195" operator="equal">
      <formula>"Yes"</formula>
    </cfRule>
  </conditionalFormatting>
  <conditionalFormatting sqref="D14">
    <cfRule type="cellIs" dxfId="242" priority="190" operator="equal">
      <formula>"No"</formula>
    </cfRule>
    <cfRule type="cellIs" dxfId="241" priority="191" operator="equal">
      <formula>"NA"</formula>
    </cfRule>
    <cfRule type="cellIs" dxfId="240" priority="192" operator="equal">
      <formula>"Yes"</formula>
    </cfRule>
  </conditionalFormatting>
  <conditionalFormatting sqref="D15">
    <cfRule type="cellIs" dxfId="239" priority="187" operator="equal">
      <formula>"No"</formula>
    </cfRule>
    <cfRule type="cellIs" dxfId="238" priority="188" operator="equal">
      <formula>"NA"</formula>
    </cfRule>
    <cfRule type="cellIs" dxfId="237" priority="189" operator="equal">
      <formula>"Yes"</formula>
    </cfRule>
  </conditionalFormatting>
  <conditionalFormatting sqref="D20">
    <cfRule type="cellIs" dxfId="236" priority="178" operator="equal">
      <formula>"No"</formula>
    </cfRule>
    <cfRule type="cellIs" dxfId="235" priority="179" operator="equal">
      <formula>"NA"</formula>
    </cfRule>
    <cfRule type="cellIs" dxfId="234" priority="180" operator="equal">
      <formula>"Yes"</formula>
    </cfRule>
  </conditionalFormatting>
  <conditionalFormatting sqref="D21">
    <cfRule type="cellIs" dxfId="233" priority="175" operator="equal">
      <formula>"No"</formula>
    </cfRule>
    <cfRule type="cellIs" dxfId="232" priority="176" operator="equal">
      <formula>"NA"</formula>
    </cfRule>
    <cfRule type="cellIs" dxfId="231" priority="177" operator="equal">
      <formula>"Yes"</formula>
    </cfRule>
  </conditionalFormatting>
  <conditionalFormatting sqref="D22">
    <cfRule type="cellIs" dxfId="230" priority="172" operator="equal">
      <formula>"No"</formula>
    </cfRule>
    <cfRule type="cellIs" dxfId="229" priority="173" operator="equal">
      <formula>"NA"</formula>
    </cfRule>
    <cfRule type="cellIs" dxfId="228" priority="174" operator="equal">
      <formula>"Yes"</formula>
    </cfRule>
  </conditionalFormatting>
  <conditionalFormatting sqref="D23">
    <cfRule type="cellIs" dxfId="227" priority="169" operator="equal">
      <formula>"No"</formula>
    </cfRule>
    <cfRule type="cellIs" dxfId="226" priority="170" operator="equal">
      <formula>"NA"</formula>
    </cfRule>
    <cfRule type="cellIs" dxfId="225" priority="171" operator="equal">
      <formula>"Yes"</formula>
    </cfRule>
  </conditionalFormatting>
  <conditionalFormatting sqref="D24">
    <cfRule type="cellIs" dxfId="224" priority="166" operator="equal">
      <formula>"No"</formula>
    </cfRule>
    <cfRule type="cellIs" dxfId="223" priority="167" operator="equal">
      <formula>"NA"</formula>
    </cfRule>
    <cfRule type="cellIs" dxfId="222" priority="168" operator="equal">
      <formula>"Yes"</formula>
    </cfRule>
  </conditionalFormatting>
  <conditionalFormatting sqref="D25">
    <cfRule type="cellIs" dxfId="221" priority="163" operator="equal">
      <formula>"No"</formula>
    </cfRule>
    <cfRule type="cellIs" dxfId="220" priority="164" operator="equal">
      <formula>"NA"</formula>
    </cfRule>
    <cfRule type="cellIs" dxfId="219" priority="165" operator="equal">
      <formula>"Yes"</formula>
    </cfRule>
  </conditionalFormatting>
  <conditionalFormatting sqref="D27">
    <cfRule type="cellIs" dxfId="218" priority="160" operator="equal">
      <formula>"No"</formula>
    </cfRule>
    <cfRule type="cellIs" dxfId="217" priority="161" operator="equal">
      <formula>"NA"</formula>
    </cfRule>
    <cfRule type="cellIs" dxfId="216" priority="162" operator="equal">
      <formula>"Yes"</formula>
    </cfRule>
  </conditionalFormatting>
  <conditionalFormatting sqref="D28">
    <cfRule type="cellIs" dxfId="215" priority="157" operator="equal">
      <formula>"No"</formula>
    </cfRule>
    <cfRule type="cellIs" dxfId="214" priority="158" operator="equal">
      <formula>"NA"</formula>
    </cfRule>
    <cfRule type="cellIs" dxfId="213" priority="159" operator="equal">
      <formula>"Yes"</formula>
    </cfRule>
  </conditionalFormatting>
  <conditionalFormatting sqref="D29">
    <cfRule type="cellIs" dxfId="212" priority="154" operator="equal">
      <formula>"No"</formula>
    </cfRule>
    <cfRule type="cellIs" dxfId="211" priority="155" operator="equal">
      <formula>"NA"</formula>
    </cfRule>
    <cfRule type="cellIs" dxfId="210" priority="156" operator="equal">
      <formula>"Yes"</formula>
    </cfRule>
  </conditionalFormatting>
  <conditionalFormatting sqref="D30">
    <cfRule type="cellIs" dxfId="209" priority="151" operator="equal">
      <formula>"No"</formula>
    </cfRule>
    <cfRule type="cellIs" dxfId="208" priority="152" operator="equal">
      <formula>"NA"</formula>
    </cfRule>
    <cfRule type="cellIs" dxfId="207" priority="153" operator="equal">
      <formula>"Yes"</formula>
    </cfRule>
  </conditionalFormatting>
  <conditionalFormatting sqref="D32">
    <cfRule type="cellIs" dxfId="206" priority="148" operator="equal">
      <formula>"No"</formula>
    </cfRule>
    <cfRule type="cellIs" dxfId="205" priority="149" operator="equal">
      <formula>"NA"</formula>
    </cfRule>
    <cfRule type="cellIs" dxfId="204" priority="150" operator="equal">
      <formula>"Yes"</formula>
    </cfRule>
  </conditionalFormatting>
  <conditionalFormatting sqref="D33">
    <cfRule type="cellIs" dxfId="203" priority="145" operator="equal">
      <formula>"No"</formula>
    </cfRule>
    <cfRule type="cellIs" dxfId="202" priority="146" operator="equal">
      <formula>"NA"</formula>
    </cfRule>
    <cfRule type="cellIs" dxfId="201" priority="147" operator="equal">
      <formula>"Yes"</formula>
    </cfRule>
  </conditionalFormatting>
  <conditionalFormatting sqref="D35">
    <cfRule type="cellIs" dxfId="200" priority="142" operator="equal">
      <formula>"No"</formula>
    </cfRule>
    <cfRule type="cellIs" dxfId="199" priority="143" operator="equal">
      <formula>"NA"</formula>
    </cfRule>
    <cfRule type="cellIs" dxfId="198" priority="144" operator="equal">
      <formula>"Yes"</formula>
    </cfRule>
  </conditionalFormatting>
  <conditionalFormatting sqref="D17:D18">
    <cfRule type="cellIs" dxfId="197" priority="139" operator="equal">
      <formula>"No"</formula>
    </cfRule>
    <cfRule type="cellIs" dxfId="196" priority="140" operator="equal">
      <formula>"NA"</formula>
    </cfRule>
    <cfRule type="cellIs" dxfId="195" priority="141" operator="equal">
      <formula>"Yes"</formula>
    </cfRule>
  </conditionalFormatting>
  <conditionalFormatting sqref="E6">
    <cfRule type="cellIs" dxfId="194" priority="136" operator="equal">
      <formula>"No"</formula>
    </cfRule>
    <cfRule type="cellIs" dxfId="193" priority="137" operator="equal">
      <formula>"NA"</formula>
    </cfRule>
    <cfRule type="cellIs" dxfId="192" priority="138" operator="equal">
      <formula>"Yes"</formula>
    </cfRule>
  </conditionalFormatting>
  <conditionalFormatting sqref="E7">
    <cfRule type="cellIs" dxfId="191" priority="133" operator="equal">
      <formula>"No"</formula>
    </cfRule>
    <cfRule type="cellIs" dxfId="190" priority="134" operator="equal">
      <formula>"NA"</formula>
    </cfRule>
    <cfRule type="cellIs" dxfId="189" priority="135" operator="equal">
      <formula>"Yes"</formula>
    </cfRule>
  </conditionalFormatting>
  <conditionalFormatting sqref="E8">
    <cfRule type="cellIs" dxfId="188" priority="130" operator="equal">
      <formula>"No"</formula>
    </cfRule>
    <cfRule type="cellIs" dxfId="187" priority="131" operator="equal">
      <formula>"NA"</formula>
    </cfRule>
    <cfRule type="cellIs" dxfId="186" priority="132" operator="equal">
      <formula>"Yes"</formula>
    </cfRule>
  </conditionalFormatting>
  <conditionalFormatting sqref="E9">
    <cfRule type="cellIs" dxfId="185" priority="127" operator="equal">
      <formula>"No"</formula>
    </cfRule>
    <cfRule type="cellIs" dxfId="184" priority="128" operator="equal">
      <formula>"NA"</formula>
    </cfRule>
    <cfRule type="cellIs" dxfId="183" priority="129" operator="equal">
      <formula>"Yes"</formula>
    </cfRule>
  </conditionalFormatting>
  <conditionalFormatting sqref="E10">
    <cfRule type="cellIs" dxfId="182" priority="124" operator="equal">
      <formula>"No"</formula>
    </cfRule>
    <cfRule type="cellIs" dxfId="181" priority="125" operator="equal">
      <formula>"NA"</formula>
    </cfRule>
    <cfRule type="cellIs" dxfId="180" priority="126" operator="equal">
      <formula>"Yes"</formula>
    </cfRule>
  </conditionalFormatting>
  <conditionalFormatting sqref="E12">
    <cfRule type="cellIs" dxfId="179" priority="121" operator="equal">
      <formula>"No"</formula>
    </cfRule>
    <cfRule type="cellIs" dxfId="178" priority="122" operator="equal">
      <formula>"NA"</formula>
    </cfRule>
    <cfRule type="cellIs" dxfId="177" priority="123" operator="equal">
      <formula>"Yes"</formula>
    </cfRule>
  </conditionalFormatting>
  <conditionalFormatting sqref="E13">
    <cfRule type="cellIs" dxfId="176" priority="118" operator="equal">
      <formula>"No"</formula>
    </cfRule>
    <cfRule type="cellIs" dxfId="175" priority="119" operator="equal">
      <formula>"NA"</formula>
    </cfRule>
    <cfRule type="cellIs" dxfId="174" priority="120" operator="equal">
      <formula>"Yes"</formula>
    </cfRule>
  </conditionalFormatting>
  <conditionalFormatting sqref="E14">
    <cfRule type="cellIs" dxfId="173" priority="115" operator="equal">
      <formula>"No"</formula>
    </cfRule>
    <cfRule type="cellIs" dxfId="172" priority="116" operator="equal">
      <formula>"NA"</formula>
    </cfRule>
    <cfRule type="cellIs" dxfId="171" priority="117" operator="equal">
      <formula>"Yes"</formula>
    </cfRule>
  </conditionalFormatting>
  <conditionalFormatting sqref="E15">
    <cfRule type="cellIs" dxfId="170" priority="112" operator="equal">
      <formula>"No"</formula>
    </cfRule>
    <cfRule type="cellIs" dxfId="169" priority="113" operator="equal">
      <formula>"NA"</formula>
    </cfRule>
    <cfRule type="cellIs" dxfId="168" priority="114" operator="equal">
      <formula>"Yes"</formula>
    </cfRule>
  </conditionalFormatting>
  <conditionalFormatting sqref="E20">
    <cfRule type="cellIs" dxfId="167" priority="109" operator="equal">
      <formula>"No"</formula>
    </cfRule>
    <cfRule type="cellIs" dxfId="166" priority="110" operator="equal">
      <formula>"NA"</formula>
    </cfRule>
    <cfRule type="cellIs" dxfId="165" priority="111" operator="equal">
      <formula>"Yes"</formula>
    </cfRule>
  </conditionalFormatting>
  <conditionalFormatting sqref="E21">
    <cfRule type="cellIs" dxfId="164" priority="106" operator="equal">
      <formula>"No"</formula>
    </cfRule>
    <cfRule type="cellIs" dxfId="163" priority="107" operator="equal">
      <formula>"NA"</formula>
    </cfRule>
    <cfRule type="cellIs" dxfId="162" priority="108" operator="equal">
      <formula>"Yes"</formula>
    </cfRule>
  </conditionalFormatting>
  <conditionalFormatting sqref="E22">
    <cfRule type="cellIs" dxfId="161" priority="103" operator="equal">
      <formula>"No"</formula>
    </cfRule>
    <cfRule type="cellIs" dxfId="160" priority="104" operator="equal">
      <formula>"NA"</formula>
    </cfRule>
    <cfRule type="cellIs" dxfId="159" priority="105" operator="equal">
      <formula>"Yes"</formula>
    </cfRule>
  </conditionalFormatting>
  <conditionalFormatting sqref="E23">
    <cfRule type="cellIs" dxfId="158" priority="100" operator="equal">
      <formula>"No"</formula>
    </cfRule>
    <cfRule type="cellIs" dxfId="157" priority="101" operator="equal">
      <formula>"NA"</formula>
    </cfRule>
    <cfRule type="cellIs" dxfId="156" priority="102" operator="equal">
      <formula>"Yes"</formula>
    </cfRule>
  </conditionalFormatting>
  <conditionalFormatting sqref="E24">
    <cfRule type="cellIs" dxfId="155" priority="97" operator="equal">
      <formula>"No"</formula>
    </cfRule>
    <cfRule type="cellIs" dxfId="154" priority="98" operator="equal">
      <formula>"NA"</formula>
    </cfRule>
    <cfRule type="cellIs" dxfId="153" priority="99" operator="equal">
      <formula>"Yes"</formula>
    </cfRule>
  </conditionalFormatting>
  <conditionalFormatting sqref="E25">
    <cfRule type="cellIs" dxfId="152" priority="94" operator="equal">
      <formula>"No"</formula>
    </cfRule>
    <cfRule type="cellIs" dxfId="151" priority="95" operator="equal">
      <formula>"NA"</formula>
    </cfRule>
    <cfRule type="cellIs" dxfId="150" priority="96" operator="equal">
      <formula>"Yes"</formula>
    </cfRule>
  </conditionalFormatting>
  <conditionalFormatting sqref="E27">
    <cfRule type="cellIs" dxfId="149" priority="91" operator="equal">
      <formula>"No"</formula>
    </cfRule>
    <cfRule type="cellIs" dxfId="148" priority="92" operator="equal">
      <formula>"NA"</formula>
    </cfRule>
    <cfRule type="cellIs" dxfId="147" priority="93" operator="equal">
      <formula>"Yes"</formula>
    </cfRule>
  </conditionalFormatting>
  <conditionalFormatting sqref="E28">
    <cfRule type="cellIs" dxfId="146" priority="88" operator="equal">
      <formula>"No"</formula>
    </cfRule>
    <cfRule type="cellIs" dxfId="145" priority="89" operator="equal">
      <formula>"NA"</formula>
    </cfRule>
    <cfRule type="cellIs" dxfId="144" priority="90" operator="equal">
      <formula>"Yes"</formula>
    </cfRule>
  </conditionalFormatting>
  <conditionalFormatting sqref="E29">
    <cfRule type="cellIs" dxfId="143" priority="85" operator="equal">
      <formula>"No"</formula>
    </cfRule>
    <cfRule type="cellIs" dxfId="142" priority="86" operator="equal">
      <formula>"NA"</formula>
    </cfRule>
    <cfRule type="cellIs" dxfId="141" priority="87" operator="equal">
      <formula>"Yes"</formula>
    </cfRule>
  </conditionalFormatting>
  <conditionalFormatting sqref="E30">
    <cfRule type="cellIs" dxfId="140" priority="82" operator="equal">
      <formula>"No"</formula>
    </cfRule>
    <cfRule type="cellIs" dxfId="139" priority="83" operator="equal">
      <formula>"NA"</formula>
    </cfRule>
    <cfRule type="cellIs" dxfId="138" priority="84" operator="equal">
      <formula>"Yes"</formula>
    </cfRule>
  </conditionalFormatting>
  <conditionalFormatting sqref="E32">
    <cfRule type="cellIs" dxfId="137" priority="79" operator="equal">
      <formula>"No"</formula>
    </cfRule>
    <cfRule type="cellIs" dxfId="136" priority="80" operator="equal">
      <formula>"NA"</formula>
    </cfRule>
    <cfRule type="cellIs" dxfId="135" priority="81" operator="equal">
      <formula>"Yes"</formula>
    </cfRule>
  </conditionalFormatting>
  <conditionalFormatting sqref="E33">
    <cfRule type="cellIs" dxfId="134" priority="76" operator="equal">
      <formula>"No"</formula>
    </cfRule>
    <cfRule type="cellIs" dxfId="133" priority="77" operator="equal">
      <formula>"NA"</formula>
    </cfRule>
    <cfRule type="cellIs" dxfId="132" priority="78" operator="equal">
      <formula>"Yes"</formula>
    </cfRule>
  </conditionalFormatting>
  <conditionalFormatting sqref="E35">
    <cfRule type="cellIs" dxfId="131" priority="73" operator="equal">
      <formula>"No"</formula>
    </cfRule>
    <cfRule type="cellIs" dxfId="130" priority="74" operator="equal">
      <formula>"NA"</formula>
    </cfRule>
    <cfRule type="cellIs" dxfId="129" priority="75" operator="equal">
      <formula>"Yes"</formula>
    </cfRule>
  </conditionalFormatting>
  <conditionalFormatting sqref="E17:E18">
    <cfRule type="cellIs" dxfId="128" priority="70" operator="equal">
      <formula>"No"</formula>
    </cfRule>
    <cfRule type="cellIs" dxfId="127" priority="71" operator="equal">
      <formula>"NA"</formula>
    </cfRule>
    <cfRule type="cellIs" dxfId="126" priority="72" operator="equal">
      <formula>"Yes"</formula>
    </cfRule>
  </conditionalFormatting>
  <conditionalFormatting sqref="F6:G6">
    <cfRule type="cellIs" dxfId="125" priority="67" operator="equal">
      <formula>"No"</formula>
    </cfRule>
    <cfRule type="cellIs" dxfId="124" priority="68" operator="equal">
      <formula>"NA"</formula>
    </cfRule>
    <cfRule type="cellIs" dxfId="123" priority="69" operator="equal">
      <formula>"Yes"</formula>
    </cfRule>
  </conditionalFormatting>
  <conditionalFormatting sqref="F7:G7">
    <cfRule type="cellIs" dxfId="122" priority="64" operator="equal">
      <formula>"No"</formula>
    </cfRule>
    <cfRule type="cellIs" dxfId="121" priority="65" operator="equal">
      <formula>"NA"</formula>
    </cfRule>
    <cfRule type="cellIs" dxfId="120" priority="66" operator="equal">
      <formula>"Yes"</formula>
    </cfRule>
  </conditionalFormatting>
  <conditionalFormatting sqref="F8:G8">
    <cfRule type="cellIs" dxfId="119" priority="61" operator="equal">
      <formula>"No"</formula>
    </cfRule>
    <cfRule type="cellIs" dxfId="118" priority="62" operator="equal">
      <formula>"NA"</formula>
    </cfRule>
    <cfRule type="cellIs" dxfId="117" priority="63" operator="equal">
      <formula>"Yes"</formula>
    </cfRule>
  </conditionalFormatting>
  <conditionalFormatting sqref="F9:G9">
    <cfRule type="cellIs" dxfId="116" priority="58" operator="equal">
      <formula>"No"</formula>
    </cfRule>
    <cfRule type="cellIs" dxfId="115" priority="59" operator="equal">
      <formula>"NA"</formula>
    </cfRule>
    <cfRule type="cellIs" dxfId="114" priority="60" operator="equal">
      <formula>"Yes"</formula>
    </cfRule>
  </conditionalFormatting>
  <conditionalFormatting sqref="F10:G10">
    <cfRule type="cellIs" dxfId="113" priority="55" operator="equal">
      <formula>"No"</formula>
    </cfRule>
    <cfRule type="cellIs" dxfId="112" priority="56" operator="equal">
      <formula>"NA"</formula>
    </cfRule>
    <cfRule type="cellIs" dxfId="111" priority="57" operator="equal">
      <formula>"Yes"</formula>
    </cfRule>
  </conditionalFormatting>
  <conditionalFormatting sqref="F12:G12">
    <cfRule type="cellIs" dxfId="110" priority="52" operator="equal">
      <formula>"No"</formula>
    </cfRule>
    <cfRule type="cellIs" dxfId="109" priority="53" operator="equal">
      <formula>"NA"</formula>
    </cfRule>
    <cfRule type="cellIs" dxfId="108" priority="54" operator="equal">
      <formula>"Yes"</formula>
    </cfRule>
  </conditionalFormatting>
  <conditionalFormatting sqref="F13:G13">
    <cfRule type="cellIs" dxfId="107" priority="49" operator="equal">
      <formula>"No"</formula>
    </cfRule>
    <cfRule type="cellIs" dxfId="106" priority="50" operator="equal">
      <formula>"NA"</formula>
    </cfRule>
    <cfRule type="cellIs" dxfId="105" priority="51" operator="equal">
      <formula>"Yes"</formula>
    </cfRule>
  </conditionalFormatting>
  <conditionalFormatting sqref="F14:G14">
    <cfRule type="cellIs" dxfId="104" priority="46" operator="equal">
      <formula>"No"</formula>
    </cfRule>
    <cfRule type="cellIs" dxfId="103" priority="47" operator="equal">
      <formula>"NA"</formula>
    </cfRule>
    <cfRule type="cellIs" dxfId="102" priority="48" operator="equal">
      <formula>"Yes"</formula>
    </cfRule>
  </conditionalFormatting>
  <conditionalFormatting sqref="F15:G15">
    <cfRule type="cellIs" dxfId="101" priority="43" operator="equal">
      <formula>"No"</formula>
    </cfRule>
    <cfRule type="cellIs" dxfId="100" priority="44" operator="equal">
      <formula>"NA"</formula>
    </cfRule>
    <cfRule type="cellIs" dxfId="99" priority="45" operator="equal">
      <formula>"Yes"</formula>
    </cfRule>
  </conditionalFormatting>
  <conditionalFormatting sqref="F20:G20">
    <cfRule type="cellIs" dxfId="98" priority="40" operator="equal">
      <formula>"No"</formula>
    </cfRule>
    <cfRule type="cellIs" dxfId="97" priority="41" operator="equal">
      <formula>"NA"</formula>
    </cfRule>
    <cfRule type="cellIs" dxfId="96" priority="42" operator="equal">
      <formula>"Yes"</formula>
    </cfRule>
  </conditionalFormatting>
  <conditionalFormatting sqref="F21:G21">
    <cfRule type="cellIs" dxfId="95" priority="37" operator="equal">
      <formula>"No"</formula>
    </cfRule>
    <cfRule type="cellIs" dxfId="94" priority="38" operator="equal">
      <formula>"NA"</formula>
    </cfRule>
    <cfRule type="cellIs" dxfId="93" priority="39" operator="equal">
      <formula>"Yes"</formula>
    </cfRule>
  </conditionalFormatting>
  <conditionalFormatting sqref="F22:G22">
    <cfRule type="cellIs" dxfId="92" priority="34" operator="equal">
      <formula>"No"</formula>
    </cfRule>
    <cfRule type="cellIs" dxfId="91" priority="35" operator="equal">
      <formula>"NA"</formula>
    </cfRule>
    <cfRule type="cellIs" dxfId="90" priority="36" operator="equal">
      <formula>"Yes"</formula>
    </cfRule>
  </conditionalFormatting>
  <conditionalFormatting sqref="F23:G23">
    <cfRule type="cellIs" dxfId="89" priority="31" operator="equal">
      <formula>"No"</formula>
    </cfRule>
    <cfRule type="cellIs" dxfId="88" priority="32" operator="equal">
      <formula>"NA"</formula>
    </cfRule>
    <cfRule type="cellIs" dxfId="87" priority="33" operator="equal">
      <formula>"Yes"</formula>
    </cfRule>
  </conditionalFormatting>
  <conditionalFormatting sqref="F24:G24">
    <cfRule type="cellIs" dxfId="86" priority="28" operator="equal">
      <formula>"No"</formula>
    </cfRule>
    <cfRule type="cellIs" dxfId="85" priority="29" operator="equal">
      <formula>"NA"</formula>
    </cfRule>
    <cfRule type="cellIs" dxfId="84" priority="30" operator="equal">
      <formula>"Yes"</formula>
    </cfRule>
  </conditionalFormatting>
  <conditionalFormatting sqref="F25:G25">
    <cfRule type="cellIs" dxfId="83" priority="25" operator="equal">
      <formula>"No"</formula>
    </cfRule>
    <cfRule type="cellIs" dxfId="82" priority="26" operator="equal">
      <formula>"NA"</formula>
    </cfRule>
    <cfRule type="cellIs" dxfId="81" priority="27" operator="equal">
      <formula>"Yes"</formula>
    </cfRule>
  </conditionalFormatting>
  <conditionalFormatting sqref="F27:G27">
    <cfRule type="cellIs" dxfId="80" priority="22" operator="equal">
      <formula>"No"</formula>
    </cfRule>
    <cfRule type="cellIs" dxfId="79" priority="23" operator="equal">
      <formula>"NA"</formula>
    </cfRule>
    <cfRule type="cellIs" dxfId="78" priority="24" operator="equal">
      <formula>"Yes"</formula>
    </cfRule>
  </conditionalFormatting>
  <conditionalFormatting sqref="F28:G28">
    <cfRule type="cellIs" dxfId="77" priority="19" operator="equal">
      <formula>"No"</formula>
    </cfRule>
    <cfRule type="cellIs" dxfId="76" priority="20" operator="equal">
      <formula>"NA"</formula>
    </cfRule>
    <cfRule type="cellIs" dxfId="75" priority="21" operator="equal">
      <formula>"Yes"</formula>
    </cfRule>
  </conditionalFormatting>
  <conditionalFormatting sqref="F29:G29">
    <cfRule type="cellIs" dxfId="74" priority="16" operator="equal">
      <formula>"No"</formula>
    </cfRule>
    <cfRule type="cellIs" dxfId="73" priority="17" operator="equal">
      <formula>"NA"</formula>
    </cfRule>
    <cfRule type="cellIs" dxfId="72" priority="18" operator="equal">
      <formula>"Yes"</formula>
    </cfRule>
  </conditionalFormatting>
  <conditionalFormatting sqref="F30:G30">
    <cfRule type="cellIs" dxfId="71" priority="13" operator="equal">
      <formula>"No"</formula>
    </cfRule>
    <cfRule type="cellIs" dxfId="70" priority="14" operator="equal">
      <formula>"NA"</formula>
    </cfRule>
    <cfRule type="cellIs" dxfId="69" priority="15" operator="equal">
      <formula>"Yes"</formula>
    </cfRule>
  </conditionalFormatting>
  <conditionalFormatting sqref="F32:G32">
    <cfRule type="cellIs" dxfId="68" priority="10" operator="equal">
      <formula>"No"</formula>
    </cfRule>
    <cfRule type="cellIs" dxfId="67" priority="11" operator="equal">
      <formula>"NA"</formula>
    </cfRule>
    <cfRule type="cellIs" dxfId="66" priority="12" operator="equal">
      <formula>"Yes"</formula>
    </cfRule>
  </conditionalFormatting>
  <conditionalFormatting sqref="F33:G33">
    <cfRule type="cellIs" dxfId="65" priority="7" operator="equal">
      <formula>"No"</formula>
    </cfRule>
    <cfRule type="cellIs" dxfId="64" priority="8" operator="equal">
      <formula>"NA"</formula>
    </cfRule>
    <cfRule type="cellIs" dxfId="63" priority="9" operator="equal">
      <formula>"Yes"</formula>
    </cfRule>
  </conditionalFormatting>
  <conditionalFormatting sqref="F35:G35">
    <cfRule type="cellIs" dxfId="62" priority="4" operator="equal">
      <formula>"No"</formula>
    </cfRule>
    <cfRule type="cellIs" dxfId="61" priority="5" operator="equal">
      <formula>"NA"</formula>
    </cfRule>
    <cfRule type="cellIs" dxfId="60" priority="6" operator="equal">
      <formula>"Yes"</formula>
    </cfRule>
  </conditionalFormatting>
  <conditionalFormatting sqref="F17:G18">
    <cfRule type="cellIs" dxfId="59" priority="1" operator="equal">
      <formula>"No"</formula>
    </cfRule>
    <cfRule type="cellIs" dxfId="58" priority="2" operator="equal">
      <formula>"NA"</formula>
    </cfRule>
    <cfRule type="cellIs" dxfId="57" priority="3" operator="equal">
      <formula>"Yes"</formula>
    </cfRule>
  </conditionalFormatting>
  <dataValidations count="1">
    <dataValidation type="list" allowBlank="1" showInputMessage="1" showErrorMessage="1" sqref="C27:G30 C32:G33 C35:G35 C17:G18 C12:G15 C6:G10 C20:G25" xr:uid="{076D8A53-6D0B-4F12-BF89-18B3D5C19DF7}">
      <formula1>Option_ReviewEvaluationScale</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AA529-1899-4638-964C-64DD13C2CEE9}">
  <sheetPr codeName="Feuil35">
    <tabColor theme="7"/>
    <outlinePr summaryBelow="0" summaryRight="0"/>
    <pageSetUpPr fitToPage="1"/>
  </sheetPr>
  <dimension ref="A2:G31"/>
  <sheetViews>
    <sheetView zoomScale="130" zoomScaleNormal="130" workbookViewId="0">
      <pane xSplit="1" ySplit="3" topLeftCell="B18" activePane="bottomRight" state="frozen"/>
      <selection pane="topRight" activeCell="B1" sqref="B1"/>
      <selection pane="bottomLeft" activeCell="A4" sqref="A4"/>
      <selection pane="bottomRight" activeCell="C15" sqref="C15"/>
    </sheetView>
  </sheetViews>
  <sheetFormatPr defaultColWidth="9.28515625" defaultRowHeight="12.75" outlineLevelCol="1"/>
  <cols>
    <col min="1" max="1" width="12.5703125" style="160" bestFit="1" customWidth="1"/>
    <col min="2" max="2" width="61" style="159" customWidth="1"/>
    <col min="3" max="3" width="6.28515625" style="158" bestFit="1" customWidth="1"/>
    <col min="4" max="4" width="33.7109375" style="158" customWidth="1"/>
    <col min="5" max="6" width="30.7109375" style="158" customWidth="1" outlineLevel="1"/>
    <col min="7" max="16384" width="9.28515625" style="158"/>
  </cols>
  <sheetData>
    <row r="2" spans="1:7" ht="99.75" customHeight="1">
      <c r="A2" s="217" t="s">
        <v>214</v>
      </c>
      <c r="B2" s="184" t="s">
        <v>531</v>
      </c>
      <c r="C2" s="185" t="s">
        <v>545</v>
      </c>
      <c r="D2" s="218" t="s">
        <v>223</v>
      </c>
      <c r="E2" s="352" t="s">
        <v>186</v>
      </c>
      <c r="F2" s="353"/>
    </row>
    <row r="3" spans="1:7" ht="18.75">
      <c r="A3" s="187"/>
      <c r="B3" s="188"/>
      <c r="C3" s="189">
        <f>COUNTIF(Review.ratings,"Yes") / ( COUNTA(Review.QuestionIds) - COUNTIF(Review.ratings,"NA"))</f>
        <v>0.93333333333333335</v>
      </c>
      <c r="D3" s="210"/>
      <c r="E3" s="211" t="s">
        <v>220</v>
      </c>
      <c r="F3" s="211" t="s">
        <v>221</v>
      </c>
      <c r="G3" s="212"/>
    </row>
    <row r="4" spans="1:7" ht="36">
      <c r="A4" s="190"/>
      <c r="B4" s="191" t="s">
        <v>225</v>
      </c>
      <c r="C4" s="192"/>
      <c r="D4" s="192"/>
      <c r="E4" s="192"/>
      <c r="F4" s="193"/>
      <c r="G4" s="96"/>
    </row>
    <row r="5" spans="1:7" ht="18.75">
      <c r="A5" s="161"/>
      <c r="B5" s="169" t="s">
        <v>381</v>
      </c>
      <c r="C5" s="162"/>
      <c r="D5" s="162"/>
      <c r="E5" s="211"/>
      <c r="F5" s="211"/>
    </row>
    <row r="6" spans="1:7" ht="25.5">
      <c r="A6" s="164" t="s">
        <v>382</v>
      </c>
      <c r="B6" s="172" t="s">
        <v>383</v>
      </c>
      <c r="C6" s="213" t="s">
        <v>213</v>
      </c>
      <c r="D6" s="214"/>
      <c r="E6" s="163"/>
      <c r="F6" s="163"/>
    </row>
    <row r="7" spans="1:7" ht="38.25">
      <c r="A7" s="164" t="s">
        <v>384</v>
      </c>
      <c r="B7" s="172" t="s">
        <v>385</v>
      </c>
      <c r="C7" s="213" t="s">
        <v>213</v>
      </c>
      <c r="D7" s="214"/>
      <c r="E7" s="207" t="s">
        <v>386</v>
      </c>
      <c r="F7" s="163"/>
    </row>
    <row r="8" spans="1:7" ht="38.25">
      <c r="A8" s="164" t="s">
        <v>532</v>
      </c>
      <c r="B8" s="172" t="s">
        <v>533</v>
      </c>
      <c r="C8" s="213" t="s">
        <v>213</v>
      </c>
      <c r="D8" s="214"/>
      <c r="E8" s="163"/>
      <c r="F8" s="163"/>
    </row>
    <row r="9" spans="1:7" ht="38.25">
      <c r="A9" s="164" t="s">
        <v>534</v>
      </c>
      <c r="B9" s="172" t="s">
        <v>535</v>
      </c>
      <c r="C9" s="213" t="s">
        <v>213</v>
      </c>
      <c r="D9" s="214"/>
      <c r="E9" s="163"/>
      <c r="F9" s="163"/>
    </row>
    <row r="10" spans="1:7" ht="25.5">
      <c r="A10" s="164" t="s">
        <v>536</v>
      </c>
      <c r="B10" s="172" t="s">
        <v>537</v>
      </c>
      <c r="C10" s="213" t="s">
        <v>213</v>
      </c>
      <c r="D10" s="214"/>
      <c r="E10" s="163"/>
      <c r="F10" s="163"/>
    </row>
    <row r="11" spans="1:7" ht="25.5">
      <c r="A11" s="164" t="s">
        <v>387</v>
      </c>
      <c r="B11" s="172" t="s">
        <v>388</v>
      </c>
      <c r="C11" s="213" t="s">
        <v>213</v>
      </c>
      <c r="D11" s="214"/>
      <c r="E11" s="163"/>
      <c r="F11" s="163"/>
    </row>
    <row r="12" spans="1:7" ht="51">
      <c r="A12" s="164" t="s">
        <v>538</v>
      </c>
      <c r="B12" s="172" t="s">
        <v>539</v>
      </c>
      <c r="C12" s="213" t="s">
        <v>213</v>
      </c>
      <c r="D12" s="214"/>
      <c r="E12" s="163"/>
      <c r="F12" s="163"/>
    </row>
    <row r="13" spans="1:7" ht="25.5">
      <c r="A13" s="164" t="s">
        <v>389</v>
      </c>
      <c r="B13" s="172" t="s">
        <v>390</v>
      </c>
      <c r="C13" s="213" t="s">
        <v>213</v>
      </c>
      <c r="D13" s="214"/>
      <c r="E13" s="163"/>
      <c r="F13" s="163"/>
    </row>
    <row r="14" spans="1:7" ht="38.25">
      <c r="A14" s="164" t="s">
        <v>391</v>
      </c>
      <c r="B14" s="172" t="s">
        <v>392</v>
      </c>
      <c r="C14" s="213" t="s">
        <v>23</v>
      </c>
      <c r="D14" s="214"/>
      <c r="E14" s="163"/>
      <c r="F14" s="163"/>
    </row>
    <row r="15" spans="1:7" ht="18.75">
      <c r="A15" s="161"/>
      <c r="B15" s="169" t="s">
        <v>262</v>
      </c>
      <c r="C15" s="162"/>
      <c r="D15" s="162"/>
      <c r="E15" s="211"/>
      <c r="F15" s="211"/>
    </row>
    <row r="16" spans="1:7" ht="38.25">
      <c r="A16" s="164" t="s">
        <v>540</v>
      </c>
      <c r="B16" s="172" t="s">
        <v>541</v>
      </c>
      <c r="C16" s="213" t="s">
        <v>11</v>
      </c>
      <c r="D16" s="214" t="s">
        <v>546</v>
      </c>
      <c r="E16" s="163"/>
      <c r="F16" s="163"/>
    </row>
    <row r="17" spans="1:6" ht="38.25">
      <c r="A17" s="164" t="s">
        <v>542</v>
      </c>
      <c r="B17" s="172" t="s">
        <v>543</v>
      </c>
      <c r="C17" s="213" t="s">
        <v>11</v>
      </c>
      <c r="D17" s="214" t="s">
        <v>546</v>
      </c>
      <c r="E17" s="163"/>
      <c r="F17" s="163"/>
    </row>
    <row r="18" spans="1:6" ht="51">
      <c r="A18" s="164" t="s">
        <v>544</v>
      </c>
      <c r="B18" s="172" t="s">
        <v>409</v>
      </c>
      <c r="C18" s="213" t="s">
        <v>11</v>
      </c>
      <c r="D18" s="214" t="s">
        <v>546</v>
      </c>
      <c r="E18" s="163"/>
      <c r="F18" s="163"/>
    </row>
    <row r="19" spans="1:6" ht="18.75">
      <c r="A19" s="161"/>
      <c r="B19" s="169" t="s">
        <v>217</v>
      </c>
      <c r="C19" s="162"/>
      <c r="D19" s="162"/>
      <c r="E19" s="211"/>
      <c r="F19" s="211"/>
    </row>
    <row r="20" spans="1:6" ht="38.25">
      <c r="A20" s="164" t="s">
        <v>312</v>
      </c>
      <c r="B20" s="172" t="s">
        <v>207</v>
      </c>
      <c r="C20" s="213" t="s">
        <v>213</v>
      </c>
      <c r="D20" s="214"/>
      <c r="E20" s="163"/>
      <c r="F20" s="163"/>
    </row>
    <row r="21" spans="1:6" ht="25.5">
      <c r="A21" s="164" t="s">
        <v>313</v>
      </c>
      <c r="B21" s="172" t="s">
        <v>208</v>
      </c>
      <c r="C21" s="213" t="s">
        <v>213</v>
      </c>
      <c r="D21" s="214"/>
      <c r="E21" s="163"/>
      <c r="F21" s="163"/>
    </row>
    <row r="22" spans="1:6" ht="38.25">
      <c r="A22" s="164" t="s">
        <v>314</v>
      </c>
      <c r="B22" s="172" t="s">
        <v>209</v>
      </c>
      <c r="C22" s="213" t="s">
        <v>213</v>
      </c>
      <c r="D22" s="214"/>
      <c r="E22" s="163"/>
      <c r="F22" s="163"/>
    </row>
    <row r="23" spans="1:6" ht="38.25">
      <c r="A23" s="164" t="s">
        <v>315</v>
      </c>
      <c r="B23" s="172" t="s">
        <v>210</v>
      </c>
      <c r="C23" s="213" t="s">
        <v>213</v>
      </c>
      <c r="D23" s="214"/>
      <c r="E23" s="163"/>
      <c r="F23" s="163"/>
    </row>
    <row r="24" spans="1:6" ht="18.75">
      <c r="A24" s="161"/>
      <c r="B24" s="169" t="s">
        <v>218</v>
      </c>
      <c r="C24" s="162"/>
      <c r="D24" s="162"/>
      <c r="E24" s="211"/>
      <c r="F24" s="211"/>
    </row>
    <row r="25" spans="1:6" ht="38.25">
      <c r="A25" s="164" t="s">
        <v>316</v>
      </c>
      <c r="B25" s="172" t="s">
        <v>211</v>
      </c>
      <c r="C25" s="213" t="s">
        <v>213</v>
      </c>
      <c r="D25" s="214"/>
      <c r="E25" s="163"/>
      <c r="F25" s="163"/>
    </row>
    <row r="26" spans="1:6" ht="38.25">
      <c r="A26" s="164" t="s">
        <v>317</v>
      </c>
      <c r="B26" s="172" t="s">
        <v>212</v>
      </c>
      <c r="C26" s="213" t="s">
        <v>213</v>
      </c>
      <c r="D26" s="214"/>
      <c r="E26" s="163"/>
      <c r="F26" s="163"/>
    </row>
    <row r="27" spans="1:6" ht="18.75">
      <c r="A27" s="161"/>
      <c r="B27" s="169" t="s">
        <v>205</v>
      </c>
      <c r="C27" s="162"/>
      <c r="D27" s="162"/>
      <c r="E27" s="211"/>
      <c r="F27" s="211"/>
    </row>
    <row r="28" spans="1:6" ht="51">
      <c r="A28" s="164" t="s">
        <v>318</v>
      </c>
      <c r="B28" s="172" t="s">
        <v>206</v>
      </c>
      <c r="C28" s="213" t="s">
        <v>11</v>
      </c>
      <c r="D28" s="214" t="s">
        <v>547</v>
      </c>
      <c r="E28" s="163"/>
      <c r="F28" s="163"/>
    </row>
    <row r="29" spans="1:6" ht="18">
      <c r="A29" s="215"/>
      <c r="B29" s="216" t="s">
        <v>222</v>
      </c>
      <c r="C29" s="215"/>
      <c r="D29" s="215"/>
      <c r="E29" s="215"/>
      <c r="F29" s="215"/>
    </row>
    <row r="30" spans="1:6">
      <c r="A30" s="164"/>
      <c r="B30" s="172"/>
    </row>
    <row r="31" spans="1:6" ht="15">
      <c r="A31" s="203"/>
      <c r="B31" s="204" t="s">
        <v>336</v>
      </c>
      <c r="C31" s="203"/>
      <c r="D31" s="203"/>
      <c r="E31" s="203"/>
      <c r="F31" s="203"/>
    </row>
  </sheetData>
  <mergeCells count="1">
    <mergeCell ref="E2:F2"/>
  </mergeCells>
  <conditionalFormatting sqref="C6">
    <cfRule type="cellIs" dxfId="56" priority="67" operator="equal">
      <formula>"No"</formula>
    </cfRule>
    <cfRule type="cellIs" dxfId="55" priority="68" operator="equal">
      <formula>"NA"</formula>
    </cfRule>
    <cfRule type="cellIs" dxfId="54" priority="69" operator="equal">
      <formula>"Yes"</formula>
    </cfRule>
  </conditionalFormatting>
  <conditionalFormatting sqref="C7">
    <cfRule type="cellIs" dxfId="53" priority="64" operator="equal">
      <formula>"No"</formula>
    </cfRule>
    <cfRule type="cellIs" dxfId="52" priority="65" operator="equal">
      <formula>"NA"</formula>
    </cfRule>
    <cfRule type="cellIs" dxfId="51" priority="66" operator="equal">
      <formula>"Yes"</formula>
    </cfRule>
  </conditionalFormatting>
  <conditionalFormatting sqref="C8">
    <cfRule type="cellIs" dxfId="50" priority="61" operator="equal">
      <formula>"No"</formula>
    </cfRule>
    <cfRule type="cellIs" dxfId="49" priority="62" operator="equal">
      <formula>"NA"</formula>
    </cfRule>
    <cfRule type="cellIs" dxfId="48" priority="63" operator="equal">
      <formula>"Yes"</formula>
    </cfRule>
  </conditionalFormatting>
  <conditionalFormatting sqref="C9">
    <cfRule type="cellIs" dxfId="47" priority="58" operator="equal">
      <formula>"No"</formula>
    </cfRule>
    <cfRule type="cellIs" dxfId="46" priority="59" operator="equal">
      <formula>"NA"</formula>
    </cfRule>
    <cfRule type="cellIs" dxfId="45" priority="60" operator="equal">
      <formula>"Yes"</formula>
    </cfRule>
  </conditionalFormatting>
  <conditionalFormatting sqref="C10">
    <cfRule type="cellIs" dxfId="44" priority="55" operator="equal">
      <formula>"No"</formula>
    </cfRule>
    <cfRule type="cellIs" dxfId="43" priority="56" operator="equal">
      <formula>"NA"</formula>
    </cfRule>
    <cfRule type="cellIs" dxfId="42" priority="57" operator="equal">
      <formula>"Yes"</formula>
    </cfRule>
  </conditionalFormatting>
  <conditionalFormatting sqref="C11">
    <cfRule type="cellIs" dxfId="41" priority="52" operator="equal">
      <formula>"No"</formula>
    </cfRule>
    <cfRule type="cellIs" dxfId="40" priority="53" operator="equal">
      <formula>"NA"</formula>
    </cfRule>
    <cfRule type="cellIs" dxfId="39" priority="54" operator="equal">
      <formula>"Yes"</formula>
    </cfRule>
  </conditionalFormatting>
  <conditionalFormatting sqref="C12">
    <cfRule type="cellIs" dxfId="38" priority="49" operator="equal">
      <formula>"No"</formula>
    </cfRule>
    <cfRule type="cellIs" dxfId="37" priority="50" operator="equal">
      <formula>"NA"</formula>
    </cfRule>
    <cfRule type="cellIs" dxfId="36" priority="51" operator="equal">
      <formula>"Yes"</formula>
    </cfRule>
  </conditionalFormatting>
  <conditionalFormatting sqref="C13">
    <cfRule type="cellIs" dxfId="35" priority="46" operator="equal">
      <formula>"No"</formula>
    </cfRule>
    <cfRule type="cellIs" dxfId="34" priority="47" operator="equal">
      <formula>"NA"</formula>
    </cfRule>
    <cfRule type="cellIs" dxfId="33" priority="48" operator="equal">
      <formula>"Yes"</formula>
    </cfRule>
  </conditionalFormatting>
  <conditionalFormatting sqref="C14">
    <cfRule type="cellIs" dxfId="32" priority="43" operator="equal">
      <formula>"No"</formula>
    </cfRule>
    <cfRule type="cellIs" dxfId="31" priority="44" operator="equal">
      <formula>"NA"</formula>
    </cfRule>
    <cfRule type="cellIs" dxfId="30" priority="45" operator="equal">
      <formula>"Yes"</formula>
    </cfRule>
  </conditionalFormatting>
  <conditionalFormatting sqref="C16">
    <cfRule type="cellIs" dxfId="29" priority="28" operator="equal">
      <formula>"No"</formula>
    </cfRule>
    <cfRule type="cellIs" dxfId="28" priority="29" operator="equal">
      <formula>"NA"</formula>
    </cfRule>
    <cfRule type="cellIs" dxfId="27" priority="30" operator="equal">
      <formula>"Yes"</formula>
    </cfRule>
  </conditionalFormatting>
  <conditionalFormatting sqref="C17">
    <cfRule type="cellIs" dxfId="26" priority="25" operator="equal">
      <formula>"No"</formula>
    </cfRule>
    <cfRule type="cellIs" dxfId="25" priority="26" operator="equal">
      <formula>"NA"</formula>
    </cfRule>
    <cfRule type="cellIs" dxfId="24" priority="27" operator="equal">
      <formula>"Yes"</formula>
    </cfRule>
  </conditionalFormatting>
  <conditionalFormatting sqref="C18">
    <cfRule type="cellIs" dxfId="23" priority="22" operator="equal">
      <formula>"No"</formula>
    </cfRule>
    <cfRule type="cellIs" dxfId="22" priority="23" operator="equal">
      <formula>"NA"</formula>
    </cfRule>
    <cfRule type="cellIs" dxfId="21" priority="24" operator="equal">
      <formula>"Yes"</formula>
    </cfRule>
  </conditionalFormatting>
  <conditionalFormatting sqref="C20">
    <cfRule type="cellIs" dxfId="20" priority="19" operator="equal">
      <formula>"No"</formula>
    </cfRule>
    <cfRule type="cellIs" dxfId="19" priority="20" operator="equal">
      <formula>"NA"</formula>
    </cfRule>
    <cfRule type="cellIs" dxfId="18" priority="21" operator="equal">
      <formula>"Yes"</formula>
    </cfRule>
  </conditionalFormatting>
  <conditionalFormatting sqref="C21">
    <cfRule type="cellIs" dxfId="17" priority="16" operator="equal">
      <formula>"No"</formula>
    </cfRule>
    <cfRule type="cellIs" dxfId="16" priority="17" operator="equal">
      <formula>"NA"</formula>
    </cfRule>
    <cfRule type="cellIs" dxfId="15" priority="18" operator="equal">
      <formula>"Yes"</formula>
    </cfRule>
  </conditionalFormatting>
  <conditionalFormatting sqref="C22">
    <cfRule type="cellIs" dxfId="14" priority="13" operator="equal">
      <formula>"No"</formula>
    </cfRule>
    <cfRule type="cellIs" dxfId="13" priority="14" operator="equal">
      <formula>"NA"</formula>
    </cfRule>
    <cfRule type="cellIs" dxfId="12" priority="15" operator="equal">
      <formula>"Yes"</formula>
    </cfRule>
  </conditionalFormatting>
  <conditionalFormatting sqref="C23">
    <cfRule type="cellIs" dxfId="11" priority="10" operator="equal">
      <formula>"No"</formula>
    </cfRule>
    <cfRule type="cellIs" dxfId="10" priority="11" operator="equal">
      <formula>"NA"</formula>
    </cfRule>
    <cfRule type="cellIs" dxfId="9" priority="12" operator="equal">
      <formula>"Yes"</formula>
    </cfRule>
  </conditionalFormatting>
  <conditionalFormatting sqref="C25">
    <cfRule type="cellIs" dxfId="8" priority="7" operator="equal">
      <formula>"No"</formula>
    </cfRule>
    <cfRule type="cellIs" dxfId="7" priority="8" operator="equal">
      <formula>"NA"</formula>
    </cfRule>
    <cfRule type="cellIs" dxfId="6" priority="9" operator="equal">
      <formula>"Yes"</formula>
    </cfRule>
  </conditionalFormatting>
  <conditionalFormatting sqref="C26">
    <cfRule type="cellIs" dxfId="5" priority="4" operator="equal">
      <formula>"No"</formula>
    </cfRule>
    <cfRule type="cellIs" dxfId="4" priority="5" operator="equal">
      <formula>"NA"</formula>
    </cfRule>
    <cfRule type="cellIs" dxfId="3" priority="6" operator="equal">
      <formula>"Yes"</formula>
    </cfRule>
  </conditionalFormatting>
  <conditionalFormatting sqref="C28">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6:C14 C16:C18 C20:C23 C25:C26 C28" xr:uid="{C57A8D59-0F64-4388-92DA-C0EBCE8B6579}">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LongProperties xmlns="http://schemas.microsoft.com/office/2006/metadata/longProperties"/>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customXml/itemProps3.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5.xml><?xml version="1.0" encoding="utf-8"?>
<ds:datastoreItem xmlns:ds="http://schemas.openxmlformats.org/officeDocument/2006/customXml" ds:itemID="{3F123B83-34C8-4520-8355-734DFF82361D}">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82</vt:i4>
      </vt:variant>
    </vt:vector>
  </HeadingPairs>
  <TitlesOfParts>
    <vt:vector size="92" baseType="lpstr">
      <vt:lpstr>FrontPage</vt:lpstr>
      <vt:lpstr>General info</vt:lpstr>
      <vt:lpstr>Help</vt:lpstr>
      <vt:lpstr>Metrics</vt:lpstr>
      <vt:lpstr>Overview</vt:lpstr>
      <vt:lpstr>Review</vt:lpstr>
      <vt:lpstr>SDD checklist</vt:lpstr>
      <vt:lpstr>CODE checklist</vt:lpstr>
      <vt:lpstr>UTSR checklist</vt:lpstr>
      <vt:lpstr>ITSR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'ITSR checklist'!Review.QuestionIds</vt:lpstr>
      <vt:lpstr>'SDD checklist'!Review.QuestionIds</vt:lpstr>
      <vt:lpstr>'UTSR checklist'!Review.QuestionIds</vt:lpstr>
      <vt:lpstr>'CODE checklist'!Review.ratings</vt:lpstr>
      <vt:lpstr>'ITSR checklist'!Review.ratings</vt:lpstr>
      <vt:lpstr>'SDD checklist'!Review.ratings</vt:lpstr>
      <vt:lpstr>'UTSR checklist'!Review.ratings</vt:lpstr>
      <vt:lpstr>ReviewerStatus</vt:lpstr>
      <vt:lpstr>'CODE checklist'!Sheet.ReviewTempate</vt:lpstr>
      <vt:lpstr>'ITSR checklist'!Sheet.ReviewTempate</vt:lpstr>
      <vt:lpstr>'SDD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'ITSR checklist'!Template.Name</vt:lpstr>
      <vt:lpstr>'SDD checklist'!Template.Name</vt:lpstr>
      <vt:lpstr>TemplateColumn</vt:lpstr>
      <vt:lpstr>TemplateRef</vt:lpstr>
      <vt:lpstr>Text_AllChecklists</vt:lpstr>
      <vt:lpstr>'CODE checklist'!Title.Checklist.Actions.Description</vt:lpstr>
      <vt:lpstr>'ITSR checklist'!Title.Checklist.Actions.Description</vt:lpstr>
      <vt:lpstr>'SDD checklist'!Title.Checklist.Actions.Description</vt:lpstr>
      <vt:lpstr>'CODE checklist'!Title.Checklist.Guide.HowToRate</vt:lpstr>
      <vt:lpstr>'ITSR checklist'!Title.Checklist.Guide.HowToRate</vt:lpstr>
      <vt:lpstr>'SDD checklist'!Title.Checklist.Guide.HowToRate</vt:lpstr>
      <vt:lpstr>'CODE checklist'!Title.Checklist.Guide.WhatToCheck</vt:lpstr>
      <vt:lpstr>'ITSR checklist'!Title.Checklist.Guide.WhatToCheck</vt:lpstr>
      <vt:lpstr>'SDD checklist'!Title.Checklist.Guide.WhatToCheck</vt:lpstr>
      <vt:lpstr>'CODE checklist'!Title.Checklist.ManualQuestion</vt:lpstr>
      <vt:lpstr>'ITSR checklist'!Title.Checklist.ManualQuestion</vt:lpstr>
      <vt:lpstr>'SDD checklist'!Title.Checklist.ManualQuestion</vt:lpstr>
      <vt:lpstr>'CODE checklist'!Title.Checklist.NoteForAuditor</vt:lpstr>
      <vt:lpstr>'ITSR checklist'!Title.Checklist.NoteForAuditor</vt:lpstr>
      <vt:lpstr>'SDD checklist'!Title.Checklist.NoteForAuditor</vt:lpstr>
      <vt:lpstr>'CODE checklist'!Title.Checklist.Question</vt:lpstr>
      <vt:lpstr>'ITSR checklist'!Title.Checklist.Question</vt:lpstr>
      <vt:lpstr>'SDD checklist'!Title.Checklist.Question</vt:lpstr>
      <vt:lpstr>'CODE checklist'!Title.Checklist.QuestionReference</vt:lpstr>
      <vt:lpstr>'ITSR checklist'!Title.Checklist.QuestionReference</vt:lpstr>
      <vt:lpstr>'SDD checklist'!Title.Checklist.QuestionReference</vt:lpstr>
      <vt:lpstr>'CODE checklist'!Title.Checklist.Rate</vt:lpstr>
      <vt:lpstr>'ITSR checklist'!Title.Checklist.Rate</vt:lpstr>
      <vt:lpstr>'SDD checklist'!Title.Checklist.Rate</vt:lpstr>
      <vt:lpstr>'CODE checklist'!TitleRow</vt:lpstr>
      <vt:lpstr>'ITSR checklist'!TitleRow</vt:lpstr>
      <vt:lpstr>'SDD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David Puscasu</cp:lastModifiedBy>
  <dcterms:created xsi:type="dcterms:W3CDTF">1996-10-21T11:03:58Z</dcterms:created>
  <dcterms:modified xsi:type="dcterms:W3CDTF">2023-07-31T11:56:44Z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