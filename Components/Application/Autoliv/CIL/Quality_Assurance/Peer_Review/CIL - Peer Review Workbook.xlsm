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CIL\Quality_Assurance\Peer_Review\"/>
    </mc:Choice>
  </mc:AlternateContent>
  <xr:revisionPtr revIDLastSave="0" documentId="13_ncr:1_{F557EEFC-041E-4570-A907-F6B129959195}" xr6:coauthVersionLast="47" xr6:coauthVersionMax="47" xr10:uidLastSave="{00000000-0000-0000-0000-000000000000}"/>
  <bookViews>
    <workbookView xWindow="-120" yWindow="-120" windowWidth="29040" windowHeight="15990" firstSheet="1" activeTab="22" xr2:uid="{B0383260-1E77-40E6-B64B-898DA6CDFBCE}"/>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UTSR checklist" sheetId="248" r:id="rId25"/>
    <sheet name="ITSR checklist" sheetId="247"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5">'ITSR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4">'UTSR checklist'!$A$5:$A$38</definedName>
    <definedName name="Review.ratings" localSheetId="12">'CMP checklist'!$C$5:$C$34</definedName>
    <definedName name="Review.ratings" localSheetId="23">'CODE checklist'!$F$5:$F$36</definedName>
    <definedName name="Review.ratings" localSheetId="14">'ITP checklist'!$C$5:$C$26</definedName>
    <definedName name="Review.ratings" localSheetId="25">'ITSR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checklist'!$C$5:$C$35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4">'UTSR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5">'ITSR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4">'UTSR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5">'ITSR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4">'UTSR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5">'ITSR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4">'UTSR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5">'ITSR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4">'UTSR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5">'ITSR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4">'UTSR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5">[1]!Table1[[#Headers],[Actions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4">[1]!Table1[[#Headers],[Actions
(description)]]</definedName>
    <definedName name="Title.Checklist.Guide.HowToRate" localSheetId="12">'CMP checklist'!$F$3</definedName>
    <definedName name="Title.Checklist.Guide.HowToRate" localSheetId="23">'CODE checklist'!$AK$3</definedName>
    <definedName name="Title.Checklist.Guide.HowToRate" localSheetId="14">'ITP checklist'!$F$3</definedName>
    <definedName name="Title.Checklist.Guide.HowToRate" localSheetId="25">'ITSR checklist'!$N$3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checklist'!$K$3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4">'UTSR checklist'!$I$3</definedName>
    <definedName name="Title.Checklist.Guide.WhatToCheck" localSheetId="12">'CMP checklist'!$E$3</definedName>
    <definedName name="Title.Checklist.Guide.WhatToCheck" localSheetId="23">'CODE checklist'!$AJ$3</definedName>
    <definedName name="Title.Checklist.Guide.WhatToCheck" localSheetId="14">'ITP checklist'!$E$3</definedName>
    <definedName name="Title.Checklist.Guide.WhatToCheck" localSheetId="25">'ITSR checklist'!$M$3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checklist'!$J$3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4">'UTSR checklist'!$H$3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5">'ITSR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4">'UTSR checklist'!$B$36</definedName>
    <definedName name="Title.Checklist.NoteForAuditor" localSheetId="12">'CMP checklist'!$E$2</definedName>
    <definedName name="Title.Checklist.NoteForAuditor" localSheetId="23">'CODE checklist'!$AJ$2</definedName>
    <definedName name="Title.Checklist.NoteForAuditor" localSheetId="14">'ITP checklist'!$E$2</definedName>
    <definedName name="Title.Checklist.NoteForAuditor" localSheetId="25">'ITSR checklist'!$M$2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checklist'!$J$2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4">'UTSR checklist'!$H$2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5">'ITSR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4">'UTSR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5">'ITSR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4">'UTSR checklist'!$A$2</definedName>
    <definedName name="Title.Checklist.Rate" localSheetId="12">'CMP checklist'!$C$2</definedName>
    <definedName name="Title.Checklist.Rate" localSheetId="23">'CODE checklist'!$F$2</definedName>
    <definedName name="Title.Checklist.Rate" localSheetId="14">'ITP checklist'!$C$2</definedName>
    <definedName name="Title.Checklist.Rate" localSheetId="25">'ITSR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checklist'!$C$2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4">'UTSR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5">'ITSR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4">'UTSR checklist'!$2:$2</definedName>
  </definedNames>
  <calcPr calcId="191028"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245" l="1"/>
  <c r="E3" i="245"/>
  <c r="F3" i="245"/>
  <c r="G3" i="245"/>
  <c r="H3" i="245"/>
  <c r="C3" i="245"/>
  <c r="E62" i="42"/>
  <c r="E61" i="42"/>
  <c r="E3" i="248"/>
  <c r="AH3" i="246"/>
  <c r="AG3" i="246"/>
  <c r="AF3" i="246"/>
  <c r="AE3" i="246"/>
  <c r="E59" i="42"/>
  <c r="E58" i="42"/>
  <c r="E57" i="42"/>
  <c r="E56" i="42"/>
  <c r="X27" i="16"/>
  <c r="W27" i="16"/>
  <c r="V27" i="16"/>
  <c r="U27" i="16"/>
  <c r="T27" i="16"/>
  <c r="S27" i="16"/>
  <c r="R27" i="16"/>
  <c r="Q27" i="16"/>
  <c r="P27" i="16"/>
  <c r="O27" i="16"/>
  <c r="N27" i="16"/>
  <c r="M27" i="16"/>
  <c r="L27" i="16"/>
  <c r="K27" i="16"/>
  <c r="J27" i="16"/>
  <c r="I27" i="16"/>
  <c r="H27" i="16"/>
  <c r="G27" i="16"/>
  <c r="F27" i="16"/>
  <c r="E27" i="16"/>
  <c r="E44" i="16"/>
  <c r="E37" i="16"/>
  <c r="AD3" i="246"/>
  <c r="AC3" i="246"/>
  <c r="AB3" i="246"/>
  <c r="AA3" i="246"/>
  <c r="Z3" i="246"/>
  <c r="F10" i="38"/>
  <c r="E7" i="38"/>
  <c r="AB7" i="38"/>
  <c r="AB5" i="38"/>
  <c r="W7" i="38"/>
  <c r="W5" i="38"/>
  <c r="A7" i="38"/>
  <c r="A5" i="38"/>
  <c r="E50" i="42" l="1"/>
  <c r="E49" i="42"/>
  <c r="E48" i="42"/>
  <c r="E47" i="42"/>
  <c r="Y3" i="246"/>
  <c r="X3" i="246"/>
  <c r="W3" i="246"/>
  <c r="V3" i="246"/>
  <c r="D3" i="248" l="1"/>
  <c r="F3" i="248"/>
  <c r="U3" i="246"/>
  <c r="T3" i="246"/>
  <c r="S3" i="246"/>
  <c r="Q3" i="246"/>
  <c r="R3" i="246"/>
  <c r="E46" i="42"/>
  <c r="E51" i="42"/>
  <c r="E52" i="42"/>
  <c r="E53" i="42"/>
  <c r="E54" i="42"/>
  <c r="E55" i="42"/>
  <c r="E60" i="42"/>
  <c r="E63" i="42"/>
  <c r="E43" i="42"/>
  <c r="E44" i="42"/>
  <c r="E45" i="42"/>
  <c r="E24" i="42"/>
  <c r="E25" i="42"/>
  <c r="E26" i="42"/>
  <c r="E27" i="42"/>
  <c r="E28" i="42"/>
  <c r="E29" i="42"/>
  <c r="E30" i="42"/>
  <c r="E31" i="42"/>
  <c r="E32" i="42"/>
  <c r="E33" i="42"/>
  <c r="E34" i="42"/>
  <c r="E35" i="42"/>
  <c r="E36" i="42"/>
  <c r="E37" i="42"/>
  <c r="E38" i="42"/>
  <c r="E39" i="42"/>
  <c r="E40" i="42"/>
  <c r="E41" i="42"/>
  <c r="E42" i="42"/>
  <c r="E3" i="42"/>
  <c r="E4" i="42"/>
  <c r="K3" i="247"/>
  <c r="E23" i="42"/>
  <c r="E22" i="42"/>
  <c r="P3" i="246"/>
  <c r="O3" i="246"/>
  <c r="N3" i="246"/>
  <c r="E21" i="42"/>
  <c r="M3" i="246"/>
  <c r="L3" i="246"/>
  <c r="K3" i="246"/>
  <c r="J3" i="246"/>
  <c r="I3" i="246"/>
  <c r="H3" i="246"/>
  <c r="G3" i="246"/>
  <c r="F3" i="246"/>
  <c r="E3" i="246"/>
  <c r="D3" i="246"/>
  <c r="C3" i="246"/>
  <c r="E20" i="42"/>
  <c r="E14" i="42"/>
  <c r="E15" i="42"/>
  <c r="E16" i="42"/>
  <c r="E17" i="42"/>
  <c r="E18" i="42"/>
  <c r="E19" i="42"/>
  <c r="J3" i="247"/>
  <c r="I3" i="247"/>
  <c r="H3" i="247"/>
  <c r="G3" i="247"/>
  <c r="F3" i="247"/>
  <c r="E3" i="247"/>
  <c r="D3" i="247"/>
  <c r="E13" i="42"/>
  <c r="C3" i="247"/>
  <c r="E5" i="42" l="1"/>
  <c r="E6" i="42"/>
  <c r="E7" i="42"/>
  <c r="E8" i="42"/>
  <c r="E9" i="42"/>
  <c r="E10" i="42"/>
  <c r="E11" i="42"/>
  <c r="E12" i="42"/>
  <c r="C3" i="248"/>
  <c r="C3" i="251" l="1"/>
  <c r="C3" i="250"/>
  <c r="C3" i="249"/>
  <c r="C3" i="244"/>
  <c r="C3" i="243"/>
  <c r="C3" i="242"/>
  <c r="C3" i="241"/>
  <c r="C3" i="240"/>
  <c r="C3" i="239"/>
  <c r="C3" i="238"/>
  <c r="C3" i="237"/>
  <c r="C3" i="236"/>
  <c r="C3" i="235"/>
  <c r="C3" i="234"/>
  <c r="C3" i="233"/>
  <c r="C3" i="232"/>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D774FB8F-E38C-44DD-BE62-D74C4AA070DA}">
      <text>
        <r>
          <rPr>
            <b/>
            <sz val="9"/>
            <color indexed="81"/>
            <rFont val="Tahoma"/>
            <family val="2"/>
          </rPr>
          <t>Overview :</t>
        </r>
        <r>
          <rPr>
            <sz val="9"/>
            <color indexed="81"/>
            <rFont val="Tahoma"/>
            <family val="2"/>
          </rPr>
          <t xml:space="preserve">
Pourcentage of "yes" answers out of applicable answers</t>
        </r>
      </text>
    </comment>
    <comment ref="E3" authorId="0" shapeId="0" xr:uid="{4A2E1D67-9D76-4B90-A9D9-0B7FF29A9C3D}">
      <text>
        <r>
          <rPr>
            <b/>
            <sz val="9"/>
            <color indexed="81"/>
            <rFont val="Tahoma"/>
            <family val="2"/>
          </rPr>
          <t>Overview :</t>
        </r>
        <r>
          <rPr>
            <sz val="9"/>
            <color indexed="81"/>
            <rFont val="Tahoma"/>
            <family val="2"/>
          </rPr>
          <t xml:space="preserve">
Pourcentage of "yes" answers out of applicable answers</t>
        </r>
      </text>
    </comment>
    <comment ref="F3" authorId="0" shapeId="0" xr:uid="{C055EA29-5BD0-431E-B09C-30CB3D565378}">
      <text>
        <r>
          <rPr>
            <b/>
            <sz val="9"/>
            <color indexed="81"/>
            <rFont val="Tahoma"/>
            <family val="2"/>
          </rPr>
          <t>Overview :</t>
        </r>
        <r>
          <rPr>
            <sz val="9"/>
            <color indexed="81"/>
            <rFont val="Tahoma"/>
            <family val="2"/>
          </rPr>
          <t xml:space="preserve">
Pourcentage of "yes" answers out of applicable answers</t>
        </r>
      </text>
    </comment>
    <comment ref="G3" authorId="0" shapeId="0" xr:uid="{A1CB2616-A642-4B0D-8BCB-F03E0F376F9D}">
      <text>
        <r>
          <rPr>
            <b/>
            <sz val="9"/>
            <color indexed="81"/>
            <rFont val="Tahoma"/>
            <family val="2"/>
          </rPr>
          <t>Overview :</t>
        </r>
        <r>
          <rPr>
            <sz val="9"/>
            <color indexed="81"/>
            <rFont val="Tahoma"/>
            <family val="2"/>
          </rPr>
          <t xml:space="preserve">
Pourcentage of "yes" answers out of applicable answers</t>
        </r>
      </text>
    </comment>
    <comment ref="H3" authorId="0" shapeId="0" xr:uid="{77C7B548-E851-4878-A0E7-6FEF219A5102}">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94050FF2-A925-47EF-9763-92CB3A42226E}">
      <text>
        <r>
          <rPr>
            <b/>
            <sz val="9"/>
            <color indexed="81"/>
            <rFont val="Tahoma"/>
            <family val="2"/>
          </rPr>
          <t>This cell must be blank</t>
        </r>
      </text>
    </comment>
    <comment ref="E35" authorId="0" shapeId="0" xr:uid="{7CD8884B-1B8A-4AE8-893D-F491A267BEC6}">
      <text>
        <r>
          <rPr>
            <b/>
            <sz val="9"/>
            <color indexed="81"/>
            <rFont val="Tahoma"/>
            <family val="2"/>
          </rPr>
          <t>This cell must be blank</t>
        </r>
      </text>
    </comment>
    <comment ref="F35" authorId="0" shapeId="0" xr:uid="{869436EB-B2D1-49AC-8E28-62D994134D7B}">
      <text>
        <r>
          <rPr>
            <b/>
            <sz val="9"/>
            <color indexed="81"/>
            <rFont val="Tahoma"/>
            <family val="2"/>
          </rPr>
          <t>This cell must be blank</t>
        </r>
      </text>
    </comment>
    <comment ref="G35" authorId="0" shapeId="0" xr:uid="{91C4B350-1063-4381-932E-40F43B76195E}">
      <text>
        <r>
          <rPr>
            <b/>
            <sz val="9"/>
            <color indexed="81"/>
            <rFont val="Tahoma"/>
            <family val="2"/>
          </rPr>
          <t>This cell must be blank</t>
        </r>
      </text>
    </comment>
    <comment ref="H35" authorId="0" shapeId="0" xr:uid="{8D439656-D4DC-4802-A383-ABD16EB5A80D}">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4E17E4-77BD-4045-9FFE-B8B2E8E5AD23}">
      <text>
        <r>
          <rPr>
            <b/>
            <sz val="9"/>
            <color indexed="81"/>
            <rFont val="Tahoma"/>
            <family val="2"/>
          </rPr>
          <t>Overview :</t>
        </r>
        <r>
          <rPr>
            <sz val="9"/>
            <color indexed="81"/>
            <rFont val="Tahoma"/>
            <family val="2"/>
          </rPr>
          <t xml:space="preserve">
Pourcentage of "yes" answers out of applicable answers</t>
        </r>
      </text>
    </comment>
    <comment ref="D3" authorId="0" shapeId="0" xr:uid="{66ACF3CE-E1CA-46CE-8CB0-3DF622AE92F1}">
      <text>
        <r>
          <rPr>
            <b/>
            <sz val="9"/>
            <color indexed="81"/>
            <rFont val="Tahoma"/>
            <family val="2"/>
          </rPr>
          <t>Overview :</t>
        </r>
        <r>
          <rPr>
            <sz val="9"/>
            <color indexed="81"/>
            <rFont val="Tahoma"/>
            <family val="2"/>
          </rPr>
          <t xml:space="preserve">
Pourcentage of "yes" answers out of applicable answers</t>
        </r>
      </text>
    </comment>
    <comment ref="E3" authorId="0" shapeId="0" xr:uid="{3B071C1F-F470-4762-8ACF-FE7B13822B65}">
      <text>
        <r>
          <rPr>
            <b/>
            <sz val="9"/>
            <color indexed="81"/>
            <rFont val="Tahoma"/>
            <family val="2"/>
          </rPr>
          <t>Overview :</t>
        </r>
        <r>
          <rPr>
            <sz val="9"/>
            <color indexed="81"/>
            <rFont val="Tahoma"/>
            <family val="2"/>
          </rPr>
          <t xml:space="preserve">
Pourcentage of "yes" answers out of applicable answers</t>
        </r>
      </text>
    </comment>
    <comment ref="F3" authorId="0" shapeId="0" xr:uid="{7CC5482A-ED98-4522-A70C-33AD3AE4AED4}">
      <text>
        <r>
          <rPr>
            <b/>
            <sz val="9"/>
            <color indexed="81"/>
            <rFont val="Tahoma"/>
            <family val="2"/>
          </rPr>
          <t>Overview :</t>
        </r>
        <r>
          <rPr>
            <sz val="9"/>
            <color indexed="81"/>
            <rFont val="Tahoma"/>
            <family val="2"/>
          </rPr>
          <t xml:space="preserve">
Pourcentage of "yes" answers out of applicable answers</t>
        </r>
      </text>
    </comment>
    <comment ref="G3" authorId="0" shapeId="0" xr:uid="{01A89B16-F351-447B-844C-A0AA350F9E4D}">
      <text>
        <r>
          <rPr>
            <b/>
            <sz val="9"/>
            <color indexed="81"/>
            <rFont val="Tahoma"/>
            <family val="2"/>
          </rPr>
          <t>Overview :</t>
        </r>
        <r>
          <rPr>
            <sz val="9"/>
            <color indexed="81"/>
            <rFont val="Tahoma"/>
            <family val="2"/>
          </rPr>
          <t xml:space="preserve">
Pourcentage of "yes" answers out of applicable answers</t>
        </r>
      </text>
    </comment>
    <comment ref="H3" authorId="0" shapeId="0" xr:uid="{A9DDF436-8DFC-404E-88A8-9CD22CB0B709}">
      <text>
        <r>
          <rPr>
            <b/>
            <sz val="9"/>
            <color indexed="81"/>
            <rFont val="Tahoma"/>
            <family val="2"/>
          </rPr>
          <t>Overview :</t>
        </r>
        <r>
          <rPr>
            <sz val="9"/>
            <color indexed="81"/>
            <rFont val="Tahoma"/>
            <family val="2"/>
          </rPr>
          <t xml:space="preserve">
Pourcentage of "yes" answers out of applicable answers</t>
        </r>
      </text>
    </comment>
    <comment ref="I3" authorId="0" shapeId="0" xr:uid="{3F13CB7F-A39E-4F8D-8E81-BD914D614268}">
      <text>
        <r>
          <rPr>
            <b/>
            <sz val="9"/>
            <color indexed="81"/>
            <rFont val="Tahoma"/>
            <family val="2"/>
          </rPr>
          <t>Overview :</t>
        </r>
        <r>
          <rPr>
            <sz val="9"/>
            <color indexed="81"/>
            <rFont val="Tahoma"/>
            <family val="2"/>
          </rPr>
          <t xml:space="preserve">
Pourcentage of "yes" answers out of applicable answers</t>
        </r>
      </text>
    </comment>
    <comment ref="J3" authorId="0" shapeId="0" xr:uid="{3BA5A454-3797-42F5-B854-15D90FF24C56}">
      <text>
        <r>
          <rPr>
            <b/>
            <sz val="9"/>
            <color indexed="81"/>
            <rFont val="Tahoma"/>
            <family val="2"/>
          </rPr>
          <t>Overview :</t>
        </r>
        <r>
          <rPr>
            <sz val="9"/>
            <color indexed="81"/>
            <rFont val="Tahoma"/>
            <family val="2"/>
          </rPr>
          <t xml:space="preserve">
Pourcentage of "yes" answers out of applicable answers</t>
        </r>
      </text>
    </comment>
    <comment ref="K3" authorId="0" shapeId="0" xr:uid="{F5D39A64-BA26-43AB-B052-7E497C065B22}">
      <text>
        <r>
          <rPr>
            <b/>
            <sz val="9"/>
            <color indexed="81"/>
            <rFont val="Tahoma"/>
            <family val="2"/>
          </rPr>
          <t>Overview :</t>
        </r>
        <r>
          <rPr>
            <sz val="9"/>
            <color indexed="81"/>
            <rFont val="Tahoma"/>
            <family val="2"/>
          </rPr>
          <t xml:space="preserve">
Pourcentage of "yes" answers out of applicable answers</t>
        </r>
      </text>
    </comment>
    <comment ref="L3" authorId="0" shapeId="0" xr:uid="{AE757F53-83DD-462D-839E-CD5137949AF0}">
      <text>
        <r>
          <rPr>
            <b/>
            <sz val="9"/>
            <color indexed="81"/>
            <rFont val="Tahoma"/>
            <family val="2"/>
          </rPr>
          <t>Overview :</t>
        </r>
        <r>
          <rPr>
            <sz val="9"/>
            <color indexed="81"/>
            <rFont val="Tahoma"/>
            <family val="2"/>
          </rPr>
          <t xml:space="preserve">
Pourcentage of "yes" answers out of applicable answers</t>
        </r>
      </text>
    </comment>
    <comment ref="M3" authorId="0" shapeId="0" xr:uid="{640FFBD0-040A-4E00-80DF-C783B6B45A10}">
      <text>
        <r>
          <rPr>
            <b/>
            <sz val="9"/>
            <color indexed="81"/>
            <rFont val="Tahoma"/>
            <family val="2"/>
          </rPr>
          <t>Overview :</t>
        </r>
        <r>
          <rPr>
            <sz val="9"/>
            <color indexed="81"/>
            <rFont val="Tahoma"/>
            <family val="2"/>
          </rPr>
          <t xml:space="preserve">
Pourcentage of "yes" answers out of applicable answers</t>
        </r>
      </text>
    </comment>
    <comment ref="N3" authorId="0" shapeId="0" xr:uid="{566698F7-19A1-4AB3-9A56-C9445C1981CF}">
      <text>
        <r>
          <rPr>
            <b/>
            <sz val="9"/>
            <color indexed="81"/>
            <rFont val="Tahoma"/>
            <family val="2"/>
          </rPr>
          <t>Overview :</t>
        </r>
        <r>
          <rPr>
            <sz val="9"/>
            <color indexed="81"/>
            <rFont val="Tahoma"/>
            <family val="2"/>
          </rPr>
          <t xml:space="preserve">
Pourcentage of "yes" answers out of applicable answers</t>
        </r>
      </text>
    </comment>
    <comment ref="O3" authorId="0" shapeId="0" xr:uid="{B385FDA1-E33E-4E21-B951-0FA622B2A7D9}">
      <text>
        <r>
          <rPr>
            <b/>
            <sz val="9"/>
            <color indexed="81"/>
            <rFont val="Tahoma"/>
            <family val="2"/>
          </rPr>
          <t>Overview :</t>
        </r>
        <r>
          <rPr>
            <sz val="9"/>
            <color indexed="81"/>
            <rFont val="Tahoma"/>
            <family val="2"/>
          </rPr>
          <t xml:space="preserve">
Pourcentage of "yes" answers out of applicable answers</t>
        </r>
      </text>
    </comment>
    <comment ref="P3" authorId="0" shapeId="0" xr:uid="{6E9B03BE-5E35-4702-9EB0-4A02457E600F}">
      <text>
        <r>
          <rPr>
            <b/>
            <sz val="9"/>
            <color indexed="81"/>
            <rFont val="Tahoma"/>
            <family val="2"/>
          </rPr>
          <t>Overview :</t>
        </r>
        <r>
          <rPr>
            <sz val="9"/>
            <color indexed="81"/>
            <rFont val="Tahoma"/>
            <family val="2"/>
          </rPr>
          <t xml:space="preserve">
Pourcentage of "yes" answers out of applicable answers</t>
        </r>
      </text>
    </comment>
    <comment ref="S3" authorId="0" shapeId="0" xr:uid="{3C0368DB-F546-4D2F-A502-71AF1A0C49F9}">
      <text>
        <r>
          <rPr>
            <b/>
            <sz val="9"/>
            <color indexed="81"/>
            <rFont val="Tahoma"/>
            <family val="2"/>
          </rPr>
          <t>Overview :</t>
        </r>
        <r>
          <rPr>
            <sz val="9"/>
            <color indexed="81"/>
            <rFont val="Tahoma"/>
            <family val="2"/>
          </rPr>
          <t xml:space="preserve">
Pourcentage of "yes" answers out of applicable answers</t>
        </r>
      </text>
    </comment>
    <comment ref="T3" authorId="0" shapeId="0" xr:uid="{A3AF9B1D-75A4-4B91-AEEB-BB3356CD240A}">
      <text>
        <r>
          <rPr>
            <b/>
            <sz val="9"/>
            <color indexed="81"/>
            <rFont val="Tahoma"/>
            <family val="2"/>
          </rPr>
          <t>Overview :</t>
        </r>
        <r>
          <rPr>
            <sz val="9"/>
            <color indexed="81"/>
            <rFont val="Tahoma"/>
            <family val="2"/>
          </rPr>
          <t xml:space="preserve">
Pourcentage of "yes" answers out of applicable answers</t>
        </r>
      </text>
    </comment>
    <comment ref="V3" authorId="0" shapeId="0" xr:uid="{5B8C7206-66F6-43A0-854D-DB641A4BFA61}">
      <text>
        <r>
          <rPr>
            <b/>
            <sz val="9"/>
            <color indexed="81"/>
            <rFont val="Tahoma"/>
            <family val="2"/>
          </rPr>
          <t>Overview :</t>
        </r>
        <r>
          <rPr>
            <sz val="9"/>
            <color indexed="81"/>
            <rFont val="Tahoma"/>
            <family val="2"/>
          </rPr>
          <t xml:space="preserve">
Pourcentage of "yes" answers out of applicable answers</t>
        </r>
      </text>
    </comment>
    <comment ref="W3" authorId="0" shapeId="0" xr:uid="{405FB469-65D2-482A-A7E1-4605C53B40D0}">
      <text>
        <r>
          <rPr>
            <b/>
            <sz val="9"/>
            <color indexed="81"/>
            <rFont val="Tahoma"/>
            <family val="2"/>
          </rPr>
          <t>Overview :</t>
        </r>
        <r>
          <rPr>
            <sz val="9"/>
            <color indexed="81"/>
            <rFont val="Tahoma"/>
            <family val="2"/>
          </rPr>
          <t xml:space="preserve">
Pourcentage of "yes" answers out of applicable answers</t>
        </r>
      </text>
    </comment>
    <comment ref="X3" authorId="0" shapeId="0" xr:uid="{FA2380E5-55DB-4372-8289-4AF4970B3452}">
      <text>
        <r>
          <rPr>
            <b/>
            <sz val="9"/>
            <color indexed="81"/>
            <rFont val="Tahoma"/>
            <family val="2"/>
          </rPr>
          <t>Overview :</t>
        </r>
        <r>
          <rPr>
            <sz val="9"/>
            <color indexed="81"/>
            <rFont val="Tahoma"/>
            <family val="2"/>
          </rPr>
          <t xml:space="preserve">
Pourcentage of "yes" answers out of applicable answers</t>
        </r>
      </text>
    </comment>
    <comment ref="Z3" authorId="0" shapeId="0" xr:uid="{290C0F80-EF4B-4178-B10E-2EAA6BEC0592}">
      <text>
        <r>
          <rPr>
            <b/>
            <sz val="9"/>
            <color indexed="81"/>
            <rFont val="Tahoma"/>
            <family val="2"/>
          </rPr>
          <t>Overview :</t>
        </r>
        <r>
          <rPr>
            <sz val="9"/>
            <color indexed="81"/>
            <rFont val="Tahoma"/>
            <family val="2"/>
          </rPr>
          <t xml:space="preserve">
Pourcentage of "yes" answers out of applicable answers</t>
        </r>
      </text>
    </comment>
    <comment ref="AA3" authorId="0" shapeId="0" xr:uid="{35B2D10F-BBAF-4C1D-8574-463F40AF5534}">
      <text>
        <r>
          <rPr>
            <b/>
            <sz val="9"/>
            <color indexed="81"/>
            <rFont val="Tahoma"/>
            <family val="2"/>
          </rPr>
          <t>Overview :</t>
        </r>
        <r>
          <rPr>
            <sz val="9"/>
            <color indexed="81"/>
            <rFont val="Tahoma"/>
            <family val="2"/>
          </rPr>
          <t xml:space="preserve">
Pourcentage of "yes" answers out of applicable answers</t>
        </r>
      </text>
    </comment>
    <comment ref="AB3" authorId="0" shapeId="0" xr:uid="{DCFA6DC3-BFE1-45A5-B88B-784FB10D58A5}">
      <text>
        <r>
          <rPr>
            <b/>
            <sz val="9"/>
            <color indexed="81"/>
            <rFont val="Tahoma"/>
            <family val="2"/>
          </rPr>
          <t>Overview :</t>
        </r>
        <r>
          <rPr>
            <sz val="9"/>
            <color indexed="81"/>
            <rFont val="Tahoma"/>
            <family val="2"/>
          </rPr>
          <t xml:space="preserve">
Pourcentage of "yes" answers out of applicable answers</t>
        </r>
      </text>
    </comment>
    <comment ref="AC3" authorId="0" shapeId="0" xr:uid="{0D7E9C3F-91D8-47BB-A279-5F70AC77CA2B}">
      <text>
        <r>
          <rPr>
            <b/>
            <sz val="9"/>
            <color indexed="81"/>
            <rFont val="Tahoma"/>
            <family val="2"/>
          </rPr>
          <t>Overview :</t>
        </r>
        <r>
          <rPr>
            <sz val="9"/>
            <color indexed="81"/>
            <rFont val="Tahoma"/>
            <family val="2"/>
          </rPr>
          <t xml:space="preserve">
Pourcentage of "yes" answers out of applicable answers</t>
        </r>
      </text>
    </comment>
    <comment ref="AE3" authorId="0" shapeId="0" xr:uid="{1C2C71E8-81C9-4934-81CA-1DC1E476C498}">
      <text>
        <r>
          <rPr>
            <b/>
            <sz val="9"/>
            <color indexed="81"/>
            <rFont val="Tahoma"/>
            <family val="2"/>
          </rPr>
          <t>Overview :</t>
        </r>
        <r>
          <rPr>
            <sz val="9"/>
            <color indexed="81"/>
            <rFont val="Tahoma"/>
            <family val="2"/>
          </rPr>
          <t xml:space="preserve">
Pourcentage of "yes" answers out of applicable answers</t>
        </r>
      </text>
    </comment>
    <comment ref="AF3" authorId="0" shapeId="0" xr:uid="{CB084725-6482-4B0A-9D84-CB19683F985D}">
      <text>
        <r>
          <rPr>
            <b/>
            <sz val="9"/>
            <color indexed="81"/>
            <rFont val="Tahoma"/>
            <family val="2"/>
          </rPr>
          <t>Overview :</t>
        </r>
        <r>
          <rPr>
            <sz val="9"/>
            <color indexed="81"/>
            <rFont val="Tahoma"/>
            <family val="2"/>
          </rPr>
          <t xml:space="preserve">
Pourcentage of "yes" answers out of applicable answers</t>
        </r>
      </text>
    </comment>
    <comment ref="AG3" authorId="0" shapeId="0" xr:uid="{742B413C-2A8D-472E-B6C1-EDEC8ABF0CF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42027D3C-39F8-4B2B-AADC-B4F564B962BF}">
      <text>
        <r>
          <rPr>
            <b/>
            <sz val="9"/>
            <color indexed="81"/>
            <rFont val="Tahoma"/>
            <family val="2"/>
          </rPr>
          <t>This cell must be blank</t>
        </r>
      </text>
    </comment>
    <comment ref="D36" authorId="0" shapeId="0" xr:uid="{F81F3B68-8A47-426C-89A2-BD38324300EE}">
      <text>
        <r>
          <rPr>
            <b/>
            <sz val="9"/>
            <color indexed="81"/>
            <rFont val="Tahoma"/>
            <family val="2"/>
          </rPr>
          <t>This cell must be blank</t>
        </r>
      </text>
    </comment>
    <comment ref="E36" authorId="0" shapeId="0" xr:uid="{FA444830-E348-48A3-8C74-B4E232716CE8}">
      <text>
        <r>
          <rPr>
            <b/>
            <sz val="9"/>
            <color indexed="81"/>
            <rFont val="Tahoma"/>
            <family val="2"/>
          </rPr>
          <t>This cell must be blank</t>
        </r>
      </text>
    </comment>
    <comment ref="F36" authorId="0" shapeId="0" xr:uid="{E7DC79D1-99F9-42FD-8563-D14B693744FA}">
      <text>
        <r>
          <rPr>
            <b/>
            <sz val="9"/>
            <color indexed="81"/>
            <rFont val="Tahoma"/>
            <family val="2"/>
          </rPr>
          <t>This cell must be blank</t>
        </r>
      </text>
    </comment>
    <comment ref="T36" authorId="0" shapeId="0" xr:uid="{41E7FE8D-61D7-4705-8C28-5B637CD23DD0}">
      <text>
        <r>
          <rPr>
            <b/>
            <sz val="9"/>
            <color indexed="81"/>
            <rFont val="Tahoma"/>
            <family val="2"/>
          </rPr>
          <t>This cell must be blank</t>
        </r>
      </text>
    </comment>
    <comment ref="W36" authorId="0" shapeId="0" xr:uid="{170F4951-B77A-4DDA-A6D2-B3D5AD36DE9E}">
      <text>
        <r>
          <rPr>
            <b/>
            <sz val="9"/>
            <color indexed="81"/>
            <rFont val="Tahoma"/>
            <family val="2"/>
          </rPr>
          <t>This cell must be blank</t>
        </r>
      </text>
    </comment>
    <comment ref="X36" authorId="0" shapeId="0" xr:uid="{42543359-EE43-4266-9117-EE1FD73AD37F}">
      <text>
        <r>
          <rPr>
            <b/>
            <sz val="9"/>
            <color indexed="81"/>
            <rFont val="Tahoma"/>
            <family val="2"/>
          </rPr>
          <t>This cell must be blank</t>
        </r>
      </text>
    </comment>
    <comment ref="AA36" authorId="0" shapeId="0" xr:uid="{F2A3148F-E9EE-4DAB-A5ED-732DF664A859}">
      <text>
        <r>
          <rPr>
            <b/>
            <sz val="9"/>
            <color indexed="81"/>
            <rFont val="Tahoma"/>
            <family val="2"/>
          </rPr>
          <t>This cell must be blank</t>
        </r>
      </text>
    </comment>
    <comment ref="AB36" authorId="0" shapeId="0" xr:uid="{B3A4914D-4FAA-46E2-AC8C-7C62F8DB9E95}">
      <text>
        <r>
          <rPr>
            <b/>
            <sz val="9"/>
            <color indexed="81"/>
            <rFont val="Tahoma"/>
            <family val="2"/>
          </rPr>
          <t>This cell must be blank</t>
        </r>
      </text>
    </comment>
    <comment ref="AC36" authorId="0" shapeId="0" xr:uid="{5D9740AA-C101-48B5-BDCE-E8EF72A827B5}">
      <text>
        <r>
          <rPr>
            <b/>
            <sz val="9"/>
            <color indexed="81"/>
            <rFont val="Tahoma"/>
            <family val="2"/>
          </rPr>
          <t>This cell must be blank</t>
        </r>
      </text>
    </comment>
    <comment ref="AE36" authorId="0" shapeId="0" xr:uid="{F87D3AD9-CFC0-46DC-9F59-F1AFFDB92955}">
      <text>
        <r>
          <rPr>
            <b/>
            <sz val="9"/>
            <color indexed="81"/>
            <rFont val="Tahoma"/>
            <family val="2"/>
          </rPr>
          <t>This cell must be blank</t>
        </r>
      </text>
    </comment>
    <comment ref="AF36" authorId="0" shapeId="0" xr:uid="{FA9F130A-C6C0-4F37-9646-EFE14D902956}">
      <text>
        <r>
          <rPr>
            <b/>
            <sz val="9"/>
            <color indexed="81"/>
            <rFont val="Tahoma"/>
            <family val="2"/>
          </rPr>
          <t>This cell must be blank</t>
        </r>
      </text>
    </comment>
    <comment ref="AG36" authorId="0" shapeId="0" xr:uid="{F8D4916E-37D6-4C93-A381-78B35F4AA01B}">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8CDE736D-16BE-4AF9-9EE1-F61BC3A9D227}">
      <text>
        <r>
          <rPr>
            <b/>
            <sz val="9"/>
            <color indexed="81"/>
            <rFont val="Tahoma"/>
            <family val="2"/>
          </rPr>
          <t>Overview :</t>
        </r>
        <r>
          <rPr>
            <sz val="9"/>
            <color indexed="81"/>
            <rFont val="Tahoma"/>
            <family val="2"/>
          </rPr>
          <t xml:space="preserve">
Pourcentage of "yes" answers out of applicable answers</t>
        </r>
      </text>
    </comment>
    <comment ref="E3" authorId="0" shapeId="0" xr:uid="{58E7B69C-29C5-4384-8A59-62CB3D9544BE}">
      <text>
        <r>
          <rPr>
            <b/>
            <sz val="9"/>
            <color indexed="81"/>
            <rFont val="Tahoma"/>
            <family val="2"/>
          </rPr>
          <t>Overview :</t>
        </r>
        <r>
          <rPr>
            <sz val="9"/>
            <color indexed="81"/>
            <rFont val="Tahoma"/>
            <family val="2"/>
          </rPr>
          <t xml:space="preserve">
Pourcentage of "yes" answers out of applicable answers</t>
        </r>
      </text>
    </comment>
    <comment ref="F3" authorId="0" shapeId="0" xr:uid="{5C644168-1D50-4776-8220-7D7A120C87C4}">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E9C72C53-1495-45FB-ABB2-DE9E0B41B485}">
      <text>
        <r>
          <rPr>
            <b/>
            <sz val="9"/>
            <color indexed="81"/>
            <rFont val="Tahoma"/>
            <family val="2"/>
          </rPr>
          <t>This cell must be blank</t>
        </r>
      </text>
    </comment>
    <comment ref="E38" authorId="0" shapeId="0" xr:uid="{12FE99C8-BE29-4BD4-B0A3-6C12FA8038FA}">
      <text>
        <r>
          <rPr>
            <b/>
            <sz val="9"/>
            <color indexed="81"/>
            <rFont val="Tahoma"/>
            <family val="2"/>
          </rPr>
          <t>This cell must be blank</t>
        </r>
      </text>
    </comment>
    <comment ref="F38" authorId="0" shapeId="0" xr:uid="{DA2F568B-24A6-43C7-9112-853E41A9682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D3" authorId="0" shapeId="0" xr:uid="{EC1260B0-F6DC-488A-AEE5-FF3CF06AA87A}">
      <text>
        <r>
          <rPr>
            <b/>
            <sz val="9"/>
            <color indexed="81"/>
            <rFont val="Tahoma"/>
            <family val="2"/>
          </rPr>
          <t>Overview :</t>
        </r>
        <r>
          <rPr>
            <sz val="9"/>
            <color indexed="81"/>
            <rFont val="Tahoma"/>
            <family val="2"/>
          </rPr>
          <t xml:space="preserve">
Pourcentage of "yes" answers out of applicable answers</t>
        </r>
      </text>
    </comment>
    <comment ref="E3" authorId="0" shapeId="0" xr:uid="{A386C6C6-2792-4DDB-86CD-9137A9FE1279}">
      <text>
        <r>
          <rPr>
            <b/>
            <sz val="9"/>
            <color indexed="81"/>
            <rFont val="Tahoma"/>
            <family val="2"/>
          </rPr>
          <t>Overview :</t>
        </r>
        <r>
          <rPr>
            <sz val="9"/>
            <color indexed="81"/>
            <rFont val="Tahoma"/>
            <family val="2"/>
          </rPr>
          <t xml:space="preserve">
Pourcentage of "yes" answers out of applicable answers</t>
        </r>
      </text>
    </comment>
    <comment ref="F3" authorId="0" shapeId="0" xr:uid="{7D0345BC-7610-441D-92F2-5D12A0D44EA1}">
      <text>
        <r>
          <rPr>
            <b/>
            <sz val="9"/>
            <color indexed="81"/>
            <rFont val="Tahoma"/>
            <family val="2"/>
          </rPr>
          <t>Overview :</t>
        </r>
        <r>
          <rPr>
            <sz val="9"/>
            <color indexed="81"/>
            <rFont val="Tahoma"/>
            <family val="2"/>
          </rPr>
          <t xml:space="preserve">
Pourcentage of "yes" answers out of applicable answers</t>
        </r>
      </text>
    </comment>
    <comment ref="G3" authorId="0" shapeId="0" xr:uid="{19F81BED-8D7E-4CEF-966D-4FA37534B656}">
      <text>
        <r>
          <rPr>
            <b/>
            <sz val="9"/>
            <color indexed="81"/>
            <rFont val="Tahoma"/>
            <family val="2"/>
          </rPr>
          <t>Overview :</t>
        </r>
        <r>
          <rPr>
            <sz val="9"/>
            <color indexed="81"/>
            <rFont val="Tahoma"/>
            <family val="2"/>
          </rPr>
          <t xml:space="preserve">
Pourcentage of "yes" answers out of applicable answers</t>
        </r>
      </text>
    </comment>
    <comment ref="H3" authorId="0" shapeId="0" xr:uid="{456D098C-0A49-487B-AB0F-A6A0EB45D8B1}">
      <text>
        <r>
          <rPr>
            <b/>
            <sz val="9"/>
            <color indexed="81"/>
            <rFont val="Tahoma"/>
            <family val="2"/>
          </rPr>
          <t>Overview :</t>
        </r>
        <r>
          <rPr>
            <sz val="9"/>
            <color indexed="81"/>
            <rFont val="Tahoma"/>
            <family val="2"/>
          </rPr>
          <t xml:space="preserve">
Pourcentage of "yes" answers out of applicable answers</t>
        </r>
      </text>
    </comment>
    <comment ref="I3" authorId="0" shapeId="0" xr:uid="{49C5A09B-DE9F-4A73-8566-7ACE27D5A13A}">
      <text>
        <r>
          <rPr>
            <b/>
            <sz val="9"/>
            <color indexed="81"/>
            <rFont val="Tahoma"/>
            <family val="2"/>
          </rPr>
          <t>Overview :</t>
        </r>
        <r>
          <rPr>
            <sz val="9"/>
            <color indexed="81"/>
            <rFont val="Tahoma"/>
            <family val="2"/>
          </rPr>
          <t xml:space="preserve">
Pourcentage of "yes" answers out of applicable answers</t>
        </r>
      </text>
    </comment>
    <comment ref="J3" authorId="0" shapeId="0" xr:uid="{4A1E24DC-056C-490A-BA99-25A45D832645}">
      <text>
        <r>
          <rPr>
            <b/>
            <sz val="9"/>
            <color indexed="81"/>
            <rFont val="Tahoma"/>
            <family val="2"/>
          </rPr>
          <t>Overview :</t>
        </r>
        <r>
          <rPr>
            <sz val="9"/>
            <color indexed="81"/>
            <rFont val="Tahoma"/>
            <family val="2"/>
          </rPr>
          <t xml:space="preserve">
Pourcentage of "yes" answers out of applicable answers</t>
        </r>
      </text>
    </comment>
    <comment ref="K3" authorId="0" shapeId="0" xr:uid="{CD403CB4-1DEF-4ADE-8FCE-6AD3C4E445B9}">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 ref="D36" authorId="0" shapeId="0" xr:uid="{49CD1800-BA9F-4CDC-8F7F-347434854B87}">
      <text>
        <r>
          <rPr>
            <b/>
            <sz val="9"/>
            <color indexed="81"/>
            <rFont val="Tahoma"/>
            <family val="2"/>
          </rPr>
          <t>This cell must be blank</t>
        </r>
      </text>
    </comment>
    <comment ref="E36" authorId="0" shapeId="0" xr:uid="{6AFA3954-7F8C-47C8-A93D-34516B039199}">
      <text>
        <r>
          <rPr>
            <b/>
            <sz val="9"/>
            <color indexed="81"/>
            <rFont val="Tahoma"/>
            <family val="2"/>
          </rPr>
          <t>This cell must be blank</t>
        </r>
      </text>
    </comment>
    <comment ref="F36" authorId="0" shapeId="0" xr:uid="{0197EEAD-F362-4038-AFB6-1084B04C6E24}">
      <text>
        <r>
          <rPr>
            <b/>
            <sz val="9"/>
            <color indexed="81"/>
            <rFont val="Tahoma"/>
            <family val="2"/>
          </rPr>
          <t>This cell must be blank</t>
        </r>
      </text>
    </comment>
    <comment ref="G36" authorId="0" shapeId="0" xr:uid="{C756F6F2-73EC-44FF-A323-9CE91E711B6A}">
      <text>
        <r>
          <rPr>
            <b/>
            <sz val="9"/>
            <color indexed="81"/>
            <rFont val="Tahoma"/>
            <family val="2"/>
          </rPr>
          <t>This cell must be blank</t>
        </r>
      </text>
    </comment>
    <comment ref="H36" authorId="0" shapeId="0" xr:uid="{0DB439E4-E594-46D8-87E6-E683B9781020}">
      <text>
        <r>
          <rPr>
            <b/>
            <sz val="9"/>
            <color indexed="81"/>
            <rFont val="Tahoma"/>
            <family val="2"/>
          </rPr>
          <t>This cell must be blank</t>
        </r>
      </text>
    </comment>
    <comment ref="I36" authorId="0" shapeId="0" xr:uid="{920AB49A-0B7F-4B7E-A0EA-89296B2EA237}">
      <text>
        <r>
          <rPr>
            <b/>
            <sz val="9"/>
            <color indexed="81"/>
            <rFont val="Tahoma"/>
            <family val="2"/>
          </rPr>
          <t>This cell must be blank</t>
        </r>
      </text>
    </comment>
    <comment ref="J36" authorId="0" shapeId="0" xr:uid="{763F9ED4-F923-491E-9B3F-918381F99D0F}">
      <text>
        <r>
          <rPr>
            <b/>
            <sz val="9"/>
            <color indexed="81"/>
            <rFont val="Tahoma"/>
            <family val="2"/>
          </rPr>
          <t>This cell must be blank</t>
        </r>
      </text>
    </comment>
    <comment ref="K36" authorId="0" shapeId="0" xr:uid="{23FBBE89-DF3F-45E0-BE5C-6E86319CC435}">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<sst xmlns="http://schemas.openxmlformats.org/spreadsheetml/2006/main" count="4326" uniqueCount="1164">
  <si>
    <t>CIL - Peer Review Workbook.xlsm</t>
  </si>
  <si>
    <t>Project Number &amp; Name</t>
  </si>
  <si>
    <t>Review</t>
  </si>
  <si>
    <t>Document state</t>
  </si>
  <si>
    <t>Date of release</t>
  </si>
  <si>
    <t>PRWB</t>
  </si>
  <si>
    <t>Document id</t>
  </si>
  <si>
    <t>Document title</t>
  </si>
  <si>
    <t>Template</t>
  </si>
  <si>
    <t>Revision</t>
  </si>
  <si>
    <t>Version</t>
  </si>
  <si>
    <t>1.1.8.4</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</si>
  <si>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</si>
  <si>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</si>
  <si>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</si>
  <si>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</si>
  <si>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</si>
  <si>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</si>
  <si>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</si>
  <si>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</si>
  <si>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</si>
  <si>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</si>
  <si>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</si>
  <si>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</si>
  <si>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</si>
  <si>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</si>
  <si>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</si>
  <si>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</si>
  <si>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</si>
  <si>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</si>
  <si>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</si>
  <si>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</si>
  <si>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</si>
  <si>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</si>
  <si>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</si>
  <si>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</si>
  <si>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</si>
  <si>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</si>
  <si>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</si>
  <si>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</si>
  <si>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</si>
  <si>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</si>
  <si>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</si>
  <si>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</si>
  <si>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</si>
  <si>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</si>
  <si>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</si>
  <si>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</si>
  <si>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</si>
  <si>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</si>
  <si>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</si>
  <si>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</si>
  <si>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</si>
  <si>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</si>
  <si>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</si>
  <si>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</si>
  <si>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</si>
  <si>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</si>
  <si>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</si>
  <si>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</si>
  <si>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</si>
  <si>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</si>
  <si>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</si>
  <si>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</si>
  <si>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</si>
  <si>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</si>
  <si>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</si>
  <si>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</si>
  <si>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</si>
  <si>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</si>
  <si>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</si>
  <si>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</si>
  <si>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</si>
  <si>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</si>
  <si>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</si>
  <si>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</si>
  <si>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</si>
  <si>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</si>
  <si>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</si>
  <si>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</si>
  <si>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</si>
  <si>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</si>
  <si>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</si>
  <si>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</si>
  <si>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</si>
  <si>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</si>
  <si>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</si>
  <si>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</si>
  <si>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</si>
  <si>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</si>
  <si>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</si>
  <si>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</si>
  <si>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</si>
  <si>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</si>
  <si>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</si>
  <si>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</si>
  <si>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</si>
  <si>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</si>
  <si>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</si>
  <si>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</si>
  <si>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</si>
  <si>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</si>
  <si>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</si>
  <si>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</si>
  <si>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</si>
  <si>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</si>
  <si>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</si>
  <si>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</si>
  <si>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</si>
  <si>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</si>
  <si>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</si>
  <si>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</si>
  <si>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</si>
  <si>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</si>
  <si>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</si>
  <si>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</si>
  <si>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</si>
  <si>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</si>
  <si>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</si>
  <si>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</si>
  <si>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</si>
  <si>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</si>
  <si>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</si>
  <si>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</si>
  <si>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</si>
  <si>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</si>
  <si>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</si>
  <si>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</si>
  <si>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</si>
  <si>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</si>
  <si>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</si>
  <si>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</si>
  <si>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</si>
  <si>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</si>
  <si>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</si>
  <si>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</si>
  <si>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</si>
  <si>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</si>
  <si>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</si>
  <si>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</si>
  <si>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</si>
  <si>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</si>
  <si>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</si>
  <si>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</si>
  <si>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</si>
  <si>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</si>
  <si>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</si>
  <si>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</si>
  <si>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</si>
  <si>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</si>
  <si>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</si>
  <si>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</si>
  <si>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</si>
  <si>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</si>
  <si>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</si>
  <si>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</si>
  <si>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</si>
  <si>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</si>
  <si>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</si>
  <si>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</si>
  <si>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</si>
  <si>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</si>
  <si>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</si>
  <si>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</si>
  <si>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</si>
  <si>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</si>
  <si>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</si>
  <si>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</si>
  <si>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</si>
  <si>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</si>
  <si>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</si>
  <si>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</si>
  <si>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</si>
  <si>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</si>
  <si>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</si>
  <si>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</si>
  <si>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</si>
  <si>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</si>
  <si>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</si>
  <si>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</si>
  <si>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</si>
  <si>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</si>
  <si>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</si>
  <si>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</si>
  <si>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</si>
  <si>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</si>
  <si>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</si>
  <si>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</si>
  <si>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</si>
  <si>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</si>
  <si>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</si>
  <si>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</si>
  <si>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</si>
  <si>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</si>
  <si>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</si>
  <si>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</si>
  <si>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</si>
  <si>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</si>
  <si>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</si>
  <si>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</si>
  <si>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</si>
  <si>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</si>
  <si>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</si>
  <si>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</si>
  <si>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</si>
  <si>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</si>
  <si>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</si>
  <si>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</si>
  <si>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</si>
  <si>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</si>
  <si>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</si>
  <si>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</si>
  <si>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</si>
  <si>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</si>
  <si>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</si>
  <si>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</si>
  <si>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</si>
  <si>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</si>
  <si>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</si>
  <si>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</si>
  <si>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</si>
  <si>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</si>
  <si>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</si>
  <si>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</si>
  <si>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</si>
  <si>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</si>
  <si>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</si>
  <si>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</si>
  <si>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</si>
  <si>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</si>
  <si>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</si>
  <si>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</si>
  <si>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</si>
  <si>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Lucian Ardeleanu</t>
  </si>
  <si>
    <t>Gabriel Brasoveanu</t>
  </si>
  <si>
    <t>Vlad Chioveanu</t>
  </si>
  <si>
    <t>Ciprian Galbau</t>
  </si>
  <si>
    <t>Dan Dustinta</t>
  </si>
  <si>
    <t>Ciptian Galbau</t>
  </si>
  <si>
    <t>David Puscasu</t>
  </si>
  <si>
    <t>Ioan 
Repede</t>
  </si>
  <si>
    <t>Reviewer 10</t>
  </si>
  <si>
    <t>CIL_ManageMFTransmission.c</t>
  </si>
  <si>
    <t>23.11.2022</t>
  </si>
  <si>
    <t>CIL_Init.c</t>
  </si>
  <si>
    <t>CIL_CANToAppli.c</t>
  </si>
  <si>
    <t>25.11.2022</t>
  </si>
  <si>
    <t>CIL_AppliToCAN.c</t>
  </si>
  <si>
    <t>eCS_Audi_MCC.CIL.tmb - v1.1</t>
  </si>
  <si>
    <t>29.11.2022</t>
  </si>
  <si>
    <t>CIL_Init.c - v1.3.1.4</t>
  </si>
  <si>
    <t>Sw_Int_CIL_RP_IF_AB_Crash_Int_XIX_Grundumfang_XIX_eCS_01.txt</t>
  </si>
  <si>
    <t>03.02.2023</t>
  </si>
  <si>
    <t>SW_Int_CIL_RP_IF_AB_eCS_Aktuatortest_BF_XIX_Grundumfang_XIX_eCS_01.txt</t>
  </si>
  <si>
    <t>Sw_Int_CIL_RP_IF_AB_eCS_Aktuatortest_BF_XIX_Grundumfang_XIX_eCS_02.txt</t>
  </si>
  <si>
    <t>Sw_Int_CIL_RP_IF_AB_eCS_Aktuatortest_Reihe2_BF_XIX_Grundumfang_XIX_eCS_01.txt</t>
  </si>
  <si>
    <t>Sw_Int_CIL_RP_IF_AB_eCS_Aktuatortest_Reihe2_BF_XIX_Grundumfang_XIX_eCS_02.txt</t>
  </si>
  <si>
    <t>Sw_Int_CIL_RP_IF_AB_eCS_Aktuatortest_Reihe2_FA_XIX_Grundumfang_XIX_eCS_01.txt</t>
  </si>
  <si>
    <t>Sw_Int_CIL_RP_IF_AB_eCS_Aktuatortest_Reihe2_FA_XIX_Grundumfang_XIX_eCS_02.txt</t>
  </si>
  <si>
    <t>Sw_Int_CIL_SP_IF_eCS_Status_XIX_Grundumfang_XIX_eCS_01.txt</t>
  </si>
  <si>
    <t>CIL_CANToAppli.c - v1.6.3.10</t>
  </si>
  <si>
    <t>13.02.2023</t>
  </si>
  <si>
    <t>CIL.h - v1.6.2.6</t>
  </si>
  <si>
    <t>24.02.2023</t>
  </si>
  <si>
    <t>CIL_AppliToCAN - v1.5.3.14</t>
  </si>
  <si>
    <t>CIL_CANToAppli.c - v1.6.3.11</t>
  </si>
  <si>
    <t>CIL_ManageMFTransmission.c - v1.3.3.16</t>
  </si>
  <si>
    <t>CIL_SW_DetailedDesign.docx - v1.3</t>
  </si>
  <si>
    <t>27.02.2023</t>
  </si>
  <si>
    <t>Sw_Int_CIL_RP_IF_AB_eCS_Aktuatortest_BF_XIX_Grundumfang_XIX_eCS_01.txt</t>
  </si>
  <si>
    <t>Sw_Int_CIL_RP_IF_AB_eCS_Aktuatortest_FA_XIX_Grundumfang_XIX_eCS_01.txt</t>
  </si>
  <si>
    <t>Sw_Int_CIL_RP_IF_AB_eCS_Aktuatortest_FA_XIX_Grundumfang_XIX_eCS_02.txt</t>
  </si>
  <si>
    <t>Sw_Int_CIL_SP_IF_eCS_Gurtschloss_Status_Reihe2_BF_XIX_Grundumfang_XIX_eCS_01.txt</t>
  </si>
  <si>
    <t>Sw_Int_CIL_SP_IF_eCS_Gurtschloss_Status_Reihe2_FA_XIX_Grundumfang_XIX_eCS_01.txt</t>
  </si>
  <si>
    <t>Sw_Int_CIL_SP_IF_eCS_Status_XIX_Grundumfang_XIX_eCS_02.txt</t>
  </si>
  <si>
    <t>Sw_Int_CIL_SP_IF_eCS_Status_XIX_Grundumfang_XIX_eCS_03.txt</t>
  </si>
  <si>
    <t>Sw_Int_CIL_SP_IF_eCS_Status_XIX_Grundumfang_XIX_eCS_04.txt</t>
  </si>
  <si>
    <t>CIL_CANToAppli.c - v1.6.3.14</t>
  </si>
  <si>
    <t>CIL.h - v1.6.2.10</t>
  </si>
  <si>
    <t>CIL_AppliToCAN.c - v1.5.3.20</t>
  </si>
  <si>
    <t>CIL_ManageMFTransmission.c - v1.3.3.32</t>
  </si>
  <si>
    <t>eCS_Audi_MCC.CIL.tmb - v1.3</t>
  </si>
  <si>
    <t>CIL_CANToAppli.c - v1.6.3.18</t>
  </si>
  <si>
    <t>CIL_ManageMFTransmission.c - v1.3.3.43</t>
  </si>
  <si>
    <t>CIL.h - v1.6.2.12</t>
  </si>
  <si>
    <t>CIL_AppliToCAN.c - v1.5.3.35</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</si>
  <si>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</si>
  <si>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</si>
  <si>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</si>
  <si>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</si>
  <si>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</si>
  <si>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</si>
  <si>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</si>
  <si>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</si>
  <si>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</si>
  <si>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</si>
  <si>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</si>
  <si>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</si>
  <si>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</si>
  <si>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</si>
  <si>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</si>
  <si>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</si>
  <si>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</si>
  <si>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</si>
  <si>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</si>
  <si>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</si>
  <si>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</si>
  <si>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</si>
  <si>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</si>
  <si>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</si>
  <si>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</si>
  <si>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</si>
  <si>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</si>
  <si>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</si>
  <si>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</si>
  <si>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</si>
  <si>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1.3.1.1</t>
  </si>
  <si>
    <t>Unused includes shall be removed</t>
  </si>
  <si>
    <t>Will be fixed.</t>
  </si>
  <si>
    <t>Septimiu Vintila</t>
  </si>
  <si>
    <t>1.3.3.1</t>
  </si>
  <si>
    <t>Rename variables according to coding rules</t>
  </si>
  <si>
    <t>Move cil_u8MFPeriodCounter to local function</t>
  </si>
  <si>
    <t>Variable needs to be LOCAL</t>
  </si>
  <si>
    <t>1.3.3.3</t>
  </si>
  <si>
    <t>Check logic of do-while loop in function cil_Update_07Cx_InfosToSend</t>
  </si>
  <si>
    <t>Functionality OK (cil_u32CILMFSelectedBlocks !=0)</t>
  </si>
  <si>
    <t>1.6.3.3</t>
  </si>
  <si>
    <t>Add doxy comments to all source code entites</t>
  </si>
  <si>
    <t>Move variables in correct memory zones ( CIL_STOP_SEC_XX and CIL_START_SEC_XX )</t>
  </si>
  <si>
    <t>Variables name not according to coding rules</t>
  </si>
  <si>
    <t>Replace TS_Memcpy with RTE Call in function CIL_runCANToAppli</t>
  </si>
  <si>
    <t>RTE interfaces not yet available.</t>
  </si>
  <si>
    <t>Cast all source code entities to their corect data type</t>
  </si>
  <si>
    <t>In function CIL_runCANToAppli array writing can be optimised by writing array in RTE only once at the final of the else-if structure</t>
  </si>
  <si>
    <t>1.5.3.3</t>
  </si>
  <si>
    <t>Move data entities in their local correct section and memory allocation</t>
  </si>
  <si>
    <t>Entites source code name not according to coding rules</t>
  </si>
  <si>
    <t>Check functionality of acceleration in CIL_runAppliToCAN</t>
  </si>
  <si>
    <t>Add acceleration in both g and m/s^2 units</t>
  </si>
  <si>
    <t>If conditions are not write according to coding rules</t>
  </si>
  <si>
    <t>Remove commented code if not needed</t>
  </si>
  <si>
    <t>Check consecutive interfaces Gurtschloss usage in this file and/or move them to correct file.</t>
  </si>
  <si>
    <t>Fix typo's in source code ( duplicate ; )_</t>
  </si>
  <si>
    <t>Magic numbers are not allowed in source code. HINT: Replace with High Byte and LowByte</t>
  </si>
  <si>
    <t>Check variable NVP_au32ExecutedSolenoidCounters for overflow and underflow</t>
  </si>
  <si>
    <t>Check already made in FSM_SolenoidCounter.c</t>
  </si>
  <si>
    <t>1.6.2.3</t>
  </si>
  <si>
    <t>CIL.h</t>
  </si>
  <si>
    <t>Move macros only to files where are used and add doxygen comments to them.</t>
  </si>
  <si>
    <t xml:space="preserve">eCS_Audi_MCC.CIL.tmb </t>
  </si>
  <si>
    <t>No findings</t>
  </si>
  <si>
    <t>Albu Cornel</t>
  </si>
  <si>
    <t>1.6.2.4</t>
  </si>
  <si>
    <t>review covered by latest revision</t>
  </si>
  <si>
    <t>1.6.2.5</t>
  </si>
  <si>
    <t>1.5.3.4</t>
  </si>
  <si>
    <t>1.5.3.5</t>
  </si>
  <si>
    <t>1.5.3.6</t>
  </si>
  <si>
    <t>1.5.3.7</t>
  </si>
  <si>
    <t>1.6.3.4</t>
  </si>
  <si>
    <t>1.6.3.5</t>
  </si>
  <si>
    <t>1.6.3.6</t>
  </si>
  <si>
    <t>1.6.3.7</t>
  </si>
  <si>
    <t>1.3.1.2</t>
  </si>
  <si>
    <t>1.3.1.3</t>
  </si>
  <si>
    <t>1.3.1.4</t>
  </si>
  <si>
    <t>1.3.3.4</t>
  </si>
  <si>
    <t>1.3.3.5</t>
  </si>
  <si>
    <t>1.3.3.6</t>
  </si>
  <si>
    <t>1.3.3.7</t>
  </si>
  <si>
    <t>1.3.3.8</t>
  </si>
  <si>
    <t>1.3.3.9</t>
  </si>
  <si>
    <t>1.3.3.10</t>
  </si>
  <si>
    <t>1.3.3.11</t>
  </si>
  <si>
    <t>1.3.3.12</t>
  </si>
  <si>
    <t>1.3.3.13</t>
  </si>
  <si>
    <t>Victor Popina</t>
  </si>
  <si>
    <t>1.6.3.8</t>
  </si>
  <si>
    <t>review covered by 1.6.3.10 revision</t>
  </si>
  <si>
    <t>1.6.3.9</t>
  </si>
  <si>
    <t>1.6.3.10</t>
  </si>
  <si>
    <t>1.6.2.6</t>
  </si>
  <si>
    <t>Template not according with process</t>
  </si>
  <si>
    <t>1.5.3.14</t>
  </si>
  <si>
    <t>Update local variables description according with template</t>
  </si>
  <si>
    <t>Move rte read operation for solenoid from timeslot 5 to timeslot 1 to avoid to make 2 reads for the same variables.</t>
  </si>
  <si>
    <t>1.6.3.11</t>
  </si>
  <si>
    <t>1.3.3.16</t>
  </si>
  <si>
    <t>Solve compiler warnings</t>
  </si>
  <si>
    <t>CIL_SW_DetailedDesign.docx</t>
  </si>
  <si>
    <t>Update detailed design requirement for cil_ManagePeriodicData_TimeSlot01, 02, 03, 04, 05</t>
  </si>
  <si>
    <t>Update dynamic aspect for cil_ManagePeriodicData_TimeSlot01, 02, 03, 04, 05</t>
  </si>
  <si>
    <t>Update dynamic aspect for all function described in design document</t>
  </si>
  <si>
    <t>Update variables definition</t>
  </si>
  <si>
    <t>Remove START_SEC defines from design and update description of all defines present in design</t>
  </si>
  <si>
    <t>The document was full scope checked</t>
  </si>
  <si>
    <t>eCS_Audi_MCC.CIL.tmb</t>
  </si>
  <si>
    <t>no traceability</t>
  </si>
  <si>
    <t>1.6.3.14</t>
  </si>
  <si>
    <t>1.6.2.7</t>
  </si>
  <si>
    <t>Code review covered by 1.6.2.10 version.</t>
  </si>
  <si>
    <t>Ioan Repede</t>
  </si>
  <si>
    <t>1.6.2.8</t>
  </si>
  <si>
    <t>1.6.2.9</t>
  </si>
  <si>
    <t>1.6.2.10</t>
  </si>
  <si>
    <t>Rename data types of the components from the CIL_stFrameDataBytes structure according to the coding guideline</t>
  </si>
  <si>
    <t>Coding rules refer to the name of the datatype, not it's members. Names are relevant for the MF Frame (frame will change depend on what blocks are selected, so will the information in each byte).</t>
  </si>
  <si>
    <t>Functions: CIL_runAppliToCAN, CIL_runCANToAppli, CIL_runManageMF need to be deleted. Already defined in Rte_CIL.h (generated by AB).</t>
  </si>
  <si>
    <t>Function CIL_Gliwa_RxNotification needs to be defined as LOCAL in the corresponding source file.</t>
  </si>
  <si>
    <t>Functions come from 3rd party SW (Gliwa), declared as extern form compiling porposes.</t>
  </si>
  <si>
    <t>Move all function definitions that are LOCAL to the specific source file where they are being used.</t>
  </si>
  <si>
    <t>Update template version</t>
  </si>
  <si>
    <t>1.5.3.15</t>
  </si>
  <si>
    <t>Code review covered by 1.5.3.20 version.</t>
  </si>
  <si>
    <t>1.5.3.16</t>
  </si>
  <si>
    <t>1.5.3.17</t>
  </si>
  <si>
    <t>1.5.3.18</t>
  </si>
  <si>
    <t>1.5.3.19</t>
  </si>
  <si>
    <t>1.5.3.20</t>
  </si>
  <si>
    <t>Add memory map section</t>
  </si>
  <si>
    <t>Add a brief description of local variables</t>
  </si>
  <si>
    <t>1.3.3.18</t>
  </si>
  <si>
    <t>Code review covered by 1.3.3.32 version.</t>
  </si>
  <si>
    <t>1.3.3.19</t>
  </si>
  <si>
    <t>1.3.3.20</t>
  </si>
  <si>
    <t>1.3.3.21</t>
  </si>
  <si>
    <t>1.3.3.22</t>
  </si>
  <si>
    <t>1.3.3.23</t>
  </si>
  <si>
    <t>1.3.3.24</t>
  </si>
  <si>
    <t>1.3.3.25</t>
  </si>
  <si>
    <t>1.3.3.26</t>
  </si>
  <si>
    <t>1.3.3.27</t>
  </si>
  <si>
    <t>1.3.3.28</t>
  </si>
  <si>
    <t>1.3.3.29</t>
  </si>
  <si>
    <t>1.3.3.30</t>
  </si>
  <si>
    <t>1.3.3.31</t>
  </si>
  <si>
    <t>1.3.3.32</t>
  </si>
  <si>
    <t>Rename variables:
cil_tMeasurementFrameContent
cil_tMeasurementFrameContentOnBus
cil_u8EcuCanDataOut_Gliwa_Tx_OnBus according to coding rules</t>
  </si>
  <si>
    <t>Variables already respecting the coding rules.</t>
  </si>
  <si>
    <t>Add a brief description for the local variable cil_u8EcuCanDataOut_Gliwa_Tx_OnBus</t>
  </si>
  <si>
    <t>Add the missing memory sections.</t>
  </si>
  <si>
    <t>In functionCIL_runManageMF,
remove static from local variables</t>
  </si>
  <si>
    <t>Variables need to be static in a local context (keep its values between calls). Esential for the state machine.</t>
  </si>
  <si>
    <t>In functionCIL_runManageMF:
rename local variables acording to the coding guidelene</t>
  </si>
  <si>
    <t>Naming convention not appling for local variables.</t>
  </si>
  <si>
    <t>Rename enum according to the guidelines</t>
  </si>
  <si>
    <t>Name already according to guidelines.</t>
  </si>
  <si>
    <t>In function CIL_runManageMF, check operation 
cil_u8MFPeriodCounter = NVP_u8MeasFrameTiming * KU8_CIL_TIME_SLOTS;
to not generate an overflow</t>
  </si>
  <si>
    <t>Check already done 1 line up by making sure that NVP_u8MeasFrameTiming doesn't exceed the value of 50 (KU8_CIL_TIME_SLOTS defined as 5 due to cyclicity reasons, not to be changed) =&gt; value never exeeds 250, less than 255 (maximum value for uint8)</t>
  </si>
  <si>
    <t>In function cil_Update_07Cx_Block02_InfosToSend:
Add new variables separately</t>
  </si>
  <si>
    <t>All variables are on the same type. Accepted by C Standard, no reason to change it.</t>
  </si>
  <si>
    <t>eCS_MCC.CIL.tmb</t>
  </si>
  <si>
    <t>Robert Hadadea</t>
  </si>
  <si>
    <t>1.6.2.12</t>
  </si>
  <si>
    <t>No findings between 1.6.2.10 and this version</t>
  </si>
  <si>
    <t>1.5.3.35</t>
  </si>
  <si>
    <t>Code review for all versions between 1.5.3.20 and 1.5.3.35 is covered by this version.</t>
  </si>
  <si>
    <t>Ensure that all local variables present in local functions are declared according with coding guidelines. (e.g.: uint8 bInitModeStatus)</t>
  </si>
  <si>
    <t>Rename b8EcsTrigger variable and KB8_ECS_ALGO_LOCK define according with coding guidelines.</t>
  </si>
  <si>
    <t>Delete arch tag of cil_Manage_eCS_DevKit_Buckle_Status functions</t>
  </si>
  <si>
    <t>In cil_Manage_eCS_Gurtschloss_Status function, add archrequirement for Rte_Write_CIL_psrCILData_au8MergedBuckleStatus</t>
  </si>
  <si>
    <t>Ensure that all variables are initialized correctly (e.g.: u8HwDefektRx = B_FALSE, u8SporadicErrorRx = B_FALSE)</t>
  </si>
  <si>
    <t>1.3.3.43</t>
  </si>
  <si>
    <t>Add brief description for CIL_Block_Mask_Type typedef</t>
  </si>
  <si>
    <t>Define cil_bTimeSlotExpired in his corresponding memmap section</t>
  </si>
  <si>
    <t>1.6.3.18</t>
  </si>
  <si>
    <t>No findings between 1.6.3.14 and this version</t>
  </si>
  <si>
    <t>Update author name</t>
  </si>
  <si>
    <t>No findings between 1.3 and this version</t>
  </si>
  <si>
    <t>eCS_SW_Arhitecture.eapx</t>
  </si>
  <si>
    <t>No revision found for the next provided ports: P_CAN_GliwaDataOut_Frame
P_CAN_MF_Logger_Frame
SP_IF_eCS_Error_Reihe1_BFS_1
SP_IF_eCS_Error_Reihe1_BFS_2
SP_IF_eCS_Error_Reihe1_FS_1
SP_IF_eCS_Error_Reihe1_FS_2
SP_IF_eCS_Error_Reihe2_BFS
SP_IF_eCS_Error_Reihe2_FS
SP_IF_eCS_SBS_LastState_Reihe2_BFS
SP_IF_eCS_SBS_LastState_Reihe2_FS
SP_IF_eCS_Status_Verr_Reihe1_BFS_1
SP_IF_eCS_Status_Verr_Reihe1_BFS_2
SP_IF_eCS_Status_Verr_Reihe1_FS_1
SP_IF_eCS_Status_Verr_Reihe1_FS_2
SP_IF_eCS_Status_Verr_Reihe2_BFS
SP_IF_eCS_Status_Verr_Reihe2_FS</t>
  </si>
  <si>
    <t>No revision found for the next required ports:
P_CAN_GliwaDataIn_Frame
prrSolenoidNbOfBackups
prrSolenoidOvervoltageStatus
RP_IF_AB_eCS_Aktuatortest_Reihe3_BF_XIX_Grundumfang_XIX_eCS
RP_IF_AB_eCS_Aktuatortest_Reihe3_FA_XIX_Grundumfang_XIX_eCS
RP_IF_AB_Gurtschloss_Reihe2_BF_XIX_Grundumfang_XIX_eCS
RP_IF_AB_Gurtschloss_Reihe2_FA_XIX_Grundumfang_XIX_eCS
RP_IF_AB_Gurtschloss_Reihe3_BF_XIX_Grundumfang_XIX_eCS
RP_IF_AB_Gurtschloss_Reihe3_FA_XIX_Grundumfang_XIX_eCS</t>
  </si>
  <si>
    <t>No architecture description found for prrSolenoidOvervoltageStatus port</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</si>
  <si>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</si>
  <si>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</si>
  <si>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</si>
  <si>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</si>
  <si>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</si>
  <si>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</si>
  <si>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</si>
  <si>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</si>
  <si>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</si>
  <si>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</si>
  <si>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</si>
  <si>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</si>
  <si>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</si>
  <si>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</si>
  <si>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</si>
  <si>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</si>
  <si>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</si>
  <si>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</si>
  <si>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</si>
  <si>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</si>
  <si>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</si>
  <si>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</si>
  <si>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</si>
  <si>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</si>
  <si>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</si>
  <si>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</si>
  <si>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</si>
  <si>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</si>
  <si>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</si>
  <si>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</si>
  <si>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</si>
  <si>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</si>
  <si>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</si>
  <si>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</si>
  <si>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</si>
  <si>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</si>
  <si>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</si>
  <si>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</si>
  <si>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</si>
  <si>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</si>
  <si>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</si>
  <si>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</si>
  <si>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</si>
  <si>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</si>
  <si>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</si>
  <si>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</si>
  <si>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</si>
  <si>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</si>
  <si>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</si>
  <si>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</si>
  <si>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</si>
  <si>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</si>
  <si>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</si>
  <si>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</si>
  <si>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</si>
  <si>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</si>
  <si>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</si>
  <si>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</si>
  <si>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</si>
  <si>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</si>
  <si>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</si>
  <si>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</si>
  <si>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</si>
  <si>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</si>
  <si>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</si>
  <si>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</si>
  <si>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</si>
  <si>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</si>
  <si>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</si>
  <si>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</si>
  <si>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</si>
  <si>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</si>
  <si>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</si>
  <si>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</si>
  <si>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</si>
  <si>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</si>
  <si>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</si>
  <si>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</si>
  <si>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</si>
  <si>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</si>
  <si>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</si>
  <si>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</si>
  <si>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</si>
  <si>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</si>
  <si>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</si>
  <si>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</si>
  <si>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</si>
  <si>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</si>
  <si>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</si>
  <si>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</si>
  <si>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</si>
  <si>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</si>
  <si>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</si>
  <si>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</si>
  <si>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</si>
  <si>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</si>
  <si>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</si>
  <si>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</si>
  <si>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</si>
  <si>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</si>
  <si>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</si>
  <si>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</si>
  <si>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</si>
  <si>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</si>
  <si>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</si>
  <si>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</si>
  <si>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</si>
  <si>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</si>
  <si>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</si>
  <si>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</si>
  <si>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</si>
  <si>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</si>
  <si>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</si>
  <si>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</si>
  <si>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</si>
  <si>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</si>
  <si>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</si>
  <si>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</si>
  <si>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</si>
  <si>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</si>
  <si>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</si>
  <si>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</si>
  <si>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</si>
  <si>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</si>
  <si>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</si>
  <si>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</si>
  <si>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</si>
  <si>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</si>
  <si>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</si>
  <si>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</si>
  <si>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</si>
  <si>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</si>
  <si>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</si>
  <si>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</si>
  <si>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</si>
  <si>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</si>
  <si>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</si>
  <si>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</si>
  <si>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</si>
  <si>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</si>
  <si>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</si>
  <si>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</si>
  <si>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</si>
  <si>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</si>
  <si>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</si>
  <si>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</si>
  <si>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</si>
  <si>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</si>
  <si>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</si>
  <si>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</si>
  <si>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</si>
  <si>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</si>
  <si>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</si>
  <si>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</si>
  <si>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</si>
  <si>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</si>
  <si>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</si>
  <si>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</si>
  <si>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</si>
  <si>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</si>
  <si>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</si>
  <si>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</si>
  <si>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</si>
  <si>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</si>
  <si>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</si>
  <si>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</si>
  <si>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</si>
  <si>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</si>
  <si>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</si>
  <si>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</si>
  <si>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</si>
  <si>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</si>
  <si>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</si>
  <si>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</si>
  <si>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</si>
  <si>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</si>
  <si>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</si>
  <si>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</si>
  <si>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</si>
  <si>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</si>
  <si>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</si>
  <si>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</si>
  <si>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</si>
  <si>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</si>
  <si>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</si>
  <si>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</si>
  <si>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</si>
  <si>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</si>
  <si>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</si>
  <si>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</si>
  <si>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</si>
  <si>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</si>
  <si>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</si>
  <si>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</si>
  <si>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</si>
  <si>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</si>
  <si>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</si>
  <si>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</si>
  <si>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</si>
  <si>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</si>
  <si>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</si>
  <si>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</si>
  <si>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</si>
  <si>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</si>
  <si>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</si>
  <si>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</si>
  <si>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</si>
  <si>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</si>
  <si>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</si>
  <si>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</si>
  <si>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</si>
  <si>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</si>
  <si>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</si>
  <si>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</si>
  <si>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</si>
  <si>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</si>
  <si>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</si>
  <si>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</si>
  <si>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</si>
  <si>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</si>
  <si>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</si>
  <si>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</si>
  <si>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</si>
  <si>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</si>
  <si>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</si>
  <si>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</si>
  <si>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</si>
  <si>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</si>
  <si>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</si>
  <si>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</si>
  <si>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</si>
  <si>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</si>
  <si>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</si>
  <si>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</si>
  <si>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</si>
  <si>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</si>
  <si>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</si>
  <si>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</si>
  <si>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</si>
  <si>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</si>
  <si>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</si>
  <si>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</si>
  <si>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</si>
  <si>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</si>
  <si>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</si>
  <si>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</si>
  <si>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</si>
  <si>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</si>
  <si>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</si>
  <si>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</si>
  <si>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</si>
  <si>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</si>
  <si>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</si>
  <si>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</si>
  <si>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</si>
  <si>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</si>
  <si>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</si>
  <si>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</si>
  <si>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</si>
  <si>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</si>
  <si>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</si>
  <si>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</si>
  <si>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</si>
  <si>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</si>
  <si>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</si>
  <si>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</si>
  <si>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</si>
  <si>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</si>
  <si>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</si>
  <si>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</si>
  <si>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</si>
  <si>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</si>
  <si>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</si>
  <si>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</si>
  <si>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</si>
  <si>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</si>
  <si>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</si>
  <si>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</si>
  <si>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</si>
  <si>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</si>
  <si>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</si>
  <si>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</si>
  <si>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</si>
  <si>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</si>
  <si>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</si>
  <si>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</si>
  <si>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</si>
  <si>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</si>
  <si>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</si>
  <si>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</si>
  <si>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</si>
  <si>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</si>
  <si>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</si>
  <si>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</si>
  <si>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</si>
  <si>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</si>
  <si>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</si>
  <si>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</si>
  <si>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</si>
  <si>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</si>
  <si>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</si>
  <si>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</si>
  <si>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</si>
  <si>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</si>
  <si>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</si>
  <si>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</si>
  <si>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</si>
  <si>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</si>
  <si>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</si>
  <si>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</si>
  <si>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</si>
  <si>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</si>
  <si>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</si>
  <si>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</si>
  <si>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</si>
  <si>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</si>
  <si>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</si>
  <si>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</si>
  <si>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</si>
  <si>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</si>
  <si>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</si>
  <si>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</si>
  <si>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</si>
  <si>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</si>
  <si>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</si>
  <si>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</si>
  <si>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</si>
  <si>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</si>
  <si>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</si>
  <si>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</si>
  <si>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</si>
  <si>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</si>
  <si>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</si>
  <si>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</si>
  <si>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</si>
  <si>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</si>
  <si>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</si>
  <si>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</si>
  <si>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</si>
  <si>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</si>
  <si>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</si>
  <si>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</si>
  <si>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</si>
  <si>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</si>
  <si>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</si>
  <si>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</si>
  <si>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</si>
  <si>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</si>
  <si>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</si>
  <si>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</si>
  <si>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</si>
  <si>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</si>
  <si>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</si>
  <si>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</si>
  <si>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</si>
  <si>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</si>
  <si>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</si>
  <si>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</si>
  <si>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</si>
  <si>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</si>
  <si>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</si>
  <si>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</si>
  <si>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</si>
  <si>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</si>
  <si>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</si>
  <si>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</si>
  <si>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</si>
  <si>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</si>
  <si>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</si>
  <si>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</si>
  <si>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</si>
  <si>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</si>
  <si>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</si>
  <si>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</si>
  <si>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</si>
  <si>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</si>
  <si>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</si>
  <si>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</si>
  <si>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</si>
  <si>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</si>
  <si>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</si>
  <si>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</si>
  <si>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</si>
  <si>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</si>
  <si>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</si>
  <si>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</si>
  <si>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</si>
  <si>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</si>
  <si>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</si>
  <si>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</si>
  <si>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</si>
  <si>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</si>
  <si>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</si>
  <si>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</si>
  <si>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</si>
  <si>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</si>
  <si>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</si>
  <si>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</si>
  <si>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</si>
  <si>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</si>
  <si>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</si>
  <si>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</si>
  <si>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</si>
  <si>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</si>
  <si>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</si>
  <si>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</si>
  <si>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</si>
  <si>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</si>
  <si>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</si>
  <si>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</si>
  <si>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</si>
  <si>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</si>
  <si>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</si>
  <si>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</si>
  <si>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</si>
  <si>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</si>
  <si>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</si>
  <si>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</si>
  <si>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</si>
  <si>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</si>
  <si>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</si>
  <si>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</si>
  <si>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</si>
  <si>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</si>
  <si>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</si>
  <si>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</si>
  <si>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</si>
  <si>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</si>
  <si>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</si>
  <si>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</si>
  <si>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</si>
  <si>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</si>
  <si>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</si>
  <si>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</si>
  <si>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</si>
  <si>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</si>
  <si>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</si>
  <si>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</si>
  <si>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</si>
  <si>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</si>
  <si>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</si>
  <si>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</si>
  <si>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</si>
  <si>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</si>
  <si>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</si>
  <si>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</si>
  <si>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</si>
  <si>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</si>
  <si>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CIL_SW_DetailedDesign.docx - v1.3
identification</t>
  </si>
  <si>
    <t>CIL_SW_DetailedDesign.docx - v1.6
identification</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</si>
  <si>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</si>
  <si>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</si>
  <si>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</si>
  <si>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</si>
  <si>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</si>
  <si>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</si>
  <si>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</si>
  <si>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Open project no.1047503</t>
  </si>
  <si>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</si>
  <si>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</si>
  <si>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</si>
  <si>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</si>
  <si>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</si>
  <si>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</si>
  <si>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</si>
  <si>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</si>
  <si>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</si>
  <si>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</si>
  <si>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</si>
  <si>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</si>
  <si>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</si>
  <si>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</si>
  <si>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</si>
  <si>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</si>
  <si>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</si>
  <si>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</si>
  <si>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</si>
  <si>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</si>
  <si>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</si>
  <si>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</si>
  <si>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</si>
  <si>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No additional questions</t>
  </si>
  <si>
    <t>Review criteria for
Code (CODE)</t>
  </si>
  <si>
    <t>CIL_Init.c - 1.3.1.3</t>
  </si>
  <si>
    <t>CIL_CANToAppli.c - 1.6.3.3</t>
  </si>
  <si>
    <t>CIL_ManageMFTransmission.c - 1.3.3.3</t>
  </si>
  <si>
    <t>CIL_AppliToCAN.c - 1.5.3.3</t>
  </si>
  <si>
    <t>CIL_ManageMFTransmission.c - 1.3.3.13</t>
  </si>
  <si>
    <t>CIL_Init.c - 1.3.1.4</t>
  </si>
  <si>
    <t>CIL_CANToAppli.c - 1.6.3.7</t>
  </si>
  <si>
    <t>CIL_AppliToCAN.c - 1.5.3.7</t>
  </si>
  <si>
    <t>CIL.h - 1.6.2.5</t>
  </si>
  <si>
    <t>CIL.h - 1.6.2.6</t>
  </si>
  <si>
    <t>CIL_AppliToCAN.c - 1.5.3.14</t>
  </si>
  <si>
    <t>CIL_CANToAppli.c - 1.6.3.11</t>
  </si>
  <si>
    <t>CIL_ManageMFTransmission.c - 1.3.3.16</t>
  </si>
  <si>
    <t>CIL_ManageMFTransmission.c - v1.3.3.17</t>
  </si>
  <si>
    <t>CIL.h - 1.6.2.10</t>
  </si>
  <si>
    <t>CIL_AppliToCAN.c - 1.5.3.20</t>
  </si>
  <si>
    <t>CIL.h - 1.6.2.12</t>
  </si>
  <si>
    <t>CIL_AppliToCAN.c - 1.5.3.35</t>
  </si>
  <si>
    <t>CIL_CANToAppli.c - 1.6.3.18</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</si>
  <si>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</si>
  <si>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</si>
  <si>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</si>
  <si>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</si>
  <si>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</si>
  <si>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</si>
  <si>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</si>
  <si>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</si>
  <si>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For CIL_AppliToCAN.c - 1.5.3.14, CIL_CANToAppli.c - 1.6.3.11, CIL_ManageMFTransmission.c - 1.3.3.16          
open project no.1047690</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</si>
  <si>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</si>
  <si>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</si>
  <si>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</si>
  <si>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</si>
  <si>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</si>
  <si>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</si>
  <si>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</si>
  <si>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</si>
  <si>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</si>
  <si>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</si>
  <si>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</si>
  <si>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</si>
  <si>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</si>
  <si>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</si>
  <si>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CIL_ManageMFTransmission.c - 1.3.3.16          
open project no.1047690</t>
  </si>
  <si>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</si>
  <si>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</si>
  <si>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</si>
  <si>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</si>
  <si>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</si>
  <si>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</si>
  <si>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</si>
  <si>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</si>
  <si>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</si>
  <si>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</si>
  <si>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</si>
  <si>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</si>
  <si>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Unit Test specifications and report (UTSR)</t>
  </si>
  <si>
    <t>eCS_Platform.CIL.tmb - v1.1</t>
  </si>
  <si>
    <t>eCS_Platform.CIL.tmb - v1.3</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</si>
  <si>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</si>
  <si>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</si>
  <si>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</si>
  <si>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</si>
  <si>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</si>
  <si>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</si>
  <si>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</si>
  <si>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</si>
  <si>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</si>
  <si>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</si>
  <si>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</si>
  <si>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</si>
  <si>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</si>
  <si>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</si>
  <si>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</si>
  <si>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</si>
  <si>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</si>
  <si>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</si>
  <si>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</si>
  <si>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</si>
  <si>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</si>
  <si>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</si>
  <si>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</si>
  <si>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</si>
  <si>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</si>
  <si>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</si>
  <si>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</si>
  <si>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</si>
  <si>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</si>
  <si>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</si>
  <si>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</si>
  <si>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</si>
  <si>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</si>
  <si>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</si>
  <si>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</si>
  <si>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</si>
  <si>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</si>
  <si>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</si>
  <si>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</si>
  <si>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Integration tests specifications and report (ITSR)</t>
  </si>
  <si>
    <t>Sw_Int_CIL_RP_IF_AB_Crash_Int_XIX_Grundumfang_XIX_eCS_01.txt - v1.1</t>
  </si>
  <si>
    <t>SW_Int_CIL_RP_IF_AB_eCS_Aktuatortest_BF_XIX_Grundumfang_XIX_eCS_01.txt - v1.1</t>
  </si>
  <si>
    <t>Sw_Int_CIL_RP_IF_AB_eCS_Aktuatortest_BF_XIX_Grundumfang_XIX_eCS_02.txt - v1.1</t>
  </si>
  <si>
    <t>Sw_Int_CIL_RP_IF_AB_eCS_Aktuatortest_Reihe2_BF_XIX_Grundumfang_XIX_eCS_01.txt - v1.1</t>
  </si>
  <si>
    <t>Sw_Int_CIL_RP_IF_AB_eCS_Aktuatortest_Reihe2_BF_XIX_Grundumfang_XIX_eCS_02.txt - v1.1</t>
  </si>
  <si>
    <t>Sw_Int_CIL_RP_IF_AB_eCS_Aktuatortest_Reihe2_FA_XIX_Grundumfang_XIX_eCS_01.txt - v1.1</t>
  </si>
  <si>
    <t>Sw_Int_CIL_RP_IF_AB_eCS_Aktuatortest_Reihe2_FA_XIX_Grundumfang_XIX_eCS_02.txt - v1.1</t>
  </si>
  <si>
    <t>Sw_Int_CIL_SP_IF_eCS_Status_XIX_Grundumfang_XIX_eCS_01.txt - v1.1</t>
  </si>
  <si>
    <t>Sw_Int_CIL_RP_IF_AB_Crash_Int_XIX_Grundumfang_XIX_eCS_01.txt - v1.1
Sw_Int_CIL_RP_IF_AB_eCS_Aktuatortest_BF_XIX_Grundumfang_XIX_eCS_01.txt - v1.1
Sw_Int_CIL_RP_IF_AB_eCS_Aktuatortest_BF_XIX_Grundumfang_XIX_eCS_02.txt - v1.1
Sw_Int_CIL_RP_IF_AB_eCS_Aktuatortest_FA_XIX_Grundumfang_XIX_eCS_01.txt - v1.1
Sw_Int_CIL_RP_IF_AB_eCS_Aktuatortest_FA_XIX_Grundumfang_XIX_eCS_02.txt - v1.1
Sw_Int_CIL_RP_IF_AB_eCS_Aktuatortest_Reihe2_BF_XIX_Grundumfang_XIX_eCS_01.txt - v1.1
Sw_Int_CIL_RP_IF_AB_eCS_Aktuatortest_Reihe2_BF_XIX_Grundumfang_XIX_eCS_02.txt - v1.1
Sw_Int_CIL_RP_IF_AB_eCS_Aktuatortest_Reihe2_FA_XIX_Grundumfang_XIX_eCS_01.txt - v1.1
Sw_Int_CIL_RP_IF_AB_eCS_Aktuatortest_Reihe2_FA_XIX_Grundumfang_XIX_eCS_02.txt - v1.1
Sw_Int_CIL_SP_IF_eCS_Gurtschloss_Status_Reihe2_BF_XIX_Grundumfang_XIX_eCS_01.txt - v1.1
Sw_Int_CIL_SP_IF_eCS_Gurtschloss_Status_Reihe2_FA_XIX_Grundumfang_XIX_eCS_01.txt - v1.1
Sw_Int_CIL_SP_IF_eCS_Status_XIX_Grundumfang_XIX_eCS_01.txt - v1.1
Sw_Int_CIL_SP_IF_eCS_Status_XIX_Grundumfang_XIX_eCS_02.txt - v1.1
Sw_Int_CIL_SP_IF_eCS_Status_XIX_Grundumfang_XIX_eCS_03.txt - v1.1
Sw_Int_CIL_SP_IF_eCS_Status_XIX_Grundumfang_XIX_eCS_04.txt - v1.1</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</si>
  <si>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</si>
  <si>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</si>
  <si>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</si>
  <si>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</si>
  <si>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</si>
  <si>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</si>
  <si>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SW-R-INT-0594</t>
  </si>
  <si>
    <r>
      <rPr>
        <b/>
        <sz val="10"/>
        <rFont val="Arial"/>
        <family val="2"/>
      </rPr>
      <t xml:space="preserve">Tests types
</t>
    </r>
    <r>
      <rPr>
        <sz val="10"/>
        <rFont val="Arial"/>
        <family val="2"/>
      </rPr>
      <t>Are all defined test types used in test cases ?
Note: Nominal, Endurance, Robustness, Qualification…</t>
    </r>
  </si>
  <si>
    <t>NA: Review made only for test specification, prior to test execution</t>
  </si>
  <si>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</si>
  <si>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</si>
  <si>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</si>
  <si>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</si>
  <si>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</si>
  <si>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</si>
  <si>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</si>
  <si>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</si>
  <si>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</si>
  <si>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</si>
  <si>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</si>
  <si>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</si>
  <si>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</si>
  <si>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</si>
  <si>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</si>
  <si>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</si>
  <si>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</si>
  <si>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</si>
  <si>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</si>
  <si>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</si>
  <si>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</si>
  <si>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</si>
  <si>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</si>
  <si>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</si>
  <si>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</si>
  <si>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</si>
  <si>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</si>
  <si>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</si>
  <si>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</si>
  <si>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</si>
  <si>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</si>
  <si>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</si>
  <si>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</si>
  <si>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</si>
  <si>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</si>
  <si>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</si>
  <si>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items and autosar interfaces were refactored</t>
  </si>
  <si>
    <t>ARCH requirement moved to correct location</t>
  </si>
  <si>
    <t>initializations fixed</t>
  </si>
  <si>
    <t>just a comment</t>
  </si>
  <si>
    <t>fixed</t>
  </si>
  <si>
    <t>revision added</t>
  </si>
  <si>
    <t>revision added for applicable ports</t>
  </si>
  <si>
    <t>Code review for all versions between 1.5.3.35 and 1.5.3.44 is covered by this version.</t>
  </si>
  <si>
    <t>Code review for all versions between 1.5.3.32 and 1.5.3.43 is covered by this version.</t>
  </si>
  <si>
    <t>1.5.3.44</t>
  </si>
  <si>
    <t>1.3.3.49</t>
  </si>
  <si>
    <t>1.6.2.14</t>
  </si>
  <si>
    <t>Code review for all versions between 1.6.2.12 and 1.6.2.14 is covered by this version.</t>
  </si>
  <si>
    <t>1.3.1.6</t>
  </si>
  <si>
    <t>Code review for all versions between 1.3.1.4 and 1.3.1.6 is covered by this version.</t>
  </si>
  <si>
    <t>1.6.3.22</t>
  </si>
  <si>
    <t>Code review for all versions between 1.6.3.18 and 1.6.3.22 is covered by this version.</t>
  </si>
  <si>
    <t>CIL.h - 1.6.2.14</t>
  </si>
  <si>
    <t>CIL_AppliToCAN.c - 1.5.3.44</t>
  </si>
  <si>
    <t>CIL_CANToAppli.c - 1.6.3.22</t>
  </si>
  <si>
    <t>CIL_Init.c - 1.3.1.6</t>
  </si>
  <si>
    <t>CIL_ManageMFTransmission.c - v1.3.3.49</t>
  </si>
  <si>
    <t>Fix compiller warnings.</t>
  </si>
  <si>
    <t>CIL_CANToAppli.c - v1.6.3.22</t>
  </si>
  <si>
    <t>CIL.h - v1.6.2.14</t>
  </si>
  <si>
    <t>CIL_AppliToCAN.c - v1.5.3.44</t>
  </si>
  <si>
    <t>CIL_Init.c - v1.3.1.6</t>
  </si>
  <si>
    <t>1.5.3.46</t>
  </si>
  <si>
    <t>No findings between 1.5.4.44 and this version</t>
  </si>
  <si>
    <t>1.6.3.24</t>
  </si>
  <si>
    <t>No findings between 1.6.3.22 and this version</t>
  </si>
  <si>
    <t>1.3.1.8</t>
  </si>
  <si>
    <t>No findings between 1.3.1.6 and this version</t>
  </si>
  <si>
    <t>1.3.3.50</t>
  </si>
  <si>
    <t xml:space="preserve">No findings on this revision. </t>
  </si>
  <si>
    <t>CIL_AppliToCAN.c - v1.5.3.46</t>
  </si>
  <si>
    <t>CIL_CANToAppli.c - v1.6.3.24</t>
  </si>
  <si>
    <t>CIL_Init.c - v1.3.1.8</t>
  </si>
  <si>
    <t>CIL_ManageMFTransmission.c - v1.3.3.50</t>
  </si>
  <si>
    <t>CIL_AppliToCAN.c - 1.5.3.46</t>
  </si>
  <si>
    <t>CIL_CANToAppli.c - 1.6.3.24</t>
  </si>
  <si>
    <t>CIL_Init.c - 1.3.1.8</t>
  </si>
  <si>
    <t>1.3.1.1.1.23</t>
  </si>
  <si>
    <t>Mihai Motoc</t>
  </si>
  <si>
    <t>eCS_SW_Arhitecture.eapx - v1.3.1.1.1.23</t>
  </si>
  <si>
    <t>eCS_Platform.CIL.tmb - v1.4</t>
  </si>
  <si>
    <t>Cornel Albu</t>
  </si>
  <si>
    <t>Alexandru Nastase</t>
  </si>
  <si>
    <t>eCS_Audi_MCC.CIL.tmb - v1.4</t>
  </si>
  <si>
    <t>eCS_SW_Arhitecture.eapx - v1.3.1.1.1.26</t>
  </si>
  <si>
    <t>1.3.1.1.1.25</t>
  </si>
  <si>
    <t>1.3.1.1.1.24</t>
  </si>
  <si>
    <t>1.3.1.1.1.26</t>
  </si>
  <si>
    <t>eCS_SW_Arhitecture.eapx - v1.3.1.1.1.24</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</si>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</sst>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5">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
      <sz val="10"/>
      <color rgb="FF000000"/>
      <name val="Arial"/>
      <family val="2"/>
    </font>
  </fonts>
  <fills count="3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theme="0" tint="-0.34998626667073579"/>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s>
  <cellStyleXfs count="37">
    <xf numFmtId="0" fontId="0" fillId="0" borderId="0"/>
    <xf numFmtId="0" fontId="60" fillId="6" borderId="14" applyNumberFormat="0" applyAlignment="0" applyProtection="0"/>
    <xf numFmtId="0" fontId="61" fillId="0" borderId="0" applyNumberFormat="0" applyFill="0" applyBorder="0" applyAlignment="0" applyProtection="0"/>
    <xf numFmtId="0" fontId="29" fillId="0" borderId="0"/>
    <xf numFmtId="0" fontId="55" fillId="0" borderId="0"/>
    <xf numFmtId="0" fontId="59" fillId="0" borderId="0"/>
    <xf numFmtId="0" fontId="29" fillId="0" borderId="0"/>
    <xf numFmtId="0" fontId="35" fillId="0" borderId="0"/>
    <xf numFmtId="0" fontId="62" fillId="6" borderId="15" applyNumberFormat="0" applyAlignment="0" applyProtection="0"/>
    <xf numFmtId="0" fontId="28" fillId="0" borderId="0"/>
    <xf numFmtId="0" fontId="27" fillId="0" borderId="0"/>
    <xf numFmtId="0" fontId="26" fillId="0" borderId="0"/>
    <xf numFmtId="0" fontId="89" fillId="25" borderId="14" applyNumberFormat="0" applyAlignment="0" applyProtection="0"/>
    <xf numFmtId="0" fontId="90" fillId="26" borderId="0" applyNumberFormat="0" applyBorder="0" applyAlignment="0" applyProtection="0"/>
    <xf numFmtId="0" fontId="25" fillId="27" borderId="0" applyNumberFormat="0" applyBorder="0" applyAlignment="0" applyProtection="0"/>
    <xf numFmtId="0" fontId="29" fillId="0" borderId="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0" borderId="0"/>
    <xf numFmtId="0" fontId="90" fillId="33"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10" fillId="0" borderId="0" applyNumberFormat="0" applyFill="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56">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0" fillId="3" borderId="12" xfId="0" applyFont="1" applyFill="1" applyBorder="1" applyAlignment="1">
      <alignment horizontal="center" wrapText="1"/>
    </xf>
    <xf numFmtId="0" fontId="0" fillId="2" borderId="0" xfId="0" applyFill="1" applyAlignment="1">
      <alignment horizontal="center"/>
    </xf>
    <xf numFmtId="0" fontId="30"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9" fillId="0" borderId="1" xfId="0" applyFont="1" applyBorder="1" applyAlignment="1">
      <alignment vertical="center" wrapText="1"/>
    </xf>
    <xf numFmtId="0" fontId="29" fillId="3" borderId="1" xfId="0" applyFont="1" applyFill="1" applyBorder="1" applyAlignment="1">
      <alignment horizontal="center" vertical="center" wrapText="1"/>
    </xf>
    <xf numFmtId="0" fontId="29" fillId="2" borderId="0" xfId="0" applyFont="1" applyFill="1" applyAlignment="1">
      <alignment wrapText="1"/>
    </xf>
    <xf numFmtId="0" fontId="63" fillId="7" borderId="0" xfId="0" applyFont="1" applyFill="1" applyAlignment="1">
      <alignment horizontal="center" vertical="center" wrapText="1"/>
    </xf>
    <xf numFmtId="0" fontId="63" fillId="0" borderId="0" xfId="0" applyFont="1" applyAlignment="1">
      <alignment horizontal="center" vertical="center" wrapText="1"/>
    </xf>
    <xf numFmtId="0" fontId="63" fillId="0" borderId="0" xfId="0" applyFont="1" applyAlignment="1">
      <alignment vertical="center"/>
    </xf>
    <xf numFmtId="0" fontId="63" fillId="0" borderId="0" xfId="0" applyFont="1" applyAlignment="1">
      <alignment vertical="center" wrapText="1"/>
    </xf>
    <xf numFmtId="0" fontId="50" fillId="2" borderId="2" xfId="0" applyFont="1" applyFill="1" applyBorder="1"/>
    <xf numFmtId="0" fontId="29" fillId="2" borderId="0" xfId="0" applyFont="1" applyFill="1" applyAlignment="1">
      <alignment horizontal="center"/>
    </xf>
    <xf numFmtId="0" fontId="0" fillId="8" borderId="0" xfId="0" applyFill="1" applyAlignment="1">
      <alignment horizontal="center"/>
    </xf>
    <xf numFmtId="0" fontId="29" fillId="2" borderId="1" xfId="0" applyFont="1" applyFill="1" applyBorder="1" applyAlignment="1">
      <alignment horizontal="center" wrapText="1"/>
    </xf>
    <xf numFmtId="0" fontId="29" fillId="2" borderId="1" xfId="0" applyFont="1" applyFill="1" applyBorder="1" applyAlignment="1">
      <alignment horizontal="center" vertical="center" wrapText="1"/>
    </xf>
    <xf numFmtId="0" fontId="29" fillId="0" borderId="1" xfId="0" applyFont="1" applyBorder="1" applyAlignment="1">
      <alignment horizontal="center" vertical="center" wrapText="1"/>
    </xf>
    <xf numFmtId="0" fontId="0" fillId="2" borderId="5" xfId="0" applyFill="1" applyBorder="1" applyAlignment="1">
      <alignment wrapText="1"/>
    </xf>
    <xf numFmtId="0" fontId="29" fillId="2" borderId="0" xfId="0" applyFont="1" applyFill="1"/>
    <xf numFmtId="0" fontId="30" fillId="9" borderId="1" xfId="0" applyFont="1" applyFill="1" applyBorder="1" applyAlignment="1">
      <alignment horizontal="center" vertical="center" wrapText="1"/>
    </xf>
    <xf numFmtId="0" fontId="29" fillId="2" borderId="10" xfId="0" applyFont="1" applyFill="1" applyBorder="1"/>
    <xf numFmtId="0" fontId="63"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9" fillId="8" borderId="0" xfId="0" applyFont="1" applyFill="1" applyAlignment="1">
      <alignment horizontal="center" vertical="center"/>
    </xf>
    <xf numFmtId="0" fontId="29" fillId="8" borderId="1" xfId="0" applyFont="1" applyFill="1" applyBorder="1" applyAlignment="1">
      <alignment horizontal="center" vertical="center"/>
    </xf>
    <xf numFmtId="0" fontId="29" fillId="13" borderId="1" xfId="0" applyFont="1" applyFill="1" applyBorder="1" applyAlignment="1">
      <alignment horizontal="center" vertical="center" wrapText="1"/>
    </xf>
    <xf numFmtId="0" fontId="29"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3" fillId="8" borderId="0" xfId="0" applyFont="1" applyFill="1" applyAlignment="1">
      <alignment horizontal="center" vertical="center" wrapText="1"/>
    </xf>
    <xf numFmtId="0" fontId="63" fillId="8" borderId="0" xfId="0" applyFont="1" applyFill="1" applyAlignment="1">
      <alignment vertical="center"/>
    </xf>
    <xf numFmtId="0" fontId="0" fillId="8" borderId="0" xfId="0" applyFill="1" applyAlignment="1">
      <alignment vertical="center"/>
    </xf>
    <xf numFmtId="0" fontId="0" fillId="8" borderId="0" xfId="0" applyFill="1"/>
    <xf numFmtId="0" fontId="32" fillId="14" borderId="1" xfId="0" applyFont="1" applyFill="1" applyBorder="1" applyAlignment="1">
      <alignment horizontal="center" vertical="center" wrapText="1"/>
    </xf>
    <xf numFmtId="0" fontId="63" fillId="0" borderId="0" xfId="0" applyFont="1" applyAlignment="1">
      <alignment horizontal="center" vertical="center"/>
    </xf>
    <xf numFmtId="14" fontId="0" fillId="13" borderId="1" xfId="0" applyNumberFormat="1" applyFill="1" applyBorder="1" applyAlignment="1">
      <alignment horizontal="center" vertical="center" wrapText="1"/>
    </xf>
    <xf numFmtId="0" fontId="29" fillId="13" borderId="1" xfId="0" applyFont="1" applyFill="1" applyBorder="1" applyAlignment="1">
      <alignment horizontal="center" vertical="center"/>
    </xf>
    <xf numFmtId="0" fontId="0" fillId="13" borderId="1" xfId="0" applyFill="1" applyBorder="1" applyAlignment="1">
      <alignment horizontal="center" vertical="center"/>
    </xf>
    <xf numFmtId="0" fontId="29" fillId="2" borderId="5" xfId="0" applyFont="1" applyFill="1" applyBorder="1" applyAlignment="1">
      <alignment wrapText="1"/>
    </xf>
    <xf numFmtId="0" fontId="29" fillId="10" borderId="0" xfId="0" applyFont="1" applyFill="1" applyAlignment="1">
      <alignment horizontal="left" vertical="center"/>
    </xf>
    <xf numFmtId="0" fontId="29" fillId="12" borderId="0" xfId="0" applyFont="1" applyFill="1" applyAlignment="1">
      <alignment horizontal="left" vertical="center"/>
    </xf>
    <xf numFmtId="0" fontId="29" fillId="15" borderId="0" xfId="0" applyFont="1" applyFill="1" applyAlignment="1">
      <alignment horizontal="left" vertical="center"/>
    </xf>
    <xf numFmtId="0" fontId="29" fillId="13" borderId="0" xfId="0" applyFont="1" applyFill="1" applyAlignment="1">
      <alignment horizontal="left" vertical="center"/>
    </xf>
    <xf numFmtId="0" fontId="29" fillId="2" borderId="1" xfId="0" applyFont="1" applyFill="1" applyBorder="1"/>
    <xf numFmtId="0" fontId="29" fillId="0" borderId="1" xfId="0" applyFont="1" applyBorder="1" applyAlignment="1">
      <alignment horizontal="center" vertical="center"/>
    </xf>
    <xf numFmtId="14" fontId="29" fillId="0" borderId="1" xfId="0" applyNumberFormat="1" applyFont="1" applyBorder="1" applyAlignment="1">
      <alignment horizontal="center" vertical="center" wrapText="1"/>
    </xf>
    <xf numFmtId="0" fontId="0" fillId="2" borderId="0" xfId="0" applyFill="1" applyAlignment="1">
      <alignment horizontal="center" wrapText="1"/>
    </xf>
    <xf numFmtId="0" fontId="29" fillId="3" borderId="12" xfId="0" applyFont="1" applyFill="1" applyBorder="1" applyAlignment="1">
      <alignment horizontal="center" vertical="center" wrapText="1"/>
    </xf>
    <xf numFmtId="0" fontId="60" fillId="6" borderId="1" xfId="1" applyBorder="1" applyAlignment="1">
      <alignment horizontal="center"/>
    </xf>
    <xf numFmtId="0" fontId="64" fillId="6" borderId="15" xfId="8" applyFont="1" applyAlignment="1">
      <alignment horizontal="center"/>
    </xf>
    <xf numFmtId="0" fontId="64" fillId="6" borderId="17" xfId="8" applyFont="1" applyBorder="1" applyAlignment="1">
      <alignment horizontal="center"/>
    </xf>
    <xf numFmtId="0" fontId="60" fillId="6" borderId="1" xfId="1" applyBorder="1" applyAlignment="1">
      <alignment horizontal="center" vertical="center"/>
    </xf>
    <xf numFmtId="0" fontId="29"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9" fillId="2" borderId="8" xfId="0" applyFont="1" applyFill="1" applyBorder="1" applyAlignment="1">
      <alignment wrapText="1" shrinkToFit="1"/>
    </xf>
    <xf numFmtId="0" fontId="29" fillId="2" borderId="0" xfId="0" applyFont="1" applyFill="1" applyAlignment="1">
      <alignment vertical="top"/>
    </xf>
    <xf numFmtId="0" fontId="29" fillId="0" borderId="0" xfId="3" applyAlignment="1">
      <alignment vertical="center"/>
    </xf>
    <xf numFmtId="0" fontId="33" fillId="0" borderId="0" xfId="3" applyFont="1" applyAlignment="1">
      <alignment vertical="center" wrapText="1"/>
    </xf>
    <xf numFmtId="164" fontId="33" fillId="0" borderId="0" xfId="3" applyNumberFormat="1" applyFont="1" applyAlignment="1">
      <alignment horizontal="center" vertical="center" wrapText="1"/>
    </xf>
    <xf numFmtId="20" fontId="33" fillId="0" borderId="0" xfId="3" applyNumberFormat="1" applyFont="1" applyAlignment="1">
      <alignment vertical="center" wrapText="1"/>
    </xf>
    <xf numFmtId="0" fontId="33" fillId="0" borderId="0" xfId="3" applyFont="1" applyAlignment="1">
      <alignment horizontal="left" vertical="center" wrapText="1"/>
    </xf>
    <xf numFmtId="0" fontId="65" fillId="0" borderId="0" xfId="3" quotePrefix="1" applyFont="1" applyAlignment="1">
      <alignment horizontal="right" vertical="center"/>
    </xf>
    <xf numFmtId="0" fontId="34" fillId="0" borderId="0" xfId="3" applyFont="1" applyAlignment="1">
      <alignment horizontal="left" vertical="center" wrapText="1"/>
    </xf>
    <xf numFmtId="0" fontId="29" fillId="0" borderId="0" xfId="3" applyAlignment="1">
      <alignment vertical="center" shrinkToFit="1"/>
    </xf>
    <xf numFmtId="0" fontId="67" fillId="0" borderId="0" xfId="3" applyFont="1" applyAlignment="1">
      <alignment horizontal="left" vertical="center" shrinkToFit="1"/>
    </xf>
    <xf numFmtId="0" fontId="30" fillId="0" borderId="0" xfId="3" applyFont="1" applyAlignment="1">
      <alignment horizontal="left" vertical="center" shrinkToFit="1"/>
    </xf>
    <xf numFmtId="0" fontId="29" fillId="0" borderId="0" xfId="3" applyAlignment="1" applyProtection="1">
      <alignment vertical="center"/>
      <protection locked="0"/>
    </xf>
    <xf numFmtId="0" fontId="29" fillId="0" borderId="0" xfId="3" applyAlignment="1" applyProtection="1">
      <alignment vertical="center" shrinkToFit="1"/>
      <protection locked="0"/>
    </xf>
    <xf numFmtId="0" fontId="72" fillId="0" borderId="2" xfId="3" applyFont="1" applyBorder="1" applyAlignment="1" applyProtection="1">
      <alignment horizontal="left" vertical="center" wrapText="1" shrinkToFit="1"/>
      <protection locked="0"/>
    </xf>
    <xf numFmtId="0" fontId="73" fillId="0" borderId="0" xfId="3" applyFont="1" applyAlignment="1" applyProtection="1">
      <alignment horizontal="left" vertical="center" shrinkToFit="1"/>
      <protection locked="0"/>
    </xf>
    <xf numFmtId="0" fontId="72" fillId="0" borderId="0" xfId="3" applyFont="1" applyAlignment="1" applyProtection="1">
      <alignment horizontal="left" vertical="center" wrapText="1" shrinkToFit="1"/>
      <protection locked="0"/>
    </xf>
    <xf numFmtId="0" fontId="73" fillId="0" borderId="3" xfId="3" applyFont="1" applyBorder="1" applyAlignment="1" applyProtection="1">
      <alignment horizontal="left" vertical="center" shrinkToFit="1"/>
      <protection locked="0"/>
    </xf>
    <xf numFmtId="0" fontId="76" fillId="0" borderId="0" xfId="3" applyFont="1" applyAlignment="1" applyProtection="1">
      <alignment vertical="center"/>
      <protection locked="0"/>
    </xf>
    <xf numFmtId="0" fontId="77" fillId="0" borderId="0" xfId="3" applyFont="1" applyAlignment="1" applyProtection="1">
      <alignment horizontal="center" vertical="center"/>
      <protection locked="0"/>
    </xf>
    <xf numFmtId="0" fontId="28" fillId="8" borderId="0" xfId="9" applyFill="1"/>
    <xf numFmtId="0" fontId="78" fillId="0" borderId="0" xfId="3" applyFont="1" applyAlignment="1">
      <alignment horizontal="right" vertical="center"/>
    </xf>
    <xf numFmtId="0" fontId="79" fillId="0" borderId="18" xfId="3" applyFont="1" applyBorder="1" applyAlignment="1" applyProtection="1">
      <alignment vertical="center"/>
      <protection locked="0"/>
    </xf>
    <xf numFmtId="0" fontId="29" fillId="0" borderId="18" xfId="3" applyBorder="1" applyAlignment="1" applyProtection="1">
      <alignment vertical="center"/>
      <protection locked="0"/>
    </xf>
    <xf numFmtId="0" fontId="80"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8" fillId="0" borderId="0" xfId="3" applyFont="1" applyAlignment="1" applyProtection="1">
      <alignment vertical="center"/>
      <protection locked="0"/>
    </xf>
    <xf numFmtId="0" fontId="30" fillId="0" borderId="0" xfId="3" applyFont="1" applyAlignment="1" applyProtection="1">
      <alignment vertical="center"/>
      <protection locked="0"/>
    </xf>
    <xf numFmtId="49" fontId="81" fillId="0" borderId="0" xfId="3" applyNumberFormat="1" applyFont="1" applyAlignment="1" applyProtection="1">
      <alignment horizontal="left" vertical="center"/>
      <protection locked="0"/>
    </xf>
    <xf numFmtId="49" fontId="29" fillId="0" borderId="0" xfId="3" applyNumberFormat="1" applyAlignment="1">
      <alignment horizontal="center" vertical="center" wrapText="1"/>
    </xf>
    <xf numFmtId="49" fontId="29" fillId="0" borderId="0" xfId="3" applyNumberFormat="1" applyAlignment="1" applyProtection="1">
      <alignment horizontal="left" vertical="center" wrapText="1"/>
      <protection locked="0"/>
    </xf>
    <xf numFmtId="49" fontId="29" fillId="0" borderId="0" xfId="3" applyNumberFormat="1" applyAlignment="1">
      <alignment horizontal="left" vertical="center" wrapText="1"/>
    </xf>
    <xf numFmtId="14" fontId="29" fillId="0" borderId="0" xfId="3" applyNumberFormat="1" applyAlignment="1" applyProtection="1">
      <alignment vertical="center"/>
      <protection locked="0"/>
    </xf>
    <xf numFmtId="0" fontId="82" fillId="0" borderId="0" xfId="3" applyFont="1" applyAlignment="1" applyProtection="1">
      <alignment horizontal="left" vertical="center"/>
      <protection locked="0"/>
    </xf>
    <xf numFmtId="0" fontId="29" fillId="0" borderId="0" xfId="3" applyAlignment="1">
      <alignment horizontal="left" vertical="center" wrapText="1"/>
    </xf>
    <xf numFmtId="0" fontId="79" fillId="0" borderId="5" xfId="3" applyFont="1" applyBorder="1" applyAlignment="1" applyProtection="1">
      <alignment vertical="center"/>
      <protection locked="0"/>
    </xf>
    <xf numFmtId="49" fontId="29" fillId="0" borderId="5" xfId="3" applyNumberFormat="1" applyBorder="1" applyAlignment="1" applyProtection="1">
      <alignment horizontal="left" vertical="center" wrapText="1"/>
      <protection locked="0"/>
    </xf>
    <xf numFmtId="0" fontId="29" fillId="0" borderId="5" xfId="3" applyBorder="1" applyAlignment="1">
      <alignment horizontal="left" vertical="center" wrapText="1"/>
    </xf>
    <xf numFmtId="0" fontId="79" fillId="0" borderId="0" xfId="3" applyFont="1" applyAlignment="1" applyProtection="1">
      <alignment vertical="center"/>
      <protection locked="0"/>
    </xf>
    <xf numFmtId="49" fontId="29" fillId="0" borderId="0" xfId="3" applyNumberFormat="1" applyAlignment="1" applyProtection="1">
      <alignment horizontal="left" vertical="center"/>
      <protection locked="0"/>
    </xf>
    <xf numFmtId="0" fontId="29" fillId="0" borderId="0" xfId="3" applyAlignment="1">
      <alignment horizontal="left" vertical="center"/>
    </xf>
    <xf numFmtId="0" fontId="30" fillId="2" borderId="1" xfId="0" applyFont="1" applyFill="1" applyBorder="1" applyAlignment="1">
      <alignment horizontal="center" vertical="center"/>
    </xf>
    <xf numFmtId="0" fontId="29" fillId="21" borderId="0" xfId="0" applyFont="1" applyFill="1" applyAlignment="1">
      <alignment horizontal="left" vertical="top" wrapText="1"/>
    </xf>
    <xf numFmtId="0" fontId="29" fillId="21" borderId="0" xfId="0" applyFont="1" applyFill="1" applyAlignment="1">
      <alignment wrapText="1"/>
    </xf>
    <xf numFmtId="0" fontId="0" fillId="21" borderId="0" xfId="0" applyFill="1" applyAlignment="1">
      <alignment wrapText="1"/>
    </xf>
    <xf numFmtId="0" fontId="29" fillId="9" borderId="0" xfId="0" applyFont="1" applyFill="1" applyAlignment="1">
      <alignment wrapText="1"/>
    </xf>
    <xf numFmtId="0" fontId="0" fillId="9" borderId="0" xfId="0" applyFill="1" applyAlignment="1">
      <alignment wrapText="1"/>
    </xf>
    <xf numFmtId="0" fontId="29" fillId="2" borderId="2" xfId="0" applyFont="1" applyFill="1" applyBorder="1" applyAlignment="1">
      <alignment horizontal="right"/>
    </xf>
    <xf numFmtId="0" fontId="0" fillId="2" borderId="4" xfId="0" applyFill="1" applyBorder="1" applyAlignment="1">
      <alignment horizontal="right"/>
    </xf>
    <xf numFmtId="0" fontId="26" fillId="0" borderId="0" xfId="11"/>
    <xf numFmtId="0" fontId="32" fillId="10" borderId="1" xfId="0" applyFont="1" applyFill="1" applyBorder="1" applyAlignment="1">
      <alignment horizontal="center" vertical="center" wrapText="1"/>
    </xf>
    <xf numFmtId="0" fontId="91" fillId="12" borderId="1" xfId="0" applyFont="1" applyFill="1" applyBorder="1" applyAlignment="1">
      <alignment horizontal="center" vertical="center" wrapText="1"/>
    </xf>
    <xf numFmtId="0" fontId="32" fillId="11" borderId="1" xfId="0" applyFont="1" applyFill="1" applyBorder="1" applyAlignment="1">
      <alignment horizontal="center" vertical="center" wrapText="1"/>
    </xf>
    <xf numFmtId="14" fontId="32"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2" fillId="0" borderId="0" xfId="0" applyFont="1" applyAlignment="1">
      <alignment vertical="center"/>
    </xf>
    <xf numFmtId="0" fontId="93" fillId="29" borderId="20" xfId="14" applyFont="1" applyFill="1" applyBorder="1" applyAlignment="1" applyProtection="1">
      <alignment horizontal="center" vertical="center" wrapText="1"/>
      <protection locked="0"/>
    </xf>
    <xf numFmtId="0" fontId="94" fillId="13" borderId="20" xfId="14" applyFont="1" applyFill="1" applyBorder="1" applyAlignment="1" applyProtection="1">
      <alignment horizontal="center" vertical="center" wrapText="1"/>
    </xf>
    <xf numFmtId="0" fontId="93" fillId="7" borderId="1" xfId="14" applyFont="1" applyFill="1" applyBorder="1" applyAlignment="1">
      <alignment horizontal="left" vertical="center"/>
    </xf>
    <xf numFmtId="0" fontId="89" fillId="25" borderId="14" xfId="12" applyAlignment="1">
      <alignment horizontal="center" vertical="center"/>
    </xf>
    <xf numFmtId="0" fontId="93" fillId="7" borderId="1" xfId="14" applyFont="1" applyFill="1" applyBorder="1" applyAlignment="1">
      <alignment horizontal="center" vertical="center"/>
    </xf>
    <xf numFmtId="0" fontId="29" fillId="5" borderId="0" xfId="15" applyFill="1" applyAlignment="1">
      <alignment vertical="center"/>
    </xf>
    <xf numFmtId="0" fontId="29" fillId="5" borderId="0" xfId="15" applyFill="1" applyAlignment="1">
      <alignment vertical="center" wrapText="1"/>
    </xf>
    <xf numFmtId="0" fontId="29" fillId="0" borderId="1" xfId="3" applyBorder="1" applyAlignment="1">
      <alignment vertical="center"/>
    </xf>
    <xf numFmtId="0" fontId="31" fillId="5" borderId="0" xfId="15" applyFont="1" applyFill="1" applyAlignment="1">
      <alignment vertical="center"/>
    </xf>
    <xf numFmtId="0" fontId="68" fillId="30" borderId="10" xfId="15" applyFont="1" applyFill="1" applyBorder="1" applyAlignment="1">
      <alignment vertical="center"/>
    </xf>
    <xf numFmtId="0" fontId="99" fillId="30" borderId="19" xfId="15" applyFont="1" applyFill="1" applyBorder="1" applyAlignment="1">
      <alignment vertical="center" wrapText="1"/>
    </xf>
    <xf numFmtId="0" fontId="29" fillId="5" borderId="1" xfId="15" applyFill="1" applyBorder="1" applyAlignment="1">
      <alignment vertical="center"/>
    </xf>
    <xf numFmtId="0" fontId="100" fillId="5" borderId="1" xfId="15" applyFont="1" applyFill="1" applyBorder="1" applyAlignment="1">
      <alignment horizontal="center" vertical="center"/>
    </xf>
    <xf numFmtId="0" fontId="29" fillId="5" borderId="1" xfId="15" applyFill="1" applyBorder="1" applyAlignment="1">
      <alignment vertical="center" wrapText="1"/>
    </xf>
    <xf numFmtId="0" fontId="68" fillId="31" borderId="10" xfId="15" applyFont="1" applyFill="1" applyBorder="1" applyAlignment="1">
      <alignment vertical="center"/>
    </xf>
    <xf numFmtId="0" fontId="38" fillId="31" borderId="8" xfId="15" applyFont="1" applyFill="1" applyBorder="1" applyAlignment="1">
      <alignment horizontal="center" vertical="center" wrapText="1"/>
    </xf>
    <xf numFmtId="0" fontId="99" fillId="31" borderId="19" xfId="15" applyFont="1" applyFill="1" applyBorder="1" applyAlignment="1">
      <alignment vertical="center" wrapText="1"/>
    </xf>
    <xf numFmtId="0" fontId="99" fillId="31" borderId="11" xfId="15" applyFont="1" applyFill="1" applyBorder="1" applyAlignment="1">
      <alignment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80" fillId="0" borderId="0" xfId="0" applyFont="1" applyAlignment="1" applyProtection="1">
      <alignment horizontal="left" vertical="center"/>
      <protection locked="0"/>
    </xf>
    <xf numFmtId="0" fontId="29" fillId="0" borderId="1" xfId="15" applyBorder="1" applyAlignment="1">
      <alignment vertical="center" wrapText="1"/>
    </xf>
    <xf numFmtId="0" fontId="106" fillId="32" borderId="21" xfId="3" applyFont="1" applyFill="1" applyBorder="1" applyAlignment="1" applyProtection="1">
      <alignment horizontal="center" vertical="center" textRotation="45" wrapText="1"/>
      <protection locked="0"/>
    </xf>
    <xf numFmtId="0" fontId="29" fillId="0" borderId="0" xfId="3"/>
    <xf numFmtId="0" fontId="29" fillId="0" borderId="1" xfId="3" applyBorder="1" applyAlignment="1" applyProtection="1">
      <alignment horizontal="center" vertical="center"/>
      <protection locked="0"/>
    </xf>
    <xf numFmtId="0" fontId="29" fillId="0" borderId="1" xfId="3" applyBorder="1" applyAlignment="1">
      <alignment vertical="center" wrapText="1"/>
    </xf>
    <xf numFmtId="0" fontId="29" fillId="0" borderId="20" xfId="3" applyBorder="1" applyAlignment="1" applyProtection="1">
      <alignment horizontal="center" vertical="center"/>
      <protection locked="0"/>
    </xf>
    <xf numFmtId="0" fontId="29" fillId="0" borderId="1" xfId="3" applyBorder="1" applyAlignment="1" applyProtection="1">
      <alignment wrapText="1"/>
      <protection locked="0"/>
    </xf>
    <xf numFmtId="0" fontId="29" fillId="0" borderId="1" xfId="3" applyBorder="1" applyAlignment="1" applyProtection="1">
      <alignment horizontal="center" vertical="center" wrapText="1"/>
      <protection locked="0"/>
    </xf>
    <xf numFmtId="0" fontId="29" fillId="0" borderId="0" xfId="3" applyAlignment="1" applyProtection="1">
      <alignment horizontal="center" vertical="center"/>
      <protection locked="0"/>
    </xf>
    <xf numFmtId="0" fontId="29" fillId="0" borderId="0" xfId="3" applyAlignment="1" applyProtection="1">
      <alignment wrapText="1"/>
      <protection locked="0"/>
    </xf>
    <xf numFmtId="0" fontId="29" fillId="0" borderId="0" xfId="3" applyAlignment="1" applyProtection="1">
      <alignment horizontal="center" vertical="center" wrapText="1"/>
      <protection locked="0"/>
    </xf>
    <xf numFmtId="0" fontId="105" fillId="0" borderId="0" xfId="3" applyFont="1" applyAlignment="1">
      <alignment textRotation="45"/>
    </xf>
    <xf numFmtId="0" fontId="29" fillId="0" borderId="28" xfId="3" applyBorder="1" applyAlignment="1">
      <alignment horizontal="center"/>
    </xf>
    <xf numFmtId="0" fontId="29" fillId="0" borderId="29" xfId="3" applyBorder="1"/>
    <xf numFmtId="0" fontId="29" fillId="0" borderId="29" xfId="3" applyBorder="1" applyAlignment="1">
      <alignment horizontal="center"/>
    </xf>
    <xf numFmtId="0" fontId="29" fillId="0" borderId="28" xfId="3" applyBorder="1"/>
    <xf numFmtId="0" fontId="29" fillId="0" borderId="0" xfId="3" applyAlignment="1">
      <alignment horizontal="center"/>
    </xf>
    <xf numFmtId="0" fontId="29" fillId="0" borderId="30" xfId="3" applyBorder="1"/>
    <xf numFmtId="0" fontId="90" fillId="33" borderId="26" xfId="28" applyBorder="1" applyAlignment="1">
      <alignment horizontal="center" vertical="center" textRotation="45" wrapText="1"/>
    </xf>
    <xf numFmtId="0" fontId="90" fillId="33" borderId="27" xfId="28" applyBorder="1" applyAlignment="1">
      <alignment horizontal="center" vertical="center" textRotation="45" wrapText="1"/>
    </xf>
    <xf numFmtId="0" fontId="90" fillId="33" borderId="21" xfId="28" applyBorder="1" applyAlignment="1" applyProtection="1">
      <alignment horizontal="center" vertical="center" textRotation="45" wrapText="1"/>
      <protection locked="0"/>
    </xf>
    <xf numFmtId="0" fontId="90" fillId="33" borderId="22" xfId="28" applyBorder="1" applyAlignment="1" applyProtection="1">
      <alignment horizontal="center" vertical="center" textRotation="45" wrapText="1"/>
      <protection locked="0"/>
    </xf>
    <xf numFmtId="0" fontId="90" fillId="33" borderId="1" xfId="28" applyBorder="1" applyAlignment="1" applyProtection="1">
      <alignment horizontal="center" vertical="center" textRotation="45" wrapText="1"/>
      <protection locked="0"/>
    </xf>
    <xf numFmtId="0" fontId="90" fillId="33" borderId="23" xfId="28" applyBorder="1" applyAlignment="1" applyProtection="1">
      <alignment horizontal="center" vertical="center" textRotation="45" wrapText="1"/>
      <protection locked="0"/>
    </xf>
    <xf numFmtId="0" fontId="90" fillId="33" borderId="24" xfId="28" applyBorder="1" applyAlignment="1" applyProtection="1">
      <alignment horizontal="center" vertical="center" textRotation="45" wrapText="1"/>
      <protection locked="0"/>
    </xf>
    <xf numFmtId="0" fontId="90" fillId="33" borderId="25" xfId="28" applyBorder="1" applyAlignment="1" applyProtection="1">
      <alignment horizontal="center" vertical="center" textRotation="45" wrapText="1"/>
      <protection locked="0"/>
    </xf>
    <xf numFmtId="0" fontId="90" fillId="33" borderId="1" xfId="28" applyBorder="1" applyAlignment="1">
      <alignment horizontal="center" vertical="center"/>
    </xf>
    <xf numFmtId="0" fontId="107" fillId="0" borderId="2" xfId="0" applyFont="1" applyBorder="1" applyAlignment="1">
      <alignment horizontal="right" vertical="center"/>
    </xf>
    <xf numFmtId="0" fontId="109" fillId="0" borderId="0" xfId="0" applyFont="1" applyAlignment="1">
      <alignment wrapText="1"/>
    </xf>
    <xf numFmtId="0" fontId="90" fillId="7" borderId="1" xfId="14" applyFont="1" applyFill="1" applyBorder="1" applyAlignment="1">
      <alignment horizontal="center" vertical="center"/>
    </xf>
    <xf numFmtId="0" fontId="110" fillId="8" borderId="0" xfId="31" applyFill="1" applyAlignment="1">
      <alignment horizontal="center" wrapText="1"/>
    </xf>
    <xf numFmtId="0" fontId="32" fillId="3" borderId="12"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 xfId="0" applyFont="1" applyFill="1" applyBorder="1" applyAlignment="1">
      <alignment horizontal="center" vertical="center" wrapText="1"/>
    </xf>
    <xf numFmtId="0" fontId="60" fillId="6" borderId="16" xfId="1" applyBorder="1" applyAlignment="1">
      <alignment horizontal="center" vertical="center"/>
    </xf>
    <xf numFmtId="0" fontId="30" fillId="2" borderId="1" xfId="0" applyFont="1" applyFill="1" applyBorder="1" applyAlignment="1">
      <alignment horizontal="center"/>
    </xf>
    <xf numFmtId="0" fontId="68" fillId="35" borderId="12" xfId="15" applyFont="1" applyFill="1" applyBorder="1" applyAlignment="1">
      <alignment horizontal="center" vertical="center" textRotation="45" wrapText="1"/>
    </xf>
    <xf numFmtId="0" fontId="97" fillId="35" borderId="12" xfId="15" applyFont="1" applyFill="1" applyBorder="1" applyAlignment="1">
      <alignment horizontal="center" vertical="center" wrapText="1"/>
    </xf>
    <xf numFmtId="0" fontId="83" fillId="35" borderId="1" xfId="15" applyFont="1" applyFill="1" applyBorder="1" applyAlignment="1">
      <alignment horizontal="center" vertical="center" textRotation="45" wrapText="1"/>
    </xf>
    <xf numFmtId="0" fontId="83" fillId="35" borderId="1" xfId="15" applyFont="1" applyFill="1" applyBorder="1" applyAlignment="1">
      <alignment horizontal="center" vertical="center" wrapText="1"/>
    </xf>
    <xf numFmtId="0" fontId="68" fillId="35" borderId="13" xfId="15" applyFont="1" applyFill="1" applyBorder="1" applyAlignment="1">
      <alignment horizontal="center" vertical="center"/>
    </xf>
    <xf numFmtId="0" fontId="98" fillId="35" borderId="13" xfId="15" applyFont="1" applyFill="1" applyBorder="1" applyAlignment="1">
      <alignment horizontal="center" vertical="center" wrapText="1"/>
    </xf>
    <xf numFmtId="9" fontId="111" fillId="6" borderId="14" xfId="1" applyNumberFormat="1" applyFont="1" applyAlignment="1">
      <alignment horizontal="center" vertical="center" wrapText="1"/>
    </xf>
    <xf numFmtId="0" fontId="68" fillId="35" borderId="7" xfId="15" applyFont="1" applyFill="1" applyBorder="1" applyAlignment="1">
      <alignment horizontal="center" vertical="center"/>
    </xf>
    <xf numFmtId="0" fontId="101" fillId="35" borderId="8" xfId="15" applyFont="1" applyFill="1" applyBorder="1" applyAlignment="1">
      <alignment horizontal="center" vertical="center" wrapText="1"/>
    </xf>
    <xf numFmtId="0" fontId="98" fillId="35" borderId="8" xfId="15" applyFont="1" applyFill="1" applyBorder="1" applyAlignment="1">
      <alignment horizontal="center" vertical="center" wrapText="1"/>
    </xf>
    <xf numFmtId="0" fontId="98"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8" fillId="15" borderId="0" xfId="0" applyFont="1" applyFill="1" applyAlignment="1">
      <alignment horizontal="center" wrapText="1"/>
    </xf>
    <xf numFmtId="0" fontId="50" fillId="15" borderId="0" xfId="0" applyFont="1" applyFill="1" applyAlignment="1">
      <alignment horizontal="center" wrapText="1"/>
    </xf>
    <xf numFmtId="0" fontId="38" fillId="7" borderId="0" xfId="0" applyFont="1" applyFill="1" applyAlignment="1">
      <alignment horizontal="center" wrapText="1"/>
    </xf>
    <xf numFmtId="0" fontId="112" fillId="7" borderId="0" xfId="0" applyFont="1" applyFill="1" applyAlignment="1">
      <alignment horizontal="center" vertical="center" wrapText="1"/>
    </xf>
    <xf numFmtId="0" fontId="93" fillId="29" borderId="12" xfId="35" applyFont="1" applyFill="1" applyBorder="1" applyAlignment="1">
      <alignment horizontal="center" vertical="center" wrapText="1"/>
    </xf>
    <xf numFmtId="0" fontId="38" fillId="7" borderId="0" xfId="3" applyFont="1" applyFill="1" applyAlignment="1">
      <alignment horizontal="center" wrapText="1"/>
    </xf>
    <xf numFmtId="0" fontId="112" fillId="7" borderId="0" xfId="3" applyFont="1" applyFill="1" applyAlignment="1">
      <alignment horizontal="center" vertical="center" wrapText="1"/>
    </xf>
    <xf numFmtId="0" fontId="0" fillId="6" borderId="14" xfId="1" applyFont="1"/>
    <xf numFmtId="0" fontId="29" fillId="0" borderId="1" xfId="0" applyFont="1" applyBorder="1" applyAlignment="1">
      <alignment vertical="center"/>
    </xf>
    <xf numFmtId="0" fontId="29" fillId="0" borderId="0" xfId="0" applyFont="1" applyAlignment="1">
      <alignment vertical="center"/>
    </xf>
    <xf numFmtId="0" fontId="0" fillId="37" borderId="1" xfId="0" applyFill="1" applyBorder="1" applyAlignment="1">
      <alignment horizontal="center" vertical="center" wrapText="1"/>
    </xf>
    <xf numFmtId="0" fontId="0" fillId="37" borderId="1" xfId="0" applyFill="1" applyBorder="1" applyAlignment="1">
      <alignment vertical="center" wrapText="1"/>
    </xf>
    <xf numFmtId="14" fontId="0" fillId="37" borderId="1" xfId="0" applyNumberFormat="1" applyFill="1" applyBorder="1" applyAlignment="1">
      <alignment horizontal="center" vertical="center" wrapText="1"/>
    </xf>
    <xf numFmtId="0" fontId="0" fillId="37" borderId="1" xfId="0" applyFill="1" applyBorder="1" applyAlignment="1">
      <alignment horizontal="center" vertical="center"/>
    </xf>
    <xf numFmtId="0" fontId="29" fillId="37" borderId="1" xfId="0" applyFont="1" applyFill="1" applyBorder="1" applyAlignment="1">
      <alignment vertical="center" wrapText="1"/>
    </xf>
    <xf numFmtId="0" fontId="29" fillId="37" borderId="1" xfId="0" applyFont="1" applyFill="1" applyBorder="1" applyAlignment="1">
      <alignment horizontal="center" vertical="center" wrapText="1"/>
    </xf>
    <xf numFmtId="0" fontId="60" fillId="6" borderId="31" xfId="1" applyBorder="1"/>
    <xf numFmtId="0" fontId="83" fillId="35" borderId="1" xfId="15" applyFont="1" applyFill="1" applyBorder="1" applyAlignment="1">
      <alignment horizontal="center" vertical="center" textRotation="45"/>
    </xf>
    <xf numFmtId="0" fontId="29" fillId="8" borderId="1" xfId="0" applyFont="1" applyFill="1" applyBorder="1" applyAlignment="1">
      <alignment horizontal="center" vertical="center" wrapText="1"/>
    </xf>
    <xf numFmtId="0" fontId="29" fillId="8" borderId="1" xfId="0" applyFont="1" applyFill="1" applyBorder="1" applyAlignment="1">
      <alignment vertical="center" wrapText="1"/>
    </xf>
    <xf numFmtId="0" fontId="29" fillId="37" borderId="1" xfId="0" applyFont="1" applyFill="1" applyBorder="1" applyAlignment="1">
      <alignment horizontal="center" vertical="center"/>
    </xf>
    <xf numFmtId="0" fontId="29" fillId="0" borderId="0" xfId="0" applyFont="1"/>
    <xf numFmtId="0" fontId="113" fillId="0" borderId="1" xfId="0" applyFont="1" applyBorder="1"/>
    <xf numFmtId="0" fontId="113" fillId="0" borderId="1" xfId="0" applyFont="1" applyBorder="1" applyAlignment="1">
      <alignment vertical="center"/>
    </xf>
    <xf numFmtId="0" fontId="29" fillId="0" borderId="1" xfId="0" applyFont="1" applyBorder="1" applyAlignment="1">
      <alignment horizontal="left" vertical="center" wrapText="1"/>
    </xf>
    <xf numFmtId="14" fontId="26" fillId="0" borderId="0" xfId="11" applyNumberFormat="1" applyAlignment="1">
      <alignment horizontal="left" vertical="top"/>
    </xf>
    <xf numFmtId="0" fontId="26" fillId="0" borderId="0" xfId="11" applyAlignment="1">
      <alignment horizontal="left" vertical="top"/>
    </xf>
    <xf numFmtId="0" fontId="93" fillId="29" borderId="20" xfId="14" applyFont="1" applyFill="1" applyBorder="1" applyAlignment="1" applyProtection="1">
      <alignment horizontal="right" wrapText="1"/>
      <protection locked="0"/>
    </xf>
    <xf numFmtId="0" fontId="26" fillId="0" borderId="0" xfId="11" applyAlignment="1">
      <alignment horizontal="right"/>
    </xf>
    <xf numFmtId="14" fontId="26" fillId="0" borderId="0" xfId="11" applyNumberFormat="1" applyAlignment="1">
      <alignment horizontal="right"/>
    </xf>
    <xf numFmtId="0" fontId="5" fillId="0" borderId="0" xfId="11" applyFont="1"/>
    <xf numFmtId="0" fontId="5" fillId="0" borderId="0" xfId="11" applyFont="1" applyAlignment="1">
      <alignment horizontal="left" vertical="top"/>
    </xf>
    <xf numFmtId="0" fontId="5" fillId="0" borderId="0" xfId="11" applyFont="1" applyAlignment="1">
      <alignment horizontal="right"/>
    </xf>
    <xf numFmtId="14" fontId="5" fillId="0" borderId="0" xfId="11" applyNumberFormat="1" applyFont="1" applyAlignment="1">
      <alignment horizontal="left" vertical="top"/>
    </xf>
    <xf numFmtId="14" fontId="5" fillId="0" borderId="0" xfId="11" applyNumberFormat="1" applyFont="1" applyAlignment="1">
      <alignment horizontal="right"/>
    </xf>
    <xf numFmtId="0" fontId="29" fillId="13" borderId="1" xfId="0" applyFont="1" applyFill="1" applyBorder="1" applyAlignment="1">
      <alignment vertical="center" wrapText="1"/>
    </xf>
    <xf numFmtId="0" fontId="4" fillId="0" borderId="0" xfId="11" applyFont="1"/>
    <xf numFmtId="0" fontId="3" fillId="0" borderId="0" xfId="11" applyFont="1"/>
    <xf numFmtId="14" fontId="26" fillId="0" borderId="0" xfId="11" applyNumberFormat="1" applyAlignment="1">
      <alignment horizontal="left"/>
    </xf>
    <xf numFmtId="0" fontId="2" fillId="0" borderId="0" xfId="11" applyFont="1"/>
    <xf numFmtId="0" fontId="77" fillId="0" borderId="0" xfId="3" applyFont="1" applyAlignment="1" applyProtection="1">
      <alignment horizontal="center" vertical="center" wrapText="1"/>
      <protection locked="0"/>
    </xf>
    <xf numFmtId="0" fontId="29" fillId="0" borderId="0" xfId="3" applyAlignment="1">
      <alignment vertical="center" wrapText="1"/>
    </xf>
    <xf numFmtId="0" fontId="68" fillId="16" borderId="2" xfId="3" applyFont="1" applyFill="1" applyBorder="1" applyAlignment="1" applyProtection="1">
      <alignment horizontal="center" vertical="center" shrinkToFit="1"/>
      <protection locked="0"/>
    </xf>
    <xf numFmtId="0" fontId="68" fillId="16" borderId="0" xfId="3" applyFont="1" applyFill="1" applyAlignment="1" applyProtection="1">
      <alignment horizontal="center" vertical="center" shrinkToFit="1"/>
      <protection locked="0"/>
    </xf>
    <xf numFmtId="0" fontId="68" fillId="16" borderId="3" xfId="3" applyFont="1" applyFill="1" applyBorder="1" applyAlignment="1" applyProtection="1">
      <alignment horizontal="center" vertical="center" shrinkToFit="1"/>
      <protection locked="0"/>
    </xf>
    <xf numFmtId="0" fontId="29" fillId="0" borderId="4" xfId="3" applyBorder="1" applyAlignment="1" applyProtection="1">
      <alignment horizontal="right" vertical="top" wrapText="1" shrinkToFit="1"/>
      <protection locked="0"/>
    </xf>
    <xf numFmtId="0" fontId="29" fillId="0" borderId="5" xfId="3" applyBorder="1" applyAlignment="1" applyProtection="1">
      <alignment horizontal="right" vertical="top" wrapText="1" shrinkToFit="1"/>
      <protection locked="0"/>
    </xf>
    <xf numFmtId="0" fontId="69" fillId="0" borderId="5" xfId="0" applyFont="1" applyBorder="1" applyAlignment="1" applyProtection="1">
      <alignment horizontal="left" vertical="top" wrapText="1" shrinkToFit="1"/>
      <protection locked="0"/>
    </xf>
    <xf numFmtId="0" fontId="69" fillId="0" borderId="6" xfId="0" applyFont="1" applyBorder="1" applyAlignment="1" applyProtection="1">
      <alignment horizontal="left" vertical="top" wrapText="1" shrinkToFit="1"/>
      <protection locked="0"/>
    </xf>
    <xf numFmtId="0" fontId="31" fillId="0" borderId="5" xfId="3" applyFont="1" applyBorder="1" applyAlignment="1" applyProtection="1">
      <alignment horizontal="left" vertical="top" wrapText="1" shrinkToFit="1"/>
      <protection locked="0"/>
    </xf>
    <xf numFmtId="0" fontId="71" fillId="0" borderId="5" xfId="3" applyFont="1" applyBorder="1" applyAlignment="1" applyProtection="1">
      <alignment horizontal="left" vertical="top" shrinkToFit="1"/>
      <protection locked="0"/>
    </xf>
    <xf numFmtId="0" fontId="71" fillId="0" borderId="6" xfId="3" applyFont="1" applyBorder="1" applyAlignment="1" applyProtection="1">
      <alignment horizontal="left" vertical="top" shrinkToFit="1"/>
      <protection locked="0"/>
    </xf>
    <xf numFmtId="0" fontId="68" fillId="16" borderId="7" xfId="3" applyFont="1" applyFill="1" applyBorder="1" applyAlignment="1" applyProtection="1">
      <alignment horizontal="center" vertical="center" shrinkToFit="1"/>
      <protection locked="0"/>
    </xf>
    <xf numFmtId="0" fontId="68" fillId="16" borderId="8" xfId="3" applyFont="1" applyFill="1" applyBorder="1" applyAlignment="1" applyProtection="1">
      <alignment horizontal="center" vertical="center" shrinkToFit="1"/>
      <protection locked="0"/>
    </xf>
    <xf numFmtId="0" fontId="68" fillId="16" borderId="9" xfId="3" applyFont="1" applyFill="1" applyBorder="1" applyAlignment="1" applyProtection="1">
      <alignment horizontal="center" vertical="center" shrinkToFit="1"/>
      <protection locked="0"/>
    </xf>
    <xf numFmtId="0" fontId="29" fillId="0" borderId="4" xfId="3" applyBorder="1" applyAlignment="1" applyProtection="1">
      <alignment horizontal="center" vertical="top" wrapText="1" shrinkToFit="1"/>
      <protection locked="0"/>
    </xf>
    <xf numFmtId="0" fontId="29" fillId="0" borderId="5" xfId="3" applyBorder="1" applyAlignment="1" applyProtection="1">
      <alignment horizontal="center" vertical="top" wrapText="1" shrinkToFit="1"/>
      <protection locked="0"/>
    </xf>
    <xf numFmtId="0" fontId="29" fillId="0" borderId="6" xfId="3" applyBorder="1" applyAlignment="1" applyProtection="1">
      <alignment horizontal="center" vertical="top" wrapText="1" shrinkToFit="1"/>
      <protection locked="0"/>
    </xf>
    <xf numFmtId="0" fontId="68" fillId="16" borderId="8" xfId="3" applyFont="1" applyFill="1" applyBorder="1" applyAlignment="1" applyProtection="1">
      <alignment horizontal="center" vertical="center" wrapText="1"/>
      <protection locked="0"/>
    </xf>
    <xf numFmtId="0" fontId="68" fillId="16" borderId="0" xfId="3" applyFont="1" applyFill="1" applyAlignment="1" applyProtection="1">
      <alignment horizontal="center" vertical="center" wrapText="1"/>
      <protection locked="0"/>
    </xf>
    <xf numFmtId="0" fontId="29" fillId="0" borderId="7" xfId="3" applyBorder="1" applyAlignment="1" applyProtection="1">
      <alignment horizontal="left" vertical="top"/>
      <protection locked="0"/>
    </xf>
    <xf numFmtId="0" fontId="29" fillId="0" borderId="8" xfId="3" applyBorder="1" applyAlignment="1" applyProtection="1">
      <alignment horizontal="left" vertical="top"/>
      <protection locked="0"/>
    </xf>
    <xf numFmtId="0" fontId="29" fillId="0" borderId="9" xfId="3" applyBorder="1" applyAlignment="1" applyProtection="1">
      <alignment horizontal="left" vertical="top"/>
      <protection locked="0"/>
    </xf>
    <xf numFmtId="0" fontId="29" fillId="0" borderId="4" xfId="3" applyBorder="1" applyAlignment="1" applyProtection="1">
      <alignment horizontal="left" vertical="top"/>
      <protection locked="0"/>
    </xf>
    <xf numFmtId="0" fontId="29" fillId="0" borderId="5" xfId="3" applyBorder="1" applyAlignment="1" applyProtection="1">
      <alignment horizontal="left" vertical="top"/>
      <protection locked="0"/>
    </xf>
    <xf numFmtId="0" fontId="29" fillId="0" borderId="6" xfId="3" applyBorder="1" applyAlignment="1" applyProtection="1">
      <alignment horizontal="left" vertical="top"/>
      <protection locked="0"/>
    </xf>
    <xf numFmtId="0" fontId="68" fillId="16" borderId="2" xfId="3" applyFont="1" applyFill="1" applyBorder="1" applyAlignment="1" applyProtection="1">
      <alignment horizontal="center" vertical="center" wrapText="1" shrinkToFit="1"/>
      <protection locked="0"/>
    </xf>
    <xf numFmtId="0" fontId="68" fillId="16" borderId="0" xfId="3" applyFont="1" applyFill="1" applyAlignment="1" applyProtection="1">
      <alignment horizontal="center" vertical="center" wrapText="1" shrinkToFit="1"/>
      <protection locked="0"/>
    </xf>
    <xf numFmtId="0" fontId="89" fillId="25" borderId="14" xfId="12" applyAlignment="1" applyProtection="1">
      <alignment horizontal="center" vertical="center"/>
      <protection locked="0"/>
    </xf>
    <xf numFmtId="0" fontId="34" fillId="0" borderId="7" xfId="3" applyFont="1" applyBorder="1" applyAlignment="1">
      <alignment horizontal="left" vertical="center" wrapText="1"/>
    </xf>
    <xf numFmtId="0" fontId="34" fillId="0" borderId="8" xfId="3" applyFont="1" applyBorder="1" applyAlignment="1">
      <alignment horizontal="left" vertical="center" wrapText="1"/>
    </xf>
    <xf numFmtId="0" fontId="34" fillId="0" borderId="9" xfId="3" applyFont="1" applyBorder="1" applyAlignment="1">
      <alignment horizontal="left" vertical="center" wrapText="1"/>
    </xf>
    <xf numFmtId="0" fontId="34" fillId="0" borderId="7" xfId="3" applyFont="1" applyBorder="1" applyAlignment="1">
      <alignment horizontal="left" vertical="center" shrinkToFit="1"/>
    </xf>
    <xf numFmtId="0" fontId="34" fillId="0" borderId="8" xfId="3" applyFont="1" applyBorder="1" applyAlignment="1">
      <alignment horizontal="left" vertical="center" shrinkToFit="1"/>
    </xf>
    <xf numFmtId="0" fontId="34" fillId="0" borderId="9" xfId="3" applyFont="1" applyBorder="1" applyAlignment="1">
      <alignment horizontal="left" vertical="center" shrinkToFit="1"/>
    </xf>
    <xf numFmtId="0" fontId="66" fillId="0" borderId="4" xfId="0" applyFont="1" applyBorder="1" applyAlignment="1">
      <alignment horizontal="left" vertical="center" shrinkToFit="1"/>
    </xf>
    <xf numFmtId="0" fontId="66" fillId="0" borderId="5" xfId="0" applyFont="1" applyBorder="1" applyAlignment="1">
      <alignment horizontal="left" vertical="center" shrinkToFit="1"/>
    </xf>
    <xf numFmtId="0" fontId="66" fillId="0" borderId="6" xfId="0" applyFont="1" applyBorder="1" applyAlignment="1">
      <alignment horizontal="left" vertical="center" shrinkToFit="1"/>
    </xf>
    <xf numFmtId="0" fontId="66" fillId="0" borderId="4" xfId="3" applyFont="1" applyBorder="1" applyAlignment="1">
      <alignment horizontal="left" vertical="center" shrinkToFit="1"/>
    </xf>
    <xf numFmtId="0" fontId="66" fillId="0" borderId="5" xfId="3" applyFont="1" applyBorder="1" applyAlignment="1">
      <alignment horizontal="left" vertical="center" shrinkToFit="1"/>
    </xf>
    <xf numFmtId="0" fontId="66" fillId="0" borderId="6" xfId="3" applyFont="1" applyBorder="1" applyAlignment="1">
      <alignment horizontal="left" vertical="center" shrinkToFit="1"/>
    </xf>
    <xf numFmtId="49" fontId="29" fillId="0" borderId="10" xfId="3" applyNumberFormat="1" applyBorder="1" applyAlignment="1" applyProtection="1">
      <alignment horizontal="center" vertical="center" wrapText="1"/>
      <protection locked="0"/>
    </xf>
    <xf numFmtId="49" fontId="29" fillId="0" borderId="19" xfId="3" applyNumberFormat="1" applyBorder="1" applyAlignment="1" applyProtection="1">
      <alignment horizontal="center" vertical="center" wrapText="1"/>
      <protection locked="0"/>
    </xf>
    <xf numFmtId="49" fontId="29" fillId="0" borderId="11" xfId="3" applyNumberFormat="1" applyBorder="1" applyAlignment="1" applyProtection="1">
      <alignment horizontal="center" vertical="center" wrapText="1"/>
      <protection locked="0"/>
    </xf>
    <xf numFmtId="0" fontId="29" fillId="0" borderId="10" xfId="3" applyBorder="1" applyAlignment="1">
      <alignment horizontal="left" vertical="center" wrapText="1"/>
    </xf>
    <xf numFmtId="0" fontId="29" fillId="0" borderId="19" xfId="3" applyBorder="1" applyAlignment="1">
      <alignment horizontal="left" vertical="center" wrapText="1"/>
    </xf>
    <xf numFmtId="0" fontId="29" fillId="0" borderId="11" xfId="3" applyBorder="1" applyAlignment="1">
      <alignment horizontal="left" vertical="center" wrapText="1"/>
    </xf>
    <xf numFmtId="0" fontId="61" fillId="0" borderId="10" xfId="2" applyBorder="1" applyAlignment="1">
      <alignment horizontal="left" vertical="center" wrapText="1"/>
    </xf>
    <xf numFmtId="49" fontId="29" fillId="0" borderId="1" xfId="3" applyNumberFormat="1" applyBorder="1" applyAlignment="1" applyProtection="1">
      <alignment horizontal="left" vertical="center" wrapText="1"/>
      <protection locked="0"/>
    </xf>
    <xf numFmtId="0" fontId="29" fillId="0" borderId="1" xfId="3" applyBorder="1" applyAlignment="1">
      <alignment horizontal="left" vertical="center" wrapText="1"/>
    </xf>
    <xf numFmtId="49" fontId="29" fillId="0" borderId="1" xfId="3" applyNumberFormat="1" applyBorder="1" applyAlignment="1" applyProtection="1">
      <alignment vertical="center" wrapText="1"/>
      <protection locked="0"/>
    </xf>
    <xf numFmtId="0" fontId="47" fillId="18" borderId="1" xfId="3" applyFont="1" applyFill="1" applyBorder="1" applyAlignment="1" applyProtection="1">
      <alignment horizontal="center" vertical="center" wrapText="1"/>
      <protection locked="0"/>
    </xf>
    <xf numFmtId="0" fontId="83" fillId="20" borderId="1" xfId="3" applyFont="1" applyFill="1" applyBorder="1" applyAlignment="1">
      <alignment horizontal="center" vertical="center" wrapText="1"/>
    </xf>
    <xf numFmtId="0" fontId="29" fillId="0" borderId="1" xfId="3" applyBorder="1" applyAlignment="1">
      <alignment horizontal="center" vertical="center" wrapText="1"/>
    </xf>
    <xf numFmtId="14" fontId="29" fillId="0" borderId="10" xfId="3" applyNumberFormat="1" applyBorder="1" applyAlignment="1" applyProtection="1">
      <alignment horizontal="left" vertical="center" wrapText="1"/>
      <protection locked="0"/>
    </xf>
    <xf numFmtId="14" fontId="29" fillId="0" borderId="19" xfId="3" applyNumberFormat="1" applyBorder="1" applyAlignment="1" applyProtection="1">
      <alignment horizontal="left" vertical="center" wrapText="1"/>
      <protection locked="0"/>
    </xf>
    <xf numFmtId="14" fontId="29" fillId="0" borderId="11" xfId="3" applyNumberFormat="1" applyBorder="1" applyAlignment="1" applyProtection="1">
      <alignment horizontal="left" vertical="center" wrapText="1"/>
      <protection locked="0"/>
    </xf>
    <xf numFmtId="49" fontId="29" fillId="0" borderId="1" xfId="3" applyNumberFormat="1" applyBorder="1" applyAlignment="1">
      <alignment horizontal="left" vertical="center" wrapText="1"/>
    </xf>
    <xf numFmtId="49" fontId="29" fillId="0" borderId="1" xfId="3" applyNumberFormat="1" applyBorder="1" applyAlignment="1" applyProtection="1">
      <alignment horizontal="center" vertical="center" wrapText="1"/>
      <protection locked="0"/>
    </xf>
    <xf numFmtId="49" fontId="29" fillId="0" borderId="1" xfId="3" applyNumberFormat="1" applyBorder="1" applyAlignment="1">
      <alignment horizontal="center" vertical="center" wrapText="1"/>
    </xf>
    <xf numFmtId="49" fontId="29" fillId="22" borderId="1" xfId="3" applyNumberFormat="1" applyFill="1" applyBorder="1" applyAlignment="1" applyProtection="1">
      <alignment horizontal="center" vertical="center" wrapText="1"/>
      <protection locked="0"/>
    </xf>
    <xf numFmtId="49" fontId="29" fillId="34" borderId="1" xfId="3" applyNumberFormat="1" applyFill="1" applyBorder="1" applyAlignment="1" applyProtection="1">
      <alignment horizontal="center" vertical="center" wrapText="1"/>
      <protection locked="0"/>
    </xf>
    <xf numFmtId="49" fontId="63" fillId="24" borderId="1" xfId="3" applyNumberFormat="1" applyFont="1" applyFill="1" applyBorder="1" applyAlignment="1" applyProtection="1">
      <alignment horizontal="center" vertical="center" wrapText="1"/>
      <protection locked="0"/>
    </xf>
    <xf numFmtId="0" fontId="34" fillId="17" borderId="7" xfId="3" applyFont="1" applyFill="1" applyBorder="1" applyAlignment="1">
      <alignment horizontal="left" vertical="center" shrinkToFit="1"/>
    </xf>
    <xf numFmtId="0" fontId="34" fillId="17" borderId="8" xfId="3" applyFont="1" applyFill="1" applyBorder="1" applyAlignment="1">
      <alignment horizontal="left" vertical="center" shrinkToFit="1"/>
    </xf>
    <xf numFmtId="0" fontId="34" fillId="17" borderId="9" xfId="3" applyFont="1" applyFill="1" applyBorder="1" applyAlignment="1">
      <alignment horizontal="left" vertical="center" shrinkToFit="1"/>
    </xf>
    <xf numFmtId="0" fontId="67" fillId="17" borderId="4" xfId="3" applyFont="1" applyFill="1" applyBorder="1" applyAlignment="1">
      <alignment horizontal="left" vertical="center" shrinkToFit="1"/>
    </xf>
    <xf numFmtId="0" fontId="67" fillId="17" borderId="5" xfId="3" applyFont="1" applyFill="1" applyBorder="1" applyAlignment="1">
      <alignment horizontal="left" vertical="center" shrinkToFit="1"/>
    </xf>
    <xf numFmtId="0" fontId="67" fillId="17" borderId="6" xfId="3" applyFont="1" applyFill="1" applyBorder="1" applyAlignment="1">
      <alignment horizontal="left" vertical="center" shrinkToFit="1"/>
    </xf>
    <xf numFmtId="0" fontId="29" fillId="18" borderId="1" xfId="3" applyFill="1" applyBorder="1" applyAlignment="1" applyProtection="1">
      <alignment horizontal="center" vertical="center" wrapText="1"/>
      <protection locked="0"/>
    </xf>
    <xf numFmtId="49" fontId="29" fillId="19" borderId="1" xfId="3" applyNumberFormat="1" applyFill="1" applyBorder="1" applyAlignment="1" applyProtection="1">
      <alignment horizontal="center" vertical="center" wrapText="1"/>
      <protection locked="0"/>
    </xf>
    <xf numFmtId="0" fontId="34" fillId="17" borderId="7" xfId="3" applyFont="1" applyFill="1" applyBorder="1" applyAlignment="1">
      <alignment horizontal="left" vertical="center" wrapText="1"/>
    </xf>
    <xf numFmtId="0" fontId="34" fillId="17" borderId="8" xfId="3" applyFont="1" applyFill="1" applyBorder="1" applyAlignment="1">
      <alignment horizontal="left" vertical="center" wrapText="1"/>
    </xf>
    <xf numFmtId="0" fontId="34" fillId="17" borderId="9" xfId="3" applyFont="1" applyFill="1" applyBorder="1" applyAlignment="1">
      <alignment horizontal="left" vertical="center" wrapText="1"/>
    </xf>
    <xf numFmtId="0" fontId="66" fillId="17" borderId="4" xfId="3" applyFont="1" applyFill="1" applyBorder="1" applyAlignment="1">
      <alignment horizontal="left" vertical="center" shrinkToFit="1"/>
    </xf>
    <xf numFmtId="0" fontId="66" fillId="17" borderId="5" xfId="3" applyFont="1" applyFill="1" applyBorder="1" applyAlignment="1">
      <alignment horizontal="left" vertical="center" shrinkToFit="1"/>
    </xf>
    <xf numFmtId="0" fontId="66" fillId="17" borderId="6" xfId="3" applyFont="1" applyFill="1" applyBorder="1" applyAlignment="1">
      <alignment horizontal="left" vertical="center" shrinkToFit="1"/>
    </xf>
    <xf numFmtId="49" fontId="29" fillId="23" borderId="1" xfId="3" applyNumberFormat="1" applyFill="1" applyBorder="1" applyAlignment="1" applyProtection="1">
      <alignment horizontal="center" vertical="center" wrapText="1"/>
      <protection locked="0"/>
    </xf>
    <xf numFmtId="0" fontId="102" fillId="2" borderId="10" xfId="7" applyFont="1" applyFill="1" applyBorder="1" applyAlignment="1">
      <alignment horizontal="center" vertical="center"/>
    </xf>
    <xf numFmtId="0" fontId="102" fillId="2" borderId="19" xfId="7" applyFont="1" applyFill="1" applyBorder="1" applyAlignment="1">
      <alignment horizontal="center" vertical="center"/>
    </xf>
    <xf numFmtId="0" fontId="102"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30" fillId="21" borderId="2" xfId="0" applyFont="1" applyFill="1" applyBorder="1" applyAlignment="1">
      <alignment horizontal="center" vertical="top" textRotation="45"/>
    </xf>
    <xf numFmtId="0" fontId="30"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30" fillId="3" borderId="7" xfId="0" applyFont="1" applyFill="1" applyBorder="1" applyAlignment="1">
      <alignment horizontal="center" wrapText="1"/>
    </xf>
    <xf numFmtId="0" fontId="30" fillId="3" borderId="8" xfId="0" applyFont="1" applyFill="1" applyBorder="1" applyAlignment="1">
      <alignment horizontal="center" wrapText="1"/>
    </xf>
    <xf numFmtId="0" fontId="30" fillId="3" borderId="9" xfId="0" applyFont="1" applyFill="1" applyBorder="1" applyAlignment="1">
      <alignment horizontal="center" wrapText="1"/>
    </xf>
    <xf numFmtId="0" fontId="29" fillId="2" borderId="10" xfId="0" applyFont="1" applyFill="1" applyBorder="1" applyAlignment="1">
      <alignment horizontal="left" vertical="center" wrapText="1" shrinkToFit="1"/>
    </xf>
    <xf numFmtId="0" fontId="29" fillId="2" borderId="11" xfId="0" applyFont="1" applyFill="1" applyBorder="1" applyAlignment="1">
      <alignment horizontal="left" vertical="center" wrapText="1" shrinkToFit="1"/>
    </xf>
    <xf numFmtId="0" fontId="92" fillId="28" borderId="4" xfId="13" applyFont="1" applyFill="1" applyBorder="1" applyAlignment="1" applyProtection="1">
      <alignment horizontal="center" vertical="center" wrapText="1"/>
      <protection locked="0"/>
    </xf>
    <xf numFmtId="0" fontId="92" fillId="28" borderId="5" xfId="13" applyFont="1" applyFill="1" applyBorder="1" applyAlignment="1" applyProtection="1">
      <alignment horizontal="center" vertical="center" wrapText="1"/>
      <protection locked="0"/>
    </xf>
    <xf numFmtId="0" fontId="92" fillId="28" borderId="6" xfId="13" applyFont="1" applyFill="1" applyBorder="1" applyAlignment="1" applyProtection="1">
      <alignment horizontal="center" vertical="center" wrapText="1"/>
      <protection locked="0"/>
    </xf>
    <xf numFmtId="0" fontId="92" fillId="16" borderId="4" xfId="13" applyFont="1" applyFill="1" applyBorder="1" applyAlignment="1" applyProtection="1">
      <alignment horizontal="center" vertical="center" wrapText="1"/>
    </xf>
    <xf numFmtId="0" fontId="92" fillId="16" borderId="5" xfId="13" applyFont="1" applyFill="1" applyBorder="1" applyAlignment="1" applyProtection="1">
      <alignment horizontal="center" vertical="center" wrapText="1"/>
    </xf>
    <xf numFmtId="0" fontId="89"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7" fillId="28" borderId="10" xfId="2" applyFont="1" applyFill="1" applyBorder="1" applyAlignment="1" applyProtection="1">
      <alignment horizontal="center" vertical="center" wrapText="1"/>
      <protection locked="0"/>
    </xf>
    <xf numFmtId="0" fontId="97"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8 2" xfId="36" xr:uid="{969B8D84-765D-4036-91A4-319A5FFB5619}"/>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3450">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alignment horizontal="right" vertical="bottom" textRotation="0" indent="0" justifyLastLine="0" shrinkToFit="0" readingOrder="0"/>
    </dxf>
    <dxf>
      <alignment horizontal="left" vertical="top" textRotation="0" wrapText="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72</c:v>
                </c:pt>
                <c:pt idx="1">
                  <c:v>6</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45</c:v>
                </c:pt>
                <c:pt idx="3">
                  <c:v>2</c:v>
                </c:pt>
                <c:pt idx="4">
                  <c:v>97</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142</c:v>
                </c:pt>
                <c:pt idx="1">
                  <c:v>2</c:v>
                </c:pt>
                <c:pt idx="2">
                  <c:v>1</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63" totalsRowShown="0" headerRowDxfId="3449" headerRowBorderDxfId="3448" tableBorderDxfId="3447" headerRowCellStyle="40% - Accent5" dataCellStyle="Normal 4">
  <autoFilter ref="A2:O6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3446" dataCellStyle="Normal 4"/>
    <tableColumn id="4" xr3:uid="{7CAB5B69-9FD6-4BE7-A3E1-3148F51E8C55}" name="Due date" dataDxfId="3445" dataCellStyle="Normal 4"/>
    <tableColumn id="5" xr3:uid="{A7E8DB5D-2E5B-4D50-802A-7373C2649DB9}" name="Effort (in mn)" dataDxfId="3444" dataCellStyle="Calculation">
      <calculatedColumnFormula>SUM(F3:O3)</calculatedColumnFormula>
    </tableColumn>
    <tableColumn id="6" xr3:uid="{DD9655BE-E53F-4CA5-885B-7FC10F8D2395}" name="Lucian Ardeleanu" dataCellStyle="Normal 4"/>
    <tableColumn id="7" xr3:uid="{525D8884-0C8A-4478-BF05-7E1372CD45F9}" name="Gabriel Brasoveanu" dataCellStyle="Normal 4"/>
    <tableColumn id="8" xr3:uid="{967B83B5-4BDD-455D-9479-4517937966AE}" name="Vlad Chioveanu" dataCellStyle="Normal 4"/>
    <tableColumn id="9" xr3:uid="{B1B837F4-0787-4CAA-BD5D-A6B2F7E9368A}" name="Ciprian Galbau" dataCellStyle="Normal 4"/>
    <tableColumn id="10" xr3:uid="{4B029EAF-CE65-4128-A016-A786C51E5D01}" name="Dan Dustinta" dataCellStyle="Normal 4"/>
    <tableColumn id="11" xr3:uid="{5B3D026C-0D6F-4D5D-949A-921EED9750D8}" name="Ciptian Galbau" dataCellStyle="Normal 4"/>
    <tableColumn id="12" xr3:uid="{F47E4945-FC46-4596-99F8-6868803682F5}" name="David Puscasu" dataCellStyle="Normal 4"/>
    <tableColumn id="13" xr3:uid="{5139BD5E-7132-4168-905C-F6084CD7F3D0}" name="Ioan _x000a_Repede" dataCellStyle="Normal 4"/>
    <tableColumn id="14" xr3:uid="{209C6056-7295-438E-8AAC-53D245A1A566}" name="Cornel Albu"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workbookViewId="0"/>
  </sheetViews>
  <sheetFormatPr defaultColWidth="0" defaultRowHeight="12.75" customHeight="1" zeroHeight="1"/>
  <cols>
    <col min="1" max="3" width="2.85546875" style="93" customWidth="1"/>
    <col min="4" max="4" width="3.28515625" style="93" customWidth="1"/>
    <col min="5" max="33" width="2.85546875" style="93" customWidth="1"/>
    <col min="34" max="34" width="1.28515625" style="93" customWidth="1"/>
    <col min="35" max="60" width="3.28515625" style="93" hidden="1" customWidth="1"/>
    <col min="61" max="16384" width="0" style="93" hidden="1"/>
  </cols>
  <sheetData>
    <row r="1" spans="1:37" s="83" customFormat="1">
      <c r="C1" s="84"/>
      <c r="D1" s="84"/>
      <c r="E1" s="84"/>
      <c r="F1" s="84"/>
      <c r="G1" s="85"/>
      <c r="H1" s="86"/>
      <c r="I1" s="86"/>
      <c r="J1" s="86"/>
      <c r="K1" s="86"/>
      <c r="L1" s="86"/>
      <c r="M1" s="86"/>
      <c r="N1" s="86"/>
      <c r="O1" s="86"/>
      <c r="P1" s="87"/>
      <c r="Q1" s="87"/>
      <c r="R1" s="87"/>
      <c r="S1" s="87"/>
      <c r="T1" s="87"/>
      <c r="U1" s="87"/>
      <c r="V1" s="87"/>
      <c r="W1" s="87"/>
      <c r="X1" s="87"/>
      <c r="Y1" s="87"/>
      <c r="Z1" s="87"/>
      <c r="AA1" s="87"/>
      <c r="AB1" s="87"/>
      <c r="AC1" s="87"/>
      <c r="AD1" s="87"/>
      <c r="AE1" s="87"/>
      <c r="AF1" s="87"/>
      <c r="AG1" s="87"/>
      <c r="AH1" s="87"/>
      <c r="AI1" s="87"/>
      <c r="AJ1" s="87"/>
      <c r="AK1" s="87"/>
    </row>
    <row r="2" spans="1:37" s="83" customFormat="1"/>
    <row r="3" spans="1:37" s="83" customFormat="1">
      <c r="AD3" s="88" t="s">
        <v>0</v>
      </c>
    </row>
    <row r="4" spans="1:37" s="83" customFormat="1" ht="11.1" customHeight="1">
      <c r="A4" s="283" t="s">
        <v>1</v>
      </c>
      <c r="B4" s="284"/>
      <c r="C4" s="284"/>
      <c r="D4" s="284"/>
      <c r="E4" s="284"/>
      <c r="F4" s="284"/>
      <c r="G4" s="284"/>
      <c r="H4" s="284"/>
      <c r="I4" s="284"/>
      <c r="J4" s="284"/>
      <c r="K4" s="284"/>
      <c r="L4" s="284"/>
      <c r="M4" s="284"/>
      <c r="N4" s="284"/>
      <c r="O4" s="284"/>
      <c r="P4" s="284"/>
      <c r="Q4" s="285"/>
      <c r="R4" s="280" t="s">
        <v>2</v>
      </c>
      <c r="S4" s="281"/>
      <c r="T4" s="281"/>
      <c r="U4" s="281"/>
      <c r="V4" s="282"/>
      <c r="W4" s="280" t="s">
        <v>3</v>
      </c>
      <c r="X4" s="281"/>
      <c r="Y4" s="281"/>
      <c r="Z4" s="281"/>
      <c r="AA4" s="282"/>
      <c r="AB4" s="283" t="s">
        <v>4</v>
      </c>
      <c r="AC4" s="284"/>
      <c r="AD4" s="284"/>
      <c r="AE4" s="284"/>
      <c r="AF4" s="284"/>
      <c r="AG4" s="285"/>
      <c r="AH4" s="89"/>
      <c r="AI4" s="89"/>
      <c r="AJ4" s="89"/>
    </row>
    <row r="5" spans="1:37" s="90" customFormat="1" ht="12.75" customHeight="1">
      <c r="A5" s="286" t="str">
        <f ca="1" xml:space="preserve"> IFERROR(IF([3]!alvDocProperty("MXAuthority")="","272502 VW VWA VN 41S1_NAR EL SB",[3]!alvDocProperty("MXAuthority")),"272502 VW VWA VN 41S1_NAR EL SB")</f>
        <v>272502 VW VWA VN 41S1_NAR EL SB</v>
      </c>
      <c r="B5" s="287"/>
      <c r="C5" s="287"/>
      <c r="D5" s="287"/>
      <c r="E5" s="287"/>
      <c r="F5" s="287"/>
      <c r="G5" s="287"/>
      <c r="H5" s="287"/>
      <c r="I5" s="287"/>
      <c r="J5" s="287"/>
      <c r="K5" s="287"/>
      <c r="L5" s="287"/>
      <c r="M5" s="287"/>
      <c r="N5" s="287"/>
      <c r="O5" s="287"/>
      <c r="P5" s="287"/>
      <c r="Q5" s="288"/>
      <c r="R5" s="286" t="s">
        <v>5</v>
      </c>
      <c r="S5" s="287"/>
      <c r="T5" s="287"/>
      <c r="U5" s="287"/>
      <c r="V5" s="288"/>
      <c r="W5" s="286" t="str">
        <f ca="1" xml:space="preserve"> IFERROR(IF([3]!alvDocProperty("MXCurrent.Localized")="","Template released",[3]!alvDocProperty("MXCurrent.Localized")),"Template released")</f>
        <v>Template released</v>
      </c>
      <c r="X5" s="287"/>
      <c r="Y5" s="287"/>
      <c r="Z5" s="287"/>
      <c r="AA5" s="288"/>
      <c r="AB5" s="286" t="str">
        <f ca="1" xml:space="preserve"> IFERROR(IF([3]!alvDocProperty("MXActual_state_Released")="","2022-09",[3]!alvDocProperty("MXActual_state_Released")),"2022-09")</f>
        <v>2022-09</v>
      </c>
      <c r="AC5" s="287"/>
      <c r="AD5" s="287"/>
      <c r="AE5" s="287"/>
      <c r="AF5" s="287"/>
      <c r="AG5" s="288"/>
    </row>
    <row r="6" spans="1:37" s="83" customFormat="1" ht="11.1" customHeight="1">
      <c r="A6" s="280" t="s">
        <v>6</v>
      </c>
      <c r="B6" s="281"/>
      <c r="C6" s="281"/>
      <c r="D6" s="282"/>
      <c r="E6" s="280" t="s">
        <v>7</v>
      </c>
      <c r="F6" s="281"/>
      <c r="G6" s="281"/>
      <c r="H6" s="281"/>
      <c r="I6" s="281"/>
      <c r="J6" s="281"/>
      <c r="K6" s="281"/>
      <c r="L6" s="281"/>
      <c r="M6" s="281"/>
      <c r="N6" s="281"/>
      <c r="O6" s="281"/>
      <c r="P6" s="281"/>
      <c r="Q6" s="281"/>
      <c r="R6" s="281"/>
      <c r="S6" s="281"/>
      <c r="T6" s="281"/>
      <c r="U6" s="281"/>
      <c r="V6" s="282"/>
      <c r="W6" s="283" t="s">
        <v>8</v>
      </c>
      <c r="X6" s="284"/>
      <c r="Y6" s="284"/>
      <c r="Z6" s="284"/>
      <c r="AA6" s="285"/>
      <c r="AB6" s="280" t="s">
        <v>9</v>
      </c>
      <c r="AC6" s="281"/>
      <c r="AD6" s="282"/>
      <c r="AE6" s="280" t="s">
        <v>10</v>
      </c>
      <c r="AF6" s="281"/>
      <c r="AG6" s="282"/>
    </row>
    <row r="7" spans="1:37" s="90" customFormat="1" ht="12.75" customHeight="1">
      <c r="A7" s="286" t="str">
        <f ca="1" xml:space="preserve"> IFERROR(IF([3]!alvDocProperty("MXName")="","TBD",[3]!alvDocProperty("MXName")),"TBD")</f>
        <v>TBD</v>
      </c>
      <c r="B7" s="287"/>
      <c r="C7" s="287"/>
      <c r="D7" s="288"/>
      <c r="E7" s="286" t="str">
        <f ca="1" xml:space="preserve"> IFERROR(IF([3]!alvDocProperty("MXTitle")="","CIL - Peer Review Workbook (PRWB)",[3]!alvDocProperty("MXTitle")),"CIL - Peer Review Workbook (PRWB)")</f>
        <v>CIL - Peer Review Workbook (PRWB)</v>
      </c>
      <c r="F7" s="287"/>
      <c r="G7" s="287"/>
      <c r="H7" s="287"/>
      <c r="I7" s="287"/>
      <c r="J7" s="287"/>
      <c r="K7" s="287"/>
      <c r="L7" s="287"/>
      <c r="M7" s="287"/>
      <c r="N7" s="287"/>
      <c r="O7" s="287"/>
      <c r="P7" s="287"/>
      <c r="Q7" s="287"/>
      <c r="R7" s="287"/>
      <c r="S7" s="287"/>
      <c r="T7" s="287"/>
      <c r="U7" s="287"/>
      <c r="V7" s="288"/>
      <c r="W7" s="289" t="str">
        <f ca="1" xml:space="preserve"> IFERROR(IF([3]!alvDocProperty("MXDocTemplate_Name")="","AEF1007",[3]!alvDocProperty("MXDocTemplate_Name")),"AEF1007")</f>
        <v>AEF1007</v>
      </c>
      <c r="X7" s="290"/>
      <c r="Y7" s="290"/>
      <c r="Z7" s="290"/>
      <c r="AA7" s="291"/>
      <c r="AB7" s="286" t="str">
        <f ca="1" xml:space="preserve"> IFERROR(IF([3]!alvDocProperty("MXRevision")="","TBD",[3]!alvDocProperty("MXRevision")),"TBD")</f>
        <v>TBD</v>
      </c>
      <c r="AC7" s="287"/>
      <c r="AD7" s="288"/>
      <c r="AE7" s="286" t="s">
        <v>11</v>
      </c>
      <c r="AF7" s="287"/>
      <c r="AG7" s="288"/>
    </row>
    <row r="8" spans="1:37" s="90" customFormat="1">
      <c r="A8" s="91"/>
      <c r="B8" s="91"/>
      <c r="C8" s="91"/>
      <c r="D8" s="91"/>
      <c r="E8" s="91"/>
      <c r="F8" s="91"/>
      <c r="G8" s="91"/>
      <c r="H8" s="91"/>
      <c r="I8" s="91"/>
      <c r="J8" s="91"/>
      <c r="K8" s="91"/>
      <c r="L8" s="91"/>
      <c r="M8" s="91"/>
      <c r="N8" s="91"/>
      <c r="O8" s="91"/>
      <c r="P8" s="91"/>
      <c r="Q8" s="91"/>
      <c r="R8" s="91"/>
      <c r="S8" s="91"/>
      <c r="T8" s="91"/>
      <c r="U8" s="91"/>
      <c r="V8" s="91"/>
      <c r="W8" s="92"/>
      <c r="X8" s="92"/>
      <c r="Y8" s="92"/>
      <c r="Z8" s="92"/>
      <c r="AA8" s="92"/>
      <c r="AB8" s="91"/>
      <c r="AC8" s="91"/>
      <c r="AD8" s="91"/>
      <c r="AE8" s="91"/>
      <c r="AF8" s="91"/>
      <c r="AG8" s="91"/>
    </row>
    <row r="9" spans="1:37" ht="11.1" customHeight="1">
      <c r="A9" s="253" t="s">
        <v>12</v>
      </c>
      <c r="B9" s="254"/>
      <c r="C9" s="254"/>
      <c r="D9" s="254"/>
      <c r="E9" s="254"/>
      <c r="F9" s="254"/>
      <c r="G9" s="254"/>
      <c r="H9" s="254"/>
      <c r="I9" s="254"/>
      <c r="J9" s="254"/>
      <c r="K9" s="255"/>
      <c r="L9" s="253" t="s">
        <v>2</v>
      </c>
      <c r="M9" s="254"/>
      <c r="N9" s="254"/>
      <c r="O9" s="254"/>
      <c r="P9" s="254"/>
      <c r="Q9" s="254"/>
      <c r="R9" s="254"/>
      <c r="S9" s="254"/>
      <c r="T9" s="254"/>
      <c r="U9" s="254"/>
      <c r="V9" s="255"/>
      <c r="W9" s="253" t="s">
        <v>13</v>
      </c>
      <c r="X9" s="254"/>
      <c r="Y9" s="254"/>
      <c r="Z9" s="254"/>
      <c r="AA9" s="254"/>
      <c r="AB9" s="254"/>
      <c r="AC9" s="254"/>
      <c r="AD9" s="254"/>
      <c r="AE9" s="254"/>
      <c r="AF9" s="254"/>
      <c r="AG9" s="255"/>
    </row>
    <row r="10" spans="1:37" s="94" customFormat="1" ht="39" customHeight="1">
      <c r="A10" s="256" t="s">
        <v>14</v>
      </c>
      <c r="B10" s="257"/>
      <c r="C10" s="257"/>
      <c r="D10" s="257"/>
      <c r="E10" s="257"/>
      <c r="F10" s="258" t="str">
        <f ca="1" xml:space="preserve"> IFERROR(IF([3]!alvDocProperty("MXUser")="","TBD",[3]!alvDocProperty("MXUser")),"Ardeleanu Lucian")</f>
        <v>Ardeleanu Lucian</v>
      </c>
      <c r="G10" s="258"/>
      <c r="H10" s="258"/>
      <c r="I10" s="258"/>
      <c r="J10" s="258"/>
      <c r="K10" s="259"/>
      <c r="L10" s="260" t="s">
        <v>15</v>
      </c>
      <c r="M10" s="261"/>
      <c r="N10" s="261"/>
      <c r="O10" s="261"/>
      <c r="P10" s="261"/>
      <c r="Q10" s="261"/>
      <c r="R10" s="261"/>
      <c r="S10" s="261"/>
      <c r="T10" s="261"/>
      <c r="U10" s="261"/>
      <c r="V10" s="262"/>
      <c r="W10" s="260" t="s">
        <v>15</v>
      </c>
      <c r="X10" s="261"/>
      <c r="Y10" s="261"/>
      <c r="Z10" s="261"/>
      <c r="AA10" s="261"/>
      <c r="AB10" s="261"/>
      <c r="AC10" s="261"/>
      <c r="AD10" s="261"/>
      <c r="AE10" s="261"/>
      <c r="AF10" s="261"/>
      <c r="AG10" s="262"/>
    </row>
    <row r="11" spans="1:37" s="94" customFormat="1" ht="4.5" customHeight="1">
      <c r="A11" s="95"/>
      <c r="B11" s="96"/>
      <c r="C11" s="96"/>
      <c r="D11" s="96"/>
      <c r="E11" s="96"/>
      <c r="F11" s="96"/>
      <c r="G11" s="96"/>
      <c r="H11" s="96"/>
      <c r="I11" s="96"/>
      <c r="J11" s="96"/>
      <c r="K11" s="96"/>
      <c r="L11" s="97"/>
      <c r="M11" s="96"/>
      <c r="N11" s="96"/>
      <c r="O11" s="96"/>
      <c r="P11" s="96"/>
      <c r="Q11" s="96"/>
      <c r="R11" s="96"/>
      <c r="S11" s="96"/>
      <c r="T11" s="96"/>
      <c r="U11" s="96"/>
      <c r="V11" s="96"/>
      <c r="W11" s="97"/>
      <c r="X11" s="96"/>
      <c r="Y11" s="96"/>
      <c r="Z11" s="96"/>
      <c r="AA11" s="96"/>
      <c r="AB11" s="96"/>
      <c r="AC11" s="96"/>
      <c r="AD11" s="96"/>
      <c r="AE11" s="96"/>
      <c r="AF11" s="96"/>
      <c r="AG11" s="98"/>
    </row>
    <row r="12" spans="1:37" ht="11.1" customHeight="1">
      <c r="A12" s="263" t="s">
        <v>16</v>
      </c>
      <c r="B12" s="264"/>
      <c r="C12" s="264"/>
      <c r="D12" s="264"/>
      <c r="E12" s="264"/>
      <c r="F12" s="264"/>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5"/>
    </row>
    <row r="13" spans="1:37" s="94" customFormat="1" ht="28.5" customHeight="1">
      <c r="A13" s="266" t="s">
        <v>17</v>
      </c>
      <c r="B13" s="267"/>
      <c r="C13" s="267"/>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8"/>
    </row>
    <row r="14" spans="1:37" s="94" customFormat="1" ht="4.5" customHeight="1">
      <c r="A14" s="97"/>
      <c r="B14" s="96"/>
      <c r="C14" s="96"/>
      <c r="D14" s="96"/>
      <c r="E14" s="96"/>
      <c r="F14" s="96"/>
      <c r="G14" s="96"/>
      <c r="H14" s="96"/>
      <c r="I14" s="96"/>
      <c r="J14" s="96"/>
      <c r="K14" s="96"/>
      <c r="L14" s="97"/>
      <c r="M14" s="96"/>
      <c r="N14" s="96"/>
      <c r="O14" s="96"/>
      <c r="P14" s="96"/>
      <c r="Q14" s="96"/>
      <c r="R14" s="96"/>
      <c r="S14" s="96"/>
      <c r="T14" s="96"/>
      <c r="U14" s="96"/>
      <c r="V14" s="96"/>
      <c r="W14" s="97"/>
      <c r="X14" s="96"/>
      <c r="Y14" s="96"/>
      <c r="Z14" s="96"/>
      <c r="AA14" s="96"/>
      <c r="AB14" s="96"/>
      <c r="AC14" s="96"/>
      <c r="AD14" s="96"/>
      <c r="AE14" s="96"/>
      <c r="AF14" s="96"/>
      <c r="AG14" s="96"/>
    </row>
    <row r="15" spans="1:37" ht="37.5" customHeight="1">
      <c r="A15" s="269" t="s">
        <v>18</v>
      </c>
      <c r="B15" s="269"/>
      <c r="C15" s="269"/>
      <c r="D15" s="269"/>
      <c r="E15" s="271"/>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3"/>
    </row>
    <row r="16" spans="1:37" ht="37.5" customHeight="1">
      <c r="A16" s="270"/>
      <c r="B16" s="270"/>
      <c r="C16" s="270"/>
      <c r="D16" s="270"/>
      <c r="E16" s="274"/>
      <c r="F16" s="275"/>
      <c r="G16" s="275"/>
      <c r="H16" s="275"/>
      <c r="I16" s="275"/>
      <c r="J16" s="275"/>
      <c r="K16" s="275"/>
      <c r="L16" s="275"/>
      <c r="M16" s="275"/>
      <c r="N16" s="275"/>
      <c r="O16" s="275"/>
      <c r="P16" s="275"/>
      <c r="Q16" s="275"/>
      <c r="R16" s="275"/>
      <c r="S16" s="275"/>
      <c r="T16" s="275"/>
      <c r="U16" s="275"/>
      <c r="V16" s="275"/>
      <c r="W16" s="275"/>
      <c r="X16" s="275"/>
      <c r="Y16" s="275"/>
      <c r="Z16" s="275"/>
      <c r="AA16" s="275"/>
      <c r="AB16" s="275"/>
      <c r="AC16" s="275"/>
      <c r="AD16" s="275"/>
      <c r="AE16" s="275"/>
      <c r="AF16" s="275"/>
      <c r="AG16" s="276"/>
    </row>
    <row r="17" spans="1:33">
      <c r="A17" s="99"/>
    </row>
    <row r="18" spans="1:33" ht="26.25" customHeight="1">
      <c r="A18" s="277" t="s">
        <v>19</v>
      </c>
      <c r="B18" s="278"/>
      <c r="C18" s="278"/>
      <c r="D18" s="278"/>
      <c r="E18" s="279" t="s">
        <v>20</v>
      </c>
      <c r="F18" s="279"/>
      <c r="G18" s="279"/>
      <c r="H18" s="279"/>
      <c r="I18" s="279"/>
      <c r="J18" s="279"/>
      <c r="K18" s="279"/>
      <c r="L18" s="279"/>
      <c r="M18" s="279"/>
      <c r="N18" s="279"/>
      <c r="O18" s="279"/>
      <c r="P18" s="279"/>
    </row>
    <row r="19" spans="1:33"/>
    <row r="20" spans="1:33"/>
    <row r="21" spans="1:33" ht="15.75" customHeight="1">
      <c r="Q21" s="100"/>
    </row>
    <row r="22" spans="1:33" ht="12" customHeight="1">
      <c r="Q22" s="100"/>
    </row>
    <row r="23" spans="1:33" ht="60" customHeight="1">
      <c r="A23" s="251" t="str">
        <f ca="1">MXTitle</f>
        <v>CIL - Peer Review Workbook (PRWB)</v>
      </c>
      <c r="B23" s="252"/>
      <c r="C23" s="252"/>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252"/>
      <c r="AB23" s="252"/>
      <c r="AC23" s="252"/>
      <c r="AD23" s="252"/>
      <c r="AE23" s="252"/>
      <c r="AF23" s="252"/>
      <c r="AG23" s="252"/>
    </row>
    <row r="24" spans="1:33" ht="25.5">
      <c r="Q24" s="100"/>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4" type="noConversion"/>
  <conditionalFormatting sqref="W5">
    <cfRule type="cellIs" dxfId="3443" priority="23" operator="equal">
      <formula>"draft"</formula>
    </cfRule>
  </conditionalFormatting>
  <conditionalFormatting sqref="W5:AA5">
    <cfRule type="cellIs" dxfId="3442" priority="1" operator="equal">
      <formula>"In-Work"</formula>
    </cfRule>
    <cfRule type="cellIs" dxfId="3441" priority="2" stopIfTrue="1" operator="equal">
      <formula>"draft"</formula>
    </cfRule>
    <cfRule type="cellIs" dxfId="3440" priority="3" operator="equal">
      <formula>"In-Work"</formula>
    </cfRule>
    <cfRule type="cellIs" dxfId="3439" priority="4" stopIfTrue="1" operator="equal">
      <formula>"draft"</formula>
    </cfRule>
    <cfRule type="cellIs" dxfId="3438" priority="5" operator="equal">
      <formula>"In-Work"</formula>
    </cfRule>
    <cfRule type="cellIs" dxfId="3437" priority="6" stopIfTrue="1" operator="equal">
      <formula>"draft"</formula>
    </cfRule>
    <cfRule type="cellIs" dxfId="3436" priority="7" operator="equal">
      <formula>"In-Work"</formula>
    </cfRule>
    <cfRule type="cellIs" dxfId="3435" priority="8" stopIfTrue="1" operator="equal">
      <formula>"draft"</formula>
    </cfRule>
    <cfRule type="cellIs" dxfId="3434" priority="9" operator="equal">
      <formula>"In-Work"</formula>
    </cfRule>
    <cfRule type="cellIs" dxfId="3433" priority="10" stopIfTrue="1" operator="equal">
      <formula>"draft"</formula>
    </cfRule>
    <cfRule type="cellIs" dxfId="3432" priority="11" operator="equal">
      <formula>"In-Work"</formula>
    </cfRule>
    <cfRule type="cellIs" dxfId="3431" priority="12" stopIfTrue="1" operator="equal">
      <formula>"draft"</formula>
    </cfRule>
    <cfRule type="cellIs" dxfId="3430" priority="13" operator="equal">
      <formula>"In-Work"</formula>
    </cfRule>
    <cfRule type="cellIs" dxfId="3429" priority="14" stopIfTrue="1" operator="equal">
      <formula>"draft"</formula>
    </cfRule>
    <cfRule type="cellIs" dxfId="3428" priority="15" operator="equal">
      <formula>"In-Work"</formula>
    </cfRule>
    <cfRule type="cellIs" dxfId="3427" priority="16" stopIfTrue="1" operator="equal">
      <formula>"draft"</formula>
    </cfRule>
    <cfRule type="cellIs" dxfId="3426" priority="17" operator="equal">
      <formula>"In-Work"</formula>
    </cfRule>
    <cfRule type="cellIs" dxfId="3425" priority="18" stopIfTrue="1" operator="equal">
      <formula>"draft"</formula>
    </cfRule>
    <cfRule type="cellIs" dxfId="3424" priority="19" operator="equal">
      <formula>"In-Work"</formula>
    </cfRule>
    <cfRule type="cellIs" dxfId="3423" priority="20" stopIfTrue="1" operator="equal">
      <formula>"draft"</formula>
    </cfRule>
    <cfRule type="cellIs" dxfId="3422" priority="21" operator="equal">
      <formula>"In-Work"</formula>
    </cfRule>
    <cfRule type="cellIs" dxfId="3421"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workbookViewId="0"/>
  </sheetViews>
  <sheetFormatPr defaultColWidth="9.140625" defaultRowHeight="15"/>
  <cols>
    <col min="1" max="34" width="2.85546875" style="101" customWidth="1"/>
    <col min="35" max="35" width="9.140625" style="101"/>
    <col min="36" max="36" width="22" style="101" customWidth="1"/>
    <col min="37" max="16384" width="9.140625" style="101"/>
  </cols>
  <sheetData>
    <row r="1" spans="1:34">
      <c r="A1" s="83"/>
      <c r="B1" s="83"/>
      <c r="C1" s="84"/>
      <c r="D1" s="84"/>
      <c r="E1" s="84"/>
      <c r="F1" s="84"/>
      <c r="G1" s="85"/>
      <c r="H1" s="86"/>
      <c r="I1" s="86"/>
      <c r="J1" s="86"/>
      <c r="K1" s="86"/>
      <c r="L1" s="86"/>
      <c r="M1" s="86"/>
      <c r="N1" s="86"/>
      <c r="O1" s="86"/>
      <c r="P1" s="87"/>
      <c r="Q1" s="87"/>
      <c r="R1" s="87"/>
      <c r="S1" s="87"/>
      <c r="T1" s="87"/>
      <c r="U1" s="87"/>
      <c r="V1" s="87"/>
      <c r="W1" s="87"/>
      <c r="X1" s="87"/>
      <c r="Y1" s="87"/>
      <c r="Z1" s="87"/>
      <c r="AA1" s="87"/>
      <c r="AB1" s="87"/>
      <c r="AC1" s="87"/>
      <c r="AD1" s="87"/>
      <c r="AE1" s="87"/>
      <c r="AF1" s="87"/>
      <c r="AG1" s="87"/>
      <c r="AH1" s="87"/>
    </row>
    <row r="2" spans="1:34">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row>
    <row r="3" spans="1:34">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102" t="str">
        <f>FileName</f>
        <v>CIL - Peer Review Workbook.xlsm</v>
      </c>
      <c r="AE3" s="83"/>
      <c r="AF3" s="83"/>
      <c r="AG3" s="83"/>
      <c r="AH3" s="83"/>
    </row>
    <row r="4" spans="1:34">
      <c r="A4" s="283" t="s">
        <v>1</v>
      </c>
      <c r="B4" s="284"/>
      <c r="C4" s="284"/>
      <c r="D4" s="284"/>
      <c r="E4" s="284"/>
      <c r="F4" s="284"/>
      <c r="G4" s="284"/>
      <c r="H4" s="284"/>
      <c r="I4" s="284"/>
      <c r="J4" s="284"/>
      <c r="K4" s="284"/>
      <c r="L4" s="284"/>
      <c r="M4" s="284"/>
      <c r="N4" s="284"/>
      <c r="O4" s="284"/>
      <c r="P4" s="284"/>
      <c r="Q4" s="284"/>
      <c r="R4" s="284"/>
      <c r="S4" s="284"/>
      <c r="T4" s="284"/>
      <c r="U4" s="284"/>
      <c r="V4" s="285"/>
      <c r="W4" s="322" t="s">
        <v>3</v>
      </c>
      <c r="X4" s="323"/>
      <c r="Y4" s="323"/>
      <c r="Z4" s="323"/>
      <c r="AA4" s="324"/>
      <c r="AB4" s="283" t="s">
        <v>4</v>
      </c>
      <c r="AC4" s="284"/>
      <c r="AD4" s="284"/>
      <c r="AE4" s="284"/>
      <c r="AF4" s="284"/>
      <c r="AG4" s="285"/>
      <c r="AH4" s="89"/>
    </row>
    <row r="5" spans="1:34">
      <c r="A5" s="289" t="s">
        <v>21</v>
      </c>
      <c r="B5" s="290"/>
      <c r="C5" s="290"/>
      <c r="D5" s="290"/>
      <c r="E5" s="290"/>
      <c r="F5" s="290"/>
      <c r="G5" s="290"/>
      <c r="H5" s="290"/>
      <c r="I5" s="290"/>
      <c r="J5" s="290"/>
      <c r="K5" s="290"/>
      <c r="L5" s="290"/>
      <c r="M5" s="290"/>
      <c r="N5" s="290"/>
      <c r="O5" s="290"/>
      <c r="P5" s="290"/>
      <c r="Q5" s="290"/>
      <c r="R5" s="290"/>
      <c r="S5" s="290"/>
      <c r="T5" s="290"/>
      <c r="U5" s="290"/>
      <c r="V5" s="291"/>
      <c r="W5" s="325" t="s">
        <v>22</v>
      </c>
      <c r="X5" s="326"/>
      <c r="Y5" s="326"/>
      <c r="Z5" s="326"/>
      <c r="AA5" s="327"/>
      <c r="AB5" s="289" t="s">
        <v>23</v>
      </c>
      <c r="AC5" s="290"/>
      <c r="AD5" s="290"/>
      <c r="AE5" s="290"/>
      <c r="AF5" s="290"/>
      <c r="AG5" s="291"/>
      <c r="AH5" s="90"/>
    </row>
    <row r="6" spans="1:34">
      <c r="A6" s="314" t="s">
        <v>6</v>
      </c>
      <c r="B6" s="315"/>
      <c r="C6" s="315"/>
      <c r="D6" s="316"/>
      <c r="E6" s="314" t="s">
        <v>7</v>
      </c>
      <c r="F6" s="315"/>
      <c r="G6" s="315"/>
      <c r="H6" s="315"/>
      <c r="I6" s="315"/>
      <c r="J6" s="315"/>
      <c r="K6" s="315"/>
      <c r="L6" s="315"/>
      <c r="M6" s="315"/>
      <c r="N6" s="315"/>
      <c r="O6" s="315"/>
      <c r="P6" s="315"/>
      <c r="Q6" s="315"/>
      <c r="R6" s="315"/>
      <c r="S6" s="315"/>
      <c r="T6" s="315"/>
      <c r="U6" s="315"/>
      <c r="V6" s="316"/>
      <c r="W6" s="283" t="s">
        <v>8</v>
      </c>
      <c r="X6" s="284"/>
      <c r="Y6" s="284"/>
      <c r="Z6" s="284"/>
      <c r="AA6" s="285"/>
      <c r="AB6" s="322" t="s">
        <v>9</v>
      </c>
      <c r="AC6" s="323"/>
      <c r="AD6" s="324"/>
      <c r="AE6" s="322" t="s">
        <v>10</v>
      </c>
      <c r="AF6" s="323"/>
      <c r="AG6" s="324"/>
      <c r="AH6" s="83"/>
    </row>
    <row r="7" spans="1:34">
      <c r="A7" s="325" t="s">
        <v>24</v>
      </c>
      <c r="B7" s="326"/>
      <c r="C7" s="326"/>
      <c r="D7" s="327"/>
      <c r="E7" s="325" t="s">
        <v>25</v>
      </c>
      <c r="F7" s="326"/>
      <c r="G7" s="326"/>
      <c r="H7" s="326"/>
      <c r="I7" s="326"/>
      <c r="J7" s="326"/>
      <c r="K7" s="326"/>
      <c r="L7" s="326"/>
      <c r="M7" s="326"/>
      <c r="N7" s="326"/>
      <c r="O7" s="326"/>
      <c r="P7" s="326"/>
      <c r="Q7" s="326"/>
      <c r="R7" s="326"/>
      <c r="S7" s="326"/>
      <c r="T7" s="326"/>
      <c r="U7" s="326"/>
      <c r="V7" s="327"/>
      <c r="W7" s="325" t="str">
        <f ca="1">TemplateRef</f>
        <v>AEF1007</v>
      </c>
      <c r="X7" s="326"/>
      <c r="Y7" s="326"/>
      <c r="Z7" s="326"/>
      <c r="AA7" s="327"/>
      <c r="AB7" s="325" t="s">
        <v>26</v>
      </c>
      <c r="AC7" s="326"/>
      <c r="AD7" s="327"/>
      <c r="AE7" s="325" t="s">
        <v>26</v>
      </c>
      <c r="AF7" s="326"/>
      <c r="AG7" s="327"/>
      <c r="AH7" s="90"/>
    </row>
    <row r="8" spans="1:34">
      <c r="A8" s="314" t="s">
        <v>27</v>
      </c>
      <c r="B8" s="315"/>
      <c r="C8" s="315"/>
      <c r="D8" s="315"/>
      <c r="E8" s="315"/>
      <c r="F8" s="315"/>
      <c r="G8" s="315"/>
      <c r="H8" s="315"/>
      <c r="I8" s="315"/>
      <c r="J8" s="315"/>
      <c r="K8" s="315"/>
      <c r="L8" s="315"/>
      <c r="M8" s="315"/>
      <c r="N8" s="315"/>
      <c r="O8" s="315"/>
      <c r="P8" s="315"/>
      <c r="Q8" s="315"/>
      <c r="R8" s="315"/>
      <c r="S8" s="315"/>
      <c r="T8" s="315"/>
      <c r="U8" s="315"/>
      <c r="V8" s="315"/>
      <c r="W8" s="315"/>
      <c r="X8" s="315"/>
      <c r="Y8" s="315"/>
      <c r="Z8" s="315"/>
      <c r="AA8" s="315"/>
      <c r="AB8" s="315"/>
      <c r="AC8" s="315"/>
      <c r="AD8" s="315"/>
      <c r="AE8" s="315"/>
      <c r="AF8" s="315"/>
      <c r="AG8" s="316"/>
      <c r="AH8" s="93"/>
    </row>
    <row r="9" spans="1:34">
      <c r="A9" s="317" t="s">
        <v>28</v>
      </c>
      <c r="B9" s="318"/>
      <c r="C9" s="318"/>
      <c r="D9" s="318"/>
      <c r="E9" s="318"/>
      <c r="F9" s="318"/>
      <c r="G9" s="318"/>
      <c r="H9" s="318"/>
      <c r="I9" s="318"/>
      <c r="J9" s="318"/>
      <c r="K9" s="318"/>
      <c r="L9" s="318"/>
      <c r="M9" s="318"/>
      <c r="N9" s="318"/>
      <c r="O9" s="318"/>
      <c r="P9" s="318"/>
      <c r="Q9" s="318"/>
      <c r="R9" s="318"/>
      <c r="S9" s="318"/>
      <c r="T9" s="318"/>
      <c r="U9" s="318"/>
      <c r="V9" s="318"/>
      <c r="W9" s="318"/>
      <c r="X9" s="318"/>
      <c r="Y9" s="318"/>
      <c r="Z9" s="318"/>
      <c r="AA9" s="318"/>
      <c r="AB9" s="318"/>
      <c r="AC9" s="318"/>
      <c r="AD9" s="318"/>
      <c r="AE9" s="318"/>
      <c r="AF9" s="318"/>
      <c r="AG9" s="319"/>
      <c r="AH9" s="93"/>
    </row>
    <row r="10" spans="1:34">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93"/>
    </row>
    <row r="11" spans="1:34">
      <c r="A11" s="93"/>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row>
    <row r="12" spans="1:34" ht="26.25">
      <c r="A12" s="93"/>
      <c r="B12" s="103" t="s">
        <v>29</v>
      </c>
      <c r="C12" s="104"/>
      <c r="D12" s="104"/>
      <c r="E12" s="10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93"/>
      <c r="AH12" s="93"/>
    </row>
    <row r="13" spans="1:34">
      <c r="A13" s="93"/>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93"/>
      <c r="AG13" s="93"/>
      <c r="AH13" s="93"/>
    </row>
    <row r="14" spans="1:34" ht="20.25">
      <c r="A14" s="93"/>
      <c r="B14" s="105" t="s">
        <v>30</v>
      </c>
      <c r="C14" s="106"/>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row>
    <row r="15" spans="1:34">
      <c r="A15" s="93"/>
      <c r="B15" s="302" t="s">
        <v>31</v>
      </c>
      <c r="C15" s="320"/>
      <c r="D15" s="320"/>
      <c r="E15" s="320"/>
      <c r="F15" s="320"/>
      <c r="G15" s="302" t="s">
        <v>32</v>
      </c>
      <c r="H15" s="302"/>
      <c r="I15" s="302"/>
      <c r="J15" s="302"/>
      <c r="K15" s="302"/>
      <c r="L15" s="302"/>
      <c r="M15" s="302"/>
      <c r="N15" s="302"/>
      <c r="O15" s="302"/>
      <c r="P15" s="302"/>
      <c r="Q15" s="302"/>
      <c r="R15" s="302"/>
      <c r="S15" s="302"/>
      <c r="T15" s="302"/>
      <c r="U15" s="302"/>
      <c r="V15" s="302"/>
      <c r="W15" s="302"/>
      <c r="X15" s="302"/>
      <c r="Y15" s="302"/>
      <c r="Z15" s="302"/>
      <c r="AA15" s="302"/>
      <c r="AB15" s="302"/>
      <c r="AC15" s="302"/>
      <c r="AD15" s="302"/>
      <c r="AE15" s="302"/>
      <c r="AF15" s="302"/>
      <c r="AG15" s="93"/>
      <c r="AH15" s="93"/>
    </row>
    <row r="16" spans="1:34" ht="55.5" customHeight="1">
      <c r="A16" s="93"/>
      <c r="B16" s="321" t="s">
        <v>33</v>
      </c>
      <c r="C16" s="321"/>
      <c r="D16" s="321"/>
      <c r="E16" s="321"/>
      <c r="F16" s="321"/>
      <c r="G16" s="299" t="s">
        <v>34</v>
      </c>
      <c r="H16" s="299"/>
      <c r="I16" s="299"/>
      <c r="J16" s="299"/>
      <c r="K16" s="299"/>
      <c r="L16" s="299"/>
      <c r="M16" s="299"/>
      <c r="N16" s="299"/>
      <c r="O16" s="299"/>
      <c r="P16" s="299"/>
      <c r="Q16" s="299"/>
      <c r="R16" s="299"/>
      <c r="S16" s="299"/>
      <c r="T16" s="299"/>
      <c r="U16" s="299"/>
      <c r="V16" s="299"/>
      <c r="W16" s="299"/>
      <c r="X16" s="299"/>
      <c r="Y16" s="299"/>
      <c r="Z16" s="299"/>
      <c r="AA16" s="299"/>
      <c r="AB16" s="299"/>
      <c r="AC16" s="299"/>
      <c r="AD16" s="299"/>
      <c r="AE16" s="299"/>
      <c r="AF16" s="299"/>
      <c r="AG16" s="93"/>
      <c r="AH16" s="93"/>
    </row>
    <row r="17" spans="1:34">
      <c r="A17" s="93"/>
      <c r="B17" s="321" t="s">
        <v>35</v>
      </c>
      <c r="C17" s="321"/>
      <c r="D17" s="321"/>
      <c r="E17" s="321"/>
      <c r="F17" s="321"/>
      <c r="G17" s="299" t="s">
        <v>36</v>
      </c>
      <c r="H17" s="299"/>
      <c r="I17" s="299"/>
      <c r="J17" s="299"/>
      <c r="K17" s="299"/>
      <c r="L17" s="299"/>
      <c r="M17" s="299"/>
      <c r="N17" s="299"/>
      <c r="O17" s="299"/>
      <c r="P17" s="299"/>
      <c r="Q17" s="299"/>
      <c r="R17" s="299"/>
      <c r="S17" s="299"/>
      <c r="T17" s="299"/>
      <c r="U17" s="299"/>
      <c r="V17" s="299"/>
      <c r="W17" s="299"/>
      <c r="X17" s="299"/>
      <c r="Y17" s="299"/>
      <c r="Z17" s="299"/>
      <c r="AA17" s="299"/>
      <c r="AB17" s="299"/>
      <c r="AC17" s="299"/>
      <c r="AD17" s="299"/>
      <c r="AE17" s="299"/>
      <c r="AF17" s="299"/>
      <c r="AG17" s="93"/>
      <c r="AH17" s="93"/>
    </row>
    <row r="18" spans="1:34" ht="15" customHeight="1">
      <c r="A18" s="93"/>
      <c r="B18" s="321" t="s">
        <v>37</v>
      </c>
      <c r="C18" s="321"/>
      <c r="D18" s="321"/>
      <c r="E18" s="321"/>
      <c r="F18" s="321"/>
      <c r="G18" s="299" t="s">
        <v>38</v>
      </c>
      <c r="H18" s="299"/>
      <c r="I18" s="299"/>
      <c r="J18" s="299"/>
      <c r="K18" s="299"/>
      <c r="L18" s="299"/>
      <c r="M18" s="299"/>
      <c r="N18" s="299"/>
      <c r="O18" s="299"/>
      <c r="P18" s="299"/>
      <c r="Q18" s="299"/>
      <c r="R18" s="299"/>
      <c r="S18" s="299"/>
      <c r="T18" s="299"/>
      <c r="U18" s="299"/>
      <c r="V18" s="299"/>
      <c r="W18" s="299"/>
      <c r="X18" s="299"/>
      <c r="Y18" s="299"/>
      <c r="Z18" s="299"/>
      <c r="AA18" s="299"/>
      <c r="AB18" s="299"/>
      <c r="AC18" s="299"/>
      <c r="AD18" s="299"/>
      <c r="AE18" s="299"/>
      <c r="AF18" s="299"/>
      <c r="AG18" s="93"/>
      <c r="AH18" s="93"/>
    </row>
    <row r="19" spans="1:34" ht="24" customHeight="1">
      <c r="A19" s="93"/>
      <c r="B19" s="311" t="s">
        <v>39</v>
      </c>
      <c r="C19" s="311"/>
      <c r="D19" s="311"/>
      <c r="E19" s="311"/>
      <c r="F19" s="311"/>
      <c r="G19" s="299" t="s">
        <v>38</v>
      </c>
      <c r="H19" s="299"/>
      <c r="I19" s="299"/>
      <c r="J19" s="299"/>
      <c r="K19" s="299"/>
      <c r="L19" s="299"/>
      <c r="M19" s="299"/>
      <c r="N19" s="299"/>
      <c r="O19" s="299"/>
      <c r="P19" s="299"/>
      <c r="Q19" s="299"/>
      <c r="R19" s="299"/>
      <c r="S19" s="299"/>
      <c r="T19" s="299"/>
      <c r="U19" s="299"/>
      <c r="V19" s="299"/>
      <c r="W19" s="299"/>
      <c r="X19" s="299"/>
      <c r="Y19" s="299"/>
      <c r="Z19" s="299"/>
      <c r="AA19" s="299"/>
      <c r="AB19" s="299"/>
      <c r="AC19" s="299"/>
      <c r="AD19" s="299"/>
      <c r="AE19" s="299"/>
      <c r="AF19" s="299"/>
      <c r="AG19" s="93"/>
      <c r="AH19" s="93"/>
    </row>
    <row r="20" spans="1:34">
      <c r="A20" s="93"/>
      <c r="B20" s="328" t="s">
        <v>40</v>
      </c>
      <c r="C20" s="328"/>
      <c r="D20" s="328"/>
      <c r="E20" s="328"/>
      <c r="F20" s="328"/>
      <c r="G20" s="299" t="s">
        <v>38</v>
      </c>
      <c r="H20" s="299"/>
      <c r="I20" s="299"/>
      <c r="J20" s="299"/>
      <c r="K20" s="299"/>
      <c r="L20" s="299"/>
      <c r="M20" s="299"/>
      <c r="N20" s="299"/>
      <c r="O20" s="299"/>
      <c r="P20" s="299"/>
      <c r="Q20" s="299"/>
      <c r="R20" s="299"/>
      <c r="S20" s="299"/>
      <c r="T20" s="299"/>
      <c r="U20" s="299"/>
      <c r="V20" s="299"/>
      <c r="W20" s="299"/>
      <c r="X20" s="299"/>
      <c r="Y20" s="299"/>
      <c r="Z20" s="299"/>
      <c r="AA20" s="299"/>
      <c r="AB20" s="299"/>
      <c r="AC20" s="299"/>
      <c r="AD20" s="299"/>
      <c r="AE20" s="299"/>
      <c r="AF20" s="299"/>
      <c r="AG20" s="93"/>
      <c r="AH20" s="93"/>
    </row>
    <row r="21" spans="1:34" ht="35.25" customHeight="1">
      <c r="A21" s="93"/>
      <c r="B21" s="312" t="s">
        <v>41</v>
      </c>
      <c r="C21" s="312"/>
      <c r="D21" s="312"/>
      <c r="E21" s="312"/>
      <c r="F21" s="312"/>
      <c r="G21" s="299" t="s">
        <v>42</v>
      </c>
      <c r="H21" s="299"/>
      <c r="I21" s="299"/>
      <c r="J21" s="299"/>
      <c r="K21" s="299"/>
      <c r="L21" s="299"/>
      <c r="M21" s="299"/>
      <c r="N21" s="299"/>
      <c r="O21" s="299"/>
      <c r="P21" s="299"/>
      <c r="Q21" s="299"/>
      <c r="R21" s="299"/>
      <c r="S21" s="299"/>
      <c r="T21" s="299"/>
      <c r="U21" s="299"/>
      <c r="V21" s="299"/>
      <c r="W21" s="299"/>
      <c r="X21" s="299"/>
      <c r="Y21" s="299"/>
      <c r="Z21" s="299"/>
      <c r="AA21" s="299"/>
      <c r="AB21" s="299"/>
      <c r="AC21" s="299"/>
      <c r="AD21" s="299"/>
      <c r="AE21" s="299"/>
      <c r="AF21" s="299"/>
      <c r="AG21" s="93"/>
      <c r="AH21" s="93"/>
    </row>
    <row r="22" spans="1:34" ht="28.5" customHeight="1">
      <c r="A22" s="93"/>
      <c r="B22" s="312" t="s">
        <v>43</v>
      </c>
      <c r="C22" s="312"/>
      <c r="D22" s="312"/>
      <c r="E22" s="312"/>
      <c r="F22" s="312"/>
      <c r="G22" s="299" t="s">
        <v>44</v>
      </c>
      <c r="H22" s="299"/>
      <c r="I22" s="299"/>
      <c r="J22" s="299"/>
      <c r="K22" s="299"/>
      <c r="L22" s="299"/>
      <c r="M22" s="299"/>
      <c r="N22" s="299"/>
      <c r="O22" s="299"/>
      <c r="P22" s="299"/>
      <c r="Q22" s="299"/>
      <c r="R22" s="299"/>
      <c r="S22" s="299"/>
      <c r="T22" s="299"/>
      <c r="U22" s="299"/>
      <c r="V22" s="299"/>
      <c r="W22" s="299"/>
      <c r="X22" s="299"/>
      <c r="Y22" s="299"/>
      <c r="Z22" s="299"/>
      <c r="AA22" s="299"/>
      <c r="AB22" s="299"/>
      <c r="AC22" s="299"/>
      <c r="AD22" s="299"/>
      <c r="AE22" s="299"/>
      <c r="AF22" s="299"/>
      <c r="AG22" s="93"/>
      <c r="AH22" s="93"/>
    </row>
    <row r="23" spans="1:34" ht="22.5" customHeight="1">
      <c r="A23" s="93"/>
      <c r="B23" s="312" t="s">
        <v>45</v>
      </c>
      <c r="C23" s="312"/>
      <c r="D23" s="312"/>
      <c r="E23" s="312"/>
      <c r="F23" s="312"/>
      <c r="G23" s="299" t="s">
        <v>46</v>
      </c>
      <c r="H23" s="299"/>
      <c r="I23" s="299"/>
      <c r="J23" s="299"/>
      <c r="K23" s="299"/>
      <c r="L23" s="299"/>
      <c r="M23" s="299"/>
      <c r="N23" s="299"/>
      <c r="O23" s="299"/>
      <c r="P23" s="299"/>
      <c r="Q23" s="299"/>
      <c r="R23" s="299"/>
      <c r="S23" s="299"/>
      <c r="T23" s="299"/>
      <c r="U23" s="299"/>
      <c r="V23" s="299"/>
      <c r="W23" s="299"/>
      <c r="X23" s="299"/>
      <c r="Y23" s="299"/>
      <c r="Z23" s="299"/>
      <c r="AA23" s="299"/>
      <c r="AB23" s="299"/>
      <c r="AC23" s="299"/>
      <c r="AD23" s="299"/>
      <c r="AE23" s="299"/>
      <c r="AF23" s="299"/>
      <c r="AG23" s="93"/>
      <c r="AH23" s="93"/>
    </row>
    <row r="24" spans="1:34" ht="45" customHeight="1">
      <c r="A24" s="93"/>
      <c r="B24" s="313" t="s">
        <v>47</v>
      </c>
      <c r="C24" s="313"/>
      <c r="D24" s="313"/>
      <c r="E24" s="313"/>
      <c r="F24" s="313"/>
      <c r="G24" s="299" t="s">
        <v>48</v>
      </c>
      <c r="H24" s="299"/>
      <c r="I24" s="299"/>
      <c r="J24" s="299"/>
      <c r="K24" s="299"/>
      <c r="L24" s="299"/>
      <c r="M24" s="299"/>
      <c r="N24" s="299"/>
      <c r="O24" s="299"/>
      <c r="P24" s="299"/>
      <c r="Q24" s="299"/>
      <c r="R24" s="299"/>
      <c r="S24" s="299"/>
      <c r="T24" s="299"/>
      <c r="U24" s="299"/>
      <c r="V24" s="299"/>
      <c r="W24" s="299"/>
      <c r="X24" s="299"/>
      <c r="Y24" s="299"/>
      <c r="Z24" s="299"/>
      <c r="AA24" s="299"/>
      <c r="AB24" s="299"/>
      <c r="AC24" s="299"/>
      <c r="AD24" s="299"/>
      <c r="AE24" s="299"/>
      <c r="AF24" s="299"/>
      <c r="AG24" s="93"/>
      <c r="AH24" s="93"/>
    </row>
    <row r="25" spans="1:34">
      <c r="A25" s="93"/>
      <c r="B25" s="93"/>
      <c r="C25" s="107"/>
      <c r="D25" s="93"/>
      <c r="E25" s="93"/>
      <c r="F25" s="93"/>
      <c r="G25" s="93"/>
      <c r="H25" s="93"/>
      <c r="I25" s="108"/>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93"/>
    </row>
    <row r="26" spans="1:34" ht="20.25">
      <c r="A26" s="105"/>
      <c r="B26" s="105" t="s">
        <v>49</v>
      </c>
      <c r="C26" s="107"/>
      <c r="D26" s="93"/>
      <c r="E26" s="93"/>
      <c r="F26" s="93"/>
      <c r="G26" s="93"/>
      <c r="H26" s="93"/>
      <c r="I26" s="108"/>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93"/>
    </row>
    <row r="27" spans="1:34">
      <c r="A27" s="93"/>
      <c r="B27" s="302" t="s">
        <v>9</v>
      </c>
      <c r="C27" s="304"/>
      <c r="D27" s="304"/>
      <c r="E27" s="302" t="s">
        <v>50</v>
      </c>
      <c r="F27" s="302"/>
      <c r="G27" s="302"/>
      <c r="H27" s="302"/>
      <c r="I27" s="302" t="s">
        <v>51</v>
      </c>
      <c r="J27" s="304"/>
      <c r="K27" s="304"/>
      <c r="L27" s="304"/>
      <c r="M27" s="304"/>
      <c r="N27" s="304"/>
      <c r="O27" s="304"/>
      <c r="P27" s="304"/>
      <c r="Q27" s="304"/>
      <c r="R27" s="302" t="s">
        <v>52</v>
      </c>
      <c r="S27" s="302"/>
      <c r="T27" s="302"/>
      <c r="U27" s="302"/>
      <c r="V27" s="302"/>
      <c r="W27" s="302"/>
      <c r="X27" s="302"/>
      <c r="Y27" s="302"/>
      <c r="Z27" s="302"/>
      <c r="AA27" s="302"/>
      <c r="AB27" s="302"/>
      <c r="AC27" s="302"/>
      <c r="AD27" s="302"/>
      <c r="AE27" s="302"/>
      <c r="AF27" s="302"/>
      <c r="AG27" s="93"/>
      <c r="AH27" s="93"/>
    </row>
    <row r="28" spans="1:34" ht="40.5" customHeight="1">
      <c r="A28" s="93"/>
      <c r="B28" s="292" t="s">
        <v>53</v>
      </c>
      <c r="C28" s="293" t="s">
        <v>54</v>
      </c>
      <c r="D28" s="294" t="s">
        <v>54</v>
      </c>
      <c r="E28" s="305"/>
      <c r="F28" s="306"/>
      <c r="G28" s="306"/>
      <c r="H28" s="307"/>
      <c r="I28" s="299"/>
      <c r="J28" s="308"/>
      <c r="K28" s="308"/>
      <c r="L28" s="308"/>
      <c r="M28" s="308"/>
      <c r="N28" s="308"/>
      <c r="O28" s="308"/>
      <c r="P28" s="308"/>
      <c r="Q28" s="308"/>
      <c r="R28" s="299" t="s">
        <v>55</v>
      </c>
      <c r="S28" s="299" t="s">
        <v>55</v>
      </c>
      <c r="T28" s="299" t="s">
        <v>55</v>
      </c>
      <c r="U28" s="299" t="s">
        <v>55</v>
      </c>
      <c r="V28" s="299" t="s">
        <v>55</v>
      </c>
      <c r="W28" s="299" t="s">
        <v>55</v>
      </c>
      <c r="X28" s="299" t="s">
        <v>55</v>
      </c>
      <c r="Y28" s="299" t="s">
        <v>55</v>
      </c>
      <c r="Z28" s="299" t="s">
        <v>55</v>
      </c>
      <c r="AA28" s="299" t="s">
        <v>55</v>
      </c>
      <c r="AB28" s="299" t="s">
        <v>55</v>
      </c>
      <c r="AC28" s="299" t="s">
        <v>55</v>
      </c>
      <c r="AD28" s="299" t="s">
        <v>55</v>
      </c>
      <c r="AE28" s="299" t="s">
        <v>55</v>
      </c>
      <c r="AF28" s="299" t="s">
        <v>55</v>
      </c>
      <c r="AG28" s="93"/>
      <c r="AH28" s="93"/>
    </row>
    <row r="29" spans="1:34" ht="60" customHeight="1">
      <c r="A29" s="93"/>
      <c r="B29" s="292" t="s">
        <v>56</v>
      </c>
      <c r="C29" s="293" t="s">
        <v>56</v>
      </c>
      <c r="D29" s="294" t="s">
        <v>56</v>
      </c>
      <c r="E29" s="305">
        <v>40591.490486111114</v>
      </c>
      <c r="F29" s="306">
        <v>40591.490486111114</v>
      </c>
      <c r="G29" s="306">
        <v>40591.490486111114</v>
      </c>
      <c r="H29" s="307">
        <v>40591.490486111114</v>
      </c>
      <c r="I29" s="299" t="s">
        <v>57</v>
      </c>
      <c r="J29" s="308" t="s">
        <v>57</v>
      </c>
      <c r="K29" s="308" t="s">
        <v>57</v>
      </c>
      <c r="L29" s="308" t="s">
        <v>57</v>
      </c>
      <c r="M29" s="308" t="s">
        <v>57</v>
      </c>
      <c r="N29" s="308" t="s">
        <v>57</v>
      </c>
      <c r="O29" s="308" t="s">
        <v>57</v>
      </c>
      <c r="P29" s="308" t="s">
        <v>57</v>
      </c>
      <c r="Q29" s="308" t="s">
        <v>57</v>
      </c>
      <c r="R29" s="299" t="s">
        <v>58</v>
      </c>
      <c r="S29" s="299" t="s">
        <v>58</v>
      </c>
      <c r="T29" s="299" t="s">
        <v>58</v>
      </c>
      <c r="U29" s="299" t="s">
        <v>58</v>
      </c>
      <c r="V29" s="299" t="s">
        <v>58</v>
      </c>
      <c r="W29" s="299" t="s">
        <v>58</v>
      </c>
      <c r="X29" s="299" t="s">
        <v>58</v>
      </c>
      <c r="Y29" s="299" t="s">
        <v>58</v>
      </c>
      <c r="Z29" s="299" t="s">
        <v>58</v>
      </c>
      <c r="AA29" s="299" t="s">
        <v>58</v>
      </c>
      <c r="AB29" s="299" t="s">
        <v>58</v>
      </c>
      <c r="AC29" s="299" t="s">
        <v>58</v>
      </c>
      <c r="AD29" s="299" t="s">
        <v>58</v>
      </c>
      <c r="AE29" s="299" t="s">
        <v>58</v>
      </c>
      <c r="AF29" s="299" t="s">
        <v>58</v>
      </c>
      <c r="AG29" s="93"/>
      <c r="AH29" s="93"/>
    </row>
    <row r="30" spans="1:34" ht="291" customHeight="1">
      <c r="A30" s="93"/>
      <c r="B30" s="292" t="s">
        <v>59</v>
      </c>
      <c r="C30" s="293" t="s">
        <v>59</v>
      </c>
      <c r="D30" s="294" t="s">
        <v>59</v>
      </c>
      <c r="E30" s="305">
        <v>41071.656145833331</v>
      </c>
      <c r="F30" s="306">
        <v>41071.656145833331</v>
      </c>
      <c r="G30" s="306">
        <v>41071.656145833331</v>
      </c>
      <c r="H30" s="307">
        <v>41071.656145833331</v>
      </c>
      <c r="I30" s="299" t="s">
        <v>57</v>
      </c>
      <c r="J30" s="308" t="s">
        <v>57</v>
      </c>
      <c r="K30" s="308" t="s">
        <v>57</v>
      </c>
      <c r="L30" s="308" t="s">
        <v>57</v>
      </c>
      <c r="M30" s="308" t="s">
        <v>57</v>
      </c>
      <c r="N30" s="308" t="s">
        <v>57</v>
      </c>
      <c r="O30" s="308" t="s">
        <v>57</v>
      </c>
      <c r="P30" s="308" t="s">
        <v>57</v>
      </c>
      <c r="Q30" s="308" t="s">
        <v>57</v>
      </c>
      <c r="R30" s="299" t="s">
        <v>60</v>
      </c>
      <c r="S30" s="299" t="s">
        <v>60</v>
      </c>
      <c r="T30" s="299" t="s">
        <v>60</v>
      </c>
      <c r="U30" s="299" t="s">
        <v>60</v>
      </c>
      <c r="V30" s="299" t="s">
        <v>60</v>
      </c>
      <c r="W30" s="299" t="s">
        <v>60</v>
      </c>
      <c r="X30" s="299" t="s">
        <v>60</v>
      </c>
      <c r="Y30" s="299" t="s">
        <v>60</v>
      </c>
      <c r="Z30" s="299" t="s">
        <v>60</v>
      </c>
      <c r="AA30" s="299" t="s">
        <v>60</v>
      </c>
      <c r="AB30" s="299" t="s">
        <v>60</v>
      </c>
      <c r="AC30" s="299" t="s">
        <v>60</v>
      </c>
      <c r="AD30" s="299" t="s">
        <v>60</v>
      </c>
      <c r="AE30" s="299" t="s">
        <v>60</v>
      </c>
      <c r="AF30" s="299" t="s">
        <v>60</v>
      </c>
      <c r="AG30" s="93"/>
      <c r="AH30" s="93"/>
    </row>
    <row r="31" spans="1:34" ht="40.5" customHeight="1">
      <c r="A31" s="93"/>
      <c r="B31" s="292" t="s">
        <v>61</v>
      </c>
      <c r="C31" s="293" t="s">
        <v>61</v>
      </c>
      <c r="D31" s="294" t="s">
        <v>61</v>
      </c>
      <c r="E31" s="305">
        <v>41071.656145833331</v>
      </c>
      <c r="F31" s="306">
        <v>41071.656145833331</v>
      </c>
      <c r="G31" s="306">
        <v>41071.656145833331</v>
      </c>
      <c r="H31" s="307">
        <v>41071.656145833331</v>
      </c>
      <c r="I31" s="299" t="s">
        <v>62</v>
      </c>
      <c r="J31" s="308" t="s">
        <v>62</v>
      </c>
      <c r="K31" s="308" t="s">
        <v>62</v>
      </c>
      <c r="L31" s="308" t="s">
        <v>62</v>
      </c>
      <c r="M31" s="308" t="s">
        <v>62</v>
      </c>
      <c r="N31" s="308" t="s">
        <v>62</v>
      </c>
      <c r="O31" s="308" t="s">
        <v>62</v>
      </c>
      <c r="P31" s="308" t="s">
        <v>62</v>
      </c>
      <c r="Q31" s="308" t="s">
        <v>62</v>
      </c>
      <c r="R31" s="299" t="s">
        <v>63</v>
      </c>
      <c r="S31" s="299" t="s">
        <v>63</v>
      </c>
      <c r="T31" s="299" t="s">
        <v>63</v>
      </c>
      <c r="U31" s="299" t="s">
        <v>63</v>
      </c>
      <c r="V31" s="299" t="s">
        <v>63</v>
      </c>
      <c r="W31" s="299" t="s">
        <v>63</v>
      </c>
      <c r="X31" s="299" t="s">
        <v>63</v>
      </c>
      <c r="Y31" s="299" t="s">
        <v>63</v>
      </c>
      <c r="Z31" s="299" t="s">
        <v>63</v>
      </c>
      <c r="AA31" s="299" t="s">
        <v>63</v>
      </c>
      <c r="AB31" s="299" t="s">
        <v>63</v>
      </c>
      <c r="AC31" s="299" t="s">
        <v>63</v>
      </c>
      <c r="AD31" s="299" t="s">
        <v>63</v>
      </c>
      <c r="AE31" s="299" t="s">
        <v>63</v>
      </c>
      <c r="AF31" s="299" t="s">
        <v>63</v>
      </c>
      <c r="AG31" s="93"/>
      <c r="AH31" s="93"/>
    </row>
    <row r="32" spans="1:34" ht="121.5" customHeight="1">
      <c r="A32" s="93"/>
      <c r="B32" s="292"/>
      <c r="C32" s="293"/>
      <c r="D32" s="294"/>
      <c r="E32" s="305">
        <v>42195</v>
      </c>
      <c r="F32" s="306">
        <v>42195</v>
      </c>
      <c r="G32" s="306">
        <v>42195</v>
      </c>
      <c r="H32" s="307">
        <v>42195</v>
      </c>
      <c r="I32" s="299" t="s">
        <v>64</v>
      </c>
      <c r="J32" s="308" t="s">
        <v>64</v>
      </c>
      <c r="K32" s="308" t="s">
        <v>64</v>
      </c>
      <c r="L32" s="308" t="s">
        <v>64</v>
      </c>
      <c r="M32" s="308" t="s">
        <v>64</v>
      </c>
      <c r="N32" s="308" t="s">
        <v>64</v>
      </c>
      <c r="O32" s="308" t="s">
        <v>64</v>
      </c>
      <c r="P32" s="308" t="s">
        <v>64</v>
      </c>
      <c r="Q32" s="308" t="s">
        <v>64</v>
      </c>
      <c r="R32" s="299" t="s">
        <v>65</v>
      </c>
      <c r="S32" s="299" t="s">
        <v>65</v>
      </c>
      <c r="T32" s="299" t="s">
        <v>65</v>
      </c>
      <c r="U32" s="299" t="s">
        <v>65</v>
      </c>
      <c r="V32" s="299" t="s">
        <v>65</v>
      </c>
      <c r="W32" s="299" t="s">
        <v>65</v>
      </c>
      <c r="X32" s="299" t="s">
        <v>65</v>
      </c>
      <c r="Y32" s="299" t="s">
        <v>65</v>
      </c>
      <c r="Z32" s="299" t="s">
        <v>65</v>
      </c>
      <c r="AA32" s="299" t="s">
        <v>65</v>
      </c>
      <c r="AB32" s="299" t="s">
        <v>65</v>
      </c>
      <c r="AC32" s="299" t="s">
        <v>65</v>
      </c>
      <c r="AD32" s="299" t="s">
        <v>65</v>
      </c>
      <c r="AE32" s="299" t="s">
        <v>65</v>
      </c>
      <c r="AF32" s="299" t="s">
        <v>65</v>
      </c>
      <c r="AG32" s="93"/>
      <c r="AH32" s="93"/>
    </row>
    <row r="33" spans="1:34" ht="114" customHeight="1">
      <c r="A33" s="93"/>
      <c r="B33" s="292" t="s">
        <v>66</v>
      </c>
      <c r="C33" s="293" t="s">
        <v>66</v>
      </c>
      <c r="D33" s="294" t="s">
        <v>66</v>
      </c>
      <c r="E33" s="305">
        <v>42391.634837962964</v>
      </c>
      <c r="F33" s="306">
        <v>42391.634837962964</v>
      </c>
      <c r="G33" s="306">
        <v>42391.634837962964</v>
      </c>
      <c r="H33" s="307">
        <v>42391.634837962964</v>
      </c>
      <c r="I33" s="299" t="s">
        <v>67</v>
      </c>
      <c r="J33" s="308" t="s">
        <v>67</v>
      </c>
      <c r="K33" s="308" t="s">
        <v>67</v>
      </c>
      <c r="L33" s="308" t="s">
        <v>67</v>
      </c>
      <c r="M33" s="308" t="s">
        <v>67</v>
      </c>
      <c r="N33" s="308" t="s">
        <v>67</v>
      </c>
      <c r="O33" s="308" t="s">
        <v>67</v>
      </c>
      <c r="P33" s="308" t="s">
        <v>67</v>
      </c>
      <c r="Q33" s="308" t="s">
        <v>67</v>
      </c>
      <c r="R33" s="299" t="s">
        <v>68</v>
      </c>
      <c r="S33" s="299" t="s">
        <v>68</v>
      </c>
      <c r="T33" s="299" t="s">
        <v>68</v>
      </c>
      <c r="U33" s="299" t="s">
        <v>68</v>
      </c>
      <c r="V33" s="299" t="s">
        <v>68</v>
      </c>
      <c r="W33" s="299" t="s">
        <v>68</v>
      </c>
      <c r="X33" s="299" t="s">
        <v>68</v>
      </c>
      <c r="Y33" s="299" t="s">
        <v>68</v>
      </c>
      <c r="Z33" s="299" t="s">
        <v>68</v>
      </c>
      <c r="AA33" s="299" t="s">
        <v>68</v>
      </c>
      <c r="AB33" s="299" t="s">
        <v>68</v>
      </c>
      <c r="AC33" s="299" t="s">
        <v>68</v>
      </c>
      <c r="AD33" s="299" t="s">
        <v>68</v>
      </c>
      <c r="AE33" s="299" t="s">
        <v>68</v>
      </c>
      <c r="AF33" s="299" t="s">
        <v>68</v>
      </c>
      <c r="AG33" s="93"/>
      <c r="AH33" s="93"/>
    </row>
    <row r="34" spans="1:34" ht="40.5" customHeight="1">
      <c r="A34" s="93"/>
      <c r="B34" s="309" t="s">
        <v>69</v>
      </c>
      <c r="C34" s="310"/>
      <c r="D34" s="310"/>
      <c r="E34" s="305"/>
      <c r="F34" s="306"/>
      <c r="G34" s="306"/>
      <c r="H34" s="307"/>
      <c r="I34" s="299" t="s">
        <v>70</v>
      </c>
      <c r="J34" s="308"/>
      <c r="K34" s="308"/>
      <c r="L34" s="308"/>
      <c r="M34" s="308"/>
      <c r="N34" s="308"/>
      <c r="O34" s="308"/>
      <c r="P34" s="308"/>
      <c r="Q34" s="308"/>
      <c r="R34" s="299" t="s">
        <v>71</v>
      </c>
      <c r="S34" s="299"/>
      <c r="T34" s="299"/>
      <c r="U34" s="299"/>
      <c r="V34" s="299"/>
      <c r="W34" s="299"/>
      <c r="X34" s="299"/>
      <c r="Y34" s="299"/>
      <c r="Z34" s="299"/>
      <c r="AA34" s="299"/>
      <c r="AB34" s="299"/>
      <c r="AC34" s="299"/>
      <c r="AD34" s="299"/>
      <c r="AE34" s="299"/>
      <c r="AF34" s="299"/>
      <c r="AG34" s="93"/>
      <c r="AH34" s="93"/>
    </row>
    <row r="35" spans="1:34" ht="40.5" customHeight="1">
      <c r="A35" s="93"/>
      <c r="B35" s="309" t="s">
        <v>72</v>
      </c>
      <c r="C35" s="310"/>
      <c r="D35" s="310"/>
      <c r="E35" s="305"/>
      <c r="F35" s="306"/>
      <c r="G35" s="306"/>
      <c r="H35" s="307"/>
      <c r="I35" s="299" t="s">
        <v>70</v>
      </c>
      <c r="J35" s="308"/>
      <c r="K35" s="308"/>
      <c r="L35" s="308"/>
      <c r="M35" s="308"/>
      <c r="N35" s="308"/>
      <c r="O35" s="308"/>
      <c r="P35" s="308"/>
      <c r="Q35" s="308"/>
      <c r="R35" s="299" t="s">
        <v>73</v>
      </c>
      <c r="S35" s="299"/>
      <c r="T35" s="299"/>
      <c r="U35" s="299"/>
      <c r="V35" s="299"/>
      <c r="W35" s="299"/>
      <c r="X35" s="299"/>
      <c r="Y35" s="299"/>
      <c r="Z35" s="299"/>
      <c r="AA35" s="299"/>
      <c r="AB35" s="299"/>
      <c r="AC35" s="299"/>
      <c r="AD35" s="299"/>
      <c r="AE35" s="299"/>
      <c r="AF35" s="299"/>
      <c r="AG35" s="93"/>
      <c r="AH35" s="93"/>
    </row>
    <row r="36" spans="1:34" ht="40.5" customHeight="1">
      <c r="A36" s="93"/>
      <c r="B36" s="309" t="s">
        <v>74</v>
      </c>
      <c r="C36" s="310"/>
      <c r="D36" s="310"/>
      <c r="E36" s="305"/>
      <c r="F36" s="306"/>
      <c r="G36" s="306"/>
      <c r="H36" s="307"/>
      <c r="I36" s="299" t="s">
        <v>70</v>
      </c>
      <c r="J36" s="308"/>
      <c r="K36" s="308"/>
      <c r="L36" s="308"/>
      <c r="M36" s="308"/>
      <c r="N36" s="308"/>
      <c r="O36" s="308"/>
      <c r="P36" s="308"/>
      <c r="Q36" s="308"/>
      <c r="R36" s="299" t="s">
        <v>75</v>
      </c>
      <c r="S36" s="299"/>
      <c r="T36" s="299"/>
      <c r="U36" s="299"/>
      <c r="V36" s="299"/>
      <c r="W36" s="299"/>
      <c r="X36" s="299"/>
      <c r="Y36" s="299"/>
      <c r="Z36" s="299"/>
      <c r="AA36" s="299"/>
      <c r="AB36" s="299"/>
      <c r="AC36" s="299"/>
      <c r="AD36" s="299"/>
      <c r="AE36" s="299"/>
      <c r="AF36" s="299"/>
      <c r="AG36" s="93"/>
      <c r="AH36" s="93"/>
    </row>
    <row r="37" spans="1:34" ht="102" customHeight="1">
      <c r="A37" s="93"/>
      <c r="B37" s="309" t="s">
        <v>76</v>
      </c>
      <c r="C37" s="310"/>
      <c r="D37" s="310"/>
      <c r="E37" s="305"/>
      <c r="F37" s="306"/>
      <c r="G37" s="306"/>
      <c r="H37" s="307"/>
      <c r="I37" s="299" t="s">
        <v>70</v>
      </c>
      <c r="J37" s="308"/>
      <c r="K37" s="308"/>
      <c r="L37" s="308"/>
      <c r="M37" s="308"/>
      <c r="N37" s="308"/>
      <c r="O37" s="308"/>
      <c r="P37" s="308"/>
      <c r="Q37" s="308"/>
      <c r="R37" s="299" t="s">
        <v>77</v>
      </c>
      <c r="S37" s="299"/>
      <c r="T37" s="299"/>
      <c r="U37" s="299"/>
      <c r="V37" s="299"/>
      <c r="W37" s="299"/>
      <c r="X37" s="299"/>
      <c r="Y37" s="299"/>
      <c r="Z37" s="299"/>
      <c r="AA37" s="299"/>
      <c r="AB37" s="299"/>
      <c r="AC37" s="299"/>
      <c r="AD37" s="299"/>
      <c r="AE37" s="299"/>
      <c r="AF37" s="299"/>
      <c r="AG37" s="93"/>
      <c r="AH37" s="93"/>
    </row>
    <row r="38" spans="1:34" ht="217.5" customHeight="1">
      <c r="A38" s="93"/>
      <c r="B38" s="309" t="s">
        <v>78</v>
      </c>
      <c r="C38" s="310"/>
      <c r="D38" s="310"/>
      <c r="E38" s="305"/>
      <c r="F38" s="306"/>
      <c r="G38" s="306"/>
      <c r="H38" s="307"/>
      <c r="I38" s="299" t="s">
        <v>70</v>
      </c>
      <c r="J38" s="308"/>
      <c r="K38" s="308"/>
      <c r="L38" s="308"/>
      <c r="M38" s="308"/>
      <c r="N38" s="308"/>
      <c r="O38" s="308"/>
      <c r="P38" s="308"/>
      <c r="Q38" s="308"/>
      <c r="R38" s="299" t="s">
        <v>79</v>
      </c>
      <c r="S38" s="299"/>
      <c r="T38" s="299"/>
      <c r="U38" s="299"/>
      <c r="V38" s="299"/>
      <c r="W38" s="299"/>
      <c r="X38" s="299"/>
      <c r="Y38" s="299"/>
      <c r="Z38" s="299"/>
      <c r="AA38" s="299"/>
      <c r="AB38" s="299"/>
      <c r="AC38" s="299"/>
      <c r="AD38" s="299"/>
      <c r="AE38" s="299"/>
      <c r="AF38" s="299"/>
      <c r="AG38" s="93"/>
      <c r="AH38" s="93"/>
    </row>
    <row r="39" spans="1:34" ht="40.5" customHeight="1">
      <c r="A39" s="93"/>
      <c r="B39" s="309" t="s">
        <v>80</v>
      </c>
      <c r="C39" s="310"/>
      <c r="D39" s="310"/>
      <c r="E39" s="305"/>
      <c r="F39" s="306"/>
      <c r="G39" s="306"/>
      <c r="H39" s="307"/>
      <c r="I39" s="299" t="s">
        <v>70</v>
      </c>
      <c r="J39" s="308"/>
      <c r="K39" s="308"/>
      <c r="L39" s="308"/>
      <c r="M39" s="308"/>
      <c r="N39" s="308"/>
      <c r="O39" s="308"/>
      <c r="P39" s="308"/>
      <c r="Q39" s="308"/>
      <c r="R39" s="299" t="s">
        <v>81</v>
      </c>
      <c r="S39" s="299"/>
      <c r="T39" s="299"/>
      <c r="U39" s="299"/>
      <c r="V39" s="299"/>
      <c r="W39" s="299"/>
      <c r="X39" s="299"/>
      <c r="Y39" s="299"/>
      <c r="Z39" s="299"/>
      <c r="AA39" s="299"/>
      <c r="AB39" s="299"/>
      <c r="AC39" s="299"/>
      <c r="AD39" s="299"/>
      <c r="AE39" s="299"/>
      <c r="AF39" s="299"/>
      <c r="AG39" s="93"/>
      <c r="AH39" s="93"/>
    </row>
    <row r="40" spans="1:34" ht="69" customHeight="1">
      <c r="A40" s="93"/>
      <c r="B40" s="309" t="s">
        <v>82</v>
      </c>
      <c r="C40" s="310"/>
      <c r="D40" s="310"/>
      <c r="E40" s="305">
        <v>44562</v>
      </c>
      <c r="F40" s="306"/>
      <c r="G40" s="306"/>
      <c r="H40" s="307"/>
      <c r="I40" s="299" t="s">
        <v>70</v>
      </c>
      <c r="J40" s="308"/>
      <c r="K40" s="308"/>
      <c r="L40" s="308"/>
      <c r="M40" s="308"/>
      <c r="N40" s="308"/>
      <c r="O40" s="308"/>
      <c r="P40" s="308"/>
      <c r="Q40" s="308"/>
      <c r="R40" s="299" t="s">
        <v>83</v>
      </c>
      <c r="S40" s="299"/>
      <c r="T40" s="299"/>
      <c r="U40" s="299"/>
      <c r="V40" s="299"/>
      <c r="W40" s="299"/>
      <c r="X40" s="299"/>
      <c r="Y40" s="299"/>
      <c r="Z40" s="299"/>
      <c r="AA40" s="299"/>
      <c r="AB40" s="299"/>
      <c r="AC40" s="299"/>
      <c r="AD40" s="299"/>
      <c r="AE40" s="299"/>
      <c r="AF40" s="299"/>
      <c r="AG40" s="93"/>
      <c r="AH40" s="93"/>
    </row>
    <row r="41" spans="1:34">
      <c r="A41" s="93"/>
      <c r="B41" s="109" t="s">
        <v>84</v>
      </c>
      <c r="C41" s="110"/>
      <c r="D41" s="110"/>
      <c r="E41" s="111"/>
      <c r="F41" s="111"/>
      <c r="G41" s="111"/>
      <c r="H41" s="111"/>
      <c r="I41" s="111"/>
      <c r="J41" s="112"/>
      <c r="K41" s="112"/>
      <c r="L41" s="112"/>
      <c r="M41" s="112"/>
      <c r="N41" s="112"/>
      <c r="O41" s="112"/>
      <c r="P41" s="112"/>
      <c r="Q41" s="112"/>
      <c r="R41" s="111"/>
      <c r="S41" s="111"/>
      <c r="T41" s="111"/>
      <c r="U41" s="111"/>
      <c r="V41" s="111"/>
      <c r="W41" s="111"/>
      <c r="X41" s="111"/>
      <c r="Y41" s="111"/>
      <c r="Z41" s="111"/>
      <c r="AA41" s="111"/>
      <c r="AB41" s="111"/>
      <c r="AC41" s="111"/>
      <c r="AD41" s="111"/>
      <c r="AE41" s="111"/>
      <c r="AF41" s="111"/>
      <c r="AG41" s="93"/>
      <c r="AH41" s="93"/>
    </row>
    <row r="42" spans="1:34">
      <c r="A42" s="93"/>
      <c r="B42" s="93"/>
      <c r="C42" s="107"/>
      <c r="D42" s="93"/>
      <c r="E42" s="93"/>
      <c r="F42" s="93"/>
      <c r="G42" s="93"/>
      <c r="H42" s="93"/>
      <c r="I42" s="108"/>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row>
    <row r="43" spans="1:34">
      <c r="A43" s="93"/>
      <c r="B43" s="93"/>
      <c r="C43" s="93"/>
      <c r="D43" s="93"/>
      <c r="E43" s="93"/>
      <c r="F43" s="93"/>
      <c r="G43" s="93"/>
      <c r="H43" s="93"/>
      <c r="I43" s="93"/>
      <c r="J43" s="113"/>
      <c r="K43" s="93"/>
      <c r="L43" s="93"/>
      <c r="M43" s="93"/>
      <c r="N43" s="93"/>
      <c r="O43" s="93"/>
      <c r="P43" s="93"/>
      <c r="Q43" s="93"/>
      <c r="R43" s="93"/>
      <c r="S43" s="93"/>
      <c r="T43" s="93"/>
      <c r="U43" s="93"/>
      <c r="V43" s="93"/>
      <c r="W43" s="93"/>
      <c r="X43" s="93"/>
      <c r="Y43" s="93"/>
      <c r="Z43" s="93"/>
      <c r="AA43" s="93"/>
      <c r="AB43" s="93"/>
      <c r="AC43" s="93"/>
      <c r="AD43" s="93"/>
      <c r="AE43" s="93"/>
      <c r="AF43" s="93"/>
      <c r="AG43" s="93"/>
      <c r="AH43" s="93"/>
    </row>
    <row r="44" spans="1:34" ht="20.25">
      <c r="A44" s="93"/>
      <c r="B44" s="105" t="s">
        <v>85</v>
      </c>
      <c r="C44" s="106"/>
      <c r="D44" s="93"/>
      <c r="E44" s="93"/>
      <c r="F44" s="93"/>
      <c r="G44" s="93"/>
      <c r="H44" s="93"/>
      <c r="I44" s="108"/>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93"/>
    </row>
    <row r="45" spans="1:34" ht="18.75">
      <c r="A45" s="93"/>
      <c r="B45" s="114" t="s">
        <v>86</v>
      </c>
      <c r="C45" s="106"/>
      <c r="D45" s="93"/>
      <c r="E45" s="93"/>
      <c r="F45" s="93"/>
      <c r="G45" s="93"/>
      <c r="H45" s="93"/>
      <c r="I45" s="108"/>
      <c r="J45" s="93"/>
      <c r="K45" s="93"/>
      <c r="L45" s="93"/>
      <c r="M45" s="93"/>
      <c r="N45" s="93"/>
      <c r="O45" s="93"/>
      <c r="P45" s="93"/>
      <c r="Q45" s="93"/>
      <c r="R45" s="93"/>
      <c r="S45" s="93"/>
      <c r="T45" s="93"/>
      <c r="U45" s="93"/>
      <c r="V45" s="93"/>
      <c r="W45" s="93"/>
      <c r="X45" s="93"/>
      <c r="Y45" s="93"/>
      <c r="Z45" s="93"/>
      <c r="AA45" s="93"/>
      <c r="AB45" s="93"/>
      <c r="AC45" s="93"/>
      <c r="AD45" s="93"/>
      <c r="AE45" s="93"/>
      <c r="AF45" s="93"/>
      <c r="AG45" s="93"/>
      <c r="AH45" s="93"/>
    </row>
    <row r="46" spans="1:34">
      <c r="A46" s="93"/>
      <c r="B46" s="302" t="s">
        <v>87</v>
      </c>
      <c r="C46" s="302"/>
      <c r="D46" s="302"/>
      <c r="E46" s="302" t="s">
        <v>88</v>
      </c>
      <c r="F46" s="304"/>
      <c r="G46" s="304"/>
      <c r="H46" s="304"/>
      <c r="I46" s="304"/>
      <c r="J46" s="304"/>
      <c r="K46" s="304"/>
      <c r="L46" s="304"/>
      <c r="M46" s="304"/>
      <c r="N46" s="304"/>
      <c r="O46" s="304"/>
      <c r="P46" s="304"/>
      <c r="Q46" s="304"/>
      <c r="R46" s="304"/>
      <c r="S46" s="304"/>
      <c r="T46" s="304"/>
      <c r="U46" s="304"/>
      <c r="V46" s="304"/>
      <c r="W46" s="304"/>
      <c r="X46" s="304"/>
      <c r="Y46" s="302" t="s">
        <v>89</v>
      </c>
      <c r="Z46" s="302"/>
      <c r="AA46" s="302"/>
      <c r="AB46" s="302"/>
      <c r="AC46" s="302"/>
      <c r="AD46" s="302"/>
      <c r="AE46" s="302"/>
      <c r="AF46" s="302"/>
      <c r="AG46" s="93"/>
      <c r="AH46" s="93"/>
    </row>
    <row r="47" spans="1:34">
      <c r="A47" s="93"/>
      <c r="B47" s="301"/>
      <c r="C47" s="301"/>
      <c r="D47" s="301"/>
      <c r="E47" s="299"/>
      <c r="F47" s="300"/>
      <c r="G47" s="300"/>
      <c r="H47" s="300"/>
      <c r="I47" s="300"/>
      <c r="J47" s="300"/>
      <c r="K47" s="300"/>
      <c r="L47" s="300"/>
      <c r="M47" s="300"/>
      <c r="N47" s="300"/>
      <c r="O47" s="300"/>
      <c r="P47" s="300"/>
      <c r="Q47" s="300"/>
      <c r="R47" s="300"/>
      <c r="S47" s="300"/>
      <c r="T47" s="300"/>
      <c r="U47" s="300"/>
      <c r="V47" s="300"/>
      <c r="W47" s="300"/>
      <c r="X47" s="300"/>
      <c r="Y47" s="299"/>
      <c r="Z47" s="300"/>
      <c r="AA47" s="300"/>
      <c r="AB47" s="300"/>
      <c r="AC47" s="300"/>
      <c r="AD47" s="300"/>
      <c r="AE47" s="300"/>
      <c r="AF47" s="300"/>
      <c r="AG47" s="93"/>
      <c r="AH47" s="93"/>
    </row>
    <row r="48" spans="1:34">
      <c r="A48" s="93"/>
      <c r="B48" s="301"/>
      <c r="C48" s="301"/>
      <c r="D48" s="301"/>
      <c r="E48" s="299"/>
      <c r="F48" s="300"/>
      <c r="G48" s="300"/>
      <c r="H48" s="300"/>
      <c r="I48" s="300"/>
      <c r="J48" s="300"/>
      <c r="K48" s="300"/>
      <c r="L48" s="300"/>
      <c r="M48" s="300"/>
      <c r="N48" s="300"/>
      <c r="O48" s="300"/>
      <c r="P48" s="300"/>
      <c r="Q48" s="300"/>
      <c r="R48" s="300"/>
      <c r="S48" s="300"/>
      <c r="T48" s="300"/>
      <c r="U48" s="300"/>
      <c r="V48" s="300"/>
      <c r="W48" s="300"/>
      <c r="X48" s="300"/>
      <c r="Y48" s="299"/>
      <c r="Z48" s="300"/>
      <c r="AA48" s="300"/>
      <c r="AB48" s="300"/>
      <c r="AC48" s="300"/>
      <c r="AD48" s="300"/>
      <c r="AE48" s="300"/>
      <c r="AF48" s="300"/>
      <c r="AG48" s="93"/>
      <c r="AH48" s="93"/>
    </row>
    <row r="49" spans="1:34">
      <c r="A49" s="93"/>
      <c r="B49" s="301"/>
      <c r="C49" s="301"/>
      <c r="D49" s="301"/>
      <c r="E49" s="299"/>
      <c r="F49" s="300"/>
      <c r="G49" s="300"/>
      <c r="H49" s="300"/>
      <c r="I49" s="300"/>
      <c r="J49" s="300"/>
      <c r="K49" s="300"/>
      <c r="L49" s="300"/>
      <c r="M49" s="300"/>
      <c r="N49" s="300"/>
      <c r="O49" s="300"/>
      <c r="P49" s="300"/>
      <c r="Q49" s="300"/>
      <c r="R49" s="300"/>
      <c r="S49" s="300"/>
      <c r="T49" s="300"/>
      <c r="U49" s="300"/>
      <c r="V49" s="300"/>
      <c r="W49" s="300"/>
      <c r="X49" s="300"/>
      <c r="Y49" s="299"/>
      <c r="Z49" s="300"/>
      <c r="AA49" s="300"/>
      <c r="AB49" s="300"/>
      <c r="AC49" s="300"/>
      <c r="AD49" s="300"/>
      <c r="AE49" s="300"/>
      <c r="AF49" s="300"/>
      <c r="AG49" s="93"/>
      <c r="AH49" s="93"/>
    </row>
    <row r="50" spans="1:34">
      <c r="A50" s="93"/>
      <c r="B50" s="301"/>
      <c r="C50" s="301"/>
      <c r="D50" s="301"/>
      <c r="E50" s="299"/>
      <c r="F50" s="300"/>
      <c r="G50" s="300"/>
      <c r="H50" s="300"/>
      <c r="I50" s="300"/>
      <c r="J50" s="300"/>
      <c r="K50" s="300"/>
      <c r="L50" s="300"/>
      <c r="M50" s="300"/>
      <c r="N50" s="300"/>
      <c r="O50" s="300"/>
      <c r="P50" s="300"/>
      <c r="Q50" s="300"/>
      <c r="R50" s="300"/>
      <c r="S50" s="300"/>
      <c r="T50" s="300"/>
      <c r="U50" s="300"/>
      <c r="V50" s="300"/>
      <c r="W50" s="300"/>
      <c r="X50" s="300"/>
      <c r="Y50" s="299"/>
      <c r="Z50" s="300"/>
      <c r="AA50" s="300"/>
      <c r="AB50" s="300"/>
      <c r="AC50" s="300"/>
      <c r="AD50" s="300"/>
      <c r="AE50" s="300"/>
      <c r="AF50" s="300"/>
      <c r="AG50" s="93"/>
      <c r="AH50" s="93"/>
    </row>
    <row r="51" spans="1:34" ht="18.75">
      <c r="A51" s="93"/>
      <c r="B51" s="114" t="s">
        <v>90</v>
      </c>
      <c r="C51" s="106"/>
      <c r="D51" s="93"/>
      <c r="E51" s="93"/>
      <c r="F51" s="93"/>
      <c r="G51" s="93"/>
      <c r="H51" s="93"/>
      <c r="I51" s="108"/>
      <c r="J51" s="93"/>
      <c r="K51" s="93"/>
      <c r="L51" s="93"/>
      <c r="M51" s="93"/>
      <c r="N51" s="93"/>
      <c r="O51" s="93"/>
      <c r="P51" s="93"/>
      <c r="Q51" s="93"/>
      <c r="R51" s="93"/>
      <c r="S51" s="93"/>
      <c r="T51" s="93"/>
      <c r="U51" s="93"/>
      <c r="V51" s="93"/>
      <c r="W51" s="93"/>
      <c r="X51" s="93"/>
      <c r="Y51" s="93"/>
      <c r="Z51" s="93"/>
      <c r="AA51" s="93"/>
      <c r="AB51" s="93"/>
      <c r="AC51" s="93"/>
      <c r="AD51" s="93"/>
      <c r="AE51" s="93"/>
      <c r="AF51" s="93"/>
      <c r="AG51" s="93"/>
      <c r="AH51" s="93"/>
    </row>
    <row r="52" spans="1:34">
      <c r="A52" s="93"/>
      <c r="B52" s="302" t="s">
        <v>87</v>
      </c>
      <c r="C52" s="302"/>
      <c r="D52" s="302"/>
      <c r="E52" s="302" t="s">
        <v>88</v>
      </c>
      <c r="F52" s="304"/>
      <c r="G52" s="304"/>
      <c r="H52" s="304"/>
      <c r="I52" s="304"/>
      <c r="J52" s="304"/>
      <c r="K52" s="304"/>
      <c r="L52" s="304"/>
      <c r="M52" s="304"/>
      <c r="N52" s="304"/>
      <c r="O52" s="304"/>
      <c r="P52" s="304"/>
      <c r="Q52" s="304"/>
      <c r="R52" s="304"/>
      <c r="S52" s="304"/>
      <c r="T52" s="304"/>
      <c r="U52" s="304"/>
      <c r="V52" s="304"/>
      <c r="W52" s="304"/>
      <c r="X52" s="304"/>
      <c r="Y52" s="302" t="s">
        <v>89</v>
      </c>
      <c r="Z52" s="302"/>
      <c r="AA52" s="302"/>
      <c r="AB52" s="302"/>
      <c r="AC52" s="302"/>
      <c r="AD52" s="302"/>
      <c r="AE52" s="302"/>
      <c r="AF52" s="302"/>
      <c r="AG52" s="93"/>
      <c r="AH52" s="93"/>
    </row>
    <row r="53" spans="1:34">
      <c r="A53" s="93"/>
      <c r="B53" s="301"/>
      <c r="C53" s="301"/>
      <c r="D53" s="301"/>
      <c r="E53" s="299"/>
      <c r="F53" s="300"/>
      <c r="G53" s="300"/>
      <c r="H53" s="300"/>
      <c r="I53" s="300"/>
      <c r="J53" s="300"/>
      <c r="K53" s="300"/>
      <c r="L53" s="300"/>
      <c r="M53" s="300"/>
      <c r="N53" s="300"/>
      <c r="O53" s="300"/>
      <c r="P53" s="300"/>
      <c r="Q53" s="300"/>
      <c r="R53" s="300"/>
      <c r="S53" s="300"/>
      <c r="T53" s="300"/>
      <c r="U53" s="300"/>
      <c r="V53" s="300"/>
      <c r="W53" s="300"/>
      <c r="X53" s="300"/>
      <c r="Y53" s="299"/>
      <c r="Z53" s="300"/>
      <c r="AA53" s="300"/>
      <c r="AB53" s="300"/>
      <c r="AC53" s="300"/>
      <c r="AD53" s="300"/>
      <c r="AE53" s="300"/>
      <c r="AF53" s="300"/>
      <c r="AG53" s="93"/>
      <c r="AH53" s="93"/>
    </row>
    <row r="54" spans="1:34">
      <c r="A54" s="93"/>
      <c r="B54" s="301"/>
      <c r="C54" s="301"/>
      <c r="D54" s="301"/>
      <c r="E54" s="299"/>
      <c r="F54" s="300"/>
      <c r="G54" s="300"/>
      <c r="H54" s="300"/>
      <c r="I54" s="300"/>
      <c r="J54" s="300"/>
      <c r="K54" s="300"/>
      <c r="L54" s="300"/>
      <c r="M54" s="300"/>
      <c r="N54" s="300"/>
      <c r="O54" s="300"/>
      <c r="P54" s="300"/>
      <c r="Q54" s="300"/>
      <c r="R54" s="300"/>
      <c r="S54" s="300"/>
      <c r="T54" s="300"/>
      <c r="U54" s="300"/>
      <c r="V54" s="300"/>
      <c r="W54" s="300"/>
      <c r="X54" s="300"/>
      <c r="Y54" s="299"/>
      <c r="Z54" s="300"/>
      <c r="AA54" s="300"/>
      <c r="AB54" s="300"/>
      <c r="AC54" s="300"/>
      <c r="AD54" s="300"/>
      <c r="AE54" s="300"/>
      <c r="AF54" s="300"/>
      <c r="AG54" s="93"/>
      <c r="AH54" s="93"/>
    </row>
    <row r="55" spans="1:34">
      <c r="A55" s="93"/>
      <c r="B55" s="301"/>
      <c r="C55" s="301"/>
      <c r="D55" s="301"/>
      <c r="E55" s="299"/>
      <c r="F55" s="300"/>
      <c r="G55" s="300"/>
      <c r="H55" s="300"/>
      <c r="I55" s="300"/>
      <c r="J55" s="300"/>
      <c r="K55" s="300"/>
      <c r="L55" s="300"/>
      <c r="M55" s="300"/>
      <c r="N55" s="300"/>
      <c r="O55" s="300"/>
      <c r="P55" s="300"/>
      <c r="Q55" s="300"/>
      <c r="R55" s="300"/>
      <c r="S55" s="300"/>
      <c r="T55" s="300"/>
      <c r="U55" s="300"/>
      <c r="V55" s="300"/>
      <c r="W55" s="300"/>
      <c r="X55" s="300"/>
      <c r="Y55" s="299"/>
      <c r="Z55" s="300"/>
      <c r="AA55" s="300"/>
      <c r="AB55" s="300"/>
      <c r="AC55" s="300"/>
      <c r="AD55" s="300"/>
      <c r="AE55" s="300"/>
      <c r="AF55" s="300"/>
      <c r="AG55" s="93"/>
      <c r="AH55" s="93"/>
    </row>
    <row r="56" spans="1:34">
      <c r="A56" s="93"/>
      <c r="B56" s="301"/>
      <c r="C56" s="301"/>
      <c r="D56" s="301"/>
      <c r="E56" s="299"/>
      <c r="F56" s="300"/>
      <c r="G56" s="300"/>
      <c r="H56" s="300"/>
      <c r="I56" s="300"/>
      <c r="J56" s="300"/>
      <c r="K56" s="300"/>
      <c r="L56" s="300"/>
      <c r="M56" s="300"/>
      <c r="N56" s="300"/>
      <c r="O56" s="300"/>
      <c r="P56" s="300"/>
      <c r="Q56" s="300"/>
      <c r="R56" s="300"/>
      <c r="S56" s="300"/>
      <c r="T56" s="300"/>
      <c r="U56" s="300"/>
      <c r="V56" s="300"/>
      <c r="W56" s="300"/>
      <c r="X56" s="300"/>
      <c r="Y56" s="299"/>
      <c r="Z56" s="300"/>
      <c r="AA56" s="300"/>
      <c r="AB56" s="300"/>
      <c r="AC56" s="300"/>
      <c r="AD56" s="300"/>
      <c r="AE56" s="300"/>
      <c r="AF56" s="300"/>
      <c r="AG56" s="93"/>
      <c r="AH56" s="93"/>
    </row>
    <row r="57" spans="1:34">
      <c r="A57" s="93"/>
      <c r="B57" s="93"/>
      <c r="C57" s="107"/>
      <c r="D57" s="93"/>
      <c r="E57" s="93"/>
      <c r="F57" s="93"/>
      <c r="G57" s="93"/>
      <c r="H57" s="93"/>
      <c r="I57" s="108"/>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row>
    <row r="58" spans="1:34" ht="20.25">
      <c r="A58" s="93"/>
      <c r="B58" s="105" t="s">
        <v>91</v>
      </c>
      <c r="C58" s="106"/>
      <c r="D58" s="93"/>
      <c r="E58" s="93"/>
      <c r="F58" s="93"/>
      <c r="G58" s="93"/>
      <c r="H58" s="93"/>
      <c r="I58" s="108"/>
      <c r="J58" s="93"/>
      <c r="K58" s="93"/>
      <c r="L58" s="93"/>
      <c r="M58" s="93"/>
      <c r="N58" s="93"/>
      <c r="O58" s="93"/>
      <c r="P58" s="93"/>
      <c r="Q58" s="93"/>
      <c r="R58" s="93"/>
      <c r="S58" s="93"/>
      <c r="T58" s="93"/>
      <c r="U58" s="93"/>
      <c r="V58" s="93"/>
      <c r="W58" s="93"/>
      <c r="X58" s="93"/>
      <c r="Y58" s="93"/>
      <c r="Z58" s="93"/>
      <c r="AA58" s="93"/>
      <c r="AB58" s="93"/>
      <c r="AC58" s="93"/>
      <c r="AD58" s="93"/>
      <c r="AE58" s="93"/>
      <c r="AF58" s="93"/>
      <c r="AG58" s="93"/>
      <c r="AH58" s="93"/>
    </row>
    <row r="59" spans="1:34">
      <c r="A59" s="93"/>
      <c r="B59" s="302" t="s">
        <v>92</v>
      </c>
      <c r="C59" s="302"/>
      <c r="D59" s="302"/>
      <c r="E59" s="302"/>
      <c r="F59" s="302"/>
      <c r="G59" s="302"/>
      <c r="H59" s="303"/>
      <c r="I59" s="303"/>
      <c r="J59" s="303"/>
      <c r="K59" s="303"/>
      <c r="L59" s="303"/>
      <c r="M59" s="303"/>
      <c r="N59" s="303"/>
      <c r="O59" s="303"/>
      <c r="P59" s="303"/>
      <c r="Q59" s="303"/>
      <c r="R59" s="303"/>
      <c r="S59" s="303"/>
      <c r="T59" s="303"/>
      <c r="U59" s="303"/>
      <c r="V59" s="303"/>
      <c r="W59" s="303"/>
      <c r="X59" s="303"/>
      <c r="Y59" s="303"/>
      <c r="Z59" s="303"/>
      <c r="AA59" s="303"/>
      <c r="AB59" s="303"/>
      <c r="AC59" s="303"/>
      <c r="AD59" s="303"/>
      <c r="AE59" s="303"/>
      <c r="AF59" s="303"/>
      <c r="AG59" s="93"/>
      <c r="AH59" s="93"/>
    </row>
    <row r="60" spans="1:34" ht="27.75" customHeight="1">
      <c r="A60" s="93"/>
      <c r="B60" s="292" t="s">
        <v>93</v>
      </c>
      <c r="C60" s="293"/>
      <c r="D60" s="293"/>
      <c r="E60" s="293"/>
      <c r="F60" s="293"/>
      <c r="G60" s="294"/>
      <c r="H60" s="298" t="s">
        <v>94</v>
      </c>
      <c r="I60" s="296"/>
      <c r="J60" s="296"/>
      <c r="K60" s="296"/>
      <c r="L60" s="296"/>
      <c r="M60" s="296"/>
      <c r="N60" s="296"/>
      <c r="O60" s="296"/>
      <c r="P60" s="296"/>
      <c r="Q60" s="296"/>
      <c r="R60" s="296"/>
      <c r="S60" s="296"/>
      <c r="T60" s="296"/>
      <c r="U60" s="296"/>
      <c r="V60" s="296"/>
      <c r="W60" s="296"/>
      <c r="X60" s="296"/>
      <c r="Y60" s="296"/>
      <c r="Z60" s="296"/>
      <c r="AA60" s="296"/>
      <c r="AB60" s="296"/>
      <c r="AC60" s="296"/>
      <c r="AD60" s="296"/>
      <c r="AE60" s="296"/>
      <c r="AF60" s="297"/>
      <c r="AG60" s="93"/>
      <c r="AH60" s="93"/>
    </row>
    <row r="61" spans="1:34">
      <c r="A61" s="93"/>
      <c r="B61" s="292"/>
      <c r="C61" s="293"/>
      <c r="D61" s="293"/>
      <c r="E61" s="293"/>
      <c r="F61" s="293"/>
      <c r="G61" s="294"/>
      <c r="H61" s="295"/>
      <c r="I61" s="296"/>
      <c r="J61" s="296"/>
      <c r="K61" s="296"/>
      <c r="L61" s="296"/>
      <c r="M61" s="296"/>
      <c r="N61" s="296"/>
      <c r="O61" s="296"/>
      <c r="P61" s="296"/>
      <c r="Q61" s="296"/>
      <c r="R61" s="296"/>
      <c r="S61" s="296"/>
      <c r="T61" s="296"/>
      <c r="U61" s="296"/>
      <c r="V61" s="296"/>
      <c r="W61" s="296"/>
      <c r="X61" s="296"/>
      <c r="Y61" s="296"/>
      <c r="Z61" s="296"/>
      <c r="AA61" s="296"/>
      <c r="AB61" s="296"/>
      <c r="AC61" s="296"/>
      <c r="AD61" s="296"/>
      <c r="AE61" s="296"/>
      <c r="AF61" s="297"/>
      <c r="AG61" s="93"/>
      <c r="AH61" s="93"/>
    </row>
    <row r="62" spans="1:34">
      <c r="A62" s="93"/>
      <c r="B62" s="292"/>
      <c r="C62" s="293"/>
      <c r="D62" s="293"/>
      <c r="E62" s="293"/>
      <c r="F62" s="293"/>
      <c r="G62" s="294"/>
      <c r="H62" s="295"/>
      <c r="I62" s="296"/>
      <c r="J62" s="296"/>
      <c r="K62" s="296"/>
      <c r="L62" s="296"/>
      <c r="M62" s="296"/>
      <c r="N62" s="296"/>
      <c r="O62" s="296"/>
      <c r="P62" s="296"/>
      <c r="Q62" s="296"/>
      <c r="R62" s="296"/>
      <c r="S62" s="296"/>
      <c r="T62" s="296"/>
      <c r="U62" s="296"/>
      <c r="V62" s="296"/>
      <c r="W62" s="296"/>
      <c r="X62" s="296"/>
      <c r="Y62" s="296"/>
      <c r="Z62" s="296"/>
      <c r="AA62" s="296"/>
      <c r="AB62" s="296"/>
      <c r="AC62" s="296"/>
      <c r="AD62" s="296"/>
      <c r="AE62" s="296"/>
      <c r="AF62" s="297"/>
      <c r="AG62" s="93"/>
      <c r="AH62" s="93"/>
    </row>
    <row r="63" spans="1:34">
      <c r="A63" s="93"/>
      <c r="B63" s="292"/>
      <c r="C63" s="293"/>
      <c r="D63" s="293"/>
      <c r="E63" s="293"/>
      <c r="F63" s="293"/>
      <c r="G63" s="294"/>
      <c r="H63" s="295"/>
      <c r="I63" s="296"/>
      <c r="J63" s="296"/>
      <c r="K63" s="296"/>
      <c r="L63" s="296"/>
      <c r="M63" s="296"/>
      <c r="N63" s="296"/>
      <c r="O63" s="296"/>
      <c r="P63" s="296"/>
      <c r="Q63" s="296"/>
      <c r="R63" s="296"/>
      <c r="S63" s="296"/>
      <c r="T63" s="296"/>
      <c r="U63" s="296"/>
      <c r="V63" s="296"/>
      <c r="W63" s="296"/>
      <c r="X63" s="296"/>
      <c r="Y63" s="296"/>
      <c r="Z63" s="296"/>
      <c r="AA63" s="296"/>
      <c r="AB63" s="296"/>
      <c r="AC63" s="296"/>
      <c r="AD63" s="296"/>
      <c r="AE63" s="296"/>
      <c r="AF63" s="297"/>
      <c r="AG63" s="93"/>
      <c r="AH63" s="93"/>
    </row>
    <row r="64" spans="1:34">
      <c r="A64" s="93"/>
      <c r="B64" s="292"/>
      <c r="C64" s="293"/>
      <c r="D64" s="293"/>
      <c r="E64" s="293"/>
      <c r="F64" s="293"/>
      <c r="G64" s="294"/>
      <c r="H64" s="295"/>
      <c r="I64" s="296"/>
      <c r="J64" s="296"/>
      <c r="K64" s="296"/>
      <c r="L64" s="296"/>
      <c r="M64" s="296"/>
      <c r="N64" s="296"/>
      <c r="O64" s="296"/>
      <c r="P64" s="296"/>
      <c r="Q64" s="296"/>
      <c r="R64" s="296"/>
      <c r="S64" s="296"/>
      <c r="T64" s="296"/>
      <c r="U64" s="296"/>
      <c r="V64" s="296"/>
      <c r="W64" s="296"/>
      <c r="X64" s="296"/>
      <c r="Y64" s="296"/>
      <c r="Z64" s="296"/>
      <c r="AA64" s="296"/>
      <c r="AB64" s="296"/>
      <c r="AC64" s="296"/>
      <c r="AD64" s="296"/>
      <c r="AE64" s="296"/>
      <c r="AF64" s="297"/>
      <c r="AG64" s="93"/>
      <c r="AH64" s="93"/>
    </row>
    <row r="65" spans="1:34">
      <c r="A65" s="93"/>
      <c r="B65" s="111"/>
      <c r="C65" s="111"/>
      <c r="D65" s="111"/>
      <c r="E65" s="111"/>
      <c r="F65" s="111"/>
      <c r="G65" s="111"/>
      <c r="H65" s="115"/>
      <c r="I65" s="115"/>
      <c r="J65" s="115"/>
      <c r="K65" s="115"/>
      <c r="L65" s="115"/>
      <c r="M65" s="115"/>
      <c r="N65" s="115"/>
      <c r="O65" s="115"/>
      <c r="P65" s="115"/>
      <c r="Q65" s="115"/>
      <c r="R65" s="115"/>
      <c r="S65" s="115"/>
      <c r="T65" s="115"/>
      <c r="U65" s="115"/>
      <c r="V65" s="115"/>
      <c r="W65" s="115"/>
      <c r="X65" s="115"/>
      <c r="Y65" s="115"/>
      <c r="Z65" s="115"/>
      <c r="AA65" s="115"/>
      <c r="AB65" s="115"/>
      <c r="AC65" s="115"/>
      <c r="AD65" s="115"/>
      <c r="AE65" s="115"/>
      <c r="AF65" s="115"/>
      <c r="AG65" s="93"/>
      <c r="AH65" s="93"/>
    </row>
    <row r="66" spans="1:34">
      <c r="A66" s="93"/>
      <c r="B66" s="111"/>
      <c r="C66" s="111"/>
      <c r="D66" s="111"/>
      <c r="E66" s="111"/>
      <c r="F66" s="111"/>
      <c r="G66" s="111"/>
      <c r="H66" s="115"/>
      <c r="I66" s="115"/>
      <c r="J66" s="115"/>
      <c r="K66" s="115"/>
      <c r="L66" s="115"/>
      <c r="M66" s="115"/>
      <c r="N66" s="115"/>
      <c r="O66" s="115"/>
      <c r="P66" s="115"/>
      <c r="Q66" s="115"/>
      <c r="R66" s="115"/>
      <c r="S66" s="115"/>
      <c r="T66" s="115"/>
      <c r="U66" s="115"/>
      <c r="V66" s="115"/>
      <c r="W66" s="115"/>
      <c r="X66" s="115"/>
      <c r="Y66" s="115"/>
      <c r="Z66" s="115"/>
      <c r="AA66" s="115"/>
      <c r="AB66" s="115"/>
      <c r="AC66" s="115"/>
      <c r="AD66" s="115"/>
      <c r="AE66" s="115"/>
      <c r="AF66" s="115"/>
      <c r="AG66" s="93"/>
      <c r="AH66" s="93"/>
    </row>
    <row r="67" spans="1:34" ht="26.25">
      <c r="A67" s="93"/>
      <c r="B67" s="116" t="s">
        <v>95</v>
      </c>
      <c r="C67" s="117"/>
      <c r="D67" s="117"/>
      <c r="E67" s="117"/>
      <c r="F67" s="117"/>
      <c r="G67" s="117"/>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93"/>
      <c r="AH67" s="93"/>
    </row>
    <row r="68" spans="1:34" ht="26.25">
      <c r="A68" s="93"/>
      <c r="B68" s="119"/>
      <c r="C68" s="111"/>
      <c r="D68" s="111"/>
      <c r="E68" s="111"/>
      <c r="F68" s="111"/>
      <c r="G68" s="111"/>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5"/>
      <c r="AF68" s="115"/>
      <c r="AG68" s="93"/>
      <c r="AH68" s="93"/>
    </row>
    <row r="69" spans="1:34" s="158" customFormat="1" ht="20.25">
      <c r="B69" s="159" t="s">
        <v>96</v>
      </c>
    </row>
    <row r="70" spans="1:34">
      <c r="A70" s="93"/>
      <c r="B70" s="120"/>
      <c r="C70" s="120"/>
      <c r="D70" s="120"/>
      <c r="E70" s="120"/>
      <c r="F70" s="120"/>
      <c r="G70" s="120"/>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93"/>
      <c r="AH70" s="93"/>
    </row>
    <row r="71" spans="1:34" ht="52.5" customHeight="1">
      <c r="A71" s="93"/>
      <c r="B71" s="329" t="s">
        <v>97</v>
      </c>
      <c r="C71" s="330"/>
      <c r="D71" s="330"/>
      <c r="E71" s="330"/>
      <c r="F71" s="330"/>
      <c r="G71" s="331"/>
      <c r="H71" s="332" t="s">
        <v>98</v>
      </c>
      <c r="I71" s="333"/>
      <c r="J71" s="333"/>
      <c r="K71" s="333"/>
      <c r="L71" s="333"/>
      <c r="M71" s="333"/>
      <c r="N71" s="333"/>
      <c r="O71" s="333"/>
      <c r="P71" s="333"/>
      <c r="Q71" s="333"/>
      <c r="R71" s="333"/>
      <c r="S71" s="333"/>
      <c r="T71" s="333"/>
      <c r="U71" s="333"/>
      <c r="V71" s="333"/>
      <c r="W71" s="333"/>
      <c r="X71" s="333"/>
      <c r="Y71" s="333"/>
      <c r="Z71" s="333"/>
      <c r="AA71" s="333"/>
      <c r="AB71" s="333"/>
      <c r="AC71" s="333"/>
      <c r="AD71" s="333"/>
      <c r="AE71" s="333"/>
      <c r="AF71" s="334"/>
      <c r="AG71" s="93"/>
      <c r="AH71" s="93"/>
    </row>
    <row r="72" spans="1:34" ht="111" customHeight="1">
      <c r="A72" s="93"/>
      <c r="B72" s="329" t="s">
        <v>99</v>
      </c>
      <c r="C72" s="330"/>
      <c r="D72" s="330"/>
      <c r="E72" s="330"/>
      <c r="F72" s="330"/>
      <c r="G72" s="331"/>
      <c r="H72" s="332" t="s">
        <v>100</v>
      </c>
      <c r="I72" s="333"/>
      <c r="J72" s="333"/>
      <c r="K72" s="333"/>
      <c r="L72" s="333"/>
      <c r="M72" s="333"/>
      <c r="N72" s="333"/>
      <c r="O72" s="333"/>
      <c r="P72" s="333"/>
      <c r="Q72" s="333"/>
      <c r="R72" s="333"/>
      <c r="S72" s="333"/>
      <c r="T72" s="333"/>
      <c r="U72" s="333"/>
      <c r="V72" s="333"/>
      <c r="W72" s="333"/>
      <c r="X72" s="333"/>
      <c r="Y72" s="333"/>
      <c r="Z72" s="333"/>
      <c r="AA72" s="333"/>
      <c r="AB72" s="333"/>
      <c r="AC72" s="333"/>
      <c r="AD72" s="333"/>
      <c r="AE72" s="333"/>
      <c r="AF72" s="334"/>
      <c r="AG72" s="93"/>
      <c r="AH72" s="93"/>
    </row>
    <row r="73" spans="1:34" ht="52.5" customHeight="1">
      <c r="A73" s="93"/>
      <c r="B73" s="329" t="s">
        <v>101</v>
      </c>
      <c r="C73" s="330"/>
      <c r="D73" s="330"/>
      <c r="E73" s="330"/>
      <c r="F73" s="330"/>
      <c r="G73" s="331"/>
      <c r="H73" s="332" t="s">
        <v>102</v>
      </c>
      <c r="I73" s="333"/>
      <c r="J73" s="333"/>
      <c r="K73" s="333"/>
      <c r="L73" s="333"/>
      <c r="M73" s="333"/>
      <c r="N73" s="333"/>
      <c r="O73" s="333"/>
      <c r="P73" s="333"/>
      <c r="Q73" s="333"/>
      <c r="R73" s="333"/>
      <c r="S73" s="333"/>
      <c r="T73" s="333"/>
      <c r="U73" s="333"/>
      <c r="V73" s="333"/>
      <c r="W73" s="333"/>
      <c r="X73" s="333"/>
      <c r="Y73" s="333"/>
      <c r="Z73" s="333"/>
      <c r="AA73" s="333"/>
      <c r="AB73" s="333"/>
      <c r="AC73" s="333"/>
      <c r="AD73" s="333"/>
      <c r="AE73" s="333"/>
      <c r="AF73" s="334"/>
      <c r="AG73" s="93"/>
      <c r="AH73" s="93"/>
    </row>
    <row r="74" spans="1:34" ht="52.5" customHeight="1">
      <c r="A74" s="93"/>
      <c r="B74" s="329" t="s">
        <v>103</v>
      </c>
      <c r="C74" s="330"/>
      <c r="D74" s="330"/>
      <c r="E74" s="330"/>
      <c r="F74" s="330"/>
      <c r="G74" s="331"/>
      <c r="H74" s="332" t="s">
        <v>104</v>
      </c>
      <c r="I74" s="333"/>
      <c r="J74" s="333"/>
      <c r="K74" s="333"/>
      <c r="L74" s="333"/>
      <c r="M74" s="333"/>
      <c r="N74" s="333"/>
      <c r="O74" s="333"/>
      <c r="P74" s="333"/>
      <c r="Q74" s="333"/>
      <c r="R74" s="333"/>
      <c r="S74" s="333"/>
      <c r="T74" s="333"/>
      <c r="U74" s="333"/>
      <c r="V74" s="333"/>
      <c r="W74" s="333"/>
      <c r="X74" s="333"/>
      <c r="Y74" s="333"/>
      <c r="Z74" s="333"/>
      <c r="AA74" s="333"/>
      <c r="AB74" s="333"/>
      <c r="AC74" s="333"/>
      <c r="AD74" s="333"/>
      <c r="AE74" s="333"/>
      <c r="AF74" s="334"/>
      <c r="AG74" s="93"/>
      <c r="AH74" s="93"/>
    </row>
    <row r="75" spans="1:34" ht="81" customHeight="1">
      <c r="A75" s="93"/>
      <c r="B75" s="329" t="s">
        <v>105</v>
      </c>
      <c r="C75" s="330"/>
      <c r="D75" s="330"/>
      <c r="E75" s="330"/>
      <c r="F75" s="330"/>
      <c r="G75" s="331"/>
      <c r="H75" s="332" t="s">
        <v>106</v>
      </c>
      <c r="I75" s="333"/>
      <c r="J75" s="333"/>
      <c r="K75" s="333"/>
      <c r="L75" s="333"/>
      <c r="M75" s="333"/>
      <c r="N75" s="333"/>
      <c r="O75" s="333"/>
      <c r="P75" s="333"/>
      <c r="Q75" s="333"/>
      <c r="R75" s="333"/>
      <c r="S75" s="333"/>
      <c r="T75" s="333"/>
      <c r="U75" s="333"/>
      <c r="V75" s="333"/>
      <c r="W75" s="333"/>
      <c r="X75" s="333"/>
      <c r="Y75" s="333"/>
      <c r="Z75" s="333"/>
      <c r="AA75" s="333"/>
      <c r="AB75" s="333"/>
      <c r="AC75" s="333"/>
      <c r="AD75" s="333"/>
      <c r="AE75" s="333"/>
      <c r="AF75" s="334"/>
      <c r="AG75" s="93"/>
      <c r="AH75" s="93"/>
    </row>
    <row r="76" spans="1:34" ht="97.5" customHeight="1">
      <c r="A76" s="93"/>
      <c r="B76" s="329" t="s">
        <v>107</v>
      </c>
      <c r="C76" s="330"/>
      <c r="D76" s="330"/>
      <c r="E76" s="330"/>
      <c r="F76" s="330"/>
      <c r="G76" s="331"/>
      <c r="H76" s="332" t="s">
        <v>108</v>
      </c>
      <c r="I76" s="333"/>
      <c r="J76" s="333"/>
      <c r="K76" s="333"/>
      <c r="L76" s="333"/>
      <c r="M76" s="333"/>
      <c r="N76" s="333"/>
      <c r="O76" s="333"/>
      <c r="P76" s="333"/>
      <c r="Q76" s="333"/>
      <c r="R76" s="333"/>
      <c r="S76" s="333"/>
      <c r="T76" s="333"/>
      <c r="U76" s="333"/>
      <c r="V76" s="333"/>
      <c r="W76" s="333"/>
      <c r="X76" s="333"/>
      <c r="Y76" s="333"/>
      <c r="Z76" s="333"/>
      <c r="AA76" s="333"/>
      <c r="AB76" s="333"/>
      <c r="AC76" s="333"/>
      <c r="AD76" s="333"/>
      <c r="AE76" s="333"/>
      <c r="AF76" s="334"/>
      <c r="AG76" s="93"/>
      <c r="AH76" s="93"/>
    </row>
    <row r="77" spans="1:34">
      <c r="A77" s="93"/>
      <c r="B77" s="120"/>
      <c r="C77" s="120"/>
      <c r="D77" s="120"/>
      <c r="E77" s="120"/>
      <c r="F77" s="120"/>
      <c r="G77" s="120"/>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93"/>
      <c r="AH77" s="93"/>
    </row>
    <row r="78" spans="1:34">
      <c r="A78" s="93"/>
      <c r="B78" s="120"/>
      <c r="C78" s="120"/>
      <c r="D78" s="120"/>
      <c r="E78" s="120"/>
      <c r="F78" s="120"/>
      <c r="G78" s="120"/>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93"/>
      <c r="AH78" s="93"/>
    </row>
    <row r="79" spans="1:34">
      <c r="A79" s="93"/>
      <c r="B79" s="120"/>
      <c r="C79" s="120"/>
      <c r="D79" s="120"/>
      <c r="E79" s="120"/>
      <c r="F79" s="120"/>
      <c r="G79" s="120"/>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93"/>
      <c r="AH79" s="93"/>
    </row>
    <row r="80" spans="1:34" ht="26.25">
      <c r="A80" s="93"/>
      <c r="B80" s="116" t="s">
        <v>109</v>
      </c>
      <c r="C80" s="117"/>
      <c r="D80" s="117"/>
      <c r="E80" s="117"/>
      <c r="F80" s="117"/>
      <c r="G80" s="117"/>
      <c r="H80" s="118"/>
      <c r="I80" s="118"/>
      <c r="J80" s="118"/>
      <c r="K80" s="118"/>
      <c r="L80" s="118"/>
      <c r="M80" s="118"/>
      <c r="N80" s="118"/>
      <c r="O80" s="118"/>
      <c r="P80" s="118"/>
      <c r="Q80" s="118"/>
      <c r="R80" s="118"/>
      <c r="S80" s="118"/>
      <c r="T80" s="118"/>
      <c r="U80" s="118"/>
      <c r="V80" s="118"/>
      <c r="W80" s="118"/>
      <c r="X80" s="118"/>
      <c r="Y80" s="118"/>
      <c r="Z80" s="118"/>
      <c r="AA80" s="118"/>
      <c r="AB80" s="118"/>
      <c r="AC80" s="118"/>
      <c r="AD80" s="118"/>
      <c r="AE80" s="118"/>
      <c r="AF80" s="118"/>
      <c r="AG80" s="93"/>
      <c r="AH80" s="93"/>
    </row>
    <row r="81" spans="1:36">
      <c r="A81" s="93"/>
      <c r="B81" s="120"/>
      <c r="C81" s="120"/>
      <c r="D81" s="120"/>
      <c r="E81" s="120"/>
      <c r="F81" s="120"/>
      <c r="G81" s="120"/>
      <c r="H81" s="121"/>
      <c r="I81" s="121"/>
      <c r="J81" s="121"/>
      <c r="K81" s="121"/>
      <c r="L81" s="121"/>
      <c r="M81" s="121"/>
      <c r="N81" s="121"/>
      <c r="O81" s="121"/>
      <c r="P81" s="121"/>
      <c r="Q81" s="121"/>
      <c r="R81" s="121"/>
      <c r="S81" s="121"/>
      <c r="T81" s="121"/>
      <c r="U81" s="121"/>
      <c r="V81" s="121"/>
      <c r="W81" s="121"/>
      <c r="X81" s="121"/>
      <c r="Y81" s="121"/>
      <c r="Z81" s="121"/>
      <c r="AA81" s="121"/>
      <c r="AB81" s="121"/>
      <c r="AC81" s="121"/>
      <c r="AD81" s="121"/>
      <c r="AE81" s="121"/>
      <c r="AF81" s="121"/>
      <c r="AG81" s="93"/>
      <c r="AH81" s="93"/>
    </row>
    <row r="82" spans="1:36">
      <c r="A82" s="93"/>
      <c r="B82" s="120" t="s">
        <v>110</v>
      </c>
      <c r="C82" s="120"/>
      <c r="D82" s="120"/>
      <c r="E82" s="120"/>
      <c r="F82" s="120"/>
      <c r="G82" s="120"/>
      <c r="H82" s="121"/>
      <c r="I82" s="121"/>
      <c r="J82" s="121"/>
      <c r="K82" s="121"/>
      <c r="L82" s="121"/>
      <c r="M82" s="121"/>
      <c r="N82" s="121"/>
      <c r="O82" s="121"/>
      <c r="P82" s="121"/>
      <c r="Q82" s="121"/>
      <c r="R82" s="121"/>
      <c r="S82" s="121"/>
      <c r="T82" s="121"/>
      <c r="U82" s="121"/>
      <c r="V82" s="121"/>
      <c r="W82" s="121"/>
      <c r="X82" s="121"/>
      <c r="Y82" s="121"/>
      <c r="Z82" s="121"/>
      <c r="AA82" s="121"/>
      <c r="AB82" s="121"/>
      <c r="AC82" s="121"/>
      <c r="AD82" s="121"/>
      <c r="AE82" s="121"/>
      <c r="AF82" s="121"/>
      <c r="AG82" s="93"/>
      <c r="AH82" s="93"/>
    </row>
    <row r="83" spans="1:36" ht="67.5">
      <c r="A83" s="93"/>
      <c r="B83" s="120"/>
      <c r="C83" s="120"/>
      <c r="D83" s="120"/>
      <c r="E83" s="120"/>
      <c r="F83" s="120"/>
      <c r="G83" s="120"/>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93"/>
      <c r="AH83" s="93"/>
      <c r="AJ83" s="190" t="s">
        <v>111</v>
      </c>
    </row>
    <row r="84" spans="1:36" ht="18.75">
      <c r="A84" s="93"/>
      <c r="C84" s="120"/>
      <c r="D84" s="120"/>
      <c r="E84" s="120"/>
      <c r="F84" s="120"/>
      <c r="G84" s="120"/>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93"/>
      <c r="AH84" s="93"/>
      <c r="AI84" s="141"/>
      <c r="AJ84" s="189" t="s">
        <v>20</v>
      </c>
    </row>
    <row r="85" spans="1:36">
      <c r="A85" s="93"/>
      <c r="C85" s="120"/>
      <c r="D85" s="120"/>
      <c r="E85" s="120"/>
      <c r="F85" s="120"/>
      <c r="G85" s="120"/>
      <c r="H85" s="121"/>
      <c r="I85" s="121"/>
      <c r="J85" s="121"/>
      <c r="K85" s="121"/>
      <c r="L85" s="121"/>
      <c r="M85" s="121"/>
      <c r="N85" s="121"/>
      <c r="O85" s="121"/>
      <c r="P85" s="121"/>
      <c r="Q85" s="121"/>
      <c r="R85" s="121"/>
      <c r="S85" s="121"/>
      <c r="T85" s="121"/>
      <c r="U85" s="121"/>
      <c r="V85" s="121"/>
      <c r="W85" s="121"/>
      <c r="X85" s="121"/>
      <c r="Y85" s="121"/>
      <c r="Z85" s="121"/>
      <c r="AA85" s="121"/>
      <c r="AB85" s="121"/>
      <c r="AC85" s="121"/>
      <c r="AD85" s="121"/>
      <c r="AE85" s="121"/>
      <c r="AF85" s="121"/>
      <c r="AG85" s="93"/>
      <c r="AH85" s="93"/>
      <c r="AI85" s="142" t="s">
        <v>112</v>
      </c>
      <c r="AJ85" s="142" t="s">
        <v>113</v>
      </c>
    </row>
    <row r="86" spans="1:36">
      <c r="A86" s="93"/>
      <c r="C86" s="120"/>
      <c r="D86" s="120"/>
      <c r="E86" s="120"/>
      <c r="F86" s="120"/>
      <c r="G86" s="120"/>
      <c r="H86" s="121"/>
      <c r="I86" s="121"/>
      <c r="J86" s="121"/>
      <c r="K86" s="121"/>
      <c r="L86" s="121"/>
      <c r="M86" s="121"/>
      <c r="N86" s="121"/>
      <c r="O86" s="121"/>
      <c r="P86" s="121"/>
      <c r="Q86" s="121"/>
      <c r="R86" s="121"/>
      <c r="S86" s="121"/>
      <c r="T86" s="121"/>
      <c r="U86" s="121"/>
      <c r="V86" s="121"/>
      <c r="W86" s="121"/>
      <c r="X86" s="121"/>
      <c r="Y86" s="121"/>
      <c r="Z86" s="121"/>
      <c r="AA86" s="121"/>
      <c r="AB86" s="121"/>
      <c r="AC86" s="121"/>
      <c r="AD86" s="121"/>
      <c r="AE86" s="121"/>
      <c r="AF86" s="121"/>
      <c r="AG86" s="93"/>
      <c r="AH86" s="93"/>
      <c r="AI86" s="142" t="s">
        <v>114</v>
      </c>
      <c r="AJ86" s="142" t="s">
        <v>115</v>
      </c>
    </row>
    <row r="87" spans="1:36">
      <c r="A87" s="93"/>
      <c r="C87" s="120"/>
      <c r="D87" s="120"/>
      <c r="E87" s="120"/>
      <c r="F87" s="120"/>
      <c r="G87" s="120"/>
      <c r="H87" s="121"/>
      <c r="I87" s="121"/>
      <c r="J87" s="121"/>
      <c r="K87" s="121"/>
      <c r="L87" s="121"/>
      <c r="M87" s="121"/>
      <c r="N87" s="121"/>
      <c r="O87" s="121"/>
      <c r="P87" s="121"/>
      <c r="Q87" s="121"/>
      <c r="R87" s="121"/>
      <c r="S87" s="121"/>
      <c r="T87" s="121"/>
      <c r="U87" s="121"/>
      <c r="V87" s="121"/>
      <c r="W87" s="121"/>
      <c r="X87" s="121"/>
      <c r="Y87" s="121"/>
      <c r="Z87" s="121"/>
      <c r="AA87" s="121"/>
      <c r="AB87" s="121"/>
      <c r="AC87" s="121"/>
      <c r="AD87" s="121"/>
      <c r="AE87" s="121"/>
      <c r="AF87" s="121"/>
      <c r="AG87" s="93"/>
      <c r="AH87" s="93"/>
      <c r="AI87" s="142" t="s">
        <v>116</v>
      </c>
      <c r="AJ87" s="142" t="s">
        <v>117</v>
      </c>
    </row>
    <row r="88" spans="1:36" ht="18.75">
      <c r="A88" s="93"/>
      <c r="C88" s="120"/>
      <c r="D88" s="120"/>
      <c r="E88" s="120"/>
      <c r="F88" s="120"/>
      <c r="G88" s="120"/>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93"/>
      <c r="AH88" s="93"/>
      <c r="AI88" s="143"/>
      <c r="AJ88" s="142" t="s">
        <v>118</v>
      </c>
    </row>
    <row r="89" spans="1:36">
      <c r="A89" s="93"/>
      <c r="B89" s="120"/>
      <c r="C89" s="120"/>
      <c r="D89" s="120"/>
      <c r="E89" s="120"/>
      <c r="F89" s="120"/>
      <c r="G89" s="120"/>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93"/>
      <c r="AH89" s="93"/>
      <c r="AJ89" s="142" t="s">
        <v>119</v>
      </c>
    </row>
    <row r="90" spans="1:36">
      <c r="A90" s="93"/>
      <c r="B90" s="93"/>
      <c r="C90" s="93"/>
      <c r="D90" s="93"/>
      <c r="E90" s="93"/>
      <c r="F90" s="93"/>
      <c r="G90" s="93"/>
      <c r="H90" s="93"/>
      <c r="I90" s="93"/>
      <c r="J90" s="93"/>
      <c r="K90" s="93"/>
      <c r="L90" s="93"/>
      <c r="M90" s="93"/>
      <c r="N90" s="93"/>
      <c r="O90" s="93"/>
      <c r="P90" s="93"/>
      <c r="Q90" s="93"/>
      <c r="R90" s="93"/>
      <c r="S90" s="93"/>
      <c r="T90" s="93"/>
      <c r="U90" s="93"/>
      <c r="V90" s="93"/>
      <c r="W90" s="93"/>
      <c r="X90" s="93"/>
      <c r="Y90" s="93"/>
      <c r="Z90" s="93"/>
      <c r="AA90" s="93"/>
      <c r="AB90" s="93"/>
      <c r="AC90" s="93"/>
      <c r="AD90" s="93"/>
      <c r="AE90" s="93"/>
      <c r="AF90" s="93"/>
      <c r="AG90" s="93"/>
      <c r="AH90" s="93"/>
      <c r="AJ90" s="142" t="s">
        <v>120</v>
      </c>
    </row>
    <row r="91" spans="1:36">
      <c r="AJ91" s="142" t="s">
        <v>121</v>
      </c>
    </row>
    <row r="92" spans="1:36">
      <c r="AJ92" s="142" t="s">
        <v>122</v>
      </c>
    </row>
    <row r="93" spans="1:36">
      <c r="AJ93" s="142" t="s">
        <v>123</v>
      </c>
    </row>
    <row r="94" spans="1:36">
      <c r="AJ94" s="142" t="s">
        <v>124</v>
      </c>
    </row>
    <row r="95" spans="1:36">
      <c r="AJ95" s="142" t="s">
        <v>125</v>
      </c>
    </row>
    <row r="96" spans="1:36">
      <c r="AJ96" s="142" t="s">
        <v>126</v>
      </c>
    </row>
    <row r="97" spans="36:36">
      <c r="AJ97" s="142" t="s">
        <v>127</v>
      </c>
    </row>
    <row r="98" spans="36:36">
      <c r="AJ98" s="142" t="s">
        <v>128</v>
      </c>
    </row>
    <row r="99" spans="36:36">
      <c r="AJ99" s="142" t="s">
        <v>129</v>
      </c>
    </row>
    <row r="100" spans="36:36">
      <c r="AJ100" s="142" t="s">
        <v>130</v>
      </c>
    </row>
    <row r="101" spans="36:36">
      <c r="AJ101" s="142" t="s">
        <v>131</v>
      </c>
    </row>
    <row r="102" spans="36:36">
      <c r="AJ102" s="142" t="s">
        <v>132</v>
      </c>
    </row>
    <row r="103" spans="36:36">
      <c r="AJ103" s="142" t="s">
        <v>133</v>
      </c>
    </row>
    <row r="104" spans="36:36">
      <c r="AJ104" s="142" t="s">
        <v>134</v>
      </c>
    </row>
    <row r="105" spans="36:36" ht="18.75">
      <c r="AJ105" s="143" t="s">
        <v>129</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4"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workbookViewId="0">
      <selection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7" t="s">
        <v>37</v>
      </c>
      <c r="B1" s="338"/>
      <c r="C1" s="338"/>
      <c r="D1" s="339"/>
    </row>
    <row r="3" spans="1:8">
      <c r="B3" s="340" t="s">
        <v>135</v>
      </c>
      <c r="C3" s="341"/>
      <c r="D3" s="342"/>
    </row>
    <row r="4" spans="1:8">
      <c r="B4" s="68" t="s">
        <v>136</v>
      </c>
      <c r="C4" s="41" t="s">
        <v>137</v>
      </c>
      <c r="D4" s="12"/>
    </row>
    <row r="5" spans="1:8">
      <c r="B5" s="10" t="s">
        <v>138</v>
      </c>
      <c r="C5" s="11" t="s">
        <v>139</v>
      </c>
      <c r="D5" s="12"/>
    </row>
    <row r="6" spans="1:8">
      <c r="B6" s="10" t="s">
        <v>140</v>
      </c>
      <c r="C6" s="11" t="s">
        <v>141</v>
      </c>
      <c r="D6" s="12"/>
    </row>
    <row r="7" spans="1:8">
      <c r="B7" s="10" t="s">
        <v>142</v>
      </c>
      <c r="C7" s="11" t="s">
        <v>143</v>
      </c>
      <c r="D7" s="12"/>
    </row>
    <row r="8" spans="1:8">
      <c r="B8" s="10" t="s">
        <v>144</v>
      </c>
      <c r="C8" s="11" t="s">
        <v>145</v>
      </c>
      <c r="D8" s="12"/>
    </row>
    <row r="9" spans="1:8">
      <c r="B9" s="68" t="s">
        <v>146</v>
      </c>
      <c r="C9" s="41" t="s">
        <v>147</v>
      </c>
      <c r="D9" s="12"/>
    </row>
    <row r="10" spans="1:8">
      <c r="B10" s="68" t="s">
        <v>148</v>
      </c>
      <c r="C10" s="41" t="s">
        <v>149</v>
      </c>
      <c r="D10" s="12"/>
    </row>
    <row r="12" spans="1:8">
      <c r="B12" s="340" t="s">
        <v>150</v>
      </c>
      <c r="C12" s="341"/>
      <c r="D12" s="342"/>
    </row>
    <row r="13" spans="1:8" ht="24.75" customHeight="1">
      <c r="B13" s="122" t="s">
        <v>151</v>
      </c>
      <c r="C13" s="343" t="s">
        <v>152</v>
      </c>
      <c r="D13" s="344"/>
    </row>
    <row r="14" spans="1:8" ht="25.5" customHeight="1">
      <c r="B14" s="122" t="s">
        <v>153</v>
      </c>
      <c r="C14" s="343" t="s">
        <v>154</v>
      </c>
      <c r="D14" s="344"/>
      <c r="E14" s="78"/>
      <c r="F14" s="78"/>
      <c r="G14" s="78"/>
      <c r="H14" s="78"/>
    </row>
    <row r="15" spans="1:8" ht="49.5" customHeight="1">
      <c r="B15" s="122" t="s">
        <v>155</v>
      </c>
      <c r="C15" s="343" t="s">
        <v>156</v>
      </c>
      <c r="D15" s="344"/>
      <c r="F15" s="39" t="s">
        <v>157</v>
      </c>
    </row>
    <row r="17" spans="2:6">
      <c r="B17" s="340" t="s">
        <v>158</v>
      </c>
      <c r="C17" s="341"/>
      <c r="D17" s="342"/>
    </row>
    <row r="18" spans="2:6">
      <c r="B18" s="2"/>
      <c r="D18" s="3"/>
      <c r="F18" s="39" t="s">
        <v>159</v>
      </c>
    </row>
    <row r="19" spans="2:6" s="79" customFormat="1" ht="38.25">
      <c r="B19" s="335" t="s">
        <v>160</v>
      </c>
      <c r="C19" s="123" t="s">
        <v>161</v>
      </c>
      <c r="D19" s="80"/>
      <c r="F19" s="82" t="s">
        <v>162</v>
      </c>
    </row>
    <row r="20" spans="2:6">
      <c r="B20" s="335"/>
      <c r="C20" s="124"/>
      <c r="D20" s="3"/>
      <c r="F20" s="39" t="s">
        <v>163</v>
      </c>
    </row>
    <row r="21" spans="2:6" ht="25.5">
      <c r="B21" s="335"/>
      <c r="C21" s="125" t="s">
        <v>164</v>
      </c>
      <c r="D21" s="3"/>
    </row>
    <row r="22" spans="2:6" ht="25.5">
      <c r="B22" s="335"/>
      <c r="C22" s="125" t="s">
        <v>165</v>
      </c>
      <c r="D22" s="3"/>
    </row>
    <row r="23" spans="2:6">
      <c r="B23" s="335"/>
      <c r="C23" s="125" t="s">
        <v>166</v>
      </c>
      <c r="D23" s="3"/>
    </row>
    <row r="24" spans="2:6">
      <c r="B24" s="2"/>
      <c r="C24" s="24"/>
      <c r="D24" s="3"/>
    </row>
    <row r="25" spans="2:6">
      <c r="B25" s="336" t="s">
        <v>167</v>
      </c>
      <c r="C25" s="126" t="s">
        <v>168</v>
      </c>
      <c r="D25" s="3"/>
    </row>
    <row r="26" spans="2:6" ht="25.5">
      <c r="B26" s="336"/>
      <c r="C26" s="127" t="s">
        <v>169</v>
      </c>
      <c r="D26" s="3"/>
    </row>
    <row r="27" spans="2:6">
      <c r="B27" s="336"/>
      <c r="C27" s="126" t="s">
        <v>170</v>
      </c>
      <c r="D27" s="3"/>
    </row>
    <row r="28" spans="2:6">
      <c r="B28" s="2"/>
      <c r="C28" s="24"/>
      <c r="D28" s="3"/>
    </row>
    <row r="29" spans="2:6">
      <c r="B29" s="4"/>
      <c r="C29" s="5"/>
      <c r="D29" s="6"/>
    </row>
    <row r="32" spans="2:6">
      <c r="B32" s="13" t="s">
        <v>171</v>
      </c>
    </row>
    <row r="33" spans="2:4">
      <c r="B33" s="7"/>
      <c r="C33" s="8"/>
      <c r="D33" s="9"/>
    </row>
    <row r="34" spans="2:4" ht="18">
      <c r="B34" s="32" t="s">
        <v>172</v>
      </c>
      <c r="D34" s="3"/>
    </row>
    <row r="35" spans="2:4" ht="25.5">
      <c r="B35" s="2"/>
      <c r="C35" s="27" t="s">
        <v>173</v>
      </c>
      <c r="D35" s="3"/>
    </row>
    <row r="36" spans="2:4">
      <c r="B36" s="4"/>
      <c r="C36" s="63"/>
      <c r="D36" s="6"/>
    </row>
    <row r="37" spans="2:4">
      <c r="B37" s="2"/>
      <c r="C37" s="27"/>
      <c r="D37" s="3"/>
    </row>
    <row r="38" spans="2:4" ht="18">
      <c r="B38" s="32" t="s">
        <v>174</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175</v>
      </c>
      <c r="C50" s="188" t="s">
        <v>176</v>
      </c>
      <c r="D50" s="3"/>
    </row>
    <row r="51" spans="2:4">
      <c r="B51" s="4"/>
      <c r="C51" s="38"/>
      <c r="D51" s="6"/>
    </row>
    <row r="52" spans="2:4">
      <c r="B52" s="2"/>
      <c r="C52" s="27"/>
      <c r="D52" s="3"/>
    </row>
    <row r="53" spans="2:4" ht="18">
      <c r="B53" s="32" t="s">
        <v>177</v>
      </c>
      <c r="C53" s="27"/>
      <c r="D53" s="3"/>
    </row>
    <row r="54" spans="2:4">
      <c r="B54" s="2"/>
      <c r="C54" s="64" t="s">
        <v>178</v>
      </c>
      <c r="D54" s="3"/>
    </row>
    <row r="55" spans="2:4">
      <c r="B55" s="2"/>
      <c r="C55" s="65" t="s">
        <v>12</v>
      </c>
      <c r="D55" s="3"/>
    </row>
    <row r="56" spans="2:4">
      <c r="B56" s="2"/>
      <c r="C56" s="66" t="s">
        <v>179</v>
      </c>
      <c r="D56" s="3"/>
    </row>
    <row r="57" spans="2:4">
      <c r="B57" s="2"/>
      <c r="C57" s="67" t="s">
        <v>180</v>
      </c>
      <c r="D57" s="3"/>
    </row>
    <row r="58" spans="2:4">
      <c r="B58" s="4"/>
      <c r="C58" s="38"/>
      <c r="D58" s="6"/>
    </row>
    <row r="59" spans="2:4">
      <c r="B59" s="2"/>
      <c r="C59" s="24"/>
      <c r="D59" s="3"/>
    </row>
    <row r="60" spans="2:4" ht="18">
      <c r="B60" s="32" t="s">
        <v>181</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182</v>
      </c>
    </row>
    <row r="112" spans="2:4">
      <c r="B112" s="7"/>
      <c r="C112" s="8"/>
      <c r="D112" s="9"/>
    </row>
    <row r="113" spans="2:4">
      <c r="B113" s="2"/>
      <c r="D113" s="3"/>
    </row>
    <row r="114" spans="2:4">
      <c r="B114" s="2"/>
      <c r="D114" s="3"/>
    </row>
    <row r="115" spans="2:4">
      <c r="B115" s="2"/>
      <c r="C115" s="39" t="s">
        <v>183</v>
      </c>
      <c r="D115" s="3"/>
    </row>
    <row r="116" spans="2:4">
      <c r="B116" s="2"/>
      <c r="D116" s="3"/>
    </row>
    <row r="117" spans="2:4" ht="12.75" customHeight="1">
      <c r="B117" s="2"/>
      <c r="C117" s="39" t="s">
        <v>184</v>
      </c>
      <c r="D117" s="3"/>
    </row>
    <row r="118" spans="2:4" ht="12.75" customHeight="1">
      <c r="B118" s="2"/>
      <c r="D118" s="3"/>
    </row>
    <row r="119" spans="2:4" ht="12.75" customHeight="1">
      <c r="B119" s="2"/>
      <c r="D119" s="3"/>
    </row>
    <row r="120" spans="2:4">
      <c r="B120" s="4"/>
      <c r="C120" s="5"/>
      <c r="D120" s="6"/>
    </row>
    <row r="122" spans="2:4">
      <c r="B122" s="13" t="s">
        <v>185</v>
      </c>
    </row>
    <row r="123" spans="2:4" ht="38.25">
      <c r="B123" s="7"/>
      <c r="C123" s="81" t="s">
        <v>186</v>
      </c>
      <c r="D123" s="9"/>
    </row>
    <row r="124" spans="2:4">
      <c r="B124" s="128" t="s">
        <v>187</v>
      </c>
      <c r="C124" s="1" t="s">
        <v>188</v>
      </c>
      <c r="D124" s="3"/>
    </row>
    <row r="125" spans="2:4">
      <c r="B125" s="128" t="s">
        <v>187</v>
      </c>
      <c r="C125" s="27" t="s">
        <v>189</v>
      </c>
      <c r="D125" s="3"/>
    </row>
    <row r="126" spans="2:4">
      <c r="B126" s="128" t="s">
        <v>187</v>
      </c>
      <c r="C126" s="24" t="s">
        <v>190</v>
      </c>
      <c r="D126" s="3"/>
    </row>
    <row r="127" spans="2:4">
      <c r="B127" s="128" t="s">
        <v>187</v>
      </c>
      <c r="C127" s="24" t="s">
        <v>191</v>
      </c>
      <c r="D127" s="3"/>
    </row>
    <row r="128" spans="2:4">
      <c r="B128" s="128" t="s">
        <v>187</v>
      </c>
      <c r="C128" s="24" t="s">
        <v>192</v>
      </c>
      <c r="D128" s="3"/>
    </row>
    <row r="129" spans="2:4">
      <c r="B129" s="128" t="s">
        <v>187</v>
      </c>
      <c r="C129" s="24" t="s">
        <v>193</v>
      </c>
      <c r="D129" s="3"/>
    </row>
    <row r="130" spans="2:4">
      <c r="B130" s="128" t="s">
        <v>187</v>
      </c>
      <c r="C130" s="24" t="s">
        <v>194</v>
      </c>
      <c r="D130" s="3"/>
    </row>
    <row r="131" spans="2:4">
      <c r="B131" s="128" t="s">
        <v>187</v>
      </c>
      <c r="C131" s="27" t="s">
        <v>195</v>
      </c>
      <c r="D131" s="3"/>
    </row>
    <row r="132" spans="2:4">
      <c r="B132" s="128" t="s">
        <v>187</v>
      </c>
      <c r="C132" s="27" t="s">
        <v>196</v>
      </c>
      <c r="D132" s="3"/>
    </row>
    <row r="133" spans="2:4">
      <c r="B133" s="128" t="s">
        <v>187</v>
      </c>
      <c r="C133" s="1" t="s">
        <v>197</v>
      </c>
      <c r="D133" s="3"/>
    </row>
    <row r="134" spans="2:4">
      <c r="B134" s="128" t="s">
        <v>187</v>
      </c>
      <c r="C134" s="24" t="s">
        <v>198</v>
      </c>
      <c r="D134" s="3"/>
    </row>
    <row r="135" spans="2:4">
      <c r="B135" s="128" t="s">
        <v>187</v>
      </c>
      <c r="C135" s="24" t="s">
        <v>199</v>
      </c>
      <c r="D135" s="3"/>
    </row>
    <row r="136" spans="2:4">
      <c r="B136" s="128" t="s">
        <v>187</v>
      </c>
      <c r="C136" s="27" t="s">
        <v>200</v>
      </c>
      <c r="D136" s="3"/>
    </row>
    <row r="137" spans="2:4">
      <c r="B137" s="128" t="s">
        <v>187</v>
      </c>
      <c r="C137" s="27" t="s">
        <v>201</v>
      </c>
      <c r="D137" s="3"/>
    </row>
    <row r="138" spans="2:4">
      <c r="B138" s="128" t="s">
        <v>187</v>
      </c>
      <c r="C138" s="27" t="s">
        <v>202</v>
      </c>
      <c r="D138" s="3"/>
    </row>
    <row r="139" spans="2:4">
      <c r="B139" s="128" t="s">
        <v>187</v>
      </c>
      <c r="C139" s="27" t="s">
        <v>203</v>
      </c>
      <c r="D139" s="3"/>
    </row>
    <row r="140" spans="2:4">
      <c r="B140" s="129" t="s">
        <v>187</v>
      </c>
      <c r="C140" s="5" t="s">
        <v>204</v>
      </c>
      <c r="D140" s="6"/>
    </row>
  </sheetData>
  <mergeCells count="9">
    <mergeCell ref="B19:B23"/>
    <mergeCell ref="B25:B27"/>
    <mergeCell ref="A1:D1"/>
    <mergeCell ref="B17:D17"/>
    <mergeCell ref="B3:D3"/>
    <mergeCell ref="B12:D12"/>
    <mergeCell ref="C14:D14"/>
    <mergeCell ref="C15:D15"/>
    <mergeCell ref="C13:D13"/>
  </mergeCells>
  <phoneticPr fontId="31"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workbookViewId="0">
      <selection activeCell="X24" sqref="X24:X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205</v>
      </c>
      <c r="C24" s="191" t="s">
        <v>206</v>
      </c>
      <c r="D24" s="192" t="s">
        <v>207</v>
      </c>
      <c r="E24" s="72" t="s">
        <v>113</v>
      </c>
      <c r="F24" s="72" t="s">
        <v>115</v>
      </c>
      <c r="G24" s="72" t="s">
        <v>117</v>
      </c>
      <c r="H24" s="72" t="s">
        <v>118</v>
      </c>
      <c r="I24" s="72" t="s">
        <v>119</v>
      </c>
      <c r="J24" s="72" t="s">
        <v>120</v>
      </c>
      <c r="K24" s="72" t="s">
        <v>121</v>
      </c>
      <c r="L24" s="72" t="s">
        <v>122</v>
      </c>
      <c r="M24" s="72" t="s">
        <v>123</v>
      </c>
      <c r="N24" s="72" t="s">
        <v>124</v>
      </c>
      <c r="O24" s="72" t="s">
        <v>125</v>
      </c>
      <c r="P24" s="72" t="s">
        <v>126</v>
      </c>
      <c r="Q24" s="72" t="s">
        <v>127</v>
      </c>
      <c r="R24" s="72" t="s">
        <v>128</v>
      </c>
      <c r="S24" s="72" t="s">
        <v>129</v>
      </c>
      <c r="T24" s="72" t="s">
        <v>131</v>
      </c>
      <c r="U24" s="72" t="s">
        <v>130</v>
      </c>
      <c r="V24" s="72" t="s">
        <v>132</v>
      </c>
      <c r="W24" s="72" t="s">
        <v>133</v>
      </c>
      <c r="X24" s="72" t="s">
        <v>134</v>
      </c>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208</v>
      </c>
      <c r="D25" s="194">
        <f>SUM(E25:AA25)</f>
        <v>72</v>
      </c>
      <c r="E25" s="74">
        <v>0</v>
      </c>
      <c r="F25" s="74">
        <v>0</v>
      </c>
      <c r="G25" s="74">
        <v>0</v>
      </c>
      <c r="H25" s="74">
        <v>0</v>
      </c>
      <c r="I25" s="74">
        <v>0</v>
      </c>
      <c r="J25" s="74">
        <v>0</v>
      </c>
      <c r="K25" s="74">
        <v>0</v>
      </c>
      <c r="L25" s="74">
        <v>0</v>
      </c>
      <c r="M25" s="74">
        <v>0</v>
      </c>
      <c r="N25" s="74">
        <v>0</v>
      </c>
      <c r="O25" s="74">
        <v>0</v>
      </c>
      <c r="P25" s="74">
        <v>0</v>
      </c>
      <c r="Q25" s="74">
        <v>0</v>
      </c>
      <c r="R25" s="74">
        <v>19</v>
      </c>
      <c r="S25" s="74">
        <v>22</v>
      </c>
      <c r="T25" s="74">
        <v>16</v>
      </c>
      <c r="U25" s="74">
        <v>15</v>
      </c>
      <c r="V25" s="74">
        <v>0</v>
      </c>
      <c r="W25" s="74">
        <v>0</v>
      </c>
      <c r="X25" s="74">
        <v>0</v>
      </c>
    </row>
    <row r="26" spans="2:52" ht="15">
      <c r="B26" s="75"/>
      <c r="C26" s="36" t="s">
        <v>209</v>
      </c>
      <c r="D26" s="194">
        <f>SUM(E26:AA26)</f>
        <v>6</v>
      </c>
      <c r="E26" s="75">
        <v>0</v>
      </c>
      <c r="F26" s="75">
        <v>0</v>
      </c>
      <c r="G26" s="75">
        <v>0</v>
      </c>
      <c r="H26" s="75">
        <v>0</v>
      </c>
      <c r="I26" s="75">
        <v>0</v>
      </c>
      <c r="J26" s="75">
        <v>0</v>
      </c>
      <c r="K26" s="75">
        <v>0</v>
      </c>
      <c r="L26" s="75">
        <v>0</v>
      </c>
      <c r="M26" s="75">
        <v>0</v>
      </c>
      <c r="N26" s="75">
        <v>0</v>
      </c>
      <c r="O26" s="75">
        <v>0</v>
      </c>
      <c r="P26" s="75">
        <v>0</v>
      </c>
      <c r="Q26" s="75">
        <v>0</v>
      </c>
      <c r="R26" s="75">
        <v>3</v>
      </c>
      <c r="S26" s="75">
        <v>1</v>
      </c>
      <c r="T26" s="75">
        <v>2</v>
      </c>
      <c r="U26" s="75">
        <v>0</v>
      </c>
      <c r="V26" s="75">
        <v>0</v>
      </c>
      <c r="W26" s="75">
        <v>0</v>
      </c>
      <c r="X26" s="75">
        <v>0</v>
      </c>
    </row>
    <row r="27" spans="2:52" ht="15">
      <c r="B27" s="73">
        <f>B25+B26</f>
        <v>0</v>
      </c>
      <c r="C27" s="40" t="s">
        <v>210</v>
      </c>
      <c r="D27" s="73">
        <f t="shared" ref="D27" si="0">D25+D26</f>
        <v>78</v>
      </c>
      <c r="E27" s="73">
        <f t="shared" ref="E27:X27" si="1">E25+E26</f>
        <v>0</v>
      </c>
      <c r="F27" s="73">
        <f t="shared" si="1"/>
        <v>0</v>
      </c>
      <c r="G27" s="73">
        <f t="shared" si="1"/>
        <v>0</v>
      </c>
      <c r="H27" s="73">
        <f t="shared" si="1"/>
        <v>0</v>
      </c>
      <c r="I27" s="73">
        <f t="shared" si="1"/>
        <v>0</v>
      </c>
      <c r="J27" s="73">
        <f t="shared" si="1"/>
        <v>0</v>
      </c>
      <c r="K27" s="73">
        <f t="shared" si="1"/>
        <v>0</v>
      </c>
      <c r="L27" s="73">
        <f t="shared" si="1"/>
        <v>0</v>
      </c>
      <c r="M27" s="73">
        <f t="shared" si="1"/>
        <v>0</v>
      </c>
      <c r="N27" s="73">
        <f t="shared" si="1"/>
        <v>0</v>
      </c>
      <c r="O27" s="73">
        <f t="shared" si="1"/>
        <v>0</v>
      </c>
      <c r="P27" s="73">
        <f t="shared" si="1"/>
        <v>0</v>
      </c>
      <c r="Q27" s="73">
        <f t="shared" si="1"/>
        <v>0</v>
      </c>
      <c r="R27" s="73">
        <f t="shared" si="1"/>
        <v>22</v>
      </c>
      <c r="S27" s="73">
        <f t="shared" si="1"/>
        <v>23</v>
      </c>
      <c r="T27" s="73">
        <f t="shared" si="1"/>
        <v>18</v>
      </c>
      <c r="U27" s="73">
        <f t="shared" si="1"/>
        <v>15</v>
      </c>
      <c r="V27" s="73">
        <f t="shared" si="1"/>
        <v>0</v>
      </c>
      <c r="W27" s="73">
        <f t="shared" si="1"/>
        <v>0</v>
      </c>
      <c r="X27" s="73">
        <f t="shared" si="1"/>
        <v>0</v>
      </c>
    </row>
    <row r="28" spans="2:52">
      <c r="D28" s="15"/>
      <c r="H28" s="33"/>
    </row>
    <row r="29" spans="2:52">
      <c r="D29" s="15"/>
      <c r="H29" s="33"/>
    </row>
    <row r="30" spans="2:52">
      <c r="D30" s="15"/>
      <c r="H30" s="33"/>
    </row>
    <row r="31" spans="2:52" s="71" customFormat="1" ht="60" customHeight="1">
      <c r="B31" s="72" t="s">
        <v>211</v>
      </c>
      <c r="C31" s="191" t="s">
        <v>212</v>
      </c>
      <c r="D31" s="192" t="s">
        <v>207</v>
      </c>
      <c r="E31" s="72"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213</v>
      </c>
      <c r="D32" s="194" t="e">
        <f>SUM(E32:AA32)</f>
        <v>#VALUE!</v>
      </c>
      <c r="E32" s="74" t="e">
        <v>#VALUE!</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214</v>
      </c>
      <c r="D33" s="194">
        <f>SUM(E33:AA33)</f>
        <v>0</v>
      </c>
      <c r="E33" s="75">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215</v>
      </c>
      <c r="D34" s="194">
        <f>SUM(E34:AA34)</f>
        <v>45</v>
      </c>
      <c r="E34" s="75">
        <v>45</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216</v>
      </c>
      <c r="D35" s="194">
        <f>SUM(E35:AA35)</f>
        <v>2</v>
      </c>
      <c r="E35" s="75">
        <v>2</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217</v>
      </c>
      <c r="D36" s="194">
        <f>SUM(E36:AA36)</f>
        <v>97</v>
      </c>
      <c r="E36" s="75">
        <v>97</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210</v>
      </c>
      <c r="D37" s="76" t="e">
        <f>SUM(D32:D36)</f>
        <v>#VALUE!</v>
      </c>
      <c r="E37" s="76" t="e">
        <f>SUM(E32:E36)</f>
        <v>#VALUE!</v>
      </c>
    </row>
    <row r="38" spans="2:52">
      <c r="D38" s="15"/>
      <c r="H38" s="33"/>
    </row>
    <row r="39" spans="2:52">
      <c r="D39" s="15"/>
      <c r="H39" s="33"/>
    </row>
    <row r="40" spans="2:52" s="71" customFormat="1" ht="63.75">
      <c r="B40" s="72" t="s">
        <v>211</v>
      </c>
      <c r="C40" s="191" t="s">
        <v>218</v>
      </c>
      <c r="D40" s="192" t="s">
        <v>207</v>
      </c>
      <c r="E40" s="72"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219</v>
      </c>
      <c r="D41" s="194">
        <f>SUM(E41:AA41)</f>
        <v>142</v>
      </c>
      <c r="E41" s="75">
        <v>142</v>
      </c>
    </row>
    <row r="42" spans="2:52" ht="15">
      <c r="B42" s="75"/>
      <c r="C42" s="36" t="s">
        <v>220</v>
      </c>
      <c r="D42" s="194">
        <f>SUM(E42:AA42)</f>
        <v>2</v>
      </c>
      <c r="E42" s="75">
        <v>2</v>
      </c>
    </row>
    <row r="43" spans="2:52" s="15" customFormat="1" ht="15">
      <c r="B43" s="75"/>
      <c r="C43" s="36" t="s">
        <v>221</v>
      </c>
      <c r="D43" s="194">
        <f>SUM(E43:AA43)</f>
        <v>1</v>
      </c>
      <c r="E43" s="75">
        <v>1</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210</v>
      </c>
      <c r="D44" s="76">
        <f>SUM(D41:D43)</f>
        <v>145</v>
      </c>
      <c r="E44" s="76">
        <f>SUM(E41:E43)</f>
        <v>145</v>
      </c>
    </row>
    <row r="45" spans="2:52">
      <c r="D45" s="15"/>
    </row>
    <row r="46" spans="2:52">
      <c r="D46" s="15"/>
    </row>
    <row r="47" spans="2:52" ht="25.5">
      <c r="C47" s="193" t="s">
        <v>178</v>
      </c>
      <c r="D47" s="193" t="s">
        <v>50</v>
      </c>
      <c r="E47" s="26" t="s">
        <v>222</v>
      </c>
    </row>
    <row r="48" spans="2:52">
      <c r="C48" s="77" t="s">
        <v>223</v>
      </c>
      <c r="D48" s="195" t="s">
        <v>224</v>
      </c>
      <c r="E48" s="77" t="s">
        <v>225</v>
      </c>
    </row>
  </sheetData>
  <phoneticPr fontId="31"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63"/>
  <sheetViews>
    <sheetView topLeftCell="A35" zoomScale="85" zoomScaleNormal="85" workbookViewId="0">
      <selection activeCell="L63" sqref="L63"/>
    </sheetView>
  </sheetViews>
  <sheetFormatPr defaultColWidth="8.85546875" defaultRowHeight="15" outlineLevelCol="1"/>
  <cols>
    <col min="1" max="1" width="54.140625" style="130" customWidth="1"/>
    <col min="2" max="2" width="31.5703125" style="130" customWidth="1"/>
    <col min="3" max="3" width="43.28515625" style="130" customWidth="1"/>
    <col min="4" max="4" width="13.42578125" style="239" customWidth="1"/>
    <col min="5" max="5" width="18.140625" style="130" customWidth="1"/>
    <col min="6" max="14" width="15.28515625" style="130" customWidth="1" outlineLevel="1"/>
    <col min="15" max="15" width="16.7109375" style="130" customWidth="1" outlineLevel="1"/>
    <col min="16" max="16384" width="8.85546875" style="130"/>
  </cols>
  <sheetData>
    <row r="1" spans="1:15" ht="21" customHeight="1">
      <c r="A1" s="345" t="s">
        <v>226</v>
      </c>
      <c r="B1" s="346"/>
      <c r="C1" s="346"/>
      <c r="D1" s="346"/>
      <c r="E1" s="347"/>
      <c r="F1" s="348" t="s">
        <v>227</v>
      </c>
      <c r="G1" s="349"/>
      <c r="H1" s="349"/>
      <c r="I1" s="349"/>
      <c r="J1" s="349"/>
      <c r="K1" s="349"/>
      <c r="L1" s="349"/>
      <c r="M1" s="349"/>
      <c r="N1" s="349"/>
      <c r="O1" s="349"/>
    </row>
    <row r="2" spans="1:15" ht="37.5">
      <c r="A2" s="139" t="s">
        <v>228</v>
      </c>
      <c r="B2" s="139" t="s">
        <v>229</v>
      </c>
      <c r="C2" s="139" t="s">
        <v>230</v>
      </c>
      <c r="D2" s="238" t="s">
        <v>231</v>
      </c>
      <c r="E2" s="139" t="s">
        <v>232</v>
      </c>
      <c r="F2" s="140" t="s">
        <v>233</v>
      </c>
      <c r="G2" s="140" t="s">
        <v>234</v>
      </c>
      <c r="H2" s="140" t="s">
        <v>235</v>
      </c>
      <c r="I2" s="140" t="s">
        <v>236</v>
      </c>
      <c r="J2" s="140" t="s">
        <v>237</v>
      </c>
      <c r="K2" s="140" t="s">
        <v>238</v>
      </c>
      <c r="L2" s="140" t="s">
        <v>239</v>
      </c>
      <c r="M2" s="140" t="s">
        <v>240</v>
      </c>
      <c r="N2" s="140" t="s">
        <v>1155</v>
      </c>
      <c r="O2" s="140" t="s">
        <v>241</v>
      </c>
    </row>
    <row r="3" spans="1:15">
      <c r="A3" s="241" t="s">
        <v>242</v>
      </c>
      <c r="B3" s="130" t="s">
        <v>153</v>
      </c>
      <c r="C3" s="242" t="s">
        <v>243</v>
      </c>
      <c r="D3" s="243" t="s">
        <v>243</v>
      </c>
      <c r="E3" s="218">
        <f t="shared" ref="E3:E19" si="0">SUM(F3:O3)</f>
        <v>60</v>
      </c>
      <c r="F3" s="130">
        <v>30</v>
      </c>
      <c r="G3" s="130">
        <v>30</v>
      </c>
    </row>
    <row r="4" spans="1:15">
      <c r="A4" s="130" t="s">
        <v>244</v>
      </c>
      <c r="B4" s="130" t="s">
        <v>153</v>
      </c>
      <c r="C4" s="242" t="s">
        <v>243</v>
      </c>
      <c r="D4" s="243" t="s">
        <v>243</v>
      </c>
      <c r="E4" s="218">
        <f t="shared" si="0"/>
        <v>60</v>
      </c>
      <c r="F4" s="130">
        <v>30</v>
      </c>
      <c r="G4" s="130">
        <v>30</v>
      </c>
    </row>
    <row r="5" spans="1:15">
      <c r="A5" s="130" t="s">
        <v>245</v>
      </c>
      <c r="B5" s="130" t="s">
        <v>153</v>
      </c>
      <c r="C5" s="242" t="s">
        <v>243</v>
      </c>
      <c r="D5" s="243" t="s">
        <v>246</v>
      </c>
      <c r="E5" s="218">
        <f t="shared" si="0"/>
        <v>60</v>
      </c>
      <c r="F5" s="130">
        <v>30</v>
      </c>
      <c r="G5" s="130">
        <v>30</v>
      </c>
    </row>
    <row r="6" spans="1:15">
      <c r="A6" s="130" t="s">
        <v>247</v>
      </c>
      <c r="B6" s="130" t="s">
        <v>153</v>
      </c>
      <c r="C6" s="242" t="s">
        <v>246</v>
      </c>
      <c r="D6" s="243" t="s">
        <v>246</v>
      </c>
      <c r="E6" s="218">
        <f t="shared" si="0"/>
        <v>60</v>
      </c>
      <c r="F6" s="130">
        <v>30</v>
      </c>
      <c r="G6" s="130">
        <v>30</v>
      </c>
    </row>
    <row r="7" spans="1:15">
      <c r="A7" s="130" t="s">
        <v>248</v>
      </c>
      <c r="B7" s="130" t="s">
        <v>153</v>
      </c>
      <c r="C7" s="237" t="s">
        <v>249</v>
      </c>
      <c r="D7" s="239" t="s">
        <v>249</v>
      </c>
      <c r="E7" s="218">
        <f t="shared" si="0"/>
        <v>60</v>
      </c>
      <c r="H7" s="130">
        <v>30</v>
      </c>
      <c r="I7" s="130">
        <v>30</v>
      </c>
    </row>
    <row r="8" spans="1:15">
      <c r="A8" s="130" t="s">
        <v>242</v>
      </c>
      <c r="B8" s="130" t="s">
        <v>153</v>
      </c>
      <c r="C8" s="236">
        <v>44577</v>
      </c>
      <c r="D8" s="240">
        <v>44577</v>
      </c>
      <c r="E8" s="218">
        <f t="shared" si="0"/>
        <v>60</v>
      </c>
      <c r="F8" s="130">
        <v>30</v>
      </c>
      <c r="J8" s="130">
        <v>30</v>
      </c>
    </row>
    <row r="9" spans="1:15">
      <c r="A9" s="241" t="s">
        <v>250</v>
      </c>
      <c r="B9" s="130" t="s">
        <v>153</v>
      </c>
      <c r="C9" s="236">
        <v>44577</v>
      </c>
      <c r="D9" s="240">
        <v>44577</v>
      </c>
      <c r="E9" s="218">
        <f t="shared" si="0"/>
        <v>60</v>
      </c>
      <c r="F9" s="130">
        <v>30</v>
      </c>
      <c r="J9" s="130">
        <v>30</v>
      </c>
    </row>
    <row r="10" spans="1:15">
      <c r="A10" s="130" t="s">
        <v>245</v>
      </c>
      <c r="B10" s="130" t="s">
        <v>153</v>
      </c>
      <c r="C10" s="236">
        <v>44577</v>
      </c>
      <c r="D10" s="240">
        <v>44577</v>
      </c>
      <c r="E10" s="218">
        <f t="shared" si="0"/>
        <v>60</v>
      </c>
      <c r="F10" s="130">
        <v>30</v>
      </c>
      <c r="J10" s="130">
        <v>30</v>
      </c>
    </row>
    <row r="11" spans="1:15">
      <c r="A11" s="130" t="s">
        <v>247</v>
      </c>
      <c r="B11" s="130" t="s">
        <v>153</v>
      </c>
      <c r="C11" s="236">
        <v>44577</v>
      </c>
      <c r="D11" s="240">
        <v>44577</v>
      </c>
      <c r="E11" s="218">
        <f t="shared" si="0"/>
        <v>60</v>
      </c>
      <c r="F11" s="130">
        <v>30</v>
      </c>
      <c r="J11" s="130">
        <v>30</v>
      </c>
    </row>
    <row r="12" spans="1:15">
      <c r="A12" s="241" t="s">
        <v>251</v>
      </c>
      <c r="B12" s="130" t="s">
        <v>153</v>
      </c>
      <c r="C12" s="242" t="s">
        <v>252</v>
      </c>
      <c r="D12" s="243" t="s">
        <v>252</v>
      </c>
      <c r="E12" s="227">
        <f t="shared" si="0"/>
        <v>60</v>
      </c>
      <c r="H12" s="130">
        <v>30</v>
      </c>
      <c r="K12" s="130">
        <v>30</v>
      </c>
    </row>
    <row r="13" spans="1:15">
      <c r="A13" s="241" t="s">
        <v>253</v>
      </c>
      <c r="B13" s="130" t="s">
        <v>153</v>
      </c>
      <c r="C13" s="242" t="s">
        <v>252</v>
      </c>
      <c r="D13" s="243" t="s">
        <v>252</v>
      </c>
      <c r="E13" s="227">
        <f t="shared" si="0"/>
        <v>60</v>
      </c>
      <c r="H13" s="130">
        <v>30</v>
      </c>
      <c r="K13" s="130">
        <v>30</v>
      </c>
    </row>
    <row r="14" spans="1:15">
      <c r="A14" s="241" t="s">
        <v>254</v>
      </c>
      <c r="B14" s="130" t="s">
        <v>153</v>
      </c>
      <c r="C14" s="242" t="s">
        <v>252</v>
      </c>
      <c r="D14" s="243" t="s">
        <v>252</v>
      </c>
      <c r="E14" s="227">
        <f t="shared" si="0"/>
        <v>60</v>
      </c>
      <c r="H14" s="130">
        <v>30</v>
      </c>
      <c r="K14" s="130">
        <v>30</v>
      </c>
    </row>
    <row r="15" spans="1:15">
      <c r="A15" s="241" t="s">
        <v>255</v>
      </c>
      <c r="B15" s="130" t="s">
        <v>153</v>
      </c>
      <c r="C15" s="242" t="s">
        <v>252</v>
      </c>
      <c r="D15" s="243" t="s">
        <v>252</v>
      </c>
      <c r="E15" s="227">
        <f t="shared" si="0"/>
        <v>60</v>
      </c>
      <c r="H15" s="130">
        <v>30</v>
      </c>
      <c r="K15" s="130">
        <v>30</v>
      </c>
    </row>
    <row r="16" spans="1:15">
      <c r="A16" s="241" t="s">
        <v>256</v>
      </c>
      <c r="B16" s="130" t="s">
        <v>153</v>
      </c>
      <c r="C16" s="242" t="s">
        <v>252</v>
      </c>
      <c r="D16" s="243" t="s">
        <v>252</v>
      </c>
      <c r="E16" s="227">
        <f t="shared" si="0"/>
        <v>60</v>
      </c>
      <c r="H16" s="130">
        <v>30</v>
      </c>
      <c r="K16" s="130">
        <v>30</v>
      </c>
    </row>
    <row r="17" spans="1:12">
      <c r="A17" s="241" t="s">
        <v>257</v>
      </c>
      <c r="B17" s="130" t="s">
        <v>153</v>
      </c>
      <c r="C17" s="242" t="s">
        <v>252</v>
      </c>
      <c r="D17" s="243" t="s">
        <v>252</v>
      </c>
      <c r="E17" s="227">
        <f t="shared" si="0"/>
        <v>60</v>
      </c>
      <c r="H17" s="130">
        <v>30</v>
      </c>
      <c r="K17" s="130">
        <v>30</v>
      </c>
    </row>
    <row r="18" spans="1:12">
      <c r="A18" s="241" t="s">
        <v>258</v>
      </c>
      <c r="B18" s="130" t="s">
        <v>153</v>
      </c>
      <c r="C18" s="242" t="s">
        <v>252</v>
      </c>
      <c r="D18" s="243" t="s">
        <v>252</v>
      </c>
      <c r="E18" s="227">
        <f t="shared" si="0"/>
        <v>60</v>
      </c>
      <c r="H18" s="130">
        <v>30</v>
      </c>
      <c r="K18" s="130">
        <v>30</v>
      </c>
    </row>
    <row r="19" spans="1:12">
      <c r="A19" s="241" t="s">
        <v>259</v>
      </c>
      <c r="B19" s="130" t="s">
        <v>153</v>
      </c>
      <c r="C19" s="242" t="s">
        <v>252</v>
      </c>
      <c r="D19" s="243" t="s">
        <v>252</v>
      </c>
      <c r="E19" s="227">
        <f t="shared" si="0"/>
        <v>60</v>
      </c>
      <c r="H19" s="130">
        <v>30</v>
      </c>
      <c r="K19" s="130">
        <v>30</v>
      </c>
    </row>
    <row r="20" spans="1:12">
      <c r="A20" s="241" t="s">
        <v>260</v>
      </c>
      <c r="B20" s="130" t="s">
        <v>153</v>
      </c>
      <c r="C20" s="242" t="s">
        <v>261</v>
      </c>
      <c r="D20" s="243" t="s">
        <v>261</v>
      </c>
      <c r="E20" s="227">
        <f>SUM(F20:O20)</f>
        <v>20</v>
      </c>
      <c r="G20" s="130">
        <v>10</v>
      </c>
      <c r="L20" s="130">
        <v>10</v>
      </c>
    </row>
    <row r="21" spans="1:12">
      <c r="A21" s="241" t="s">
        <v>262</v>
      </c>
      <c r="B21" s="130" t="s">
        <v>153</v>
      </c>
      <c r="C21" s="242" t="s">
        <v>263</v>
      </c>
      <c r="D21" s="243" t="s">
        <v>263</v>
      </c>
      <c r="E21" s="227">
        <f>SUM(F21:O21)</f>
        <v>20</v>
      </c>
      <c r="G21" s="130">
        <v>10</v>
      </c>
      <c r="H21" s="130">
        <v>10</v>
      </c>
    </row>
    <row r="22" spans="1:12">
      <c r="A22" s="241" t="s">
        <v>264</v>
      </c>
      <c r="B22" s="130" t="s">
        <v>153</v>
      </c>
      <c r="C22" s="242" t="s">
        <v>263</v>
      </c>
      <c r="D22" s="243" t="s">
        <v>263</v>
      </c>
      <c r="E22" s="227">
        <f t="shared" ref="E22:E63" si="1">SUM(F22:O22)</f>
        <v>30</v>
      </c>
      <c r="G22" s="130">
        <v>15</v>
      </c>
      <c r="H22" s="130">
        <v>15</v>
      </c>
    </row>
    <row r="23" spans="1:12">
      <c r="A23" s="241" t="s">
        <v>265</v>
      </c>
      <c r="B23" s="130" t="s">
        <v>153</v>
      </c>
      <c r="C23" s="242" t="s">
        <v>263</v>
      </c>
      <c r="D23" s="243" t="s">
        <v>263</v>
      </c>
      <c r="E23" s="227">
        <f t="shared" si="1"/>
        <v>20</v>
      </c>
      <c r="G23" s="130">
        <v>10</v>
      </c>
      <c r="H23" s="130">
        <v>10</v>
      </c>
    </row>
    <row r="24" spans="1:12">
      <c r="A24" s="241" t="s">
        <v>266</v>
      </c>
      <c r="B24" s="130" t="s">
        <v>153</v>
      </c>
      <c r="C24" s="242" t="s">
        <v>263</v>
      </c>
      <c r="D24" s="243" t="s">
        <v>263</v>
      </c>
      <c r="E24" s="227">
        <f t="shared" si="1"/>
        <v>30</v>
      </c>
      <c r="G24" s="130">
        <v>15</v>
      </c>
      <c r="H24" s="130">
        <v>15</v>
      </c>
    </row>
    <row r="25" spans="1:12">
      <c r="A25" s="241" t="s">
        <v>267</v>
      </c>
      <c r="B25" s="130" t="s">
        <v>153</v>
      </c>
      <c r="C25" s="242" t="s">
        <v>263</v>
      </c>
      <c r="D25" s="243" t="s">
        <v>263</v>
      </c>
      <c r="E25" s="227">
        <f t="shared" si="1"/>
        <v>30</v>
      </c>
      <c r="G25" s="130">
        <v>15</v>
      </c>
      <c r="H25" s="130">
        <v>15</v>
      </c>
    </row>
    <row r="26" spans="1:12">
      <c r="A26" s="241" t="s">
        <v>248</v>
      </c>
      <c r="B26" s="130" t="s">
        <v>153</v>
      </c>
      <c r="C26" s="242" t="s">
        <v>263</v>
      </c>
      <c r="D26" s="243" t="s">
        <v>263</v>
      </c>
      <c r="E26" s="227">
        <f t="shared" si="1"/>
        <v>60</v>
      </c>
      <c r="I26" s="130">
        <v>30</v>
      </c>
      <c r="J26" s="130">
        <v>30</v>
      </c>
    </row>
    <row r="27" spans="1:12">
      <c r="A27" s="241" t="s">
        <v>251</v>
      </c>
      <c r="B27" s="130" t="s">
        <v>153</v>
      </c>
      <c r="C27" s="242" t="s">
        <v>268</v>
      </c>
      <c r="D27" s="243" t="s">
        <v>268</v>
      </c>
      <c r="E27" s="227">
        <f t="shared" si="1"/>
        <v>30</v>
      </c>
      <c r="H27" s="130">
        <v>15</v>
      </c>
      <c r="I27" s="130">
        <v>15</v>
      </c>
    </row>
    <row r="28" spans="1:12">
      <c r="A28" s="241" t="s">
        <v>269</v>
      </c>
      <c r="B28" s="130" t="s">
        <v>153</v>
      </c>
      <c r="C28" s="242" t="s">
        <v>268</v>
      </c>
      <c r="D28" s="243" t="s">
        <v>268</v>
      </c>
      <c r="E28" s="227">
        <f t="shared" si="1"/>
        <v>30</v>
      </c>
      <c r="H28" s="130">
        <v>15</v>
      </c>
      <c r="I28" s="130">
        <v>15</v>
      </c>
    </row>
    <row r="29" spans="1:12">
      <c r="A29" s="241" t="s">
        <v>254</v>
      </c>
      <c r="B29" s="130" t="s">
        <v>153</v>
      </c>
      <c r="C29" s="242" t="s">
        <v>268</v>
      </c>
      <c r="D29" s="243" t="s">
        <v>268</v>
      </c>
      <c r="E29" s="227">
        <f t="shared" si="1"/>
        <v>30</v>
      </c>
      <c r="H29" s="130">
        <v>15</v>
      </c>
      <c r="I29" s="130">
        <v>15</v>
      </c>
    </row>
    <row r="30" spans="1:12">
      <c r="A30" s="241" t="s">
        <v>270</v>
      </c>
      <c r="B30" s="130" t="s">
        <v>153</v>
      </c>
      <c r="C30" s="242" t="s">
        <v>268</v>
      </c>
      <c r="D30" s="243" t="s">
        <v>268</v>
      </c>
      <c r="E30" s="227">
        <f t="shared" si="1"/>
        <v>30</v>
      </c>
      <c r="H30" s="130">
        <v>15</v>
      </c>
      <c r="I30" s="130">
        <v>15</v>
      </c>
    </row>
    <row r="31" spans="1:12">
      <c r="A31" s="241" t="s">
        <v>271</v>
      </c>
      <c r="B31" s="130" t="s">
        <v>153</v>
      </c>
      <c r="C31" s="242" t="s">
        <v>268</v>
      </c>
      <c r="D31" s="243" t="s">
        <v>268</v>
      </c>
      <c r="E31" s="227">
        <f t="shared" si="1"/>
        <v>30</v>
      </c>
      <c r="H31" s="130">
        <v>15</v>
      </c>
      <c r="I31" s="130">
        <v>15</v>
      </c>
    </row>
    <row r="32" spans="1:12">
      <c r="A32" s="241" t="s">
        <v>255</v>
      </c>
      <c r="B32" s="130" t="s">
        <v>153</v>
      </c>
      <c r="C32" s="242" t="s">
        <v>268</v>
      </c>
      <c r="D32" s="243" t="s">
        <v>268</v>
      </c>
      <c r="E32" s="227">
        <f t="shared" si="1"/>
        <v>30</v>
      </c>
      <c r="H32" s="130">
        <v>15</v>
      </c>
      <c r="I32" s="130">
        <v>15</v>
      </c>
    </row>
    <row r="33" spans="1:14">
      <c r="A33" s="241" t="s">
        <v>256</v>
      </c>
      <c r="B33" s="130" t="s">
        <v>153</v>
      </c>
      <c r="C33" s="242" t="s">
        <v>268</v>
      </c>
      <c r="D33" s="243" t="s">
        <v>268</v>
      </c>
      <c r="E33" s="227">
        <f t="shared" si="1"/>
        <v>30</v>
      </c>
      <c r="H33" s="130">
        <v>15</v>
      </c>
      <c r="I33" s="130">
        <v>15</v>
      </c>
    </row>
    <row r="34" spans="1:14">
      <c r="A34" s="241" t="s">
        <v>257</v>
      </c>
      <c r="B34" s="130" t="s">
        <v>153</v>
      </c>
      <c r="C34" s="242" t="s">
        <v>268</v>
      </c>
      <c r="D34" s="243" t="s">
        <v>268</v>
      </c>
      <c r="E34" s="227">
        <f t="shared" si="1"/>
        <v>30</v>
      </c>
      <c r="H34" s="130">
        <v>15</v>
      </c>
      <c r="I34" s="130">
        <v>15</v>
      </c>
    </row>
    <row r="35" spans="1:14">
      <c r="A35" s="241" t="s">
        <v>258</v>
      </c>
      <c r="B35" s="130" t="s">
        <v>153</v>
      </c>
      <c r="C35" s="242" t="s">
        <v>268</v>
      </c>
      <c r="D35" s="243" t="s">
        <v>268</v>
      </c>
      <c r="E35" s="227">
        <f t="shared" si="1"/>
        <v>30</v>
      </c>
      <c r="H35" s="130">
        <v>15</v>
      </c>
      <c r="I35" s="130">
        <v>15</v>
      </c>
    </row>
    <row r="36" spans="1:14">
      <c r="A36" s="241" t="s">
        <v>272</v>
      </c>
      <c r="B36" s="130" t="s">
        <v>153</v>
      </c>
      <c r="C36" s="242" t="s">
        <v>268</v>
      </c>
      <c r="D36" s="243" t="s">
        <v>268</v>
      </c>
      <c r="E36" s="227">
        <f t="shared" si="1"/>
        <v>30</v>
      </c>
      <c r="H36" s="130">
        <v>15</v>
      </c>
      <c r="I36" s="130">
        <v>15</v>
      </c>
    </row>
    <row r="37" spans="1:14">
      <c r="A37" s="241" t="s">
        <v>273</v>
      </c>
      <c r="B37" s="130" t="s">
        <v>153</v>
      </c>
      <c r="C37" s="242" t="s">
        <v>268</v>
      </c>
      <c r="D37" s="243" t="s">
        <v>268</v>
      </c>
      <c r="E37" s="227">
        <f t="shared" si="1"/>
        <v>30</v>
      </c>
      <c r="H37" s="130">
        <v>15</v>
      </c>
      <c r="I37" s="130">
        <v>15</v>
      </c>
      <c r="M37"/>
      <c r="N37"/>
    </row>
    <row r="38" spans="1:14">
      <c r="A38" s="241" t="s">
        <v>259</v>
      </c>
      <c r="B38" s="130" t="s">
        <v>153</v>
      </c>
      <c r="C38" s="242" t="s">
        <v>268</v>
      </c>
      <c r="D38" s="243" t="s">
        <v>268</v>
      </c>
      <c r="E38" s="227">
        <f t="shared" si="1"/>
        <v>30</v>
      </c>
      <c r="H38" s="130">
        <v>15</v>
      </c>
      <c r="I38" s="130">
        <v>15</v>
      </c>
      <c r="M38"/>
      <c r="N38"/>
    </row>
    <row r="39" spans="1:14">
      <c r="A39" s="241" t="s">
        <v>274</v>
      </c>
      <c r="B39" s="130" t="s">
        <v>153</v>
      </c>
      <c r="C39" s="242" t="s">
        <v>268</v>
      </c>
      <c r="D39" s="243" t="s">
        <v>268</v>
      </c>
      <c r="E39" s="227">
        <f t="shared" si="1"/>
        <v>30</v>
      </c>
      <c r="H39" s="130">
        <v>15</v>
      </c>
      <c r="I39" s="130">
        <v>15</v>
      </c>
      <c r="M39"/>
      <c r="N39"/>
    </row>
    <row r="40" spans="1:14">
      <c r="A40" s="241" t="s">
        <v>275</v>
      </c>
      <c r="B40" s="130" t="s">
        <v>153</v>
      </c>
      <c r="C40" s="242" t="s">
        <v>268</v>
      </c>
      <c r="D40" s="243" t="s">
        <v>268</v>
      </c>
      <c r="E40" s="227">
        <f t="shared" si="1"/>
        <v>30</v>
      </c>
      <c r="H40" s="130">
        <v>15</v>
      </c>
      <c r="I40" s="130">
        <v>15</v>
      </c>
      <c r="M40"/>
      <c r="N40"/>
    </row>
    <row r="41" spans="1:14">
      <c r="A41" s="241" t="s">
        <v>276</v>
      </c>
      <c r="B41" s="130" t="s">
        <v>153</v>
      </c>
      <c r="C41" s="242" t="s">
        <v>268</v>
      </c>
      <c r="D41" s="243" t="s">
        <v>268</v>
      </c>
      <c r="E41" s="227">
        <f t="shared" si="1"/>
        <v>30</v>
      </c>
      <c r="H41" s="130">
        <v>15</v>
      </c>
      <c r="I41" s="130">
        <v>15</v>
      </c>
      <c r="M41"/>
      <c r="N41"/>
    </row>
    <row r="42" spans="1:14">
      <c r="A42" s="241" t="s">
        <v>277</v>
      </c>
      <c r="B42" s="130" t="s">
        <v>153</v>
      </c>
      <c r="C42" s="244">
        <v>44987</v>
      </c>
      <c r="D42" s="245">
        <v>44987</v>
      </c>
      <c r="E42" s="227">
        <f t="shared" si="1"/>
        <v>15</v>
      </c>
      <c r="J42" s="130">
        <v>15</v>
      </c>
      <c r="M42"/>
      <c r="N42"/>
    </row>
    <row r="43" spans="1:14">
      <c r="A43" s="241" t="s">
        <v>278</v>
      </c>
      <c r="B43" s="130" t="s">
        <v>153</v>
      </c>
      <c r="C43" s="244">
        <v>45006</v>
      </c>
      <c r="D43" s="245">
        <v>45006</v>
      </c>
      <c r="E43" s="227">
        <f t="shared" si="1"/>
        <v>30</v>
      </c>
      <c r="M43" s="130">
        <v>30</v>
      </c>
    </row>
    <row r="44" spans="1:14">
      <c r="A44" s="241" t="s">
        <v>279</v>
      </c>
      <c r="B44" s="130" t="s">
        <v>153</v>
      </c>
      <c r="C44" s="244">
        <v>45006</v>
      </c>
      <c r="D44" s="245">
        <v>45006</v>
      </c>
      <c r="E44" s="227">
        <f t="shared" si="1"/>
        <v>30</v>
      </c>
      <c r="M44" s="130">
        <v>30</v>
      </c>
    </row>
    <row r="45" spans="1:14">
      <c r="A45" s="130" t="s">
        <v>280</v>
      </c>
      <c r="B45" s="130" t="s">
        <v>153</v>
      </c>
      <c r="C45" s="244">
        <v>45006</v>
      </c>
      <c r="D45" s="245">
        <v>45006</v>
      </c>
      <c r="E45" s="227">
        <f t="shared" si="1"/>
        <v>45</v>
      </c>
      <c r="M45" s="130">
        <v>45</v>
      </c>
    </row>
    <row r="46" spans="1:14">
      <c r="A46" s="241" t="s">
        <v>281</v>
      </c>
      <c r="B46" s="241" t="s">
        <v>153</v>
      </c>
      <c r="C46" s="236">
        <v>45026</v>
      </c>
      <c r="D46" s="240">
        <v>45026</v>
      </c>
      <c r="E46" s="227">
        <f t="shared" si="1"/>
        <v>60</v>
      </c>
      <c r="H46" s="130">
        <v>30</v>
      </c>
      <c r="I46" s="130">
        <v>30</v>
      </c>
    </row>
    <row r="47" spans="1:14">
      <c r="A47" s="241" t="s">
        <v>282</v>
      </c>
      <c r="B47" s="130" t="s">
        <v>153</v>
      </c>
      <c r="C47" s="244">
        <v>45056</v>
      </c>
      <c r="D47" s="245">
        <v>45056</v>
      </c>
      <c r="E47" s="227">
        <f t="shared" ref="E47:E50" si="2">SUM(F47:O47)</f>
        <v>30</v>
      </c>
      <c r="H47" s="130">
        <v>15</v>
      </c>
      <c r="M47">
        <v>15</v>
      </c>
      <c r="N47"/>
    </row>
    <row r="48" spans="1:14">
      <c r="A48" s="241" t="s">
        <v>283</v>
      </c>
      <c r="B48" s="130" t="s">
        <v>153</v>
      </c>
      <c r="C48" s="244">
        <v>45056</v>
      </c>
      <c r="D48" s="245">
        <v>45056</v>
      </c>
      <c r="E48" s="227">
        <f t="shared" si="2"/>
        <v>40</v>
      </c>
      <c r="H48" s="130">
        <v>20</v>
      </c>
      <c r="M48">
        <v>20</v>
      </c>
      <c r="N48"/>
    </row>
    <row r="49" spans="1:14">
      <c r="A49" s="241" t="s">
        <v>284</v>
      </c>
      <c r="B49" s="130" t="s">
        <v>153</v>
      </c>
      <c r="C49" s="244">
        <v>45056</v>
      </c>
      <c r="D49" s="245">
        <v>45056</v>
      </c>
      <c r="E49" s="227">
        <f t="shared" si="2"/>
        <v>20</v>
      </c>
      <c r="H49" s="130">
        <v>10</v>
      </c>
      <c r="M49" s="130">
        <v>10</v>
      </c>
    </row>
    <row r="50" spans="1:14">
      <c r="A50" s="241" t="s">
        <v>285</v>
      </c>
      <c r="B50" s="130" t="s">
        <v>153</v>
      </c>
      <c r="C50" s="244">
        <v>45056</v>
      </c>
      <c r="D50" s="245">
        <v>45056</v>
      </c>
      <c r="E50" s="227">
        <f t="shared" si="2"/>
        <v>50</v>
      </c>
      <c r="H50" s="130">
        <v>25</v>
      </c>
      <c r="M50" s="130">
        <v>25</v>
      </c>
    </row>
    <row r="51" spans="1:14">
      <c r="A51" s="247" t="s">
        <v>1132</v>
      </c>
      <c r="B51" s="130" t="s">
        <v>153</v>
      </c>
      <c r="C51" s="236">
        <v>45118</v>
      </c>
      <c r="D51" s="236">
        <v>45118</v>
      </c>
      <c r="E51" s="227">
        <f t="shared" si="1"/>
        <v>50</v>
      </c>
      <c r="H51" s="130">
        <v>25</v>
      </c>
      <c r="L51" s="130">
        <v>25</v>
      </c>
    </row>
    <row r="52" spans="1:14">
      <c r="A52" s="247" t="s">
        <v>1130</v>
      </c>
      <c r="B52" s="130" t="s">
        <v>153</v>
      </c>
      <c r="C52" s="236">
        <v>45118</v>
      </c>
      <c r="D52" s="236">
        <v>45118</v>
      </c>
      <c r="E52" s="227">
        <f t="shared" si="1"/>
        <v>60</v>
      </c>
      <c r="H52" s="130">
        <v>30</v>
      </c>
      <c r="L52" s="130">
        <v>30</v>
      </c>
    </row>
    <row r="53" spans="1:14">
      <c r="A53" s="247" t="s">
        <v>1133</v>
      </c>
      <c r="B53" s="130" t="s">
        <v>153</v>
      </c>
      <c r="C53" s="236">
        <v>45118</v>
      </c>
      <c r="D53" s="236">
        <v>45118</v>
      </c>
      <c r="E53" s="227">
        <f t="shared" si="1"/>
        <v>20</v>
      </c>
      <c r="H53" s="130">
        <v>10</v>
      </c>
      <c r="L53" s="130">
        <v>10</v>
      </c>
    </row>
    <row r="54" spans="1:14">
      <c r="A54" s="247" t="s">
        <v>1134</v>
      </c>
      <c r="B54" s="130" t="s">
        <v>153</v>
      </c>
      <c r="C54" s="236">
        <v>45118</v>
      </c>
      <c r="D54" s="236">
        <v>45118</v>
      </c>
      <c r="E54" s="227">
        <f t="shared" si="1"/>
        <v>30</v>
      </c>
      <c r="H54" s="130">
        <v>15</v>
      </c>
      <c r="L54" s="130">
        <v>15</v>
      </c>
    </row>
    <row r="55" spans="1:14">
      <c r="A55" s="247" t="s">
        <v>1135</v>
      </c>
      <c r="B55" s="130" t="s">
        <v>153</v>
      </c>
      <c r="C55" s="236">
        <v>45118</v>
      </c>
      <c r="D55" s="236">
        <v>45118</v>
      </c>
      <c r="E55" s="227">
        <f t="shared" si="1"/>
        <v>30</v>
      </c>
      <c r="H55" s="130">
        <v>15</v>
      </c>
      <c r="L55" s="130">
        <v>15</v>
      </c>
    </row>
    <row r="56" spans="1:14">
      <c r="A56" s="248" t="s">
        <v>1144</v>
      </c>
      <c r="B56" s="130" t="s">
        <v>153</v>
      </c>
      <c r="C56" s="236">
        <v>45127</v>
      </c>
      <c r="D56" s="236">
        <v>45127</v>
      </c>
      <c r="E56" s="227">
        <f t="shared" ref="E56:E59" si="3">SUM(F56:O56)</f>
        <v>20</v>
      </c>
      <c r="G56" s="130">
        <v>10</v>
      </c>
      <c r="M56" s="130">
        <v>10</v>
      </c>
    </row>
    <row r="57" spans="1:14">
      <c r="A57" s="248" t="s">
        <v>1145</v>
      </c>
      <c r="B57" s="130" t="s">
        <v>153</v>
      </c>
      <c r="C57" s="236">
        <v>45127</v>
      </c>
      <c r="D57" s="236">
        <v>45127</v>
      </c>
      <c r="E57" s="227">
        <f t="shared" si="3"/>
        <v>20</v>
      </c>
      <c r="G57" s="130">
        <v>10</v>
      </c>
      <c r="M57" s="130">
        <v>10</v>
      </c>
    </row>
    <row r="58" spans="1:14">
      <c r="A58" s="248" t="s">
        <v>1146</v>
      </c>
      <c r="B58" s="130" t="s">
        <v>153</v>
      </c>
      <c r="C58" s="236">
        <v>45127</v>
      </c>
      <c r="D58" s="236">
        <v>45127</v>
      </c>
      <c r="E58" s="227">
        <f t="shared" si="3"/>
        <v>20</v>
      </c>
      <c r="G58" s="130">
        <v>10</v>
      </c>
      <c r="M58" s="130">
        <v>10</v>
      </c>
    </row>
    <row r="59" spans="1:14">
      <c r="A59" s="248" t="s">
        <v>1147</v>
      </c>
      <c r="B59" s="130" t="s">
        <v>153</v>
      </c>
      <c r="C59" s="236">
        <v>45127</v>
      </c>
      <c r="D59" s="236">
        <v>45127</v>
      </c>
      <c r="E59" s="227">
        <f t="shared" si="3"/>
        <v>20</v>
      </c>
      <c r="G59" s="130">
        <v>10</v>
      </c>
      <c r="M59" s="130">
        <v>10</v>
      </c>
    </row>
    <row r="60" spans="1:14">
      <c r="A60" s="130" t="s">
        <v>1153</v>
      </c>
      <c r="B60" s="130" t="s">
        <v>153</v>
      </c>
      <c r="C60" s="249">
        <v>45131</v>
      </c>
      <c r="D60" s="249">
        <v>45131</v>
      </c>
      <c r="E60" s="227">
        <f t="shared" si="1"/>
        <v>20</v>
      </c>
      <c r="F60" s="130">
        <v>10</v>
      </c>
      <c r="J60" s="130">
        <v>10</v>
      </c>
    </row>
    <row r="61" spans="1:14">
      <c r="A61" s="250" t="s">
        <v>1157</v>
      </c>
      <c r="B61" s="241" t="s">
        <v>153</v>
      </c>
      <c r="C61" s="249">
        <v>45133</v>
      </c>
      <c r="D61" s="249">
        <v>45133</v>
      </c>
      <c r="E61" s="227">
        <f t="shared" ref="E61:E62" si="4">SUM(F61:O61)</f>
        <v>30</v>
      </c>
      <c r="H61" s="130">
        <v>15</v>
      </c>
      <c r="N61" s="130">
        <v>15</v>
      </c>
    </row>
    <row r="62" spans="1:14">
      <c r="A62" s="355" t="s">
        <v>1158</v>
      </c>
      <c r="B62" s="130" t="s">
        <v>153</v>
      </c>
      <c r="C62" s="249">
        <v>45131</v>
      </c>
      <c r="D62" s="249">
        <v>45131</v>
      </c>
      <c r="E62" s="227">
        <f t="shared" si="4"/>
        <v>20</v>
      </c>
      <c r="J62" s="130">
        <v>10</v>
      </c>
      <c r="L62" s="130">
        <v>10</v>
      </c>
    </row>
    <row r="63" spans="1:14">
      <c r="C63" s="237"/>
      <c r="E63" s="227">
        <f t="shared" si="1"/>
        <v>0</v>
      </c>
    </row>
  </sheetData>
  <mergeCells count="2">
    <mergeCell ref="A1:E1"/>
    <mergeCell ref="F1:O1"/>
  </mergeCells>
  <phoneticPr fontId="31" type="noConversion"/>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6D3F8913-5F4E-4448-8559-EE516B1AC31A}">
          <x14:formula1>
            <xm:f>Help!$B$13:$B$15</xm:f>
          </x14:formula1>
          <xm:sqref>B47:B60 B3:B45 B62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4"/>
  <sheetViews>
    <sheetView topLeftCell="B143" zoomScale="115" zoomScaleNormal="115" workbookViewId="0">
      <selection activeCell="F146" sqref="F146"/>
    </sheetView>
  </sheetViews>
  <sheetFormatPr defaultRowHeight="12.75" outlineLevelRow="1" outlineLevelCol="1"/>
  <cols>
    <col min="1" max="1" width="5.28515625" style="46" customWidth="1"/>
    <col min="2" max="2" width="12.85546875" style="43" customWidth="1"/>
    <col min="3" max="3" width="28"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286</v>
      </c>
      <c r="E1" s="59"/>
      <c r="F1" s="59"/>
      <c r="G1" s="42"/>
      <c r="H1" s="42" t="s">
        <v>286</v>
      </c>
      <c r="I1" s="42"/>
      <c r="J1" s="42"/>
      <c r="K1" s="42"/>
      <c r="L1" s="26" t="s">
        <v>287</v>
      </c>
      <c r="M1" s="26" t="s">
        <v>288</v>
      </c>
      <c r="N1" s="26" t="s">
        <v>289</v>
      </c>
      <c r="O1" s="26" t="s">
        <v>290</v>
      </c>
      <c r="P1" s="51"/>
      <c r="Q1" s="26" t="s">
        <v>214</v>
      </c>
      <c r="R1" s="26" t="s">
        <v>215</v>
      </c>
      <c r="S1" s="26" t="s">
        <v>216</v>
      </c>
      <c r="T1" s="26" t="s">
        <v>291</v>
      </c>
      <c r="U1" s="26" t="s">
        <v>213</v>
      </c>
      <c r="V1" s="52"/>
      <c r="W1" s="53"/>
      <c r="X1" s="26" t="s">
        <v>292</v>
      </c>
      <c r="Y1" s="26" t="s">
        <v>293</v>
      </c>
      <c r="Z1" s="26" t="s">
        <v>294</v>
      </c>
      <c r="AA1" s="26" t="s">
        <v>295</v>
      </c>
      <c r="AH1" s="17" t="s">
        <v>296</v>
      </c>
      <c r="AI1" s="17" t="s">
        <v>297</v>
      </c>
      <c r="AJ1" s="26" t="s">
        <v>298</v>
      </c>
      <c r="AO1" s="19"/>
      <c r="AP1" s="19"/>
      <c r="AQ1" s="18" t="s">
        <v>299</v>
      </c>
      <c r="AR1" s="18" t="s">
        <v>300</v>
      </c>
      <c r="AS1" s="18" t="s">
        <v>301</v>
      </c>
      <c r="AT1" s="18" t="s">
        <v>114</v>
      </c>
    </row>
    <row r="2" spans="1:46" s="30" customFormat="1" hidden="1">
      <c r="A2" s="59"/>
      <c r="B2" s="42"/>
      <c r="C2" s="28"/>
      <c r="D2" s="42" t="s">
        <v>302</v>
      </c>
      <c r="E2" s="59"/>
      <c r="F2" s="59"/>
      <c r="G2" s="28"/>
      <c r="H2" s="42" t="s">
        <v>302</v>
      </c>
      <c r="I2" s="42"/>
      <c r="J2" s="28"/>
      <c r="K2" s="28"/>
      <c r="L2" s="49">
        <f>COUNTA(D5:D499)+COUNTIF(L5:L500,"=Open")+COUNTIF(L5:L500,"=To be fixed")-COUNTA(L5:L500)</f>
        <v>1</v>
      </c>
      <c r="M2" s="49">
        <f>COUNTIF(M5:M500,"=Rejected")</f>
        <v>0</v>
      </c>
      <c r="N2" s="49">
        <f>COUNTA(D5:D499)-COUNTIF(M5:M500,"=Approved")</f>
        <v>1</v>
      </c>
      <c r="O2" s="49">
        <f>COUNTIFS(L5:L500,"=Postponed",M5:M500,"=Approved")</f>
        <v>2</v>
      </c>
      <c r="P2" s="54"/>
      <c r="Q2" s="49">
        <f>COUNTIF($L5:$L500,"=" &amp; Q1)</f>
        <v>0</v>
      </c>
      <c r="R2" s="49">
        <f>COUNTIF($L5:$L500,"=" &amp; R1)</f>
        <v>45</v>
      </c>
      <c r="S2" s="49">
        <f>COUNTIF($L5:$L500,"=" &amp; S1)</f>
        <v>2</v>
      </c>
      <c r="T2" s="49">
        <f>COUNTIF($L5:$L500,"=" &amp; T1)</f>
        <v>106</v>
      </c>
      <c r="U2" s="49" t="e">
        <f>COUNTIF($L5:$L500,"=" &amp; U1)+COUNTIFS($L5:$L500,"",$D5:$D499,"&lt;&gt;")</f>
        <v>#VALUE!</v>
      </c>
      <c r="V2" s="54"/>
      <c r="W2" s="55"/>
      <c r="X2" s="49">
        <f>IF(OR(NbOfNotTreatedIssues&gt;0,NbOfRejectedIssues&gt;0),1,0)</f>
        <v>1</v>
      </c>
      <c r="Y2" s="49">
        <f>IF(AND(Issue_to_treat=0,NbOfNotApprovedIssues&gt;0),1,0)</f>
        <v>0</v>
      </c>
      <c r="Z2" s="49">
        <f>IF(AND(Issues_to_approve=0,NbOfNotApprovedAndPostponedIssues&gt;0),1,0)</f>
        <v>1</v>
      </c>
      <c r="AA2" s="49">
        <f>IF(AND(Issue_to_treat=0,Issues_to_approve=0,Issues_postponed=0),1,0)</f>
        <v>0</v>
      </c>
      <c r="AB2" s="29"/>
      <c r="AC2" s="29"/>
      <c r="AD2" s="29"/>
      <c r="AE2" s="29"/>
      <c r="AF2" s="29"/>
      <c r="AH2" s="49">
        <f>COUNTIF($M5:$M500,"=" &amp; AH1)</f>
        <v>153</v>
      </c>
      <c r="AI2" s="49">
        <f>COUNTIF($M5:$M500,"=" &amp; AI1)</f>
        <v>0</v>
      </c>
      <c r="AJ2" s="49">
        <f>COUNTIF($M5:$M500,"=" &amp; AJ1)</f>
        <v>0</v>
      </c>
      <c r="AM2" s="29"/>
      <c r="AN2" s="29"/>
      <c r="AO2" s="29"/>
      <c r="AP2" s="31"/>
      <c r="AQ2" s="31"/>
      <c r="AR2" s="29"/>
      <c r="AS2" s="31"/>
      <c r="AT2" s="31"/>
    </row>
    <row r="3" spans="1:46" s="48" customFormat="1" ht="25.5" customHeight="1" outlineLevel="1">
      <c r="A3" s="351" t="str">
        <f>IF(Issue_to_treat=1,NbOfNotTreatedIssues+NbOfRejectedIssues&amp;" issue(s) to treat",IF(Issues_to_approve=1,NbOfNotApprovedIssues&amp;" issue(s) to approve",IF(Issues_postponed=1,NbOfNotApprovedAndPostponedIssues&amp;" issue(s) postponed","Status OK")))</f>
        <v>1 issue(s) to treat</v>
      </c>
      <c r="B3" s="351"/>
      <c r="C3" s="352"/>
      <c r="D3" s="58" t="s">
        <v>303</v>
      </c>
      <c r="E3" s="350" t="s">
        <v>304</v>
      </c>
      <c r="F3" s="350"/>
      <c r="G3" s="350"/>
      <c r="H3" s="47"/>
      <c r="I3" s="47"/>
      <c r="J3" s="47"/>
      <c r="K3" s="47"/>
      <c r="L3" s="47"/>
      <c r="M3" s="47"/>
      <c r="N3" s="53"/>
      <c r="O3" s="53"/>
      <c r="P3" s="53"/>
      <c r="Q3" s="56"/>
      <c r="R3" s="56"/>
      <c r="S3" s="56"/>
      <c r="T3" s="56"/>
      <c r="U3" s="56"/>
      <c r="V3" s="56"/>
      <c r="W3" s="56"/>
      <c r="X3" s="23"/>
      <c r="Y3" s="23"/>
      <c r="Z3" s="23"/>
      <c r="AA3" s="23"/>
      <c r="AB3" s="23"/>
    </row>
    <row r="4" spans="1:46" s="138" customFormat="1" ht="47.25">
      <c r="A4" s="131" t="s">
        <v>305</v>
      </c>
      <c r="B4" s="131" t="s">
        <v>10</v>
      </c>
      <c r="C4" s="131" t="s">
        <v>306</v>
      </c>
      <c r="D4" s="131" t="s">
        <v>307</v>
      </c>
      <c r="E4" s="131" t="s">
        <v>308</v>
      </c>
      <c r="F4" s="131" t="s">
        <v>309</v>
      </c>
      <c r="G4" s="132" t="s">
        <v>310</v>
      </c>
      <c r="H4" s="133" t="s">
        <v>311</v>
      </c>
      <c r="I4" s="133" t="s">
        <v>312</v>
      </c>
      <c r="J4" s="133" t="s">
        <v>313</v>
      </c>
      <c r="K4" s="134" t="s">
        <v>314</v>
      </c>
      <c r="L4" s="133" t="s">
        <v>212</v>
      </c>
      <c r="M4" s="131" t="s">
        <v>315</v>
      </c>
      <c r="N4" s="135"/>
      <c r="O4" s="135"/>
      <c r="P4" s="135"/>
      <c r="Q4" s="136"/>
      <c r="R4" s="136"/>
      <c r="S4" s="136"/>
      <c r="T4" s="136"/>
      <c r="U4" s="136"/>
      <c r="V4" s="136"/>
      <c r="W4" s="136"/>
      <c r="X4" s="137"/>
      <c r="Y4" s="137"/>
      <c r="Z4" s="137"/>
      <c r="AA4" s="137"/>
      <c r="AB4" s="137"/>
    </row>
    <row r="5" spans="1:46" s="23" customFormat="1" ht="25.5">
      <c r="A5" s="61">
        <v>1</v>
      </c>
      <c r="B5" s="19" t="s">
        <v>316</v>
      </c>
      <c r="C5" s="19" t="s">
        <v>244</v>
      </c>
      <c r="D5" s="25" t="s">
        <v>317</v>
      </c>
      <c r="E5" s="60">
        <v>44888.635023148148</v>
      </c>
      <c r="F5" s="49" t="s">
        <v>233</v>
      </c>
      <c r="G5" s="16" t="s">
        <v>318</v>
      </c>
      <c r="H5" s="20"/>
      <c r="I5" s="20"/>
      <c r="J5" s="20" t="s">
        <v>319</v>
      </c>
      <c r="K5" s="21">
        <v>44942.363506944443</v>
      </c>
      <c r="L5" s="20" t="s">
        <v>215</v>
      </c>
      <c r="M5" s="69" t="s">
        <v>296</v>
      </c>
      <c r="N5" s="53"/>
      <c r="O5" s="53"/>
      <c r="P5" s="53"/>
      <c r="Q5" s="56"/>
      <c r="R5" s="56"/>
      <c r="S5" s="56"/>
      <c r="T5" s="56"/>
      <c r="U5" s="56"/>
      <c r="V5" s="56"/>
      <c r="W5" s="56"/>
    </row>
    <row r="6" spans="1:46" s="23" customFormat="1" ht="25.5">
      <c r="A6" s="62">
        <v>2</v>
      </c>
      <c r="B6" s="19" t="s">
        <v>320</v>
      </c>
      <c r="C6" s="37" t="s">
        <v>242</v>
      </c>
      <c r="D6" s="25" t="s">
        <v>321</v>
      </c>
      <c r="E6" s="60">
        <v>44888.637615740743</v>
      </c>
      <c r="F6" s="49" t="s">
        <v>233</v>
      </c>
      <c r="G6" s="16" t="s">
        <v>318</v>
      </c>
      <c r="H6" s="20"/>
      <c r="I6" s="20"/>
      <c r="J6" s="69" t="s">
        <v>319</v>
      </c>
      <c r="K6" s="21">
        <v>44942.363541666666</v>
      </c>
      <c r="L6" s="20" t="s">
        <v>215</v>
      </c>
      <c r="M6" s="20" t="s">
        <v>296</v>
      </c>
      <c r="N6" s="53"/>
      <c r="O6" s="53"/>
      <c r="P6" s="53"/>
      <c r="Q6" s="56"/>
      <c r="R6" s="56"/>
      <c r="S6" s="56"/>
      <c r="T6" s="56"/>
      <c r="U6" s="56"/>
      <c r="V6" s="56"/>
      <c r="W6" s="56"/>
    </row>
    <row r="7" spans="1:46" s="23" customFormat="1" ht="25.5">
      <c r="A7" s="62">
        <v>3</v>
      </c>
      <c r="B7" s="19" t="s">
        <v>320</v>
      </c>
      <c r="C7" s="19" t="s">
        <v>242</v>
      </c>
      <c r="D7" s="25" t="s">
        <v>322</v>
      </c>
      <c r="E7" s="60">
        <v>44888.642766203702</v>
      </c>
      <c r="F7" s="49" t="s">
        <v>233</v>
      </c>
      <c r="G7" s="25" t="s">
        <v>323</v>
      </c>
      <c r="H7" s="20"/>
      <c r="I7" s="20"/>
      <c r="J7" s="69" t="s">
        <v>319</v>
      </c>
      <c r="K7" s="21">
        <v>44942.363564814812</v>
      </c>
      <c r="L7" s="20" t="s">
        <v>291</v>
      </c>
      <c r="M7" s="20" t="s">
        <v>296</v>
      </c>
      <c r="N7" s="53"/>
      <c r="O7" s="53"/>
      <c r="P7" s="53"/>
      <c r="Q7" s="56"/>
      <c r="R7" s="56"/>
      <c r="S7" s="56"/>
      <c r="T7" s="56"/>
      <c r="U7" s="56"/>
      <c r="V7" s="56"/>
      <c r="W7" s="56"/>
    </row>
    <row r="8" spans="1:46" s="23" customFormat="1" ht="25.5">
      <c r="A8" s="62">
        <v>4</v>
      </c>
      <c r="B8" s="19" t="s">
        <v>324</v>
      </c>
      <c r="C8" s="19" t="s">
        <v>242</v>
      </c>
      <c r="D8" s="25" t="s">
        <v>325</v>
      </c>
      <c r="E8" s="60">
        <v>44888.654340277775</v>
      </c>
      <c r="F8" s="49" t="s">
        <v>233</v>
      </c>
      <c r="G8" s="16" t="s">
        <v>326</v>
      </c>
      <c r="H8" s="20"/>
      <c r="I8" s="20"/>
      <c r="J8" s="69" t="s">
        <v>319</v>
      </c>
      <c r="K8" s="21">
        <v>44939.42832175926</v>
      </c>
      <c r="L8" s="20" t="s">
        <v>291</v>
      </c>
      <c r="M8" s="20" t="s">
        <v>296</v>
      </c>
      <c r="N8" s="53"/>
      <c r="O8" s="53"/>
      <c r="P8" s="53"/>
      <c r="Q8" s="56"/>
      <c r="R8" s="56"/>
      <c r="S8" s="56"/>
      <c r="T8" s="56"/>
      <c r="U8" s="56"/>
      <c r="V8" s="56"/>
      <c r="W8" s="56"/>
    </row>
    <row r="9" spans="1:46" s="23" customFormat="1" ht="25.5">
      <c r="A9" s="62">
        <v>5</v>
      </c>
      <c r="B9" s="19" t="s">
        <v>327</v>
      </c>
      <c r="C9" s="37" t="s">
        <v>245</v>
      </c>
      <c r="D9" s="25" t="s">
        <v>317</v>
      </c>
      <c r="E9" s="60">
        <v>44888.655717592592</v>
      </c>
      <c r="F9" s="49" t="s">
        <v>233</v>
      </c>
      <c r="G9" s="16" t="s">
        <v>318</v>
      </c>
      <c r="H9" s="20"/>
      <c r="I9" s="20"/>
      <c r="J9" s="69" t="s">
        <v>319</v>
      </c>
      <c r="K9" s="21">
        <v>44942.363611111112</v>
      </c>
      <c r="L9" s="20" t="s">
        <v>215</v>
      </c>
      <c r="M9" s="20" t="s">
        <v>296</v>
      </c>
      <c r="N9" s="53"/>
      <c r="O9" s="53"/>
      <c r="P9" s="53"/>
      <c r="Q9" s="56"/>
      <c r="R9" s="56"/>
      <c r="S9" s="56"/>
      <c r="T9" s="56"/>
      <c r="U9" s="56"/>
      <c r="V9" s="56"/>
      <c r="W9" s="56"/>
    </row>
    <row r="10" spans="1:46" s="23" customFormat="1" ht="25.5">
      <c r="A10" s="62">
        <v>6</v>
      </c>
      <c r="B10" s="19" t="s">
        <v>327</v>
      </c>
      <c r="C10" s="37" t="s">
        <v>245</v>
      </c>
      <c r="D10" s="25" t="s">
        <v>328</v>
      </c>
      <c r="E10" s="60">
        <v>44888.656319444446</v>
      </c>
      <c r="F10" s="49" t="s">
        <v>233</v>
      </c>
      <c r="G10" s="16" t="s">
        <v>318</v>
      </c>
      <c r="H10" s="20"/>
      <c r="I10" s="20"/>
      <c r="J10" s="20" t="s">
        <v>319</v>
      </c>
      <c r="K10" s="21">
        <v>44942.363692129627</v>
      </c>
      <c r="L10" s="20" t="s">
        <v>215</v>
      </c>
      <c r="M10" s="20" t="s">
        <v>296</v>
      </c>
      <c r="N10" s="53"/>
      <c r="O10" s="53"/>
      <c r="P10" s="53"/>
      <c r="Q10" s="56"/>
      <c r="R10" s="56"/>
      <c r="S10" s="56"/>
      <c r="T10" s="56"/>
      <c r="U10" s="56"/>
      <c r="V10" s="56"/>
      <c r="W10" s="56"/>
    </row>
    <row r="11" spans="1:46" s="23" customFormat="1" ht="25.5">
      <c r="A11" s="62">
        <v>7</v>
      </c>
      <c r="B11" s="19" t="s">
        <v>327</v>
      </c>
      <c r="C11" s="37" t="s">
        <v>245</v>
      </c>
      <c r="D11" s="25" t="s">
        <v>329</v>
      </c>
      <c r="E11" s="60">
        <v>44888.656875000001</v>
      </c>
      <c r="F11" s="49" t="s">
        <v>233</v>
      </c>
      <c r="G11" s="25" t="s">
        <v>318</v>
      </c>
      <c r="H11" s="20"/>
      <c r="I11" s="20"/>
      <c r="J11" s="20" t="s">
        <v>319</v>
      </c>
      <c r="K11" s="70">
        <v>44942.363807870373</v>
      </c>
      <c r="L11" s="20" t="s">
        <v>215</v>
      </c>
      <c r="M11" s="20" t="s">
        <v>296</v>
      </c>
      <c r="N11" s="53"/>
      <c r="O11" s="53"/>
      <c r="P11" s="53"/>
      <c r="Q11" s="56"/>
      <c r="R11" s="56"/>
      <c r="S11" s="56"/>
      <c r="T11" s="56"/>
      <c r="U11" s="56"/>
      <c r="V11" s="56"/>
      <c r="W11" s="56"/>
    </row>
    <row r="12" spans="1:46" s="23" customFormat="1" ht="25.5">
      <c r="A12" s="62">
        <v>8</v>
      </c>
      <c r="B12" s="19" t="s">
        <v>327</v>
      </c>
      <c r="C12" s="37" t="s">
        <v>245</v>
      </c>
      <c r="D12" s="25" t="s">
        <v>330</v>
      </c>
      <c r="E12" s="60">
        <v>44888.657187500001</v>
      </c>
      <c r="F12" s="49" t="s">
        <v>233</v>
      </c>
      <c r="G12" s="16" t="s">
        <v>318</v>
      </c>
      <c r="H12" s="20"/>
      <c r="I12" s="20"/>
      <c r="J12" s="20" t="s">
        <v>319</v>
      </c>
      <c r="K12" s="21">
        <v>44942.363854166666</v>
      </c>
      <c r="L12" s="20" t="s">
        <v>215</v>
      </c>
      <c r="M12" s="20" t="s">
        <v>296</v>
      </c>
      <c r="N12" s="53"/>
      <c r="O12" s="53"/>
      <c r="P12" s="53"/>
      <c r="Q12" s="56"/>
      <c r="R12" s="56"/>
      <c r="S12" s="56"/>
      <c r="T12" s="56"/>
      <c r="U12" s="56"/>
      <c r="V12" s="56"/>
      <c r="W12" s="56"/>
    </row>
    <row r="13" spans="1:46" s="23" customFormat="1" ht="25.5">
      <c r="A13" s="62">
        <v>9</v>
      </c>
      <c r="B13" s="19" t="s">
        <v>327</v>
      </c>
      <c r="C13" s="37" t="s">
        <v>245</v>
      </c>
      <c r="D13" s="25" t="s">
        <v>331</v>
      </c>
      <c r="E13" s="60">
        <v>44888.659189814818</v>
      </c>
      <c r="F13" s="49" t="s">
        <v>233</v>
      </c>
      <c r="G13" s="16" t="s">
        <v>332</v>
      </c>
      <c r="H13" s="20"/>
      <c r="I13" s="20"/>
      <c r="J13" s="20" t="s">
        <v>319</v>
      </c>
      <c r="K13" s="21">
        <v>44957</v>
      </c>
      <c r="L13" s="20" t="s">
        <v>216</v>
      </c>
      <c r="M13" s="20" t="s">
        <v>296</v>
      </c>
      <c r="N13" s="53"/>
      <c r="O13" s="53"/>
      <c r="P13" s="53"/>
      <c r="Q13" s="56"/>
      <c r="R13" s="56"/>
      <c r="S13" s="56"/>
      <c r="T13" s="56"/>
      <c r="U13" s="56"/>
      <c r="V13" s="56"/>
      <c r="W13" s="56"/>
    </row>
    <row r="14" spans="1:46" s="23" customFormat="1" ht="25.5">
      <c r="A14" s="62">
        <v>10</v>
      </c>
      <c r="B14" s="19" t="s">
        <v>327</v>
      </c>
      <c r="C14" s="37" t="s">
        <v>245</v>
      </c>
      <c r="D14" s="25" t="s">
        <v>333</v>
      </c>
      <c r="E14" s="60">
        <v>44888.661030092589</v>
      </c>
      <c r="F14" s="49" t="s">
        <v>233</v>
      </c>
      <c r="G14" s="16" t="s">
        <v>318</v>
      </c>
      <c r="H14" s="20"/>
      <c r="I14" s="20"/>
      <c r="J14" s="20" t="s">
        <v>319</v>
      </c>
      <c r="K14" s="21">
        <v>44942.363888888889</v>
      </c>
      <c r="L14" s="20" t="s">
        <v>215</v>
      </c>
      <c r="M14" s="20" t="s">
        <v>296</v>
      </c>
      <c r="N14" s="53"/>
      <c r="O14" s="53"/>
      <c r="P14" s="53"/>
      <c r="Q14" s="56"/>
      <c r="R14" s="56"/>
      <c r="S14" s="56"/>
      <c r="T14" s="56"/>
      <c r="U14" s="56"/>
      <c r="V14" s="56"/>
      <c r="W14" s="56"/>
    </row>
    <row r="15" spans="1:46" s="23" customFormat="1" ht="38.25">
      <c r="A15" s="62">
        <v>11</v>
      </c>
      <c r="B15" s="19" t="s">
        <v>327</v>
      </c>
      <c r="C15" s="37" t="s">
        <v>245</v>
      </c>
      <c r="D15" s="25" t="s">
        <v>334</v>
      </c>
      <c r="E15" s="60">
        <v>44890.546793981484</v>
      </c>
      <c r="F15" s="49" t="s">
        <v>233</v>
      </c>
      <c r="G15" s="16" t="s">
        <v>318</v>
      </c>
      <c r="H15" s="20"/>
      <c r="I15" s="20"/>
      <c r="J15" s="20" t="s">
        <v>319</v>
      </c>
      <c r="K15" s="21">
        <v>44942.363912037035</v>
      </c>
      <c r="L15" s="20" t="s">
        <v>215</v>
      </c>
      <c r="M15" s="20" t="s">
        <v>296</v>
      </c>
      <c r="N15" s="53"/>
      <c r="O15" s="53"/>
      <c r="P15" s="53"/>
      <c r="Q15" s="56"/>
      <c r="R15" s="56"/>
      <c r="S15" s="56"/>
      <c r="T15" s="56"/>
      <c r="U15" s="56"/>
      <c r="V15" s="56"/>
      <c r="W15" s="56"/>
    </row>
    <row r="16" spans="1:46" s="23" customFormat="1" ht="25.5">
      <c r="A16" s="62">
        <v>12</v>
      </c>
      <c r="B16" s="19" t="s">
        <v>335</v>
      </c>
      <c r="C16" s="19" t="s">
        <v>247</v>
      </c>
      <c r="D16" s="25" t="s">
        <v>336</v>
      </c>
      <c r="E16" s="60">
        <v>44890.548182870371</v>
      </c>
      <c r="F16" s="49" t="s">
        <v>233</v>
      </c>
      <c r="G16" s="25" t="s">
        <v>318</v>
      </c>
      <c r="H16" s="20"/>
      <c r="I16" s="20"/>
      <c r="J16" s="20" t="s">
        <v>319</v>
      </c>
      <c r="K16" s="21">
        <v>44942.364606481482</v>
      </c>
      <c r="L16" s="20" t="s">
        <v>215</v>
      </c>
      <c r="M16" s="20" t="s">
        <v>296</v>
      </c>
      <c r="N16" s="53"/>
      <c r="O16" s="53"/>
      <c r="P16" s="53"/>
      <c r="Q16" s="56"/>
      <c r="R16" s="56"/>
      <c r="S16" s="56"/>
      <c r="T16" s="56"/>
      <c r="U16" s="56"/>
      <c r="V16" s="56"/>
      <c r="W16" s="56"/>
    </row>
    <row r="17" spans="1:23" s="23" customFormat="1" ht="25.5">
      <c r="A17" s="62">
        <v>13</v>
      </c>
      <c r="B17" s="19" t="s">
        <v>335</v>
      </c>
      <c r="C17" s="19" t="s">
        <v>247</v>
      </c>
      <c r="D17" s="25" t="s">
        <v>337</v>
      </c>
      <c r="E17" s="60">
        <v>44890.549664351849</v>
      </c>
      <c r="F17" s="49" t="s">
        <v>233</v>
      </c>
      <c r="G17" s="25" t="s">
        <v>318</v>
      </c>
      <c r="H17" s="20"/>
      <c r="I17" s="20"/>
      <c r="J17" s="20" t="s">
        <v>319</v>
      </c>
      <c r="K17" s="21">
        <v>44942.364016203705</v>
      </c>
      <c r="L17" s="20" t="s">
        <v>215</v>
      </c>
      <c r="M17" s="20" t="s">
        <v>296</v>
      </c>
      <c r="N17" s="53"/>
      <c r="O17" s="53"/>
      <c r="P17" s="53"/>
      <c r="Q17" s="56"/>
      <c r="R17" s="56"/>
      <c r="S17" s="56"/>
      <c r="T17" s="56"/>
      <c r="U17" s="56"/>
      <c r="V17" s="56"/>
      <c r="W17" s="56"/>
    </row>
    <row r="18" spans="1:23" s="23" customFormat="1" ht="25.5">
      <c r="A18" s="62">
        <v>14</v>
      </c>
      <c r="B18" s="19" t="s">
        <v>335</v>
      </c>
      <c r="C18" s="19" t="s">
        <v>247</v>
      </c>
      <c r="D18" s="16" t="s">
        <v>338</v>
      </c>
      <c r="E18" s="60">
        <v>44890.552476851852</v>
      </c>
      <c r="F18" s="49" t="s">
        <v>233</v>
      </c>
      <c r="G18" s="25" t="s">
        <v>339</v>
      </c>
      <c r="H18" s="20">
        <v>814674</v>
      </c>
      <c r="I18" s="20"/>
      <c r="J18" s="20" t="s">
        <v>319</v>
      </c>
      <c r="K18" s="21">
        <v>44939.408194444448</v>
      </c>
      <c r="L18" s="20" t="s">
        <v>215</v>
      </c>
      <c r="M18" s="20" t="s">
        <v>296</v>
      </c>
      <c r="N18" s="53"/>
      <c r="O18" s="53"/>
      <c r="P18" s="53"/>
      <c r="Q18" s="56"/>
      <c r="R18" s="56"/>
      <c r="S18" s="56"/>
      <c r="T18" s="56"/>
      <c r="U18" s="56"/>
      <c r="V18" s="56"/>
      <c r="W18" s="56"/>
    </row>
    <row r="19" spans="1:23" s="23" customFormat="1" ht="25.5">
      <c r="A19" s="62">
        <v>15</v>
      </c>
      <c r="B19" s="19" t="s">
        <v>335</v>
      </c>
      <c r="C19" s="19" t="s">
        <v>247</v>
      </c>
      <c r="D19" s="16" t="s">
        <v>340</v>
      </c>
      <c r="E19" s="60">
        <v>44890.553587962961</v>
      </c>
      <c r="F19" s="49" t="s">
        <v>233</v>
      </c>
      <c r="G19" s="25" t="s">
        <v>318</v>
      </c>
      <c r="H19" s="20"/>
      <c r="I19" s="20"/>
      <c r="J19" s="20" t="s">
        <v>319</v>
      </c>
      <c r="K19" s="21">
        <v>44942.364050925928</v>
      </c>
      <c r="L19" s="20" t="s">
        <v>215</v>
      </c>
      <c r="M19" s="20" t="s">
        <v>296</v>
      </c>
      <c r="N19" s="53"/>
      <c r="O19" s="53"/>
      <c r="P19" s="53"/>
      <c r="Q19" s="56"/>
      <c r="R19" s="56"/>
      <c r="S19" s="56"/>
      <c r="T19" s="56"/>
      <c r="U19" s="56"/>
      <c r="V19" s="56"/>
      <c r="W19" s="56"/>
    </row>
    <row r="20" spans="1:23" s="23" customFormat="1" ht="25.5">
      <c r="A20" s="62">
        <v>16</v>
      </c>
      <c r="B20" s="19" t="s">
        <v>335</v>
      </c>
      <c r="C20" s="19" t="s">
        <v>247</v>
      </c>
      <c r="D20" s="25" t="s">
        <v>333</v>
      </c>
      <c r="E20" s="60">
        <v>44890.554178240738</v>
      </c>
      <c r="F20" s="49" t="s">
        <v>233</v>
      </c>
      <c r="G20" s="25" t="s">
        <v>318</v>
      </c>
      <c r="H20" s="20"/>
      <c r="I20" s="20"/>
      <c r="J20" s="20" t="s">
        <v>319</v>
      </c>
      <c r="K20" s="21">
        <v>44942.364074074074</v>
      </c>
      <c r="L20" s="20" t="s">
        <v>215</v>
      </c>
      <c r="M20" s="20" t="s">
        <v>296</v>
      </c>
      <c r="N20" s="53"/>
      <c r="O20" s="53"/>
      <c r="P20" s="53"/>
      <c r="Q20" s="56"/>
      <c r="R20" s="56"/>
      <c r="S20" s="56"/>
      <c r="T20" s="56"/>
      <c r="U20" s="56"/>
      <c r="V20" s="56"/>
      <c r="W20" s="56"/>
    </row>
    <row r="21" spans="1:23" s="23" customFormat="1" ht="25.5">
      <c r="A21" s="62">
        <v>17</v>
      </c>
      <c r="B21" s="19" t="s">
        <v>335</v>
      </c>
      <c r="C21" s="19" t="s">
        <v>247</v>
      </c>
      <c r="D21" s="16" t="s">
        <v>341</v>
      </c>
      <c r="E21" s="60">
        <v>44890.555138888885</v>
      </c>
      <c r="F21" s="49" t="s">
        <v>233</v>
      </c>
      <c r="G21" s="25" t="s">
        <v>318</v>
      </c>
      <c r="H21" s="20"/>
      <c r="I21" s="20"/>
      <c r="J21" s="20" t="s">
        <v>319</v>
      </c>
      <c r="K21" s="21">
        <v>44942.36409722222</v>
      </c>
      <c r="L21" s="20" t="s">
        <v>215</v>
      </c>
      <c r="M21" s="20" t="s">
        <v>296</v>
      </c>
      <c r="N21" s="53"/>
      <c r="O21" s="53"/>
      <c r="P21" s="53"/>
      <c r="Q21" s="56"/>
      <c r="R21" s="56"/>
      <c r="S21" s="56"/>
      <c r="T21" s="56"/>
      <c r="U21" s="56"/>
      <c r="V21" s="56"/>
      <c r="W21" s="56"/>
    </row>
    <row r="22" spans="1:23" s="23" customFormat="1" ht="38.25">
      <c r="A22" s="62">
        <v>18</v>
      </c>
      <c r="B22" s="19" t="s">
        <v>335</v>
      </c>
      <c r="C22" s="19" t="s">
        <v>247</v>
      </c>
      <c r="D22" s="16" t="s">
        <v>342</v>
      </c>
      <c r="E22" s="60">
        <v>44890.558032407411</v>
      </c>
      <c r="F22" s="49" t="s">
        <v>233</v>
      </c>
      <c r="G22" s="25" t="s">
        <v>318</v>
      </c>
      <c r="H22" s="20"/>
      <c r="I22" s="20"/>
      <c r="J22" s="20" t="s">
        <v>319</v>
      </c>
      <c r="K22" s="21">
        <v>44942.364120370374</v>
      </c>
      <c r="L22" s="20" t="s">
        <v>215</v>
      </c>
      <c r="M22" s="20" t="s">
        <v>296</v>
      </c>
      <c r="N22" s="53"/>
      <c r="O22" s="53"/>
      <c r="P22" s="53"/>
      <c r="Q22" s="56"/>
      <c r="R22" s="56"/>
      <c r="S22" s="56"/>
      <c r="T22" s="56"/>
      <c r="U22" s="56"/>
      <c r="V22" s="56"/>
      <c r="W22" s="56"/>
    </row>
    <row r="23" spans="1:23" s="23" customFormat="1" ht="25.5">
      <c r="A23" s="62">
        <v>19</v>
      </c>
      <c r="B23" s="19" t="s">
        <v>335</v>
      </c>
      <c r="C23" s="19" t="s">
        <v>247</v>
      </c>
      <c r="D23" s="16" t="s">
        <v>343</v>
      </c>
      <c r="E23" s="60">
        <v>44890.567060185182</v>
      </c>
      <c r="F23" s="49" t="s">
        <v>233</v>
      </c>
      <c r="G23" s="25" t="s">
        <v>318</v>
      </c>
      <c r="H23" s="20"/>
      <c r="I23" s="20"/>
      <c r="J23" s="20" t="s">
        <v>319</v>
      </c>
      <c r="K23" s="21">
        <v>44942.36414351852</v>
      </c>
      <c r="L23" s="20" t="s">
        <v>215</v>
      </c>
      <c r="M23" s="20" t="s">
        <v>296</v>
      </c>
      <c r="N23" s="53"/>
      <c r="O23" s="53"/>
      <c r="P23" s="53"/>
      <c r="Q23" s="56"/>
      <c r="R23" s="56"/>
      <c r="S23" s="56"/>
      <c r="T23" s="56"/>
      <c r="U23" s="56"/>
      <c r="V23" s="56"/>
      <c r="W23" s="56"/>
    </row>
    <row r="24" spans="1:23" s="23" customFormat="1" ht="25.5">
      <c r="A24" s="62">
        <v>20</v>
      </c>
      <c r="B24" s="19" t="s">
        <v>335</v>
      </c>
      <c r="C24" s="19" t="s">
        <v>247</v>
      </c>
      <c r="D24" s="16" t="s">
        <v>344</v>
      </c>
      <c r="E24" s="60">
        <v>44890.567719907405</v>
      </c>
      <c r="F24" s="49" t="s">
        <v>233</v>
      </c>
      <c r="G24" s="25" t="s">
        <v>318</v>
      </c>
      <c r="H24" s="20"/>
      <c r="I24" s="20"/>
      <c r="J24" s="20" t="s">
        <v>319</v>
      </c>
      <c r="K24" s="21">
        <v>44942.364189814813</v>
      </c>
      <c r="L24" s="20" t="s">
        <v>215</v>
      </c>
      <c r="M24" s="20" t="s">
        <v>296</v>
      </c>
      <c r="N24" s="53"/>
      <c r="O24" s="53"/>
      <c r="P24" s="53"/>
      <c r="Q24" s="56"/>
      <c r="R24" s="56"/>
      <c r="S24" s="56"/>
      <c r="T24" s="56"/>
      <c r="U24" s="56"/>
      <c r="V24" s="56"/>
      <c r="W24" s="56"/>
    </row>
    <row r="25" spans="1:23" s="23" customFormat="1" ht="38.25">
      <c r="A25" s="62">
        <v>21</v>
      </c>
      <c r="B25" s="19" t="s">
        <v>335</v>
      </c>
      <c r="C25" s="19" t="s">
        <v>247</v>
      </c>
      <c r="D25" s="16" t="s">
        <v>345</v>
      </c>
      <c r="E25" s="60">
        <v>44890.573125000003</v>
      </c>
      <c r="F25" s="49" t="s">
        <v>233</v>
      </c>
      <c r="G25" s="25" t="s">
        <v>346</v>
      </c>
      <c r="H25" s="20"/>
      <c r="I25" s="20"/>
      <c r="J25" s="20" t="s">
        <v>319</v>
      </c>
      <c r="K25" s="21">
        <v>44939.403611111113</v>
      </c>
      <c r="L25" s="20" t="s">
        <v>291</v>
      </c>
      <c r="M25" s="20" t="s">
        <v>296</v>
      </c>
      <c r="N25" s="53"/>
      <c r="O25" s="53"/>
      <c r="P25" s="53"/>
      <c r="Q25" s="56"/>
      <c r="R25" s="56"/>
      <c r="S25" s="56"/>
      <c r="T25" s="56"/>
      <c r="U25" s="56"/>
      <c r="V25" s="56"/>
      <c r="W25" s="56"/>
    </row>
    <row r="26" spans="1:23" s="23" customFormat="1" ht="25.5">
      <c r="A26" s="62">
        <v>22</v>
      </c>
      <c r="B26" s="19" t="s">
        <v>347</v>
      </c>
      <c r="C26" s="19" t="s">
        <v>348</v>
      </c>
      <c r="D26" s="16" t="s">
        <v>349</v>
      </c>
      <c r="E26" s="60">
        <v>44890.575844907406</v>
      </c>
      <c r="F26" s="49" t="s">
        <v>233</v>
      </c>
      <c r="G26" s="25" t="s">
        <v>318</v>
      </c>
      <c r="H26" s="20"/>
      <c r="I26" s="20"/>
      <c r="J26" s="20" t="s">
        <v>319</v>
      </c>
      <c r="K26" s="21">
        <v>44942.364236111112</v>
      </c>
      <c r="L26" s="20" t="s">
        <v>215</v>
      </c>
      <c r="M26" s="20" t="s">
        <v>296</v>
      </c>
      <c r="N26" s="53"/>
      <c r="O26" s="53"/>
      <c r="P26" s="53"/>
      <c r="Q26" s="56"/>
      <c r="R26" s="56"/>
      <c r="S26" s="56"/>
      <c r="T26" s="56"/>
      <c r="U26" s="56"/>
      <c r="V26" s="56"/>
      <c r="W26" s="56"/>
    </row>
    <row r="27" spans="1:23" s="23" customFormat="1">
      <c r="A27" s="62">
        <v>23</v>
      </c>
      <c r="B27" s="20">
        <v>1.1000000000000001</v>
      </c>
      <c r="C27" s="220" t="s">
        <v>350</v>
      </c>
      <c r="D27" s="25" t="s">
        <v>351</v>
      </c>
      <c r="E27" s="60">
        <v>44894.419050925928</v>
      </c>
      <c r="F27" s="49" t="s">
        <v>235</v>
      </c>
      <c r="G27" s="16"/>
      <c r="H27" s="20"/>
      <c r="I27" s="20"/>
      <c r="J27" s="69" t="s">
        <v>352</v>
      </c>
      <c r="K27" s="21">
        <v>44894.419236111113</v>
      </c>
      <c r="L27" s="62" t="s">
        <v>291</v>
      </c>
      <c r="M27" s="20" t="s">
        <v>296</v>
      </c>
      <c r="N27" s="53"/>
      <c r="O27" s="53"/>
      <c r="P27" s="53"/>
      <c r="Q27" s="56"/>
      <c r="R27" s="56"/>
      <c r="S27" s="56"/>
      <c r="T27" s="56"/>
      <c r="U27" s="56"/>
      <c r="V27" s="56"/>
      <c r="W27" s="56"/>
    </row>
    <row r="28" spans="1:23" s="23" customFormat="1">
      <c r="A28" s="62">
        <v>24</v>
      </c>
      <c r="B28" s="221" t="s">
        <v>353</v>
      </c>
      <c r="C28" s="221" t="s">
        <v>348</v>
      </c>
      <c r="D28" s="222" t="s">
        <v>354</v>
      </c>
      <c r="E28" s="223">
        <v>44942.592766203707</v>
      </c>
      <c r="F28" s="226" t="s">
        <v>237</v>
      </c>
      <c r="G28" s="222"/>
      <c r="H28" s="224"/>
      <c r="I28" s="224"/>
      <c r="J28" s="224" t="s">
        <v>319</v>
      </c>
      <c r="K28" s="223">
        <v>44942.593159722222</v>
      </c>
      <c r="L28" s="62" t="s">
        <v>291</v>
      </c>
      <c r="M28" s="20" t="s">
        <v>296</v>
      </c>
      <c r="N28" s="53"/>
      <c r="O28" s="53"/>
      <c r="P28" s="53"/>
      <c r="Q28" s="56"/>
      <c r="R28" s="56"/>
      <c r="S28" s="56"/>
      <c r="T28" s="56"/>
      <c r="U28" s="56"/>
      <c r="V28" s="56"/>
      <c r="W28" s="56"/>
    </row>
    <row r="29" spans="1:23" s="23" customFormat="1">
      <c r="A29" s="62">
        <v>25</v>
      </c>
      <c r="B29" s="221" t="s">
        <v>355</v>
      </c>
      <c r="C29" s="221" t="s">
        <v>348</v>
      </c>
      <c r="D29" s="225" t="s">
        <v>351</v>
      </c>
      <c r="E29" s="223">
        <v>44942.592777777776</v>
      </c>
      <c r="F29" s="226" t="s">
        <v>237</v>
      </c>
      <c r="G29" s="222"/>
      <c r="H29" s="224"/>
      <c r="I29" s="224"/>
      <c r="J29" s="224" t="s">
        <v>319</v>
      </c>
      <c r="K29" s="223">
        <v>44942.593159722222</v>
      </c>
      <c r="L29" s="62" t="s">
        <v>291</v>
      </c>
      <c r="M29" s="20" t="s">
        <v>296</v>
      </c>
      <c r="N29" s="53"/>
      <c r="O29" s="53"/>
      <c r="P29" s="53"/>
      <c r="Q29" s="56"/>
      <c r="R29" s="56"/>
      <c r="S29" s="56"/>
      <c r="T29" s="56"/>
      <c r="U29" s="56"/>
      <c r="V29" s="56"/>
      <c r="W29" s="56"/>
    </row>
    <row r="30" spans="1:23" s="23" customFormat="1">
      <c r="A30" s="62">
        <v>26</v>
      </c>
      <c r="B30" s="221" t="s">
        <v>356</v>
      </c>
      <c r="C30" s="221" t="s">
        <v>247</v>
      </c>
      <c r="D30" s="222" t="s">
        <v>354</v>
      </c>
      <c r="E30" s="223">
        <v>44942.593043981484</v>
      </c>
      <c r="F30" s="226" t="s">
        <v>237</v>
      </c>
      <c r="G30" s="222"/>
      <c r="H30" s="224"/>
      <c r="I30" s="224"/>
      <c r="J30" s="224" t="s">
        <v>319</v>
      </c>
      <c r="K30" s="223">
        <v>44942.593159722222</v>
      </c>
      <c r="L30" s="62" t="s">
        <v>291</v>
      </c>
      <c r="M30" s="20" t="s">
        <v>296</v>
      </c>
      <c r="N30" s="53"/>
      <c r="O30" s="53"/>
      <c r="P30" s="53"/>
      <c r="Q30" s="56"/>
      <c r="R30" s="56"/>
      <c r="S30" s="56"/>
      <c r="T30" s="56"/>
      <c r="U30" s="56"/>
      <c r="V30" s="56"/>
      <c r="W30" s="56"/>
    </row>
    <row r="31" spans="1:23" s="23" customFormat="1">
      <c r="A31" s="62">
        <v>27</v>
      </c>
      <c r="B31" s="221" t="s">
        <v>357</v>
      </c>
      <c r="C31" s="221" t="s">
        <v>247</v>
      </c>
      <c r="D31" s="222" t="s">
        <v>354</v>
      </c>
      <c r="E31" s="223">
        <v>44942.593055555553</v>
      </c>
      <c r="F31" s="226" t="s">
        <v>237</v>
      </c>
      <c r="G31" s="222"/>
      <c r="H31" s="224"/>
      <c r="I31" s="224"/>
      <c r="J31" s="224" t="s">
        <v>319</v>
      </c>
      <c r="K31" s="223">
        <v>44942.593159722222</v>
      </c>
      <c r="L31" s="62" t="s">
        <v>291</v>
      </c>
      <c r="M31" s="20" t="s">
        <v>296</v>
      </c>
      <c r="N31" s="53"/>
      <c r="O31" s="53"/>
      <c r="P31" s="53"/>
      <c r="Q31" s="56"/>
      <c r="R31" s="56"/>
      <c r="S31" s="56"/>
      <c r="T31" s="56"/>
      <c r="U31" s="56"/>
      <c r="V31" s="56"/>
      <c r="W31" s="56"/>
    </row>
    <row r="32" spans="1:23" s="23" customFormat="1">
      <c r="A32" s="62">
        <v>28</v>
      </c>
      <c r="B32" s="221" t="s">
        <v>358</v>
      </c>
      <c r="C32" s="221" t="s">
        <v>247</v>
      </c>
      <c r="D32" s="222" t="s">
        <v>354</v>
      </c>
      <c r="E32" s="223">
        <v>44942.593032407407</v>
      </c>
      <c r="F32" s="226" t="s">
        <v>237</v>
      </c>
      <c r="G32" s="222"/>
      <c r="H32" s="224"/>
      <c r="I32" s="224"/>
      <c r="J32" s="224" t="s">
        <v>319</v>
      </c>
      <c r="K32" s="223">
        <v>44942.593159722222</v>
      </c>
      <c r="L32" s="62" t="s">
        <v>291</v>
      </c>
      <c r="M32" s="20" t="s">
        <v>296</v>
      </c>
      <c r="N32" s="53"/>
      <c r="O32" s="53"/>
      <c r="P32" s="53"/>
      <c r="Q32" s="56"/>
      <c r="R32" s="56"/>
      <c r="S32" s="56"/>
      <c r="T32" s="56"/>
      <c r="U32" s="56"/>
      <c r="V32" s="56"/>
      <c r="W32" s="56"/>
    </row>
    <row r="33" spans="1:23" s="23" customFormat="1">
      <c r="A33" s="62">
        <v>29</v>
      </c>
      <c r="B33" s="221" t="s">
        <v>359</v>
      </c>
      <c r="C33" s="221" t="s">
        <v>247</v>
      </c>
      <c r="D33" s="222" t="s">
        <v>354</v>
      </c>
      <c r="E33" s="223">
        <v>44942.593009259261</v>
      </c>
      <c r="F33" s="226" t="s">
        <v>237</v>
      </c>
      <c r="G33" s="222"/>
      <c r="H33" s="224"/>
      <c r="I33" s="224"/>
      <c r="J33" s="224" t="s">
        <v>319</v>
      </c>
      <c r="K33" s="223">
        <v>44942.593159722222</v>
      </c>
      <c r="L33" s="62" t="s">
        <v>291</v>
      </c>
      <c r="M33" s="20" t="s">
        <v>296</v>
      </c>
      <c r="N33" s="53"/>
      <c r="O33" s="53"/>
      <c r="P33" s="53"/>
      <c r="Q33" s="56"/>
      <c r="R33" s="56"/>
      <c r="S33" s="56"/>
      <c r="T33" s="56"/>
      <c r="U33" s="56"/>
      <c r="V33" s="56"/>
      <c r="W33" s="56"/>
    </row>
    <row r="34" spans="1:23" s="23" customFormat="1">
      <c r="A34" s="62">
        <v>30</v>
      </c>
      <c r="B34" s="221" t="s">
        <v>360</v>
      </c>
      <c r="C34" s="226" t="s">
        <v>245</v>
      </c>
      <c r="D34" s="222" t="s">
        <v>354</v>
      </c>
      <c r="E34" s="223">
        <v>44942.593009259261</v>
      </c>
      <c r="F34" s="226" t="s">
        <v>237</v>
      </c>
      <c r="G34" s="222"/>
      <c r="H34" s="224"/>
      <c r="I34" s="224"/>
      <c r="J34" s="224" t="s">
        <v>319</v>
      </c>
      <c r="K34" s="223">
        <v>44942.593159722222</v>
      </c>
      <c r="L34" s="62" t="s">
        <v>291</v>
      </c>
      <c r="M34" s="20" t="s">
        <v>296</v>
      </c>
      <c r="N34" s="53"/>
      <c r="O34" s="53"/>
      <c r="P34" s="53"/>
      <c r="Q34" s="56"/>
      <c r="R34" s="56"/>
      <c r="S34" s="56"/>
      <c r="T34" s="56"/>
      <c r="U34" s="56"/>
      <c r="V34" s="56"/>
      <c r="W34" s="56"/>
    </row>
    <row r="35" spans="1:23" s="23" customFormat="1">
      <c r="A35" s="62">
        <v>31</v>
      </c>
      <c r="B35" s="221" t="s">
        <v>361</v>
      </c>
      <c r="C35" s="226" t="s">
        <v>245</v>
      </c>
      <c r="D35" s="222" t="s">
        <v>354</v>
      </c>
      <c r="E35" s="223">
        <v>44942.592997685184</v>
      </c>
      <c r="F35" s="226" t="s">
        <v>237</v>
      </c>
      <c r="G35" s="222"/>
      <c r="H35" s="224"/>
      <c r="I35" s="224"/>
      <c r="J35" s="224" t="s">
        <v>319</v>
      </c>
      <c r="K35" s="223">
        <v>44942.593159722222</v>
      </c>
      <c r="L35" s="62" t="s">
        <v>291</v>
      </c>
      <c r="M35" s="20" t="s">
        <v>296</v>
      </c>
      <c r="N35" s="53"/>
      <c r="O35" s="53"/>
      <c r="P35" s="53"/>
      <c r="Q35" s="56"/>
      <c r="R35" s="56"/>
      <c r="S35" s="56"/>
      <c r="T35" s="56"/>
      <c r="U35" s="56"/>
      <c r="V35" s="56"/>
      <c r="W35" s="56"/>
    </row>
    <row r="36" spans="1:23" s="23" customFormat="1">
      <c r="A36" s="62">
        <v>32</v>
      </c>
      <c r="B36" s="221" t="s">
        <v>362</v>
      </c>
      <c r="C36" s="226" t="s">
        <v>245</v>
      </c>
      <c r="D36" s="222" t="s">
        <v>354</v>
      </c>
      <c r="E36" s="223">
        <v>44942.592986111114</v>
      </c>
      <c r="F36" s="226" t="s">
        <v>237</v>
      </c>
      <c r="G36" s="222"/>
      <c r="H36" s="224"/>
      <c r="I36" s="224"/>
      <c r="J36" s="224" t="s">
        <v>319</v>
      </c>
      <c r="K36" s="223">
        <v>44942.593159722222</v>
      </c>
      <c r="L36" s="62" t="s">
        <v>291</v>
      </c>
      <c r="M36" s="20" t="s">
        <v>296</v>
      </c>
      <c r="N36" s="53"/>
      <c r="O36" s="53"/>
      <c r="P36" s="53"/>
      <c r="Q36" s="56"/>
      <c r="R36" s="56"/>
      <c r="S36" s="56"/>
      <c r="T36" s="56"/>
      <c r="U36" s="56"/>
      <c r="V36" s="56"/>
      <c r="W36" s="56"/>
    </row>
    <row r="37" spans="1:23" s="23" customFormat="1">
      <c r="A37" s="62">
        <v>33</v>
      </c>
      <c r="B37" s="221" t="s">
        <v>363</v>
      </c>
      <c r="C37" s="226" t="s">
        <v>245</v>
      </c>
      <c r="D37" s="225" t="s">
        <v>351</v>
      </c>
      <c r="E37" s="223">
        <v>44942.592824074076</v>
      </c>
      <c r="F37" s="226" t="s">
        <v>237</v>
      </c>
      <c r="G37" s="222"/>
      <c r="H37" s="224"/>
      <c r="I37" s="224"/>
      <c r="J37" s="224" t="s">
        <v>319</v>
      </c>
      <c r="K37" s="223">
        <v>44942.593159722222</v>
      </c>
      <c r="L37" s="62" t="s">
        <v>291</v>
      </c>
      <c r="M37" s="20" t="s">
        <v>296</v>
      </c>
      <c r="N37" s="53"/>
      <c r="O37" s="53"/>
      <c r="P37" s="53"/>
      <c r="Q37" s="56"/>
      <c r="R37" s="56"/>
      <c r="S37" s="56"/>
      <c r="T37" s="56"/>
      <c r="U37" s="56"/>
      <c r="V37" s="56"/>
      <c r="W37" s="56"/>
    </row>
    <row r="38" spans="1:23" s="23" customFormat="1">
      <c r="A38" s="62">
        <v>34</v>
      </c>
      <c r="B38" s="221" t="s">
        <v>364</v>
      </c>
      <c r="C38" s="221" t="s">
        <v>244</v>
      </c>
      <c r="D38" s="222" t="s">
        <v>354</v>
      </c>
      <c r="E38" s="223">
        <v>44942.592986111114</v>
      </c>
      <c r="F38" s="226" t="s">
        <v>237</v>
      </c>
      <c r="G38" s="222"/>
      <c r="H38" s="224"/>
      <c r="I38" s="224"/>
      <c r="J38" s="224" t="s">
        <v>319</v>
      </c>
      <c r="K38" s="223">
        <v>44942.593159722222</v>
      </c>
      <c r="L38" s="62" t="s">
        <v>291</v>
      </c>
      <c r="M38" s="20" t="s">
        <v>296</v>
      </c>
      <c r="N38" s="53"/>
      <c r="O38" s="53"/>
      <c r="P38" s="53"/>
      <c r="Q38" s="56"/>
      <c r="R38" s="56"/>
      <c r="S38" s="56"/>
      <c r="T38" s="56"/>
      <c r="U38" s="56"/>
      <c r="V38" s="56"/>
      <c r="W38" s="56"/>
    </row>
    <row r="39" spans="1:23" s="23" customFormat="1">
      <c r="A39" s="62">
        <v>35</v>
      </c>
      <c r="B39" s="221" t="s">
        <v>365</v>
      </c>
      <c r="C39" s="221" t="s">
        <v>244</v>
      </c>
      <c r="D39" s="222" t="s">
        <v>354</v>
      </c>
      <c r="E39" s="223">
        <v>44942.592962962961</v>
      </c>
      <c r="F39" s="226" t="s">
        <v>237</v>
      </c>
      <c r="G39" s="222"/>
      <c r="H39" s="224"/>
      <c r="I39" s="224"/>
      <c r="J39" s="224" t="s">
        <v>319</v>
      </c>
      <c r="K39" s="223">
        <v>44942.593159722222</v>
      </c>
      <c r="L39" s="62" t="s">
        <v>291</v>
      </c>
      <c r="M39" s="20" t="s">
        <v>296</v>
      </c>
      <c r="N39" s="53"/>
      <c r="O39" s="53"/>
      <c r="P39" s="53"/>
      <c r="Q39" s="56"/>
      <c r="R39" s="56"/>
      <c r="S39" s="56"/>
      <c r="T39" s="56"/>
      <c r="U39" s="56"/>
      <c r="V39" s="56"/>
      <c r="W39" s="56"/>
    </row>
    <row r="40" spans="1:23" s="23" customFormat="1">
      <c r="A40" s="62">
        <v>36</v>
      </c>
      <c r="B40" s="221" t="s">
        <v>366</v>
      </c>
      <c r="C40" s="221" t="s">
        <v>244</v>
      </c>
      <c r="D40" s="225" t="s">
        <v>351</v>
      </c>
      <c r="E40" s="223">
        <v>44942.592847222222</v>
      </c>
      <c r="F40" s="226" t="s">
        <v>237</v>
      </c>
      <c r="G40" s="222"/>
      <c r="H40" s="224"/>
      <c r="I40" s="224"/>
      <c r="J40" s="224" t="s">
        <v>319</v>
      </c>
      <c r="K40" s="223">
        <v>44942.593159722222</v>
      </c>
      <c r="L40" s="62" t="s">
        <v>291</v>
      </c>
      <c r="M40" s="20" t="s">
        <v>296</v>
      </c>
      <c r="N40" s="53"/>
      <c r="O40" s="53"/>
      <c r="P40" s="53"/>
      <c r="Q40" s="56"/>
      <c r="R40" s="56"/>
      <c r="S40" s="56"/>
      <c r="T40" s="56"/>
      <c r="U40" s="56"/>
      <c r="V40" s="56"/>
      <c r="W40" s="56"/>
    </row>
    <row r="41" spans="1:23" s="23" customFormat="1">
      <c r="A41" s="62">
        <v>37</v>
      </c>
      <c r="B41" s="221" t="s">
        <v>367</v>
      </c>
      <c r="C41" s="221" t="s">
        <v>242</v>
      </c>
      <c r="D41" s="222" t="s">
        <v>354</v>
      </c>
      <c r="E41" s="223">
        <v>44942.592951388891</v>
      </c>
      <c r="F41" s="226" t="s">
        <v>237</v>
      </c>
      <c r="G41" s="222"/>
      <c r="H41" s="224"/>
      <c r="I41" s="224"/>
      <c r="J41" s="224" t="s">
        <v>319</v>
      </c>
      <c r="K41" s="223">
        <v>44942.593159722222</v>
      </c>
      <c r="L41" s="62" t="s">
        <v>291</v>
      </c>
      <c r="M41" s="20" t="s">
        <v>296</v>
      </c>
      <c r="N41" s="53"/>
      <c r="O41" s="53"/>
      <c r="P41" s="53"/>
      <c r="Q41" s="56"/>
      <c r="R41" s="56"/>
      <c r="S41" s="56"/>
      <c r="T41" s="56"/>
      <c r="U41" s="56"/>
      <c r="V41" s="56"/>
      <c r="W41" s="56"/>
    </row>
    <row r="42" spans="1:23" s="23" customFormat="1">
      <c r="A42" s="62">
        <v>38</v>
      </c>
      <c r="B42" s="221" t="s">
        <v>368</v>
      </c>
      <c r="C42" s="221" t="s">
        <v>242</v>
      </c>
      <c r="D42" s="222" t="s">
        <v>354</v>
      </c>
      <c r="E42" s="223">
        <v>44942.592939814815</v>
      </c>
      <c r="F42" s="226" t="s">
        <v>237</v>
      </c>
      <c r="G42" s="222"/>
      <c r="H42" s="224"/>
      <c r="I42" s="224"/>
      <c r="J42" s="231" t="s">
        <v>319</v>
      </c>
      <c r="K42" s="223">
        <v>44942.593159722222</v>
      </c>
      <c r="L42" s="62" t="s">
        <v>291</v>
      </c>
      <c r="M42" s="20" t="s">
        <v>296</v>
      </c>
      <c r="N42" s="53"/>
      <c r="O42" s="53"/>
      <c r="P42" s="53"/>
      <c r="Q42" s="56"/>
      <c r="R42" s="56"/>
      <c r="S42" s="56"/>
      <c r="T42" s="56"/>
      <c r="U42" s="56"/>
      <c r="V42" s="56"/>
      <c r="W42" s="56"/>
    </row>
    <row r="43" spans="1:23" s="23" customFormat="1">
      <c r="A43" s="62">
        <v>39</v>
      </c>
      <c r="B43" s="221" t="s">
        <v>369</v>
      </c>
      <c r="C43" s="221" t="s">
        <v>242</v>
      </c>
      <c r="D43" s="222" t="s">
        <v>354</v>
      </c>
      <c r="E43" s="223">
        <v>44942.592939814815</v>
      </c>
      <c r="F43" s="226" t="s">
        <v>237</v>
      </c>
      <c r="G43" s="222"/>
      <c r="H43" s="224"/>
      <c r="I43" s="224"/>
      <c r="J43" s="224" t="s">
        <v>319</v>
      </c>
      <c r="K43" s="223">
        <v>44942.593159722222</v>
      </c>
      <c r="L43" s="62" t="s">
        <v>291</v>
      </c>
      <c r="M43" s="20" t="s">
        <v>296</v>
      </c>
      <c r="N43" s="53"/>
      <c r="O43" s="53"/>
      <c r="P43" s="53"/>
      <c r="Q43" s="56"/>
      <c r="R43" s="56"/>
      <c r="S43" s="56"/>
      <c r="T43" s="56"/>
      <c r="U43" s="56"/>
      <c r="V43" s="56"/>
      <c r="W43" s="56"/>
    </row>
    <row r="44" spans="1:23" s="23" customFormat="1">
      <c r="A44" s="62">
        <v>40</v>
      </c>
      <c r="B44" s="221" t="s">
        <v>370</v>
      </c>
      <c r="C44" s="221" t="s">
        <v>242</v>
      </c>
      <c r="D44" s="222" t="s">
        <v>354</v>
      </c>
      <c r="E44" s="223">
        <v>44942.592928240738</v>
      </c>
      <c r="F44" s="226" t="s">
        <v>237</v>
      </c>
      <c r="G44" s="222"/>
      <c r="H44" s="224"/>
      <c r="I44" s="224"/>
      <c r="J44" s="224" t="s">
        <v>319</v>
      </c>
      <c r="K44" s="223">
        <v>44942.593159722222</v>
      </c>
      <c r="L44" s="62" t="s">
        <v>291</v>
      </c>
      <c r="M44" s="20" t="s">
        <v>296</v>
      </c>
      <c r="N44" s="53"/>
      <c r="O44" s="53"/>
      <c r="P44" s="53"/>
      <c r="Q44" s="56"/>
      <c r="R44" s="56"/>
      <c r="S44" s="56"/>
      <c r="T44" s="56"/>
      <c r="U44" s="56"/>
      <c r="V44" s="56"/>
      <c r="W44" s="56"/>
    </row>
    <row r="45" spans="1:23" s="23" customFormat="1">
      <c r="A45" s="62">
        <v>41</v>
      </c>
      <c r="B45" s="221" t="s">
        <v>371</v>
      </c>
      <c r="C45" s="221" t="s">
        <v>242</v>
      </c>
      <c r="D45" s="222" t="s">
        <v>354</v>
      </c>
      <c r="E45" s="223">
        <v>44942.592916666668</v>
      </c>
      <c r="F45" s="226" t="s">
        <v>237</v>
      </c>
      <c r="G45" s="222"/>
      <c r="H45" s="224"/>
      <c r="I45" s="224"/>
      <c r="J45" s="224" t="s">
        <v>319</v>
      </c>
      <c r="K45" s="223">
        <v>44942.593159722222</v>
      </c>
      <c r="L45" s="62" t="s">
        <v>291</v>
      </c>
      <c r="M45" s="20" t="s">
        <v>296</v>
      </c>
      <c r="N45" s="53"/>
      <c r="O45" s="53"/>
      <c r="P45" s="53"/>
      <c r="Q45" s="56"/>
      <c r="R45" s="56"/>
      <c r="S45" s="56"/>
      <c r="T45" s="56"/>
      <c r="U45" s="56"/>
      <c r="V45" s="56"/>
      <c r="W45" s="56"/>
    </row>
    <row r="46" spans="1:23" s="23" customFormat="1">
      <c r="A46" s="62">
        <v>42</v>
      </c>
      <c r="B46" s="221" t="s">
        <v>372</v>
      </c>
      <c r="C46" s="221" t="s">
        <v>242</v>
      </c>
      <c r="D46" s="222" t="s">
        <v>354</v>
      </c>
      <c r="E46" s="223">
        <v>44942.592893518522</v>
      </c>
      <c r="F46" s="226" t="s">
        <v>237</v>
      </c>
      <c r="G46" s="222"/>
      <c r="H46" s="224"/>
      <c r="I46" s="224"/>
      <c r="J46" s="224" t="s">
        <v>319</v>
      </c>
      <c r="K46" s="223">
        <v>44942.593159722222</v>
      </c>
      <c r="L46" s="62" t="s">
        <v>291</v>
      </c>
      <c r="M46" s="20" t="s">
        <v>296</v>
      </c>
      <c r="N46" s="53"/>
      <c r="O46" s="53"/>
      <c r="P46" s="53"/>
      <c r="Q46" s="56"/>
      <c r="R46" s="56"/>
      <c r="S46" s="56"/>
      <c r="T46" s="56"/>
      <c r="U46" s="56"/>
      <c r="V46" s="56"/>
      <c r="W46" s="56"/>
    </row>
    <row r="47" spans="1:23" s="23" customFormat="1">
      <c r="A47" s="62">
        <v>43</v>
      </c>
      <c r="B47" s="221" t="s">
        <v>373</v>
      </c>
      <c r="C47" s="221" t="s">
        <v>242</v>
      </c>
      <c r="D47" s="222" t="s">
        <v>354</v>
      </c>
      <c r="E47" s="223">
        <v>44942.592893518522</v>
      </c>
      <c r="F47" s="226" t="s">
        <v>237</v>
      </c>
      <c r="G47" s="222"/>
      <c r="H47" s="224"/>
      <c r="I47" s="224"/>
      <c r="J47" s="224" t="s">
        <v>319</v>
      </c>
      <c r="K47" s="223">
        <v>44942.593159722222</v>
      </c>
      <c r="L47" s="62" t="s">
        <v>291</v>
      </c>
      <c r="M47" s="20" t="s">
        <v>296</v>
      </c>
      <c r="N47" s="53"/>
      <c r="O47" s="53"/>
      <c r="P47" s="53"/>
      <c r="Q47" s="56"/>
      <c r="R47" s="56"/>
      <c r="S47" s="56"/>
      <c r="T47" s="56"/>
      <c r="U47" s="56"/>
      <c r="V47" s="56"/>
      <c r="W47" s="56"/>
    </row>
    <row r="48" spans="1:23" s="23" customFormat="1">
      <c r="A48" s="62">
        <v>44</v>
      </c>
      <c r="B48" s="221" t="s">
        <v>374</v>
      </c>
      <c r="C48" s="221" t="s">
        <v>242</v>
      </c>
      <c r="D48" s="222" t="s">
        <v>354</v>
      </c>
      <c r="E48" s="223">
        <v>44942.592881944445</v>
      </c>
      <c r="F48" s="226" t="s">
        <v>237</v>
      </c>
      <c r="G48" s="222"/>
      <c r="H48" s="224"/>
      <c r="I48" s="224"/>
      <c r="J48" s="224" t="s">
        <v>319</v>
      </c>
      <c r="K48" s="223">
        <v>44942.593159722222</v>
      </c>
      <c r="L48" s="62" t="s">
        <v>291</v>
      </c>
      <c r="M48" s="20" t="s">
        <v>296</v>
      </c>
      <c r="N48" s="53"/>
      <c r="O48" s="53"/>
      <c r="P48" s="53"/>
      <c r="Q48" s="56"/>
      <c r="R48" s="56"/>
      <c r="S48" s="56"/>
      <c r="T48" s="56"/>
      <c r="U48" s="56"/>
      <c r="V48" s="56"/>
      <c r="W48" s="56"/>
    </row>
    <row r="49" spans="1:23" s="23" customFormat="1">
      <c r="A49" s="62">
        <v>45</v>
      </c>
      <c r="B49" s="221" t="s">
        <v>375</v>
      </c>
      <c r="C49" s="221" t="s">
        <v>242</v>
      </c>
      <c r="D49" s="222" t="s">
        <v>354</v>
      </c>
      <c r="E49" s="223">
        <v>44942.592685185184</v>
      </c>
      <c r="F49" s="226" t="s">
        <v>237</v>
      </c>
      <c r="G49" s="222"/>
      <c r="H49" s="224"/>
      <c r="I49" s="224"/>
      <c r="J49" s="224" t="s">
        <v>319</v>
      </c>
      <c r="K49" s="223">
        <v>44942.593159722222</v>
      </c>
      <c r="L49" s="62" t="s">
        <v>291</v>
      </c>
      <c r="M49" s="20" t="s">
        <v>296</v>
      </c>
      <c r="N49" s="53"/>
      <c r="O49" s="53"/>
      <c r="P49" s="53"/>
      <c r="Q49" s="56"/>
      <c r="R49" s="56"/>
      <c r="S49" s="56"/>
      <c r="T49" s="56"/>
      <c r="U49" s="56"/>
      <c r="V49" s="56"/>
      <c r="W49" s="56"/>
    </row>
    <row r="50" spans="1:23" s="23" customFormat="1">
      <c r="A50" s="62">
        <v>46</v>
      </c>
      <c r="B50" s="221" t="s">
        <v>376</v>
      </c>
      <c r="C50" s="226" t="s">
        <v>242</v>
      </c>
      <c r="D50" s="225" t="s">
        <v>351</v>
      </c>
      <c r="E50" s="223">
        <v>44942.592870370368</v>
      </c>
      <c r="F50" s="226" t="s">
        <v>237</v>
      </c>
      <c r="G50" s="222"/>
      <c r="H50" s="224"/>
      <c r="I50" s="224"/>
      <c r="J50" s="224" t="s">
        <v>319</v>
      </c>
      <c r="K50" s="223">
        <v>44942.593159722222</v>
      </c>
      <c r="L50" s="62" t="s">
        <v>291</v>
      </c>
      <c r="M50" s="20" t="s">
        <v>296</v>
      </c>
      <c r="N50" s="53"/>
      <c r="O50" s="53"/>
      <c r="P50" s="53"/>
      <c r="Q50" s="56"/>
      <c r="R50" s="56"/>
      <c r="S50" s="56"/>
      <c r="T50" s="56"/>
      <c r="U50" s="56"/>
      <c r="V50" s="56"/>
      <c r="W50" s="56"/>
    </row>
    <row r="51" spans="1:23" s="23" customFormat="1" ht="38.25">
      <c r="A51" s="62">
        <v>47</v>
      </c>
      <c r="B51" s="37">
        <v>1.1000000000000001</v>
      </c>
      <c r="C51" s="37" t="s">
        <v>251</v>
      </c>
      <c r="D51" s="25" t="s">
        <v>351</v>
      </c>
      <c r="E51" s="60">
        <v>44960.397291666668</v>
      </c>
      <c r="F51" s="49" t="s">
        <v>235</v>
      </c>
      <c r="G51" s="16"/>
      <c r="H51" s="20"/>
      <c r="I51" s="20"/>
      <c r="J51" s="69" t="s">
        <v>377</v>
      </c>
      <c r="K51" s="21">
        <v>44960.416898148149</v>
      </c>
      <c r="L51" s="20" t="s">
        <v>291</v>
      </c>
      <c r="M51" s="20" t="s">
        <v>296</v>
      </c>
      <c r="N51" s="53"/>
      <c r="O51" s="53"/>
      <c r="P51" s="53"/>
      <c r="Q51" s="56"/>
      <c r="R51" s="56"/>
      <c r="S51" s="56"/>
      <c r="T51" s="56"/>
      <c r="U51" s="56"/>
      <c r="V51" s="56"/>
      <c r="W51" s="56"/>
    </row>
    <row r="52" spans="1:23" s="23" customFormat="1" ht="38.25">
      <c r="A52" s="62">
        <v>48</v>
      </c>
      <c r="B52" s="19">
        <v>1.1000000000000001</v>
      </c>
      <c r="C52" s="37" t="s">
        <v>253</v>
      </c>
      <c r="D52" s="25" t="s">
        <v>351</v>
      </c>
      <c r="E52" s="60">
        <v>44960.416666666664</v>
      </c>
      <c r="F52" s="49" t="s">
        <v>235</v>
      </c>
      <c r="G52" s="16"/>
      <c r="H52" s="20"/>
      <c r="I52" s="20"/>
      <c r="J52" s="69" t="s">
        <v>377</v>
      </c>
      <c r="K52" s="21">
        <v>44960.416921296295</v>
      </c>
      <c r="L52" s="20" t="s">
        <v>291</v>
      </c>
      <c r="M52" s="20" t="s">
        <v>296</v>
      </c>
      <c r="N52" s="53"/>
      <c r="O52" s="53"/>
      <c r="P52" s="53"/>
      <c r="Q52" s="56"/>
      <c r="R52" s="56"/>
      <c r="S52" s="56"/>
      <c r="T52" s="56"/>
      <c r="U52" s="56"/>
      <c r="V52" s="56"/>
      <c r="W52" s="56"/>
    </row>
    <row r="53" spans="1:23" s="23" customFormat="1" ht="38.25">
      <c r="A53" s="62">
        <v>49</v>
      </c>
      <c r="B53" s="19">
        <v>1.1000000000000001</v>
      </c>
      <c r="C53" s="19" t="s">
        <v>254</v>
      </c>
      <c r="D53" s="16" t="s">
        <v>351</v>
      </c>
      <c r="E53" s="60">
        <v>44960.439201388886</v>
      </c>
      <c r="F53" s="49" t="s">
        <v>235</v>
      </c>
      <c r="G53" s="16"/>
      <c r="H53" s="20"/>
      <c r="I53" s="20"/>
      <c r="J53" s="20" t="s">
        <v>377</v>
      </c>
      <c r="K53" s="21">
        <v>44960.439270833333</v>
      </c>
      <c r="L53" s="20" t="s">
        <v>291</v>
      </c>
      <c r="M53" s="20" t="s">
        <v>296</v>
      </c>
      <c r="N53" s="53"/>
      <c r="O53" s="53"/>
      <c r="P53" s="53"/>
      <c r="Q53" s="56"/>
      <c r="R53" s="56"/>
      <c r="S53" s="56"/>
      <c r="T53" s="56"/>
      <c r="U53" s="56"/>
      <c r="V53" s="56"/>
      <c r="W53" s="56"/>
    </row>
    <row r="54" spans="1:23" s="23" customFormat="1" ht="38.25">
      <c r="A54" s="62">
        <v>50</v>
      </c>
      <c r="B54" s="19">
        <v>1.1000000000000001</v>
      </c>
      <c r="C54" s="19" t="s">
        <v>255</v>
      </c>
      <c r="D54" s="16" t="s">
        <v>351</v>
      </c>
      <c r="E54" s="60">
        <v>44960.440196759257</v>
      </c>
      <c r="F54" s="49" t="s">
        <v>235</v>
      </c>
      <c r="G54" s="16"/>
      <c r="H54" s="20"/>
      <c r="I54" s="20"/>
      <c r="J54" s="20" t="s">
        <v>377</v>
      </c>
      <c r="K54" s="21">
        <v>44960.440243055556</v>
      </c>
      <c r="L54" s="20" t="s">
        <v>291</v>
      </c>
      <c r="M54" s="20" t="s">
        <v>296</v>
      </c>
      <c r="N54" s="53"/>
      <c r="O54" s="53"/>
      <c r="P54" s="53"/>
      <c r="Q54" s="56"/>
      <c r="R54" s="56"/>
      <c r="S54" s="56"/>
      <c r="T54" s="56"/>
      <c r="U54" s="56"/>
      <c r="V54" s="56"/>
      <c r="W54" s="56"/>
    </row>
    <row r="55" spans="1:23" s="23" customFormat="1" ht="38.25">
      <c r="A55" s="62">
        <v>51</v>
      </c>
      <c r="B55" s="19">
        <v>1.1000000000000001</v>
      </c>
      <c r="C55" s="19" t="s">
        <v>256</v>
      </c>
      <c r="D55" s="16" t="s">
        <v>351</v>
      </c>
      <c r="E55" s="60">
        <v>44960.443483796298</v>
      </c>
      <c r="F55" s="49" t="s">
        <v>235</v>
      </c>
      <c r="G55" s="16"/>
      <c r="H55" s="20"/>
      <c r="I55" s="20"/>
      <c r="J55" s="20" t="s">
        <v>377</v>
      </c>
      <c r="K55" s="21">
        <v>44960.443692129629</v>
      </c>
      <c r="L55" s="20" t="s">
        <v>291</v>
      </c>
      <c r="M55" s="20" t="s">
        <v>296</v>
      </c>
      <c r="N55" s="53"/>
      <c r="O55" s="53"/>
      <c r="P55" s="53"/>
      <c r="Q55" s="56"/>
      <c r="R55" s="56"/>
      <c r="S55" s="56"/>
      <c r="T55" s="56"/>
      <c r="U55" s="56"/>
      <c r="V55" s="56"/>
      <c r="W55" s="56"/>
    </row>
    <row r="56" spans="1:23" s="23" customFormat="1" ht="38.25">
      <c r="A56" s="62">
        <v>52</v>
      </c>
      <c r="B56" s="19">
        <v>1.1000000000000001</v>
      </c>
      <c r="C56" s="19" t="s">
        <v>257</v>
      </c>
      <c r="D56" s="25" t="s">
        <v>351</v>
      </c>
      <c r="E56" s="60">
        <v>44960.443506944444</v>
      </c>
      <c r="F56" s="49" t="s">
        <v>235</v>
      </c>
      <c r="G56" s="16"/>
      <c r="H56" s="20"/>
      <c r="I56" s="20"/>
      <c r="J56" s="20" t="s">
        <v>377</v>
      </c>
      <c r="K56" s="21">
        <v>44960.443715277775</v>
      </c>
      <c r="L56" s="20" t="s">
        <v>291</v>
      </c>
      <c r="M56" s="20" t="s">
        <v>296</v>
      </c>
      <c r="N56" s="53"/>
      <c r="O56" s="53"/>
      <c r="P56" s="53"/>
      <c r="Q56" s="56"/>
      <c r="R56" s="56"/>
      <c r="S56" s="56"/>
      <c r="T56" s="56"/>
      <c r="U56" s="56"/>
      <c r="V56" s="56"/>
      <c r="W56" s="56"/>
    </row>
    <row r="57" spans="1:23" s="23" customFormat="1" ht="38.25">
      <c r="A57" s="62">
        <v>53</v>
      </c>
      <c r="B57" s="19">
        <v>1.1000000000000001</v>
      </c>
      <c r="C57" s="19" t="s">
        <v>258</v>
      </c>
      <c r="D57" s="16" t="s">
        <v>351</v>
      </c>
      <c r="E57" s="60">
        <v>44960.443541666667</v>
      </c>
      <c r="F57" s="49" t="s">
        <v>235</v>
      </c>
      <c r="G57" s="16"/>
      <c r="H57" s="20"/>
      <c r="I57" s="20"/>
      <c r="J57" s="20" t="s">
        <v>377</v>
      </c>
      <c r="K57" s="21">
        <v>44960.443738425929</v>
      </c>
      <c r="L57" s="20" t="s">
        <v>291</v>
      </c>
      <c r="M57" s="20" t="s">
        <v>296</v>
      </c>
      <c r="N57" s="53"/>
      <c r="O57" s="53"/>
      <c r="P57" s="53"/>
      <c r="Q57" s="56"/>
      <c r="R57" s="56"/>
      <c r="S57" s="56"/>
      <c r="T57" s="56"/>
      <c r="U57" s="56"/>
      <c r="V57" s="56"/>
      <c r="W57" s="56"/>
    </row>
    <row r="58" spans="1:23" s="23" customFormat="1" ht="38.25">
      <c r="A58" s="62">
        <v>54</v>
      </c>
      <c r="B58" s="19">
        <v>1.1000000000000001</v>
      </c>
      <c r="C58" s="19" t="s">
        <v>259</v>
      </c>
      <c r="D58" s="25" t="s">
        <v>351</v>
      </c>
      <c r="E58" s="60">
        <v>44960.443576388891</v>
      </c>
      <c r="F58" s="49" t="s">
        <v>235</v>
      </c>
      <c r="G58" s="16"/>
      <c r="H58" s="20"/>
      <c r="I58" s="20"/>
      <c r="J58" s="20" t="s">
        <v>377</v>
      </c>
      <c r="K58" s="21">
        <v>44960.443749999999</v>
      </c>
      <c r="L58" s="20" t="s">
        <v>291</v>
      </c>
      <c r="M58" s="20" t="s">
        <v>296</v>
      </c>
      <c r="N58" s="53"/>
      <c r="O58" s="53"/>
      <c r="P58" s="53"/>
      <c r="Q58" s="56"/>
      <c r="R58" s="56"/>
      <c r="S58" s="56"/>
      <c r="T58" s="56"/>
      <c r="U58" s="56"/>
      <c r="V58" s="56"/>
      <c r="W58" s="56"/>
    </row>
    <row r="59" spans="1:23" s="23" customFormat="1">
      <c r="A59" s="62">
        <v>55</v>
      </c>
      <c r="B59" s="226" t="s">
        <v>378</v>
      </c>
      <c r="C59" s="226" t="s">
        <v>245</v>
      </c>
      <c r="D59" s="225" t="s">
        <v>379</v>
      </c>
      <c r="E59" s="60">
        <v>44970.46806712963</v>
      </c>
      <c r="F59" s="49" t="s">
        <v>239</v>
      </c>
      <c r="G59" s="16"/>
      <c r="H59" s="20"/>
      <c r="I59" s="20"/>
      <c r="J59" s="20" t="s">
        <v>239</v>
      </c>
      <c r="K59" s="21">
        <v>44970.468981481485</v>
      </c>
      <c r="L59" s="20" t="s">
        <v>291</v>
      </c>
      <c r="M59" s="20" t="s">
        <v>296</v>
      </c>
      <c r="N59" s="53"/>
      <c r="O59" s="53"/>
      <c r="P59" s="53"/>
      <c r="Q59" s="56"/>
      <c r="R59" s="56"/>
      <c r="S59" s="56"/>
      <c r="T59" s="56"/>
      <c r="U59" s="56"/>
      <c r="V59" s="56"/>
      <c r="W59" s="56"/>
    </row>
    <row r="60" spans="1:23" s="23" customFormat="1">
      <c r="A60" s="62">
        <v>56</v>
      </c>
      <c r="B60" s="226" t="s">
        <v>380</v>
      </c>
      <c r="C60" s="226" t="s">
        <v>245</v>
      </c>
      <c r="D60" s="25" t="s">
        <v>379</v>
      </c>
      <c r="E60" s="60">
        <v>44970.468159722222</v>
      </c>
      <c r="F60" s="49" t="s">
        <v>239</v>
      </c>
      <c r="G60" s="16"/>
      <c r="H60" s="20"/>
      <c r="I60" s="20"/>
      <c r="J60" s="20" t="s">
        <v>239</v>
      </c>
      <c r="K60" s="21">
        <v>44970.469039351854</v>
      </c>
      <c r="L60" s="20" t="s">
        <v>291</v>
      </c>
      <c r="M60" s="20" t="s">
        <v>296</v>
      </c>
      <c r="N60" s="53"/>
      <c r="O60" s="53"/>
      <c r="P60" s="53"/>
      <c r="Q60" s="56"/>
      <c r="R60" s="56"/>
      <c r="S60" s="56"/>
      <c r="T60" s="56"/>
      <c r="U60" s="56"/>
      <c r="V60" s="56"/>
      <c r="W60" s="56"/>
    </row>
    <row r="61" spans="1:23" s="23" customFormat="1">
      <c r="A61" s="62">
        <v>57</v>
      </c>
      <c r="B61" s="226" t="s">
        <v>381</v>
      </c>
      <c r="C61" s="226" t="s">
        <v>245</v>
      </c>
      <c r="D61" s="25" t="s">
        <v>351</v>
      </c>
      <c r="E61" s="60">
        <v>44970.468819444446</v>
      </c>
      <c r="F61" s="49" t="s">
        <v>239</v>
      </c>
      <c r="G61" s="16"/>
      <c r="H61" s="20"/>
      <c r="I61" s="20"/>
      <c r="J61" s="20" t="s">
        <v>239</v>
      </c>
      <c r="K61" s="21">
        <v>44970.469097222223</v>
      </c>
      <c r="L61" s="20" t="s">
        <v>291</v>
      </c>
      <c r="M61" s="20" t="s">
        <v>296</v>
      </c>
      <c r="N61" s="53"/>
      <c r="O61" s="53"/>
      <c r="P61" s="53"/>
      <c r="Q61" s="56"/>
      <c r="R61" s="56"/>
      <c r="S61" s="56"/>
      <c r="T61" s="56"/>
      <c r="U61" s="56"/>
      <c r="V61" s="56"/>
      <c r="W61" s="56"/>
    </row>
    <row r="62" spans="1:23" s="23" customFormat="1" ht="25.5">
      <c r="A62" s="62">
        <v>58</v>
      </c>
      <c r="B62" s="37" t="s">
        <v>382</v>
      </c>
      <c r="C62" s="37" t="s">
        <v>348</v>
      </c>
      <c r="D62" s="25" t="s">
        <v>383</v>
      </c>
      <c r="E62" s="60">
        <v>44981.35974537037</v>
      </c>
      <c r="F62" s="49" t="s">
        <v>234</v>
      </c>
      <c r="G62" s="16" t="s">
        <v>215</v>
      </c>
      <c r="H62" s="20">
        <v>1047690</v>
      </c>
      <c r="I62" s="69" t="s">
        <v>299</v>
      </c>
      <c r="J62" s="69" t="s">
        <v>319</v>
      </c>
      <c r="K62" s="21">
        <v>45008.619027777779</v>
      </c>
      <c r="L62" s="20" t="s">
        <v>215</v>
      </c>
      <c r="M62" s="20" t="s">
        <v>296</v>
      </c>
      <c r="N62" s="53"/>
      <c r="O62" s="53"/>
      <c r="P62" s="53"/>
      <c r="Q62" s="56"/>
      <c r="R62" s="56"/>
      <c r="S62" s="56"/>
      <c r="T62" s="56"/>
      <c r="U62" s="56"/>
      <c r="V62" s="56"/>
      <c r="W62" s="56"/>
    </row>
    <row r="63" spans="1:23" s="23" customFormat="1" ht="25.5">
      <c r="A63" s="62">
        <v>59</v>
      </c>
      <c r="B63" s="37" t="s">
        <v>384</v>
      </c>
      <c r="C63" s="37" t="s">
        <v>247</v>
      </c>
      <c r="D63" s="25" t="s">
        <v>385</v>
      </c>
      <c r="E63" s="60">
        <v>44981.360578703701</v>
      </c>
      <c r="F63" s="49" t="s">
        <v>234</v>
      </c>
      <c r="G63" s="16" t="s">
        <v>215</v>
      </c>
      <c r="H63" s="20">
        <v>1047690</v>
      </c>
      <c r="I63" s="69" t="s">
        <v>299</v>
      </c>
      <c r="J63" s="69" t="s">
        <v>319</v>
      </c>
      <c r="K63" s="21">
        <v>45008.620462962965</v>
      </c>
      <c r="L63" s="20" t="s">
        <v>215</v>
      </c>
      <c r="M63" s="20" t="s">
        <v>296</v>
      </c>
      <c r="N63" s="53"/>
      <c r="O63" s="53"/>
      <c r="P63" s="53"/>
      <c r="Q63" s="56"/>
      <c r="R63" s="56"/>
      <c r="S63" s="56"/>
      <c r="T63" s="56"/>
      <c r="U63" s="56"/>
      <c r="V63" s="56"/>
      <c r="W63" s="56"/>
    </row>
    <row r="64" spans="1:23" s="23" customFormat="1" ht="38.25">
      <c r="A64" s="62">
        <v>60</v>
      </c>
      <c r="B64" s="37" t="s">
        <v>384</v>
      </c>
      <c r="C64" s="37" t="s">
        <v>247</v>
      </c>
      <c r="D64" s="25" t="s">
        <v>386</v>
      </c>
      <c r="E64" s="60">
        <v>44981.371354166666</v>
      </c>
      <c r="F64" s="49" t="s">
        <v>234</v>
      </c>
      <c r="G64" s="16" t="s">
        <v>215</v>
      </c>
      <c r="H64" s="20">
        <v>1047690</v>
      </c>
      <c r="I64" s="69" t="s">
        <v>299</v>
      </c>
      <c r="J64" s="69" t="s">
        <v>319</v>
      </c>
      <c r="K64" s="21">
        <v>45008.622476851851</v>
      </c>
      <c r="L64" s="20" t="s">
        <v>215</v>
      </c>
      <c r="M64" s="20" t="s">
        <v>296</v>
      </c>
      <c r="N64" s="53"/>
      <c r="O64" s="53"/>
      <c r="P64" s="53"/>
      <c r="Q64" s="56"/>
      <c r="R64" s="56"/>
      <c r="S64" s="56"/>
      <c r="T64" s="56"/>
      <c r="U64" s="56"/>
      <c r="V64" s="56"/>
      <c r="W64" s="56"/>
    </row>
    <row r="65" spans="1:23" s="23" customFormat="1" ht="25.5">
      <c r="A65" s="62">
        <v>61</v>
      </c>
      <c r="B65" s="229" t="s">
        <v>387</v>
      </c>
      <c r="C65" s="229" t="s">
        <v>245</v>
      </c>
      <c r="D65" s="25" t="s">
        <v>351</v>
      </c>
      <c r="E65" s="60">
        <v>44981.373240740744</v>
      </c>
      <c r="F65" s="49" t="s">
        <v>234</v>
      </c>
      <c r="G65" s="16"/>
      <c r="H65" s="20"/>
      <c r="I65" s="20"/>
      <c r="J65" s="20" t="s">
        <v>234</v>
      </c>
      <c r="K65" s="21">
        <v>44981.373287037037</v>
      </c>
      <c r="L65" s="20" t="s">
        <v>291</v>
      </c>
      <c r="M65" s="20" t="s">
        <v>296</v>
      </c>
      <c r="N65" s="53"/>
      <c r="O65" s="53"/>
      <c r="P65" s="53"/>
      <c r="Q65" s="56"/>
      <c r="R65" s="56"/>
      <c r="S65" s="56"/>
      <c r="T65" s="56"/>
      <c r="U65" s="56"/>
      <c r="V65" s="56"/>
      <c r="W65" s="56"/>
    </row>
    <row r="66" spans="1:23" s="23" customFormat="1" ht="25.5">
      <c r="A66" s="62">
        <v>62</v>
      </c>
      <c r="B66" s="37" t="s">
        <v>388</v>
      </c>
      <c r="C66" s="37" t="s">
        <v>242</v>
      </c>
      <c r="D66" s="25" t="s">
        <v>389</v>
      </c>
      <c r="E66" s="60">
        <v>44981.376192129632</v>
      </c>
      <c r="F66" s="49" t="s">
        <v>234</v>
      </c>
      <c r="G66" s="25"/>
      <c r="H66" s="20">
        <v>1047690</v>
      </c>
      <c r="I66" s="69" t="s">
        <v>299</v>
      </c>
      <c r="J66" s="69" t="s">
        <v>319</v>
      </c>
      <c r="K66" s="21">
        <v>45056.667013888888</v>
      </c>
      <c r="L66" s="20" t="s">
        <v>291</v>
      </c>
      <c r="M66" s="20" t="s">
        <v>296</v>
      </c>
      <c r="N66" s="53"/>
      <c r="O66" s="53"/>
      <c r="P66" s="53"/>
      <c r="Q66" s="56"/>
      <c r="R66" s="56"/>
      <c r="S66" s="56"/>
      <c r="T66" s="56"/>
      <c r="U66" s="56"/>
      <c r="V66" s="56"/>
      <c r="W66" s="56"/>
    </row>
    <row r="67" spans="1:23" s="23" customFormat="1" ht="38.25">
      <c r="A67" s="62">
        <v>63</v>
      </c>
      <c r="B67" s="19">
        <v>1.3</v>
      </c>
      <c r="C67" s="37" t="s">
        <v>390</v>
      </c>
      <c r="D67" s="25" t="s">
        <v>391</v>
      </c>
      <c r="E67" s="60">
        <v>44981.380798611113</v>
      </c>
      <c r="F67" s="49" t="s">
        <v>234</v>
      </c>
      <c r="G67" s="16" t="s">
        <v>215</v>
      </c>
      <c r="H67" s="20">
        <v>1047503</v>
      </c>
      <c r="I67" s="69" t="s">
        <v>299</v>
      </c>
      <c r="J67" s="69" t="s">
        <v>319</v>
      </c>
      <c r="K67" s="21">
        <v>45008.623206018521</v>
      </c>
      <c r="L67" s="20" t="s">
        <v>215</v>
      </c>
      <c r="M67" s="20" t="s">
        <v>296</v>
      </c>
      <c r="N67" s="53"/>
      <c r="O67" s="53"/>
      <c r="P67" s="53"/>
      <c r="Q67" s="56"/>
      <c r="R67" s="56"/>
      <c r="S67" s="56"/>
      <c r="T67" s="56"/>
      <c r="U67" s="56"/>
      <c r="V67" s="56"/>
      <c r="W67" s="56"/>
    </row>
    <row r="68" spans="1:23" s="23" customFormat="1" ht="38.25">
      <c r="A68" s="62">
        <v>64</v>
      </c>
      <c r="B68" s="19">
        <v>1.3</v>
      </c>
      <c r="C68" s="37" t="s">
        <v>390</v>
      </c>
      <c r="D68" s="25" t="s">
        <v>392</v>
      </c>
      <c r="E68" s="60">
        <v>44981.380844907406</v>
      </c>
      <c r="F68" s="49" t="s">
        <v>234</v>
      </c>
      <c r="G68" s="16" t="s">
        <v>215</v>
      </c>
      <c r="H68" s="20">
        <v>1047503</v>
      </c>
      <c r="I68" s="69" t="s">
        <v>299</v>
      </c>
      <c r="J68" s="69" t="s">
        <v>319</v>
      </c>
      <c r="K68" s="21">
        <v>45008.62327546296</v>
      </c>
      <c r="L68" s="20" t="s">
        <v>215</v>
      </c>
      <c r="M68" s="20" t="s">
        <v>296</v>
      </c>
      <c r="N68" s="53"/>
      <c r="O68" s="53"/>
      <c r="P68" s="53"/>
      <c r="Q68" s="56"/>
      <c r="R68" s="56"/>
      <c r="S68" s="56"/>
      <c r="T68" s="56"/>
      <c r="U68" s="56"/>
      <c r="V68" s="56"/>
      <c r="W68" s="56"/>
    </row>
    <row r="69" spans="1:23" s="23" customFormat="1" ht="25.5">
      <c r="A69" s="62">
        <v>65</v>
      </c>
      <c r="B69" s="19">
        <v>1.3</v>
      </c>
      <c r="C69" s="37" t="s">
        <v>390</v>
      </c>
      <c r="D69" s="25" t="s">
        <v>393</v>
      </c>
      <c r="E69" s="60">
        <v>44981.381354166668</v>
      </c>
      <c r="F69" s="49" t="s">
        <v>234</v>
      </c>
      <c r="G69" s="16" t="s">
        <v>215</v>
      </c>
      <c r="H69" s="20">
        <v>1047503</v>
      </c>
      <c r="I69" s="69" t="s">
        <v>299</v>
      </c>
      <c r="J69" s="69" t="s">
        <v>319</v>
      </c>
      <c r="K69" s="21">
        <v>45008.623356481483</v>
      </c>
      <c r="L69" s="20" t="s">
        <v>215</v>
      </c>
      <c r="M69" s="20" t="s">
        <v>296</v>
      </c>
      <c r="N69" s="53"/>
      <c r="O69" s="53"/>
      <c r="P69" s="53"/>
      <c r="Q69" s="56"/>
      <c r="R69" s="56"/>
      <c r="S69" s="56"/>
      <c r="T69" s="56"/>
      <c r="U69" s="56"/>
      <c r="V69" s="56"/>
      <c r="W69" s="56"/>
    </row>
    <row r="70" spans="1:23" s="23" customFormat="1" ht="25.5">
      <c r="A70" s="62">
        <v>66</v>
      </c>
      <c r="B70" s="19">
        <v>1.3</v>
      </c>
      <c r="C70" s="37" t="s">
        <v>390</v>
      </c>
      <c r="D70" s="25" t="s">
        <v>394</v>
      </c>
      <c r="E70" s="60">
        <v>44981.382476851853</v>
      </c>
      <c r="F70" s="49" t="s">
        <v>234</v>
      </c>
      <c r="G70" s="16"/>
      <c r="H70" s="20">
        <v>1047503</v>
      </c>
      <c r="I70" s="69" t="s">
        <v>299</v>
      </c>
      <c r="J70" s="69" t="s">
        <v>319</v>
      </c>
      <c r="K70" s="21">
        <v>45008.623506944445</v>
      </c>
      <c r="L70" s="20" t="s">
        <v>215</v>
      </c>
      <c r="M70" s="20" t="s">
        <v>296</v>
      </c>
      <c r="N70" s="53"/>
      <c r="O70" s="53"/>
      <c r="P70" s="53"/>
      <c r="Q70" s="56"/>
      <c r="R70" s="56"/>
      <c r="S70" s="56"/>
      <c r="T70" s="56"/>
      <c r="U70" s="56"/>
      <c r="V70" s="56"/>
      <c r="W70" s="56"/>
    </row>
    <row r="71" spans="1:23" s="23" customFormat="1" ht="38.25">
      <c r="A71" s="62">
        <v>67</v>
      </c>
      <c r="B71" s="19">
        <v>1.3</v>
      </c>
      <c r="C71" s="37" t="s">
        <v>390</v>
      </c>
      <c r="D71" s="230" t="s">
        <v>395</v>
      </c>
      <c r="E71" s="60">
        <v>44981.382835648146</v>
      </c>
      <c r="F71" s="49" t="s">
        <v>234</v>
      </c>
      <c r="G71" s="25" t="s">
        <v>1113</v>
      </c>
      <c r="H71" s="20">
        <v>1047503</v>
      </c>
      <c r="I71" s="69" t="s">
        <v>299</v>
      </c>
      <c r="J71" s="69" t="s">
        <v>319</v>
      </c>
      <c r="K71" s="21">
        <v>45008.623530092591</v>
      </c>
      <c r="L71" s="20" t="s">
        <v>215</v>
      </c>
      <c r="M71" s="20" t="s">
        <v>296</v>
      </c>
      <c r="N71" s="53"/>
      <c r="O71" s="53"/>
      <c r="P71" s="53"/>
      <c r="Q71" s="56"/>
      <c r="R71" s="56"/>
      <c r="S71" s="56"/>
      <c r="T71" s="56"/>
      <c r="U71" s="56"/>
      <c r="V71" s="56"/>
      <c r="W71" s="56"/>
    </row>
    <row r="72" spans="1:23" s="23" customFormat="1" ht="25.5">
      <c r="A72" s="62">
        <v>68</v>
      </c>
      <c r="B72" s="19">
        <v>1.3</v>
      </c>
      <c r="C72" s="37" t="s">
        <v>390</v>
      </c>
      <c r="D72" s="230" t="s">
        <v>396</v>
      </c>
      <c r="E72" s="60">
        <v>44981.389189814814</v>
      </c>
      <c r="F72" s="49" t="s">
        <v>234</v>
      </c>
      <c r="G72" s="16"/>
      <c r="H72" s="20"/>
      <c r="I72" s="20"/>
      <c r="J72" s="20" t="s">
        <v>234</v>
      </c>
      <c r="K72" s="21">
        <v>44981.389247685183</v>
      </c>
      <c r="L72" s="20" t="s">
        <v>291</v>
      </c>
      <c r="M72" s="20" t="s">
        <v>296</v>
      </c>
      <c r="N72" s="53"/>
      <c r="O72" s="53"/>
      <c r="P72" s="53"/>
      <c r="Q72" s="56"/>
      <c r="R72" s="56"/>
      <c r="S72" s="56"/>
      <c r="T72" s="56"/>
      <c r="U72" s="56"/>
      <c r="V72" s="56"/>
      <c r="W72" s="56"/>
    </row>
    <row r="73" spans="1:23" s="23" customFormat="1">
      <c r="A73" s="62">
        <v>69</v>
      </c>
      <c r="B73" s="19">
        <v>1.1000000000000001</v>
      </c>
      <c r="C73" s="37" t="s">
        <v>397</v>
      </c>
      <c r="D73" s="25" t="s">
        <v>398</v>
      </c>
      <c r="E73" s="60">
        <v>44981.704525462963</v>
      </c>
      <c r="F73" s="49" t="s">
        <v>237</v>
      </c>
      <c r="G73" s="16"/>
      <c r="H73" s="232">
        <v>1048949</v>
      </c>
      <c r="I73" s="20" t="s">
        <v>299</v>
      </c>
      <c r="J73" s="69" t="s">
        <v>235</v>
      </c>
      <c r="K73" s="21">
        <v>45009.389247685183</v>
      </c>
      <c r="L73" s="20" t="s">
        <v>216</v>
      </c>
      <c r="M73" s="20" t="s">
        <v>296</v>
      </c>
      <c r="N73" s="53"/>
      <c r="O73" s="53"/>
      <c r="P73" s="53"/>
      <c r="Q73" s="56"/>
      <c r="R73" s="56"/>
      <c r="S73" s="56"/>
      <c r="T73" s="56"/>
      <c r="U73" s="56"/>
      <c r="V73" s="56"/>
      <c r="W73" s="56"/>
    </row>
    <row r="74" spans="1:23" s="23" customFormat="1" ht="15">
      <c r="A74" s="62">
        <v>70</v>
      </c>
      <c r="B74" s="19">
        <v>1.1000000000000001</v>
      </c>
      <c r="C74" s="233" t="s">
        <v>251</v>
      </c>
      <c r="D74" s="25" t="s">
        <v>351</v>
      </c>
      <c r="E74" s="60">
        <v>44984.336030092592</v>
      </c>
      <c r="F74" s="49" t="s">
        <v>235</v>
      </c>
      <c r="G74" s="16"/>
      <c r="H74" s="20"/>
      <c r="I74" s="20"/>
      <c r="J74" s="69" t="s">
        <v>377</v>
      </c>
      <c r="K74" s="21">
        <v>44984.337071759262</v>
      </c>
      <c r="L74" s="20" t="s">
        <v>291</v>
      </c>
      <c r="M74" s="20" t="s">
        <v>296</v>
      </c>
      <c r="N74" s="53"/>
      <c r="O74" s="53"/>
      <c r="P74" s="53"/>
      <c r="Q74" s="56"/>
      <c r="R74" s="56"/>
      <c r="S74" s="56"/>
      <c r="T74" s="56"/>
      <c r="U74" s="56"/>
      <c r="V74" s="56"/>
      <c r="W74" s="56"/>
    </row>
    <row r="75" spans="1:23" s="23" customFormat="1" ht="15">
      <c r="A75" s="62">
        <v>71</v>
      </c>
      <c r="B75" s="19">
        <v>1.1000000000000001</v>
      </c>
      <c r="C75" s="233" t="s">
        <v>269</v>
      </c>
      <c r="D75" s="25" t="s">
        <v>351</v>
      </c>
      <c r="E75" s="60">
        <v>44984.336064814815</v>
      </c>
      <c r="F75" s="49" t="s">
        <v>235</v>
      </c>
      <c r="G75" s="16"/>
      <c r="H75" s="20"/>
      <c r="I75" s="20"/>
      <c r="J75" s="69" t="s">
        <v>377</v>
      </c>
      <c r="K75" s="21">
        <v>44984.337094907409</v>
      </c>
      <c r="L75" s="20" t="s">
        <v>291</v>
      </c>
      <c r="M75" s="20" t="s">
        <v>296</v>
      </c>
      <c r="N75" s="53"/>
      <c r="O75" s="53"/>
      <c r="P75" s="53"/>
      <c r="Q75" s="56"/>
      <c r="R75" s="56"/>
      <c r="S75" s="56"/>
      <c r="T75" s="56"/>
      <c r="U75" s="56"/>
      <c r="V75" s="56"/>
      <c r="W75" s="56"/>
    </row>
    <row r="76" spans="1:23" s="23" customFormat="1" ht="15">
      <c r="A76" s="62">
        <v>72</v>
      </c>
      <c r="B76" s="19">
        <v>1.1000000000000001</v>
      </c>
      <c r="C76" s="233" t="s">
        <v>254</v>
      </c>
      <c r="D76" s="25" t="s">
        <v>351</v>
      </c>
      <c r="E76" s="60">
        <v>44984.336099537039</v>
      </c>
      <c r="F76" s="49" t="s">
        <v>235</v>
      </c>
      <c r="G76" s="16"/>
      <c r="H76" s="20"/>
      <c r="I76" s="20"/>
      <c r="J76" s="69" t="s">
        <v>377</v>
      </c>
      <c r="K76" s="21">
        <v>44984.337129629632</v>
      </c>
      <c r="L76" s="20" t="s">
        <v>291</v>
      </c>
      <c r="M76" s="20" t="s">
        <v>296</v>
      </c>
      <c r="N76" s="53"/>
      <c r="O76" s="53"/>
      <c r="P76" s="53"/>
      <c r="Q76" s="56"/>
      <c r="R76" s="56"/>
      <c r="S76" s="56"/>
      <c r="T76" s="56"/>
      <c r="U76" s="56"/>
      <c r="V76" s="56"/>
      <c r="W76" s="56"/>
    </row>
    <row r="77" spans="1:23" s="23" customFormat="1" ht="15">
      <c r="A77" s="62">
        <v>73</v>
      </c>
      <c r="B77" s="19">
        <v>1.1000000000000001</v>
      </c>
      <c r="C77" s="233" t="s">
        <v>270</v>
      </c>
      <c r="D77" s="25" t="s">
        <v>351</v>
      </c>
      <c r="E77" s="60">
        <v>44984.336145833331</v>
      </c>
      <c r="F77" s="49" t="s">
        <v>235</v>
      </c>
      <c r="G77" s="16"/>
      <c r="H77" s="20"/>
      <c r="I77" s="20"/>
      <c r="J77" s="69" t="s">
        <v>377</v>
      </c>
      <c r="K77" s="21">
        <v>44984.337152777778</v>
      </c>
      <c r="L77" s="20" t="s">
        <v>291</v>
      </c>
      <c r="M77" s="20" t="s">
        <v>296</v>
      </c>
      <c r="N77" s="53"/>
      <c r="O77" s="53"/>
      <c r="P77" s="53"/>
      <c r="Q77" s="56"/>
      <c r="R77" s="56"/>
      <c r="S77" s="56"/>
      <c r="T77" s="56"/>
      <c r="U77" s="56"/>
      <c r="V77" s="56"/>
      <c r="W77" s="56"/>
    </row>
    <row r="78" spans="1:23" s="23" customFormat="1" ht="15">
      <c r="A78" s="62">
        <v>74</v>
      </c>
      <c r="B78" s="19">
        <v>1.1000000000000001</v>
      </c>
      <c r="C78" s="233" t="s">
        <v>271</v>
      </c>
      <c r="D78" s="25" t="s">
        <v>351</v>
      </c>
      <c r="E78" s="60">
        <v>44984.336180555554</v>
      </c>
      <c r="F78" s="49" t="s">
        <v>235</v>
      </c>
      <c r="G78" s="16"/>
      <c r="H78" s="20"/>
      <c r="I78" s="20"/>
      <c r="J78" s="69" t="s">
        <v>377</v>
      </c>
      <c r="K78" s="21">
        <v>44984.337175925924</v>
      </c>
      <c r="L78" s="20" t="s">
        <v>291</v>
      </c>
      <c r="M78" s="20" t="s">
        <v>296</v>
      </c>
      <c r="N78" s="53"/>
      <c r="O78" s="53"/>
      <c r="P78" s="53"/>
      <c r="Q78" s="56"/>
      <c r="R78" s="56"/>
      <c r="S78" s="56"/>
      <c r="T78" s="56"/>
      <c r="U78" s="56"/>
      <c r="V78" s="56"/>
      <c r="W78" s="56"/>
    </row>
    <row r="79" spans="1:23" s="23" customFormat="1" ht="15">
      <c r="A79" s="62">
        <v>75</v>
      </c>
      <c r="B79" s="19">
        <v>1.1000000000000001</v>
      </c>
      <c r="C79" s="233" t="s">
        <v>255</v>
      </c>
      <c r="D79" s="25" t="s">
        <v>351</v>
      </c>
      <c r="E79" s="60">
        <v>44984.336215277777</v>
      </c>
      <c r="F79" s="49" t="s">
        <v>235</v>
      </c>
      <c r="G79" s="16"/>
      <c r="H79" s="20"/>
      <c r="I79" s="20"/>
      <c r="J79" s="69" t="s">
        <v>377</v>
      </c>
      <c r="K79" s="21">
        <v>44984.337210648147</v>
      </c>
      <c r="L79" s="20" t="s">
        <v>291</v>
      </c>
      <c r="M79" s="20" t="s">
        <v>296</v>
      </c>
      <c r="N79" s="53"/>
      <c r="O79" s="53"/>
      <c r="P79" s="53"/>
      <c r="Q79" s="56"/>
      <c r="R79" s="56"/>
      <c r="S79" s="56"/>
      <c r="T79" s="56"/>
      <c r="U79" s="56"/>
      <c r="V79" s="56"/>
      <c r="W79" s="56"/>
    </row>
    <row r="80" spans="1:23" s="23" customFormat="1" ht="15">
      <c r="A80" s="62">
        <v>76</v>
      </c>
      <c r="B80" s="19">
        <v>1.1000000000000001</v>
      </c>
      <c r="C80" s="233" t="s">
        <v>256</v>
      </c>
      <c r="D80" s="25" t="s">
        <v>351</v>
      </c>
      <c r="E80" s="60">
        <v>44984.336273148147</v>
      </c>
      <c r="F80" s="49" t="s">
        <v>235</v>
      </c>
      <c r="G80" s="16"/>
      <c r="H80" s="20"/>
      <c r="I80" s="20"/>
      <c r="J80" s="69" t="s">
        <v>377</v>
      </c>
      <c r="K80" s="21">
        <v>44984.337233796294</v>
      </c>
      <c r="L80" s="20" t="s">
        <v>291</v>
      </c>
      <c r="M80" s="20" t="s">
        <v>296</v>
      </c>
      <c r="N80" s="53"/>
      <c r="O80" s="53"/>
      <c r="P80" s="53"/>
      <c r="Q80" s="56"/>
      <c r="R80" s="56"/>
      <c r="S80" s="56"/>
      <c r="T80" s="56"/>
      <c r="U80" s="56"/>
      <c r="V80" s="56"/>
      <c r="W80" s="56"/>
    </row>
    <row r="81" spans="1:23" s="23" customFormat="1" ht="15">
      <c r="A81" s="62">
        <v>77</v>
      </c>
      <c r="B81" s="19">
        <v>1.1000000000000001</v>
      </c>
      <c r="C81" s="233" t="s">
        <v>257</v>
      </c>
      <c r="D81" s="25" t="s">
        <v>351</v>
      </c>
      <c r="E81" s="60">
        <v>44984.336331018516</v>
      </c>
      <c r="F81" s="49" t="s">
        <v>235</v>
      </c>
      <c r="G81" s="16"/>
      <c r="H81" s="20"/>
      <c r="I81" s="20"/>
      <c r="J81" s="69" t="s">
        <v>377</v>
      </c>
      <c r="K81" s="21">
        <v>44984.337268518517</v>
      </c>
      <c r="L81" s="20" t="s">
        <v>291</v>
      </c>
      <c r="M81" s="20" t="s">
        <v>296</v>
      </c>
      <c r="N81" s="53"/>
      <c r="O81" s="53"/>
      <c r="P81" s="53"/>
      <c r="Q81" s="56"/>
      <c r="R81" s="56"/>
      <c r="S81" s="56"/>
      <c r="T81" s="56"/>
      <c r="U81" s="56"/>
      <c r="V81" s="56"/>
      <c r="W81" s="56"/>
    </row>
    <row r="82" spans="1:23" s="23" customFormat="1" ht="15">
      <c r="A82" s="62">
        <v>78</v>
      </c>
      <c r="B82" s="19">
        <v>1.1000000000000001</v>
      </c>
      <c r="C82" s="233" t="s">
        <v>258</v>
      </c>
      <c r="D82" s="25" t="s">
        <v>351</v>
      </c>
      <c r="E82" s="60">
        <v>44984.336354166669</v>
      </c>
      <c r="F82" s="49" t="s">
        <v>235</v>
      </c>
      <c r="G82" s="16"/>
      <c r="H82" s="20"/>
      <c r="I82" s="20"/>
      <c r="J82" s="69" t="s">
        <v>377</v>
      </c>
      <c r="K82" s="21">
        <v>44984.337291666663</v>
      </c>
      <c r="L82" s="20" t="s">
        <v>291</v>
      </c>
      <c r="M82" s="20" t="s">
        <v>296</v>
      </c>
      <c r="N82" s="53"/>
      <c r="O82" s="53"/>
      <c r="P82" s="53"/>
      <c r="Q82" s="56"/>
      <c r="R82" s="56"/>
      <c r="S82" s="56"/>
      <c r="T82" s="56"/>
      <c r="U82" s="56"/>
      <c r="V82" s="56"/>
      <c r="W82" s="56"/>
    </row>
    <row r="83" spans="1:23" s="23" customFormat="1" ht="15">
      <c r="A83" s="62">
        <v>79</v>
      </c>
      <c r="B83" s="19">
        <v>1.1000000000000001</v>
      </c>
      <c r="C83" s="233" t="s">
        <v>272</v>
      </c>
      <c r="D83" s="25" t="s">
        <v>351</v>
      </c>
      <c r="E83" s="60">
        <v>44984.336388888885</v>
      </c>
      <c r="F83" s="49" t="s">
        <v>235</v>
      </c>
      <c r="G83" s="16"/>
      <c r="H83" s="20"/>
      <c r="I83" s="20"/>
      <c r="J83" s="69" t="s">
        <v>377</v>
      </c>
      <c r="K83" s="21">
        <v>44984.337337962963</v>
      </c>
      <c r="L83" s="20" t="s">
        <v>291</v>
      </c>
      <c r="M83" s="20" t="s">
        <v>296</v>
      </c>
      <c r="N83" s="53"/>
      <c r="O83" s="53"/>
      <c r="P83" s="53"/>
      <c r="Q83" s="56"/>
      <c r="R83" s="56"/>
      <c r="S83" s="56"/>
      <c r="T83" s="56"/>
      <c r="U83" s="56"/>
      <c r="V83" s="56"/>
      <c r="W83" s="56"/>
    </row>
    <row r="84" spans="1:23" s="23" customFormat="1" ht="15">
      <c r="A84" s="62">
        <v>80</v>
      </c>
      <c r="B84" s="19">
        <v>1.1000000000000001</v>
      </c>
      <c r="C84" s="233" t="s">
        <v>273</v>
      </c>
      <c r="D84" s="25" t="s">
        <v>351</v>
      </c>
      <c r="E84" s="60">
        <v>44984.336412037039</v>
      </c>
      <c r="F84" s="49" t="s">
        <v>235</v>
      </c>
      <c r="G84" s="16"/>
      <c r="H84" s="20"/>
      <c r="I84" s="20"/>
      <c r="J84" s="69" t="s">
        <v>377</v>
      </c>
      <c r="K84" s="21">
        <v>44984.337361111109</v>
      </c>
      <c r="L84" s="20" t="s">
        <v>291</v>
      </c>
      <c r="M84" s="20" t="s">
        <v>296</v>
      </c>
      <c r="N84" s="53"/>
      <c r="O84" s="53"/>
      <c r="P84" s="53"/>
      <c r="Q84" s="56"/>
      <c r="R84" s="56"/>
      <c r="S84" s="56"/>
      <c r="T84" s="56"/>
      <c r="U84" s="56"/>
      <c r="V84" s="56"/>
      <c r="W84" s="56"/>
    </row>
    <row r="85" spans="1:23" s="23" customFormat="1" ht="15">
      <c r="A85" s="62">
        <v>81</v>
      </c>
      <c r="B85" s="19">
        <v>1.1000000000000001</v>
      </c>
      <c r="C85" s="233" t="s">
        <v>259</v>
      </c>
      <c r="D85" s="25" t="s">
        <v>351</v>
      </c>
      <c r="E85" s="60">
        <v>44984.336469907408</v>
      </c>
      <c r="F85" s="49" t="s">
        <v>235</v>
      </c>
      <c r="G85" s="16"/>
      <c r="H85" s="20"/>
      <c r="I85" s="20"/>
      <c r="J85" s="69" t="s">
        <v>377</v>
      </c>
      <c r="K85" s="21">
        <v>44984.337384259263</v>
      </c>
      <c r="L85" s="20" t="s">
        <v>291</v>
      </c>
      <c r="M85" s="20" t="s">
        <v>296</v>
      </c>
      <c r="N85" s="53"/>
      <c r="O85" s="53"/>
      <c r="P85" s="53"/>
      <c r="Q85" s="56"/>
      <c r="R85" s="56"/>
      <c r="S85" s="56"/>
      <c r="T85" s="56"/>
      <c r="U85" s="56"/>
      <c r="V85" s="56"/>
      <c r="W85" s="56"/>
    </row>
    <row r="86" spans="1:23" s="23" customFormat="1" ht="15">
      <c r="A86" s="62">
        <v>82</v>
      </c>
      <c r="B86" s="19">
        <v>1.1000000000000001</v>
      </c>
      <c r="C86" s="233" t="s">
        <v>274</v>
      </c>
      <c r="D86" s="25" t="s">
        <v>351</v>
      </c>
      <c r="E86" s="60">
        <v>44984.336493055554</v>
      </c>
      <c r="F86" s="49" t="s">
        <v>235</v>
      </c>
      <c r="G86" s="16"/>
      <c r="H86" s="20"/>
      <c r="I86" s="20"/>
      <c r="J86" s="69" t="s">
        <v>377</v>
      </c>
      <c r="K86" s="21">
        <v>44984.337407407409</v>
      </c>
      <c r="L86" s="20" t="s">
        <v>291</v>
      </c>
      <c r="M86" s="20" t="s">
        <v>296</v>
      </c>
      <c r="N86" s="53"/>
      <c r="O86" s="53"/>
      <c r="P86" s="53"/>
      <c r="Q86" s="56"/>
      <c r="R86" s="56"/>
      <c r="S86" s="56"/>
      <c r="T86" s="56"/>
      <c r="U86" s="56"/>
      <c r="V86" s="56"/>
      <c r="W86" s="56"/>
    </row>
    <row r="87" spans="1:23" s="23" customFormat="1" ht="15">
      <c r="A87" s="62">
        <v>83</v>
      </c>
      <c r="B87" s="19">
        <v>1.1000000000000001</v>
      </c>
      <c r="C87" s="233" t="s">
        <v>275</v>
      </c>
      <c r="D87" s="25" t="s">
        <v>351</v>
      </c>
      <c r="E87" s="60">
        <v>44984.336574074077</v>
      </c>
      <c r="F87" s="49" t="s">
        <v>235</v>
      </c>
      <c r="G87" s="16"/>
      <c r="H87" s="20"/>
      <c r="I87" s="20"/>
      <c r="J87" s="69" t="s">
        <v>377</v>
      </c>
      <c r="K87" s="21">
        <v>44984.337430555555</v>
      </c>
      <c r="L87" s="20" t="s">
        <v>291</v>
      </c>
      <c r="M87" s="20" t="s">
        <v>296</v>
      </c>
      <c r="N87" s="53"/>
      <c r="O87" s="53"/>
      <c r="P87" s="53"/>
      <c r="Q87" s="56"/>
      <c r="R87" s="56"/>
      <c r="S87" s="56"/>
      <c r="T87" s="56"/>
      <c r="U87" s="56"/>
      <c r="V87" s="56"/>
      <c r="W87" s="56"/>
    </row>
    <row r="88" spans="1:23" s="23" customFormat="1" ht="15">
      <c r="A88" s="62">
        <v>84</v>
      </c>
      <c r="B88" s="19">
        <v>1.1000000000000001</v>
      </c>
      <c r="C88" s="233" t="s">
        <v>276</v>
      </c>
      <c r="D88" s="25" t="s">
        <v>351</v>
      </c>
      <c r="E88" s="60">
        <v>44984.336597222224</v>
      </c>
      <c r="F88" s="49" t="s">
        <v>235</v>
      </c>
      <c r="G88" s="16"/>
      <c r="H88" s="20"/>
      <c r="I88" s="20"/>
      <c r="J88" s="69" t="s">
        <v>377</v>
      </c>
      <c r="K88" s="21">
        <v>44984.337453703702</v>
      </c>
      <c r="L88" s="20" t="s">
        <v>291</v>
      </c>
      <c r="M88" s="20" t="s">
        <v>296</v>
      </c>
      <c r="N88" s="53"/>
      <c r="O88" s="53"/>
      <c r="P88" s="53"/>
      <c r="Q88" s="56"/>
      <c r="R88" s="56"/>
      <c r="S88" s="56"/>
      <c r="T88" s="56"/>
      <c r="U88" s="56"/>
      <c r="V88" s="56"/>
      <c r="W88" s="56"/>
    </row>
    <row r="89" spans="1:23" s="23" customFormat="1" ht="15">
      <c r="A89" s="62">
        <v>85</v>
      </c>
      <c r="B89" s="19" t="s">
        <v>399</v>
      </c>
      <c r="C89" s="233" t="s">
        <v>245</v>
      </c>
      <c r="D89" s="25" t="s">
        <v>351</v>
      </c>
      <c r="E89" s="60">
        <v>44987.325381944444</v>
      </c>
      <c r="F89" s="49" t="s">
        <v>237</v>
      </c>
      <c r="G89" s="16"/>
      <c r="H89" s="20"/>
      <c r="I89" s="20"/>
      <c r="J89" s="69" t="s">
        <v>319</v>
      </c>
      <c r="K89" s="21">
        <v>44987.326122685183</v>
      </c>
      <c r="L89" s="20" t="s">
        <v>291</v>
      </c>
      <c r="M89" s="20" t="s">
        <v>296</v>
      </c>
      <c r="N89" s="53"/>
      <c r="O89" s="53"/>
      <c r="P89" s="53"/>
      <c r="Q89" s="56"/>
      <c r="R89" s="56"/>
      <c r="S89" s="56"/>
      <c r="T89" s="56"/>
      <c r="U89" s="56"/>
      <c r="V89" s="56"/>
      <c r="W89" s="56"/>
    </row>
    <row r="90" spans="1:23" s="23" customFormat="1">
      <c r="A90" s="62">
        <v>87</v>
      </c>
      <c r="B90" s="37" t="s">
        <v>400</v>
      </c>
      <c r="C90" s="37" t="s">
        <v>348</v>
      </c>
      <c r="D90" s="25" t="s">
        <v>401</v>
      </c>
      <c r="E90" s="60">
        <v>45006.401979166665</v>
      </c>
      <c r="F90" s="49" t="s">
        <v>402</v>
      </c>
      <c r="G90" s="16"/>
      <c r="H90" s="20"/>
      <c r="I90" s="20"/>
      <c r="J90" s="20" t="s">
        <v>402</v>
      </c>
      <c r="K90" s="21">
        <v>45006.402303240742</v>
      </c>
      <c r="L90" s="20" t="s">
        <v>291</v>
      </c>
      <c r="M90" s="20" t="s">
        <v>296</v>
      </c>
      <c r="N90" s="53"/>
      <c r="O90" s="53"/>
      <c r="P90" s="53"/>
      <c r="Q90" s="56"/>
      <c r="R90" s="56"/>
      <c r="S90" s="56"/>
      <c r="T90" s="56"/>
      <c r="U90" s="56"/>
      <c r="V90" s="56"/>
      <c r="W90" s="56"/>
    </row>
    <row r="91" spans="1:23" s="23" customFormat="1">
      <c r="A91" s="62">
        <v>88</v>
      </c>
      <c r="B91" s="37" t="s">
        <v>403</v>
      </c>
      <c r="C91" s="37" t="s">
        <v>348</v>
      </c>
      <c r="D91" s="25" t="s">
        <v>401</v>
      </c>
      <c r="E91" s="60">
        <v>45006.401979166665</v>
      </c>
      <c r="F91" s="49" t="s">
        <v>402</v>
      </c>
      <c r="G91" s="16"/>
      <c r="H91" s="20"/>
      <c r="I91" s="20"/>
      <c r="J91" s="20" t="s">
        <v>402</v>
      </c>
      <c r="K91" s="21">
        <v>45006.402303240742</v>
      </c>
      <c r="L91" s="20" t="s">
        <v>291</v>
      </c>
      <c r="M91" s="20" t="s">
        <v>296</v>
      </c>
      <c r="N91" s="53"/>
      <c r="O91" s="53"/>
      <c r="P91" s="53"/>
      <c r="Q91" s="56"/>
      <c r="R91" s="56"/>
      <c r="S91" s="56"/>
      <c r="T91" s="56"/>
      <c r="U91" s="56"/>
      <c r="V91" s="56"/>
      <c r="W91" s="56"/>
    </row>
    <row r="92" spans="1:23" s="23" customFormat="1">
      <c r="A92" s="62">
        <v>89</v>
      </c>
      <c r="B92" s="37" t="s">
        <v>404</v>
      </c>
      <c r="C92" s="37" t="s">
        <v>348</v>
      </c>
      <c r="D92" s="25" t="s">
        <v>401</v>
      </c>
      <c r="E92" s="60">
        <v>45006.401979166665</v>
      </c>
      <c r="F92" s="49" t="s">
        <v>402</v>
      </c>
      <c r="G92" s="16"/>
      <c r="H92" s="20"/>
      <c r="I92" s="20"/>
      <c r="J92" s="20" t="s">
        <v>402</v>
      </c>
      <c r="K92" s="21">
        <v>45006.402303240742</v>
      </c>
      <c r="L92" s="20" t="s">
        <v>291</v>
      </c>
      <c r="M92" s="20" t="s">
        <v>296</v>
      </c>
      <c r="N92" s="53"/>
      <c r="O92" s="53"/>
      <c r="P92" s="53"/>
      <c r="Q92" s="56"/>
      <c r="R92" s="56"/>
      <c r="S92" s="56"/>
      <c r="T92" s="56"/>
      <c r="U92" s="56"/>
      <c r="V92" s="56"/>
      <c r="W92" s="56"/>
    </row>
    <row r="93" spans="1:23" ht="76.5">
      <c r="A93" s="62">
        <v>90</v>
      </c>
      <c r="B93" s="37" t="s">
        <v>405</v>
      </c>
      <c r="C93" s="37" t="s">
        <v>348</v>
      </c>
      <c r="D93" s="25" t="s">
        <v>406</v>
      </c>
      <c r="E93" s="60">
        <v>45006.410671296297</v>
      </c>
      <c r="F93" s="49" t="s">
        <v>402</v>
      </c>
      <c r="G93" s="16" t="s">
        <v>407</v>
      </c>
      <c r="H93" s="20"/>
      <c r="I93" s="20"/>
      <c r="J93" s="20" t="s">
        <v>319</v>
      </c>
      <c r="K93" s="21">
        <v>45008.625416666669</v>
      </c>
      <c r="L93" s="20" t="s">
        <v>291</v>
      </c>
      <c r="M93" s="20" t="s">
        <v>296</v>
      </c>
      <c r="N93" s="53"/>
      <c r="O93" s="53"/>
      <c r="P93" s="53"/>
    </row>
    <row r="94" spans="1:23" ht="51">
      <c r="A94" s="62">
        <v>91</v>
      </c>
      <c r="B94" s="37" t="s">
        <v>405</v>
      </c>
      <c r="C94" s="37" t="s">
        <v>348</v>
      </c>
      <c r="D94" s="25" t="s">
        <v>408</v>
      </c>
      <c r="E94" s="60">
        <v>45006.420937499999</v>
      </c>
      <c r="F94" s="49" t="s">
        <v>402</v>
      </c>
      <c r="G94" s="16" t="s">
        <v>215</v>
      </c>
      <c r="H94" s="20"/>
      <c r="I94" s="20"/>
      <c r="J94" s="20" t="s">
        <v>319</v>
      </c>
      <c r="K94" s="21">
        <v>45008.627662037034</v>
      </c>
      <c r="L94" s="20" t="s">
        <v>215</v>
      </c>
      <c r="M94" s="20" t="s">
        <v>296</v>
      </c>
      <c r="N94" s="53"/>
      <c r="O94" s="53"/>
      <c r="P94" s="53"/>
    </row>
    <row r="95" spans="1:23" ht="38.25">
      <c r="A95" s="62">
        <v>92</v>
      </c>
      <c r="B95" s="37" t="s">
        <v>405</v>
      </c>
      <c r="C95" s="37" t="s">
        <v>348</v>
      </c>
      <c r="D95" s="25" t="s">
        <v>409</v>
      </c>
      <c r="E95" s="60">
        <v>45006.421215277776</v>
      </c>
      <c r="F95" s="49" t="s">
        <v>402</v>
      </c>
      <c r="G95" s="16" t="s">
        <v>410</v>
      </c>
      <c r="H95" s="20"/>
      <c r="I95" s="20"/>
      <c r="J95" s="20" t="s">
        <v>319</v>
      </c>
      <c r="K95" s="21">
        <v>45008.629062499997</v>
      </c>
      <c r="L95" s="20" t="s">
        <v>291</v>
      </c>
      <c r="M95" s="20" t="s">
        <v>296</v>
      </c>
      <c r="N95" s="53"/>
      <c r="O95" s="53"/>
      <c r="P95" s="53"/>
    </row>
    <row r="96" spans="1:23" ht="38.25">
      <c r="A96" s="62">
        <v>93</v>
      </c>
      <c r="B96" s="37" t="s">
        <v>405</v>
      </c>
      <c r="C96" s="37" t="s">
        <v>348</v>
      </c>
      <c r="D96" s="25" t="s">
        <v>411</v>
      </c>
      <c r="E96" s="60">
        <v>45006.433541666665</v>
      </c>
      <c r="F96" s="49" t="s">
        <v>402</v>
      </c>
      <c r="G96" s="16" t="s">
        <v>215</v>
      </c>
      <c r="H96" s="20"/>
      <c r="I96" s="20"/>
      <c r="J96" s="20" t="s">
        <v>319</v>
      </c>
      <c r="K96" s="21">
        <v>45008.631944444445</v>
      </c>
      <c r="L96" s="20" t="s">
        <v>215</v>
      </c>
      <c r="M96" s="20" t="s">
        <v>296</v>
      </c>
      <c r="N96" s="53"/>
      <c r="O96" s="53"/>
      <c r="P96" s="53"/>
    </row>
    <row r="97" spans="1:16">
      <c r="A97" s="62">
        <v>94</v>
      </c>
      <c r="B97" s="37" t="s">
        <v>405</v>
      </c>
      <c r="C97" s="37" t="s">
        <v>348</v>
      </c>
      <c r="D97" s="25" t="s">
        <v>412</v>
      </c>
      <c r="E97" s="60">
        <v>45006.441759259258</v>
      </c>
      <c r="F97" s="49" t="s">
        <v>402</v>
      </c>
      <c r="G97" s="16" t="s">
        <v>215</v>
      </c>
      <c r="H97" s="20"/>
      <c r="I97" s="20"/>
      <c r="J97" s="20" t="s">
        <v>319</v>
      </c>
      <c r="K97" s="21">
        <v>45008.632025462961</v>
      </c>
      <c r="L97" s="20" t="s">
        <v>215</v>
      </c>
      <c r="M97" s="20" t="s">
        <v>296</v>
      </c>
      <c r="N97" s="53"/>
      <c r="O97" s="53"/>
      <c r="P97" s="53"/>
    </row>
    <row r="98" spans="1:16">
      <c r="A98" s="62">
        <v>95</v>
      </c>
      <c r="B98" s="37" t="s">
        <v>413</v>
      </c>
      <c r="C98" s="37" t="s">
        <v>247</v>
      </c>
      <c r="D98" s="25" t="s">
        <v>414</v>
      </c>
      <c r="E98" s="60">
        <v>45006.44358796296</v>
      </c>
      <c r="F98" s="49" t="s">
        <v>402</v>
      </c>
      <c r="G98" s="16"/>
      <c r="H98" s="20"/>
      <c r="I98" s="20"/>
      <c r="J98" s="20" t="s">
        <v>402</v>
      </c>
      <c r="K98" s="21">
        <v>45006.443773148145</v>
      </c>
      <c r="L98" s="20" t="s">
        <v>291</v>
      </c>
      <c r="M98" s="20" t="s">
        <v>296</v>
      </c>
      <c r="N98" s="53"/>
      <c r="O98" s="53"/>
      <c r="P98" s="53"/>
    </row>
    <row r="99" spans="1:16">
      <c r="A99" s="62">
        <v>96</v>
      </c>
      <c r="B99" s="37" t="s">
        <v>415</v>
      </c>
      <c r="C99" s="37" t="s">
        <v>247</v>
      </c>
      <c r="D99" s="25" t="s">
        <v>414</v>
      </c>
      <c r="E99" s="60">
        <v>45006.44358796296</v>
      </c>
      <c r="F99" s="49" t="s">
        <v>402</v>
      </c>
      <c r="G99" s="16"/>
      <c r="H99" s="20"/>
      <c r="I99" s="20"/>
      <c r="J99" s="20" t="s">
        <v>402</v>
      </c>
      <c r="K99" s="21">
        <v>45006.443773148145</v>
      </c>
      <c r="L99" s="20" t="s">
        <v>291</v>
      </c>
      <c r="M99" s="20" t="s">
        <v>296</v>
      </c>
      <c r="N99" s="53"/>
      <c r="O99" s="53"/>
      <c r="P99" s="53"/>
    </row>
    <row r="100" spans="1:16">
      <c r="A100" s="62">
        <v>97</v>
      </c>
      <c r="B100" s="37" t="s">
        <v>416</v>
      </c>
      <c r="C100" s="37" t="s">
        <v>247</v>
      </c>
      <c r="D100" s="25" t="s">
        <v>414</v>
      </c>
      <c r="E100" s="60">
        <v>45006.44358796296</v>
      </c>
      <c r="F100" s="49" t="s">
        <v>402</v>
      </c>
      <c r="G100" s="16"/>
      <c r="H100" s="20"/>
      <c r="I100" s="20"/>
      <c r="J100" s="20" t="s">
        <v>402</v>
      </c>
      <c r="K100" s="21">
        <v>45006.443773148145</v>
      </c>
      <c r="L100" s="20" t="s">
        <v>291</v>
      </c>
      <c r="M100" s="20" t="s">
        <v>296</v>
      </c>
      <c r="N100" s="53"/>
      <c r="O100" s="53"/>
      <c r="P100" s="53"/>
    </row>
    <row r="101" spans="1:16">
      <c r="A101" s="62">
        <v>98</v>
      </c>
      <c r="B101" s="37" t="s">
        <v>417</v>
      </c>
      <c r="C101" s="37" t="s">
        <v>247</v>
      </c>
      <c r="D101" s="25" t="s">
        <v>414</v>
      </c>
      <c r="E101" s="60">
        <v>45006.44358796296</v>
      </c>
      <c r="F101" s="49" t="s">
        <v>402</v>
      </c>
      <c r="G101" s="16"/>
      <c r="H101" s="20"/>
      <c r="I101" s="20"/>
      <c r="J101" s="20" t="s">
        <v>402</v>
      </c>
      <c r="K101" s="21">
        <v>45006.443773148145</v>
      </c>
      <c r="L101" s="20" t="s">
        <v>291</v>
      </c>
      <c r="M101" s="20" t="s">
        <v>296</v>
      </c>
      <c r="N101" s="53"/>
      <c r="O101" s="53"/>
      <c r="P101" s="53"/>
    </row>
    <row r="102" spans="1:16">
      <c r="A102" s="62">
        <v>99</v>
      </c>
      <c r="B102" s="37" t="s">
        <v>418</v>
      </c>
      <c r="C102" s="37" t="s">
        <v>247</v>
      </c>
      <c r="D102" s="25" t="s">
        <v>414</v>
      </c>
      <c r="E102" s="60">
        <v>45006.44358796296</v>
      </c>
      <c r="F102" s="49" t="s">
        <v>402</v>
      </c>
      <c r="G102" s="16"/>
      <c r="H102" s="20"/>
      <c r="I102" s="20"/>
      <c r="J102" s="20" t="s">
        <v>402</v>
      </c>
      <c r="K102" s="21">
        <v>45006.443773148145</v>
      </c>
      <c r="L102" s="20" t="s">
        <v>291</v>
      </c>
      <c r="M102" s="20" t="s">
        <v>296</v>
      </c>
      <c r="N102" s="53"/>
      <c r="O102" s="53"/>
      <c r="P102" s="53"/>
    </row>
    <row r="103" spans="1:16">
      <c r="A103" s="62">
        <v>100</v>
      </c>
      <c r="B103" s="37" t="s">
        <v>419</v>
      </c>
      <c r="C103" s="37" t="s">
        <v>247</v>
      </c>
      <c r="D103" s="25" t="s">
        <v>420</v>
      </c>
      <c r="E103" s="60">
        <v>45006.444733796299</v>
      </c>
      <c r="F103" s="49" t="s">
        <v>402</v>
      </c>
      <c r="G103" s="16" t="s">
        <v>215</v>
      </c>
      <c r="H103" s="20"/>
      <c r="I103" s="20"/>
      <c r="J103" s="20" t="s">
        <v>319</v>
      </c>
      <c r="K103" s="21">
        <v>45008.632245370369</v>
      </c>
      <c r="L103" s="20" t="s">
        <v>215</v>
      </c>
      <c r="M103" s="20" t="s">
        <v>296</v>
      </c>
      <c r="N103" s="53"/>
      <c r="O103" s="53"/>
      <c r="P103" s="53"/>
    </row>
    <row r="104" spans="1:16">
      <c r="A104" s="62">
        <v>101</v>
      </c>
      <c r="B104" s="37" t="s">
        <v>419</v>
      </c>
      <c r="C104" s="37" t="s">
        <v>247</v>
      </c>
      <c r="D104" s="25" t="s">
        <v>421</v>
      </c>
      <c r="E104" s="60">
        <v>45006.445972222224</v>
      </c>
      <c r="F104" s="49" t="s">
        <v>402</v>
      </c>
      <c r="G104" s="16" t="s">
        <v>215</v>
      </c>
      <c r="H104" s="20"/>
      <c r="I104" s="20"/>
      <c r="J104" s="20" t="s">
        <v>319</v>
      </c>
      <c r="K104" s="21">
        <v>45008.632268518515</v>
      </c>
      <c r="L104" s="20" t="s">
        <v>215</v>
      </c>
      <c r="M104" s="20" t="s">
        <v>296</v>
      </c>
      <c r="N104" s="53"/>
      <c r="O104" s="53"/>
      <c r="P104" s="53"/>
    </row>
    <row r="105" spans="1:16" ht="15">
      <c r="A105" s="62">
        <v>102</v>
      </c>
      <c r="B105" s="37" t="s">
        <v>422</v>
      </c>
      <c r="C105" s="233" t="s">
        <v>242</v>
      </c>
      <c r="D105" s="25" t="s">
        <v>423</v>
      </c>
      <c r="E105" s="60">
        <v>45006.458391203705</v>
      </c>
      <c r="F105" s="49" t="s">
        <v>402</v>
      </c>
      <c r="G105" s="16"/>
      <c r="H105" s="20"/>
      <c r="I105" s="20"/>
      <c r="J105" s="20" t="s">
        <v>402</v>
      </c>
      <c r="K105" s="21">
        <v>45006.443773148145</v>
      </c>
      <c r="L105" s="20" t="s">
        <v>291</v>
      </c>
      <c r="M105" s="20" t="s">
        <v>296</v>
      </c>
    </row>
    <row r="106" spans="1:16" ht="15">
      <c r="A106" s="62">
        <v>103</v>
      </c>
      <c r="B106" s="37" t="s">
        <v>424</v>
      </c>
      <c r="C106" s="233" t="s">
        <v>242</v>
      </c>
      <c r="D106" s="25" t="s">
        <v>423</v>
      </c>
      <c r="E106" s="60">
        <v>45006.458391203705</v>
      </c>
      <c r="F106" s="49" t="s">
        <v>402</v>
      </c>
      <c r="G106" s="16"/>
      <c r="H106" s="20"/>
      <c r="I106" s="20"/>
      <c r="J106" s="20" t="s">
        <v>402</v>
      </c>
      <c r="K106" s="21">
        <v>45006.443773148145</v>
      </c>
      <c r="L106" s="20" t="s">
        <v>291</v>
      </c>
      <c r="M106" s="20" t="s">
        <v>296</v>
      </c>
    </row>
    <row r="107" spans="1:16" ht="15">
      <c r="A107" s="62">
        <v>104</v>
      </c>
      <c r="B107" s="37" t="s">
        <v>425</v>
      </c>
      <c r="C107" s="233" t="s">
        <v>242</v>
      </c>
      <c r="D107" s="25" t="s">
        <v>423</v>
      </c>
      <c r="E107" s="60">
        <v>45006.458391203705</v>
      </c>
      <c r="F107" s="49" t="s">
        <v>402</v>
      </c>
      <c r="G107" s="16"/>
      <c r="H107" s="20"/>
      <c r="I107" s="20"/>
      <c r="J107" s="20" t="s">
        <v>402</v>
      </c>
      <c r="K107" s="21">
        <v>45006.443773148145</v>
      </c>
      <c r="L107" s="20" t="s">
        <v>291</v>
      </c>
      <c r="M107" s="20" t="s">
        <v>296</v>
      </c>
    </row>
    <row r="108" spans="1:16" ht="15">
      <c r="A108" s="62">
        <v>105</v>
      </c>
      <c r="B108" s="37" t="s">
        <v>426</v>
      </c>
      <c r="C108" s="233" t="s">
        <v>242</v>
      </c>
      <c r="D108" s="25" t="s">
        <v>423</v>
      </c>
      <c r="E108" s="60">
        <v>45006.458391203705</v>
      </c>
      <c r="F108" s="49" t="s">
        <v>402</v>
      </c>
      <c r="G108" s="16"/>
      <c r="H108" s="20"/>
      <c r="I108" s="20"/>
      <c r="J108" s="20" t="s">
        <v>402</v>
      </c>
      <c r="K108" s="21">
        <v>45006.443773148145</v>
      </c>
      <c r="L108" s="20" t="s">
        <v>291</v>
      </c>
      <c r="M108" s="20" t="s">
        <v>296</v>
      </c>
    </row>
    <row r="109" spans="1:16" ht="15">
      <c r="A109" s="62">
        <v>106</v>
      </c>
      <c r="B109" s="37" t="s">
        <v>427</v>
      </c>
      <c r="C109" s="233" t="s">
        <v>242</v>
      </c>
      <c r="D109" s="25" t="s">
        <v>423</v>
      </c>
      <c r="E109" s="60">
        <v>45006.458391203705</v>
      </c>
      <c r="F109" s="49" t="s">
        <v>402</v>
      </c>
      <c r="G109" s="16"/>
      <c r="H109" s="20"/>
      <c r="I109" s="20"/>
      <c r="J109" s="20" t="s">
        <v>402</v>
      </c>
      <c r="K109" s="21">
        <v>45006.443773148145</v>
      </c>
      <c r="L109" s="20" t="s">
        <v>291</v>
      </c>
      <c r="M109" s="20" t="s">
        <v>296</v>
      </c>
    </row>
    <row r="110" spans="1:16" ht="15">
      <c r="A110" s="62">
        <v>107</v>
      </c>
      <c r="B110" s="37" t="s">
        <v>428</v>
      </c>
      <c r="C110" s="233" t="s">
        <v>242</v>
      </c>
      <c r="D110" s="25" t="s">
        <v>423</v>
      </c>
      <c r="E110" s="60">
        <v>45006.458391203705</v>
      </c>
      <c r="F110" s="49" t="s">
        <v>402</v>
      </c>
      <c r="G110" s="16"/>
      <c r="H110" s="20"/>
      <c r="I110" s="20"/>
      <c r="J110" s="20" t="s">
        <v>402</v>
      </c>
      <c r="K110" s="21">
        <v>45006.443773148145</v>
      </c>
      <c r="L110" s="20" t="s">
        <v>291</v>
      </c>
      <c r="M110" s="20" t="s">
        <v>296</v>
      </c>
    </row>
    <row r="111" spans="1:16" ht="15">
      <c r="A111" s="62">
        <v>108</v>
      </c>
      <c r="B111" s="37" t="s">
        <v>429</v>
      </c>
      <c r="C111" s="233" t="s">
        <v>242</v>
      </c>
      <c r="D111" s="25" t="s">
        <v>423</v>
      </c>
      <c r="E111" s="60">
        <v>45006.458391203705</v>
      </c>
      <c r="F111" s="49" t="s">
        <v>402</v>
      </c>
      <c r="G111" s="16"/>
      <c r="H111" s="20"/>
      <c r="I111" s="20"/>
      <c r="J111" s="20" t="s">
        <v>402</v>
      </c>
      <c r="K111" s="21">
        <v>45006.443773148145</v>
      </c>
      <c r="L111" s="20" t="s">
        <v>291</v>
      </c>
      <c r="M111" s="20" t="s">
        <v>296</v>
      </c>
    </row>
    <row r="112" spans="1:16" ht="15">
      <c r="A112" s="62">
        <v>109</v>
      </c>
      <c r="B112" s="37" t="s">
        <v>430</v>
      </c>
      <c r="C112" s="233" t="s">
        <v>242</v>
      </c>
      <c r="D112" s="25" t="s">
        <v>423</v>
      </c>
      <c r="E112" s="60">
        <v>45006.458391203705</v>
      </c>
      <c r="F112" s="49" t="s">
        <v>402</v>
      </c>
      <c r="G112" s="16"/>
      <c r="H112" s="20"/>
      <c r="I112" s="20"/>
      <c r="J112" s="20" t="s">
        <v>402</v>
      </c>
      <c r="K112" s="21">
        <v>45006.443773148145</v>
      </c>
      <c r="L112" s="20" t="s">
        <v>291</v>
      </c>
      <c r="M112" s="20" t="s">
        <v>296</v>
      </c>
    </row>
    <row r="113" spans="1:13" ht="15">
      <c r="A113" s="62">
        <v>110</v>
      </c>
      <c r="B113" s="37" t="s">
        <v>431</v>
      </c>
      <c r="C113" s="233" t="s">
        <v>242</v>
      </c>
      <c r="D113" s="25" t="s">
        <v>423</v>
      </c>
      <c r="E113" s="60">
        <v>45006.458391203705</v>
      </c>
      <c r="F113" s="49" t="s">
        <v>402</v>
      </c>
      <c r="G113" s="16"/>
      <c r="H113" s="20"/>
      <c r="I113" s="20"/>
      <c r="J113" s="20" t="s">
        <v>402</v>
      </c>
      <c r="K113" s="21">
        <v>45006.443773148145</v>
      </c>
      <c r="L113" s="20" t="s">
        <v>291</v>
      </c>
      <c r="M113" s="20" t="s">
        <v>296</v>
      </c>
    </row>
    <row r="114" spans="1:13" ht="15">
      <c r="A114" s="62">
        <v>111</v>
      </c>
      <c r="B114" s="37" t="s">
        <v>432</v>
      </c>
      <c r="C114" s="233" t="s">
        <v>242</v>
      </c>
      <c r="D114" s="25" t="s">
        <v>423</v>
      </c>
      <c r="E114" s="60">
        <v>45006.458391203705</v>
      </c>
      <c r="F114" s="49" t="s">
        <v>402</v>
      </c>
      <c r="G114" s="16"/>
      <c r="H114" s="20"/>
      <c r="I114" s="20"/>
      <c r="J114" s="20" t="s">
        <v>402</v>
      </c>
      <c r="K114" s="21">
        <v>45006.443773148145</v>
      </c>
      <c r="L114" s="20" t="s">
        <v>291</v>
      </c>
      <c r="M114" s="20" t="s">
        <v>296</v>
      </c>
    </row>
    <row r="115" spans="1:13" ht="15">
      <c r="A115" s="62">
        <v>112</v>
      </c>
      <c r="B115" s="37" t="s">
        <v>433</v>
      </c>
      <c r="C115" s="233" t="s">
        <v>242</v>
      </c>
      <c r="D115" s="25" t="s">
        <v>423</v>
      </c>
      <c r="E115" s="60">
        <v>45006.458391203705</v>
      </c>
      <c r="F115" s="49" t="s">
        <v>402</v>
      </c>
      <c r="G115" s="16"/>
      <c r="H115" s="20"/>
      <c r="I115" s="20"/>
      <c r="J115" s="20" t="s">
        <v>402</v>
      </c>
      <c r="K115" s="21">
        <v>45006.443773148145</v>
      </c>
      <c r="L115" s="20" t="s">
        <v>291</v>
      </c>
      <c r="M115" s="20" t="s">
        <v>296</v>
      </c>
    </row>
    <row r="116" spans="1:13" ht="15">
      <c r="A116" s="62">
        <v>113</v>
      </c>
      <c r="B116" s="37" t="s">
        <v>434</v>
      </c>
      <c r="C116" s="233" t="s">
        <v>242</v>
      </c>
      <c r="D116" s="25" t="s">
        <v>423</v>
      </c>
      <c r="E116" s="60">
        <v>45006.458391203705</v>
      </c>
      <c r="F116" s="49" t="s">
        <v>402</v>
      </c>
      <c r="G116" s="16"/>
      <c r="H116" s="20"/>
      <c r="I116" s="20"/>
      <c r="J116" s="20" t="s">
        <v>402</v>
      </c>
      <c r="K116" s="21">
        <v>45006.443773148145</v>
      </c>
      <c r="L116" s="20" t="s">
        <v>291</v>
      </c>
      <c r="M116" s="20" t="s">
        <v>296</v>
      </c>
    </row>
    <row r="117" spans="1:13" ht="15">
      <c r="A117" s="62">
        <v>114</v>
      </c>
      <c r="B117" s="37" t="s">
        <v>435</v>
      </c>
      <c r="C117" s="233" t="s">
        <v>242</v>
      </c>
      <c r="D117" s="25" t="s">
        <v>423</v>
      </c>
      <c r="E117" s="60">
        <v>45006.458391203705</v>
      </c>
      <c r="F117" s="49" t="s">
        <v>402</v>
      </c>
      <c r="G117" s="16"/>
      <c r="H117" s="20"/>
      <c r="I117" s="20"/>
      <c r="J117" s="20" t="s">
        <v>402</v>
      </c>
      <c r="K117" s="21">
        <v>45006.443773148145</v>
      </c>
      <c r="L117" s="20" t="s">
        <v>291</v>
      </c>
      <c r="M117" s="20" t="s">
        <v>296</v>
      </c>
    </row>
    <row r="118" spans="1:13" ht="15">
      <c r="A118" s="62">
        <v>115</v>
      </c>
      <c r="B118" s="37" t="s">
        <v>436</v>
      </c>
      <c r="C118" s="233" t="s">
        <v>242</v>
      </c>
      <c r="D118" s="25" t="s">
        <v>423</v>
      </c>
      <c r="E118" s="60">
        <v>45006.458391203705</v>
      </c>
      <c r="F118" s="49" t="s">
        <v>402</v>
      </c>
      <c r="G118" s="16"/>
      <c r="H118" s="20"/>
      <c r="I118" s="20"/>
      <c r="J118" s="20" t="s">
        <v>402</v>
      </c>
      <c r="K118" s="21">
        <v>45006.443773148145</v>
      </c>
      <c r="L118" s="20" t="s">
        <v>291</v>
      </c>
      <c r="M118" s="20" t="s">
        <v>296</v>
      </c>
    </row>
    <row r="119" spans="1:13" ht="63.75">
      <c r="A119" s="62">
        <v>116</v>
      </c>
      <c r="B119" s="37" t="s">
        <v>437</v>
      </c>
      <c r="C119" s="234" t="s">
        <v>242</v>
      </c>
      <c r="D119" s="25" t="s">
        <v>438</v>
      </c>
      <c r="E119" s="60">
        <v>45006.462962962964</v>
      </c>
      <c r="F119" s="49" t="s">
        <v>402</v>
      </c>
      <c r="G119" s="16" t="s">
        <v>439</v>
      </c>
      <c r="H119" s="20"/>
      <c r="I119" s="20"/>
      <c r="J119" s="20" t="s">
        <v>319</v>
      </c>
      <c r="K119" s="21">
        <v>45008.657129629632</v>
      </c>
      <c r="L119" s="20" t="s">
        <v>291</v>
      </c>
      <c r="M119" s="20" t="s">
        <v>296</v>
      </c>
    </row>
    <row r="120" spans="1:13" ht="25.5">
      <c r="A120" s="62">
        <v>117</v>
      </c>
      <c r="B120" s="37" t="s">
        <v>437</v>
      </c>
      <c r="C120" s="234" t="s">
        <v>242</v>
      </c>
      <c r="D120" s="25" t="s">
        <v>440</v>
      </c>
      <c r="E120" s="60">
        <v>45006.463599537034</v>
      </c>
      <c r="F120" s="49" t="s">
        <v>402</v>
      </c>
      <c r="G120" s="16" t="s">
        <v>215</v>
      </c>
      <c r="H120" s="20"/>
      <c r="I120" s="20"/>
      <c r="J120" s="20" t="s">
        <v>319</v>
      </c>
      <c r="K120" s="21">
        <v>45008.634050925924</v>
      </c>
      <c r="L120" s="20" t="s">
        <v>215</v>
      </c>
      <c r="M120" s="20" t="s">
        <v>296</v>
      </c>
    </row>
    <row r="121" spans="1:13" ht="15">
      <c r="A121" s="62">
        <v>118</v>
      </c>
      <c r="B121" s="37" t="s">
        <v>437</v>
      </c>
      <c r="C121" s="234" t="s">
        <v>242</v>
      </c>
      <c r="D121" s="25" t="s">
        <v>441</v>
      </c>
      <c r="E121" s="60">
        <v>45006.46435185185</v>
      </c>
      <c r="F121" s="49" t="s">
        <v>402</v>
      </c>
      <c r="G121" s="16" t="s">
        <v>215</v>
      </c>
      <c r="H121" s="20"/>
      <c r="I121" s="20"/>
      <c r="J121" s="20" t="s">
        <v>319</v>
      </c>
      <c r="K121" s="21">
        <v>45008.634444444448</v>
      </c>
      <c r="L121" s="20" t="s">
        <v>215</v>
      </c>
      <c r="M121" s="20" t="s">
        <v>296</v>
      </c>
    </row>
    <row r="122" spans="1:13" ht="38.25">
      <c r="A122" s="62">
        <v>119</v>
      </c>
      <c r="B122" s="37" t="s">
        <v>437</v>
      </c>
      <c r="C122" s="234" t="s">
        <v>242</v>
      </c>
      <c r="D122" s="25" t="s">
        <v>442</v>
      </c>
      <c r="E122" s="60">
        <v>45006.464988425927</v>
      </c>
      <c r="F122" s="49" t="s">
        <v>402</v>
      </c>
      <c r="G122" s="16" t="s">
        <v>443</v>
      </c>
      <c r="H122" s="20"/>
      <c r="I122" s="20"/>
      <c r="J122" s="20" t="s">
        <v>319</v>
      </c>
      <c r="K122" s="21">
        <v>45008.635300925926</v>
      </c>
      <c r="L122" s="20" t="s">
        <v>291</v>
      </c>
      <c r="M122" s="20" t="s">
        <v>296</v>
      </c>
    </row>
    <row r="123" spans="1:13" ht="38.25">
      <c r="A123" s="62">
        <v>120</v>
      </c>
      <c r="B123" s="37" t="s">
        <v>437</v>
      </c>
      <c r="C123" s="234" t="s">
        <v>242</v>
      </c>
      <c r="D123" s="25" t="s">
        <v>444</v>
      </c>
      <c r="E123" s="60">
        <v>45006.46597222222</v>
      </c>
      <c r="F123" s="49" t="s">
        <v>402</v>
      </c>
      <c r="G123" s="16" t="s">
        <v>445</v>
      </c>
      <c r="H123" s="20"/>
      <c r="I123" s="20"/>
      <c r="J123" s="20" t="s">
        <v>319</v>
      </c>
      <c r="K123" s="21">
        <v>45008.637777777774</v>
      </c>
      <c r="L123" s="20" t="s">
        <v>291</v>
      </c>
      <c r="M123" s="20" t="s">
        <v>296</v>
      </c>
    </row>
    <row r="124" spans="1:13" ht="15">
      <c r="A124" s="62">
        <v>121</v>
      </c>
      <c r="B124" s="37" t="s">
        <v>437</v>
      </c>
      <c r="C124" s="234" t="s">
        <v>242</v>
      </c>
      <c r="D124" s="25" t="s">
        <v>446</v>
      </c>
      <c r="E124" s="60">
        <v>45006.474131944444</v>
      </c>
      <c r="F124" s="49" t="s">
        <v>402</v>
      </c>
      <c r="G124" s="16" t="s">
        <v>447</v>
      </c>
      <c r="H124" s="20"/>
      <c r="I124" s="20"/>
      <c r="J124" s="20" t="s">
        <v>319</v>
      </c>
      <c r="K124" s="21">
        <v>45008.638622685183</v>
      </c>
      <c r="L124" s="20" t="s">
        <v>291</v>
      </c>
      <c r="M124" s="20" t="s">
        <v>296</v>
      </c>
    </row>
    <row r="125" spans="1:13" ht="114.75">
      <c r="A125" s="62">
        <v>122</v>
      </c>
      <c r="B125" s="37" t="s">
        <v>437</v>
      </c>
      <c r="C125" s="234" t="s">
        <v>242</v>
      </c>
      <c r="D125" s="25" t="s">
        <v>448</v>
      </c>
      <c r="E125" s="60">
        <v>45006.476863425924</v>
      </c>
      <c r="F125" s="49" t="s">
        <v>402</v>
      </c>
      <c r="G125" s="25" t="s">
        <v>449</v>
      </c>
      <c r="H125" s="20"/>
      <c r="I125" s="20"/>
      <c r="J125" s="20" t="s">
        <v>319</v>
      </c>
      <c r="K125" s="21">
        <v>45008.640856481485</v>
      </c>
      <c r="L125" s="20" t="s">
        <v>291</v>
      </c>
      <c r="M125" s="20" t="s">
        <v>296</v>
      </c>
    </row>
    <row r="126" spans="1:13" ht="38.25">
      <c r="A126" s="62">
        <v>123</v>
      </c>
      <c r="B126" s="37" t="s">
        <v>437</v>
      </c>
      <c r="C126" s="234" t="s">
        <v>242</v>
      </c>
      <c r="D126" s="25" t="s">
        <v>450</v>
      </c>
      <c r="E126" s="60">
        <v>45006.536180555559</v>
      </c>
      <c r="F126" s="49" t="s">
        <v>402</v>
      </c>
      <c r="G126" s="25" t="s">
        <v>451</v>
      </c>
      <c r="H126" s="20"/>
      <c r="I126" s="20"/>
      <c r="J126" s="20" t="s">
        <v>319</v>
      </c>
      <c r="K126" s="21">
        <v>45008.641562500001</v>
      </c>
      <c r="L126" s="20" t="s">
        <v>291</v>
      </c>
      <c r="M126" s="20" t="s">
        <v>296</v>
      </c>
    </row>
    <row r="127" spans="1:13" ht="15">
      <c r="A127" s="62">
        <v>124</v>
      </c>
      <c r="B127" s="37" t="s">
        <v>437</v>
      </c>
      <c r="C127" s="234" t="s">
        <v>242</v>
      </c>
      <c r="D127" s="25" t="s">
        <v>389</v>
      </c>
      <c r="E127" s="60">
        <v>45006.542013888888</v>
      </c>
      <c r="F127" s="49" t="s">
        <v>402</v>
      </c>
      <c r="G127" s="16"/>
      <c r="H127" s="20"/>
      <c r="I127" s="20"/>
      <c r="J127" s="20" t="s">
        <v>319</v>
      </c>
      <c r="K127" s="21">
        <v>45040</v>
      </c>
      <c r="L127" s="20" t="s">
        <v>215</v>
      </c>
      <c r="M127" s="20" t="s">
        <v>296</v>
      </c>
    </row>
    <row r="128" spans="1:13">
      <c r="A128" s="62">
        <v>125</v>
      </c>
      <c r="B128" s="19">
        <v>1.3</v>
      </c>
      <c r="C128" s="235" t="s">
        <v>452</v>
      </c>
      <c r="D128" s="16" t="s">
        <v>351</v>
      </c>
      <c r="E128" s="60">
        <v>45026.462037037039</v>
      </c>
      <c r="F128" s="49" t="s">
        <v>235</v>
      </c>
      <c r="G128" s="16"/>
      <c r="H128" s="20"/>
      <c r="I128" s="20"/>
      <c r="J128" s="20" t="s">
        <v>453</v>
      </c>
      <c r="K128" s="21">
        <v>45026.462268518517</v>
      </c>
      <c r="L128" s="20" t="s">
        <v>291</v>
      </c>
      <c r="M128" s="20" t="s">
        <v>296</v>
      </c>
    </row>
    <row r="129" spans="1:13">
      <c r="A129" s="62">
        <v>126</v>
      </c>
      <c r="B129" s="37" t="s">
        <v>454</v>
      </c>
      <c r="C129" s="37" t="s">
        <v>348</v>
      </c>
      <c r="D129" s="25" t="s">
        <v>455</v>
      </c>
      <c r="E129" s="60">
        <v>45056.556331018517</v>
      </c>
      <c r="F129" s="49" t="s">
        <v>235</v>
      </c>
      <c r="G129" s="16"/>
      <c r="H129" s="20"/>
      <c r="I129" s="20"/>
      <c r="J129" s="69" t="s">
        <v>237</v>
      </c>
      <c r="K129" s="21">
        <v>45056.557847222219</v>
      </c>
      <c r="L129" s="20" t="s">
        <v>291</v>
      </c>
      <c r="M129" s="20" t="s">
        <v>296</v>
      </c>
    </row>
    <row r="130" spans="1:13" ht="25.5">
      <c r="A130" s="62">
        <v>127</v>
      </c>
      <c r="B130" s="19" t="s">
        <v>456</v>
      </c>
      <c r="C130" s="37" t="s">
        <v>247</v>
      </c>
      <c r="D130" s="16" t="s">
        <v>457</v>
      </c>
      <c r="E130" s="60">
        <v>45056.577592592592</v>
      </c>
      <c r="F130" s="49" t="s">
        <v>235</v>
      </c>
      <c r="G130" s="16"/>
      <c r="H130" s="20"/>
      <c r="I130" s="20"/>
      <c r="J130" s="69" t="s">
        <v>237</v>
      </c>
      <c r="K130" s="21">
        <v>45056.577638888892</v>
      </c>
      <c r="L130" s="20" t="s">
        <v>291</v>
      </c>
      <c r="M130" s="20" t="s">
        <v>296</v>
      </c>
    </row>
    <row r="131" spans="1:13" ht="38.25">
      <c r="A131" s="62">
        <v>128</v>
      </c>
      <c r="B131" s="19" t="s">
        <v>456</v>
      </c>
      <c r="C131" s="19" t="s">
        <v>247</v>
      </c>
      <c r="D131" s="25" t="s">
        <v>458</v>
      </c>
      <c r="E131" s="60">
        <v>45056.578287037039</v>
      </c>
      <c r="F131" s="49" t="s">
        <v>235</v>
      </c>
      <c r="G131" s="25" t="s">
        <v>1109</v>
      </c>
      <c r="H131" s="20"/>
      <c r="I131" s="20"/>
      <c r="J131" s="20" t="s">
        <v>237</v>
      </c>
      <c r="K131" s="21">
        <v>45062.615682870368</v>
      </c>
      <c r="L131" s="20" t="s">
        <v>215</v>
      </c>
      <c r="M131" s="20" t="s">
        <v>296</v>
      </c>
    </row>
    <row r="132" spans="1:13" ht="38.25">
      <c r="A132" s="62">
        <v>129</v>
      </c>
      <c r="B132" s="19" t="s">
        <v>456</v>
      </c>
      <c r="C132" s="19" t="s">
        <v>247</v>
      </c>
      <c r="D132" s="16" t="s">
        <v>459</v>
      </c>
      <c r="E132" s="60">
        <v>45056.582071759258</v>
      </c>
      <c r="F132" s="49" t="s">
        <v>235</v>
      </c>
      <c r="G132" s="25" t="s">
        <v>1109</v>
      </c>
      <c r="H132" s="20"/>
      <c r="I132" s="20"/>
      <c r="J132" s="20" t="s">
        <v>237</v>
      </c>
      <c r="K132" s="21">
        <v>45062.615648148145</v>
      </c>
      <c r="L132" s="20" t="s">
        <v>215</v>
      </c>
      <c r="M132" s="20" t="s">
        <v>296</v>
      </c>
    </row>
    <row r="133" spans="1:13" ht="38.25">
      <c r="A133" s="62">
        <v>130</v>
      </c>
      <c r="B133" s="19" t="s">
        <v>456</v>
      </c>
      <c r="C133" s="19" t="s">
        <v>247</v>
      </c>
      <c r="D133" s="25" t="s">
        <v>460</v>
      </c>
      <c r="E133" s="60">
        <v>45056.650405092594</v>
      </c>
      <c r="F133" s="49" t="s">
        <v>235</v>
      </c>
      <c r="G133" s="16" t="s">
        <v>1110</v>
      </c>
      <c r="H133" s="20"/>
      <c r="I133" s="20"/>
      <c r="J133" s="20" t="s">
        <v>237</v>
      </c>
      <c r="K133" s="21">
        <v>45062.615624999999</v>
      </c>
      <c r="L133" s="20" t="s">
        <v>215</v>
      </c>
      <c r="M133" s="20" t="s">
        <v>296</v>
      </c>
    </row>
    <row r="134" spans="1:13" ht="51">
      <c r="A134" s="62">
        <v>130</v>
      </c>
      <c r="B134" s="19" t="s">
        <v>456</v>
      </c>
      <c r="C134" s="19" t="s">
        <v>247</v>
      </c>
      <c r="D134" s="25" t="s">
        <v>461</v>
      </c>
      <c r="E134" s="60">
        <v>45056.64947916667</v>
      </c>
      <c r="F134" s="49" t="s">
        <v>235</v>
      </c>
      <c r="G134" s="16" t="s">
        <v>1110</v>
      </c>
      <c r="H134" s="20"/>
      <c r="I134" s="20"/>
      <c r="J134" s="20" t="s">
        <v>237</v>
      </c>
      <c r="K134" s="21">
        <v>45062.615613425929</v>
      </c>
      <c r="L134" s="20" t="s">
        <v>215</v>
      </c>
      <c r="M134" s="20" t="s">
        <v>296</v>
      </c>
    </row>
    <row r="135" spans="1:13" ht="38.25">
      <c r="A135" s="62">
        <v>130</v>
      </c>
      <c r="B135" s="37" t="s">
        <v>456</v>
      </c>
      <c r="C135" s="19" t="s">
        <v>247</v>
      </c>
      <c r="D135" s="16" t="s">
        <v>462</v>
      </c>
      <c r="E135" s="60">
        <v>45056.585648148146</v>
      </c>
      <c r="F135" s="49" t="s">
        <v>235</v>
      </c>
      <c r="G135" s="16" t="s">
        <v>1111</v>
      </c>
      <c r="H135" s="20"/>
      <c r="I135" s="20"/>
      <c r="J135" s="20" t="s">
        <v>237</v>
      </c>
      <c r="K135" s="21">
        <v>45062.615590277775</v>
      </c>
      <c r="L135" s="20" t="s">
        <v>215</v>
      </c>
      <c r="M135" s="20" t="s">
        <v>296</v>
      </c>
    </row>
    <row r="136" spans="1:13" ht="25.5">
      <c r="A136" s="62">
        <v>131</v>
      </c>
      <c r="B136" s="37" t="s">
        <v>456</v>
      </c>
      <c r="C136" s="19" t="s">
        <v>247</v>
      </c>
      <c r="D136" s="25" t="s">
        <v>1117</v>
      </c>
      <c r="E136" s="60">
        <v>45056.597407407404</v>
      </c>
      <c r="F136" s="49" t="s">
        <v>235</v>
      </c>
      <c r="G136" s="16" t="s">
        <v>1112</v>
      </c>
      <c r="H136" s="20"/>
      <c r="I136" s="20"/>
      <c r="J136" s="20" t="s">
        <v>237</v>
      </c>
      <c r="K136" s="21">
        <v>45062.615567129629</v>
      </c>
      <c r="L136" s="20" t="s">
        <v>291</v>
      </c>
      <c r="M136" s="20" t="s">
        <v>296</v>
      </c>
    </row>
    <row r="137" spans="1:13" ht="25.5">
      <c r="A137" s="62">
        <v>132</v>
      </c>
      <c r="B137" s="19" t="s">
        <v>463</v>
      </c>
      <c r="C137" s="37" t="s">
        <v>242</v>
      </c>
      <c r="D137" s="25" t="s">
        <v>464</v>
      </c>
      <c r="E137" s="60">
        <v>45056.607881944445</v>
      </c>
      <c r="F137" s="49" t="s">
        <v>235</v>
      </c>
      <c r="G137" s="16" t="s">
        <v>1113</v>
      </c>
      <c r="H137" s="20"/>
      <c r="I137" s="20"/>
      <c r="J137" s="69" t="s">
        <v>237</v>
      </c>
      <c r="K137" s="21">
        <v>45062.617534722223</v>
      </c>
      <c r="L137" s="20" t="s">
        <v>215</v>
      </c>
      <c r="M137" s="20" t="s">
        <v>296</v>
      </c>
    </row>
    <row r="138" spans="1:13" ht="25.5">
      <c r="A138" s="62">
        <v>133</v>
      </c>
      <c r="B138" s="19" t="s">
        <v>463</v>
      </c>
      <c r="C138" s="19" t="s">
        <v>242</v>
      </c>
      <c r="D138" s="25" t="s">
        <v>465</v>
      </c>
      <c r="E138" s="60">
        <v>45056.609236111108</v>
      </c>
      <c r="F138" s="49" t="s">
        <v>235</v>
      </c>
      <c r="G138" s="16" t="s">
        <v>1113</v>
      </c>
      <c r="H138" s="20"/>
      <c r="I138" s="20"/>
      <c r="J138" s="20" t="s">
        <v>237</v>
      </c>
      <c r="K138" s="21">
        <v>45062.61755787037</v>
      </c>
      <c r="L138" s="20" t="s">
        <v>215</v>
      </c>
      <c r="M138" s="20" t="s">
        <v>296</v>
      </c>
    </row>
    <row r="139" spans="1:13">
      <c r="A139" s="62">
        <v>135</v>
      </c>
      <c r="B139" s="19" t="s">
        <v>466</v>
      </c>
      <c r="C139" s="19" t="s">
        <v>245</v>
      </c>
      <c r="D139" s="16" t="s">
        <v>467</v>
      </c>
      <c r="E139" s="60">
        <v>45056.624710648146</v>
      </c>
      <c r="F139" s="49" t="s">
        <v>235</v>
      </c>
      <c r="G139" s="16"/>
      <c r="H139" s="20"/>
      <c r="I139" s="20"/>
      <c r="J139" s="69" t="s">
        <v>237</v>
      </c>
      <c r="K139" s="21">
        <v>45056.624907407408</v>
      </c>
      <c r="L139" s="20" t="s">
        <v>291</v>
      </c>
      <c r="M139" s="20" t="s">
        <v>296</v>
      </c>
    </row>
    <row r="140" spans="1:13">
      <c r="A140" s="62">
        <v>136</v>
      </c>
      <c r="B140" s="19">
        <v>1.6</v>
      </c>
      <c r="C140" s="37" t="s">
        <v>390</v>
      </c>
      <c r="D140" s="16" t="s">
        <v>468</v>
      </c>
      <c r="E140" s="60">
        <v>45056.669108796297</v>
      </c>
      <c r="F140" s="49" t="s">
        <v>235</v>
      </c>
      <c r="G140" s="25" t="s">
        <v>1113</v>
      </c>
      <c r="H140" s="20"/>
      <c r="I140" s="20"/>
      <c r="J140" s="20" t="s">
        <v>237</v>
      </c>
      <c r="K140" s="21">
        <v>45063.374652777777</v>
      </c>
      <c r="L140" s="20" t="s">
        <v>215</v>
      </c>
      <c r="M140" s="20" t="s">
        <v>296</v>
      </c>
    </row>
    <row r="141" spans="1:13">
      <c r="A141" s="62">
        <v>137</v>
      </c>
      <c r="B141" s="19">
        <v>1.6</v>
      </c>
      <c r="C141" s="37" t="s">
        <v>390</v>
      </c>
      <c r="D141" s="16" t="s">
        <v>469</v>
      </c>
      <c r="E141" s="60">
        <v>45056.669953703706</v>
      </c>
      <c r="F141" s="49" t="s">
        <v>235</v>
      </c>
      <c r="G141" s="16"/>
      <c r="H141" s="20"/>
      <c r="I141" s="20"/>
      <c r="J141" s="69" t="s">
        <v>237</v>
      </c>
      <c r="K141" s="21">
        <v>45056.670011574075</v>
      </c>
      <c r="L141" s="20" t="s">
        <v>291</v>
      </c>
      <c r="M141" s="20" t="s">
        <v>296</v>
      </c>
    </row>
    <row r="142" spans="1:13" ht="216.75">
      <c r="A142" s="62">
        <v>138</v>
      </c>
      <c r="B142" s="19"/>
      <c r="C142" s="19" t="s">
        <v>470</v>
      </c>
      <c r="D142" s="16" t="s">
        <v>471</v>
      </c>
      <c r="E142" s="60">
        <v>45057.489687499998</v>
      </c>
      <c r="F142" s="49" t="s">
        <v>235</v>
      </c>
      <c r="G142" s="16" t="s">
        <v>1114</v>
      </c>
      <c r="H142" s="20"/>
      <c r="I142" s="20"/>
      <c r="J142" s="20" t="s">
        <v>237</v>
      </c>
      <c r="K142" s="21">
        <v>45062.621111111112</v>
      </c>
      <c r="L142" s="20" t="s">
        <v>215</v>
      </c>
      <c r="M142" s="20" t="s">
        <v>296</v>
      </c>
    </row>
    <row r="143" spans="1:13" ht="204">
      <c r="A143" s="62">
        <v>139</v>
      </c>
      <c r="B143" s="19"/>
      <c r="C143" s="19" t="s">
        <v>470</v>
      </c>
      <c r="D143" s="16" t="s">
        <v>472</v>
      </c>
      <c r="E143" s="60">
        <v>45057.491377314815</v>
      </c>
      <c r="F143" s="49" t="s">
        <v>235</v>
      </c>
      <c r="G143" s="16" t="s">
        <v>1115</v>
      </c>
      <c r="H143" s="20"/>
      <c r="I143" s="20"/>
      <c r="J143" s="20" t="s">
        <v>237</v>
      </c>
      <c r="K143" s="21">
        <v>45062.622175925928</v>
      </c>
      <c r="L143" s="20" t="s">
        <v>215</v>
      </c>
      <c r="M143" s="20" t="s">
        <v>296</v>
      </c>
    </row>
    <row r="144" spans="1:13" ht="25.5">
      <c r="A144" s="62">
        <v>140</v>
      </c>
      <c r="B144" s="19"/>
      <c r="C144" s="19" t="s">
        <v>470</v>
      </c>
      <c r="D144" s="16" t="s">
        <v>473</v>
      </c>
      <c r="E144" s="60">
        <v>45057.49181712963</v>
      </c>
      <c r="F144" s="49" t="s">
        <v>235</v>
      </c>
      <c r="G144" s="16" t="s">
        <v>1113</v>
      </c>
      <c r="H144" s="20"/>
      <c r="I144" s="20"/>
      <c r="J144" s="20" t="s">
        <v>237</v>
      </c>
      <c r="K144" s="21">
        <v>45062.624189814815</v>
      </c>
      <c r="L144" s="20" t="s">
        <v>215</v>
      </c>
      <c r="M144" s="20" t="s">
        <v>296</v>
      </c>
    </row>
    <row r="145" spans="1:13" ht="25.5">
      <c r="A145" s="62">
        <v>141</v>
      </c>
      <c r="B145" s="37" t="s">
        <v>1118</v>
      </c>
      <c r="C145" s="37" t="s">
        <v>247</v>
      </c>
      <c r="D145" s="25" t="s">
        <v>1116</v>
      </c>
      <c r="E145" s="60">
        <v>45118.553020833337</v>
      </c>
      <c r="F145" s="49" t="s">
        <v>239</v>
      </c>
      <c r="G145" s="25" t="s">
        <v>351</v>
      </c>
      <c r="H145" s="20"/>
      <c r="I145" s="20"/>
      <c r="J145" s="20" t="s">
        <v>237</v>
      </c>
      <c r="K145" s="21">
        <v>45118.554062499999</v>
      </c>
      <c r="L145" s="20" t="s">
        <v>291</v>
      </c>
      <c r="M145" s="20" t="s">
        <v>296</v>
      </c>
    </row>
    <row r="146" spans="1:13">
      <c r="A146" s="62">
        <v>142</v>
      </c>
      <c r="B146" s="37" t="s">
        <v>1119</v>
      </c>
      <c r="C146" s="37" t="s">
        <v>242</v>
      </c>
      <c r="D146" s="25" t="s">
        <v>1131</v>
      </c>
      <c r="E146" s="60">
        <v>45118.561145833337</v>
      </c>
      <c r="F146" s="49" t="s">
        <v>239</v>
      </c>
      <c r="G146" s="25"/>
      <c r="H146" s="20"/>
      <c r="I146" s="20"/>
      <c r="J146" s="20"/>
      <c r="K146" s="21"/>
      <c r="L146" s="20" t="s">
        <v>213</v>
      </c>
      <c r="M146" s="20"/>
    </row>
    <row r="147" spans="1:13" ht="25.5">
      <c r="A147" s="62">
        <v>143</v>
      </c>
      <c r="B147" s="37" t="s">
        <v>1120</v>
      </c>
      <c r="C147" s="37" t="s">
        <v>348</v>
      </c>
      <c r="D147" s="246" t="s">
        <v>1121</v>
      </c>
      <c r="E147" s="60">
        <v>45118.572789351849</v>
      </c>
      <c r="F147" s="49" t="s">
        <v>239</v>
      </c>
      <c r="G147" s="25" t="s">
        <v>351</v>
      </c>
      <c r="H147" s="20"/>
      <c r="I147" s="20"/>
      <c r="J147" s="20" t="s">
        <v>237</v>
      </c>
      <c r="K147" s="21">
        <v>45118.572939814818</v>
      </c>
      <c r="L147" s="20" t="s">
        <v>291</v>
      </c>
      <c r="M147" s="20" t="s">
        <v>296</v>
      </c>
    </row>
    <row r="148" spans="1:13" ht="25.5">
      <c r="A148" s="62">
        <v>144</v>
      </c>
      <c r="B148" s="37" t="s">
        <v>1122</v>
      </c>
      <c r="C148" s="37" t="s">
        <v>244</v>
      </c>
      <c r="D148" s="246" t="s">
        <v>1123</v>
      </c>
      <c r="E148" s="60">
        <v>45118.574108796296</v>
      </c>
      <c r="F148" s="49" t="s">
        <v>239</v>
      </c>
      <c r="G148" s="25" t="s">
        <v>351</v>
      </c>
      <c r="H148" s="20"/>
      <c r="I148" s="20"/>
      <c r="J148" s="20" t="s">
        <v>237</v>
      </c>
      <c r="K148" s="21">
        <v>45118.574236111112</v>
      </c>
      <c r="L148" s="20" t="s">
        <v>291</v>
      </c>
      <c r="M148" s="20" t="s">
        <v>296</v>
      </c>
    </row>
    <row r="149" spans="1:13" ht="25.5">
      <c r="A149" s="62">
        <v>145</v>
      </c>
      <c r="B149" s="37" t="s">
        <v>1124</v>
      </c>
      <c r="C149" s="37" t="s">
        <v>245</v>
      </c>
      <c r="D149" s="246" t="s">
        <v>1125</v>
      </c>
      <c r="E149" s="60">
        <v>45118.576342592591</v>
      </c>
      <c r="F149" s="49" t="s">
        <v>239</v>
      </c>
      <c r="G149" s="25" t="s">
        <v>351</v>
      </c>
      <c r="H149" s="20"/>
      <c r="I149" s="20"/>
      <c r="J149" s="20" t="s">
        <v>237</v>
      </c>
      <c r="K149" s="21">
        <v>45118.576504629629</v>
      </c>
      <c r="L149" s="20" t="s">
        <v>291</v>
      </c>
      <c r="M149" s="20" t="s">
        <v>296</v>
      </c>
    </row>
    <row r="150" spans="1:13" ht="25.5">
      <c r="A150" s="62">
        <v>146</v>
      </c>
      <c r="B150" s="37" t="s">
        <v>1136</v>
      </c>
      <c r="C150" s="37" t="s">
        <v>247</v>
      </c>
      <c r="D150" s="25" t="s">
        <v>1137</v>
      </c>
      <c r="E150" s="60">
        <v>45127.540601851855</v>
      </c>
      <c r="F150" s="49" t="s">
        <v>234</v>
      </c>
      <c r="G150" s="16"/>
      <c r="H150" s="20"/>
      <c r="I150" s="20"/>
      <c r="J150" s="49" t="s">
        <v>239</v>
      </c>
      <c r="K150" s="21">
        <v>45127.543206018519</v>
      </c>
      <c r="L150" s="20" t="s">
        <v>291</v>
      </c>
      <c r="M150" s="20" t="s">
        <v>296</v>
      </c>
    </row>
    <row r="151" spans="1:13" ht="25.5">
      <c r="A151" s="62">
        <v>147</v>
      </c>
      <c r="B151" s="37" t="s">
        <v>1138</v>
      </c>
      <c r="C151" s="37" t="s">
        <v>245</v>
      </c>
      <c r="D151" s="25" t="s">
        <v>1139</v>
      </c>
      <c r="E151" s="60">
        <v>45127.541134259256</v>
      </c>
      <c r="F151" s="49" t="s">
        <v>234</v>
      </c>
      <c r="G151" s="16"/>
      <c r="H151" s="20"/>
      <c r="I151" s="20"/>
      <c r="J151" s="49" t="s">
        <v>239</v>
      </c>
      <c r="K151" s="21">
        <v>45127.543229166666</v>
      </c>
      <c r="L151" s="20" t="s">
        <v>291</v>
      </c>
      <c r="M151" s="20" t="s">
        <v>296</v>
      </c>
    </row>
    <row r="152" spans="1:13" ht="25.5">
      <c r="A152" s="62">
        <v>148</v>
      </c>
      <c r="B152" s="37" t="s">
        <v>1140</v>
      </c>
      <c r="C152" s="37" t="s">
        <v>244</v>
      </c>
      <c r="D152" s="25" t="s">
        <v>1141</v>
      </c>
      <c r="E152" s="60">
        <v>45127.541631944441</v>
      </c>
      <c r="F152" s="49" t="s">
        <v>234</v>
      </c>
      <c r="G152" s="16"/>
      <c r="H152" s="20"/>
      <c r="I152" s="20"/>
      <c r="J152" s="49" t="s">
        <v>239</v>
      </c>
      <c r="K152" s="21">
        <v>45127.543229166666</v>
      </c>
      <c r="L152" s="20" t="s">
        <v>291</v>
      </c>
      <c r="M152" s="20" t="s">
        <v>296</v>
      </c>
    </row>
    <row r="153" spans="1:13" ht="25.5">
      <c r="A153" s="62">
        <v>149</v>
      </c>
      <c r="B153" s="37" t="s">
        <v>1142</v>
      </c>
      <c r="C153" s="37" t="s">
        <v>242</v>
      </c>
      <c r="D153" s="246" t="s">
        <v>1143</v>
      </c>
      <c r="E153" s="60">
        <v>45127.54310185185</v>
      </c>
      <c r="F153" s="49" t="s">
        <v>234</v>
      </c>
      <c r="G153" s="16"/>
      <c r="H153" s="20"/>
      <c r="I153" s="20"/>
      <c r="J153" s="49" t="s">
        <v>239</v>
      </c>
      <c r="K153" s="21">
        <v>45127.543275462966</v>
      </c>
      <c r="L153" s="20" t="s">
        <v>291</v>
      </c>
      <c r="M153" s="20" t="s">
        <v>296</v>
      </c>
    </row>
    <row r="154" spans="1:13" ht="25.5">
      <c r="A154" s="62">
        <v>150</v>
      </c>
      <c r="B154" s="37" t="s">
        <v>1151</v>
      </c>
      <c r="C154" s="37" t="s">
        <v>470</v>
      </c>
      <c r="D154" s="25" t="s">
        <v>351</v>
      </c>
      <c r="E154" s="60">
        <v>45131.536157407405</v>
      </c>
      <c r="F154" s="49" t="s">
        <v>233</v>
      </c>
      <c r="G154" s="16"/>
      <c r="H154" s="20"/>
      <c r="I154" s="20"/>
      <c r="J154" s="69" t="s">
        <v>1152</v>
      </c>
      <c r="K154" s="60">
        <v>45131.536157407405</v>
      </c>
      <c r="L154" s="20" t="s">
        <v>291</v>
      </c>
      <c r="M154" s="20" t="s">
        <v>296</v>
      </c>
    </row>
    <row r="155" spans="1:13">
      <c r="A155" s="62">
        <v>151</v>
      </c>
      <c r="B155" s="19">
        <v>1.4</v>
      </c>
      <c r="C155" s="235" t="s">
        <v>452</v>
      </c>
      <c r="D155" s="25" t="s">
        <v>351</v>
      </c>
      <c r="E155" s="60">
        <v>45133.477905092594</v>
      </c>
      <c r="F155" s="49" t="s">
        <v>1155</v>
      </c>
      <c r="G155" s="16"/>
      <c r="H155" s="20"/>
      <c r="I155" s="20"/>
      <c r="J155" s="20" t="s">
        <v>1156</v>
      </c>
      <c r="K155" s="21">
        <v>45133.478055555555</v>
      </c>
      <c r="L155" s="20" t="s">
        <v>291</v>
      </c>
      <c r="M155" s="20" t="s">
        <v>296</v>
      </c>
    </row>
    <row r="156" spans="1:13" ht="25.5">
      <c r="A156" s="62">
        <v>152</v>
      </c>
      <c r="B156" s="37" t="s">
        <v>1160</v>
      </c>
      <c r="C156" s="37" t="s">
        <v>470</v>
      </c>
      <c r="D156" s="25" t="s">
        <v>351</v>
      </c>
      <c r="E156" s="60">
        <v>45138.629548611112</v>
      </c>
      <c r="F156" s="49" t="s">
        <v>239</v>
      </c>
      <c r="G156" s="16"/>
      <c r="H156" s="20"/>
      <c r="I156" s="20"/>
      <c r="J156" s="69" t="s">
        <v>1152</v>
      </c>
      <c r="K156" s="21">
        <v>45138.629664351851</v>
      </c>
      <c r="L156" s="20" t="s">
        <v>291</v>
      </c>
      <c r="M156" s="20" t="s">
        <v>296</v>
      </c>
    </row>
    <row r="157" spans="1:13" ht="25.5">
      <c r="A157" s="62">
        <v>153</v>
      </c>
      <c r="B157" s="37" t="s">
        <v>1159</v>
      </c>
      <c r="C157" s="37" t="s">
        <v>470</v>
      </c>
      <c r="D157" s="25" t="s">
        <v>351</v>
      </c>
      <c r="E157" s="60">
        <v>45138.629548611112</v>
      </c>
      <c r="F157" s="49" t="s">
        <v>239</v>
      </c>
      <c r="G157" s="16"/>
      <c r="H157" s="20"/>
      <c r="I157" s="20"/>
      <c r="J157" s="69" t="s">
        <v>1152</v>
      </c>
      <c r="K157" s="21">
        <v>45138.629664351851</v>
      </c>
      <c r="L157" s="20" t="s">
        <v>291</v>
      </c>
      <c r="M157" s="20" t="s">
        <v>296</v>
      </c>
    </row>
    <row r="158" spans="1:13" ht="25.5">
      <c r="A158" s="62">
        <v>154</v>
      </c>
      <c r="B158" s="37" t="s">
        <v>1161</v>
      </c>
      <c r="C158" s="37" t="s">
        <v>470</v>
      </c>
      <c r="D158" s="25" t="s">
        <v>351</v>
      </c>
      <c r="E158" s="60">
        <v>45138.629548611112</v>
      </c>
      <c r="F158" s="49" t="s">
        <v>239</v>
      </c>
      <c r="G158" s="16"/>
      <c r="H158" s="20"/>
      <c r="I158" s="20"/>
      <c r="J158" s="69" t="s">
        <v>1152</v>
      </c>
      <c r="K158" s="21">
        <v>45138.629664351851</v>
      </c>
      <c r="L158" s="20" t="s">
        <v>291</v>
      </c>
      <c r="M158" s="20" t="s">
        <v>296</v>
      </c>
    </row>
    <row r="159" spans="1:13">
      <c r="A159" s="62">
        <v>155</v>
      </c>
      <c r="B159" s="19"/>
      <c r="C159" s="19"/>
      <c r="D159" s="25"/>
      <c r="E159" s="60"/>
      <c r="F159" s="49"/>
      <c r="G159" s="16"/>
      <c r="H159" s="20"/>
      <c r="I159" s="20"/>
      <c r="J159" s="20"/>
      <c r="K159" s="21"/>
      <c r="L159" s="20"/>
      <c r="M159" s="20"/>
    </row>
    <row r="160" spans="1:13">
      <c r="A160" s="62">
        <v>156</v>
      </c>
      <c r="B160" s="19"/>
      <c r="C160" s="19"/>
      <c r="D160" s="25"/>
      <c r="E160" s="60"/>
      <c r="F160" s="49"/>
      <c r="G160" s="16"/>
      <c r="H160" s="20"/>
      <c r="I160" s="20"/>
      <c r="J160" s="20"/>
      <c r="K160" s="21"/>
      <c r="L160" s="20"/>
      <c r="M160" s="20"/>
    </row>
    <row r="161" spans="1:13">
      <c r="A161" s="62">
        <v>157</v>
      </c>
      <c r="B161" s="19"/>
      <c r="C161" s="19"/>
      <c r="D161" s="25"/>
      <c r="E161" s="60"/>
      <c r="F161" s="49"/>
      <c r="G161" s="16"/>
      <c r="H161" s="20"/>
      <c r="I161" s="20"/>
      <c r="J161" s="20"/>
      <c r="K161" s="21"/>
      <c r="L161" s="20"/>
      <c r="M161" s="20"/>
    </row>
    <row r="162" spans="1:13">
      <c r="A162" s="62">
        <v>158</v>
      </c>
      <c r="B162" s="19"/>
      <c r="C162" s="19"/>
      <c r="D162" s="25"/>
      <c r="E162" s="60"/>
      <c r="F162" s="49"/>
      <c r="G162" s="16"/>
      <c r="H162" s="20"/>
      <c r="I162" s="20"/>
      <c r="J162" s="20"/>
      <c r="K162" s="21"/>
      <c r="L162" s="20"/>
      <c r="M162" s="20"/>
    </row>
    <row r="163" spans="1:13">
      <c r="A163" s="62">
        <v>159</v>
      </c>
      <c r="B163" s="19"/>
      <c r="C163" s="19"/>
      <c r="D163" s="25"/>
      <c r="E163" s="60"/>
      <c r="F163" s="49"/>
      <c r="G163" s="16"/>
      <c r="H163" s="20"/>
      <c r="I163" s="20"/>
      <c r="J163" s="20"/>
      <c r="K163" s="21"/>
      <c r="L163" s="20"/>
      <c r="M163" s="20"/>
    </row>
    <row r="164" spans="1:13">
      <c r="A164" s="62">
        <v>160</v>
      </c>
      <c r="B164" s="19"/>
      <c r="C164" s="19"/>
      <c r="D164" s="25"/>
      <c r="E164" s="60"/>
      <c r="F164" s="49"/>
      <c r="G164" s="16"/>
      <c r="H164" s="20"/>
      <c r="I164" s="20"/>
      <c r="J164" s="20"/>
      <c r="K164" s="21"/>
      <c r="L164" s="20"/>
      <c r="M164" s="20"/>
    </row>
    <row r="165" spans="1:13">
      <c r="A165" s="62">
        <v>161</v>
      </c>
      <c r="B165" s="19"/>
      <c r="C165" s="19"/>
      <c r="D165" s="25"/>
      <c r="E165" s="60"/>
      <c r="F165" s="49"/>
      <c r="G165" s="16"/>
      <c r="H165" s="20"/>
      <c r="I165" s="20"/>
      <c r="J165" s="20"/>
      <c r="K165" s="21"/>
      <c r="L165" s="20"/>
      <c r="M165" s="20"/>
    </row>
    <row r="166" spans="1:13">
      <c r="A166" s="62">
        <v>162</v>
      </c>
      <c r="B166" s="19"/>
      <c r="C166" s="19"/>
      <c r="D166" s="25"/>
      <c r="E166" s="60"/>
      <c r="F166" s="49"/>
      <c r="G166" s="16"/>
      <c r="H166" s="20"/>
      <c r="I166" s="20"/>
      <c r="J166" s="20"/>
      <c r="K166" s="21"/>
      <c r="L166" s="20"/>
      <c r="M166" s="20"/>
    </row>
    <row r="167" spans="1:13">
      <c r="A167" s="62">
        <v>163</v>
      </c>
      <c r="B167" s="19"/>
      <c r="C167" s="19"/>
      <c r="D167" s="25"/>
      <c r="E167" s="60"/>
      <c r="F167" s="49"/>
      <c r="G167" s="16"/>
      <c r="H167" s="20"/>
      <c r="I167" s="20"/>
      <c r="J167" s="20"/>
      <c r="K167" s="21"/>
      <c r="L167" s="20"/>
      <c r="M167" s="20"/>
    </row>
    <row r="168" spans="1:13">
      <c r="A168" s="62">
        <v>164</v>
      </c>
      <c r="B168" s="19"/>
      <c r="C168" s="19"/>
      <c r="D168" s="25"/>
      <c r="E168" s="60"/>
      <c r="F168" s="49"/>
      <c r="G168" s="16"/>
      <c r="H168" s="20"/>
      <c r="I168" s="20"/>
      <c r="J168" s="20"/>
      <c r="K168" s="21"/>
      <c r="L168" s="20"/>
      <c r="M168" s="20"/>
    </row>
    <row r="169" spans="1:13">
      <c r="A169" s="62">
        <v>165</v>
      </c>
      <c r="B169" s="19"/>
      <c r="C169" s="19"/>
      <c r="D169" s="25"/>
      <c r="E169" s="60"/>
      <c r="F169" s="49"/>
      <c r="G169" s="16"/>
      <c r="H169" s="20"/>
      <c r="I169" s="20"/>
      <c r="J169" s="20"/>
      <c r="K169" s="21"/>
      <c r="L169" s="20"/>
      <c r="M169" s="20"/>
    </row>
    <row r="170" spans="1:13">
      <c r="A170" s="62">
        <v>166</v>
      </c>
      <c r="B170" s="19"/>
      <c r="C170" s="19"/>
      <c r="D170" s="25"/>
      <c r="E170" s="60"/>
      <c r="F170" s="49"/>
      <c r="G170" s="16"/>
      <c r="H170" s="20"/>
      <c r="I170" s="20"/>
      <c r="J170" s="20"/>
      <c r="K170" s="21"/>
      <c r="L170" s="20"/>
      <c r="M170" s="20"/>
    </row>
    <row r="171" spans="1:13">
      <c r="A171" s="62">
        <v>167</v>
      </c>
      <c r="B171" s="19"/>
      <c r="C171" s="19"/>
      <c r="D171" s="25"/>
      <c r="E171" s="60"/>
      <c r="F171" s="49"/>
      <c r="G171" s="16"/>
      <c r="H171" s="20"/>
      <c r="I171" s="20"/>
      <c r="J171" s="20"/>
      <c r="K171" s="21"/>
      <c r="L171" s="20"/>
      <c r="M171" s="20"/>
    </row>
    <row r="172" spans="1:13">
      <c r="A172" s="62">
        <v>168</v>
      </c>
      <c r="B172" s="19"/>
      <c r="C172" s="19"/>
      <c r="D172" s="25"/>
      <c r="E172" s="60"/>
      <c r="F172" s="49"/>
      <c r="G172" s="16"/>
      <c r="H172" s="20"/>
      <c r="I172" s="20"/>
      <c r="J172" s="20"/>
      <c r="K172" s="21"/>
      <c r="L172" s="20"/>
      <c r="M172" s="20"/>
    </row>
    <row r="173" spans="1:13">
      <c r="A173" s="62">
        <v>169</v>
      </c>
      <c r="B173" s="19"/>
      <c r="C173" s="19"/>
      <c r="D173" s="25"/>
      <c r="E173" s="60"/>
      <c r="F173" s="49"/>
      <c r="G173" s="16"/>
      <c r="H173" s="20"/>
      <c r="I173" s="20"/>
      <c r="J173" s="20"/>
      <c r="K173" s="21"/>
      <c r="L173" s="20"/>
      <c r="M173" s="20"/>
    </row>
    <row r="174" spans="1:13">
      <c r="A174" s="62">
        <v>170</v>
      </c>
      <c r="B174" s="19"/>
      <c r="C174" s="19"/>
      <c r="D174" s="25"/>
      <c r="E174" s="60"/>
      <c r="F174" s="49"/>
      <c r="G174" s="16"/>
      <c r="H174" s="20"/>
      <c r="I174" s="20"/>
      <c r="J174" s="20"/>
      <c r="K174" s="21"/>
      <c r="L174" s="20"/>
      <c r="M174" s="20"/>
    </row>
    <row r="175" spans="1:13">
      <c r="A175" s="62">
        <v>171</v>
      </c>
      <c r="B175" s="19"/>
      <c r="C175" s="19"/>
      <c r="D175" s="25"/>
      <c r="E175" s="60"/>
      <c r="F175" s="49"/>
      <c r="G175" s="16"/>
      <c r="H175" s="20"/>
      <c r="I175" s="20"/>
      <c r="J175" s="20"/>
      <c r="K175" s="21"/>
      <c r="L175" s="20"/>
      <c r="M175" s="20"/>
    </row>
    <row r="176" spans="1:13">
      <c r="A176" s="62">
        <v>172</v>
      </c>
      <c r="B176" s="19"/>
      <c r="C176" s="19"/>
      <c r="D176" s="25"/>
      <c r="E176" s="60"/>
      <c r="F176" s="49"/>
      <c r="G176" s="16"/>
      <c r="H176" s="20"/>
      <c r="I176" s="20"/>
      <c r="J176" s="20"/>
      <c r="K176" s="21"/>
      <c r="L176" s="20"/>
      <c r="M176" s="20"/>
    </row>
    <row r="177" spans="1:13">
      <c r="A177" s="62">
        <v>173</v>
      </c>
      <c r="B177" s="19"/>
      <c r="C177" s="19"/>
      <c r="D177" s="25"/>
      <c r="E177" s="60"/>
      <c r="F177" s="49"/>
      <c r="G177" s="16"/>
      <c r="H177" s="20"/>
      <c r="I177" s="20"/>
      <c r="J177" s="20"/>
      <c r="K177" s="21"/>
      <c r="L177" s="20"/>
      <c r="M177" s="20"/>
    </row>
    <row r="178" spans="1:13">
      <c r="A178" s="62">
        <v>174</v>
      </c>
      <c r="B178" s="19"/>
      <c r="C178" s="19"/>
      <c r="D178" s="25"/>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50"/>
      <c r="E204" s="60"/>
      <c r="F204" s="49"/>
      <c r="G204" s="16"/>
      <c r="H204" s="20"/>
      <c r="I204" s="20"/>
      <c r="J204" s="20"/>
      <c r="K204" s="21"/>
      <c r="L204" s="20"/>
      <c r="M204" s="20"/>
    </row>
  </sheetData>
  <autoFilter ref="A4:M204" xr:uid="{00000000-0009-0000-0000-000003000000}"/>
  <dataConsolidate/>
  <mergeCells count="2">
    <mergeCell ref="E3:G3"/>
    <mergeCell ref="A3:C3"/>
  </mergeCells>
  <phoneticPr fontId="31" type="noConversion"/>
  <conditionalFormatting sqref="L205:L65536 P1:P2">
    <cfRule type="cellIs" dxfId="3420" priority="318" stopIfTrue="1" operator="equal">
      <formula>"Fixed"</formula>
    </cfRule>
    <cfRule type="cellIs" dxfId="3419" priority="319" stopIfTrue="1" operator="equal">
      <formula>"Open"</formula>
    </cfRule>
  </conditionalFormatting>
  <conditionalFormatting sqref="L4">
    <cfRule type="cellIs" dxfId="3418" priority="320" stopIfTrue="1" operator="equal">
      <formula>"Open"</formula>
    </cfRule>
    <cfRule type="cellIs" dxfId="3417" priority="321" stopIfTrue="1" operator="equal">
      <formula>"Fixed"</formula>
    </cfRule>
  </conditionalFormatting>
  <conditionalFormatting sqref="L93:L98 L103:L104 L5:L90 L119:L151 L153 L155:L204">
    <cfRule type="expression" dxfId="3416" priority="322" stopIfTrue="1">
      <formula>AND($M5="Approved",$L5="Fixed")</formula>
    </cfRule>
    <cfRule type="cellIs" dxfId="3415" priority="323" stopIfTrue="1" operator="equal">
      <formula>"Fixed"</formula>
    </cfRule>
    <cfRule type="cellIs" dxfId="3414" priority="324" stopIfTrue="1" operator="equal">
      <formula>"Open"</formula>
    </cfRule>
  </conditionalFormatting>
  <conditionalFormatting sqref="M93:M98 M103:M104 M5:M90 M119:M151 M153 M152:N152 M155:M204">
    <cfRule type="expression" dxfId="3413" priority="325" stopIfTrue="1">
      <formula>OR(M5="Fixed",M5="Approved")</formula>
    </cfRule>
    <cfRule type="cellIs" dxfId="3412" priority="326" stopIfTrue="1" operator="equal">
      <formula>"Rejected"</formula>
    </cfRule>
  </conditionalFormatting>
  <conditionalFormatting sqref="A3">
    <cfRule type="expression" dxfId="3411" priority="312" stopIfTrue="1">
      <formula>$X$2=1</formula>
    </cfRule>
    <cfRule type="expression" dxfId="3410" priority="313" stopIfTrue="1">
      <formula>$Y$2=1</formula>
    </cfRule>
    <cfRule type="expression" dxfId="3409" priority="315" stopIfTrue="1">
      <formula>$AA$2=1</formula>
    </cfRule>
  </conditionalFormatting>
  <conditionalFormatting sqref="A3:C3">
    <cfRule type="expression" dxfId="3408" priority="314" stopIfTrue="1">
      <formula>$Z$2=1</formula>
    </cfRule>
  </conditionalFormatting>
  <conditionalFormatting sqref="A5:K8 D9:K15 C16:K16 A9:A37 D17:K27 A38:I50 D28:I37 K28:K50 A51:K58 D59:K60 A59:A61 E61:K61 A65 D65:K65 A62:G64 A72:K72 A73:G73 I73:K73 A74:B74 A75:A88 D74:K88 A66:G71 B75:B89 D136:D137 D139:D141 A132:C144 A89:K131 A147:C147 A145:A146 A148:A149 A150:C151 A153:C153 E132:K151 E153:K153 E155:K155 A154 A155:C155 A159:C204 E159:K204 A156:A158 E156:I158 K156:K158">
    <cfRule type="expression" dxfId="3407" priority="496" stopIfTrue="1">
      <formula>AND($M5="Approved",OR($L5=$R$1,$L5=$T$1))</formula>
    </cfRule>
  </conditionalFormatting>
  <conditionalFormatting sqref="B9:C9 B26:C26 B11 B13 B15 D135 D142:D144 D147 D150:D153 D159:D203">
    <cfRule type="expression" dxfId="3406" priority="1923" stopIfTrue="1">
      <formula>AND($M10="Approved",OR($L10=$R$1,$L10=$T$1))</formula>
    </cfRule>
  </conditionalFormatting>
  <conditionalFormatting sqref="C10">
    <cfRule type="expression" dxfId="3405" priority="311" stopIfTrue="1">
      <formula>AND($M11="Approved",OR($L11=$R$1,$L11=$T$1))</formula>
    </cfRule>
  </conditionalFormatting>
  <conditionalFormatting sqref="C11">
    <cfRule type="expression" dxfId="3404" priority="310" stopIfTrue="1">
      <formula>AND($M12="Approved",OR($L12=$R$1,$L12=$T$1))</formula>
    </cfRule>
  </conditionalFormatting>
  <conditionalFormatting sqref="C12">
    <cfRule type="expression" dxfId="3403" priority="309" stopIfTrue="1">
      <formula>AND($M13="Approved",OR($L13=$R$1,$L13=$T$1))</formula>
    </cfRule>
  </conditionalFormatting>
  <conditionalFormatting sqref="C13">
    <cfRule type="expression" dxfId="3402" priority="307" stopIfTrue="1">
      <formula>AND($M14="Approved",OR($L14=$R$1,$L14=$T$1))</formula>
    </cfRule>
  </conditionalFormatting>
  <conditionalFormatting sqref="C14">
    <cfRule type="expression" dxfId="3401" priority="305" stopIfTrue="1">
      <formula>AND($M15="Approved",OR($L15=$R$1,$L15=$T$1))</formula>
    </cfRule>
  </conditionalFormatting>
  <conditionalFormatting sqref="C15">
    <cfRule type="expression" dxfId="3400" priority="301" stopIfTrue="1">
      <formula>AND($M16="Approved",OR($L16=$R$1,$L16=$T$1))</formula>
    </cfRule>
  </conditionalFormatting>
  <conditionalFormatting sqref="B16 B18 B20 B22 B24">
    <cfRule type="expression" dxfId="3399" priority="299" stopIfTrue="1">
      <formula>AND($M17="Approved",OR($L17=$R$1,$L17=$T$1))</formula>
    </cfRule>
  </conditionalFormatting>
  <conditionalFormatting sqref="C17">
    <cfRule type="expression" dxfId="3398" priority="298" stopIfTrue="1">
      <formula>AND($M17="Approved",OR($L17=$R$1,$L17=$T$1))</formula>
    </cfRule>
  </conditionalFormatting>
  <conditionalFormatting sqref="C18">
    <cfRule type="expression" dxfId="3397" priority="296" stopIfTrue="1">
      <formula>AND($M18="Approved",OR($L18=$R$1,$L18=$T$1))</formula>
    </cfRule>
  </conditionalFormatting>
  <conditionalFormatting sqref="C19">
    <cfRule type="expression" dxfId="3396" priority="294" stopIfTrue="1">
      <formula>AND($M19="Approved",OR($L19=$R$1,$L19=$T$1))</formula>
    </cfRule>
  </conditionalFormatting>
  <conditionalFormatting sqref="C20">
    <cfRule type="expression" dxfId="3395" priority="292" stopIfTrue="1">
      <formula>AND($M20="Approved",OR($L20=$R$1,$L20=$T$1))</formula>
    </cfRule>
  </conditionalFormatting>
  <conditionalFormatting sqref="C21">
    <cfRule type="expression" dxfId="3394" priority="290" stopIfTrue="1">
      <formula>AND($M21="Approved",OR($L21=$R$1,$L21=$T$1))</formula>
    </cfRule>
  </conditionalFormatting>
  <conditionalFormatting sqref="C22">
    <cfRule type="expression" dxfId="3393" priority="288" stopIfTrue="1">
      <formula>AND($M22="Approved",OR($L22=$R$1,$L22=$T$1))</formula>
    </cfRule>
  </conditionalFormatting>
  <conditionalFormatting sqref="C23">
    <cfRule type="expression" dxfId="3392" priority="286" stopIfTrue="1">
      <formula>AND($M23="Approved",OR($L23=$R$1,$L23=$T$1))</formula>
    </cfRule>
  </conditionalFormatting>
  <conditionalFormatting sqref="C24">
    <cfRule type="expression" dxfId="3391" priority="284" stopIfTrue="1">
      <formula>AND($M24="Approved",OR($L24=$R$1,$L24=$T$1))</formula>
    </cfRule>
  </conditionalFormatting>
  <conditionalFormatting sqref="C25">
    <cfRule type="expression" dxfId="3390" priority="282" stopIfTrue="1">
      <formula>AND($M25="Approved",OR($L25=$R$1,$L25=$T$1))</formula>
    </cfRule>
  </conditionalFormatting>
  <conditionalFormatting sqref="B10 B12 B14">
    <cfRule type="expression" dxfId="3389" priority="278" stopIfTrue="1">
      <formula>AND($M11="Approved",OR($L11=$R$1,$L11=$T$1))</formula>
    </cfRule>
  </conditionalFormatting>
  <conditionalFormatting sqref="B17 B19 B21 B23 B25">
    <cfRule type="expression" dxfId="3388" priority="277" stopIfTrue="1">
      <formula>AND($M18="Approved",OR($L18=$R$1,$L18=$T$1))</formula>
    </cfRule>
  </conditionalFormatting>
  <conditionalFormatting sqref="C28">
    <cfRule type="expression" dxfId="3387" priority="276" stopIfTrue="1">
      <formula>AND($M29="Approved",OR($L29=$R$1,$L29=$T$1))</formula>
    </cfRule>
  </conditionalFormatting>
  <conditionalFormatting sqref="C29">
    <cfRule type="expression" dxfId="3386" priority="275" stopIfTrue="1">
      <formula>AND($M30="Approved",OR($L30=$R$1,$L30=$T$1))</formula>
    </cfRule>
  </conditionalFormatting>
  <conditionalFormatting sqref="B28">
    <cfRule type="expression" dxfId="3385" priority="274" stopIfTrue="1">
      <formula>AND($M29="Approved",OR($L29=$R$1,$L29=$T$1))</formula>
    </cfRule>
  </conditionalFormatting>
  <conditionalFormatting sqref="B29">
    <cfRule type="expression" dxfId="3384" priority="273" stopIfTrue="1">
      <formula>AND($M30="Approved",OR($L30=$R$1,$L30=$T$1))</formula>
    </cfRule>
  </conditionalFormatting>
  <conditionalFormatting sqref="C30">
    <cfRule type="expression" dxfId="3383" priority="272" stopIfTrue="1">
      <formula>AND($M30="Approved",OR($L30=$R$1,$L30=$T$1))</formula>
    </cfRule>
  </conditionalFormatting>
  <conditionalFormatting sqref="B30">
    <cfRule type="expression" dxfId="3382" priority="271" stopIfTrue="1">
      <formula>AND($M31="Approved",OR($L31=$R$1,$L31=$T$1))</formula>
    </cfRule>
  </conditionalFormatting>
  <conditionalFormatting sqref="B31">
    <cfRule type="expression" dxfId="3381" priority="270" stopIfTrue="1">
      <formula>AND($M32="Approved",OR($L32=$R$1,$L32=$T$1))</formula>
    </cfRule>
  </conditionalFormatting>
  <conditionalFormatting sqref="C31">
    <cfRule type="expression" dxfId="3380" priority="269" stopIfTrue="1">
      <formula>AND($M31="Approved",OR($L31=$R$1,$L31=$T$1))</formula>
    </cfRule>
  </conditionalFormatting>
  <conditionalFormatting sqref="B32">
    <cfRule type="expression" dxfId="3379" priority="268" stopIfTrue="1">
      <formula>AND($M33="Approved",OR($L33=$R$1,$L33=$T$1))</formula>
    </cfRule>
  </conditionalFormatting>
  <conditionalFormatting sqref="C32">
    <cfRule type="expression" dxfId="3378" priority="267" stopIfTrue="1">
      <formula>AND($M32="Approved",OR($L32=$R$1,$L32=$T$1))</formula>
    </cfRule>
  </conditionalFormatting>
  <conditionalFormatting sqref="B33">
    <cfRule type="expression" dxfId="3377" priority="266" stopIfTrue="1">
      <formula>AND($M34="Approved",OR($L34=$R$1,$L34=$T$1))</formula>
    </cfRule>
  </conditionalFormatting>
  <conditionalFormatting sqref="C33">
    <cfRule type="expression" dxfId="3376" priority="265" stopIfTrue="1">
      <formula>AND($M33="Approved",OR($L33=$R$1,$L33=$T$1))</formula>
    </cfRule>
  </conditionalFormatting>
  <conditionalFormatting sqref="C34">
    <cfRule type="expression" dxfId="3375" priority="264" stopIfTrue="1">
      <formula>AND($M35="Approved",OR($L35=$R$1,$L35=$T$1))</formula>
    </cfRule>
  </conditionalFormatting>
  <conditionalFormatting sqref="B34">
    <cfRule type="expression" dxfId="3374" priority="263" stopIfTrue="1">
      <formula>AND($M35="Approved",OR($L35=$R$1,$L35=$T$1))</formula>
    </cfRule>
  </conditionalFormatting>
  <conditionalFormatting sqref="C35">
    <cfRule type="expression" dxfId="3373" priority="262" stopIfTrue="1">
      <formula>AND($M36="Approved",OR($L36=$R$1,$L36=$T$1))</formula>
    </cfRule>
  </conditionalFormatting>
  <conditionalFormatting sqref="B35">
    <cfRule type="expression" dxfId="3372" priority="261" stopIfTrue="1">
      <formula>AND($M36="Approved",OR($L36=$R$1,$L36=$T$1))</formula>
    </cfRule>
  </conditionalFormatting>
  <conditionalFormatting sqref="C36">
    <cfRule type="expression" dxfId="3371" priority="260" stopIfTrue="1">
      <formula>AND($M37="Approved",OR($L37=$R$1,$L37=$T$1))</formula>
    </cfRule>
  </conditionalFormatting>
  <conditionalFormatting sqref="B36">
    <cfRule type="expression" dxfId="3370" priority="259" stopIfTrue="1">
      <formula>AND($M37="Approved",OR($L37=$R$1,$L37=$T$1))</formula>
    </cfRule>
  </conditionalFormatting>
  <conditionalFormatting sqref="C37">
    <cfRule type="expression" dxfId="3369" priority="258" stopIfTrue="1">
      <formula>AND($M38="Approved",OR($L38=$R$1,$L38=$T$1))</formula>
    </cfRule>
  </conditionalFormatting>
  <conditionalFormatting sqref="B37">
    <cfRule type="expression" dxfId="3368" priority="257" stopIfTrue="1">
      <formula>AND($M38="Approved",OR($L38=$R$1,$L38=$T$1))</formula>
    </cfRule>
  </conditionalFormatting>
  <conditionalFormatting sqref="J28:J50">
    <cfRule type="expression" dxfId="3367" priority="256" stopIfTrue="1">
      <formula>AND($M28="Approved",OR($L28=$R$1,$L28=$T$1))</formula>
    </cfRule>
  </conditionalFormatting>
  <conditionalFormatting sqref="C59">
    <cfRule type="expression" dxfId="3366" priority="255" stopIfTrue="1">
      <formula>AND($M60="Approved",OR($L60=$R$1,$L60=$T$1))</formula>
    </cfRule>
  </conditionalFormatting>
  <conditionalFormatting sqref="B59">
    <cfRule type="expression" dxfId="3365" priority="254" stopIfTrue="1">
      <formula>AND($M60="Approved",OR($L60=$R$1,$L60=$T$1))</formula>
    </cfRule>
  </conditionalFormatting>
  <conditionalFormatting sqref="C60">
    <cfRule type="expression" dxfId="3364" priority="253" stopIfTrue="1">
      <formula>AND($M61="Approved",OR($L61=$R$1,$L61=$T$1))</formula>
    </cfRule>
  </conditionalFormatting>
  <conditionalFormatting sqref="B60">
    <cfRule type="expression" dxfId="3363" priority="252" stopIfTrue="1">
      <formula>AND($M61="Approved",OR($L61=$R$1,$L61=$T$1))</formula>
    </cfRule>
  </conditionalFormatting>
  <conditionalFormatting sqref="D61">
    <cfRule type="expression" dxfId="3362" priority="251" stopIfTrue="1">
      <formula>AND($M61="Approved",OR($L61=$R$1,$L61=$T$1))</formula>
    </cfRule>
  </conditionalFormatting>
  <conditionalFormatting sqref="C61">
    <cfRule type="expression" dxfId="3361" priority="250" stopIfTrue="1">
      <formula>AND($M62="Approved",OR($L62=$R$1,$L62=$T$1))</formula>
    </cfRule>
  </conditionalFormatting>
  <conditionalFormatting sqref="B61">
    <cfRule type="expression" dxfId="3360" priority="249" stopIfTrue="1">
      <formula>AND($M62="Approved",OR($L62=$R$1,$L62=$T$1))</formula>
    </cfRule>
  </conditionalFormatting>
  <conditionalFormatting sqref="C65">
    <cfRule type="expression" dxfId="3359" priority="248" stopIfTrue="1">
      <formula>AND($M66="Approved",OR($L66=$R$1,$L66=$T$1))</formula>
    </cfRule>
  </conditionalFormatting>
  <conditionalFormatting sqref="B65">
    <cfRule type="expression" dxfId="3358" priority="247" stopIfTrue="1">
      <formula>AND($M66="Approved",OR($L66=$R$1,$L66=$T$1))</formula>
    </cfRule>
  </conditionalFormatting>
  <conditionalFormatting sqref="H67:K67">
    <cfRule type="expression" dxfId="3357" priority="246" stopIfTrue="1">
      <formula>AND($M67="Approved",OR($L67=$R$1,$L67=$T$1))</formula>
    </cfRule>
  </conditionalFormatting>
  <conditionalFormatting sqref="H68:I68 K68">
    <cfRule type="expression" dxfId="3356" priority="245" stopIfTrue="1">
      <formula>AND($M68="Approved",OR($L68=$R$1,$L68=$T$1))</formula>
    </cfRule>
  </conditionalFormatting>
  <conditionalFormatting sqref="H69:I69 K69">
    <cfRule type="expression" dxfId="3355" priority="244" stopIfTrue="1">
      <formula>AND($M69="Approved",OR($L69=$R$1,$L69=$T$1))</formula>
    </cfRule>
  </conditionalFormatting>
  <conditionalFormatting sqref="H70:I70 K70">
    <cfRule type="expression" dxfId="3354" priority="243" stopIfTrue="1">
      <formula>AND($M70="Approved",OR($L70=$R$1,$L70=$T$1))</formula>
    </cfRule>
  </conditionalFormatting>
  <conditionalFormatting sqref="H71:I71 K71">
    <cfRule type="expression" dxfId="3353" priority="242" stopIfTrue="1">
      <formula>AND($M71="Approved",OR($L71=$R$1,$L71=$T$1))</formula>
    </cfRule>
  </conditionalFormatting>
  <conditionalFormatting sqref="J68:J71">
    <cfRule type="expression" dxfId="3352" priority="241" stopIfTrue="1">
      <formula>AND($M68="Approved",OR($L68=$R$1,$L68=$T$1))</formula>
    </cfRule>
  </conditionalFormatting>
  <conditionalFormatting sqref="H62:K62">
    <cfRule type="expression" dxfId="3351" priority="240" stopIfTrue="1">
      <formula>AND($M62="Approved",OR($L62=$R$1,$L62=$T$1))</formula>
    </cfRule>
  </conditionalFormatting>
  <conditionalFormatting sqref="I63:K63">
    <cfRule type="expression" dxfId="3350" priority="239" stopIfTrue="1">
      <formula>AND($M63="Approved",OR($L63=$R$1,$L63=$T$1))</formula>
    </cfRule>
  </conditionalFormatting>
  <conditionalFormatting sqref="I64:K64">
    <cfRule type="expression" dxfId="3349" priority="238" stopIfTrue="1">
      <formula>AND($M64="Approved",OR($L64=$R$1,$L64=$T$1))</formula>
    </cfRule>
  </conditionalFormatting>
  <conditionalFormatting sqref="H63:H64">
    <cfRule type="expression" dxfId="3348" priority="237" stopIfTrue="1">
      <formula>AND($M63="Approved",OR($L63=$R$1,$L63=$T$1))</formula>
    </cfRule>
  </conditionalFormatting>
  <conditionalFormatting sqref="H66:K66">
    <cfRule type="expression" dxfId="3347" priority="236" stopIfTrue="1">
      <formula>AND($M66="Approved",OR($L66=$R$1,$L66=$T$1))</formula>
    </cfRule>
  </conditionalFormatting>
  <conditionalFormatting sqref="L91">
    <cfRule type="expression" dxfId="3346" priority="229" stopIfTrue="1">
      <formula>AND($M91="Approved",$L91="Fixed")</formula>
    </cfRule>
    <cfRule type="cellIs" dxfId="3345" priority="230" stopIfTrue="1" operator="equal">
      <formula>"Fixed"</formula>
    </cfRule>
    <cfRule type="cellIs" dxfId="3344" priority="231" stopIfTrue="1" operator="equal">
      <formula>"Open"</formula>
    </cfRule>
  </conditionalFormatting>
  <conditionalFormatting sqref="M91">
    <cfRule type="expression" dxfId="3343" priority="232" stopIfTrue="1">
      <formula>OR(M91="Fixed",M91="Approved")</formula>
    </cfRule>
    <cfRule type="cellIs" dxfId="3342" priority="233" stopIfTrue="1" operator="equal">
      <formula>"Rejected"</formula>
    </cfRule>
  </conditionalFormatting>
  <conditionalFormatting sqref="L92">
    <cfRule type="expression" dxfId="3341" priority="222" stopIfTrue="1">
      <formula>AND($M92="Approved",$L92="Fixed")</formula>
    </cfRule>
    <cfRule type="cellIs" dxfId="3340" priority="223" stopIfTrue="1" operator="equal">
      <formula>"Fixed"</formula>
    </cfRule>
    <cfRule type="cellIs" dxfId="3339" priority="224" stopIfTrue="1" operator="equal">
      <formula>"Open"</formula>
    </cfRule>
  </conditionalFormatting>
  <conditionalFormatting sqref="M92">
    <cfRule type="expression" dxfId="3338" priority="225" stopIfTrue="1">
      <formula>OR(M92="Fixed",M92="Approved")</formula>
    </cfRule>
    <cfRule type="cellIs" dxfId="3337" priority="226" stopIfTrue="1" operator="equal">
      <formula>"Rejected"</formula>
    </cfRule>
  </conditionalFormatting>
  <conditionalFormatting sqref="L99">
    <cfRule type="expression" dxfId="3336" priority="206" stopIfTrue="1">
      <formula>AND($M99="Approved",$L99="Fixed")</formula>
    </cfRule>
    <cfRule type="cellIs" dxfId="3335" priority="207" stopIfTrue="1" operator="equal">
      <formula>"Fixed"</formula>
    </cfRule>
    <cfRule type="cellIs" dxfId="3334" priority="208" stopIfTrue="1" operator="equal">
      <formula>"Open"</formula>
    </cfRule>
  </conditionalFormatting>
  <conditionalFormatting sqref="M99">
    <cfRule type="expression" dxfId="3333" priority="209" stopIfTrue="1">
      <formula>OR(M99="Fixed",M99="Approved")</formula>
    </cfRule>
    <cfRule type="cellIs" dxfId="3332" priority="210" stopIfTrue="1" operator="equal">
      <formula>"Rejected"</formula>
    </cfRule>
  </conditionalFormatting>
  <conditionalFormatting sqref="L100">
    <cfRule type="expression" dxfId="3331" priority="199" stopIfTrue="1">
      <formula>AND($M100="Approved",$L100="Fixed")</formula>
    </cfRule>
    <cfRule type="cellIs" dxfId="3330" priority="200" stopIfTrue="1" operator="equal">
      <formula>"Fixed"</formula>
    </cfRule>
    <cfRule type="cellIs" dxfId="3329" priority="201" stopIfTrue="1" operator="equal">
      <formula>"Open"</formula>
    </cfRule>
  </conditionalFormatting>
  <conditionalFormatting sqref="M100">
    <cfRule type="expression" dxfId="3328" priority="202" stopIfTrue="1">
      <formula>OR(M100="Fixed",M100="Approved")</formula>
    </cfRule>
    <cfRule type="cellIs" dxfId="3327" priority="203" stopIfTrue="1" operator="equal">
      <formula>"Rejected"</formula>
    </cfRule>
  </conditionalFormatting>
  <conditionalFormatting sqref="L101">
    <cfRule type="expression" dxfId="3326" priority="192" stopIfTrue="1">
      <formula>AND($M101="Approved",$L101="Fixed")</formula>
    </cfRule>
    <cfRule type="cellIs" dxfId="3325" priority="193" stopIfTrue="1" operator="equal">
      <formula>"Fixed"</formula>
    </cfRule>
    <cfRule type="cellIs" dxfId="3324" priority="194" stopIfTrue="1" operator="equal">
      <formula>"Open"</formula>
    </cfRule>
  </conditionalFormatting>
  <conditionalFormatting sqref="M101">
    <cfRule type="expression" dxfId="3323" priority="195" stopIfTrue="1">
      <formula>OR(M101="Fixed",M101="Approved")</formula>
    </cfRule>
    <cfRule type="cellIs" dxfId="3322" priority="196" stopIfTrue="1" operator="equal">
      <formula>"Rejected"</formula>
    </cfRule>
  </conditionalFormatting>
  <conditionalFormatting sqref="L102">
    <cfRule type="expression" dxfId="3321" priority="185" stopIfTrue="1">
      <formula>AND($M102="Approved",$L102="Fixed")</formula>
    </cfRule>
    <cfRule type="cellIs" dxfId="3320" priority="186" stopIfTrue="1" operator="equal">
      <formula>"Fixed"</formula>
    </cfRule>
    <cfRule type="cellIs" dxfId="3319" priority="187" stopIfTrue="1" operator="equal">
      <formula>"Open"</formula>
    </cfRule>
  </conditionalFormatting>
  <conditionalFormatting sqref="M102">
    <cfRule type="expression" dxfId="3318" priority="188" stopIfTrue="1">
      <formula>OR(M102="Fixed",M102="Approved")</formula>
    </cfRule>
    <cfRule type="cellIs" dxfId="3317" priority="189" stopIfTrue="1" operator="equal">
      <formula>"Rejected"</formula>
    </cfRule>
  </conditionalFormatting>
  <conditionalFormatting sqref="L105">
    <cfRule type="expression" dxfId="3316" priority="174" stopIfTrue="1">
      <formula>AND($M105="Approved",$L105="Fixed")</formula>
    </cfRule>
    <cfRule type="cellIs" dxfId="3315" priority="175" stopIfTrue="1" operator="equal">
      <formula>"Fixed"</formula>
    </cfRule>
    <cfRule type="cellIs" dxfId="3314" priority="176" stopIfTrue="1" operator="equal">
      <formula>"Open"</formula>
    </cfRule>
  </conditionalFormatting>
  <conditionalFormatting sqref="M105">
    <cfRule type="expression" dxfId="3313" priority="177" stopIfTrue="1">
      <formula>OR(M105="Fixed",M105="Approved")</formula>
    </cfRule>
    <cfRule type="cellIs" dxfId="3312" priority="178" stopIfTrue="1" operator="equal">
      <formula>"Rejected"</formula>
    </cfRule>
  </conditionalFormatting>
  <conditionalFormatting sqref="L106">
    <cfRule type="expression" dxfId="3311" priority="165" stopIfTrue="1">
      <formula>AND($M106="Approved",$L106="Fixed")</formula>
    </cfRule>
    <cfRule type="cellIs" dxfId="3310" priority="166" stopIfTrue="1" operator="equal">
      <formula>"Fixed"</formula>
    </cfRule>
    <cfRule type="cellIs" dxfId="3309" priority="167" stopIfTrue="1" operator="equal">
      <formula>"Open"</formula>
    </cfRule>
  </conditionalFormatting>
  <conditionalFormatting sqref="M106">
    <cfRule type="expression" dxfId="3308" priority="168" stopIfTrue="1">
      <formula>OR(M106="Fixed",M106="Approved")</formula>
    </cfRule>
    <cfRule type="cellIs" dxfId="3307" priority="169" stopIfTrue="1" operator="equal">
      <formula>"Rejected"</formula>
    </cfRule>
  </conditionalFormatting>
  <conditionalFormatting sqref="L107">
    <cfRule type="expression" dxfId="3306" priority="156" stopIfTrue="1">
      <formula>AND($M107="Approved",$L107="Fixed")</formula>
    </cfRule>
    <cfRule type="cellIs" dxfId="3305" priority="157" stopIfTrue="1" operator="equal">
      <formula>"Fixed"</formula>
    </cfRule>
    <cfRule type="cellIs" dxfId="3304" priority="158" stopIfTrue="1" operator="equal">
      <formula>"Open"</formula>
    </cfRule>
  </conditionalFormatting>
  <conditionalFormatting sqref="M107">
    <cfRule type="expression" dxfId="3303" priority="159" stopIfTrue="1">
      <formula>OR(M107="Fixed",M107="Approved")</formula>
    </cfRule>
    <cfRule type="cellIs" dxfId="3302" priority="160" stopIfTrue="1" operator="equal">
      <formula>"Rejected"</formula>
    </cfRule>
  </conditionalFormatting>
  <conditionalFormatting sqref="L108">
    <cfRule type="expression" dxfId="3301" priority="147" stopIfTrue="1">
      <formula>AND($M108="Approved",$L108="Fixed")</formula>
    </cfRule>
    <cfRule type="cellIs" dxfId="3300" priority="148" stopIfTrue="1" operator="equal">
      <formula>"Fixed"</formula>
    </cfRule>
    <cfRule type="cellIs" dxfId="3299" priority="149" stopIfTrue="1" operator="equal">
      <formula>"Open"</formula>
    </cfRule>
  </conditionalFormatting>
  <conditionalFormatting sqref="M108">
    <cfRule type="expression" dxfId="3298" priority="150" stopIfTrue="1">
      <formula>OR(M108="Fixed",M108="Approved")</formula>
    </cfRule>
    <cfRule type="cellIs" dxfId="3297" priority="151" stopIfTrue="1" operator="equal">
      <formula>"Rejected"</formula>
    </cfRule>
  </conditionalFormatting>
  <conditionalFormatting sqref="L109">
    <cfRule type="expression" dxfId="3296" priority="138" stopIfTrue="1">
      <formula>AND($M109="Approved",$L109="Fixed")</formula>
    </cfRule>
    <cfRule type="cellIs" dxfId="3295" priority="139" stopIfTrue="1" operator="equal">
      <formula>"Fixed"</formula>
    </cfRule>
    <cfRule type="cellIs" dxfId="3294" priority="140" stopIfTrue="1" operator="equal">
      <formula>"Open"</formula>
    </cfRule>
  </conditionalFormatting>
  <conditionalFormatting sqref="M109">
    <cfRule type="expression" dxfId="3293" priority="141" stopIfTrue="1">
      <formula>OR(M109="Fixed",M109="Approved")</formula>
    </cfRule>
    <cfRule type="cellIs" dxfId="3292" priority="142" stopIfTrue="1" operator="equal">
      <formula>"Rejected"</formula>
    </cfRule>
  </conditionalFormatting>
  <conditionalFormatting sqref="L110">
    <cfRule type="expression" dxfId="3291" priority="129" stopIfTrue="1">
      <formula>AND($M110="Approved",$L110="Fixed")</formula>
    </cfRule>
    <cfRule type="cellIs" dxfId="3290" priority="130" stopIfTrue="1" operator="equal">
      <formula>"Fixed"</formula>
    </cfRule>
    <cfRule type="cellIs" dxfId="3289" priority="131" stopIfTrue="1" operator="equal">
      <formula>"Open"</formula>
    </cfRule>
  </conditionalFormatting>
  <conditionalFormatting sqref="M110">
    <cfRule type="expression" dxfId="3288" priority="132" stopIfTrue="1">
      <formula>OR(M110="Fixed",M110="Approved")</formula>
    </cfRule>
    <cfRule type="cellIs" dxfId="3287" priority="133" stopIfTrue="1" operator="equal">
      <formula>"Rejected"</formula>
    </cfRule>
  </conditionalFormatting>
  <conditionalFormatting sqref="L111">
    <cfRule type="expression" dxfId="3286" priority="120" stopIfTrue="1">
      <formula>AND($M111="Approved",$L111="Fixed")</formula>
    </cfRule>
    <cfRule type="cellIs" dxfId="3285" priority="121" stopIfTrue="1" operator="equal">
      <formula>"Fixed"</formula>
    </cfRule>
    <cfRule type="cellIs" dxfId="3284" priority="122" stopIfTrue="1" operator="equal">
      <formula>"Open"</formula>
    </cfRule>
  </conditionalFormatting>
  <conditionalFormatting sqref="M111">
    <cfRule type="expression" dxfId="3283" priority="123" stopIfTrue="1">
      <formula>OR(M111="Fixed",M111="Approved")</formula>
    </cfRule>
    <cfRule type="cellIs" dxfId="3282" priority="124" stopIfTrue="1" operator="equal">
      <formula>"Rejected"</formula>
    </cfRule>
  </conditionalFormatting>
  <conditionalFormatting sqref="L112">
    <cfRule type="expression" dxfId="3281" priority="111" stopIfTrue="1">
      <formula>AND($M112="Approved",$L112="Fixed")</formula>
    </cfRule>
    <cfRule type="cellIs" dxfId="3280" priority="112" stopIfTrue="1" operator="equal">
      <formula>"Fixed"</formula>
    </cfRule>
    <cfRule type="cellIs" dxfId="3279" priority="113" stopIfTrue="1" operator="equal">
      <formula>"Open"</formula>
    </cfRule>
  </conditionalFormatting>
  <conditionalFormatting sqref="M112">
    <cfRule type="expression" dxfId="3278" priority="114" stopIfTrue="1">
      <formula>OR(M112="Fixed",M112="Approved")</formula>
    </cfRule>
    <cfRule type="cellIs" dxfId="3277" priority="115" stopIfTrue="1" operator="equal">
      <formula>"Rejected"</formula>
    </cfRule>
  </conditionalFormatting>
  <conditionalFormatting sqref="L113">
    <cfRule type="expression" dxfId="3276" priority="102" stopIfTrue="1">
      <formula>AND($M113="Approved",$L113="Fixed")</formula>
    </cfRule>
    <cfRule type="cellIs" dxfId="3275" priority="103" stopIfTrue="1" operator="equal">
      <formula>"Fixed"</formula>
    </cfRule>
    <cfRule type="cellIs" dxfId="3274" priority="104" stopIfTrue="1" operator="equal">
      <formula>"Open"</formula>
    </cfRule>
  </conditionalFormatting>
  <conditionalFormatting sqref="M113">
    <cfRule type="expression" dxfId="3273" priority="105" stopIfTrue="1">
      <formula>OR(M113="Fixed",M113="Approved")</formula>
    </cfRule>
    <cfRule type="cellIs" dxfId="3272" priority="106" stopIfTrue="1" operator="equal">
      <formula>"Rejected"</formula>
    </cfRule>
  </conditionalFormatting>
  <conditionalFormatting sqref="L114">
    <cfRule type="expression" dxfId="3271" priority="93" stopIfTrue="1">
      <formula>AND($M114="Approved",$L114="Fixed")</formula>
    </cfRule>
    <cfRule type="cellIs" dxfId="3270" priority="94" stopIfTrue="1" operator="equal">
      <formula>"Fixed"</formula>
    </cfRule>
    <cfRule type="cellIs" dxfId="3269" priority="95" stopIfTrue="1" operator="equal">
      <formula>"Open"</formula>
    </cfRule>
  </conditionalFormatting>
  <conditionalFormatting sqref="M114">
    <cfRule type="expression" dxfId="3268" priority="96" stopIfTrue="1">
      <formula>OR(M114="Fixed",M114="Approved")</formula>
    </cfRule>
    <cfRule type="cellIs" dxfId="3267" priority="97" stopIfTrue="1" operator="equal">
      <formula>"Rejected"</formula>
    </cfRule>
  </conditionalFormatting>
  <conditionalFormatting sqref="L115">
    <cfRule type="expression" dxfId="3266" priority="84" stopIfTrue="1">
      <formula>AND($M115="Approved",$L115="Fixed")</formula>
    </cfRule>
    <cfRule type="cellIs" dxfId="3265" priority="85" stopIfTrue="1" operator="equal">
      <formula>"Fixed"</formula>
    </cfRule>
    <cfRule type="cellIs" dxfId="3264" priority="86" stopIfTrue="1" operator="equal">
      <formula>"Open"</formula>
    </cfRule>
  </conditionalFormatting>
  <conditionalFormatting sqref="M115">
    <cfRule type="expression" dxfId="3263" priority="87" stopIfTrue="1">
      <formula>OR(M115="Fixed",M115="Approved")</formula>
    </cfRule>
    <cfRule type="cellIs" dxfId="3262" priority="88" stopIfTrue="1" operator="equal">
      <formula>"Rejected"</formula>
    </cfRule>
  </conditionalFormatting>
  <conditionalFormatting sqref="L116">
    <cfRule type="expression" dxfId="3261" priority="75" stopIfTrue="1">
      <formula>AND($M116="Approved",$L116="Fixed")</formula>
    </cfRule>
    <cfRule type="cellIs" dxfId="3260" priority="76" stopIfTrue="1" operator="equal">
      <formula>"Fixed"</formula>
    </cfRule>
    <cfRule type="cellIs" dxfId="3259" priority="77" stopIfTrue="1" operator="equal">
      <formula>"Open"</formula>
    </cfRule>
  </conditionalFormatting>
  <conditionalFormatting sqref="M116">
    <cfRule type="expression" dxfId="3258" priority="78" stopIfTrue="1">
      <formula>OR(M116="Fixed",M116="Approved")</formula>
    </cfRule>
    <cfRule type="cellIs" dxfId="3257" priority="79" stopIfTrue="1" operator="equal">
      <formula>"Rejected"</formula>
    </cfRule>
  </conditionalFormatting>
  <conditionalFormatting sqref="L117">
    <cfRule type="expression" dxfId="3256" priority="66" stopIfTrue="1">
      <formula>AND($M117="Approved",$L117="Fixed")</formula>
    </cfRule>
    <cfRule type="cellIs" dxfId="3255" priority="67" stopIfTrue="1" operator="equal">
      <formula>"Fixed"</formula>
    </cfRule>
    <cfRule type="cellIs" dxfId="3254" priority="68" stopIfTrue="1" operator="equal">
      <formula>"Open"</formula>
    </cfRule>
  </conditionalFormatting>
  <conditionalFormatting sqref="M117">
    <cfRule type="expression" dxfId="3253" priority="69" stopIfTrue="1">
      <formula>OR(M117="Fixed",M117="Approved")</formula>
    </cfRule>
    <cfRule type="cellIs" dxfId="3252" priority="70" stopIfTrue="1" operator="equal">
      <formula>"Rejected"</formula>
    </cfRule>
  </conditionalFormatting>
  <conditionalFormatting sqref="L118">
    <cfRule type="expression" dxfId="3251" priority="57" stopIfTrue="1">
      <formula>AND($M118="Approved",$L118="Fixed")</formula>
    </cfRule>
    <cfRule type="cellIs" dxfId="3250" priority="58" stopIfTrue="1" operator="equal">
      <formula>"Fixed"</formula>
    </cfRule>
    <cfRule type="cellIs" dxfId="3249" priority="59" stopIfTrue="1" operator="equal">
      <formula>"Open"</formula>
    </cfRule>
  </conditionalFormatting>
  <conditionalFormatting sqref="M118">
    <cfRule type="expression" dxfId="3248" priority="60" stopIfTrue="1">
      <formula>OR(M118="Fixed",M118="Approved")</formula>
    </cfRule>
    <cfRule type="cellIs" dxfId="3247" priority="61" stopIfTrue="1" operator="equal">
      <formula>"Rejected"</formula>
    </cfRule>
  </conditionalFormatting>
  <conditionalFormatting sqref="D134">
    <cfRule type="expression" dxfId="3246" priority="2352" stopIfTrue="1">
      <formula>AND($M136="Approved",OR($L136=$R$1,$L136=$T$1))</formula>
    </cfRule>
  </conditionalFormatting>
  <conditionalFormatting sqref="D132:D133">
    <cfRule type="expression" dxfId="3245" priority="2354" stopIfTrue="1">
      <formula>AND($M135="Approved",OR($L135=$R$1,$L135=$T$1))</formula>
    </cfRule>
  </conditionalFormatting>
  <conditionalFormatting sqref="D138">
    <cfRule type="expression" dxfId="3244" priority="2370" stopIfTrue="1">
      <formula>AND(#REF!="Approved",OR(#REF!=$R$1,#REF!=$T$1))</formula>
    </cfRule>
  </conditionalFormatting>
  <conditionalFormatting sqref="B145:D145">
    <cfRule type="expression" dxfId="3243" priority="23" stopIfTrue="1">
      <formula>AND($M145="Approved",OR($L145=$R$1,$L145=$T$1))</formula>
    </cfRule>
  </conditionalFormatting>
  <conditionalFormatting sqref="B146:D146">
    <cfRule type="expression" dxfId="3242" priority="22" stopIfTrue="1">
      <formula>AND($M146="Approved",OR($L146=$R$1,$L146=$T$1))</formula>
    </cfRule>
  </conditionalFormatting>
  <conditionalFormatting sqref="B148:C148">
    <cfRule type="expression" dxfId="3241" priority="20" stopIfTrue="1">
      <formula>AND($M148="Approved",OR($L148=$R$1,$L148=$T$1))</formula>
    </cfRule>
  </conditionalFormatting>
  <conditionalFormatting sqref="D148">
    <cfRule type="expression" dxfId="3240" priority="21" stopIfTrue="1">
      <formula>AND($M149="Approved",OR($L149=$R$1,$L149=$T$1))</formula>
    </cfRule>
  </conditionalFormatting>
  <conditionalFormatting sqref="B149:C149">
    <cfRule type="expression" dxfId="3239" priority="18" stopIfTrue="1">
      <formula>AND($M149="Approved",OR($L149=$R$1,$L149=$T$1))</formula>
    </cfRule>
  </conditionalFormatting>
  <conditionalFormatting sqref="D149">
    <cfRule type="expression" dxfId="3238" priority="19" stopIfTrue="1">
      <formula>AND($M150="Approved",OR($L150=$R$1,$L150=$T$1))</formula>
    </cfRule>
  </conditionalFormatting>
  <conditionalFormatting sqref="L152">
    <cfRule type="expression" dxfId="3237" priority="2817" stopIfTrue="1">
      <formula>AND(#REF!="Approved",$L152="Fixed")</formula>
    </cfRule>
    <cfRule type="cellIs" dxfId="3236" priority="2818" stopIfTrue="1" operator="equal">
      <formula>"Fixed"</formula>
    </cfRule>
    <cfRule type="cellIs" dxfId="3235" priority="2819" stopIfTrue="1" operator="equal">
      <formula>"Open"</formula>
    </cfRule>
  </conditionalFormatting>
  <conditionalFormatting sqref="A152 E152:F152">
    <cfRule type="expression" dxfId="3234" priority="2821" stopIfTrue="1">
      <formula>AND(#REF!="Approved",OR($L152=$R$1,$L152=$T$1))</formula>
    </cfRule>
  </conditionalFormatting>
  <conditionalFormatting sqref="G152:I152">
    <cfRule type="expression" dxfId="3233" priority="17" stopIfTrue="1">
      <formula>AND($M152="Approved",OR($L152=$R$1,$L152=$T$1))</formula>
    </cfRule>
  </conditionalFormatting>
  <conditionalFormatting sqref="J152">
    <cfRule type="expression" dxfId="3232" priority="15" stopIfTrue="1">
      <formula>AND($M152="Approved",OR($L152=$R$1,$L152=$T$1))</formula>
    </cfRule>
  </conditionalFormatting>
  <conditionalFormatting sqref="K152">
    <cfRule type="expression" dxfId="3231" priority="14" stopIfTrue="1">
      <formula>AND($M152="Approved",OR($L152=$R$1,$L152=$T$1))</formula>
    </cfRule>
  </conditionalFormatting>
  <conditionalFormatting sqref="C152">
    <cfRule type="expression" dxfId="3230" priority="13" stopIfTrue="1">
      <formula>AND($M152="Approved",OR($L152=$R$1,$L152=$T$1))</formula>
    </cfRule>
  </conditionalFormatting>
  <conditionalFormatting sqref="B152">
    <cfRule type="expression" dxfId="3229" priority="12" stopIfTrue="1">
      <formula>AND($M152="Approved",OR($L152=$R$1,$L152=$T$1))</formula>
    </cfRule>
  </conditionalFormatting>
  <conditionalFormatting sqref="L154">
    <cfRule type="expression" dxfId="3228" priority="6" stopIfTrue="1">
      <formula>AND($M154="Approved",$L154="Fixed")</formula>
    </cfRule>
    <cfRule type="cellIs" dxfId="3227" priority="7" stopIfTrue="1" operator="equal">
      <formula>"Fixed"</formula>
    </cfRule>
    <cfRule type="cellIs" dxfId="3226" priority="8" stopIfTrue="1" operator="equal">
      <formula>"Open"</formula>
    </cfRule>
  </conditionalFormatting>
  <conditionalFormatting sqref="M154">
    <cfRule type="expression" dxfId="3225" priority="9" stopIfTrue="1">
      <formula>OR(M154="Fixed",M154="Approved")</formula>
    </cfRule>
    <cfRule type="cellIs" dxfId="3224" priority="10" stopIfTrue="1" operator="equal">
      <formula>"Rejected"</formula>
    </cfRule>
  </conditionalFormatting>
  <conditionalFormatting sqref="D154:K154 D155:D158">
    <cfRule type="expression" dxfId="3223" priority="11" stopIfTrue="1">
      <formula>AND($M154="Approved",OR($L154=$R$1,$L154=$T$1))</formula>
    </cfRule>
  </conditionalFormatting>
  <conditionalFormatting sqref="B154:C154">
    <cfRule type="expression" dxfId="3222" priority="5" stopIfTrue="1">
      <formula>AND($M154="Approved",OR($L154=$R$1,$L154=$T$1))</formula>
    </cfRule>
  </conditionalFormatting>
  <conditionalFormatting sqref="B156:C156">
    <cfRule type="expression" dxfId="3221" priority="4" stopIfTrue="1">
      <formula>AND($M156="Approved",OR($L156=$R$1,$L156=$T$1))</formula>
    </cfRule>
  </conditionalFormatting>
  <conditionalFormatting sqref="J156:J158">
    <cfRule type="expression" dxfId="3220" priority="3" stopIfTrue="1">
      <formula>AND($M156="Approved",OR($L156=$R$1,$L156=$T$1))</formula>
    </cfRule>
  </conditionalFormatting>
  <conditionalFormatting sqref="B157:C157">
    <cfRule type="expression" dxfId="3219" priority="2" stopIfTrue="1">
      <formula>AND($M157="Approved",OR($L157=$R$1,$L157=$T$1))</formula>
    </cfRule>
  </conditionalFormatting>
  <conditionalFormatting sqref="B158:C158">
    <cfRule type="expression" dxfId="3218" priority="1" stopIfTrue="1">
      <formula>AND($M158="Approved",OR($L158=$R$1,$L158=$T$1))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I5:I204" xr:uid="{00000000-0002-0000-0300-000002000000}">
      <formula1>"Low,medium,high"</formula1>
    </dataValidation>
    <dataValidation type="list" allowBlank="1" showInputMessage="1" showErrorMessage="1" sqref="N152 M5:M204" xr:uid="{00000000-0002-0000-0300-000001000000}">
      <formula1>$AH$1:$AI$1</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474</v>
      </c>
      <c r="H1" s="179" t="s">
        <v>475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476</v>
      </c>
      <c r="Q1" s="179" t="s">
        <v>477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3217" priority="5" operator="equal">
      <formula>"nok"</formula>
    </cfRule>
  </conditionalFormatting>
  <conditionalFormatting sqref="B4737:G4783 I4737:J4783">
    <cfRule type="cellIs" dxfId="3216" priority="4" operator="equal">
      <formula>"nok"</formula>
    </cfRule>
  </conditionalFormatting>
  <conditionalFormatting sqref="B2:G4736 I2:J4736">
    <cfRule type="cellIs" dxfId="3215" priority="3" operator="equal">
      <formula>"OK"</formula>
    </cfRule>
  </conditionalFormatting>
  <conditionalFormatting sqref="B4737:G4777 I4737:J4777">
    <cfRule type="cellIs" dxfId="3214" priority="2" operator="equal">
      <formula>"OK"</formula>
    </cfRule>
  </conditionalFormatting>
  <conditionalFormatting sqref="A2:O7000">
    <cfRule type="cellIs" dxfId="321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87</v>
      </c>
      <c r="B1" s="181" t="s">
        <v>478</v>
      </c>
      <c r="C1" s="182" t="s">
        <v>479</v>
      </c>
      <c r="D1" s="183" t="s">
        <v>480</v>
      </c>
      <c r="E1" s="184" t="s">
        <v>481</v>
      </c>
      <c r="F1" s="184" t="s">
        <v>178</v>
      </c>
      <c r="G1" s="184" t="s">
        <v>482</v>
      </c>
      <c r="H1" s="184" t="s">
        <v>483</v>
      </c>
      <c r="I1" s="184" t="s">
        <v>484</v>
      </c>
      <c r="J1" s="184" t="s">
        <v>485</v>
      </c>
      <c r="K1" s="184" t="s">
        <v>486</v>
      </c>
      <c r="L1" s="184" t="s">
        <v>487</v>
      </c>
      <c r="M1" s="184" t="s">
        <v>488</v>
      </c>
      <c r="N1" s="185" t="s">
        <v>489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3212" priority="7">
      <formula>AND($M2="Fixed",$N2="Approved")</formula>
    </cfRule>
  </conditionalFormatting>
  <conditionalFormatting sqref="N2:N344">
    <cfRule type="expression" dxfId="3211" priority="6">
      <formula>$N2="Approved"</formula>
    </cfRule>
    <cfRule type="expression" dxfId="321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3209" priority="8">
      <formula>$M2="Open"</formula>
    </cfRule>
    <cfRule type="expression" dxfId="3208" priority="9">
      <formula>$M2="Fixed"</formula>
    </cfRule>
    <cfRule type="expression" dxfId="3207" priority="10">
      <formula>$M2="Postponed"</formula>
    </cfRule>
    <cfRule type="expression" dxfId="320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320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3204" priority="2">
      <formula>$M4="Open"</formula>
    </cfRule>
    <cfRule type="expression" dxfId="3203" priority="3">
      <formula>$M4="Fixed"</formula>
    </cfRule>
    <cfRule type="expression" dxfId="3202" priority="4">
      <formula>$M4="Postponed"</formula>
    </cfRule>
    <cfRule type="expression" dxfId="320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workbookViewId="0"/>
  </sheetViews>
  <sheetFormatPr defaultColWidth="9.140625" defaultRowHeight="12.75"/>
  <cols>
    <col min="1" max="1" width="15.42578125" style="83" bestFit="1" customWidth="1"/>
    <col min="2" max="2" width="69" style="83" customWidth="1"/>
    <col min="3" max="3" width="53.42578125" style="83" bestFit="1" customWidth="1"/>
    <col min="4" max="4" width="19" style="83" customWidth="1"/>
    <col min="5" max="5" width="21.7109375" style="83" customWidth="1"/>
    <col min="6" max="6" width="9.140625" style="83"/>
    <col min="7" max="7" width="8.42578125" style="83" customWidth="1"/>
    <col min="8" max="8" width="34.28515625" style="83" bestFit="1" customWidth="1"/>
    <col min="9" max="12" width="34.28515625" style="83" customWidth="1"/>
    <col min="13" max="13" width="9.5703125" style="83" bestFit="1" customWidth="1"/>
    <col min="14" max="14" width="5.5703125" style="83" bestFit="1" customWidth="1"/>
    <col min="15" max="261" width="69" style="83" customWidth="1"/>
    <col min="262" max="16384" width="9.140625" style="83"/>
  </cols>
  <sheetData>
    <row r="1" spans="1:19" ht="15">
      <c r="A1" s="186" t="s">
        <v>490</v>
      </c>
      <c r="B1" s="186" t="s">
        <v>491</v>
      </c>
      <c r="C1" s="186" t="s">
        <v>492</v>
      </c>
      <c r="D1" s="186" t="s">
        <v>493</v>
      </c>
      <c r="E1" s="186"/>
      <c r="F1" s="186"/>
      <c r="G1" s="186" t="s">
        <v>494</v>
      </c>
      <c r="H1" s="186" t="s">
        <v>495</v>
      </c>
      <c r="I1" s="186" t="s">
        <v>496</v>
      </c>
      <c r="J1" s="186" t="s">
        <v>497</v>
      </c>
      <c r="K1" s="186" t="s">
        <v>498</v>
      </c>
      <c r="L1" s="186" t="s">
        <v>499</v>
      </c>
      <c r="M1" s="186" t="s">
        <v>500</v>
      </c>
      <c r="N1" s="186" t="s">
        <v>481</v>
      </c>
      <c r="O1" s="186" t="s">
        <v>501</v>
      </c>
      <c r="P1" s="186" t="s">
        <v>502</v>
      </c>
      <c r="Q1" s="186" t="s">
        <v>503</v>
      </c>
      <c r="R1" s="186" t="s">
        <v>504</v>
      </c>
      <c r="S1" s="186" t="s">
        <v>505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507</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513</v>
      </c>
      <c r="C5" s="149"/>
      <c r="D5" s="149"/>
      <c r="E5" s="215"/>
      <c r="F5" s="215"/>
    </row>
    <row r="6" spans="1:7" ht="38.25">
      <c r="A6" s="151" t="s">
        <v>514</v>
      </c>
      <c r="B6" s="160" t="s">
        <v>515</v>
      </c>
      <c r="C6" s="209"/>
      <c r="D6" s="210"/>
      <c r="E6" s="150"/>
      <c r="F6" s="150"/>
    </row>
    <row r="7" spans="1:7" ht="38.25">
      <c r="A7" s="151" t="s">
        <v>516</v>
      </c>
      <c r="B7" s="160" t="s">
        <v>517</v>
      </c>
      <c r="C7" s="209"/>
      <c r="D7" s="210"/>
      <c r="E7" s="150"/>
      <c r="F7" s="150"/>
    </row>
    <row r="8" spans="1:7" ht="89.25">
      <c r="A8" s="151" t="s">
        <v>518</v>
      </c>
      <c r="B8" s="160" t="s">
        <v>519</v>
      </c>
      <c r="C8" s="209"/>
      <c r="D8" s="210"/>
      <c r="E8" s="152" t="s">
        <v>520</v>
      </c>
      <c r="F8" s="150"/>
    </row>
    <row r="9" spans="1:7" ht="18.75">
      <c r="A9" s="148"/>
      <c r="B9" s="157" t="s">
        <v>521</v>
      </c>
      <c r="C9" s="149"/>
      <c r="D9" s="149"/>
      <c r="E9" s="215"/>
      <c r="F9" s="215"/>
    </row>
    <row r="10" spans="1:7" ht="51">
      <c r="A10" s="151" t="s">
        <v>522</v>
      </c>
      <c r="B10" s="160" t="s">
        <v>523</v>
      </c>
      <c r="C10" s="209"/>
      <c r="D10" s="210"/>
      <c r="E10" s="150"/>
      <c r="F10" s="150"/>
    </row>
    <row r="11" spans="1:7" ht="51">
      <c r="A11" s="151" t="s">
        <v>524</v>
      </c>
      <c r="B11" s="160" t="s">
        <v>525</v>
      </c>
      <c r="C11" s="209"/>
      <c r="D11" s="210"/>
      <c r="E11" s="152" t="s">
        <v>526</v>
      </c>
      <c r="F11" s="150"/>
    </row>
    <row r="12" spans="1:7" ht="38.25">
      <c r="A12" s="151" t="s">
        <v>527</v>
      </c>
      <c r="B12" s="160" t="s">
        <v>528</v>
      </c>
      <c r="C12" s="209"/>
      <c r="D12" s="210"/>
      <c r="E12" s="150"/>
      <c r="F12" s="150"/>
    </row>
    <row r="13" spans="1:7" ht="38.25">
      <c r="A13" s="151" t="s">
        <v>529</v>
      </c>
      <c r="B13" s="160" t="s">
        <v>530</v>
      </c>
      <c r="C13" s="209"/>
      <c r="D13" s="210"/>
      <c r="E13" s="150" t="s">
        <v>531</v>
      </c>
      <c r="F13" s="150"/>
    </row>
    <row r="14" spans="1:7" ht="25.5">
      <c r="A14" s="151" t="s">
        <v>532</v>
      </c>
      <c r="B14" s="160" t="s">
        <v>533</v>
      </c>
      <c r="C14" s="209"/>
      <c r="D14" s="210"/>
      <c r="E14" s="150"/>
      <c r="F14" s="150"/>
    </row>
    <row r="15" spans="1:7" ht="63.75">
      <c r="A15" s="151" t="s">
        <v>534</v>
      </c>
      <c r="B15" s="160" t="s">
        <v>535</v>
      </c>
      <c r="C15" s="209"/>
      <c r="D15" s="210"/>
      <c r="E15" s="150"/>
      <c r="F15" s="150"/>
    </row>
    <row r="16" spans="1:7" ht="38.25">
      <c r="A16" s="151" t="s">
        <v>536</v>
      </c>
      <c r="B16" s="160" t="s">
        <v>537</v>
      </c>
      <c r="C16" s="209"/>
      <c r="D16" s="210"/>
      <c r="E16" s="150"/>
      <c r="F16" s="150"/>
    </row>
    <row r="17" spans="1:6" ht="38.25">
      <c r="A17" s="151" t="s">
        <v>538</v>
      </c>
      <c r="B17" s="160" t="s">
        <v>539</v>
      </c>
      <c r="C17" s="209"/>
      <c r="D17" s="210"/>
      <c r="E17" s="150"/>
      <c r="F17" s="150"/>
    </row>
    <row r="18" spans="1:6" ht="25.5">
      <c r="A18" s="151" t="s">
        <v>540</v>
      </c>
      <c r="B18" s="160" t="s">
        <v>541</v>
      </c>
      <c r="C18" s="209"/>
      <c r="D18" s="210"/>
      <c r="E18" s="150"/>
      <c r="F18" s="150"/>
    </row>
    <row r="19" spans="1:6" ht="25.5">
      <c r="A19" s="151" t="s">
        <v>542</v>
      </c>
      <c r="B19" s="160" t="s">
        <v>543</v>
      </c>
      <c r="C19" s="209"/>
      <c r="D19" s="210"/>
      <c r="E19" s="150"/>
      <c r="F19" s="150"/>
    </row>
    <row r="20" spans="1:6" ht="25.5">
      <c r="A20" s="151" t="s">
        <v>544</v>
      </c>
      <c r="B20" s="160" t="s">
        <v>545</v>
      </c>
      <c r="C20" s="209"/>
      <c r="D20" s="210"/>
      <c r="E20" s="150"/>
      <c r="F20" s="150"/>
    </row>
    <row r="21" spans="1:6" ht="63.75">
      <c r="A21" s="151" t="s">
        <v>546</v>
      </c>
      <c r="B21" s="160" t="s">
        <v>547</v>
      </c>
      <c r="C21" s="209"/>
      <c r="D21" s="210"/>
      <c r="E21" s="152" t="s">
        <v>548</v>
      </c>
      <c r="F21" s="150"/>
    </row>
    <row r="22" spans="1:6" ht="18.75">
      <c r="A22" s="148"/>
      <c r="B22" s="157" t="s">
        <v>549</v>
      </c>
      <c r="C22" s="149"/>
      <c r="D22" s="149"/>
      <c r="E22" s="215"/>
      <c r="F22" s="215"/>
    </row>
    <row r="23" spans="1:6" ht="25.5">
      <c r="A23" s="151" t="s">
        <v>550</v>
      </c>
      <c r="B23" s="160" t="s">
        <v>551</v>
      </c>
      <c r="C23" s="209"/>
      <c r="D23" s="210"/>
      <c r="E23" s="150"/>
      <c r="F23" s="150"/>
    </row>
    <row r="24" spans="1:6" ht="18.75">
      <c r="A24" s="148"/>
      <c r="B24" s="157" t="s">
        <v>552</v>
      </c>
      <c r="C24" s="149"/>
      <c r="D24" s="149"/>
      <c r="E24" s="215"/>
      <c r="F24" s="215"/>
    </row>
    <row r="25" spans="1:6" ht="76.5">
      <c r="A25" s="151" t="s">
        <v>553</v>
      </c>
      <c r="B25" s="160" t="s">
        <v>554</v>
      </c>
      <c r="C25" s="209"/>
      <c r="D25" s="210"/>
      <c r="E25" s="150"/>
      <c r="F25" s="150"/>
    </row>
    <row r="26" spans="1:6" ht="18.75">
      <c r="A26" s="148"/>
      <c r="B26" s="157" t="s">
        <v>555</v>
      </c>
      <c r="C26" s="149"/>
      <c r="D26" s="149"/>
      <c r="E26" s="215"/>
      <c r="F26" s="215"/>
    </row>
    <row r="27" spans="1:6" ht="38.25">
      <c r="A27" s="151" t="s">
        <v>556</v>
      </c>
      <c r="B27" s="160" t="s">
        <v>557</v>
      </c>
      <c r="C27" s="209"/>
      <c r="D27" s="210"/>
      <c r="E27" s="150"/>
      <c r="F27" s="150"/>
    </row>
    <row r="28" spans="1:6" ht="25.5">
      <c r="A28" s="151" t="s">
        <v>558</v>
      </c>
      <c r="B28" s="160" t="s">
        <v>559</v>
      </c>
      <c r="C28" s="209"/>
      <c r="D28" s="210"/>
      <c r="E28" s="150"/>
      <c r="F28" s="150"/>
    </row>
    <row r="29" spans="1:6" ht="25.5">
      <c r="A29" s="151" t="s">
        <v>560</v>
      </c>
      <c r="B29" s="160" t="s">
        <v>561</v>
      </c>
      <c r="C29" s="209"/>
      <c r="D29" s="210"/>
      <c r="E29" s="150"/>
      <c r="F29" s="150"/>
    </row>
    <row r="30" spans="1:6" ht="18.75">
      <c r="A30" s="148"/>
      <c r="B30" s="157" t="s">
        <v>562</v>
      </c>
      <c r="C30" s="149"/>
      <c r="D30" s="149"/>
      <c r="E30" s="215"/>
      <c r="F30" s="215"/>
    </row>
    <row r="31" spans="1:6" ht="25.5">
      <c r="A31" s="151" t="s">
        <v>563</v>
      </c>
      <c r="B31" s="160" t="s">
        <v>564</v>
      </c>
      <c r="C31" s="209"/>
      <c r="D31" s="210"/>
      <c r="E31" s="150"/>
      <c r="F31" s="150"/>
    </row>
    <row r="32" spans="1:6" ht="38.25">
      <c r="A32" s="151" t="s">
        <v>565</v>
      </c>
      <c r="B32" s="160" t="s">
        <v>566</v>
      </c>
      <c r="C32" s="209"/>
      <c r="D32" s="210"/>
      <c r="E32" s="150"/>
      <c r="F32" s="150"/>
    </row>
    <row r="33" spans="1:6" ht="18.75">
      <c r="A33" s="148"/>
      <c r="B33" s="157" t="s">
        <v>567</v>
      </c>
      <c r="C33" s="149"/>
      <c r="D33" s="149"/>
      <c r="E33" s="215"/>
      <c r="F33" s="215"/>
    </row>
    <row r="34" spans="1:6" ht="38.25">
      <c r="A34" s="151" t="s">
        <v>568</v>
      </c>
      <c r="B34" s="160" t="s">
        <v>569</v>
      </c>
      <c r="C34" s="209"/>
      <c r="D34" s="210"/>
      <c r="E34" s="150"/>
      <c r="F34" s="150"/>
    </row>
    <row r="35" spans="1:6" ht="18.75">
      <c r="A35" s="148"/>
      <c r="B35" s="157" t="s">
        <v>570</v>
      </c>
      <c r="C35" s="149"/>
      <c r="D35" s="149"/>
      <c r="E35" s="215"/>
      <c r="F35" s="215"/>
    </row>
    <row r="36" spans="1:6" ht="38.25">
      <c r="A36" s="151" t="s">
        <v>571</v>
      </c>
      <c r="B36" s="160" t="s">
        <v>572</v>
      </c>
      <c r="C36" s="209"/>
      <c r="D36" s="210"/>
      <c r="E36" s="150"/>
      <c r="F36" s="150"/>
    </row>
    <row r="37" spans="1:6" ht="25.5">
      <c r="A37" s="151" t="s">
        <v>573</v>
      </c>
      <c r="B37" s="160" t="s">
        <v>574</v>
      </c>
      <c r="C37" s="209"/>
      <c r="D37" s="210"/>
      <c r="E37" s="150"/>
      <c r="F37" s="150"/>
    </row>
    <row r="38" spans="1:6" ht="38.25">
      <c r="A38" s="151" t="s">
        <v>575</v>
      </c>
      <c r="B38" s="160" t="s">
        <v>576</v>
      </c>
      <c r="C38" s="209"/>
      <c r="D38" s="210"/>
      <c r="E38" s="150"/>
      <c r="F38" s="150"/>
    </row>
    <row r="39" spans="1:6" ht="38.25">
      <c r="A39" s="151" t="s">
        <v>577</v>
      </c>
      <c r="B39" s="160" t="s">
        <v>578</v>
      </c>
      <c r="C39" s="209"/>
      <c r="D39" s="210"/>
      <c r="E39" s="150"/>
      <c r="F39" s="150"/>
    </row>
    <row r="40" spans="1:6" ht="18.75">
      <c r="A40" s="148"/>
      <c r="B40" s="157" t="s">
        <v>579</v>
      </c>
      <c r="C40" s="149"/>
      <c r="D40" s="149"/>
      <c r="E40" s="215"/>
      <c r="F40" s="215"/>
    </row>
    <row r="41" spans="1:6" ht="38.25">
      <c r="A41" s="151" t="s">
        <v>580</v>
      </c>
      <c r="B41" s="160" t="s">
        <v>581</v>
      </c>
      <c r="C41" s="209"/>
      <c r="D41" s="210"/>
      <c r="E41" s="150"/>
      <c r="F41" s="150"/>
    </row>
    <row r="42" spans="1:6" ht="38.25">
      <c r="A42" s="151" t="s">
        <v>582</v>
      </c>
      <c r="B42" s="160" t="s">
        <v>583</v>
      </c>
      <c r="C42" s="209"/>
      <c r="D42" s="210"/>
      <c r="E42" s="150"/>
      <c r="F42" s="150"/>
    </row>
    <row r="43" spans="1:6" ht="18.75">
      <c r="A43" s="148"/>
      <c r="B43" s="157" t="s">
        <v>584</v>
      </c>
      <c r="C43" s="149"/>
      <c r="D43" s="149"/>
      <c r="E43" s="215"/>
      <c r="F43" s="215"/>
    </row>
    <row r="44" spans="1:6" ht="51">
      <c r="A44" s="151" t="s">
        <v>585</v>
      </c>
      <c r="B44" s="160" t="s">
        <v>586</v>
      </c>
      <c r="C44" s="209"/>
      <c r="D44" s="210"/>
      <c r="E44" s="150"/>
      <c r="F44" s="150"/>
    </row>
    <row r="45" spans="1:6" ht="18">
      <c r="A45" s="211"/>
      <c r="B45" s="212" t="s">
        <v>587</v>
      </c>
      <c r="C45" s="211"/>
      <c r="D45" s="211"/>
      <c r="E45" s="211"/>
      <c r="F45" s="211"/>
    </row>
    <row r="46" spans="1:6">
      <c r="A46" s="151"/>
      <c r="B46" s="160"/>
    </row>
    <row r="47" spans="1:6" ht="15">
      <c r="A47" s="213"/>
      <c r="B47" s="214" t="s">
        <v>588</v>
      </c>
      <c r="C47" s="213"/>
      <c r="D47" s="213"/>
      <c r="E47" s="213"/>
      <c r="F47" s="213"/>
    </row>
  </sheetData>
  <mergeCells count="1">
    <mergeCell ref="E2:F2"/>
  </mergeCells>
  <conditionalFormatting sqref="C6">
    <cfRule type="cellIs" dxfId="3200" priority="1378" operator="equal">
      <formula>"No"</formula>
    </cfRule>
    <cfRule type="cellIs" dxfId="3199" priority="1379" operator="equal">
      <formula>"NA"</formula>
    </cfRule>
    <cfRule type="cellIs" dxfId="3198" priority="1380" operator="equal">
      <formula>"Yes"</formula>
    </cfRule>
  </conditionalFormatting>
  <conditionalFormatting sqref="C7">
    <cfRule type="cellIs" dxfId="3197" priority="1332" operator="equal">
      <formula>"No"</formula>
    </cfRule>
    <cfRule type="cellIs" dxfId="3196" priority="1333" operator="equal">
      <formula>"NA"</formula>
    </cfRule>
    <cfRule type="cellIs" dxfId="3195" priority="1334" operator="equal">
      <formula>"Yes"</formula>
    </cfRule>
  </conditionalFormatting>
  <conditionalFormatting sqref="C8">
    <cfRule type="cellIs" dxfId="3194" priority="1286" operator="equal">
      <formula>"No"</formula>
    </cfRule>
    <cfRule type="cellIs" dxfId="3193" priority="1287" operator="equal">
      <formula>"NA"</formula>
    </cfRule>
    <cfRule type="cellIs" dxfId="3192" priority="1288" operator="equal">
      <formula>"Yes"</formula>
    </cfRule>
  </conditionalFormatting>
  <conditionalFormatting sqref="C10">
    <cfRule type="cellIs" dxfId="3191" priority="1240" operator="equal">
      <formula>"No"</formula>
    </cfRule>
    <cfRule type="cellIs" dxfId="3190" priority="1241" operator="equal">
      <formula>"NA"</formula>
    </cfRule>
    <cfRule type="cellIs" dxfId="3189" priority="1242" operator="equal">
      <formula>"Yes"</formula>
    </cfRule>
  </conditionalFormatting>
  <conditionalFormatting sqref="C11">
    <cfRule type="cellIs" dxfId="3188" priority="1194" operator="equal">
      <formula>"No"</formula>
    </cfRule>
    <cfRule type="cellIs" dxfId="3187" priority="1195" operator="equal">
      <formula>"NA"</formula>
    </cfRule>
    <cfRule type="cellIs" dxfId="3186" priority="1196" operator="equal">
      <formula>"Yes"</formula>
    </cfRule>
  </conditionalFormatting>
  <conditionalFormatting sqref="C12">
    <cfRule type="cellIs" dxfId="3185" priority="1148" operator="equal">
      <formula>"No"</formula>
    </cfRule>
    <cfRule type="cellIs" dxfId="3184" priority="1149" operator="equal">
      <formula>"NA"</formula>
    </cfRule>
    <cfRule type="cellIs" dxfId="3183" priority="1150" operator="equal">
      <formula>"Yes"</formula>
    </cfRule>
  </conditionalFormatting>
  <conditionalFormatting sqref="C13">
    <cfRule type="cellIs" dxfId="3182" priority="1102" operator="equal">
      <formula>"No"</formula>
    </cfRule>
    <cfRule type="cellIs" dxfId="3181" priority="1103" operator="equal">
      <formula>"NA"</formula>
    </cfRule>
    <cfRule type="cellIs" dxfId="3180" priority="1104" operator="equal">
      <formula>"Yes"</formula>
    </cfRule>
  </conditionalFormatting>
  <conditionalFormatting sqref="C14">
    <cfRule type="cellIs" dxfId="3179" priority="1056" operator="equal">
      <formula>"No"</formula>
    </cfRule>
    <cfRule type="cellIs" dxfId="3178" priority="1057" operator="equal">
      <formula>"NA"</formula>
    </cfRule>
    <cfRule type="cellIs" dxfId="3177" priority="1058" operator="equal">
      <formula>"Yes"</formula>
    </cfRule>
  </conditionalFormatting>
  <conditionalFormatting sqref="C15">
    <cfRule type="cellIs" dxfId="3176" priority="1010" operator="equal">
      <formula>"No"</formula>
    </cfRule>
    <cfRule type="cellIs" dxfId="3175" priority="1011" operator="equal">
      <formula>"NA"</formula>
    </cfRule>
    <cfRule type="cellIs" dxfId="3174" priority="1012" operator="equal">
      <formula>"Yes"</formula>
    </cfRule>
  </conditionalFormatting>
  <conditionalFormatting sqref="C16">
    <cfRule type="cellIs" dxfId="3173" priority="964" operator="equal">
      <formula>"No"</formula>
    </cfRule>
    <cfRule type="cellIs" dxfId="3172" priority="965" operator="equal">
      <formula>"NA"</formula>
    </cfRule>
    <cfRule type="cellIs" dxfId="3171" priority="966" operator="equal">
      <formula>"Yes"</formula>
    </cfRule>
  </conditionalFormatting>
  <conditionalFormatting sqref="C17">
    <cfRule type="cellIs" dxfId="3170" priority="918" operator="equal">
      <formula>"No"</formula>
    </cfRule>
    <cfRule type="cellIs" dxfId="3169" priority="919" operator="equal">
      <formula>"NA"</formula>
    </cfRule>
    <cfRule type="cellIs" dxfId="3168" priority="920" operator="equal">
      <formula>"Yes"</formula>
    </cfRule>
  </conditionalFormatting>
  <conditionalFormatting sqref="C18">
    <cfRule type="cellIs" dxfId="3167" priority="872" operator="equal">
      <formula>"No"</formula>
    </cfRule>
    <cfRule type="cellIs" dxfId="3166" priority="873" operator="equal">
      <formula>"NA"</formula>
    </cfRule>
    <cfRule type="cellIs" dxfId="3165" priority="874" operator="equal">
      <formula>"Yes"</formula>
    </cfRule>
  </conditionalFormatting>
  <conditionalFormatting sqref="C19">
    <cfRule type="cellIs" dxfId="3164" priority="826" operator="equal">
      <formula>"No"</formula>
    </cfRule>
    <cfRule type="cellIs" dxfId="3163" priority="827" operator="equal">
      <formula>"NA"</formula>
    </cfRule>
    <cfRule type="cellIs" dxfId="3162" priority="828" operator="equal">
      <formula>"Yes"</formula>
    </cfRule>
  </conditionalFormatting>
  <conditionalFormatting sqref="C20">
    <cfRule type="cellIs" dxfId="3161" priority="780" operator="equal">
      <formula>"No"</formula>
    </cfRule>
    <cfRule type="cellIs" dxfId="3160" priority="781" operator="equal">
      <formula>"NA"</formula>
    </cfRule>
    <cfRule type="cellIs" dxfId="3159" priority="782" operator="equal">
      <formula>"Yes"</formula>
    </cfRule>
  </conditionalFormatting>
  <conditionalFormatting sqref="C21">
    <cfRule type="cellIs" dxfId="3158" priority="734" operator="equal">
      <formula>"No"</formula>
    </cfRule>
    <cfRule type="cellIs" dxfId="3157" priority="735" operator="equal">
      <formula>"NA"</formula>
    </cfRule>
    <cfRule type="cellIs" dxfId="3156" priority="736" operator="equal">
      <formula>"Yes"</formula>
    </cfRule>
  </conditionalFormatting>
  <conditionalFormatting sqref="C23">
    <cfRule type="cellIs" dxfId="3155" priority="688" operator="equal">
      <formula>"No"</formula>
    </cfRule>
    <cfRule type="cellIs" dxfId="3154" priority="689" operator="equal">
      <formula>"NA"</formula>
    </cfRule>
    <cfRule type="cellIs" dxfId="3153" priority="690" operator="equal">
      <formula>"Yes"</formula>
    </cfRule>
  </conditionalFormatting>
  <conditionalFormatting sqref="C25">
    <cfRule type="cellIs" dxfId="3152" priority="642" operator="equal">
      <formula>"No"</formula>
    </cfRule>
    <cfRule type="cellIs" dxfId="3151" priority="643" operator="equal">
      <formula>"NA"</formula>
    </cfRule>
    <cfRule type="cellIs" dxfId="3150" priority="644" operator="equal">
      <formula>"Yes"</formula>
    </cfRule>
  </conditionalFormatting>
  <conditionalFormatting sqref="C27">
    <cfRule type="cellIs" dxfId="3149" priority="596" operator="equal">
      <formula>"No"</formula>
    </cfRule>
    <cfRule type="cellIs" dxfId="3148" priority="597" operator="equal">
      <formula>"NA"</formula>
    </cfRule>
    <cfRule type="cellIs" dxfId="3147" priority="598" operator="equal">
      <formula>"Yes"</formula>
    </cfRule>
  </conditionalFormatting>
  <conditionalFormatting sqref="C28">
    <cfRule type="cellIs" dxfId="3146" priority="550" operator="equal">
      <formula>"No"</formula>
    </cfRule>
    <cfRule type="cellIs" dxfId="3145" priority="551" operator="equal">
      <formula>"NA"</formula>
    </cfRule>
    <cfRule type="cellIs" dxfId="3144" priority="552" operator="equal">
      <formula>"Yes"</formula>
    </cfRule>
  </conditionalFormatting>
  <conditionalFormatting sqref="C29">
    <cfRule type="cellIs" dxfId="3143" priority="504" operator="equal">
      <formula>"No"</formula>
    </cfRule>
    <cfRule type="cellIs" dxfId="3142" priority="505" operator="equal">
      <formula>"NA"</formula>
    </cfRule>
    <cfRule type="cellIs" dxfId="3141" priority="506" operator="equal">
      <formula>"Yes"</formula>
    </cfRule>
  </conditionalFormatting>
  <conditionalFormatting sqref="C31">
    <cfRule type="cellIs" dxfId="3140" priority="458" operator="equal">
      <formula>"No"</formula>
    </cfRule>
    <cfRule type="cellIs" dxfId="3139" priority="459" operator="equal">
      <formula>"NA"</formula>
    </cfRule>
    <cfRule type="cellIs" dxfId="3138" priority="460" operator="equal">
      <formula>"Yes"</formula>
    </cfRule>
  </conditionalFormatting>
  <conditionalFormatting sqref="C32">
    <cfRule type="cellIs" dxfId="3137" priority="412" operator="equal">
      <formula>"No"</formula>
    </cfRule>
    <cfRule type="cellIs" dxfId="3136" priority="413" operator="equal">
      <formula>"NA"</formula>
    </cfRule>
    <cfRule type="cellIs" dxfId="3135" priority="414" operator="equal">
      <formula>"Yes"</formula>
    </cfRule>
  </conditionalFormatting>
  <conditionalFormatting sqref="C34">
    <cfRule type="cellIs" dxfId="3134" priority="366" operator="equal">
      <formula>"No"</formula>
    </cfRule>
    <cfRule type="cellIs" dxfId="3133" priority="367" operator="equal">
      <formula>"NA"</formula>
    </cfRule>
    <cfRule type="cellIs" dxfId="3132" priority="368" operator="equal">
      <formula>"Yes"</formula>
    </cfRule>
  </conditionalFormatting>
  <conditionalFormatting sqref="C36">
    <cfRule type="cellIs" dxfId="3131" priority="320" operator="equal">
      <formula>"No"</formula>
    </cfRule>
    <cfRule type="cellIs" dxfId="3130" priority="321" operator="equal">
      <formula>"NA"</formula>
    </cfRule>
    <cfRule type="cellIs" dxfId="3129" priority="322" operator="equal">
      <formula>"Yes"</formula>
    </cfRule>
  </conditionalFormatting>
  <conditionalFormatting sqref="C37">
    <cfRule type="cellIs" dxfId="3128" priority="274" operator="equal">
      <formula>"No"</formula>
    </cfRule>
    <cfRule type="cellIs" dxfId="3127" priority="275" operator="equal">
      <formula>"NA"</formula>
    </cfRule>
    <cfRule type="cellIs" dxfId="3126" priority="276" operator="equal">
      <formula>"Yes"</formula>
    </cfRule>
  </conditionalFormatting>
  <conditionalFormatting sqref="C38">
    <cfRule type="cellIs" dxfId="3125" priority="228" operator="equal">
      <formula>"No"</formula>
    </cfRule>
    <cfRule type="cellIs" dxfId="3124" priority="229" operator="equal">
      <formula>"NA"</formula>
    </cfRule>
    <cfRule type="cellIs" dxfId="3123" priority="230" operator="equal">
      <formula>"Yes"</formula>
    </cfRule>
  </conditionalFormatting>
  <conditionalFormatting sqref="C39">
    <cfRule type="cellIs" dxfId="3122" priority="182" operator="equal">
      <formula>"No"</formula>
    </cfRule>
    <cfRule type="cellIs" dxfId="3121" priority="183" operator="equal">
      <formula>"NA"</formula>
    </cfRule>
    <cfRule type="cellIs" dxfId="3120" priority="184" operator="equal">
      <formula>"Yes"</formula>
    </cfRule>
  </conditionalFormatting>
  <conditionalFormatting sqref="C41">
    <cfRule type="cellIs" dxfId="3119" priority="136" operator="equal">
      <formula>"No"</formula>
    </cfRule>
    <cfRule type="cellIs" dxfId="3118" priority="137" operator="equal">
      <formula>"NA"</formula>
    </cfRule>
    <cfRule type="cellIs" dxfId="3117" priority="138" operator="equal">
      <formula>"Yes"</formula>
    </cfRule>
  </conditionalFormatting>
  <conditionalFormatting sqref="C42">
    <cfRule type="cellIs" dxfId="3116" priority="90" operator="equal">
      <formula>"No"</formula>
    </cfRule>
    <cfRule type="cellIs" dxfId="3115" priority="91" operator="equal">
      <formula>"NA"</formula>
    </cfRule>
    <cfRule type="cellIs" dxfId="3114" priority="92" operator="equal">
      <formula>"Yes"</formula>
    </cfRule>
  </conditionalFormatting>
  <conditionalFormatting sqref="C44">
    <cfRule type="cellIs" dxfId="3113" priority="44" operator="equal">
      <formula>"No"</formula>
    </cfRule>
    <cfRule type="cellIs" dxfId="3112" priority="45" operator="equal">
      <formula>"NA"</formula>
    </cfRule>
    <cfRule type="cellIs" dxfId="3111"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589</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513</v>
      </c>
      <c r="C5" s="149"/>
      <c r="D5" s="149"/>
      <c r="E5" s="215"/>
      <c r="F5" s="215"/>
    </row>
    <row r="6" spans="1:7" ht="38.25">
      <c r="A6" s="151" t="s">
        <v>514</v>
      </c>
      <c r="B6" s="160" t="s">
        <v>515</v>
      </c>
      <c r="C6" s="209"/>
      <c r="D6" s="210"/>
      <c r="E6" s="150"/>
      <c r="F6" s="150"/>
    </row>
    <row r="7" spans="1:7" ht="38.25">
      <c r="A7" s="151" t="s">
        <v>516</v>
      </c>
      <c r="B7" s="160" t="s">
        <v>517</v>
      </c>
      <c r="C7" s="209"/>
      <c r="D7" s="210"/>
      <c r="E7" s="150"/>
      <c r="F7" s="150"/>
    </row>
    <row r="8" spans="1:7" ht="89.25">
      <c r="A8" s="151" t="s">
        <v>518</v>
      </c>
      <c r="B8" s="160" t="s">
        <v>519</v>
      </c>
      <c r="C8" s="209"/>
      <c r="D8" s="210"/>
      <c r="E8" s="152" t="s">
        <v>520</v>
      </c>
      <c r="F8" s="150"/>
    </row>
    <row r="9" spans="1:7" ht="18.75">
      <c r="A9" s="148"/>
      <c r="B9" s="157" t="s">
        <v>521</v>
      </c>
      <c r="C9" s="149"/>
      <c r="D9" s="149"/>
      <c r="E9" s="215"/>
      <c r="F9" s="215"/>
    </row>
    <row r="10" spans="1:7" ht="51">
      <c r="A10" s="151" t="s">
        <v>590</v>
      </c>
      <c r="B10" s="160" t="s">
        <v>591</v>
      </c>
      <c r="C10" s="209"/>
      <c r="D10" s="210"/>
      <c r="E10" s="152" t="s">
        <v>592</v>
      </c>
      <c r="F10" s="150"/>
    </row>
    <row r="11" spans="1:7" ht="51">
      <c r="A11" s="151" t="s">
        <v>522</v>
      </c>
      <c r="B11" s="160" t="s">
        <v>523</v>
      </c>
      <c r="C11" s="209"/>
      <c r="D11" s="210"/>
      <c r="E11" s="150"/>
      <c r="F11" s="150"/>
    </row>
    <row r="12" spans="1:7" ht="51">
      <c r="A12" s="151" t="s">
        <v>524</v>
      </c>
      <c r="B12" s="160" t="s">
        <v>525</v>
      </c>
      <c r="C12" s="209"/>
      <c r="D12" s="210"/>
      <c r="E12" s="152" t="s">
        <v>526</v>
      </c>
      <c r="F12" s="150"/>
    </row>
    <row r="13" spans="1:7" ht="38.25">
      <c r="A13" s="151" t="s">
        <v>527</v>
      </c>
      <c r="B13" s="160" t="s">
        <v>528</v>
      </c>
      <c r="C13" s="209"/>
      <c r="D13" s="210"/>
      <c r="E13" s="150"/>
      <c r="F13" s="150"/>
    </row>
    <row r="14" spans="1:7" ht="38.25">
      <c r="A14" s="151" t="s">
        <v>529</v>
      </c>
      <c r="B14" s="160" t="s">
        <v>530</v>
      </c>
      <c r="C14" s="209"/>
      <c r="D14" s="210"/>
      <c r="E14" s="150" t="s">
        <v>531</v>
      </c>
      <c r="F14" s="150"/>
    </row>
    <row r="15" spans="1:7" ht="25.5">
      <c r="A15" s="151" t="s">
        <v>532</v>
      </c>
      <c r="B15" s="160" t="s">
        <v>533</v>
      </c>
      <c r="C15" s="209"/>
      <c r="D15" s="210"/>
      <c r="E15" s="150"/>
      <c r="F15" s="150"/>
    </row>
    <row r="16" spans="1:7" ht="38.25">
      <c r="A16" s="151" t="s">
        <v>536</v>
      </c>
      <c r="B16" s="160" t="s">
        <v>537</v>
      </c>
      <c r="C16" s="209"/>
      <c r="D16" s="210"/>
      <c r="E16" s="150"/>
      <c r="F16" s="150"/>
    </row>
    <row r="17" spans="1:6" ht="38.25">
      <c r="A17" s="151" t="s">
        <v>538</v>
      </c>
      <c r="B17" s="160" t="s">
        <v>539</v>
      </c>
      <c r="C17" s="209"/>
      <c r="D17" s="210"/>
      <c r="E17" s="150"/>
      <c r="F17" s="150"/>
    </row>
    <row r="18" spans="1:6" ht="25.5">
      <c r="A18" s="151" t="s">
        <v>542</v>
      </c>
      <c r="B18" s="160" t="s">
        <v>543</v>
      </c>
      <c r="C18" s="209"/>
      <c r="D18" s="210"/>
      <c r="E18" s="150"/>
      <c r="F18" s="150"/>
    </row>
    <row r="19" spans="1:6" ht="25.5">
      <c r="A19" s="151" t="s">
        <v>544</v>
      </c>
      <c r="B19" s="160" t="s">
        <v>545</v>
      </c>
      <c r="C19" s="209"/>
      <c r="D19" s="210"/>
      <c r="E19" s="150"/>
      <c r="F19" s="150"/>
    </row>
    <row r="20" spans="1:6" ht="18.75">
      <c r="A20" s="148"/>
      <c r="B20" s="157" t="s">
        <v>562</v>
      </c>
      <c r="C20" s="149"/>
      <c r="D20" s="149"/>
      <c r="E20" s="215"/>
      <c r="F20" s="215"/>
    </row>
    <row r="21" spans="1:6" ht="25.5">
      <c r="A21" s="151" t="s">
        <v>593</v>
      </c>
      <c r="B21" s="160" t="s">
        <v>594</v>
      </c>
      <c r="C21" s="209"/>
      <c r="D21" s="210"/>
      <c r="E21" s="150"/>
      <c r="F21" s="150"/>
    </row>
    <row r="22" spans="1:6" ht="38.25">
      <c r="A22" s="151" t="s">
        <v>565</v>
      </c>
      <c r="B22" s="160" t="s">
        <v>566</v>
      </c>
      <c r="C22" s="209"/>
      <c r="D22" s="210"/>
      <c r="E22" s="150"/>
      <c r="F22" s="150"/>
    </row>
    <row r="23" spans="1:6" ht="18.75">
      <c r="A23" s="148"/>
      <c r="B23" s="157" t="s">
        <v>595</v>
      </c>
      <c r="C23" s="149"/>
      <c r="D23" s="149"/>
      <c r="E23" s="215"/>
      <c r="F23" s="215"/>
    </row>
    <row r="24" spans="1:6" ht="38.25">
      <c r="A24" s="151" t="s">
        <v>596</v>
      </c>
      <c r="B24" s="160" t="s">
        <v>597</v>
      </c>
      <c r="C24" s="209"/>
      <c r="D24" s="210"/>
      <c r="E24" s="150"/>
      <c r="F24" s="150"/>
    </row>
    <row r="25" spans="1:6" ht="51">
      <c r="A25" s="151" t="s">
        <v>598</v>
      </c>
      <c r="B25" s="160" t="s">
        <v>599</v>
      </c>
      <c r="C25" s="209"/>
      <c r="D25" s="210"/>
      <c r="E25" s="150"/>
      <c r="F25" s="150"/>
    </row>
    <row r="26" spans="1:6" ht="25.5">
      <c r="A26" s="151" t="s">
        <v>600</v>
      </c>
      <c r="B26" s="160" t="s">
        <v>601</v>
      </c>
      <c r="C26" s="209"/>
      <c r="D26" s="210"/>
      <c r="E26" s="150"/>
      <c r="F26" s="150"/>
    </row>
    <row r="27" spans="1:6" ht="51">
      <c r="A27" s="151" t="s">
        <v>602</v>
      </c>
      <c r="B27" s="160" t="s">
        <v>603</v>
      </c>
      <c r="C27" s="209"/>
      <c r="D27" s="210"/>
      <c r="E27" s="150"/>
      <c r="F27" s="150"/>
    </row>
    <row r="28" spans="1:6" ht="18.75">
      <c r="A28" s="148"/>
      <c r="B28" s="157" t="s">
        <v>570</v>
      </c>
      <c r="C28" s="149"/>
      <c r="D28" s="149"/>
      <c r="E28" s="215"/>
      <c r="F28" s="215"/>
    </row>
    <row r="29" spans="1:6" ht="38.25">
      <c r="A29" s="151" t="s">
        <v>571</v>
      </c>
      <c r="B29" s="160" t="s">
        <v>572</v>
      </c>
      <c r="C29" s="209"/>
      <c r="D29" s="210"/>
      <c r="E29" s="150"/>
      <c r="F29" s="150"/>
    </row>
    <row r="30" spans="1:6" ht="25.5">
      <c r="A30" s="151" t="s">
        <v>573</v>
      </c>
      <c r="B30" s="160" t="s">
        <v>574</v>
      </c>
      <c r="C30" s="209"/>
      <c r="D30" s="210"/>
      <c r="E30" s="150"/>
      <c r="F30" s="150"/>
    </row>
    <row r="31" spans="1:6" ht="38.25">
      <c r="A31" s="151" t="s">
        <v>575</v>
      </c>
      <c r="B31" s="160" t="s">
        <v>576</v>
      </c>
      <c r="C31" s="209"/>
      <c r="D31" s="210"/>
      <c r="E31" s="150"/>
      <c r="F31" s="150"/>
    </row>
    <row r="32" spans="1:6" ht="38.25">
      <c r="A32" s="151" t="s">
        <v>577</v>
      </c>
      <c r="B32" s="160" t="s">
        <v>578</v>
      </c>
      <c r="C32" s="209"/>
      <c r="D32" s="210"/>
      <c r="E32" s="150"/>
      <c r="F32" s="150"/>
    </row>
    <row r="33" spans="1:6" ht="18.75">
      <c r="A33" s="148"/>
      <c r="B33" s="157" t="s">
        <v>579</v>
      </c>
      <c r="C33" s="149"/>
      <c r="D33" s="149"/>
      <c r="E33" s="215"/>
      <c r="F33" s="215"/>
    </row>
    <row r="34" spans="1:6" ht="38.25">
      <c r="A34" s="151" t="s">
        <v>580</v>
      </c>
      <c r="B34" s="160" t="s">
        <v>581</v>
      </c>
      <c r="C34" s="209"/>
      <c r="D34" s="210"/>
      <c r="E34" s="150"/>
      <c r="F34" s="150"/>
    </row>
    <row r="35" spans="1:6" ht="38.25">
      <c r="A35" s="151" t="s">
        <v>582</v>
      </c>
      <c r="B35" s="160" t="s">
        <v>583</v>
      </c>
      <c r="C35" s="209"/>
      <c r="D35" s="210"/>
      <c r="E35" s="150"/>
      <c r="F35" s="150"/>
    </row>
    <row r="36" spans="1:6" ht="18.75">
      <c r="A36" s="148"/>
      <c r="B36" s="157" t="s">
        <v>584</v>
      </c>
      <c r="C36" s="149"/>
      <c r="D36" s="149"/>
      <c r="E36" s="215"/>
      <c r="F36" s="215"/>
    </row>
    <row r="37" spans="1:6" ht="51">
      <c r="A37" s="151" t="s">
        <v>585</v>
      </c>
      <c r="B37" s="160" t="s">
        <v>586</v>
      </c>
      <c r="C37" s="209"/>
      <c r="D37" s="210"/>
      <c r="E37" s="150"/>
      <c r="F37" s="150"/>
    </row>
    <row r="38" spans="1:6" ht="18">
      <c r="A38" s="211"/>
      <c r="B38" s="212" t="s">
        <v>587</v>
      </c>
      <c r="C38" s="211"/>
      <c r="D38" s="211"/>
      <c r="E38" s="211"/>
      <c r="F38" s="211"/>
    </row>
    <row r="39" spans="1:6">
      <c r="A39" s="151"/>
      <c r="B39" s="160"/>
    </row>
    <row r="40" spans="1:6" ht="15">
      <c r="A40" s="213"/>
      <c r="B40" s="214" t="s">
        <v>588</v>
      </c>
      <c r="C40" s="213"/>
      <c r="D40" s="213"/>
      <c r="E40" s="213"/>
      <c r="F40" s="213"/>
    </row>
  </sheetData>
  <mergeCells count="1">
    <mergeCell ref="E2:F2"/>
  </mergeCells>
  <conditionalFormatting sqref="C6">
    <cfRule type="cellIs" dxfId="3110" priority="1194" operator="equal">
      <formula>"No"</formula>
    </cfRule>
    <cfRule type="cellIs" dxfId="3109" priority="1195" operator="equal">
      <formula>"NA"</formula>
    </cfRule>
    <cfRule type="cellIs" dxfId="3108" priority="1196" operator="equal">
      <formula>"Yes"</formula>
    </cfRule>
  </conditionalFormatting>
  <conditionalFormatting sqref="C7">
    <cfRule type="cellIs" dxfId="3107" priority="1148" operator="equal">
      <formula>"No"</formula>
    </cfRule>
    <cfRule type="cellIs" dxfId="3106" priority="1149" operator="equal">
      <formula>"NA"</formula>
    </cfRule>
    <cfRule type="cellIs" dxfId="3105" priority="1150" operator="equal">
      <formula>"Yes"</formula>
    </cfRule>
  </conditionalFormatting>
  <conditionalFormatting sqref="C8">
    <cfRule type="cellIs" dxfId="3104" priority="1102" operator="equal">
      <formula>"No"</formula>
    </cfRule>
    <cfRule type="cellIs" dxfId="3103" priority="1103" operator="equal">
      <formula>"NA"</formula>
    </cfRule>
    <cfRule type="cellIs" dxfId="3102" priority="1104" operator="equal">
      <formula>"Yes"</formula>
    </cfRule>
  </conditionalFormatting>
  <conditionalFormatting sqref="C10">
    <cfRule type="cellIs" dxfId="3101" priority="1056" operator="equal">
      <formula>"No"</formula>
    </cfRule>
    <cfRule type="cellIs" dxfId="3100" priority="1057" operator="equal">
      <formula>"NA"</formula>
    </cfRule>
    <cfRule type="cellIs" dxfId="3099" priority="1058" operator="equal">
      <formula>"Yes"</formula>
    </cfRule>
  </conditionalFormatting>
  <conditionalFormatting sqref="C11">
    <cfRule type="cellIs" dxfId="3098" priority="1010" operator="equal">
      <formula>"No"</formula>
    </cfRule>
    <cfRule type="cellIs" dxfId="3097" priority="1011" operator="equal">
      <formula>"NA"</formula>
    </cfRule>
    <cfRule type="cellIs" dxfId="3096" priority="1012" operator="equal">
      <formula>"Yes"</formula>
    </cfRule>
  </conditionalFormatting>
  <conditionalFormatting sqref="C12">
    <cfRule type="cellIs" dxfId="3095" priority="964" operator="equal">
      <formula>"No"</formula>
    </cfRule>
    <cfRule type="cellIs" dxfId="3094" priority="965" operator="equal">
      <formula>"NA"</formula>
    </cfRule>
    <cfRule type="cellIs" dxfId="3093" priority="966" operator="equal">
      <formula>"Yes"</formula>
    </cfRule>
  </conditionalFormatting>
  <conditionalFormatting sqref="C13">
    <cfRule type="cellIs" dxfId="3092" priority="918" operator="equal">
      <formula>"No"</formula>
    </cfRule>
    <cfRule type="cellIs" dxfId="3091" priority="919" operator="equal">
      <formula>"NA"</formula>
    </cfRule>
    <cfRule type="cellIs" dxfId="3090" priority="920" operator="equal">
      <formula>"Yes"</formula>
    </cfRule>
  </conditionalFormatting>
  <conditionalFormatting sqref="C14">
    <cfRule type="cellIs" dxfId="3089" priority="872" operator="equal">
      <formula>"No"</formula>
    </cfRule>
    <cfRule type="cellIs" dxfId="3088" priority="873" operator="equal">
      <formula>"NA"</formula>
    </cfRule>
    <cfRule type="cellIs" dxfId="3087" priority="874" operator="equal">
      <formula>"Yes"</formula>
    </cfRule>
  </conditionalFormatting>
  <conditionalFormatting sqref="C15">
    <cfRule type="cellIs" dxfId="3086" priority="826" operator="equal">
      <formula>"No"</formula>
    </cfRule>
    <cfRule type="cellIs" dxfId="3085" priority="827" operator="equal">
      <formula>"NA"</formula>
    </cfRule>
    <cfRule type="cellIs" dxfId="3084" priority="828" operator="equal">
      <formula>"Yes"</formula>
    </cfRule>
  </conditionalFormatting>
  <conditionalFormatting sqref="C16">
    <cfRule type="cellIs" dxfId="3083" priority="780" operator="equal">
      <formula>"No"</formula>
    </cfRule>
    <cfRule type="cellIs" dxfId="3082" priority="781" operator="equal">
      <formula>"NA"</formula>
    </cfRule>
    <cfRule type="cellIs" dxfId="3081" priority="782" operator="equal">
      <formula>"Yes"</formula>
    </cfRule>
  </conditionalFormatting>
  <conditionalFormatting sqref="C17">
    <cfRule type="cellIs" dxfId="3080" priority="734" operator="equal">
      <formula>"No"</formula>
    </cfRule>
    <cfRule type="cellIs" dxfId="3079" priority="735" operator="equal">
      <formula>"NA"</formula>
    </cfRule>
    <cfRule type="cellIs" dxfId="3078" priority="736" operator="equal">
      <formula>"Yes"</formula>
    </cfRule>
  </conditionalFormatting>
  <conditionalFormatting sqref="C18">
    <cfRule type="cellIs" dxfId="3077" priority="688" operator="equal">
      <formula>"No"</formula>
    </cfRule>
    <cfRule type="cellIs" dxfId="3076" priority="689" operator="equal">
      <formula>"NA"</formula>
    </cfRule>
    <cfRule type="cellIs" dxfId="3075" priority="690" operator="equal">
      <formula>"Yes"</formula>
    </cfRule>
  </conditionalFormatting>
  <conditionalFormatting sqref="C19">
    <cfRule type="cellIs" dxfId="3074" priority="642" operator="equal">
      <formula>"No"</formula>
    </cfRule>
    <cfRule type="cellIs" dxfId="3073" priority="643" operator="equal">
      <formula>"NA"</formula>
    </cfRule>
    <cfRule type="cellIs" dxfId="3072" priority="644" operator="equal">
      <formula>"Yes"</formula>
    </cfRule>
  </conditionalFormatting>
  <conditionalFormatting sqref="C21">
    <cfRule type="cellIs" dxfId="3071" priority="596" operator="equal">
      <formula>"No"</formula>
    </cfRule>
    <cfRule type="cellIs" dxfId="3070" priority="597" operator="equal">
      <formula>"NA"</formula>
    </cfRule>
    <cfRule type="cellIs" dxfId="3069" priority="598" operator="equal">
      <formula>"Yes"</formula>
    </cfRule>
  </conditionalFormatting>
  <conditionalFormatting sqref="C22">
    <cfRule type="cellIs" dxfId="3068" priority="550" operator="equal">
      <formula>"No"</formula>
    </cfRule>
    <cfRule type="cellIs" dxfId="3067" priority="551" operator="equal">
      <formula>"NA"</formula>
    </cfRule>
    <cfRule type="cellIs" dxfId="3066" priority="552" operator="equal">
      <formula>"Yes"</formula>
    </cfRule>
  </conditionalFormatting>
  <conditionalFormatting sqref="C24">
    <cfRule type="cellIs" dxfId="3065" priority="504" operator="equal">
      <formula>"No"</formula>
    </cfRule>
    <cfRule type="cellIs" dxfId="3064" priority="505" operator="equal">
      <formula>"NA"</formula>
    </cfRule>
    <cfRule type="cellIs" dxfId="3063" priority="506" operator="equal">
      <formula>"Yes"</formula>
    </cfRule>
  </conditionalFormatting>
  <conditionalFormatting sqref="C25">
    <cfRule type="cellIs" dxfId="3062" priority="458" operator="equal">
      <formula>"No"</formula>
    </cfRule>
    <cfRule type="cellIs" dxfId="3061" priority="459" operator="equal">
      <formula>"NA"</formula>
    </cfRule>
    <cfRule type="cellIs" dxfId="3060" priority="460" operator="equal">
      <formula>"Yes"</formula>
    </cfRule>
  </conditionalFormatting>
  <conditionalFormatting sqref="C26">
    <cfRule type="cellIs" dxfId="3059" priority="412" operator="equal">
      <formula>"No"</formula>
    </cfRule>
    <cfRule type="cellIs" dxfId="3058" priority="413" operator="equal">
      <formula>"NA"</formula>
    </cfRule>
    <cfRule type="cellIs" dxfId="3057" priority="414" operator="equal">
      <formula>"Yes"</formula>
    </cfRule>
  </conditionalFormatting>
  <conditionalFormatting sqref="C27">
    <cfRule type="cellIs" dxfId="3056" priority="366" operator="equal">
      <formula>"No"</formula>
    </cfRule>
    <cfRule type="cellIs" dxfId="3055" priority="367" operator="equal">
      <formula>"NA"</formula>
    </cfRule>
    <cfRule type="cellIs" dxfId="3054" priority="368" operator="equal">
      <formula>"Yes"</formula>
    </cfRule>
  </conditionalFormatting>
  <conditionalFormatting sqref="C29">
    <cfRule type="cellIs" dxfId="3053" priority="320" operator="equal">
      <formula>"No"</formula>
    </cfRule>
    <cfRule type="cellIs" dxfId="3052" priority="321" operator="equal">
      <formula>"NA"</formula>
    </cfRule>
    <cfRule type="cellIs" dxfId="3051" priority="322" operator="equal">
      <formula>"Yes"</formula>
    </cfRule>
  </conditionalFormatting>
  <conditionalFormatting sqref="C30">
    <cfRule type="cellIs" dxfId="3050" priority="274" operator="equal">
      <formula>"No"</formula>
    </cfRule>
    <cfRule type="cellIs" dxfId="3049" priority="275" operator="equal">
      <formula>"NA"</formula>
    </cfRule>
    <cfRule type="cellIs" dxfId="3048" priority="276" operator="equal">
      <formula>"Yes"</formula>
    </cfRule>
  </conditionalFormatting>
  <conditionalFormatting sqref="C31">
    <cfRule type="cellIs" dxfId="3047" priority="228" operator="equal">
      <formula>"No"</formula>
    </cfRule>
    <cfRule type="cellIs" dxfId="3046" priority="229" operator="equal">
      <formula>"NA"</formula>
    </cfRule>
    <cfRule type="cellIs" dxfId="3045" priority="230" operator="equal">
      <formula>"Yes"</formula>
    </cfRule>
  </conditionalFormatting>
  <conditionalFormatting sqref="C32">
    <cfRule type="cellIs" dxfId="3044" priority="182" operator="equal">
      <formula>"No"</formula>
    </cfRule>
    <cfRule type="cellIs" dxfId="3043" priority="183" operator="equal">
      <formula>"NA"</formula>
    </cfRule>
    <cfRule type="cellIs" dxfId="3042" priority="184" operator="equal">
      <formula>"Yes"</formula>
    </cfRule>
  </conditionalFormatting>
  <conditionalFormatting sqref="C34">
    <cfRule type="cellIs" dxfId="3041" priority="136" operator="equal">
      <formula>"No"</formula>
    </cfRule>
    <cfRule type="cellIs" dxfId="3040" priority="137" operator="equal">
      <formula>"NA"</formula>
    </cfRule>
    <cfRule type="cellIs" dxfId="3039" priority="138" operator="equal">
      <formula>"Yes"</formula>
    </cfRule>
  </conditionalFormatting>
  <conditionalFormatting sqref="C35">
    <cfRule type="cellIs" dxfId="3038" priority="90" operator="equal">
      <formula>"No"</formula>
    </cfRule>
    <cfRule type="cellIs" dxfId="3037" priority="91" operator="equal">
      <formula>"NA"</formula>
    </cfRule>
    <cfRule type="cellIs" dxfId="3036" priority="92" operator="equal">
      <formula>"Yes"</formula>
    </cfRule>
  </conditionalFormatting>
  <conditionalFormatting sqref="C37">
    <cfRule type="cellIs" dxfId="3035" priority="44" operator="equal">
      <formula>"No"</formula>
    </cfRule>
    <cfRule type="cellIs" dxfId="3034" priority="45" operator="equal">
      <formula>"NA"</formula>
    </cfRule>
    <cfRule type="cellIs" dxfId="3033"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604</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513</v>
      </c>
      <c r="C5" s="149"/>
      <c r="D5" s="149"/>
      <c r="E5" s="215"/>
      <c r="F5" s="215"/>
    </row>
    <row r="6" spans="1:7" ht="38.25">
      <c r="A6" s="151" t="s">
        <v>514</v>
      </c>
      <c r="B6" s="160" t="s">
        <v>515</v>
      </c>
      <c r="C6" s="209"/>
      <c r="D6" s="210"/>
      <c r="E6" s="150"/>
      <c r="F6" s="150"/>
    </row>
    <row r="7" spans="1:7" ht="38.25">
      <c r="A7" s="151" t="s">
        <v>516</v>
      </c>
      <c r="B7" s="160" t="s">
        <v>517</v>
      </c>
      <c r="C7" s="209"/>
      <c r="D7" s="210"/>
      <c r="E7" s="150"/>
      <c r="F7" s="150"/>
    </row>
    <row r="8" spans="1:7" ht="89.25">
      <c r="A8" s="151" t="s">
        <v>518</v>
      </c>
      <c r="B8" s="160" t="s">
        <v>519</v>
      </c>
      <c r="C8" s="209"/>
      <c r="D8" s="210"/>
      <c r="E8" s="152" t="s">
        <v>520</v>
      </c>
      <c r="F8" s="150"/>
    </row>
    <row r="9" spans="1:7" ht="38.25">
      <c r="A9" s="151" t="s">
        <v>605</v>
      </c>
      <c r="B9" s="160" t="s">
        <v>606</v>
      </c>
      <c r="C9" s="209"/>
      <c r="D9" s="210"/>
      <c r="E9" s="150"/>
      <c r="F9" s="150"/>
    </row>
    <row r="10" spans="1:7" ht="18.75">
      <c r="A10" s="148"/>
      <c r="B10" s="157" t="s">
        <v>521</v>
      </c>
      <c r="C10" s="149"/>
      <c r="D10" s="149"/>
      <c r="E10" s="215"/>
      <c r="F10" s="215"/>
    </row>
    <row r="11" spans="1:7" ht="51">
      <c r="A11" s="151" t="s">
        <v>522</v>
      </c>
      <c r="B11" s="160" t="s">
        <v>523</v>
      </c>
      <c r="C11" s="209"/>
      <c r="D11" s="210"/>
      <c r="E11" s="150"/>
      <c r="F11" s="150"/>
    </row>
    <row r="12" spans="1:7" ht="51">
      <c r="A12" s="151" t="s">
        <v>524</v>
      </c>
      <c r="B12" s="160" t="s">
        <v>525</v>
      </c>
      <c r="C12" s="209"/>
      <c r="D12" s="210"/>
      <c r="E12" s="152" t="s">
        <v>526</v>
      </c>
      <c r="F12" s="150"/>
    </row>
    <row r="13" spans="1:7" ht="38.25">
      <c r="A13" s="151" t="s">
        <v>527</v>
      </c>
      <c r="B13" s="160" t="s">
        <v>528</v>
      </c>
      <c r="C13" s="209"/>
      <c r="D13" s="210"/>
      <c r="E13" s="150"/>
      <c r="F13" s="150"/>
    </row>
    <row r="14" spans="1:7" ht="38.25">
      <c r="A14" s="151" t="s">
        <v>529</v>
      </c>
      <c r="B14" s="160" t="s">
        <v>530</v>
      </c>
      <c r="C14" s="209"/>
      <c r="D14" s="210"/>
      <c r="E14" s="150" t="s">
        <v>531</v>
      </c>
      <c r="F14" s="150"/>
    </row>
    <row r="15" spans="1:7" ht="25.5">
      <c r="A15" s="151" t="s">
        <v>532</v>
      </c>
      <c r="B15" s="160" t="s">
        <v>533</v>
      </c>
      <c r="C15" s="209"/>
      <c r="D15" s="210"/>
      <c r="E15" s="150"/>
      <c r="F15" s="150"/>
    </row>
    <row r="16" spans="1:7" ht="63.75">
      <c r="A16" s="151" t="s">
        <v>534</v>
      </c>
      <c r="B16" s="160" t="s">
        <v>535</v>
      </c>
      <c r="C16" s="209"/>
      <c r="D16" s="210"/>
      <c r="E16" s="150"/>
      <c r="F16" s="150"/>
    </row>
    <row r="17" spans="1:6" ht="38.25">
      <c r="A17" s="151" t="s">
        <v>536</v>
      </c>
      <c r="B17" s="160" t="s">
        <v>537</v>
      </c>
      <c r="C17" s="209"/>
      <c r="D17" s="210"/>
      <c r="E17" s="150"/>
      <c r="F17" s="150"/>
    </row>
    <row r="18" spans="1:6" ht="38.25">
      <c r="A18" s="151" t="s">
        <v>538</v>
      </c>
      <c r="B18" s="160" t="s">
        <v>539</v>
      </c>
      <c r="C18" s="209"/>
      <c r="D18" s="210"/>
      <c r="E18" s="150"/>
      <c r="F18" s="150"/>
    </row>
    <row r="19" spans="1:6" ht="25.5">
      <c r="A19" s="151" t="s">
        <v>540</v>
      </c>
      <c r="B19" s="160" t="s">
        <v>541</v>
      </c>
      <c r="C19" s="209"/>
      <c r="D19" s="210"/>
      <c r="E19" s="150"/>
      <c r="F19" s="150"/>
    </row>
    <row r="20" spans="1:6" ht="25.5">
      <c r="A20" s="151" t="s">
        <v>542</v>
      </c>
      <c r="B20" s="160" t="s">
        <v>543</v>
      </c>
      <c r="C20" s="209"/>
      <c r="D20" s="210"/>
      <c r="E20" s="150"/>
      <c r="F20" s="150"/>
    </row>
    <row r="21" spans="1:6" ht="18.75">
      <c r="A21" s="148"/>
      <c r="B21" s="157" t="s">
        <v>552</v>
      </c>
      <c r="C21" s="149"/>
      <c r="D21" s="149"/>
      <c r="E21" s="215"/>
      <c r="F21" s="215"/>
    </row>
    <row r="22" spans="1:6" ht="76.5">
      <c r="A22" s="151" t="s">
        <v>553</v>
      </c>
      <c r="B22" s="160" t="s">
        <v>554</v>
      </c>
      <c r="C22" s="209"/>
      <c r="D22" s="210"/>
      <c r="E22" s="150"/>
      <c r="F22" s="150"/>
    </row>
    <row r="23" spans="1:6" ht="18.75">
      <c r="A23" s="148"/>
      <c r="B23" s="157" t="s">
        <v>562</v>
      </c>
      <c r="C23" s="149"/>
      <c r="D23" s="149"/>
      <c r="E23" s="215"/>
      <c r="F23" s="215"/>
    </row>
    <row r="24" spans="1:6" ht="38.25">
      <c r="A24" s="151" t="s">
        <v>565</v>
      </c>
      <c r="B24" s="160" t="s">
        <v>566</v>
      </c>
      <c r="C24" s="209"/>
      <c r="D24" s="210"/>
      <c r="E24" s="150"/>
      <c r="F24" s="150"/>
    </row>
    <row r="25" spans="1:6" ht="18.75">
      <c r="A25" s="148"/>
      <c r="B25" s="157" t="s">
        <v>567</v>
      </c>
      <c r="C25" s="149"/>
      <c r="D25" s="149"/>
      <c r="E25" s="215"/>
      <c r="F25" s="215"/>
    </row>
    <row r="26" spans="1:6" ht="38.25">
      <c r="A26" s="151" t="s">
        <v>568</v>
      </c>
      <c r="B26" s="160" t="s">
        <v>569</v>
      </c>
      <c r="C26" s="209"/>
      <c r="D26" s="210"/>
      <c r="E26" s="150"/>
      <c r="F26" s="150"/>
    </row>
    <row r="27" spans="1:6" ht="18.75">
      <c r="A27" s="148"/>
      <c r="B27" s="157" t="s">
        <v>570</v>
      </c>
      <c r="C27" s="149"/>
      <c r="D27" s="149"/>
      <c r="E27" s="215"/>
      <c r="F27" s="215"/>
    </row>
    <row r="28" spans="1:6" ht="38.25">
      <c r="A28" s="151" t="s">
        <v>571</v>
      </c>
      <c r="B28" s="160" t="s">
        <v>572</v>
      </c>
      <c r="C28" s="209"/>
      <c r="D28" s="210"/>
      <c r="E28" s="150"/>
      <c r="F28" s="150"/>
    </row>
    <row r="29" spans="1:6" ht="25.5">
      <c r="A29" s="151" t="s">
        <v>573</v>
      </c>
      <c r="B29" s="160" t="s">
        <v>574</v>
      </c>
      <c r="C29" s="209"/>
      <c r="D29" s="210"/>
      <c r="E29" s="150"/>
      <c r="F29" s="150"/>
    </row>
    <row r="30" spans="1:6" ht="38.25">
      <c r="A30" s="151" t="s">
        <v>575</v>
      </c>
      <c r="B30" s="160" t="s">
        <v>576</v>
      </c>
      <c r="C30" s="209"/>
      <c r="D30" s="210"/>
      <c r="E30" s="150"/>
      <c r="F30" s="150"/>
    </row>
    <row r="31" spans="1:6" ht="38.25">
      <c r="A31" s="151" t="s">
        <v>577</v>
      </c>
      <c r="B31" s="160" t="s">
        <v>578</v>
      </c>
      <c r="C31" s="209"/>
      <c r="D31" s="210"/>
      <c r="E31" s="150"/>
      <c r="F31" s="150"/>
    </row>
    <row r="32" spans="1:6" ht="18.75">
      <c r="A32" s="148"/>
      <c r="B32" s="157" t="s">
        <v>579</v>
      </c>
      <c r="C32" s="149"/>
      <c r="D32" s="149"/>
      <c r="E32" s="215"/>
      <c r="F32" s="215"/>
    </row>
    <row r="33" spans="1:6" ht="38.25">
      <c r="A33" s="151" t="s">
        <v>580</v>
      </c>
      <c r="B33" s="160" t="s">
        <v>581</v>
      </c>
      <c r="C33" s="209"/>
      <c r="D33" s="210"/>
      <c r="E33" s="150"/>
      <c r="F33" s="150"/>
    </row>
    <row r="34" spans="1:6" ht="38.25">
      <c r="A34" s="151" t="s">
        <v>582</v>
      </c>
      <c r="B34" s="160" t="s">
        <v>583</v>
      </c>
      <c r="C34" s="209"/>
      <c r="D34" s="210"/>
      <c r="E34" s="150"/>
      <c r="F34" s="150"/>
    </row>
    <row r="35" spans="1:6" ht="18.75">
      <c r="A35" s="148"/>
      <c r="B35" s="157" t="s">
        <v>584</v>
      </c>
      <c r="C35" s="149"/>
      <c r="D35" s="149"/>
      <c r="E35" s="215"/>
      <c r="F35" s="215"/>
    </row>
    <row r="36" spans="1:6" ht="51">
      <c r="A36" s="151" t="s">
        <v>585</v>
      </c>
      <c r="B36" s="160" t="s">
        <v>586</v>
      </c>
      <c r="C36" s="209"/>
      <c r="D36" s="210"/>
      <c r="E36" s="150"/>
      <c r="F36" s="150"/>
    </row>
    <row r="37" spans="1:6" ht="18">
      <c r="A37" s="211"/>
      <c r="B37" s="212" t="s">
        <v>587</v>
      </c>
      <c r="C37" s="211"/>
      <c r="D37" s="211"/>
      <c r="E37" s="211"/>
      <c r="F37" s="211"/>
    </row>
    <row r="38" spans="1:6">
      <c r="A38" s="151"/>
      <c r="B38" s="160"/>
    </row>
    <row r="39" spans="1:6" ht="15">
      <c r="A39" s="213"/>
      <c r="B39" s="214" t="s">
        <v>588</v>
      </c>
      <c r="C39" s="213"/>
      <c r="D39" s="213"/>
      <c r="E39" s="213"/>
      <c r="F39" s="213"/>
    </row>
  </sheetData>
  <mergeCells count="1">
    <mergeCell ref="E2:F2"/>
  </mergeCells>
  <conditionalFormatting sqref="C6">
    <cfRule type="cellIs" dxfId="3032" priority="1102" operator="equal">
      <formula>"No"</formula>
    </cfRule>
    <cfRule type="cellIs" dxfId="3031" priority="1103" operator="equal">
      <formula>"NA"</formula>
    </cfRule>
    <cfRule type="cellIs" dxfId="3030" priority="1104" operator="equal">
      <formula>"Yes"</formula>
    </cfRule>
  </conditionalFormatting>
  <conditionalFormatting sqref="C7">
    <cfRule type="cellIs" dxfId="3029" priority="1056" operator="equal">
      <formula>"No"</formula>
    </cfRule>
    <cfRule type="cellIs" dxfId="3028" priority="1057" operator="equal">
      <formula>"NA"</formula>
    </cfRule>
    <cfRule type="cellIs" dxfId="3027" priority="1058" operator="equal">
      <formula>"Yes"</formula>
    </cfRule>
  </conditionalFormatting>
  <conditionalFormatting sqref="C8">
    <cfRule type="cellIs" dxfId="3026" priority="1010" operator="equal">
      <formula>"No"</formula>
    </cfRule>
    <cfRule type="cellIs" dxfId="3025" priority="1011" operator="equal">
      <formula>"NA"</formula>
    </cfRule>
    <cfRule type="cellIs" dxfId="3024" priority="1012" operator="equal">
      <formula>"Yes"</formula>
    </cfRule>
  </conditionalFormatting>
  <conditionalFormatting sqref="C9">
    <cfRule type="cellIs" dxfId="3023" priority="964" operator="equal">
      <formula>"No"</formula>
    </cfRule>
    <cfRule type="cellIs" dxfId="3022" priority="965" operator="equal">
      <formula>"NA"</formula>
    </cfRule>
    <cfRule type="cellIs" dxfId="3021" priority="966" operator="equal">
      <formula>"Yes"</formula>
    </cfRule>
  </conditionalFormatting>
  <conditionalFormatting sqref="C11">
    <cfRule type="cellIs" dxfId="3020" priority="918" operator="equal">
      <formula>"No"</formula>
    </cfRule>
    <cfRule type="cellIs" dxfId="3019" priority="919" operator="equal">
      <formula>"NA"</formula>
    </cfRule>
    <cfRule type="cellIs" dxfId="3018" priority="920" operator="equal">
      <formula>"Yes"</formula>
    </cfRule>
  </conditionalFormatting>
  <conditionalFormatting sqref="C12">
    <cfRule type="cellIs" dxfId="3017" priority="872" operator="equal">
      <formula>"No"</formula>
    </cfRule>
    <cfRule type="cellIs" dxfId="3016" priority="873" operator="equal">
      <formula>"NA"</formula>
    </cfRule>
    <cfRule type="cellIs" dxfId="3015" priority="874" operator="equal">
      <formula>"Yes"</formula>
    </cfRule>
  </conditionalFormatting>
  <conditionalFormatting sqref="C13">
    <cfRule type="cellIs" dxfId="3014" priority="826" operator="equal">
      <formula>"No"</formula>
    </cfRule>
    <cfRule type="cellIs" dxfId="3013" priority="827" operator="equal">
      <formula>"NA"</formula>
    </cfRule>
    <cfRule type="cellIs" dxfId="3012" priority="828" operator="equal">
      <formula>"Yes"</formula>
    </cfRule>
  </conditionalFormatting>
  <conditionalFormatting sqref="C14">
    <cfRule type="cellIs" dxfId="3011" priority="780" operator="equal">
      <formula>"No"</formula>
    </cfRule>
    <cfRule type="cellIs" dxfId="3010" priority="781" operator="equal">
      <formula>"NA"</formula>
    </cfRule>
    <cfRule type="cellIs" dxfId="3009" priority="782" operator="equal">
      <formula>"Yes"</formula>
    </cfRule>
  </conditionalFormatting>
  <conditionalFormatting sqref="C15">
    <cfRule type="cellIs" dxfId="3008" priority="734" operator="equal">
      <formula>"No"</formula>
    </cfRule>
    <cfRule type="cellIs" dxfId="3007" priority="735" operator="equal">
      <formula>"NA"</formula>
    </cfRule>
    <cfRule type="cellIs" dxfId="3006" priority="736" operator="equal">
      <formula>"Yes"</formula>
    </cfRule>
  </conditionalFormatting>
  <conditionalFormatting sqref="C16">
    <cfRule type="cellIs" dxfId="3005" priority="688" operator="equal">
      <formula>"No"</formula>
    </cfRule>
    <cfRule type="cellIs" dxfId="3004" priority="689" operator="equal">
      <formula>"NA"</formula>
    </cfRule>
    <cfRule type="cellIs" dxfId="3003" priority="690" operator="equal">
      <formula>"Yes"</formula>
    </cfRule>
  </conditionalFormatting>
  <conditionalFormatting sqref="C17">
    <cfRule type="cellIs" dxfId="3002" priority="642" operator="equal">
      <formula>"No"</formula>
    </cfRule>
    <cfRule type="cellIs" dxfId="3001" priority="643" operator="equal">
      <formula>"NA"</formula>
    </cfRule>
    <cfRule type="cellIs" dxfId="3000" priority="644" operator="equal">
      <formula>"Yes"</formula>
    </cfRule>
  </conditionalFormatting>
  <conditionalFormatting sqref="C18">
    <cfRule type="cellIs" dxfId="2999" priority="596" operator="equal">
      <formula>"No"</formula>
    </cfRule>
    <cfRule type="cellIs" dxfId="2998" priority="597" operator="equal">
      <formula>"NA"</formula>
    </cfRule>
    <cfRule type="cellIs" dxfId="2997" priority="598" operator="equal">
      <formula>"Yes"</formula>
    </cfRule>
  </conditionalFormatting>
  <conditionalFormatting sqref="C19">
    <cfRule type="cellIs" dxfId="2996" priority="550" operator="equal">
      <formula>"No"</formula>
    </cfRule>
    <cfRule type="cellIs" dxfId="2995" priority="551" operator="equal">
      <formula>"NA"</formula>
    </cfRule>
    <cfRule type="cellIs" dxfId="2994" priority="552" operator="equal">
      <formula>"Yes"</formula>
    </cfRule>
  </conditionalFormatting>
  <conditionalFormatting sqref="C20">
    <cfRule type="cellIs" dxfId="2993" priority="504" operator="equal">
      <formula>"No"</formula>
    </cfRule>
    <cfRule type="cellIs" dxfId="2992" priority="505" operator="equal">
      <formula>"NA"</formula>
    </cfRule>
    <cfRule type="cellIs" dxfId="2991" priority="506" operator="equal">
      <formula>"Yes"</formula>
    </cfRule>
  </conditionalFormatting>
  <conditionalFormatting sqref="C22">
    <cfRule type="cellIs" dxfId="2990" priority="458" operator="equal">
      <formula>"No"</formula>
    </cfRule>
    <cfRule type="cellIs" dxfId="2989" priority="459" operator="equal">
      <formula>"NA"</formula>
    </cfRule>
    <cfRule type="cellIs" dxfId="2988" priority="460" operator="equal">
      <formula>"Yes"</formula>
    </cfRule>
  </conditionalFormatting>
  <conditionalFormatting sqref="C24">
    <cfRule type="cellIs" dxfId="2987" priority="412" operator="equal">
      <formula>"No"</formula>
    </cfRule>
    <cfRule type="cellIs" dxfId="2986" priority="413" operator="equal">
      <formula>"NA"</formula>
    </cfRule>
    <cfRule type="cellIs" dxfId="2985" priority="414" operator="equal">
      <formula>"Yes"</formula>
    </cfRule>
  </conditionalFormatting>
  <conditionalFormatting sqref="C26">
    <cfRule type="cellIs" dxfId="2984" priority="366" operator="equal">
      <formula>"No"</formula>
    </cfRule>
    <cfRule type="cellIs" dxfId="2983" priority="367" operator="equal">
      <formula>"NA"</formula>
    </cfRule>
    <cfRule type="cellIs" dxfId="2982" priority="368" operator="equal">
      <formula>"Yes"</formula>
    </cfRule>
  </conditionalFormatting>
  <conditionalFormatting sqref="C28">
    <cfRule type="cellIs" dxfId="2981" priority="320" operator="equal">
      <formula>"No"</formula>
    </cfRule>
    <cfRule type="cellIs" dxfId="2980" priority="321" operator="equal">
      <formula>"NA"</formula>
    </cfRule>
    <cfRule type="cellIs" dxfId="2979" priority="322" operator="equal">
      <formula>"Yes"</formula>
    </cfRule>
  </conditionalFormatting>
  <conditionalFormatting sqref="C29">
    <cfRule type="cellIs" dxfId="2978" priority="274" operator="equal">
      <formula>"No"</formula>
    </cfRule>
    <cfRule type="cellIs" dxfId="2977" priority="275" operator="equal">
      <formula>"NA"</formula>
    </cfRule>
    <cfRule type="cellIs" dxfId="2976" priority="276" operator="equal">
      <formula>"Yes"</formula>
    </cfRule>
  </conditionalFormatting>
  <conditionalFormatting sqref="C30">
    <cfRule type="cellIs" dxfId="2975" priority="228" operator="equal">
      <formula>"No"</formula>
    </cfRule>
    <cfRule type="cellIs" dxfId="2974" priority="229" operator="equal">
      <formula>"NA"</formula>
    </cfRule>
    <cfRule type="cellIs" dxfId="2973" priority="230" operator="equal">
      <formula>"Yes"</formula>
    </cfRule>
  </conditionalFormatting>
  <conditionalFormatting sqref="C31">
    <cfRule type="cellIs" dxfId="2972" priority="182" operator="equal">
      <formula>"No"</formula>
    </cfRule>
    <cfRule type="cellIs" dxfId="2971" priority="183" operator="equal">
      <formula>"NA"</formula>
    </cfRule>
    <cfRule type="cellIs" dxfId="2970" priority="184" operator="equal">
      <formula>"Yes"</formula>
    </cfRule>
  </conditionalFormatting>
  <conditionalFormatting sqref="C33">
    <cfRule type="cellIs" dxfId="2969" priority="136" operator="equal">
      <formula>"No"</formula>
    </cfRule>
    <cfRule type="cellIs" dxfId="2968" priority="137" operator="equal">
      <formula>"NA"</formula>
    </cfRule>
    <cfRule type="cellIs" dxfId="2967" priority="138" operator="equal">
      <formula>"Yes"</formula>
    </cfRule>
  </conditionalFormatting>
  <conditionalFormatting sqref="C34">
    <cfRule type="cellIs" dxfId="2966" priority="90" operator="equal">
      <formula>"No"</formula>
    </cfRule>
    <cfRule type="cellIs" dxfId="2965" priority="91" operator="equal">
      <formula>"NA"</formula>
    </cfRule>
    <cfRule type="cellIs" dxfId="2964" priority="92" operator="equal">
      <formula>"Yes"</formula>
    </cfRule>
  </conditionalFormatting>
  <conditionalFormatting sqref="C36">
    <cfRule type="cellIs" dxfId="2963" priority="44" operator="equal">
      <formula>"No"</formula>
    </cfRule>
    <cfRule type="cellIs" dxfId="2962" priority="45" operator="equal">
      <formula>"NA"</formula>
    </cfRule>
    <cfRule type="cellIs" dxfId="2961"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607</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521</v>
      </c>
      <c r="C5" s="149"/>
      <c r="D5" s="149"/>
      <c r="E5" s="215"/>
      <c r="F5" s="215"/>
    </row>
    <row r="6" spans="1:7" ht="51">
      <c r="A6" s="151" t="s">
        <v>522</v>
      </c>
      <c r="B6" s="160" t="s">
        <v>523</v>
      </c>
      <c r="C6" s="209"/>
      <c r="D6" s="210"/>
      <c r="E6" s="150"/>
      <c r="F6" s="150"/>
    </row>
    <row r="7" spans="1:7" ht="51">
      <c r="A7" s="151" t="s">
        <v>524</v>
      </c>
      <c r="B7" s="160" t="s">
        <v>525</v>
      </c>
      <c r="C7" s="209"/>
      <c r="D7" s="210"/>
      <c r="E7" s="152" t="s">
        <v>526</v>
      </c>
      <c r="F7" s="150"/>
    </row>
    <row r="8" spans="1:7" ht="38.25">
      <c r="A8" s="151" t="s">
        <v>529</v>
      </c>
      <c r="B8" s="160" t="s">
        <v>530</v>
      </c>
      <c r="C8" s="209"/>
      <c r="D8" s="210"/>
      <c r="E8" s="150" t="s">
        <v>531</v>
      </c>
      <c r="F8" s="150"/>
    </row>
    <row r="9" spans="1:7" ht="25.5">
      <c r="A9" s="151" t="s">
        <v>532</v>
      </c>
      <c r="B9" s="160" t="s">
        <v>533</v>
      </c>
      <c r="C9" s="209"/>
      <c r="D9" s="210"/>
      <c r="E9" s="150"/>
      <c r="F9" s="150"/>
    </row>
    <row r="10" spans="1:7" ht="38.25">
      <c r="A10" s="151" t="s">
        <v>536</v>
      </c>
      <c r="B10" s="160" t="s">
        <v>537</v>
      </c>
      <c r="C10" s="209"/>
      <c r="D10" s="210"/>
      <c r="E10" s="150"/>
      <c r="F10" s="150"/>
    </row>
    <row r="11" spans="1:7" ht="38.25">
      <c r="A11" s="151" t="s">
        <v>538</v>
      </c>
      <c r="B11" s="160" t="s">
        <v>539</v>
      </c>
      <c r="C11" s="209"/>
      <c r="D11" s="210"/>
      <c r="E11" s="150"/>
      <c r="F11" s="150"/>
    </row>
    <row r="12" spans="1:7" ht="18.75">
      <c r="A12" s="148"/>
      <c r="B12" s="157" t="s">
        <v>513</v>
      </c>
      <c r="C12" s="149"/>
      <c r="D12" s="149"/>
      <c r="E12" s="215"/>
      <c r="F12" s="215"/>
    </row>
    <row r="13" spans="1:7" ht="38.25">
      <c r="A13" s="151" t="s">
        <v>516</v>
      </c>
      <c r="B13" s="160" t="s">
        <v>517</v>
      </c>
      <c r="C13" s="209"/>
      <c r="D13" s="210"/>
      <c r="E13" s="150"/>
      <c r="F13" s="150"/>
    </row>
    <row r="14" spans="1:7" ht="25.5">
      <c r="A14" s="151" t="s">
        <v>608</v>
      </c>
      <c r="B14" s="160" t="s">
        <v>609</v>
      </c>
      <c r="C14" s="209"/>
      <c r="D14" s="210"/>
      <c r="E14" s="150"/>
      <c r="F14" s="150"/>
    </row>
    <row r="15" spans="1:7" ht="38.25">
      <c r="A15" s="151" t="s">
        <v>610</v>
      </c>
      <c r="B15" s="160" t="s">
        <v>611</v>
      </c>
      <c r="C15" s="209"/>
      <c r="D15" s="210"/>
      <c r="E15" s="150"/>
      <c r="F15" s="150"/>
    </row>
    <row r="16" spans="1:7" ht="25.5">
      <c r="A16" s="151" t="s">
        <v>612</v>
      </c>
      <c r="B16" s="160" t="s">
        <v>613</v>
      </c>
      <c r="C16" s="209"/>
      <c r="D16" s="210"/>
      <c r="E16" s="150"/>
      <c r="F16" s="150"/>
    </row>
    <row r="17" spans="1:6" ht="25.5">
      <c r="A17" s="151" t="s">
        <v>614</v>
      </c>
      <c r="B17" s="160" t="s">
        <v>615</v>
      </c>
      <c r="C17" s="209"/>
      <c r="D17" s="210"/>
      <c r="E17" s="150"/>
      <c r="F17" s="150"/>
    </row>
    <row r="18" spans="1:6" ht="25.5">
      <c r="A18" s="151" t="s">
        <v>616</v>
      </c>
      <c r="B18" s="160" t="s">
        <v>617</v>
      </c>
      <c r="C18" s="209"/>
      <c r="D18" s="210"/>
      <c r="E18" s="150"/>
      <c r="F18" s="150"/>
    </row>
    <row r="19" spans="1:6" ht="25.5">
      <c r="A19" s="151" t="s">
        <v>618</v>
      </c>
      <c r="B19" s="160" t="s">
        <v>619</v>
      </c>
      <c r="C19" s="209"/>
      <c r="D19" s="210"/>
      <c r="E19" s="150"/>
      <c r="F19" s="150"/>
    </row>
    <row r="20" spans="1:6" ht="38.25">
      <c r="A20" s="151" t="s">
        <v>620</v>
      </c>
      <c r="B20" s="160" t="s">
        <v>621</v>
      </c>
      <c r="C20" s="209"/>
      <c r="D20" s="210"/>
      <c r="E20" s="150"/>
      <c r="F20" s="150"/>
    </row>
    <row r="21" spans="1:6" ht="38.25">
      <c r="A21" s="151" t="s">
        <v>622</v>
      </c>
      <c r="B21" s="160" t="s">
        <v>623</v>
      </c>
      <c r="C21" s="209"/>
      <c r="D21" s="210"/>
      <c r="E21" s="150"/>
      <c r="F21" s="150"/>
    </row>
    <row r="22" spans="1:6" ht="18.75">
      <c r="A22" s="148"/>
      <c r="B22" s="157" t="s">
        <v>570</v>
      </c>
      <c r="C22" s="149"/>
      <c r="D22" s="149"/>
      <c r="E22" s="215"/>
      <c r="F22" s="215"/>
    </row>
    <row r="23" spans="1:6" ht="38.25">
      <c r="A23" s="151" t="s">
        <v>571</v>
      </c>
      <c r="B23" s="160" t="s">
        <v>572</v>
      </c>
      <c r="C23" s="209"/>
      <c r="D23" s="210"/>
      <c r="E23" s="150"/>
      <c r="F23" s="150"/>
    </row>
    <row r="24" spans="1:6" ht="25.5">
      <c r="A24" s="151" t="s">
        <v>573</v>
      </c>
      <c r="B24" s="160" t="s">
        <v>574</v>
      </c>
      <c r="C24" s="209"/>
      <c r="D24" s="210"/>
      <c r="E24" s="150"/>
      <c r="F24" s="150"/>
    </row>
    <row r="25" spans="1:6" ht="38.25">
      <c r="A25" s="151" t="s">
        <v>575</v>
      </c>
      <c r="B25" s="160" t="s">
        <v>576</v>
      </c>
      <c r="C25" s="209"/>
      <c r="D25" s="210"/>
      <c r="E25" s="150"/>
      <c r="F25" s="150"/>
    </row>
    <row r="26" spans="1:6" ht="38.25">
      <c r="A26" s="151" t="s">
        <v>577</v>
      </c>
      <c r="B26" s="160" t="s">
        <v>578</v>
      </c>
      <c r="C26" s="209"/>
      <c r="D26" s="210"/>
      <c r="E26" s="150"/>
      <c r="F26" s="150"/>
    </row>
    <row r="27" spans="1:6" ht="18.75">
      <c r="A27" s="148"/>
      <c r="B27" s="157" t="s">
        <v>579</v>
      </c>
      <c r="C27" s="149"/>
      <c r="D27" s="149"/>
      <c r="E27" s="215"/>
      <c r="F27" s="215"/>
    </row>
    <row r="28" spans="1:6" ht="38.25">
      <c r="A28" s="151" t="s">
        <v>580</v>
      </c>
      <c r="B28" s="160" t="s">
        <v>581</v>
      </c>
      <c r="C28" s="209"/>
      <c r="D28" s="210"/>
      <c r="E28" s="150"/>
      <c r="F28" s="150"/>
    </row>
    <row r="29" spans="1:6" ht="38.25">
      <c r="A29" s="151" t="s">
        <v>582</v>
      </c>
      <c r="B29" s="160" t="s">
        <v>583</v>
      </c>
      <c r="C29" s="209"/>
      <c r="D29" s="210"/>
      <c r="E29" s="150"/>
      <c r="F29" s="150"/>
    </row>
    <row r="30" spans="1:6" ht="18.75">
      <c r="A30" s="148"/>
      <c r="B30" s="157" t="s">
        <v>584</v>
      </c>
      <c r="C30" s="149"/>
      <c r="D30" s="149"/>
      <c r="E30" s="215"/>
      <c r="F30" s="215"/>
    </row>
    <row r="31" spans="1:6" ht="51">
      <c r="A31" s="151" t="s">
        <v>585</v>
      </c>
      <c r="B31" s="160" t="s">
        <v>586</v>
      </c>
      <c r="C31" s="209"/>
      <c r="D31" s="210"/>
      <c r="E31" s="150"/>
      <c r="F31" s="150"/>
    </row>
    <row r="32" spans="1:6" ht="18">
      <c r="A32" s="211"/>
      <c r="B32" s="212" t="s">
        <v>587</v>
      </c>
      <c r="C32" s="211"/>
      <c r="D32" s="211"/>
      <c r="E32" s="211"/>
      <c r="F32" s="211"/>
    </row>
    <row r="33" spans="1:6">
      <c r="A33" s="151"/>
      <c r="B33" s="160"/>
    </row>
    <row r="34" spans="1:6" ht="15">
      <c r="A34" s="213"/>
      <c r="B34" s="214" t="s">
        <v>588</v>
      </c>
      <c r="C34" s="213"/>
      <c r="D34" s="213"/>
      <c r="E34" s="213"/>
      <c r="F34" s="213"/>
    </row>
  </sheetData>
  <mergeCells count="1">
    <mergeCell ref="E2:F2"/>
  </mergeCells>
  <conditionalFormatting sqref="C6">
    <cfRule type="cellIs" dxfId="2960" priority="1010" operator="equal">
      <formula>"No"</formula>
    </cfRule>
    <cfRule type="cellIs" dxfId="2959" priority="1011" operator="equal">
      <formula>"NA"</formula>
    </cfRule>
    <cfRule type="cellIs" dxfId="2958" priority="1012" operator="equal">
      <formula>"Yes"</formula>
    </cfRule>
  </conditionalFormatting>
  <conditionalFormatting sqref="C7">
    <cfRule type="cellIs" dxfId="2957" priority="964" operator="equal">
      <formula>"No"</formula>
    </cfRule>
    <cfRule type="cellIs" dxfId="2956" priority="965" operator="equal">
      <formula>"NA"</formula>
    </cfRule>
    <cfRule type="cellIs" dxfId="2955" priority="966" operator="equal">
      <formula>"Yes"</formula>
    </cfRule>
  </conditionalFormatting>
  <conditionalFormatting sqref="C8">
    <cfRule type="cellIs" dxfId="2954" priority="918" operator="equal">
      <formula>"No"</formula>
    </cfRule>
    <cfRule type="cellIs" dxfId="2953" priority="919" operator="equal">
      <formula>"NA"</formula>
    </cfRule>
    <cfRule type="cellIs" dxfId="2952" priority="920" operator="equal">
      <formula>"Yes"</formula>
    </cfRule>
  </conditionalFormatting>
  <conditionalFormatting sqref="C9">
    <cfRule type="cellIs" dxfId="2951" priority="872" operator="equal">
      <formula>"No"</formula>
    </cfRule>
    <cfRule type="cellIs" dxfId="2950" priority="873" operator="equal">
      <formula>"NA"</formula>
    </cfRule>
    <cfRule type="cellIs" dxfId="2949" priority="874" operator="equal">
      <formula>"Yes"</formula>
    </cfRule>
  </conditionalFormatting>
  <conditionalFormatting sqref="C10">
    <cfRule type="cellIs" dxfId="2948" priority="826" operator="equal">
      <formula>"No"</formula>
    </cfRule>
    <cfRule type="cellIs" dxfId="2947" priority="827" operator="equal">
      <formula>"NA"</formula>
    </cfRule>
    <cfRule type="cellIs" dxfId="2946" priority="828" operator="equal">
      <formula>"Yes"</formula>
    </cfRule>
  </conditionalFormatting>
  <conditionalFormatting sqref="C11">
    <cfRule type="cellIs" dxfId="2945" priority="780" operator="equal">
      <formula>"No"</formula>
    </cfRule>
    <cfRule type="cellIs" dxfId="2944" priority="781" operator="equal">
      <formula>"NA"</formula>
    </cfRule>
    <cfRule type="cellIs" dxfId="2943" priority="782" operator="equal">
      <formula>"Yes"</formula>
    </cfRule>
  </conditionalFormatting>
  <conditionalFormatting sqref="C13">
    <cfRule type="cellIs" dxfId="2942" priority="734" operator="equal">
      <formula>"No"</formula>
    </cfRule>
    <cfRule type="cellIs" dxfId="2941" priority="735" operator="equal">
      <formula>"NA"</formula>
    </cfRule>
    <cfRule type="cellIs" dxfId="2940" priority="736" operator="equal">
      <formula>"Yes"</formula>
    </cfRule>
  </conditionalFormatting>
  <conditionalFormatting sqref="C14">
    <cfRule type="cellIs" dxfId="2939" priority="688" operator="equal">
      <formula>"No"</formula>
    </cfRule>
    <cfRule type="cellIs" dxfId="2938" priority="689" operator="equal">
      <formula>"NA"</formula>
    </cfRule>
    <cfRule type="cellIs" dxfId="2937" priority="690" operator="equal">
      <formula>"Yes"</formula>
    </cfRule>
  </conditionalFormatting>
  <conditionalFormatting sqref="C15">
    <cfRule type="cellIs" dxfId="2936" priority="642" operator="equal">
      <formula>"No"</formula>
    </cfRule>
    <cfRule type="cellIs" dxfId="2935" priority="643" operator="equal">
      <formula>"NA"</formula>
    </cfRule>
    <cfRule type="cellIs" dxfId="2934" priority="644" operator="equal">
      <formula>"Yes"</formula>
    </cfRule>
  </conditionalFormatting>
  <conditionalFormatting sqref="C16">
    <cfRule type="cellIs" dxfId="2933" priority="596" operator="equal">
      <formula>"No"</formula>
    </cfRule>
    <cfRule type="cellIs" dxfId="2932" priority="597" operator="equal">
      <formula>"NA"</formula>
    </cfRule>
    <cfRule type="cellIs" dxfId="2931" priority="598" operator="equal">
      <formula>"Yes"</formula>
    </cfRule>
  </conditionalFormatting>
  <conditionalFormatting sqref="C17">
    <cfRule type="cellIs" dxfId="2930" priority="550" operator="equal">
      <formula>"No"</formula>
    </cfRule>
    <cfRule type="cellIs" dxfId="2929" priority="551" operator="equal">
      <formula>"NA"</formula>
    </cfRule>
    <cfRule type="cellIs" dxfId="2928" priority="552" operator="equal">
      <formula>"Yes"</formula>
    </cfRule>
  </conditionalFormatting>
  <conditionalFormatting sqref="C18">
    <cfRule type="cellIs" dxfId="2927" priority="504" operator="equal">
      <formula>"No"</formula>
    </cfRule>
    <cfRule type="cellIs" dxfId="2926" priority="505" operator="equal">
      <formula>"NA"</formula>
    </cfRule>
    <cfRule type="cellIs" dxfId="2925" priority="506" operator="equal">
      <formula>"Yes"</formula>
    </cfRule>
  </conditionalFormatting>
  <conditionalFormatting sqref="C19">
    <cfRule type="cellIs" dxfId="2924" priority="458" operator="equal">
      <formula>"No"</formula>
    </cfRule>
    <cfRule type="cellIs" dxfId="2923" priority="459" operator="equal">
      <formula>"NA"</formula>
    </cfRule>
    <cfRule type="cellIs" dxfId="2922" priority="460" operator="equal">
      <formula>"Yes"</formula>
    </cfRule>
  </conditionalFormatting>
  <conditionalFormatting sqref="C20">
    <cfRule type="cellIs" dxfId="2921" priority="412" operator="equal">
      <formula>"No"</formula>
    </cfRule>
    <cfRule type="cellIs" dxfId="2920" priority="413" operator="equal">
      <formula>"NA"</formula>
    </cfRule>
    <cfRule type="cellIs" dxfId="2919" priority="414" operator="equal">
      <formula>"Yes"</formula>
    </cfRule>
  </conditionalFormatting>
  <conditionalFormatting sqref="C21">
    <cfRule type="cellIs" dxfId="2918" priority="366" operator="equal">
      <formula>"No"</formula>
    </cfRule>
    <cfRule type="cellIs" dxfId="2917" priority="367" operator="equal">
      <formula>"NA"</formula>
    </cfRule>
    <cfRule type="cellIs" dxfId="2916" priority="368" operator="equal">
      <formula>"Yes"</formula>
    </cfRule>
  </conditionalFormatting>
  <conditionalFormatting sqref="C23">
    <cfRule type="cellIs" dxfId="2915" priority="320" operator="equal">
      <formula>"No"</formula>
    </cfRule>
    <cfRule type="cellIs" dxfId="2914" priority="321" operator="equal">
      <formula>"NA"</formula>
    </cfRule>
    <cfRule type="cellIs" dxfId="2913" priority="322" operator="equal">
      <formula>"Yes"</formula>
    </cfRule>
  </conditionalFormatting>
  <conditionalFormatting sqref="C24">
    <cfRule type="cellIs" dxfId="2912" priority="274" operator="equal">
      <formula>"No"</formula>
    </cfRule>
    <cfRule type="cellIs" dxfId="2911" priority="275" operator="equal">
      <formula>"NA"</formula>
    </cfRule>
    <cfRule type="cellIs" dxfId="2910" priority="276" operator="equal">
      <formula>"Yes"</formula>
    </cfRule>
  </conditionalFormatting>
  <conditionalFormatting sqref="C25">
    <cfRule type="cellIs" dxfId="2909" priority="228" operator="equal">
      <formula>"No"</formula>
    </cfRule>
    <cfRule type="cellIs" dxfId="2908" priority="229" operator="equal">
      <formula>"NA"</formula>
    </cfRule>
    <cfRule type="cellIs" dxfId="2907" priority="230" operator="equal">
      <formula>"Yes"</formula>
    </cfRule>
  </conditionalFormatting>
  <conditionalFormatting sqref="C26">
    <cfRule type="cellIs" dxfId="2906" priority="182" operator="equal">
      <formula>"No"</formula>
    </cfRule>
    <cfRule type="cellIs" dxfId="2905" priority="183" operator="equal">
      <formula>"NA"</formula>
    </cfRule>
    <cfRule type="cellIs" dxfId="2904" priority="184" operator="equal">
      <formula>"Yes"</formula>
    </cfRule>
  </conditionalFormatting>
  <conditionalFormatting sqref="C28">
    <cfRule type="cellIs" dxfId="2903" priority="136" operator="equal">
      <formula>"No"</formula>
    </cfRule>
    <cfRule type="cellIs" dxfId="2902" priority="137" operator="equal">
      <formula>"NA"</formula>
    </cfRule>
    <cfRule type="cellIs" dxfId="2901" priority="138" operator="equal">
      <formula>"Yes"</formula>
    </cfRule>
  </conditionalFormatting>
  <conditionalFormatting sqref="C29">
    <cfRule type="cellIs" dxfId="2900" priority="90" operator="equal">
      <formula>"No"</formula>
    </cfRule>
    <cfRule type="cellIs" dxfId="2899" priority="91" operator="equal">
      <formula>"NA"</formula>
    </cfRule>
    <cfRule type="cellIs" dxfId="2898" priority="92" operator="equal">
      <formula>"Yes"</formula>
    </cfRule>
  </conditionalFormatting>
  <conditionalFormatting sqref="C31">
    <cfRule type="cellIs" dxfId="2897" priority="44" operator="equal">
      <formula>"No"</formula>
    </cfRule>
    <cfRule type="cellIs" dxfId="2896" priority="45" operator="equal">
      <formula>"NA"</formula>
    </cfRule>
    <cfRule type="cellIs" dxfId="2895"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624</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521</v>
      </c>
      <c r="C5" s="149"/>
      <c r="D5" s="149"/>
      <c r="E5" s="215"/>
      <c r="F5" s="215"/>
    </row>
    <row r="6" spans="1:7" ht="51">
      <c r="A6" s="151" t="s">
        <v>522</v>
      </c>
      <c r="B6" s="160" t="s">
        <v>523</v>
      </c>
      <c r="C6" s="209"/>
      <c r="D6" s="210"/>
      <c r="E6" s="150"/>
      <c r="F6" s="150"/>
    </row>
    <row r="7" spans="1:7" ht="38.25">
      <c r="A7" s="151" t="s">
        <v>527</v>
      </c>
      <c r="B7" s="160" t="s">
        <v>528</v>
      </c>
      <c r="C7" s="209"/>
      <c r="D7" s="210"/>
      <c r="E7" s="150"/>
      <c r="F7" s="150"/>
    </row>
    <row r="8" spans="1:7" ht="38.25">
      <c r="A8" s="151" t="s">
        <v>529</v>
      </c>
      <c r="B8" s="160" t="s">
        <v>530</v>
      </c>
      <c r="C8" s="209"/>
      <c r="D8" s="210"/>
      <c r="E8" s="150" t="s">
        <v>531</v>
      </c>
      <c r="F8" s="150"/>
    </row>
    <row r="9" spans="1:7" ht="63.75">
      <c r="A9" s="151" t="s">
        <v>534</v>
      </c>
      <c r="B9" s="160" t="s">
        <v>535</v>
      </c>
      <c r="C9" s="209"/>
      <c r="D9" s="210"/>
      <c r="E9" s="150"/>
      <c r="F9" s="150"/>
    </row>
    <row r="10" spans="1:7" ht="38.25">
      <c r="A10" s="151" t="s">
        <v>536</v>
      </c>
      <c r="B10" s="160" t="s">
        <v>537</v>
      </c>
      <c r="C10" s="209"/>
      <c r="D10" s="210"/>
      <c r="E10" s="150"/>
      <c r="F10" s="150"/>
    </row>
    <row r="11" spans="1:7" ht="38.25">
      <c r="A11" s="151" t="s">
        <v>538</v>
      </c>
      <c r="B11" s="160" t="s">
        <v>539</v>
      </c>
      <c r="C11" s="209"/>
      <c r="D11" s="210"/>
      <c r="E11" s="150"/>
      <c r="F11" s="150"/>
    </row>
    <row r="12" spans="1:7" ht="25.5">
      <c r="A12" s="151" t="s">
        <v>542</v>
      </c>
      <c r="B12" s="160" t="s">
        <v>543</v>
      </c>
      <c r="C12" s="209"/>
      <c r="D12" s="210"/>
      <c r="E12" s="150"/>
      <c r="F12" s="150"/>
    </row>
    <row r="13" spans="1:7" ht="25.5">
      <c r="A13" s="151" t="s">
        <v>544</v>
      </c>
      <c r="B13" s="160" t="s">
        <v>545</v>
      </c>
      <c r="C13" s="209"/>
      <c r="D13" s="210"/>
      <c r="E13" s="150"/>
      <c r="F13" s="150"/>
    </row>
    <row r="14" spans="1:7" ht="63.75">
      <c r="A14" s="151" t="s">
        <v>546</v>
      </c>
      <c r="B14" s="160" t="s">
        <v>547</v>
      </c>
      <c r="C14" s="209"/>
      <c r="D14" s="210"/>
      <c r="E14" s="152" t="s">
        <v>548</v>
      </c>
      <c r="F14" s="150"/>
    </row>
    <row r="15" spans="1:7" ht="18.75">
      <c r="A15" s="148"/>
      <c r="B15" s="157" t="s">
        <v>570</v>
      </c>
      <c r="C15" s="149"/>
      <c r="D15" s="149"/>
      <c r="E15" s="215"/>
      <c r="F15" s="215"/>
    </row>
    <row r="16" spans="1:7" ht="38.25">
      <c r="A16" s="151" t="s">
        <v>571</v>
      </c>
      <c r="B16" s="160" t="s">
        <v>572</v>
      </c>
      <c r="C16" s="209"/>
      <c r="D16" s="210"/>
      <c r="E16" s="150"/>
      <c r="F16" s="150"/>
    </row>
    <row r="17" spans="1:6" ht="25.5">
      <c r="A17" s="151" t="s">
        <v>573</v>
      </c>
      <c r="B17" s="160" t="s">
        <v>574</v>
      </c>
      <c r="C17" s="209"/>
      <c r="D17" s="210"/>
      <c r="E17" s="150"/>
      <c r="F17" s="150"/>
    </row>
    <row r="18" spans="1:6" ht="38.25">
      <c r="A18" s="151" t="s">
        <v>575</v>
      </c>
      <c r="B18" s="160" t="s">
        <v>576</v>
      </c>
      <c r="C18" s="209"/>
      <c r="D18" s="210"/>
      <c r="E18" s="150"/>
      <c r="F18" s="150"/>
    </row>
    <row r="19" spans="1:6" ht="38.25">
      <c r="A19" s="151" t="s">
        <v>577</v>
      </c>
      <c r="B19" s="160" t="s">
        <v>578</v>
      </c>
      <c r="C19" s="209"/>
      <c r="D19" s="210"/>
      <c r="E19" s="150"/>
      <c r="F19" s="150"/>
    </row>
    <row r="20" spans="1:6" ht="18.75">
      <c r="A20" s="148"/>
      <c r="B20" s="157" t="s">
        <v>579</v>
      </c>
      <c r="C20" s="149"/>
      <c r="D20" s="149"/>
      <c r="E20" s="215"/>
      <c r="F20" s="215"/>
    </row>
    <row r="21" spans="1:6" ht="38.25">
      <c r="A21" s="151" t="s">
        <v>580</v>
      </c>
      <c r="B21" s="160" t="s">
        <v>581</v>
      </c>
      <c r="C21" s="209"/>
      <c r="D21" s="210"/>
      <c r="E21" s="150"/>
      <c r="F21" s="150"/>
    </row>
    <row r="22" spans="1:6" ht="38.25">
      <c r="A22" s="151" t="s">
        <v>582</v>
      </c>
      <c r="B22" s="160" t="s">
        <v>583</v>
      </c>
      <c r="C22" s="209"/>
      <c r="D22" s="210"/>
      <c r="E22" s="150"/>
      <c r="F22" s="150"/>
    </row>
    <row r="23" spans="1:6" ht="18.75">
      <c r="A23" s="148"/>
      <c r="B23" s="157" t="s">
        <v>584</v>
      </c>
      <c r="C23" s="149"/>
      <c r="D23" s="149"/>
      <c r="E23" s="215"/>
      <c r="F23" s="215"/>
    </row>
    <row r="24" spans="1:6" ht="51">
      <c r="A24" s="151" t="s">
        <v>585</v>
      </c>
      <c r="B24" s="160" t="s">
        <v>586</v>
      </c>
      <c r="C24" s="209"/>
      <c r="D24" s="210"/>
      <c r="E24" s="150"/>
      <c r="F24" s="150"/>
    </row>
    <row r="25" spans="1:6" ht="18">
      <c r="A25" s="211"/>
      <c r="B25" s="212" t="s">
        <v>587</v>
      </c>
      <c r="C25" s="211"/>
      <c r="D25" s="211"/>
      <c r="E25" s="211"/>
      <c r="F25" s="211"/>
    </row>
    <row r="26" spans="1:6">
      <c r="A26" s="151"/>
      <c r="B26" s="160"/>
    </row>
    <row r="27" spans="1:6" ht="15">
      <c r="A27" s="213"/>
      <c r="B27" s="214" t="s">
        <v>588</v>
      </c>
      <c r="C27" s="213"/>
      <c r="D27" s="213"/>
      <c r="E27" s="213"/>
      <c r="F27" s="213"/>
    </row>
  </sheetData>
  <mergeCells count="1">
    <mergeCell ref="E2:F2"/>
  </mergeCells>
  <conditionalFormatting sqref="C6">
    <cfRule type="cellIs" dxfId="2894" priority="734" operator="equal">
      <formula>"No"</formula>
    </cfRule>
    <cfRule type="cellIs" dxfId="2893" priority="735" operator="equal">
      <formula>"NA"</formula>
    </cfRule>
    <cfRule type="cellIs" dxfId="2892" priority="736" operator="equal">
      <formula>"Yes"</formula>
    </cfRule>
  </conditionalFormatting>
  <conditionalFormatting sqref="C7">
    <cfRule type="cellIs" dxfId="2891" priority="688" operator="equal">
      <formula>"No"</formula>
    </cfRule>
    <cfRule type="cellIs" dxfId="2890" priority="689" operator="equal">
      <formula>"NA"</formula>
    </cfRule>
    <cfRule type="cellIs" dxfId="2889" priority="690" operator="equal">
      <formula>"Yes"</formula>
    </cfRule>
  </conditionalFormatting>
  <conditionalFormatting sqref="C8">
    <cfRule type="cellIs" dxfId="2888" priority="642" operator="equal">
      <formula>"No"</formula>
    </cfRule>
    <cfRule type="cellIs" dxfId="2887" priority="643" operator="equal">
      <formula>"NA"</formula>
    </cfRule>
    <cfRule type="cellIs" dxfId="2886" priority="644" operator="equal">
      <formula>"Yes"</formula>
    </cfRule>
  </conditionalFormatting>
  <conditionalFormatting sqref="C9">
    <cfRule type="cellIs" dxfId="2885" priority="596" operator="equal">
      <formula>"No"</formula>
    </cfRule>
    <cfRule type="cellIs" dxfId="2884" priority="597" operator="equal">
      <formula>"NA"</formula>
    </cfRule>
    <cfRule type="cellIs" dxfId="2883" priority="598" operator="equal">
      <formula>"Yes"</formula>
    </cfRule>
  </conditionalFormatting>
  <conditionalFormatting sqref="C10">
    <cfRule type="cellIs" dxfId="2882" priority="550" operator="equal">
      <formula>"No"</formula>
    </cfRule>
    <cfRule type="cellIs" dxfId="2881" priority="551" operator="equal">
      <formula>"NA"</formula>
    </cfRule>
    <cfRule type="cellIs" dxfId="2880" priority="552" operator="equal">
      <formula>"Yes"</formula>
    </cfRule>
  </conditionalFormatting>
  <conditionalFormatting sqref="C11">
    <cfRule type="cellIs" dxfId="2879" priority="504" operator="equal">
      <formula>"No"</formula>
    </cfRule>
    <cfRule type="cellIs" dxfId="2878" priority="505" operator="equal">
      <formula>"NA"</formula>
    </cfRule>
    <cfRule type="cellIs" dxfId="2877" priority="506" operator="equal">
      <formula>"Yes"</formula>
    </cfRule>
  </conditionalFormatting>
  <conditionalFormatting sqref="C12">
    <cfRule type="cellIs" dxfId="2876" priority="458" operator="equal">
      <formula>"No"</formula>
    </cfRule>
    <cfRule type="cellIs" dxfId="2875" priority="459" operator="equal">
      <formula>"NA"</formula>
    </cfRule>
    <cfRule type="cellIs" dxfId="2874" priority="460" operator="equal">
      <formula>"Yes"</formula>
    </cfRule>
  </conditionalFormatting>
  <conditionalFormatting sqref="C13">
    <cfRule type="cellIs" dxfId="2873" priority="412" operator="equal">
      <formula>"No"</formula>
    </cfRule>
    <cfRule type="cellIs" dxfId="2872" priority="413" operator="equal">
      <formula>"NA"</formula>
    </cfRule>
    <cfRule type="cellIs" dxfId="2871" priority="414" operator="equal">
      <formula>"Yes"</formula>
    </cfRule>
  </conditionalFormatting>
  <conditionalFormatting sqref="C14">
    <cfRule type="cellIs" dxfId="2870" priority="366" operator="equal">
      <formula>"No"</formula>
    </cfRule>
    <cfRule type="cellIs" dxfId="2869" priority="367" operator="equal">
      <formula>"NA"</formula>
    </cfRule>
    <cfRule type="cellIs" dxfId="2868" priority="368" operator="equal">
      <formula>"Yes"</formula>
    </cfRule>
  </conditionalFormatting>
  <conditionalFormatting sqref="C16">
    <cfRule type="cellIs" dxfId="2867" priority="320" operator="equal">
      <formula>"No"</formula>
    </cfRule>
    <cfRule type="cellIs" dxfId="2866" priority="321" operator="equal">
      <formula>"NA"</formula>
    </cfRule>
    <cfRule type="cellIs" dxfId="2865" priority="322" operator="equal">
      <formula>"Yes"</formula>
    </cfRule>
  </conditionalFormatting>
  <conditionalFormatting sqref="C17">
    <cfRule type="cellIs" dxfId="2864" priority="274" operator="equal">
      <formula>"No"</formula>
    </cfRule>
    <cfRule type="cellIs" dxfId="2863" priority="275" operator="equal">
      <formula>"NA"</formula>
    </cfRule>
    <cfRule type="cellIs" dxfId="2862" priority="276" operator="equal">
      <formula>"Yes"</formula>
    </cfRule>
  </conditionalFormatting>
  <conditionalFormatting sqref="C18">
    <cfRule type="cellIs" dxfId="2861" priority="228" operator="equal">
      <formula>"No"</formula>
    </cfRule>
    <cfRule type="cellIs" dxfId="2860" priority="229" operator="equal">
      <formula>"NA"</formula>
    </cfRule>
    <cfRule type="cellIs" dxfId="2859" priority="230" operator="equal">
      <formula>"Yes"</formula>
    </cfRule>
  </conditionalFormatting>
  <conditionalFormatting sqref="C19">
    <cfRule type="cellIs" dxfId="2858" priority="182" operator="equal">
      <formula>"No"</formula>
    </cfRule>
    <cfRule type="cellIs" dxfId="2857" priority="183" operator="equal">
      <formula>"NA"</formula>
    </cfRule>
    <cfRule type="cellIs" dxfId="2856" priority="184" operator="equal">
      <formula>"Yes"</formula>
    </cfRule>
  </conditionalFormatting>
  <conditionalFormatting sqref="C21">
    <cfRule type="cellIs" dxfId="2855" priority="136" operator="equal">
      <formula>"No"</formula>
    </cfRule>
    <cfRule type="cellIs" dxfId="2854" priority="137" operator="equal">
      <formula>"NA"</formula>
    </cfRule>
    <cfRule type="cellIs" dxfId="2853" priority="138" operator="equal">
      <formula>"Yes"</formula>
    </cfRule>
  </conditionalFormatting>
  <conditionalFormatting sqref="C22">
    <cfRule type="cellIs" dxfId="2852" priority="90" operator="equal">
      <formula>"No"</formula>
    </cfRule>
    <cfRule type="cellIs" dxfId="2851" priority="91" operator="equal">
      <formula>"NA"</formula>
    </cfRule>
    <cfRule type="cellIs" dxfId="2850" priority="92" operator="equal">
      <formula>"Yes"</formula>
    </cfRule>
  </conditionalFormatting>
  <conditionalFormatting sqref="C24">
    <cfRule type="cellIs" dxfId="2849" priority="44" operator="equal">
      <formula>"No"</formula>
    </cfRule>
    <cfRule type="cellIs" dxfId="2848" priority="45" operator="equal">
      <formula>"NA"</formula>
    </cfRule>
    <cfRule type="cellIs" dxfId="2847"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625</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626</v>
      </c>
      <c r="C5" s="149"/>
      <c r="D5" s="149"/>
      <c r="E5" s="215"/>
      <c r="F5" s="215"/>
    </row>
    <row r="6" spans="1:7" ht="76.5">
      <c r="A6" s="151" t="s">
        <v>627</v>
      </c>
      <c r="B6" s="160" t="s">
        <v>628</v>
      </c>
      <c r="C6" s="209"/>
      <c r="D6" s="210"/>
      <c r="E6" s="152" t="s">
        <v>629</v>
      </c>
      <c r="F6" s="150"/>
    </row>
    <row r="7" spans="1:7" ht="76.5">
      <c r="A7" s="151" t="s">
        <v>630</v>
      </c>
      <c r="B7" s="160" t="s">
        <v>631</v>
      </c>
      <c r="C7" s="209"/>
      <c r="D7" s="210"/>
      <c r="E7" s="152" t="s">
        <v>632</v>
      </c>
      <c r="F7" s="150"/>
    </row>
    <row r="8" spans="1:7" ht="25.5">
      <c r="A8" s="151" t="s">
        <v>633</v>
      </c>
      <c r="B8" s="160" t="s">
        <v>634</v>
      </c>
      <c r="C8" s="209"/>
      <c r="D8" s="210"/>
      <c r="E8" s="150"/>
      <c r="F8" s="150"/>
    </row>
    <row r="9" spans="1:7" ht="18.75">
      <c r="A9" s="148"/>
      <c r="B9" s="157" t="s">
        <v>635</v>
      </c>
      <c r="C9" s="149"/>
      <c r="D9" s="149"/>
      <c r="E9" s="215"/>
      <c r="F9" s="215"/>
    </row>
    <row r="10" spans="1:7" ht="25.5">
      <c r="A10" s="151" t="s">
        <v>636</v>
      </c>
      <c r="B10" s="160" t="s">
        <v>637</v>
      </c>
      <c r="C10" s="209"/>
      <c r="D10" s="210"/>
      <c r="E10" s="150" t="s">
        <v>638</v>
      </c>
      <c r="F10" s="150"/>
    </row>
    <row r="11" spans="1:7" ht="25.5">
      <c r="A11" s="151" t="s">
        <v>639</v>
      </c>
      <c r="B11" s="160" t="s">
        <v>640</v>
      </c>
      <c r="C11" s="209"/>
      <c r="D11" s="210"/>
      <c r="E11" s="150"/>
      <c r="F11" s="150"/>
    </row>
    <row r="12" spans="1:7" ht="18.75">
      <c r="A12" s="148"/>
      <c r="B12" s="157" t="s">
        <v>521</v>
      </c>
      <c r="C12" s="149"/>
      <c r="D12" s="149"/>
      <c r="E12" s="215"/>
      <c r="F12" s="215"/>
    </row>
    <row r="13" spans="1:7" ht="63.75">
      <c r="A13" s="151" t="s">
        <v>546</v>
      </c>
      <c r="B13" s="160" t="s">
        <v>547</v>
      </c>
      <c r="C13" s="209"/>
      <c r="D13" s="210"/>
      <c r="E13" s="152" t="s">
        <v>548</v>
      </c>
      <c r="F13" s="150"/>
    </row>
    <row r="14" spans="1:7" ht="18.75">
      <c r="A14" s="148"/>
      <c r="B14" s="157" t="s">
        <v>570</v>
      </c>
      <c r="C14" s="149"/>
      <c r="D14" s="149"/>
      <c r="E14" s="215"/>
      <c r="F14" s="215"/>
    </row>
    <row r="15" spans="1:7" ht="38.25">
      <c r="A15" s="151" t="s">
        <v>571</v>
      </c>
      <c r="B15" s="160" t="s">
        <v>572</v>
      </c>
      <c r="C15" s="209"/>
      <c r="D15" s="210"/>
      <c r="E15" s="150"/>
      <c r="F15" s="150"/>
    </row>
    <row r="16" spans="1:7" ht="25.5">
      <c r="A16" s="151" t="s">
        <v>573</v>
      </c>
      <c r="B16" s="160" t="s">
        <v>574</v>
      </c>
      <c r="C16" s="209"/>
      <c r="D16" s="210"/>
      <c r="E16" s="150"/>
      <c r="F16" s="150"/>
    </row>
    <row r="17" spans="1:6" ht="38.25">
      <c r="A17" s="151" t="s">
        <v>575</v>
      </c>
      <c r="B17" s="160" t="s">
        <v>576</v>
      </c>
      <c r="C17" s="209"/>
      <c r="D17" s="210"/>
      <c r="E17" s="150"/>
      <c r="F17" s="150"/>
    </row>
    <row r="18" spans="1:6" ht="38.25">
      <c r="A18" s="151" t="s">
        <v>577</v>
      </c>
      <c r="B18" s="160" t="s">
        <v>578</v>
      </c>
      <c r="C18" s="209"/>
      <c r="D18" s="210"/>
      <c r="E18" s="150"/>
      <c r="F18" s="150"/>
    </row>
    <row r="19" spans="1:6" ht="18.75">
      <c r="A19" s="148"/>
      <c r="B19" s="157" t="s">
        <v>579</v>
      </c>
      <c r="C19" s="149"/>
      <c r="D19" s="149"/>
      <c r="E19" s="215"/>
      <c r="F19" s="215"/>
    </row>
    <row r="20" spans="1:6" ht="38.25">
      <c r="A20" s="151" t="s">
        <v>580</v>
      </c>
      <c r="B20" s="160" t="s">
        <v>581</v>
      </c>
      <c r="C20" s="209"/>
      <c r="D20" s="210"/>
      <c r="E20" s="150"/>
      <c r="F20" s="150"/>
    </row>
    <row r="21" spans="1:6" ht="38.25">
      <c r="A21" s="151" t="s">
        <v>582</v>
      </c>
      <c r="B21" s="160" t="s">
        <v>583</v>
      </c>
      <c r="C21" s="209"/>
      <c r="D21" s="210"/>
      <c r="E21" s="150"/>
      <c r="F21" s="150"/>
    </row>
    <row r="22" spans="1:6" ht="18.75">
      <c r="A22" s="148"/>
      <c r="B22" s="157" t="s">
        <v>584</v>
      </c>
      <c r="C22" s="149"/>
      <c r="D22" s="149"/>
      <c r="E22" s="215"/>
      <c r="F22" s="215"/>
    </row>
    <row r="23" spans="1:6" ht="51">
      <c r="A23" s="151" t="s">
        <v>585</v>
      </c>
      <c r="B23" s="160" t="s">
        <v>586</v>
      </c>
      <c r="C23" s="209"/>
      <c r="D23" s="210"/>
      <c r="E23" s="150"/>
      <c r="F23" s="150"/>
    </row>
    <row r="24" spans="1:6" ht="18">
      <c r="A24" s="211"/>
      <c r="B24" s="212" t="s">
        <v>587</v>
      </c>
      <c r="C24" s="211"/>
      <c r="D24" s="211"/>
      <c r="E24" s="211"/>
      <c r="F24" s="211"/>
    </row>
    <row r="25" spans="1:6">
      <c r="A25" s="151"/>
      <c r="B25" s="160"/>
    </row>
    <row r="26" spans="1:6" ht="15">
      <c r="A26" s="213"/>
      <c r="B26" s="214" t="s">
        <v>588</v>
      </c>
      <c r="C26" s="213"/>
      <c r="D26" s="213"/>
      <c r="E26" s="213"/>
      <c r="F26" s="213"/>
    </row>
  </sheetData>
  <mergeCells count="1">
    <mergeCell ref="E2:F2"/>
  </mergeCells>
  <conditionalFormatting sqref="C6">
    <cfRule type="cellIs" dxfId="2846" priority="596" operator="equal">
      <formula>"No"</formula>
    </cfRule>
    <cfRule type="cellIs" dxfId="2845" priority="597" operator="equal">
      <formula>"NA"</formula>
    </cfRule>
    <cfRule type="cellIs" dxfId="2844" priority="598" operator="equal">
      <formula>"Yes"</formula>
    </cfRule>
  </conditionalFormatting>
  <conditionalFormatting sqref="C7">
    <cfRule type="cellIs" dxfId="2843" priority="550" operator="equal">
      <formula>"No"</formula>
    </cfRule>
    <cfRule type="cellIs" dxfId="2842" priority="551" operator="equal">
      <formula>"NA"</formula>
    </cfRule>
    <cfRule type="cellIs" dxfId="2841" priority="552" operator="equal">
      <formula>"Yes"</formula>
    </cfRule>
  </conditionalFormatting>
  <conditionalFormatting sqref="C8">
    <cfRule type="cellIs" dxfId="2840" priority="504" operator="equal">
      <formula>"No"</formula>
    </cfRule>
    <cfRule type="cellIs" dxfId="2839" priority="505" operator="equal">
      <formula>"NA"</formula>
    </cfRule>
    <cfRule type="cellIs" dxfId="2838" priority="506" operator="equal">
      <formula>"Yes"</formula>
    </cfRule>
  </conditionalFormatting>
  <conditionalFormatting sqref="C10">
    <cfRule type="cellIs" dxfId="2837" priority="458" operator="equal">
      <formula>"No"</formula>
    </cfRule>
    <cfRule type="cellIs" dxfId="2836" priority="459" operator="equal">
      <formula>"NA"</formula>
    </cfRule>
    <cfRule type="cellIs" dxfId="2835" priority="460" operator="equal">
      <formula>"Yes"</formula>
    </cfRule>
  </conditionalFormatting>
  <conditionalFormatting sqref="C11">
    <cfRule type="cellIs" dxfId="2834" priority="412" operator="equal">
      <formula>"No"</formula>
    </cfRule>
    <cfRule type="cellIs" dxfId="2833" priority="413" operator="equal">
      <formula>"NA"</formula>
    </cfRule>
    <cfRule type="cellIs" dxfId="2832" priority="414" operator="equal">
      <formula>"Yes"</formula>
    </cfRule>
  </conditionalFormatting>
  <conditionalFormatting sqref="C13">
    <cfRule type="cellIs" dxfId="2831" priority="366" operator="equal">
      <formula>"No"</formula>
    </cfRule>
    <cfRule type="cellIs" dxfId="2830" priority="367" operator="equal">
      <formula>"NA"</formula>
    </cfRule>
    <cfRule type="cellIs" dxfId="2829" priority="368" operator="equal">
      <formula>"Yes"</formula>
    </cfRule>
  </conditionalFormatting>
  <conditionalFormatting sqref="C15">
    <cfRule type="cellIs" dxfId="2828" priority="320" operator="equal">
      <formula>"No"</formula>
    </cfRule>
    <cfRule type="cellIs" dxfId="2827" priority="321" operator="equal">
      <formula>"NA"</formula>
    </cfRule>
    <cfRule type="cellIs" dxfId="2826" priority="322" operator="equal">
      <formula>"Yes"</formula>
    </cfRule>
  </conditionalFormatting>
  <conditionalFormatting sqref="C16">
    <cfRule type="cellIs" dxfId="2825" priority="274" operator="equal">
      <formula>"No"</formula>
    </cfRule>
    <cfRule type="cellIs" dxfId="2824" priority="275" operator="equal">
      <formula>"NA"</formula>
    </cfRule>
    <cfRule type="cellIs" dxfId="2823" priority="276" operator="equal">
      <formula>"Yes"</formula>
    </cfRule>
  </conditionalFormatting>
  <conditionalFormatting sqref="C17">
    <cfRule type="cellIs" dxfId="2822" priority="228" operator="equal">
      <formula>"No"</formula>
    </cfRule>
    <cfRule type="cellIs" dxfId="2821" priority="229" operator="equal">
      <formula>"NA"</formula>
    </cfRule>
    <cfRule type="cellIs" dxfId="2820" priority="230" operator="equal">
      <formula>"Yes"</formula>
    </cfRule>
  </conditionalFormatting>
  <conditionalFormatting sqref="C18">
    <cfRule type="cellIs" dxfId="2819" priority="182" operator="equal">
      <formula>"No"</formula>
    </cfRule>
    <cfRule type="cellIs" dxfId="2818" priority="183" operator="equal">
      <formula>"NA"</formula>
    </cfRule>
    <cfRule type="cellIs" dxfId="2817" priority="184" operator="equal">
      <formula>"Yes"</formula>
    </cfRule>
  </conditionalFormatting>
  <conditionalFormatting sqref="C20">
    <cfRule type="cellIs" dxfId="2816" priority="136" operator="equal">
      <formula>"No"</formula>
    </cfRule>
    <cfRule type="cellIs" dxfId="2815" priority="137" operator="equal">
      <formula>"NA"</formula>
    </cfRule>
    <cfRule type="cellIs" dxfId="2814" priority="138" operator="equal">
      <formula>"Yes"</formula>
    </cfRule>
  </conditionalFormatting>
  <conditionalFormatting sqref="C21">
    <cfRule type="cellIs" dxfId="2813" priority="90" operator="equal">
      <formula>"No"</formula>
    </cfRule>
    <cfRule type="cellIs" dxfId="2812" priority="91" operator="equal">
      <formula>"NA"</formula>
    </cfRule>
    <cfRule type="cellIs" dxfId="2811" priority="92" operator="equal">
      <formula>"Yes"</formula>
    </cfRule>
  </conditionalFormatting>
  <conditionalFormatting sqref="C23">
    <cfRule type="cellIs" dxfId="2810" priority="44" operator="equal">
      <formula>"No"</formula>
    </cfRule>
    <cfRule type="cellIs" dxfId="2809" priority="45" operator="equal">
      <formula>"NA"</formula>
    </cfRule>
    <cfRule type="cellIs" dxfId="2808"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641</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642</v>
      </c>
      <c r="C5" s="149"/>
      <c r="D5" s="149"/>
      <c r="E5" s="215"/>
      <c r="F5" s="215"/>
    </row>
    <row r="6" spans="1:7" ht="38.25">
      <c r="A6" s="151" t="s">
        <v>643</v>
      </c>
      <c r="B6" s="160" t="s">
        <v>644</v>
      </c>
      <c r="C6" s="209"/>
      <c r="D6" s="210"/>
      <c r="E6" s="150"/>
      <c r="F6" s="150"/>
    </row>
    <row r="7" spans="1:7" ht="25.5">
      <c r="A7" s="151" t="s">
        <v>645</v>
      </c>
      <c r="B7" s="160" t="s">
        <v>646</v>
      </c>
      <c r="C7" s="209"/>
      <c r="D7" s="210"/>
      <c r="E7" s="150"/>
      <c r="F7" s="150"/>
    </row>
    <row r="8" spans="1:7" ht="25.5">
      <c r="A8" s="151" t="s">
        <v>647</v>
      </c>
      <c r="B8" s="160" t="s">
        <v>648</v>
      </c>
      <c r="C8" s="209"/>
      <c r="D8" s="210"/>
      <c r="E8" s="150"/>
      <c r="F8" s="150"/>
    </row>
    <row r="9" spans="1:7" ht="38.25">
      <c r="A9" s="151" t="s">
        <v>649</v>
      </c>
      <c r="B9" s="160" t="s">
        <v>650</v>
      </c>
      <c r="C9" s="209"/>
      <c r="D9" s="210"/>
      <c r="E9" s="150"/>
      <c r="F9" s="150"/>
    </row>
    <row r="10" spans="1:7" ht="38.25">
      <c r="A10" s="151" t="s">
        <v>651</v>
      </c>
      <c r="B10" s="160" t="s">
        <v>652</v>
      </c>
      <c r="C10" s="209"/>
      <c r="D10" s="210"/>
      <c r="E10" s="150"/>
      <c r="F10" s="150"/>
    </row>
    <row r="11" spans="1:7" ht="25.5">
      <c r="A11" s="151" t="s">
        <v>653</v>
      </c>
      <c r="B11" s="160" t="s">
        <v>654</v>
      </c>
      <c r="C11" s="209"/>
      <c r="D11" s="210"/>
      <c r="E11" s="150"/>
      <c r="F11" s="150"/>
    </row>
    <row r="12" spans="1:7" ht="18.75">
      <c r="A12" s="148"/>
      <c r="B12" s="157" t="s">
        <v>655</v>
      </c>
      <c r="C12" s="149"/>
      <c r="D12" s="149"/>
      <c r="E12" s="215"/>
      <c r="F12" s="215"/>
    </row>
    <row r="13" spans="1:7" ht="25.5">
      <c r="A13" s="151" t="s">
        <v>656</v>
      </c>
      <c r="B13" s="160" t="s">
        <v>657</v>
      </c>
      <c r="C13" s="209"/>
      <c r="D13" s="210"/>
      <c r="E13" s="150"/>
      <c r="F13" s="150"/>
    </row>
    <row r="14" spans="1:7" ht="38.25">
      <c r="A14" s="151" t="s">
        <v>658</v>
      </c>
      <c r="B14" s="160" t="s">
        <v>659</v>
      </c>
      <c r="C14" s="209"/>
      <c r="D14" s="210"/>
      <c r="E14" s="150"/>
      <c r="F14" s="150"/>
    </row>
    <row r="15" spans="1:7" ht="38.25">
      <c r="A15" s="151" t="s">
        <v>660</v>
      </c>
      <c r="B15" s="160" t="s">
        <v>661</v>
      </c>
      <c r="C15" s="209"/>
      <c r="D15" s="210"/>
      <c r="E15" s="150"/>
      <c r="F15" s="150"/>
    </row>
    <row r="16" spans="1:7" ht="25.5">
      <c r="A16" s="151" t="s">
        <v>662</v>
      </c>
      <c r="B16" s="160" t="s">
        <v>663</v>
      </c>
      <c r="C16" s="209"/>
      <c r="D16" s="210"/>
      <c r="E16" s="150"/>
      <c r="F16" s="150"/>
    </row>
    <row r="17" spans="1:6" ht="25.5">
      <c r="A17" s="151" t="s">
        <v>664</v>
      </c>
      <c r="B17" s="160" t="s">
        <v>665</v>
      </c>
      <c r="C17" s="209"/>
      <c r="D17" s="210"/>
      <c r="E17" s="150"/>
      <c r="F17" s="150"/>
    </row>
    <row r="18" spans="1:6" ht="38.25">
      <c r="A18" s="151" t="s">
        <v>666</v>
      </c>
      <c r="B18" s="160" t="s">
        <v>667</v>
      </c>
      <c r="C18" s="209"/>
      <c r="D18" s="210"/>
      <c r="E18" s="150"/>
      <c r="F18" s="150"/>
    </row>
    <row r="19" spans="1:6" ht="18.75">
      <c r="A19" s="148"/>
      <c r="B19" s="157" t="s">
        <v>668</v>
      </c>
      <c r="C19" s="149"/>
      <c r="D19" s="149"/>
      <c r="E19" s="215"/>
      <c r="F19" s="215"/>
    </row>
    <row r="20" spans="1:6" ht="25.5">
      <c r="A20" s="151" t="s">
        <v>669</v>
      </c>
      <c r="B20" s="160" t="s">
        <v>670</v>
      </c>
      <c r="C20" s="209"/>
      <c r="D20" s="210"/>
      <c r="E20" s="150" t="s">
        <v>671</v>
      </c>
      <c r="F20" s="150"/>
    </row>
    <row r="21" spans="1:6" ht="25.5">
      <c r="A21" s="151" t="s">
        <v>672</v>
      </c>
      <c r="B21" s="160" t="s">
        <v>673</v>
      </c>
      <c r="C21" s="209"/>
      <c r="D21" s="210"/>
      <c r="E21" s="150" t="s">
        <v>671</v>
      </c>
      <c r="F21" s="150"/>
    </row>
    <row r="22" spans="1:6" ht="25.5">
      <c r="A22" s="151" t="s">
        <v>674</v>
      </c>
      <c r="B22" s="160" t="s">
        <v>675</v>
      </c>
      <c r="C22" s="209"/>
      <c r="D22" s="210"/>
      <c r="E22" s="150" t="s">
        <v>671</v>
      </c>
      <c r="F22" s="150"/>
    </row>
    <row r="23" spans="1:6" ht="38.25">
      <c r="A23" s="151" t="s">
        <v>676</v>
      </c>
      <c r="B23" s="160" t="s">
        <v>677</v>
      </c>
      <c r="C23" s="209"/>
      <c r="D23" s="210"/>
      <c r="E23" s="150" t="s">
        <v>671</v>
      </c>
      <c r="F23" s="150"/>
    </row>
    <row r="24" spans="1:6" ht="38.25">
      <c r="A24" s="151" t="s">
        <v>678</v>
      </c>
      <c r="B24" s="160" t="s">
        <v>679</v>
      </c>
      <c r="C24" s="209"/>
      <c r="D24" s="210"/>
      <c r="E24" s="150" t="s">
        <v>671</v>
      </c>
      <c r="F24" s="150"/>
    </row>
    <row r="25" spans="1:6" ht="38.25">
      <c r="A25" s="151" t="s">
        <v>680</v>
      </c>
      <c r="B25" s="160" t="s">
        <v>681</v>
      </c>
      <c r="C25" s="209"/>
      <c r="D25" s="210"/>
      <c r="E25" s="150" t="s">
        <v>671</v>
      </c>
      <c r="F25" s="150"/>
    </row>
    <row r="26" spans="1:6" ht="18.75">
      <c r="A26" s="148"/>
      <c r="B26" s="157" t="s">
        <v>682</v>
      </c>
      <c r="C26" s="149"/>
      <c r="D26" s="149"/>
      <c r="E26" s="215"/>
      <c r="F26" s="215"/>
    </row>
    <row r="27" spans="1:6" ht="25.5">
      <c r="A27" s="151" t="s">
        <v>683</v>
      </c>
      <c r="B27" s="160" t="s">
        <v>684</v>
      </c>
      <c r="C27" s="209"/>
      <c r="D27" s="210"/>
      <c r="E27" s="150"/>
      <c r="F27" s="150"/>
    </row>
    <row r="28" spans="1:6" ht="25.5">
      <c r="A28" s="151" t="s">
        <v>685</v>
      </c>
      <c r="B28" s="160" t="s">
        <v>686</v>
      </c>
      <c r="C28" s="209"/>
      <c r="D28" s="210"/>
      <c r="E28" s="150"/>
      <c r="F28" s="150"/>
    </row>
    <row r="29" spans="1:6" ht="38.25">
      <c r="A29" s="151" t="s">
        <v>687</v>
      </c>
      <c r="B29" s="160" t="s">
        <v>688</v>
      </c>
      <c r="C29" s="209"/>
      <c r="D29" s="210"/>
      <c r="E29" s="150"/>
      <c r="F29" s="150"/>
    </row>
    <row r="30" spans="1:6" ht="18.75">
      <c r="A30" s="148"/>
      <c r="B30" s="157" t="s">
        <v>570</v>
      </c>
      <c r="C30" s="149"/>
      <c r="D30" s="149"/>
      <c r="E30" s="215"/>
      <c r="F30" s="215"/>
    </row>
    <row r="31" spans="1:6" ht="38.25">
      <c r="A31" s="151" t="s">
        <v>571</v>
      </c>
      <c r="B31" s="160" t="s">
        <v>572</v>
      </c>
      <c r="C31" s="209"/>
      <c r="D31" s="210"/>
      <c r="E31" s="150"/>
      <c r="F31" s="150"/>
    </row>
    <row r="32" spans="1:6" ht="25.5">
      <c r="A32" s="151" t="s">
        <v>573</v>
      </c>
      <c r="B32" s="160" t="s">
        <v>574</v>
      </c>
      <c r="C32" s="209"/>
      <c r="D32" s="210"/>
      <c r="E32" s="150"/>
      <c r="F32" s="150"/>
    </row>
    <row r="33" spans="1:6" ht="38.25">
      <c r="A33" s="151" t="s">
        <v>575</v>
      </c>
      <c r="B33" s="160" t="s">
        <v>576</v>
      </c>
      <c r="C33" s="209"/>
      <c r="D33" s="210"/>
      <c r="E33" s="150"/>
      <c r="F33" s="150"/>
    </row>
    <row r="34" spans="1:6" ht="38.25">
      <c r="A34" s="151" t="s">
        <v>577</v>
      </c>
      <c r="B34" s="160" t="s">
        <v>578</v>
      </c>
      <c r="C34" s="209"/>
      <c r="D34" s="210"/>
      <c r="E34" s="150"/>
      <c r="F34" s="150"/>
    </row>
    <row r="35" spans="1:6" ht="18.75">
      <c r="A35" s="148"/>
      <c r="B35" s="157" t="s">
        <v>579</v>
      </c>
      <c r="C35" s="149"/>
      <c r="D35" s="149"/>
      <c r="E35" s="215"/>
      <c r="F35" s="215"/>
    </row>
    <row r="36" spans="1:6" ht="38.25">
      <c r="A36" s="151" t="s">
        <v>580</v>
      </c>
      <c r="B36" s="160" t="s">
        <v>581</v>
      </c>
      <c r="C36" s="209"/>
      <c r="D36" s="210"/>
      <c r="E36" s="150"/>
      <c r="F36" s="150"/>
    </row>
    <row r="37" spans="1:6" ht="38.25">
      <c r="A37" s="151" t="s">
        <v>582</v>
      </c>
      <c r="B37" s="160" t="s">
        <v>583</v>
      </c>
      <c r="C37" s="209"/>
      <c r="D37" s="210"/>
      <c r="E37" s="150"/>
      <c r="F37" s="150"/>
    </row>
    <row r="38" spans="1:6" ht="18.75">
      <c r="A38" s="148"/>
      <c r="B38" s="157" t="s">
        <v>584</v>
      </c>
      <c r="C38" s="149"/>
      <c r="D38" s="149"/>
      <c r="E38" s="215"/>
      <c r="F38" s="215"/>
    </row>
    <row r="39" spans="1:6" ht="51">
      <c r="A39" s="151" t="s">
        <v>585</v>
      </c>
      <c r="B39" s="160" t="s">
        <v>586</v>
      </c>
      <c r="C39" s="209"/>
      <c r="D39" s="210"/>
      <c r="E39" s="150"/>
      <c r="F39" s="150"/>
    </row>
    <row r="40" spans="1:6" ht="18">
      <c r="A40" s="211"/>
      <c r="B40" s="212" t="s">
        <v>587</v>
      </c>
      <c r="C40" s="211"/>
      <c r="D40" s="211"/>
      <c r="E40" s="211"/>
      <c r="F40" s="211"/>
    </row>
    <row r="41" spans="1:6">
      <c r="A41" s="151"/>
      <c r="B41" s="160"/>
    </row>
    <row r="42" spans="1:6" ht="15">
      <c r="A42" s="213"/>
      <c r="B42" s="214" t="s">
        <v>588</v>
      </c>
      <c r="C42" s="213"/>
      <c r="D42" s="213"/>
      <c r="E42" s="213"/>
      <c r="F42" s="213"/>
    </row>
  </sheetData>
  <mergeCells count="1">
    <mergeCell ref="E2:F2"/>
  </mergeCells>
  <conditionalFormatting sqref="C6">
    <cfRule type="cellIs" dxfId="2807" priority="1286" operator="equal">
      <formula>"No"</formula>
    </cfRule>
    <cfRule type="cellIs" dxfId="2806" priority="1287" operator="equal">
      <formula>"NA"</formula>
    </cfRule>
    <cfRule type="cellIs" dxfId="2805" priority="1288" operator="equal">
      <formula>"Yes"</formula>
    </cfRule>
  </conditionalFormatting>
  <conditionalFormatting sqref="C7">
    <cfRule type="cellIs" dxfId="2804" priority="1240" operator="equal">
      <formula>"No"</formula>
    </cfRule>
    <cfRule type="cellIs" dxfId="2803" priority="1241" operator="equal">
      <formula>"NA"</formula>
    </cfRule>
    <cfRule type="cellIs" dxfId="2802" priority="1242" operator="equal">
      <formula>"Yes"</formula>
    </cfRule>
  </conditionalFormatting>
  <conditionalFormatting sqref="C8">
    <cfRule type="cellIs" dxfId="2801" priority="1194" operator="equal">
      <formula>"No"</formula>
    </cfRule>
    <cfRule type="cellIs" dxfId="2800" priority="1195" operator="equal">
      <formula>"NA"</formula>
    </cfRule>
    <cfRule type="cellIs" dxfId="2799" priority="1196" operator="equal">
      <formula>"Yes"</formula>
    </cfRule>
  </conditionalFormatting>
  <conditionalFormatting sqref="C9">
    <cfRule type="cellIs" dxfId="2798" priority="1148" operator="equal">
      <formula>"No"</formula>
    </cfRule>
    <cfRule type="cellIs" dxfId="2797" priority="1149" operator="equal">
      <formula>"NA"</formula>
    </cfRule>
    <cfRule type="cellIs" dxfId="2796" priority="1150" operator="equal">
      <formula>"Yes"</formula>
    </cfRule>
  </conditionalFormatting>
  <conditionalFormatting sqref="C10">
    <cfRule type="cellIs" dxfId="2795" priority="1102" operator="equal">
      <formula>"No"</formula>
    </cfRule>
    <cfRule type="cellIs" dxfId="2794" priority="1103" operator="equal">
      <formula>"NA"</formula>
    </cfRule>
    <cfRule type="cellIs" dxfId="2793" priority="1104" operator="equal">
      <formula>"Yes"</formula>
    </cfRule>
  </conditionalFormatting>
  <conditionalFormatting sqref="C11">
    <cfRule type="cellIs" dxfId="2792" priority="1056" operator="equal">
      <formula>"No"</formula>
    </cfRule>
    <cfRule type="cellIs" dxfId="2791" priority="1057" operator="equal">
      <formula>"NA"</formula>
    </cfRule>
    <cfRule type="cellIs" dxfId="2790" priority="1058" operator="equal">
      <formula>"Yes"</formula>
    </cfRule>
  </conditionalFormatting>
  <conditionalFormatting sqref="C13">
    <cfRule type="cellIs" dxfId="2789" priority="1010" operator="equal">
      <formula>"No"</formula>
    </cfRule>
    <cfRule type="cellIs" dxfId="2788" priority="1011" operator="equal">
      <formula>"NA"</formula>
    </cfRule>
    <cfRule type="cellIs" dxfId="2787" priority="1012" operator="equal">
      <formula>"Yes"</formula>
    </cfRule>
  </conditionalFormatting>
  <conditionalFormatting sqref="C14">
    <cfRule type="cellIs" dxfId="2786" priority="964" operator="equal">
      <formula>"No"</formula>
    </cfRule>
    <cfRule type="cellIs" dxfId="2785" priority="965" operator="equal">
      <formula>"NA"</formula>
    </cfRule>
    <cfRule type="cellIs" dxfId="2784" priority="966" operator="equal">
      <formula>"Yes"</formula>
    </cfRule>
  </conditionalFormatting>
  <conditionalFormatting sqref="C15">
    <cfRule type="cellIs" dxfId="2783" priority="918" operator="equal">
      <formula>"No"</formula>
    </cfRule>
    <cfRule type="cellIs" dxfId="2782" priority="919" operator="equal">
      <formula>"NA"</formula>
    </cfRule>
    <cfRule type="cellIs" dxfId="2781" priority="920" operator="equal">
      <formula>"Yes"</formula>
    </cfRule>
  </conditionalFormatting>
  <conditionalFormatting sqref="C16">
    <cfRule type="cellIs" dxfId="2780" priority="872" operator="equal">
      <formula>"No"</formula>
    </cfRule>
    <cfRule type="cellIs" dxfId="2779" priority="873" operator="equal">
      <formula>"NA"</formula>
    </cfRule>
    <cfRule type="cellIs" dxfId="2778" priority="874" operator="equal">
      <formula>"Yes"</formula>
    </cfRule>
  </conditionalFormatting>
  <conditionalFormatting sqref="C17">
    <cfRule type="cellIs" dxfId="2777" priority="826" operator="equal">
      <formula>"No"</formula>
    </cfRule>
    <cfRule type="cellIs" dxfId="2776" priority="827" operator="equal">
      <formula>"NA"</formula>
    </cfRule>
    <cfRule type="cellIs" dxfId="2775" priority="828" operator="equal">
      <formula>"Yes"</formula>
    </cfRule>
  </conditionalFormatting>
  <conditionalFormatting sqref="C18">
    <cfRule type="cellIs" dxfId="2774" priority="780" operator="equal">
      <formula>"No"</formula>
    </cfRule>
    <cfRule type="cellIs" dxfId="2773" priority="781" operator="equal">
      <formula>"NA"</formula>
    </cfRule>
    <cfRule type="cellIs" dxfId="2772" priority="782" operator="equal">
      <formula>"Yes"</formula>
    </cfRule>
  </conditionalFormatting>
  <conditionalFormatting sqref="C20">
    <cfRule type="cellIs" dxfId="2771" priority="734" operator="equal">
      <formula>"No"</formula>
    </cfRule>
    <cfRule type="cellIs" dxfId="2770" priority="735" operator="equal">
      <formula>"NA"</formula>
    </cfRule>
    <cfRule type="cellIs" dxfId="2769" priority="736" operator="equal">
      <formula>"Yes"</formula>
    </cfRule>
  </conditionalFormatting>
  <conditionalFormatting sqref="C21">
    <cfRule type="cellIs" dxfId="2768" priority="688" operator="equal">
      <formula>"No"</formula>
    </cfRule>
    <cfRule type="cellIs" dxfId="2767" priority="689" operator="equal">
      <formula>"NA"</formula>
    </cfRule>
    <cfRule type="cellIs" dxfId="2766" priority="690" operator="equal">
      <formula>"Yes"</formula>
    </cfRule>
  </conditionalFormatting>
  <conditionalFormatting sqref="C22">
    <cfRule type="cellIs" dxfId="2765" priority="642" operator="equal">
      <formula>"No"</formula>
    </cfRule>
    <cfRule type="cellIs" dxfId="2764" priority="643" operator="equal">
      <formula>"NA"</formula>
    </cfRule>
    <cfRule type="cellIs" dxfId="2763" priority="644" operator="equal">
      <formula>"Yes"</formula>
    </cfRule>
  </conditionalFormatting>
  <conditionalFormatting sqref="C23">
    <cfRule type="cellIs" dxfId="2762" priority="596" operator="equal">
      <formula>"No"</formula>
    </cfRule>
    <cfRule type="cellIs" dxfId="2761" priority="597" operator="equal">
      <formula>"NA"</formula>
    </cfRule>
    <cfRule type="cellIs" dxfId="2760" priority="598" operator="equal">
      <formula>"Yes"</formula>
    </cfRule>
  </conditionalFormatting>
  <conditionalFormatting sqref="C24">
    <cfRule type="cellIs" dxfId="2759" priority="550" operator="equal">
      <formula>"No"</formula>
    </cfRule>
    <cfRule type="cellIs" dxfId="2758" priority="551" operator="equal">
      <formula>"NA"</formula>
    </cfRule>
    <cfRule type="cellIs" dxfId="2757" priority="552" operator="equal">
      <formula>"Yes"</formula>
    </cfRule>
  </conditionalFormatting>
  <conditionalFormatting sqref="C25">
    <cfRule type="cellIs" dxfId="2756" priority="504" operator="equal">
      <formula>"No"</formula>
    </cfRule>
    <cfRule type="cellIs" dxfId="2755" priority="505" operator="equal">
      <formula>"NA"</formula>
    </cfRule>
    <cfRule type="cellIs" dxfId="2754" priority="506" operator="equal">
      <formula>"Yes"</formula>
    </cfRule>
  </conditionalFormatting>
  <conditionalFormatting sqref="C27">
    <cfRule type="cellIs" dxfId="2753" priority="458" operator="equal">
      <formula>"No"</formula>
    </cfRule>
    <cfRule type="cellIs" dxfId="2752" priority="459" operator="equal">
      <formula>"NA"</formula>
    </cfRule>
    <cfRule type="cellIs" dxfId="2751" priority="460" operator="equal">
      <formula>"Yes"</formula>
    </cfRule>
  </conditionalFormatting>
  <conditionalFormatting sqref="C28">
    <cfRule type="cellIs" dxfId="2750" priority="412" operator="equal">
      <formula>"No"</formula>
    </cfRule>
    <cfRule type="cellIs" dxfId="2749" priority="413" operator="equal">
      <formula>"NA"</formula>
    </cfRule>
    <cfRule type="cellIs" dxfId="2748" priority="414" operator="equal">
      <formula>"Yes"</formula>
    </cfRule>
  </conditionalFormatting>
  <conditionalFormatting sqref="C29">
    <cfRule type="cellIs" dxfId="2747" priority="366" operator="equal">
      <formula>"No"</formula>
    </cfRule>
    <cfRule type="cellIs" dxfId="2746" priority="367" operator="equal">
      <formula>"NA"</formula>
    </cfRule>
    <cfRule type="cellIs" dxfId="2745" priority="368" operator="equal">
      <formula>"Yes"</formula>
    </cfRule>
  </conditionalFormatting>
  <conditionalFormatting sqref="C31">
    <cfRule type="cellIs" dxfId="2744" priority="320" operator="equal">
      <formula>"No"</formula>
    </cfRule>
    <cfRule type="cellIs" dxfId="2743" priority="321" operator="equal">
      <formula>"NA"</formula>
    </cfRule>
    <cfRule type="cellIs" dxfId="2742" priority="322" operator="equal">
      <formula>"Yes"</formula>
    </cfRule>
  </conditionalFormatting>
  <conditionalFormatting sqref="C32">
    <cfRule type="cellIs" dxfId="2741" priority="274" operator="equal">
      <formula>"No"</formula>
    </cfRule>
    <cfRule type="cellIs" dxfId="2740" priority="275" operator="equal">
      <formula>"NA"</formula>
    </cfRule>
    <cfRule type="cellIs" dxfId="2739" priority="276" operator="equal">
      <formula>"Yes"</formula>
    </cfRule>
  </conditionalFormatting>
  <conditionalFormatting sqref="C33">
    <cfRule type="cellIs" dxfId="2738" priority="228" operator="equal">
      <formula>"No"</formula>
    </cfRule>
    <cfRule type="cellIs" dxfId="2737" priority="229" operator="equal">
      <formula>"NA"</formula>
    </cfRule>
    <cfRule type="cellIs" dxfId="2736" priority="230" operator="equal">
      <formula>"Yes"</formula>
    </cfRule>
  </conditionalFormatting>
  <conditionalFormatting sqref="C34">
    <cfRule type="cellIs" dxfId="2735" priority="182" operator="equal">
      <formula>"No"</formula>
    </cfRule>
    <cfRule type="cellIs" dxfId="2734" priority="183" operator="equal">
      <formula>"NA"</formula>
    </cfRule>
    <cfRule type="cellIs" dxfId="2733" priority="184" operator="equal">
      <formula>"Yes"</formula>
    </cfRule>
  </conditionalFormatting>
  <conditionalFormatting sqref="C36">
    <cfRule type="cellIs" dxfId="2732" priority="136" operator="equal">
      <formula>"No"</formula>
    </cfRule>
    <cfRule type="cellIs" dxfId="2731" priority="137" operator="equal">
      <formula>"NA"</formula>
    </cfRule>
    <cfRule type="cellIs" dxfId="2730" priority="138" operator="equal">
      <formula>"Yes"</formula>
    </cfRule>
  </conditionalFormatting>
  <conditionalFormatting sqref="C37">
    <cfRule type="cellIs" dxfId="2729" priority="90" operator="equal">
      <formula>"No"</formula>
    </cfRule>
    <cfRule type="cellIs" dxfId="2728" priority="91" operator="equal">
      <formula>"NA"</formula>
    </cfRule>
    <cfRule type="cellIs" dxfId="2727" priority="92" operator="equal">
      <formula>"Yes"</formula>
    </cfRule>
  </conditionalFormatting>
  <conditionalFormatting sqref="C39">
    <cfRule type="cellIs" dxfId="2726" priority="44" operator="equal">
      <formula>"No"</formula>
    </cfRule>
    <cfRule type="cellIs" dxfId="2725" priority="45" operator="equal">
      <formula>"NA"</formula>
    </cfRule>
    <cfRule type="cellIs" dxfId="2724"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workbookViewId="0"/>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689</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690</v>
      </c>
      <c r="C5" s="149"/>
      <c r="D5" s="149"/>
      <c r="E5" s="215"/>
      <c r="F5" s="215"/>
    </row>
    <row r="6" spans="1:7" ht="38.25">
      <c r="A6" s="151" t="s">
        <v>691</v>
      </c>
      <c r="B6" s="160" t="s">
        <v>692</v>
      </c>
      <c r="C6" s="209"/>
      <c r="D6" s="210"/>
      <c r="E6" s="150"/>
      <c r="F6" s="150"/>
    </row>
    <row r="7" spans="1:7" ht="25.5">
      <c r="A7" s="151" t="s">
        <v>693</v>
      </c>
      <c r="B7" s="160" t="s">
        <v>694</v>
      </c>
      <c r="C7" s="209"/>
      <c r="D7" s="210"/>
      <c r="E7" s="150"/>
      <c r="F7" s="150"/>
    </row>
    <row r="8" spans="1:7" ht="76.5">
      <c r="A8" s="151" t="s">
        <v>695</v>
      </c>
      <c r="B8" s="160" t="s">
        <v>696</v>
      </c>
      <c r="C8" s="209"/>
      <c r="D8" s="210"/>
      <c r="E8" s="152" t="s">
        <v>697</v>
      </c>
      <c r="F8" s="150"/>
    </row>
    <row r="9" spans="1:7" ht="18.75">
      <c r="A9" s="148"/>
      <c r="B9" s="157" t="s">
        <v>698</v>
      </c>
      <c r="C9" s="149"/>
      <c r="D9" s="149"/>
      <c r="E9" s="215"/>
      <c r="F9" s="215"/>
    </row>
    <row r="10" spans="1:7" ht="38.25">
      <c r="A10" s="151" t="s">
        <v>699</v>
      </c>
      <c r="B10" s="160" t="s">
        <v>700</v>
      </c>
      <c r="C10" s="209"/>
      <c r="D10" s="210"/>
      <c r="E10" s="150"/>
      <c r="F10" s="150"/>
    </row>
    <row r="11" spans="1:7" ht="18.75">
      <c r="A11" s="148"/>
      <c r="B11" s="157" t="s">
        <v>701</v>
      </c>
      <c r="C11" s="149"/>
      <c r="D11" s="149"/>
      <c r="E11" s="215"/>
      <c r="F11" s="215"/>
    </row>
    <row r="12" spans="1:7" ht="51">
      <c r="A12" s="151" t="s">
        <v>702</v>
      </c>
      <c r="B12" s="160" t="s">
        <v>703</v>
      </c>
      <c r="C12" s="209"/>
      <c r="D12" s="210"/>
      <c r="E12" s="150"/>
      <c r="F12" s="150"/>
    </row>
    <row r="13" spans="1:7" ht="25.5">
      <c r="A13" s="151" t="s">
        <v>704</v>
      </c>
      <c r="B13" s="160" t="s">
        <v>705</v>
      </c>
      <c r="C13" s="209"/>
      <c r="D13" s="210"/>
      <c r="E13" s="150"/>
      <c r="F13" s="150"/>
    </row>
    <row r="14" spans="1:7" ht="38.25">
      <c r="A14" s="151" t="s">
        <v>706</v>
      </c>
      <c r="B14" s="160" t="s">
        <v>707</v>
      </c>
      <c r="C14" s="209"/>
      <c r="D14" s="210"/>
      <c r="E14" s="150"/>
      <c r="F14" s="150"/>
    </row>
    <row r="15" spans="1:7" ht="38.25">
      <c r="A15" s="151" t="s">
        <v>708</v>
      </c>
      <c r="B15" s="160" t="s">
        <v>709</v>
      </c>
      <c r="C15" s="209"/>
      <c r="D15" s="210"/>
      <c r="E15" s="150"/>
      <c r="F15" s="150"/>
    </row>
    <row r="16" spans="1:7" ht="38.25">
      <c r="A16" s="151" t="s">
        <v>710</v>
      </c>
      <c r="B16" s="160" t="s">
        <v>711</v>
      </c>
      <c r="C16" s="209"/>
      <c r="D16" s="210"/>
      <c r="E16" s="150"/>
      <c r="F16" s="150"/>
    </row>
    <row r="17" spans="1:6" ht="38.25">
      <c r="A17" s="151" t="s">
        <v>712</v>
      </c>
      <c r="B17" s="160" t="s">
        <v>713</v>
      </c>
      <c r="C17" s="209"/>
      <c r="D17" s="210"/>
      <c r="E17" s="150"/>
      <c r="F17" s="150"/>
    </row>
    <row r="18" spans="1:6" ht="25.5">
      <c r="A18" s="151" t="s">
        <v>714</v>
      </c>
      <c r="B18" s="160" t="s">
        <v>715</v>
      </c>
      <c r="C18" s="209"/>
      <c r="D18" s="210"/>
      <c r="E18" s="150"/>
      <c r="F18" s="150"/>
    </row>
    <row r="19" spans="1:6" ht="38.25">
      <c r="A19" s="151" t="s">
        <v>716</v>
      </c>
      <c r="B19" s="160" t="s">
        <v>717</v>
      </c>
      <c r="C19" s="209"/>
      <c r="D19" s="210"/>
      <c r="E19" s="150"/>
      <c r="F19" s="150"/>
    </row>
    <row r="20" spans="1:6" ht="38.25">
      <c r="A20" s="151" t="s">
        <v>718</v>
      </c>
      <c r="B20" s="160" t="s">
        <v>719</v>
      </c>
      <c r="C20" s="209"/>
      <c r="D20" s="210"/>
      <c r="E20" s="150"/>
      <c r="F20" s="150"/>
    </row>
    <row r="21" spans="1:6" ht="18.75">
      <c r="A21" s="148"/>
      <c r="B21" s="157" t="s">
        <v>720</v>
      </c>
      <c r="C21" s="149"/>
      <c r="D21" s="149"/>
      <c r="E21" s="215"/>
      <c r="F21" s="215"/>
    </row>
    <row r="22" spans="1:6" ht="51">
      <c r="A22" s="151" t="s">
        <v>721</v>
      </c>
      <c r="B22" s="160" t="s">
        <v>722</v>
      </c>
      <c r="C22" s="209"/>
      <c r="D22" s="210"/>
      <c r="E22" s="150"/>
      <c r="F22" s="150"/>
    </row>
    <row r="23" spans="1:6" ht="38.25">
      <c r="A23" s="151" t="s">
        <v>723</v>
      </c>
      <c r="B23" s="160" t="s">
        <v>724</v>
      </c>
      <c r="C23" s="209"/>
      <c r="D23" s="210"/>
      <c r="E23" s="150"/>
      <c r="F23" s="150"/>
    </row>
    <row r="24" spans="1:6" ht="178.5">
      <c r="A24" s="151" t="s">
        <v>725</v>
      </c>
      <c r="B24" s="160" t="s">
        <v>726</v>
      </c>
      <c r="C24" s="209"/>
      <c r="D24" s="210"/>
      <c r="E24" s="152" t="s">
        <v>727</v>
      </c>
      <c r="F24" s="150"/>
    </row>
    <row r="25" spans="1:6" ht="18.75">
      <c r="A25" s="148"/>
      <c r="B25" s="157" t="s">
        <v>728</v>
      </c>
      <c r="C25" s="149"/>
      <c r="D25" s="149"/>
      <c r="E25" s="215"/>
      <c r="F25" s="215"/>
    </row>
    <row r="26" spans="1:6" ht="38.25">
      <c r="A26" s="151" t="s">
        <v>729</v>
      </c>
      <c r="B26" s="160" t="s">
        <v>730</v>
      </c>
      <c r="C26" s="209"/>
      <c r="D26" s="210"/>
      <c r="E26" s="150"/>
      <c r="F26" s="150"/>
    </row>
    <row r="27" spans="1:6" ht="25.5">
      <c r="A27" s="151" t="s">
        <v>731</v>
      </c>
      <c r="B27" s="160" t="s">
        <v>732</v>
      </c>
      <c r="C27" s="209"/>
      <c r="D27" s="210"/>
      <c r="E27" s="150"/>
      <c r="F27" s="150"/>
    </row>
    <row r="28" spans="1:6" ht="38.25">
      <c r="A28" s="151" t="s">
        <v>733</v>
      </c>
      <c r="B28" s="160" t="s">
        <v>734</v>
      </c>
      <c r="C28" s="209"/>
      <c r="D28" s="210"/>
      <c r="E28" s="150"/>
      <c r="F28" s="150"/>
    </row>
    <row r="29" spans="1:6" ht="51">
      <c r="A29" s="151" t="s">
        <v>735</v>
      </c>
      <c r="B29" s="160" t="s">
        <v>736</v>
      </c>
      <c r="C29" s="209"/>
      <c r="D29" s="210"/>
      <c r="E29" s="150"/>
      <c r="F29" s="150"/>
    </row>
    <row r="30" spans="1:6" ht="38.25">
      <c r="A30" s="151" t="s">
        <v>737</v>
      </c>
      <c r="B30" s="160" t="s">
        <v>738</v>
      </c>
      <c r="C30" s="209"/>
      <c r="D30" s="210"/>
      <c r="E30" s="150"/>
      <c r="F30" s="150"/>
    </row>
    <row r="31" spans="1:6" ht="38.25">
      <c r="A31" s="151" t="s">
        <v>739</v>
      </c>
      <c r="B31" s="160" t="s">
        <v>740</v>
      </c>
      <c r="C31" s="209"/>
      <c r="D31" s="210"/>
      <c r="E31" s="150"/>
      <c r="F31" s="150"/>
    </row>
    <row r="32" spans="1:6" ht="18.75">
      <c r="A32" s="148"/>
      <c r="B32" s="157" t="s">
        <v>570</v>
      </c>
      <c r="C32" s="149"/>
      <c r="D32" s="149"/>
      <c r="E32" s="215"/>
      <c r="F32" s="215"/>
    </row>
    <row r="33" spans="1:6" ht="38.25">
      <c r="A33" s="151" t="s">
        <v>571</v>
      </c>
      <c r="B33" s="160" t="s">
        <v>572</v>
      </c>
      <c r="C33" s="209"/>
      <c r="D33" s="210"/>
      <c r="E33" s="150"/>
      <c r="F33" s="150"/>
    </row>
    <row r="34" spans="1:6" ht="25.5">
      <c r="A34" s="151" t="s">
        <v>573</v>
      </c>
      <c r="B34" s="160" t="s">
        <v>574</v>
      </c>
      <c r="C34" s="209"/>
      <c r="D34" s="210"/>
      <c r="E34" s="150"/>
      <c r="F34" s="150"/>
    </row>
    <row r="35" spans="1:6" ht="38.25">
      <c r="A35" s="151" t="s">
        <v>575</v>
      </c>
      <c r="B35" s="160" t="s">
        <v>576</v>
      </c>
      <c r="C35" s="209"/>
      <c r="D35" s="210"/>
      <c r="E35" s="150"/>
      <c r="F35" s="150"/>
    </row>
    <row r="36" spans="1:6" ht="38.25">
      <c r="A36" s="151" t="s">
        <v>577</v>
      </c>
      <c r="B36" s="160" t="s">
        <v>578</v>
      </c>
      <c r="C36" s="209"/>
      <c r="D36" s="210"/>
      <c r="E36" s="150"/>
      <c r="F36" s="150"/>
    </row>
    <row r="37" spans="1:6" ht="18.75">
      <c r="A37" s="148"/>
      <c r="B37" s="157" t="s">
        <v>579</v>
      </c>
      <c r="C37" s="149"/>
      <c r="D37" s="149"/>
      <c r="E37" s="215"/>
      <c r="F37" s="215"/>
    </row>
    <row r="38" spans="1:6" ht="38.25">
      <c r="A38" s="151" t="s">
        <v>580</v>
      </c>
      <c r="B38" s="160" t="s">
        <v>581</v>
      </c>
      <c r="C38" s="209"/>
      <c r="D38" s="210"/>
      <c r="E38" s="150"/>
      <c r="F38" s="150"/>
    </row>
    <row r="39" spans="1:6" ht="38.25">
      <c r="A39" s="151" t="s">
        <v>582</v>
      </c>
      <c r="B39" s="160" t="s">
        <v>583</v>
      </c>
      <c r="C39" s="209"/>
      <c r="D39" s="210"/>
      <c r="E39" s="150"/>
      <c r="F39" s="150"/>
    </row>
    <row r="40" spans="1:6" ht="18.75">
      <c r="A40" s="148"/>
      <c r="B40" s="157" t="s">
        <v>584</v>
      </c>
      <c r="C40" s="149"/>
      <c r="D40" s="149"/>
      <c r="E40" s="215"/>
      <c r="F40" s="215"/>
    </row>
    <row r="41" spans="1:6" ht="51">
      <c r="A41" s="151" t="s">
        <v>585</v>
      </c>
      <c r="B41" s="160" t="s">
        <v>586</v>
      </c>
      <c r="C41" s="209"/>
      <c r="D41" s="210"/>
      <c r="E41" s="150"/>
      <c r="F41" s="150"/>
    </row>
    <row r="42" spans="1:6" ht="18">
      <c r="A42" s="211"/>
      <c r="B42" s="212" t="s">
        <v>587</v>
      </c>
      <c r="C42" s="211"/>
      <c r="D42" s="211"/>
      <c r="E42" s="211"/>
      <c r="F42" s="211"/>
    </row>
    <row r="43" spans="1:6">
      <c r="A43" s="151"/>
      <c r="B43" s="160"/>
    </row>
    <row r="44" spans="1:6" ht="15">
      <c r="A44" s="213"/>
      <c r="B44" s="214" t="s">
        <v>588</v>
      </c>
      <c r="C44" s="213"/>
      <c r="D44" s="213"/>
      <c r="E44" s="213"/>
      <c r="F44" s="213"/>
    </row>
  </sheetData>
  <mergeCells count="1">
    <mergeCell ref="E2:F2"/>
  </mergeCells>
  <conditionalFormatting sqref="C6">
    <cfRule type="cellIs" dxfId="2723" priority="1332" operator="equal">
      <formula>"No"</formula>
    </cfRule>
    <cfRule type="cellIs" dxfId="2722" priority="1333" operator="equal">
      <formula>"NA"</formula>
    </cfRule>
    <cfRule type="cellIs" dxfId="2721" priority="1334" operator="equal">
      <formula>"Yes"</formula>
    </cfRule>
  </conditionalFormatting>
  <conditionalFormatting sqref="C7">
    <cfRule type="cellIs" dxfId="2720" priority="1286" operator="equal">
      <formula>"No"</formula>
    </cfRule>
    <cfRule type="cellIs" dxfId="2719" priority="1287" operator="equal">
      <formula>"NA"</formula>
    </cfRule>
    <cfRule type="cellIs" dxfId="2718" priority="1288" operator="equal">
      <formula>"Yes"</formula>
    </cfRule>
  </conditionalFormatting>
  <conditionalFormatting sqref="C8">
    <cfRule type="cellIs" dxfId="2717" priority="1240" operator="equal">
      <formula>"No"</formula>
    </cfRule>
    <cfRule type="cellIs" dxfId="2716" priority="1241" operator="equal">
      <formula>"NA"</formula>
    </cfRule>
    <cfRule type="cellIs" dxfId="2715" priority="1242" operator="equal">
      <formula>"Yes"</formula>
    </cfRule>
  </conditionalFormatting>
  <conditionalFormatting sqref="C10">
    <cfRule type="cellIs" dxfId="2714" priority="1194" operator="equal">
      <formula>"No"</formula>
    </cfRule>
    <cfRule type="cellIs" dxfId="2713" priority="1195" operator="equal">
      <formula>"NA"</formula>
    </cfRule>
    <cfRule type="cellIs" dxfId="2712" priority="1196" operator="equal">
      <formula>"Yes"</formula>
    </cfRule>
  </conditionalFormatting>
  <conditionalFormatting sqref="C12">
    <cfRule type="cellIs" dxfId="2711" priority="1148" operator="equal">
      <formula>"No"</formula>
    </cfRule>
    <cfRule type="cellIs" dxfId="2710" priority="1149" operator="equal">
      <formula>"NA"</formula>
    </cfRule>
    <cfRule type="cellIs" dxfId="2709" priority="1150" operator="equal">
      <formula>"Yes"</formula>
    </cfRule>
  </conditionalFormatting>
  <conditionalFormatting sqref="C13">
    <cfRule type="cellIs" dxfId="2708" priority="1102" operator="equal">
      <formula>"No"</formula>
    </cfRule>
    <cfRule type="cellIs" dxfId="2707" priority="1103" operator="equal">
      <formula>"NA"</formula>
    </cfRule>
    <cfRule type="cellIs" dxfId="2706" priority="1104" operator="equal">
      <formula>"Yes"</formula>
    </cfRule>
  </conditionalFormatting>
  <conditionalFormatting sqref="C14">
    <cfRule type="cellIs" dxfId="2705" priority="1056" operator="equal">
      <formula>"No"</formula>
    </cfRule>
    <cfRule type="cellIs" dxfId="2704" priority="1057" operator="equal">
      <formula>"NA"</formula>
    </cfRule>
    <cfRule type="cellIs" dxfId="2703" priority="1058" operator="equal">
      <formula>"Yes"</formula>
    </cfRule>
  </conditionalFormatting>
  <conditionalFormatting sqref="C15">
    <cfRule type="cellIs" dxfId="2702" priority="1010" operator="equal">
      <formula>"No"</formula>
    </cfRule>
    <cfRule type="cellIs" dxfId="2701" priority="1011" operator="equal">
      <formula>"NA"</formula>
    </cfRule>
    <cfRule type="cellIs" dxfId="2700" priority="1012" operator="equal">
      <formula>"Yes"</formula>
    </cfRule>
  </conditionalFormatting>
  <conditionalFormatting sqref="C16">
    <cfRule type="cellIs" dxfId="2699" priority="964" operator="equal">
      <formula>"No"</formula>
    </cfRule>
    <cfRule type="cellIs" dxfId="2698" priority="965" operator="equal">
      <formula>"NA"</formula>
    </cfRule>
    <cfRule type="cellIs" dxfId="2697" priority="966" operator="equal">
      <formula>"Yes"</formula>
    </cfRule>
  </conditionalFormatting>
  <conditionalFormatting sqref="C17">
    <cfRule type="cellIs" dxfId="2696" priority="918" operator="equal">
      <formula>"No"</formula>
    </cfRule>
    <cfRule type="cellIs" dxfId="2695" priority="919" operator="equal">
      <formula>"NA"</formula>
    </cfRule>
    <cfRule type="cellIs" dxfId="2694" priority="920" operator="equal">
      <formula>"Yes"</formula>
    </cfRule>
  </conditionalFormatting>
  <conditionalFormatting sqref="C18">
    <cfRule type="cellIs" dxfId="2693" priority="872" operator="equal">
      <formula>"No"</formula>
    </cfRule>
    <cfRule type="cellIs" dxfId="2692" priority="873" operator="equal">
      <formula>"NA"</formula>
    </cfRule>
    <cfRule type="cellIs" dxfId="2691" priority="874" operator="equal">
      <formula>"Yes"</formula>
    </cfRule>
  </conditionalFormatting>
  <conditionalFormatting sqref="C19">
    <cfRule type="cellIs" dxfId="2690" priority="826" operator="equal">
      <formula>"No"</formula>
    </cfRule>
    <cfRule type="cellIs" dxfId="2689" priority="827" operator="equal">
      <formula>"NA"</formula>
    </cfRule>
    <cfRule type="cellIs" dxfId="2688" priority="828" operator="equal">
      <formula>"Yes"</formula>
    </cfRule>
  </conditionalFormatting>
  <conditionalFormatting sqref="C20">
    <cfRule type="cellIs" dxfId="2687" priority="780" operator="equal">
      <formula>"No"</formula>
    </cfRule>
    <cfRule type="cellIs" dxfId="2686" priority="781" operator="equal">
      <formula>"NA"</formula>
    </cfRule>
    <cfRule type="cellIs" dxfId="2685" priority="782" operator="equal">
      <formula>"Yes"</formula>
    </cfRule>
  </conditionalFormatting>
  <conditionalFormatting sqref="C22">
    <cfRule type="cellIs" dxfId="2684" priority="734" operator="equal">
      <formula>"No"</formula>
    </cfRule>
    <cfRule type="cellIs" dxfId="2683" priority="735" operator="equal">
      <formula>"NA"</formula>
    </cfRule>
    <cfRule type="cellIs" dxfId="2682" priority="736" operator="equal">
      <formula>"Yes"</formula>
    </cfRule>
  </conditionalFormatting>
  <conditionalFormatting sqref="C23">
    <cfRule type="cellIs" dxfId="2681" priority="688" operator="equal">
      <formula>"No"</formula>
    </cfRule>
    <cfRule type="cellIs" dxfId="2680" priority="689" operator="equal">
      <formula>"NA"</formula>
    </cfRule>
    <cfRule type="cellIs" dxfId="2679" priority="690" operator="equal">
      <formula>"Yes"</formula>
    </cfRule>
  </conditionalFormatting>
  <conditionalFormatting sqref="C24">
    <cfRule type="cellIs" dxfId="2678" priority="642" operator="equal">
      <formula>"No"</formula>
    </cfRule>
    <cfRule type="cellIs" dxfId="2677" priority="643" operator="equal">
      <formula>"NA"</formula>
    </cfRule>
    <cfRule type="cellIs" dxfId="2676" priority="644" operator="equal">
      <formula>"Yes"</formula>
    </cfRule>
  </conditionalFormatting>
  <conditionalFormatting sqref="C26">
    <cfRule type="cellIs" dxfId="2675" priority="596" operator="equal">
      <formula>"No"</formula>
    </cfRule>
    <cfRule type="cellIs" dxfId="2674" priority="597" operator="equal">
      <formula>"NA"</formula>
    </cfRule>
    <cfRule type="cellIs" dxfId="2673" priority="598" operator="equal">
      <formula>"Yes"</formula>
    </cfRule>
  </conditionalFormatting>
  <conditionalFormatting sqref="C27">
    <cfRule type="cellIs" dxfId="2672" priority="550" operator="equal">
      <formula>"No"</formula>
    </cfRule>
    <cfRule type="cellIs" dxfId="2671" priority="551" operator="equal">
      <formula>"NA"</formula>
    </cfRule>
    <cfRule type="cellIs" dxfId="2670" priority="552" operator="equal">
      <formula>"Yes"</formula>
    </cfRule>
  </conditionalFormatting>
  <conditionalFormatting sqref="C28">
    <cfRule type="cellIs" dxfId="2669" priority="504" operator="equal">
      <formula>"No"</formula>
    </cfRule>
    <cfRule type="cellIs" dxfId="2668" priority="505" operator="equal">
      <formula>"NA"</formula>
    </cfRule>
    <cfRule type="cellIs" dxfId="2667" priority="506" operator="equal">
      <formula>"Yes"</formula>
    </cfRule>
  </conditionalFormatting>
  <conditionalFormatting sqref="C29">
    <cfRule type="cellIs" dxfId="2666" priority="458" operator="equal">
      <formula>"No"</formula>
    </cfRule>
    <cfRule type="cellIs" dxfId="2665" priority="459" operator="equal">
      <formula>"NA"</formula>
    </cfRule>
    <cfRule type="cellIs" dxfId="2664" priority="460" operator="equal">
      <formula>"Yes"</formula>
    </cfRule>
  </conditionalFormatting>
  <conditionalFormatting sqref="C30">
    <cfRule type="cellIs" dxfId="2663" priority="412" operator="equal">
      <formula>"No"</formula>
    </cfRule>
    <cfRule type="cellIs" dxfId="2662" priority="413" operator="equal">
      <formula>"NA"</formula>
    </cfRule>
    <cfRule type="cellIs" dxfId="2661" priority="414" operator="equal">
      <formula>"Yes"</formula>
    </cfRule>
  </conditionalFormatting>
  <conditionalFormatting sqref="C31">
    <cfRule type="cellIs" dxfId="2660" priority="366" operator="equal">
      <formula>"No"</formula>
    </cfRule>
    <cfRule type="cellIs" dxfId="2659" priority="367" operator="equal">
      <formula>"NA"</formula>
    </cfRule>
    <cfRule type="cellIs" dxfId="2658" priority="368" operator="equal">
      <formula>"Yes"</formula>
    </cfRule>
  </conditionalFormatting>
  <conditionalFormatting sqref="C33">
    <cfRule type="cellIs" dxfId="2657" priority="320" operator="equal">
      <formula>"No"</formula>
    </cfRule>
    <cfRule type="cellIs" dxfId="2656" priority="321" operator="equal">
      <formula>"NA"</formula>
    </cfRule>
    <cfRule type="cellIs" dxfId="2655" priority="322" operator="equal">
      <formula>"Yes"</formula>
    </cfRule>
  </conditionalFormatting>
  <conditionalFormatting sqref="C34">
    <cfRule type="cellIs" dxfId="2654" priority="274" operator="equal">
      <formula>"No"</formula>
    </cfRule>
    <cfRule type="cellIs" dxfId="2653" priority="275" operator="equal">
      <formula>"NA"</formula>
    </cfRule>
    <cfRule type="cellIs" dxfId="2652" priority="276" operator="equal">
      <formula>"Yes"</formula>
    </cfRule>
  </conditionalFormatting>
  <conditionalFormatting sqref="C35">
    <cfRule type="cellIs" dxfId="2651" priority="228" operator="equal">
      <formula>"No"</formula>
    </cfRule>
    <cfRule type="cellIs" dxfId="2650" priority="229" operator="equal">
      <formula>"NA"</formula>
    </cfRule>
    <cfRule type="cellIs" dxfId="2649" priority="230" operator="equal">
      <formula>"Yes"</formula>
    </cfRule>
  </conditionalFormatting>
  <conditionalFormatting sqref="C36">
    <cfRule type="cellIs" dxfId="2648" priority="182" operator="equal">
      <formula>"No"</formula>
    </cfRule>
    <cfRule type="cellIs" dxfId="2647" priority="183" operator="equal">
      <formula>"NA"</formula>
    </cfRule>
    <cfRule type="cellIs" dxfId="2646" priority="184" operator="equal">
      <formula>"Yes"</formula>
    </cfRule>
  </conditionalFormatting>
  <conditionalFormatting sqref="C38">
    <cfRule type="cellIs" dxfId="2645" priority="136" operator="equal">
      <formula>"No"</formula>
    </cfRule>
    <cfRule type="cellIs" dxfId="2644" priority="137" operator="equal">
      <formula>"NA"</formula>
    </cfRule>
    <cfRule type="cellIs" dxfId="2643" priority="138" operator="equal">
      <formula>"Yes"</formula>
    </cfRule>
  </conditionalFormatting>
  <conditionalFormatting sqref="C39">
    <cfRule type="cellIs" dxfId="2642" priority="90" operator="equal">
      <formula>"No"</formula>
    </cfRule>
    <cfRule type="cellIs" dxfId="2641" priority="91" operator="equal">
      <formula>"NA"</formula>
    </cfRule>
    <cfRule type="cellIs" dxfId="2640" priority="92" operator="equal">
      <formula>"Yes"</formula>
    </cfRule>
  </conditionalFormatting>
  <conditionalFormatting sqref="C41">
    <cfRule type="cellIs" dxfId="2639" priority="44" operator="equal">
      <formula>"No"</formula>
    </cfRule>
    <cfRule type="cellIs" dxfId="2638" priority="45" operator="equal">
      <formula>"NA"</formula>
    </cfRule>
    <cfRule type="cellIs" dxfId="2637"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workbookViewId="0"/>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741</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698</v>
      </c>
      <c r="C5" s="149"/>
      <c r="D5" s="149"/>
      <c r="E5" s="215"/>
      <c r="F5" s="215"/>
    </row>
    <row r="6" spans="1:7" ht="38.25">
      <c r="A6" s="151" t="s">
        <v>699</v>
      </c>
      <c r="B6" s="160" t="s">
        <v>700</v>
      </c>
      <c r="C6" s="209"/>
      <c r="D6" s="210"/>
      <c r="E6" s="150"/>
      <c r="F6" s="150"/>
    </row>
    <row r="7" spans="1:7" ht="18.75">
      <c r="A7" s="148"/>
      <c r="B7" s="157" t="s">
        <v>690</v>
      </c>
      <c r="C7" s="149"/>
      <c r="D7" s="149"/>
      <c r="E7" s="215"/>
      <c r="F7" s="215"/>
    </row>
    <row r="8" spans="1:7" ht="25.5">
      <c r="A8" s="151" t="s">
        <v>693</v>
      </c>
      <c r="B8" s="160" t="s">
        <v>694</v>
      </c>
      <c r="C8" s="209"/>
      <c r="D8" s="210"/>
      <c r="E8" s="150"/>
      <c r="F8" s="150"/>
    </row>
    <row r="9" spans="1:7" ht="76.5">
      <c r="A9" s="151" t="s">
        <v>695</v>
      </c>
      <c r="B9" s="160" t="s">
        <v>696</v>
      </c>
      <c r="C9" s="209"/>
      <c r="D9" s="210"/>
      <c r="E9" s="152" t="s">
        <v>697</v>
      </c>
      <c r="F9" s="150"/>
    </row>
    <row r="10" spans="1:7" ht="18.75">
      <c r="A10" s="148"/>
      <c r="B10" s="157" t="s">
        <v>701</v>
      </c>
      <c r="C10" s="149"/>
      <c r="D10" s="149"/>
      <c r="E10" s="215"/>
      <c r="F10" s="215"/>
    </row>
    <row r="11" spans="1:7" ht="38.25">
      <c r="A11" s="151" t="s">
        <v>742</v>
      </c>
      <c r="B11" s="160" t="s">
        <v>743</v>
      </c>
      <c r="C11" s="209"/>
      <c r="D11" s="210"/>
      <c r="E11" s="150"/>
      <c r="F11" s="150"/>
    </row>
    <row r="12" spans="1:7" ht="38.25">
      <c r="A12" s="151" t="s">
        <v>744</v>
      </c>
      <c r="B12" s="160" t="s">
        <v>745</v>
      </c>
      <c r="C12" s="209"/>
      <c r="D12" s="210"/>
      <c r="E12" s="150"/>
      <c r="F12" s="150"/>
    </row>
    <row r="13" spans="1:7" ht="38.25">
      <c r="A13" s="151" t="s">
        <v>746</v>
      </c>
      <c r="B13" s="160" t="s">
        <v>747</v>
      </c>
      <c r="C13" s="209"/>
      <c r="D13" s="210"/>
      <c r="E13" s="150"/>
      <c r="F13" s="150"/>
    </row>
    <row r="14" spans="1:7" ht="25.5">
      <c r="A14" s="151" t="s">
        <v>748</v>
      </c>
      <c r="B14" s="160" t="s">
        <v>749</v>
      </c>
      <c r="C14" s="209"/>
      <c r="D14" s="210"/>
      <c r="E14" s="150"/>
      <c r="F14" s="150"/>
    </row>
    <row r="15" spans="1:7" ht="25.5">
      <c r="A15" s="151" t="s">
        <v>750</v>
      </c>
      <c r="B15" s="160" t="s">
        <v>751</v>
      </c>
      <c r="C15" s="209"/>
      <c r="D15" s="210"/>
      <c r="E15" s="150"/>
      <c r="F15" s="150"/>
    </row>
    <row r="16" spans="1:7" ht="63.75">
      <c r="A16" s="151" t="s">
        <v>752</v>
      </c>
      <c r="B16" s="160" t="s">
        <v>753</v>
      </c>
      <c r="C16" s="209"/>
      <c r="D16" s="210"/>
      <c r="E16" s="150"/>
      <c r="F16" s="150"/>
    </row>
    <row r="17" spans="1:6" ht="18.75">
      <c r="A17" s="148"/>
      <c r="B17" s="157" t="s">
        <v>720</v>
      </c>
      <c r="C17" s="149"/>
      <c r="D17" s="149"/>
      <c r="E17" s="215"/>
      <c r="F17" s="215"/>
    </row>
    <row r="18" spans="1:6" ht="51">
      <c r="A18" s="151" t="s">
        <v>721</v>
      </c>
      <c r="B18" s="160" t="s">
        <v>722</v>
      </c>
      <c r="C18" s="209"/>
      <c r="D18" s="210"/>
      <c r="E18" s="150"/>
      <c r="F18" s="150"/>
    </row>
    <row r="19" spans="1:6" ht="38.25">
      <c r="A19" s="151" t="s">
        <v>723</v>
      </c>
      <c r="B19" s="160" t="s">
        <v>724</v>
      </c>
      <c r="C19" s="209"/>
      <c r="D19" s="210"/>
      <c r="E19" s="150"/>
      <c r="F19" s="150"/>
    </row>
    <row r="20" spans="1:6" ht="178.5">
      <c r="A20" s="151" t="s">
        <v>725</v>
      </c>
      <c r="B20" s="160" t="s">
        <v>726</v>
      </c>
      <c r="C20" s="209"/>
      <c r="D20" s="210"/>
      <c r="E20" s="152" t="s">
        <v>727</v>
      </c>
      <c r="F20" s="150"/>
    </row>
    <row r="21" spans="1:6" ht="18.75">
      <c r="A21" s="148"/>
      <c r="B21" s="157" t="s">
        <v>754</v>
      </c>
      <c r="C21" s="149"/>
      <c r="D21" s="149"/>
      <c r="E21" s="215"/>
      <c r="F21" s="215"/>
    </row>
    <row r="22" spans="1:6" ht="38.25">
      <c r="A22" s="151" t="s">
        <v>755</v>
      </c>
      <c r="B22" s="160" t="s">
        <v>756</v>
      </c>
      <c r="C22" s="209"/>
      <c r="D22" s="210"/>
      <c r="E22" s="150"/>
      <c r="F22" s="150"/>
    </row>
    <row r="23" spans="1:6" ht="51">
      <c r="A23" s="151" t="s">
        <v>757</v>
      </c>
      <c r="B23" s="160" t="s">
        <v>758</v>
      </c>
      <c r="C23" s="209"/>
      <c r="D23" s="210"/>
      <c r="E23" s="150"/>
      <c r="F23" s="150"/>
    </row>
    <row r="24" spans="1:6" ht="89.25">
      <c r="A24" s="151" t="s">
        <v>759</v>
      </c>
      <c r="B24" s="160" t="s">
        <v>760</v>
      </c>
      <c r="C24" s="209"/>
      <c r="D24" s="210"/>
      <c r="E24" s="150"/>
      <c r="F24" s="150"/>
    </row>
    <row r="25" spans="1:6" ht="51">
      <c r="A25" s="151" t="s">
        <v>761</v>
      </c>
      <c r="B25" s="160" t="s">
        <v>762</v>
      </c>
      <c r="C25" s="209"/>
      <c r="D25" s="210"/>
      <c r="E25" s="150"/>
      <c r="F25" s="150"/>
    </row>
    <row r="26" spans="1:6" ht="25.5">
      <c r="A26" s="151" t="s">
        <v>763</v>
      </c>
      <c r="B26" s="160" t="s">
        <v>764</v>
      </c>
      <c r="C26" s="209"/>
      <c r="D26" s="210"/>
      <c r="E26" s="150"/>
      <c r="F26" s="150"/>
    </row>
    <row r="27" spans="1:6" ht="18.75">
      <c r="A27" s="148"/>
      <c r="B27" s="157" t="s">
        <v>728</v>
      </c>
      <c r="C27" s="149"/>
      <c r="D27" s="149"/>
      <c r="E27" s="215"/>
      <c r="F27" s="215"/>
    </row>
    <row r="28" spans="1:6" ht="114.75">
      <c r="A28" s="151" t="s">
        <v>765</v>
      </c>
      <c r="B28" s="160" t="s">
        <v>766</v>
      </c>
      <c r="C28" s="209"/>
      <c r="D28" s="210"/>
      <c r="E28" s="150"/>
      <c r="F28" s="150"/>
    </row>
    <row r="29" spans="1:6" ht="38.25">
      <c r="A29" s="151" t="s">
        <v>767</v>
      </c>
      <c r="B29" s="160" t="s">
        <v>768</v>
      </c>
      <c r="C29" s="209"/>
      <c r="D29" s="210"/>
      <c r="E29" s="150"/>
      <c r="F29" s="150"/>
    </row>
    <row r="30" spans="1:6" ht="25.5">
      <c r="A30" s="151" t="s">
        <v>769</v>
      </c>
      <c r="B30" s="160" t="s">
        <v>770</v>
      </c>
      <c r="C30" s="209"/>
      <c r="D30" s="210"/>
      <c r="E30" s="150"/>
      <c r="F30" s="150"/>
    </row>
    <row r="31" spans="1:6" ht="38.25">
      <c r="A31" s="151" t="s">
        <v>771</v>
      </c>
      <c r="B31" s="160" t="s">
        <v>772</v>
      </c>
      <c r="C31" s="209"/>
      <c r="D31" s="210"/>
      <c r="E31" s="150"/>
      <c r="F31" s="150"/>
    </row>
    <row r="32" spans="1:6" ht="38.25">
      <c r="A32" s="151" t="s">
        <v>773</v>
      </c>
      <c r="B32" s="160" t="s">
        <v>774</v>
      </c>
      <c r="C32" s="209"/>
      <c r="D32" s="210"/>
      <c r="E32" s="150"/>
      <c r="F32" s="150"/>
    </row>
    <row r="33" spans="1:6" ht="25.5">
      <c r="A33" s="151" t="s">
        <v>775</v>
      </c>
      <c r="B33" s="160" t="s">
        <v>776</v>
      </c>
      <c r="C33" s="209"/>
      <c r="D33" s="210"/>
      <c r="E33" s="150"/>
      <c r="F33" s="150"/>
    </row>
    <row r="34" spans="1:6" ht="51">
      <c r="A34" s="151" t="s">
        <v>777</v>
      </c>
      <c r="B34" s="160" t="s">
        <v>778</v>
      </c>
      <c r="C34" s="209"/>
      <c r="D34" s="210"/>
      <c r="E34" s="150"/>
      <c r="F34" s="150"/>
    </row>
    <row r="35" spans="1:6" ht="63.75">
      <c r="A35" s="151" t="s">
        <v>779</v>
      </c>
      <c r="B35" s="160" t="s">
        <v>780</v>
      </c>
      <c r="C35" s="209"/>
      <c r="D35" s="210"/>
      <c r="E35" s="150"/>
      <c r="F35" s="150"/>
    </row>
    <row r="36" spans="1:6" ht="38.25">
      <c r="A36" s="151" t="s">
        <v>781</v>
      </c>
      <c r="B36" s="160" t="s">
        <v>782</v>
      </c>
      <c r="C36" s="209"/>
      <c r="D36" s="210"/>
      <c r="E36" s="150"/>
      <c r="F36" s="150"/>
    </row>
    <row r="37" spans="1:6" ht="38.25">
      <c r="A37" s="151" t="s">
        <v>783</v>
      </c>
      <c r="B37" s="160" t="s">
        <v>784</v>
      </c>
      <c r="C37" s="209"/>
      <c r="D37" s="210"/>
      <c r="E37" s="150"/>
      <c r="F37" s="150"/>
    </row>
    <row r="38" spans="1:6" ht="38.25">
      <c r="A38" s="151" t="s">
        <v>785</v>
      </c>
      <c r="B38" s="160" t="s">
        <v>786</v>
      </c>
      <c r="C38" s="209"/>
      <c r="D38" s="210"/>
      <c r="E38" s="150"/>
      <c r="F38" s="150"/>
    </row>
    <row r="39" spans="1:6" ht="18.75">
      <c r="A39" s="148"/>
      <c r="B39" s="157" t="s">
        <v>570</v>
      </c>
      <c r="C39" s="149"/>
      <c r="D39" s="149"/>
      <c r="E39" s="215"/>
      <c r="F39" s="215"/>
    </row>
    <row r="40" spans="1:6" ht="38.25">
      <c r="A40" s="151" t="s">
        <v>571</v>
      </c>
      <c r="B40" s="160" t="s">
        <v>572</v>
      </c>
      <c r="C40" s="209"/>
      <c r="D40" s="210"/>
      <c r="E40" s="150"/>
      <c r="F40" s="150"/>
    </row>
    <row r="41" spans="1:6" ht="25.5">
      <c r="A41" s="151" t="s">
        <v>573</v>
      </c>
      <c r="B41" s="160" t="s">
        <v>574</v>
      </c>
      <c r="C41" s="209"/>
      <c r="D41" s="210"/>
      <c r="E41" s="150"/>
      <c r="F41" s="150"/>
    </row>
    <row r="42" spans="1:6" ht="38.25">
      <c r="A42" s="151" t="s">
        <v>575</v>
      </c>
      <c r="B42" s="160" t="s">
        <v>576</v>
      </c>
      <c r="C42" s="209"/>
      <c r="D42" s="210"/>
      <c r="E42" s="150"/>
      <c r="F42" s="150"/>
    </row>
    <row r="43" spans="1:6" ht="38.25">
      <c r="A43" s="151" t="s">
        <v>577</v>
      </c>
      <c r="B43" s="160" t="s">
        <v>578</v>
      </c>
      <c r="C43" s="209"/>
      <c r="D43" s="210"/>
      <c r="E43" s="150"/>
      <c r="F43" s="150"/>
    </row>
    <row r="44" spans="1:6" ht="18.75">
      <c r="A44" s="148"/>
      <c r="B44" s="157" t="s">
        <v>579</v>
      </c>
      <c r="C44" s="149"/>
      <c r="D44" s="149"/>
      <c r="E44" s="215"/>
      <c r="F44" s="215"/>
    </row>
    <row r="45" spans="1:6" ht="38.25">
      <c r="A45" s="151" t="s">
        <v>580</v>
      </c>
      <c r="B45" s="160" t="s">
        <v>581</v>
      </c>
      <c r="C45" s="209"/>
      <c r="D45" s="210"/>
      <c r="E45" s="150"/>
      <c r="F45" s="150"/>
    </row>
    <row r="46" spans="1:6" ht="38.25">
      <c r="A46" s="151" t="s">
        <v>582</v>
      </c>
      <c r="B46" s="160" t="s">
        <v>583</v>
      </c>
      <c r="C46" s="209"/>
      <c r="D46" s="210"/>
      <c r="E46" s="150"/>
      <c r="F46" s="150"/>
    </row>
    <row r="47" spans="1:6" ht="18.75">
      <c r="A47" s="148"/>
      <c r="B47" s="157" t="s">
        <v>584</v>
      </c>
      <c r="C47" s="149"/>
      <c r="D47" s="149"/>
      <c r="E47" s="215"/>
      <c r="F47" s="215"/>
    </row>
    <row r="48" spans="1:6" ht="51">
      <c r="A48" s="151" t="s">
        <v>585</v>
      </c>
      <c r="B48" s="160" t="s">
        <v>586</v>
      </c>
      <c r="C48" s="209"/>
      <c r="D48" s="210"/>
      <c r="E48" s="150"/>
      <c r="F48" s="150"/>
    </row>
    <row r="49" spans="1:6" ht="18">
      <c r="A49" s="211"/>
      <c r="B49" s="212" t="s">
        <v>587</v>
      </c>
      <c r="C49" s="211"/>
      <c r="D49" s="211"/>
      <c r="E49" s="211"/>
      <c r="F49" s="211"/>
    </row>
    <row r="50" spans="1:6">
      <c r="A50" s="151"/>
      <c r="B50" s="160"/>
    </row>
    <row r="51" spans="1:6" ht="15">
      <c r="A51" s="213"/>
      <c r="B51" s="214" t="s">
        <v>588</v>
      </c>
      <c r="C51" s="213"/>
      <c r="D51" s="213"/>
      <c r="E51" s="213"/>
      <c r="F51" s="213"/>
    </row>
  </sheetData>
  <mergeCells count="1">
    <mergeCell ref="E2:F2"/>
  </mergeCells>
  <conditionalFormatting sqref="C6">
    <cfRule type="cellIs" dxfId="2636" priority="1608" operator="equal">
      <formula>"No"</formula>
    </cfRule>
    <cfRule type="cellIs" dxfId="2635" priority="1609" operator="equal">
      <formula>"NA"</formula>
    </cfRule>
    <cfRule type="cellIs" dxfId="2634" priority="1610" operator="equal">
      <formula>"Yes"</formula>
    </cfRule>
  </conditionalFormatting>
  <conditionalFormatting sqref="C8">
    <cfRule type="cellIs" dxfId="2633" priority="1562" operator="equal">
      <formula>"No"</formula>
    </cfRule>
    <cfRule type="cellIs" dxfId="2632" priority="1563" operator="equal">
      <formula>"NA"</formula>
    </cfRule>
    <cfRule type="cellIs" dxfId="2631" priority="1564" operator="equal">
      <formula>"Yes"</formula>
    </cfRule>
  </conditionalFormatting>
  <conditionalFormatting sqref="C9">
    <cfRule type="cellIs" dxfId="2630" priority="1516" operator="equal">
      <formula>"No"</formula>
    </cfRule>
    <cfRule type="cellIs" dxfId="2629" priority="1517" operator="equal">
      <formula>"NA"</formula>
    </cfRule>
    <cfRule type="cellIs" dxfId="2628" priority="1518" operator="equal">
      <formula>"Yes"</formula>
    </cfRule>
  </conditionalFormatting>
  <conditionalFormatting sqref="C11">
    <cfRule type="cellIs" dxfId="2627" priority="1470" operator="equal">
      <formula>"No"</formula>
    </cfRule>
    <cfRule type="cellIs" dxfId="2626" priority="1471" operator="equal">
      <formula>"NA"</formula>
    </cfRule>
    <cfRule type="cellIs" dxfId="2625" priority="1472" operator="equal">
      <formula>"Yes"</formula>
    </cfRule>
  </conditionalFormatting>
  <conditionalFormatting sqref="C12">
    <cfRule type="cellIs" dxfId="2624" priority="1424" operator="equal">
      <formula>"No"</formula>
    </cfRule>
    <cfRule type="cellIs" dxfId="2623" priority="1425" operator="equal">
      <formula>"NA"</formula>
    </cfRule>
    <cfRule type="cellIs" dxfId="2622" priority="1426" operator="equal">
      <formula>"Yes"</formula>
    </cfRule>
  </conditionalFormatting>
  <conditionalFormatting sqref="C13">
    <cfRule type="cellIs" dxfId="2621" priority="1378" operator="equal">
      <formula>"No"</formula>
    </cfRule>
    <cfRule type="cellIs" dxfId="2620" priority="1379" operator="equal">
      <formula>"NA"</formula>
    </cfRule>
    <cfRule type="cellIs" dxfId="2619" priority="1380" operator="equal">
      <formula>"Yes"</formula>
    </cfRule>
  </conditionalFormatting>
  <conditionalFormatting sqref="C14">
    <cfRule type="cellIs" dxfId="2618" priority="1332" operator="equal">
      <formula>"No"</formula>
    </cfRule>
    <cfRule type="cellIs" dxfId="2617" priority="1333" operator="equal">
      <formula>"NA"</formula>
    </cfRule>
    <cfRule type="cellIs" dxfId="2616" priority="1334" operator="equal">
      <formula>"Yes"</formula>
    </cfRule>
  </conditionalFormatting>
  <conditionalFormatting sqref="C15">
    <cfRule type="cellIs" dxfId="2615" priority="1286" operator="equal">
      <formula>"No"</formula>
    </cfRule>
    <cfRule type="cellIs" dxfId="2614" priority="1287" operator="equal">
      <formula>"NA"</formula>
    </cfRule>
    <cfRule type="cellIs" dxfId="2613" priority="1288" operator="equal">
      <formula>"Yes"</formula>
    </cfRule>
  </conditionalFormatting>
  <conditionalFormatting sqref="C16">
    <cfRule type="cellIs" dxfId="2612" priority="1240" operator="equal">
      <formula>"No"</formula>
    </cfRule>
    <cfRule type="cellIs" dxfId="2611" priority="1241" operator="equal">
      <formula>"NA"</formula>
    </cfRule>
    <cfRule type="cellIs" dxfId="2610" priority="1242" operator="equal">
      <formula>"Yes"</formula>
    </cfRule>
  </conditionalFormatting>
  <conditionalFormatting sqref="C18">
    <cfRule type="cellIs" dxfId="2609" priority="1194" operator="equal">
      <formula>"No"</formula>
    </cfRule>
    <cfRule type="cellIs" dxfId="2608" priority="1195" operator="equal">
      <formula>"NA"</formula>
    </cfRule>
    <cfRule type="cellIs" dxfId="2607" priority="1196" operator="equal">
      <formula>"Yes"</formula>
    </cfRule>
  </conditionalFormatting>
  <conditionalFormatting sqref="C19">
    <cfRule type="cellIs" dxfId="2606" priority="1148" operator="equal">
      <formula>"No"</formula>
    </cfRule>
    <cfRule type="cellIs" dxfId="2605" priority="1149" operator="equal">
      <formula>"NA"</formula>
    </cfRule>
    <cfRule type="cellIs" dxfId="2604" priority="1150" operator="equal">
      <formula>"Yes"</formula>
    </cfRule>
  </conditionalFormatting>
  <conditionalFormatting sqref="C20">
    <cfRule type="cellIs" dxfId="2603" priority="1102" operator="equal">
      <formula>"No"</formula>
    </cfRule>
    <cfRule type="cellIs" dxfId="2602" priority="1103" operator="equal">
      <formula>"NA"</formula>
    </cfRule>
    <cfRule type="cellIs" dxfId="2601" priority="1104" operator="equal">
      <formula>"Yes"</formula>
    </cfRule>
  </conditionalFormatting>
  <conditionalFormatting sqref="C22">
    <cfRule type="cellIs" dxfId="2600" priority="1056" operator="equal">
      <formula>"No"</formula>
    </cfRule>
    <cfRule type="cellIs" dxfId="2599" priority="1057" operator="equal">
      <formula>"NA"</formula>
    </cfRule>
    <cfRule type="cellIs" dxfId="2598" priority="1058" operator="equal">
      <formula>"Yes"</formula>
    </cfRule>
  </conditionalFormatting>
  <conditionalFormatting sqref="C23">
    <cfRule type="cellIs" dxfId="2597" priority="1010" operator="equal">
      <formula>"No"</formula>
    </cfRule>
    <cfRule type="cellIs" dxfId="2596" priority="1011" operator="equal">
      <formula>"NA"</formula>
    </cfRule>
    <cfRule type="cellIs" dxfId="2595" priority="1012" operator="equal">
      <formula>"Yes"</formula>
    </cfRule>
  </conditionalFormatting>
  <conditionalFormatting sqref="C24">
    <cfRule type="cellIs" dxfId="2594" priority="964" operator="equal">
      <formula>"No"</formula>
    </cfRule>
    <cfRule type="cellIs" dxfId="2593" priority="965" operator="equal">
      <formula>"NA"</formula>
    </cfRule>
    <cfRule type="cellIs" dxfId="2592" priority="966" operator="equal">
      <formula>"Yes"</formula>
    </cfRule>
  </conditionalFormatting>
  <conditionalFormatting sqref="C25">
    <cfRule type="cellIs" dxfId="2591" priority="918" operator="equal">
      <formula>"No"</formula>
    </cfRule>
    <cfRule type="cellIs" dxfId="2590" priority="919" operator="equal">
      <formula>"NA"</formula>
    </cfRule>
    <cfRule type="cellIs" dxfId="2589" priority="920" operator="equal">
      <formula>"Yes"</formula>
    </cfRule>
  </conditionalFormatting>
  <conditionalFormatting sqref="C26">
    <cfRule type="cellIs" dxfId="2588" priority="872" operator="equal">
      <formula>"No"</formula>
    </cfRule>
    <cfRule type="cellIs" dxfId="2587" priority="873" operator="equal">
      <formula>"NA"</formula>
    </cfRule>
    <cfRule type="cellIs" dxfId="2586" priority="874" operator="equal">
      <formula>"Yes"</formula>
    </cfRule>
  </conditionalFormatting>
  <conditionalFormatting sqref="C28">
    <cfRule type="cellIs" dxfId="2585" priority="826" operator="equal">
      <formula>"No"</formula>
    </cfRule>
    <cfRule type="cellIs" dxfId="2584" priority="827" operator="equal">
      <formula>"NA"</formula>
    </cfRule>
    <cfRule type="cellIs" dxfId="2583" priority="828" operator="equal">
      <formula>"Yes"</formula>
    </cfRule>
  </conditionalFormatting>
  <conditionalFormatting sqref="C29">
    <cfRule type="cellIs" dxfId="2582" priority="780" operator="equal">
      <formula>"No"</formula>
    </cfRule>
    <cfRule type="cellIs" dxfId="2581" priority="781" operator="equal">
      <formula>"NA"</formula>
    </cfRule>
    <cfRule type="cellIs" dxfId="2580" priority="782" operator="equal">
      <formula>"Yes"</formula>
    </cfRule>
  </conditionalFormatting>
  <conditionalFormatting sqref="C30">
    <cfRule type="cellIs" dxfId="2579" priority="734" operator="equal">
      <formula>"No"</formula>
    </cfRule>
    <cfRule type="cellIs" dxfId="2578" priority="735" operator="equal">
      <formula>"NA"</formula>
    </cfRule>
    <cfRule type="cellIs" dxfId="2577" priority="736" operator="equal">
      <formula>"Yes"</formula>
    </cfRule>
  </conditionalFormatting>
  <conditionalFormatting sqref="C31">
    <cfRule type="cellIs" dxfId="2576" priority="688" operator="equal">
      <formula>"No"</formula>
    </cfRule>
    <cfRule type="cellIs" dxfId="2575" priority="689" operator="equal">
      <formula>"NA"</formula>
    </cfRule>
    <cfRule type="cellIs" dxfId="2574" priority="690" operator="equal">
      <formula>"Yes"</formula>
    </cfRule>
  </conditionalFormatting>
  <conditionalFormatting sqref="C32">
    <cfRule type="cellIs" dxfId="2573" priority="642" operator="equal">
      <formula>"No"</formula>
    </cfRule>
    <cfRule type="cellIs" dxfId="2572" priority="643" operator="equal">
      <formula>"NA"</formula>
    </cfRule>
    <cfRule type="cellIs" dxfId="2571" priority="644" operator="equal">
      <formula>"Yes"</formula>
    </cfRule>
  </conditionalFormatting>
  <conditionalFormatting sqref="C33">
    <cfRule type="cellIs" dxfId="2570" priority="596" operator="equal">
      <formula>"No"</formula>
    </cfRule>
    <cfRule type="cellIs" dxfId="2569" priority="597" operator="equal">
      <formula>"NA"</formula>
    </cfRule>
    <cfRule type="cellIs" dxfId="2568" priority="598" operator="equal">
      <formula>"Yes"</formula>
    </cfRule>
  </conditionalFormatting>
  <conditionalFormatting sqref="C34">
    <cfRule type="cellIs" dxfId="2567" priority="550" operator="equal">
      <formula>"No"</formula>
    </cfRule>
    <cfRule type="cellIs" dxfId="2566" priority="551" operator="equal">
      <formula>"NA"</formula>
    </cfRule>
    <cfRule type="cellIs" dxfId="2565" priority="552" operator="equal">
      <formula>"Yes"</formula>
    </cfRule>
  </conditionalFormatting>
  <conditionalFormatting sqref="C35">
    <cfRule type="cellIs" dxfId="2564" priority="504" operator="equal">
      <formula>"No"</formula>
    </cfRule>
    <cfRule type="cellIs" dxfId="2563" priority="505" operator="equal">
      <formula>"NA"</formula>
    </cfRule>
    <cfRule type="cellIs" dxfId="2562" priority="506" operator="equal">
      <formula>"Yes"</formula>
    </cfRule>
  </conditionalFormatting>
  <conditionalFormatting sqref="C36">
    <cfRule type="cellIs" dxfId="2561" priority="458" operator="equal">
      <formula>"No"</formula>
    </cfRule>
    <cfRule type="cellIs" dxfId="2560" priority="459" operator="equal">
      <formula>"NA"</formula>
    </cfRule>
    <cfRule type="cellIs" dxfId="2559" priority="460" operator="equal">
      <formula>"Yes"</formula>
    </cfRule>
  </conditionalFormatting>
  <conditionalFormatting sqref="C37">
    <cfRule type="cellIs" dxfId="2558" priority="412" operator="equal">
      <formula>"No"</formula>
    </cfRule>
    <cfRule type="cellIs" dxfId="2557" priority="413" operator="equal">
      <formula>"NA"</formula>
    </cfRule>
    <cfRule type="cellIs" dxfId="2556" priority="414" operator="equal">
      <formula>"Yes"</formula>
    </cfRule>
  </conditionalFormatting>
  <conditionalFormatting sqref="C38">
    <cfRule type="cellIs" dxfId="2555" priority="366" operator="equal">
      <formula>"No"</formula>
    </cfRule>
    <cfRule type="cellIs" dxfId="2554" priority="367" operator="equal">
      <formula>"NA"</formula>
    </cfRule>
    <cfRule type="cellIs" dxfId="2553" priority="368" operator="equal">
      <formula>"Yes"</formula>
    </cfRule>
  </conditionalFormatting>
  <conditionalFormatting sqref="C40">
    <cfRule type="cellIs" dxfId="2552" priority="320" operator="equal">
      <formula>"No"</formula>
    </cfRule>
    <cfRule type="cellIs" dxfId="2551" priority="321" operator="equal">
      <formula>"NA"</formula>
    </cfRule>
    <cfRule type="cellIs" dxfId="2550" priority="322" operator="equal">
      <formula>"Yes"</formula>
    </cfRule>
  </conditionalFormatting>
  <conditionalFormatting sqref="C41">
    <cfRule type="cellIs" dxfId="2549" priority="274" operator="equal">
      <formula>"No"</formula>
    </cfRule>
    <cfRule type="cellIs" dxfId="2548" priority="275" operator="equal">
      <formula>"NA"</formula>
    </cfRule>
    <cfRule type="cellIs" dxfId="2547" priority="276" operator="equal">
      <formula>"Yes"</formula>
    </cfRule>
  </conditionalFormatting>
  <conditionalFormatting sqref="C42">
    <cfRule type="cellIs" dxfId="2546" priority="228" operator="equal">
      <formula>"No"</formula>
    </cfRule>
    <cfRule type="cellIs" dxfId="2545" priority="229" operator="equal">
      <formula>"NA"</formula>
    </cfRule>
    <cfRule type="cellIs" dxfId="2544" priority="230" operator="equal">
      <formula>"Yes"</formula>
    </cfRule>
  </conditionalFormatting>
  <conditionalFormatting sqref="C43">
    <cfRule type="cellIs" dxfId="2543" priority="182" operator="equal">
      <formula>"No"</formula>
    </cfRule>
    <cfRule type="cellIs" dxfId="2542" priority="183" operator="equal">
      <formula>"NA"</formula>
    </cfRule>
    <cfRule type="cellIs" dxfId="2541" priority="184" operator="equal">
      <formula>"Yes"</formula>
    </cfRule>
  </conditionalFormatting>
  <conditionalFormatting sqref="C45">
    <cfRule type="cellIs" dxfId="2540" priority="136" operator="equal">
      <formula>"No"</formula>
    </cfRule>
    <cfRule type="cellIs" dxfId="2539" priority="137" operator="equal">
      <formula>"NA"</formula>
    </cfRule>
    <cfRule type="cellIs" dxfId="2538" priority="138" operator="equal">
      <formula>"Yes"</formula>
    </cfRule>
  </conditionalFormatting>
  <conditionalFormatting sqref="C46">
    <cfRule type="cellIs" dxfId="2537" priority="90" operator="equal">
      <formula>"No"</formula>
    </cfRule>
    <cfRule type="cellIs" dxfId="2536" priority="91" operator="equal">
      <formula>"NA"</formula>
    </cfRule>
    <cfRule type="cellIs" dxfId="2535" priority="92" operator="equal">
      <formula>"Yes"</formula>
    </cfRule>
  </conditionalFormatting>
  <conditionalFormatting sqref="C48">
    <cfRule type="cellIs" dxfId="2534" priority="44" operator="equal">
      <formula>"No"</formula>
    </cfRule>
    <cfRule type="cellIs" dxfId="2533" priority="45" operator="equal">
      <formula>"NA"</formula>
    </cfRule>
    <cfRule type="cellIs" dxfId="2532"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787</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655</v>
      </c>
      <c r="C5" s="149"/>
      <c r="D5" s="149"/>
      <c r="E5" s="215"/>
      <c r="F5" s="215"/>
    </row>
    <row r="6" spans="1:7" ht="38.25">
      <c r="A6" s="151" t="s">
        <v>788</v>
      </c>
      <c r="B6" s="160" t="s">
        <v>789</v>
      </c>
      <c r="C6" s="209"/>
      <c r="D6" s="210"/>
      <c r="E6" s="150"/>
      <c r="F6" s="150"/>
    </row>
    <row r="7" spans="1:7" ht="18.75">
      <c r="A7" s="148"/>
      <c r="B7" s="157" t="s">
        <v>790</v>
      </c>
      <c r="C7" s="149"/>
      <c r="D7" s="149"/>
      <c r="E7" s="215"/>
      <c r="F7" s="215"/>
    </row>
    <row r="8" spans="1:7" ht="51">
      <c r="A8" s="151" t="s">
        <v>791</v>
      </c>
      <c r="B8" s="160" t="s">
        <v>792</v>
      </c>
      <c r="C8" s="209"/>
      <c r="D8" s="210"/>
      <c r="E8" s="150"/>
      <c r="F8" s="150"/>
    </row>
    <row r="9" spans="1:7" ht="25.5">
      <c r="A9" s="151" t="s">
        <v>793</v>
      </c>
      <c r="B9" s="160" t="s">
        <v>794</v>
      </c>
      <c r="C9" s="209"/>
      <c r="D9" s="210"/>
      <c r="E9" s="150"/>
      <c r="F9" s="150"/>
    </row>
    <row r="10" spans="1:7" ht="38.25">
      <c r="A10" s="151" t="s">
        <v>795</v>
      </c>
      <c r="B10" s="160" t="s">
        <v>796</v>
      </c>
      <c r="C10" s="209"/>
      <c r="D10" s="210"/>
      <c r="E10" s="150"/>
      <c r="F10" s="150"/>
    </row>
    <row r="11" spans="1:7" ht="18.75">
      <c r="A11" s="148"/>
      <c r="B11" s="157" t="s">
        <v>797</v>
      </c>
      <c r="C11" s="149"/>
      <c r="D11" s="149"/>
      <c r="E11" s="215"/>
      <c r="F11" s="215"/>
    </row>
    <row r="12" spans="1:7" ht="38.25">
      <c r="A12" s="151" t="s">
        <v>798</v>
      </c>
      <c r="B12" s="160" t="s">
        <v>799</v>
      </c>
      <c r="C12" s="209"/>
      <c r="D12" s="210"/>
      <c r="E12" s="150"/>
      <c r="F12" s="150"/>
    </row>
    <row r="13" spans="1:7" ht="51">
      <c r="A13" s="151" t="s">
        <v>800</v>
      </c>
      <c r="B13" s="160" t="s">
        <v>801</v>
      </c>
      <c r="C13" s="209"/>
      <c r="D13" s="210"/>
      <c r="E13" s="150"/>
      <c r="F13" s="150"/>
    </row>
    <row r="14" spans="1:7" ht="18.75">
      <c r="A14" s="148"/>
      <c r="B14" s="157" t="s">
        <v>802</v>
      </c>
      <c r="C14" s="149"/>
      <c r="D14" s="149"/>
      <c r="E14" s="215"/>
      <c r="F14" s="215"/>
    </row>
    <row r="15" spans="1:7" ht="38.25">
      <c r="A15" s="151" t="s">
        <v>803</v>
      </c>
      <c r="B15" s="160" t="s">
        <v>804</v>
      </c>
      <c r="C15" s="209"/>
      <c r="D15" s="210"/>
      <c r="E15" s="150"/>
      <c r="F15" s="150"/>
    </row>
    <row r="16" spans="1:7" ht="18.75">
      <c r="A16" s="148"/>
      <c r="B16" s="157" t="s">
        <v>570</v>
      </c>
      <c r="C16" s="149"/>
      <c r="D16" s="149"/>
      <c r="E16" s="215"/>
      <c r="F16" s="215"/>
    </row>
    <row r="17" spans="1:6" ht="38.25">
      <c r="A17" s="151" t="s">
        <v>571</v>
      </c>
      <c r="B17" s="160" t="s">
        <v>572</v>
      </c>
      <c r="C17" s="209"/>
      <c r="D17" s="210"/>
      <c r="E17" s="150"/>
      <c r="F17" s="150"/>
    </row>
    <row r="18" spans="1:6" ht="25.5">
      <c r="A18" s="151" t="s">
        <v>573</v>
      </c>
      <c r="B18" s="160" t="s">
        <v>574</v>
      </c>
      <c r="C18" s="209"/>
      <c r="D18" s="210"/>
      <c r="E18" s="150"/>
      <c r="F18" s="150"/>
    </row>
    <row r="19" spans="1:6" ht="38.25">
      <c r="A19" s="151" t="s">
        <v>575</v>
      </c>
      <c r="B19" s="160" t="s">
        <v>576</v>
      </c>
      <c r="C19" s="209"/>
      <c r="D19" s="210"/>
      <c r="E19" s="150"/>
      <c r="F19" s="150"/>
    </row>
    <row r="20" spans="1:6" ht="38.25">
      <c r="A20" s="151" t="s">
        <v>577</v>
      </c>
      <c r="B20" s="160" t="s">
        <v>578</v>
      </c>
      <c r="C20" s="209"/>
      <c r="D20" s="210"/>
      <c r="E20" s="150"/>
      <c r="F20" s="150"/>
    </row>
    <row r="21" spans="1:6" ht="18.75">
      <c r="A21" s="148"/>
      <c r="B21" s="157" t="s">
        <v>579</v>
      </c>
      <c r="C21" s="149"/>
      <c r="D21" s="149"/>
      <c r="E21" s="215"/>
      <c r="F21" s="215"/>
    </row>
    <row r="22" spans="1:6" ht="38.25">
      <c r="A22" s="151" t="s">
        <v>580</v>
      </c>
      <c r="B22" s="160" t="s">
        <v>581</v>
      </c>
      <c r="C22" s="209"/>
      <c r="D22" s="210"/>
      <c r="E22" s="150"/>
      <c r="F22" s="150"/>
    </row>
    <row r="23" spans="1:6" ht="38.25">
      <c r="A23" s="151" t="s">
        <v>582</v>
      </c>
      <c r="B23" s="160" t="s">
        <v>583</v>
      </c>
      <c r="C23" s="209"/>
      <c r="D23" s="210"/>
      <c r="E23" s="150"/>
      <c r="F23" s="150"/>
    </row>
    <row r="24" spans="1:6" ht="18.75">
      <c r="A24" s="148"/>
      <c r="B24" s="157" t="s">
        <v>584</v>
      </c>
      <c r="C24" s="149"/>
      <c r="D24" s="149"/>
      <c r="E24" s="215"/>
      <c r="F24" s="215"/>
    </row>
    <row r="25" spans="1:6" ht="51">
      <c r="A25" s="151" t="s">
        <v>585</v>
      </c>
      <c r="B25" s="160" t="s">
        <v>586</v>
      </c>
      <c r="C25" s="209"/>
      <c r="D25" s="210"/>
      <c r="E25" s="150"/>
      <c r="F25" s="150"/>
    </row>
    <row r="26" spans="1:6" ht="18">
      <c r="A26" s="211"/>
      <c r="B26" s="212" t="s">
        <v>587</v>
      </c>
      <c r="C26" s="211"/>
      <c r="D26" s="211"/>
      <c r="E26" s="211"/>
      <c r="F26" s="211"/>
    </row>
    <row r="27" spans="1:6">
      <c r="A27" s="151"/>
      <c r="B27" s="160"/>
    </row>
    <row r="28" spans="1:6" ht="15">
      <c r="A28" s="213"/>
      <c r="B28" s="214" t="s">
        <v>588</v>
      </c>
      <c r="C28" s="213"/>
      <c r="D28" s="213"/>
      <c r="E28" s="213"/>
      <c r="F28" s="213"/>
    </row>
  </sheetData>
  <mergeCells count="1">
    <mergeCell ref="E2:F2"/>
  </mergeCells>
  <conditionalFormatting sqref="C6">
    <cfRule type="cellIs" dxfId="2531" priority="642" operator="equal">
      <formula>"No"</formula>
    </cfRule>
    <cfRule type="cellIs" dxfId="2530" priority="643" operator="equal">
      <formula>"NA"</formula>
    </cfRule>
    <cfRule type="cellIs" dxfId="2529" priority="644" operator="equal">
      <formula>"Yes"</formula>
    </cfRule>
  </conditionalFormatting>
  <conditionalFormatting sqref="C8">
    <cfRule type="cellIs" dxfId="2528" priority="596" operator="equal">
      <formula>"No"</formula>
    </cfRule>
    <cfRule type="cellIs" dxfId="2527" priority="597" operator="equal">
      <formula>"NA"</formula>
    </cfRule>
    <cfRule type="cellIs" dxfId="2526" priority="598" operator="equal">
      <formula>"Yes"</formula>
    </cfRule>
  </conditionalFormatting>
  <conditionalFormatting sqref="C9">
    <cfRule type="cellIs" dxfId="2525" priority="550" operator="equal">
      <formula>"No"</formula>
    </cfRule>
    <cfRule type="cellIs" dxfId="2524" priority="551" operator="equal">
      <formula>"NA"</formula>
    </cfRule>
    <cfRule type="cellIs" dxfId="2523" priority="552" operator="equal">
      <formula>"Yes"</formula>
    </cfRule>
  </conditionalFormatting>
  <conditionalFormatting sqref="C10">
    <cfRule type="cellIs" dxfId="2522" priority="504" operator="equal">
      <formula>"No"</formula>
    </cfRule>
    <cfRule type="cellIs" dxfId="2521" priority="505" operator="equal">
      <formula>"NA"</formula>
    </cfRule>
    <cfRule type="cellIs" dxfId="2520" priority="506" operator="equal">
      <formula>"Yes"</formula>
    </cfRule>
  </conditionalFormatting>
  <conditionalFormatting sqref="C12">
    <cfRule type="cellIs" dxfId="2519" priority="458" operator="equal">
      <formula>"No"</formula>
    </cfRule>
    <cfRule type="cellIs" dxfId="2518" priority="459" operator="equal">
      <formula>"NA"</formula>
    </cfRule>
    <cfRule type="cellIs" dxfId="2517" priority="460" operator="equal">
      <formula>"Yes"</formula>
    </cfRule>
  </conditionalFormatting>
  <conditionalFormatting sqref="C13">
    <cfRule type="cellIs" dxfId="2516" priority="412" operator="equal">
      <formula>"No"</formula>
    </cfRule>
    <cfRule type="cellIs" dxfId="2515" priority="413" operator="equal">
      <formula>"NA"</formula>
    </cfRule>
    <cfRule type="cellIs" dxfId="2514" priority="414" operator="equal">
      <formula>"Yes"</formula>
    </cfRule>
  </conditionalFormatting>
  <conditionalFormatting sqref="C15">
    <cfRule type="cellIs" dxfId="2513" priority="366" operator="equal">
      <formula>"No"</formula>
    </cfRule>
    <cfRule type="cellIs" dxfId="2512" priority="367" operator="equal">
      <formula>"NA"</formula>
    </cfRule>
    <cfRule type="cellIs" dxfId="2511" priority="368" operator="equal">
      <formula>"Yes"</formula>
    </cfRule>
  </conditionalFormatting>
  <conditionalFormatting sqref="C17">
    <cfRule type="cellIs" dxfId="2510" priority="320" operator="equal">
      <formula>"No"</formula>
    </cfRule>
    <cfRule type="cellIs" dxfId="2509" priority="321" operator="equal">
      <formula>"NA"</formula>
    </cfRule>
    <cfRule type="cellIs" dxfId="2508" priority="322" operator="equal">
      <formula>"Yes"</formula>
    </cfRule>
  </conditionalFormatting>
  <conditionalFormatting sqref="C18">
    <cfRule type="cellIs" dxfId="2507" priority="274" operator="equal">
      <formula>"No"</formula>
    </cfRule>
    <cfRule type="cellIs" dxfId="2506" priority="275" operator="equal">
      <formula>"NA"</formula>
    </cfRule>
    <cfRule type="cellIs" dxfId="2505" priority="276" operator="equal">
      <formula>"Yes"</formula>
    </cfRule>
  </conditionalFormatting>
  <conditionalFormatting sqref="C19">
    <cfRule type="cellIs" dxfId="2504" priority="228" operator="equal">
      <formula>"No"</formula>
    </cfRule>
    <cfRule type="cellIs" dxfId="2503" priority="229" operator="equal">
      <formula>"NA"</formula>
    </cfRule>
    <cfRule type="cellIs" dxfId="2502" priority="230" operator="equal">
      <formula>"Yes"</formula>
    </cfRule>
  </conditionalFormatting>
  <conditionalFormatting sqref="C20">
    <cfRule type="cellIs" dxfId="2501" priority="182" operator="equal">
      <formula>"No"</formula>
    </cfRule>
    <cfRule type="cellIs" dxfId="2500" priority="183" operator="equal">
      <formula>"NA"</formula>
    </cfRule>
    <cfRule type="cellIs" dxfId="2499" priority="184" operator="equal">
      <formula>"Yes"</formula>
    </cfRule>
  </conditionalFormatting>
  <conditionalFormatting sqref="C22">
    <cfRule type="cellIs" dxfId="2498" priority="136" operator="equal">
      <formula>"No"</formula>
    </cfRule>
    <cfRule type="cellIs" dxfId="2497" priority="137" operator="equal">
      <formula>"NA"</formula>
    </cfRule>
    <cfRule type="cellIs" dxfId="2496" priority="138" operator="equal">
      <formula>"Yes"</formula>
    </cfRule>
  </conditionalFormatting>
  <conditionalFormatting sqref="C23">
    <cfRule type="cellIs" dxfId="2495" priority="90" operator="equal">
      <formula>"No"</formula>
    </cfRule>
    <cfRule type="cellIs" dxfId="2494" priority="91" operator="equal">
      <formula>"NA"</formula>
    </cfRule>
    <cfRule type="cellIs" dxfId="2493" priority="92" operator="equal">
      <formula>"Yes"</formula>
    </cfRule>
  </conditionalFormatting>
  <conditionalFormatting sqref="C25">
    <cfRule type="cellIs" dxfId="2492" priority="44" operator="equal">
      <formula>"No"</formula>
    </cfRule>
    <cfRule type="cellIs" dxfId="2491" priority="45" operator="equal">
      <formula>"NA"</formula>
    </cfRule>
    <cfRule type="cellIs" dxfId="2490"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805</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698</v>
      </c>
      <c r="C5" s="149"/>
      <c r="D5" s="149"/>
      <c r="E5" s="215"/>
      <c r="F5" s="215"/>
    </row>
    <row r="6" spans="1:7" ht="25.5">
      <c r="A6" s="151" t="s">
        <v>806</v>
      </c>
      <c r="B6" s="160" t="s">
        <v>807</v>
      </c>
      <c r="C6" s="209"/>
      <c r="D6" s="210"/>
      <c r="E6" s="150"/>
      <c r="F6" s="150"/>
    </row>
    <row r="7" spans="1:7" ht="38.25">
      <c r="A7" s="151" t="s">
        <v>808</v>
      </c>
      <c r="B7" s="160" t="s">
        <v>809</v>
      </c>
      <c r="C7" s="209"/>
      <c r="D7" s="210"/>
      <c r="E7" s="150"/>
      <c r="F7" s="150"/>
    </row>
    <row r="8" spans="1:7" ht="38.25">
      <c r="A8" s="151" t="s">
        <v>810</v>
      </c>
      <c r="B8" s="160" t="s">
        <v>811</v>
      </c>
      <c r="C8" s="209"/>
      <c r="D8" s="210"/>
      <c r="E8" s="150"/>
      <c r="F8" s="150"/>
    </row>
    <row r="9" spans="1:7" ht="38.25">
      <c r="A9" s="151" t="s">
        <v>812</v>
      </c>
      <c r="B9" s="160" t="s">
        <v>813</v>
      </c>
      <c r="C9" s="209"/>
      <c r="D9" s="210"/>
      <c r="E9" s="150"/>
      <c r="F9" s="150"/>
    </row>
    <row r="10" spans="1:7" ht="76.5">
      <c r="A10" s="151" t="s">
        <v>814</v>
      </c>
      <c r="B10" s="160" t="s">
        <v>815</v>
      </c>
      <c r="C10" s="209"/>
      <c r="D10" s="210"/>
      <c r="E10" s="150"/>
      <c r="F10" s="150"/>
    </row>
    <row r="11" spans="1:7" ht="25.5">
      <c r="A11" s="151" t="s">
        <v>816</v>
      </c>
      <c r="B11" s="160" t="s">
        <v>817</v>
      </c>
      <c r="C11" s="209"/>
      <c r="D11" s="210"/>
      <c r="E11" s="150"/>
      <c r="F11" s="150"/>
    </row>
    <row r="12" spans="1:7" ht="38.25">
      <c r="A12" s="151" t="s">
        <v>818</v>
      </c>
      <c r="B12" s="160" t="s">
        <v>819</v>
      </c>
      <c r="C12" s="209"/>
      <c r="D12" s="210"/>
      <c r="E12" s="150"/>
      <c r="F12" s="150"/>
    </row>
    <row r="13" spans="1:7" ht="18.75">
      <c r="A13" s="148"/>
      <c r="B13" s="157" t="s">
        <v>820</v>
      </c>
      <c r="C13" s="149"/>
      <c r="D13" s="149"/>
      <c r="E13" s="215"/>
      <c r="F13" s="215"/>
    </row>
    <row r="14" spans="1:7" ht="25.5">
      <c r="A14" s="151" t="s">
        <v>821</v>
      </c>
      <c r="B14" s="160" t="s">
        <v>822</v>
      </c>
      <c r="C14" s="209"/>
      <c r="D14" s="210"/>
      <c r="E14" s="150"/>
      <c r="F14" s="150"/>
    </row>
    <row r="15" spans="1:7" ht="25.5">
      <c r="A15" s="151" t="s">
        <v>823</v>
      </c>
      <c r="B15" s="160" t="s">
        <v>824</v>
      </c>
      <c r="C15" s="209"/>
      <c r="D15" s="210"/>
      <c r="E15" s="150"/>
      <c r="F15" s="150"/>
    </row>
    <row r="16" spans="1:7" ht="25.5">
      <c r="A16" s="151" t="s">
        <v>825</v>
      </c>
      <c r="B16" s="160" t="s">
        <v>826</v>
      </c>
      <c r="C16" s="209"/>
      <c r="D16" s="210"/>
      <c r="E16" s="150"/>
      <c r="F16" s="150"/>
    </row>
    <row r="17" spans="1:6" ht="25.5">
      <c r="A17" s="151" t="s">
        <v>827</v>
      </c>
      <c r="B17" s="160" t="s">
        <v>828</v>
      </c>
      <c r="C17" s="209"/>
      <c r="D17" s="210"/>
      <c r="E17" s="150"/>
      <c r="F17" s="150"/>
    </row>
    <row r="18" spans="1:6" ht="25.5">
      <c r="A18" s="151" t="s">
        <v>829</v>
      </c>
      <c r="B18" s="160" t="s">
        <v>830</v>
      </c>
      <c r="C18" s="209"/>
      <c r="D18" s="210"/>
      <c r="E18" s="150"/>
      <c r="F18" s="150"/>
    </row>
    <row r="19" spans="1:6" ht="25.5">
      <c r="A19" s="151" t="s">
        <v>831</v>
      </c>
      <c r="B19" s="160" t="s">
        <v>832</v>
      </c>
      <c r="C19" s="209"/>
      <c r="D19" s="210"/>
      <c r="E19" s="150"/>
      <c r="F19" s="150"/>
    </row>
    <row r="20" spans="1:6" ht="18.75">
      <c r="A20" s="148"/>
      <c r="B20" s="157" t="s">
        <v>833</v>
      </c>
      <c r="C20" s="149"/>
      <c r="D20" s="149"/>
      <c r="E20" s="215"/>
      <c r="F20" s="215"/>
    </row>
    <row r="21" spans="1:6" ht="25.5">
      <c r="A21" s="151" t="s">
        <v>834</v>
      </c>
      <c r="B21" s="160" t="s">
        <v>835</v>
      </c>
      <c r="C21" s="209"/>
      <c r="D21" s="210"/>
      <c r="E21" s="150"/>
      <c r="F21" s="150"/>
    </row>
    <row r="22" spans="1:6" ht="76.5">
      <c r="A22" s="151" t="s">
        <v>836</v>
      </c>
      <c r="B22" s="160" t="s">
        <v>837</v>
      </c>
      <c r="C22" s="209"/>
      <c r="D22" s="210"/>
      <c r="E22" s="152" t="s">
        <v>838</v>
      </c>
      <c r="F22" s="150"/>
    </row>
    <row r="23" spans="1:6" ht="63.75">
      <c r="A23" s="151" t="s">
        <v>839</v>
      </c>
      <c r="B23" s="160" t="s">
        <v>840</v>
      </c>
      <c r="C23" s="209"/>
      <c r="D23" s="210"/>
      <c r="E23" s="150"/>
      <c r="F23" s="150"/>
    </row>
    <row r="24" spans="1:6" ht="25.5">
      <c r="A24" s="151" t="s">
        <v>841</v>
      </c>
      <c r="B24" s="160" t="s">
        <v>842</v>
      </c>
      <c r="C24" s="209"/>
      <c r="D24" s="210"/>
      <c r="E24" s="150"/>
      <c r="F24" s="150"/>
    </row>
    <row r="25" spans="1:6" ht="25.5">
      <c r="A25" s="151" t="s">
        <v>843</v>
      </c>
      <c r="B25" s="160" t="s">
        <v>844</v>
      </c>
      <c r="C25" s="209"/>
      <c r="D25" s="210"/>
      <c r="E25" s="150"/>
      <c r="F25" s="150"/>
    </row>
    <row r="26" spans="1:6" ht="25.5">
      <c r="A26" s="151" t="s">
        <v>845</v>
      </c>
      <c r="B26" s="160" t="s">
        <v>846</v>
      </c>
      <c r="C26" s="209"/>
      <c r="D26" s="210"/>
      <c r="E26" s="150"/>
      <c r="F26" s="150"/>
    </row>
    <row r="27" spans="1:6" ht="38.25">
      <c r="A27" s="151" t="s">
        <v>847</v>
      </c>
      <c r="B27" s="160" t="s">
        <v>848</v>
      </c>
      <c r="C27" s="209"/>
      <c r="D27" s="210"/>
      <c r="E27" s="150"/>
      <c r="F27" s="150"/>
    </row>
    <row r="28" spans="1:6" ht="38.25">
      <c r="A28" s="151" t="s">
        <v>849</v>
      </c>
      <c r="B28" s="160" t="s">
        <v>850</v>
      </c>
      <c r="C28" s="209"/>
      <c r="D28" s="210"/>
      <c r="E28" s="150"/>
      <c r="F28" s="150"/>
    </row>
    <row r="29" spans="1:6" ht="25.5">
      <c r="A29" s="151" t="s">
        <v>851</v>
      </c>
      <c r="B29" s="160" t="s">
        <v>852</v>
      </c>
      <c r="C29" s="209"/>
      <c r="D29" s="210"/>
      <c r="E29" s="150"/>
      <c r="F29" s="150"/>
    </row>
    <row r="30" spans="1:6" ht="18.75">
      <c r="A30" s="148"/>
      <c r="B30" s="157" t="s">
        <v>853</v>
      </c>
      <c r="C30" s="149"/>
      <c r="D30" s="149"/>
      <c r="E30" s="215"/>
      <c r="F30" s="215"/>
    </row>
    <row r="31" spans="1:6" ht="38.25">
      <c r="A31" s="151" t="s">
        <v>854</v>
      </c>
      <c r="B31" s="160" t="s">
        <v>855</v>
      </c>
      <c r="C31" s="209"/>
      <c r="D31" s="210"/>
      <c r="E31" s="150"/>
      <c r="F31" s="150"/>
    </row>
    <row r="32" spans="1:6" ht="38.25">
      <c r="A32" s="151" t="s">
        <v>856</v>
      </c>
      <c r="B32" s="160" t="s">
        <v>857</v>
      </c>
      <c r="C32" s="209"/>
      <c r="D32" s="210"/>
      <c r="E32" s="150"/>
      <c r="F32" s="150"/>
    </row>
    <row r="33" spans="1:6" ht="25.5">
      <c r="A33" s="151" t="s">
        <v>858</v>
      </c>
      <c r="B33" s="160" t="s">
        <v>859</v>
      </c>
      <c r="C33" s="209"/>
      <c r="D33" s="210"/>
      <c r="E33" s="150"/>
      <c r="F33" s="150"/>
    </row>
    <row r="34" spans="1:6" ht="18.75">
      <c r="A34" s="148"/>
      <c r="B34" s="157" t="s">
        <v>570</v>
      </c>
      <c r="C34" s="149"/>
      <c r="D34" s="149"/>
      <c r="E34" s="215"/>
      <c r="F34" s="215"/>
    </row>
    <row r="35" spans="1:6" ht="38.25">
      <c r="A35" s="151" t="s">
        <v>571</v>
      </c>
      <c r="B35" s="160" t="s">
        <v>572</v>
      </c>
      <c r="C35" s="209"/>
      <c r="D35" s="210"/>
      <c r="E35" s="150"/>
      <c r="F35" s="150"/>
    </row>
    <row r="36" spans="1:6" ht="25.5">
      <c r="A36" s="151" t="s">
        <v>573</v>
      </c>
      <c r="B36" s="160" t="s">
        <v>574</v>
      </c>
      <c r="C36" s="209"/>
      <c r="D36" s="210"/>
      <c r="E36" s="150"/>
      <c r="F36" s="150"/>
    </row>
    <row r="37" spans="1:6" ht="38.25">
      <c r="A37" s="151" t="s">
        <v>575</v>
      </c>
      <c r="B37" s="160" t="s">
        <v>576</v>
      </c>
      <c r="C37" s="209"/>
      <c r="D37" s="210"/>
      <c r="E37" s="150"/>
      <c r="F37" s="150"/>
    </row>
    <row r="38" spans="1:6" ht="38.25">
      <c r="A38" s="151" t="s">
        <v>577</v>
      </c>
      <c r="B38" s="160" t="s">
        <v>578</v>
      </c>
      <c r="C38" s="209"/>
      <c r="D38" s="210"/>
      <c r="E38" s="150"/>
      <c r="F38" s="150"/>
    </row>
    <row r="39" spans="1:6" ht="18.75">
      <c r="A39" s="148"/>
      <c r="B39" s="157" t="s">
        <v>579</v>
      </c>
      <c r="C39" s="149"/>
      <c r="D39" s="149"/>
      <c r="E39" s="215"/>
      <c r="F39" s="215"/>
    </row>
    <row r="40" spans="1:6" ht="38.25">
      <c r="A40" s="151" t="s">
        <v>580</v>
      </c>
      <c r="B40" s="160" t="s">
        <v>581</v>
      </c>
      <c r="C40" s="209"/>
      <c r="D40" s="210"/>
      <c r="E40" s="150"/>
      <c r="F40" s="150"/>
    </row>
    <row r="41" spans="1:6" ht="38.25">
      <c r="A41" s="151" t="s">
        <v>582</v>
      </c>
      <c r="B41" s="160" t="s">
        <v>583</v>
      </c>
      <c r="C41" s="209"/>
      <c r="D41" s="210"/>
      <c r="E41" s="150"/>
      <c r="F41" s="150"/>
    </row>
    <row r="42" spans="1:6" ht="18.75">
      <c r="A42" s="148"/>
      <c r="B42" s="157" t="s">
        <v>584</v>
      </c>
      <c r="C42" s="149"/>
      <c r="D42" s="149"/>
      <c r="E42" s="215"/>
      <c r="F42" s="215"/>
    </row>
    <row r="43" spans="1:6" ht="51">
      <c r="A43" s="151" t="s">
        <v>585</v>
      </c>
      <c r="B43" s="160" t="s">
        <v>586</v>
      </c>
      <c r="C43" s="209"/>
      <c r="D43" s="210"/>
      <c r="E43" s="150"/>
      <c r="F43" s="150"/>
    </row>
    <row r="44" spans="1:6" ht="18">
      <c r="A44" s="211"/>
      <c r="B44" s="212" t="s">
        <v>587</v>
      </c>
      <c r="C44" s="211"/>
      <c r="D44" s="211"/>
      <c r="E44" s="211"/>
      <c r="F44" s="211"/>
    </row>
    <row r="45" spans="1:6">
      <c r="A45" s="151"/>
      <c r="B45" s="160"/>
    </row>
    <row r="46" spans="1:6" ht="15">
      <c r="A46" s="213"/>
      <c r="B46" s="214" t="s">
        <v>588</v>
      </c>
      <c r="C46" s="213"/>
      <c r="D46" s="213"/>
      <c r="E46" s="213"/>
      <c r="F46" s="213"/>
    </row>
  </sheetData>
  <mergeCells count="1">
    <mergeCell ref="E2:F2"/>
  </mergeCells>
  <conditionalFormatting sqref="C6">
    <cfRule type="cellIs" dxfId="2489" priority="1470" operator="equal">
      <formula>"No"</formula>
    </cfRule>
    <cfRule type="cellIs" dxfId="2488" priority="1471" operator="equal">
      <formula>"NA"</formula>
    </cfRule>
    <cfRule type="cellIs" dxfId="2487" priority="1472" operator="equal">
      <formula>"Yes"</formula>
    </cfRule>
  </conditionalFormatting>
  <conditionalFormatting sqref="C7">
    <cfRule type="cellIs" dxfId="2486" priority="1424" operator="equal">
      <formula>"No"</formula>
    </cfRule>
    <cfRule type="cellIs" dxfId="2485" priority="1425" operator="equal">
      <formula>"NA"</formula>
    </cfRule>
    <cfRule type="cellIs" dxfId="2484" priority="1426" operator="equal">
      <formula>"Yes"</formula>
    </cfRule>
  </conditionalFormatting>
  <conditionalFormatting sqref="C8">
    <cfRule type="cellIs" dxfId="2483" priority="1378" operator="equal">
      <formula>"No"</formula>
    </cfRule>
    <cfRule type="cellIs" dxfId="2482" priority="1379" operator="equal">
      <formula>"NA"</formula>
    </cfRule>
    <cfRule type="cellIs" dxfId="2481" priority="1380" operator="equal">
      <formula>"Yes"</formula>
    </cfRule>
  </conditionalFormatting>
  <conditionalFormatting sqref="C9">
    <cfRule type="cellIs" dxfId="2480" priority="1332" operator="equal">
      <formula>"No"</formula>
    </cfRule>
    <cfRule type="cellIs" dxfId="2479" priority="1333" operator="equal">
      <formula>"NA"</formula>
    </cfRule>
    <cfRule type="cellIs" dxfId="2478" priority="1334" operator="equal">
      <formula>"Yes"</formula>
    </cfRule>
  </conditionalFormatting>
  <conditionalFormatting sqref="C10">
    <cfRule type="cellIs" dxfId="2477" priority="1286" operator="equal">
      <formula>"No"</formula>
    </cfRule>
    <cfRule type="cellIs" dxfId="2476" priority="1287" operator="equal">
      <formula>"NA"</formula>
    </cfRule>
    <cfRule type="cellIs" dxfId="2475" priority="1288" operator="equal">
      <formula>"Yes"</formula>
    </cfRule>
  </conditionalFormatting>
  <conditionalFormatting sqref="C11">
    <cfRule type="cellIs" dxfId="2474" priority="1240" operator="equal">
      <formula>"No"</formula>
    </cfRule>
    <cfRule type="cellIs" dxfId="2473" priority="1241" operator="equal">
      <formula>"NA"</formula>
    </cfRule>
    <cfRule type="cellIs" dxfId="2472" priority="1242" operator="equal">
      <formula>"Yes"</formula>
    </cfRule>
  </conditionalFormatting>
  <conditionalFormatting sqref="C12">
    <cfRule type="cellIs" dxfId="2471" priority="1194" operator="equal">
      <formula>"No"</formula>
    </cfRule>
    <cfRule type="cellIs" dxfId="2470" priority="1195" operator="equal">
      <formula>"NA"</formula>
    </cfRule>
    <cfRule type="cellIs" dxfId="2469" priority="1196" operator="equal">
      <formula>"Yes"</formula>
    </cfRule>
  </conditionalFormatting>
  <conditionalFormatting sqref="C14">
    <cfRule type="cellIs" dxfId="2468" priority="1148" operator="equal">
      <formula>"No"</formula>
    </cfRule>
    <cfRule type="cellIs" dxfId="2467" priority="1149" operator="equal">
      <formula>"NA"</formula>
    </cfRule>
    <cfRule type="cellIs" dxfId="2466" priority="1150" operator="equal">
      <formula>"Yes"</formula>
    </cfRule>
  </conditionalFormatting>
  <conditionalFormatting sqref="C15">
    <cfRule type="cellIs" dxfId="2465" priority="1102" operator="equal">
      <formula>"No"</formula>
    </cfRule>
    <cfRule type="cellIs" dxfId="2464" priority="1103" operator="equal">
      <formula>"NA"</formula>
    </cfRule>
    <cfRule type="cellIs" dxfId="2463" priority="1104" operator="equal">
      <formula>"Yes"</formula>
    </cfRule>
  </conditionalFormatting>
  <conditionalFormatting sqref="C16">
    <cfRule type="cellIs" dxfId="2462" priority="1056" operator="equal">
      <formula>"No"</formula>
    </cfRule>
    <cfRule type="cellIs" dxfId="2461" priority="1057" operator="equal">
      <formula>"NA"</formula>
    </cfRule>
    <cfRule type="cellIs" dxfId="2460" priority="1058" operator="equal">
      <formula>"Yes"</formula>
    </cfRule>
  </conditionalFormatting>
  <conditionalFormatting sqref="C17">
    <cfRule type="cellIs" dxfId="2459" priority="1010" operator="equal">
      <formula>"No"</formula>
    </cfRule>
    <cfRule type="cellIs" dxfId="2458" priority="1011" operator="equal">
      <formula>"NA"</formula>
    </cfRule>
    <cfRule type="cellIs" dxfId="2457" priority="1012" operator="equal">
      <formula>"Yes"</formula>
    </cfRule>
  </conditionalFormatting>
  <conditionalFormatting sqref="C18">
    <cfRule type="cellIs" dxfId="2456" priority="964" operator="equal">
      <formula>"No"</formula>
    </cfRule>
    <cfRule type="cellIs" dxfId="2455" priority="965" operator="equal">
      <formula>"NA"</formula>
    </cfRule>
    <cfRule type="cellIs" dxfId="2454" priority="966" operator="equal">
      <formula>"Yes"</formula>
    </cfRule>
  </conditionalFormatting>
  <conditionalFormatting sqref="C19">
    <cfRule type="cellIs" dxfId="2453" priority="918" operator="equal">
      <formula>"No"</formula>
    </cfRule>
    <cfRule type="cellIs" dxfId="2452" priority="919" operator="equal">
      <formula>"NA"</formula>
    </cfRule>
    <cfRule type="cellIs" dxfId="2451" priority="920" operator="equal">
      <formula>"Yes"</formula>
    </cfRule>
  </conditionalFormatting>
  <conditionalFormatting sqref="C21">
    <cfRule type="cellIs" dxfId="2450" priority="872" operator="equal">
      <formula>"No"</formula>
    </cfRule>
    <cfRule type="cellIs" dxfId="2449" priority="873" operator="equal">
      <formula>"NA"</formula>
    </cfRule>
    <cfRule type="cellIs" dxfId="2448" priority="874" operator="equal">
      <formula>"Yes"</formula>
    </cfRule>
  </conditionalFormatting>
  <conditionalFormatting sqref="C22">
    <cfRule type="cellIs" dxfId="2447" priority="826" operator="equal">
      <formula>"No"</formula>
    </cfRule>
    <cfRule type="cellIs" dxfId="2446" priority="827" operator="equal">
      <formula>"NA"</formula>
    </cfRule>
    <cfRule type="cellIs" dxfId="2445" priority="828" operator="equal">
      <formula>"Yes"</formula>
    </cfRule>
  </conditionalFormatting>
  <conditionalFormatting sqref="C23">
    <cfRule type="cellIs" dxfId="2444" priority="780" operator="equal">
      <formula>"No"</formula>
    </cfRule>
    <cfRule type="cellIs" dxfId="2443" priority="781" operator="equal">
      <formula>"NA"</formula>
    </cfRule>
    <cfRule type="cellIs" dxfId="2442" priority="782" operator="equal">
      <formula>"Yes"</formula>
    </cfRule>
  </conditionalFormatting>
  <conditionalFormatting sqref="C24">
    <cfRule type="cellIs" dxfId="2441" priority="734" operator="equal">
      <formula>"No"</formula>
    </cfRule>
    <cfRule type="cellIs" dxfId="2440" priority="735" operator="equal">
      <formula>"NA"</formula>
    </cfRule>
    <cfRule type="cellIs" dxfId="2439" priority="736" operator="equal">
      <formula>"Yes"</formula>
    </cfRule>
  </conditionalFormatting>
  <conditionalFormatting sqref="C25">
    <cfRule type="cellIs" dxfId="2438" priority="688" operator="equal">
      <formula>"No"</formula>
    </cfRule>
    <cfRule type="cellIs" dxfId="2437" priority="689" operator="equal">
      <formula>"NA"</formula>
    </cfRule>
    <cfRule type="cellIs" dxfId="2436" priority="690" operator="equal">
      <formula>"Yes"</formula>
    </cfRule>
  </conditionalFormatting>
  <conditionalFormatting sqref="C26">
    <cfRule type="cellIs" dxfId="2435" priority="642" operator="equal">
      <formula>"No"</formula>
    </cfRule>
    <cfRule type="cellIs" dxfId="2434" priority="643" operator="equal">
      <formula>"NA"</formula>
    </cfRule>
    <cfRule type="cellIs" dxfId="2433" priority="644" operator="equal">
      <formula>"Yes"</formula>
    </cfRule>
  </conditionalFormatting>
  <conditionalFormatting sqref="C27">
    <cfRule type="cellIs" dxfId="2432" priority="596" operator="equal">
      <formula>"No"</formula>
    </cfRule>
    <cfRule type="cellIs" dxfId="2431" priority="597" operator="equal">
      <formula>"NA"</formula>
    </cfRule>
    <cfRule type="cellIs" dxfId="2430" priority="598" operator="equal">
      <formula>"Yes"</formula>
    </cfRule>
  </conditionalFormatting>
  <conditionalFormatting sqref="C28">
    <cfRule type="cellIs" dxfId="2429" priority="550" operator="equal">
      <formula>"No"</formula>
    </cfRule>
    <cfRule type="cellIs" dxfId="2428" priority="551" operator="equal">
      <formula>"NA"</formula>
    </cfRule>
    <cfRule type="cellIs" dxfId="2427" priority="552" operator="equal">
      <formula>"Yes"</formula>
    </cfRule>
  </conditionalFormatting>
  <conditionalFormatting sqref="C29">
    <cfRule type="cellIs" dxfId="2426" priority="504" operator="equal">
      <formula>"No"</formula>
    </cfRule>
    <cfRule type="cellIs" dxfId="2425" priority="505" operator="equal">
      <formula>"NA"</formula>
    </cfRule>
    <cfRule type="cellIs" dxfId="2424" priority="506" operator="equal">
      <formula>"Yes"</formula>
    </cfRule>
  </conditionalFormatting>
  <conditionalFormatting sqref="C31">
    <cfRule type="cellIs" dxfId="2423" priority="458" operator="equal">
      <formula>"No"</formula>
    </cfRule>
    <cfRule type="cellIs" dxfId="2422" priority="459" operator="equal">
      <formula>"NA"</formula>
    </cfRule>
    <cfRule type="cellIs" dxfId="2421" priority="460" operator="equal">
      <formula>"Yes"</formula>
    </cfRule>
  </conditionalFormatting>
  <conditionalFormatting sqref="C32">
    <cfRule type="cellIs" dxfId="2420" priority="412" operator="equal">
      <formula>"No"</formula>
    </cfRule>
    <cfRule type="cellIs" dxfId="2419" priority="413" operator="equal">
      <formula>"NA"</formula>
    </cfRule>
    <cfRule type="cellIs" dxfId="2418" priority="414" operator="equal">
      <formula>"Yes"</formula>
    </cfRule>
  </conditionalFormatting>
  <conditionalFormatting sqref="C33">
    <cfRule type="cellIs" dxfId="2417" priority="366" operator="equal">
      <formula>"No"</formula>
    </cfRule>
    <cfRule type="cellIs" dxfId="2416" priority="367" operator="equal">
      <formula>"NA"</formula>
    </cfRule>
    <cfRule type="cellIs" dxfId="2415" priority="368" operator="equal">
      <formula>"Yes"</formula>
    </cfRule>
  </conditionalFormatting>
  <conditionalFormatting sqref="C35">
    <cfRule type="cellIs" dxfId="2414" priority="320" operator="equal">
      <formula>"No"</formula>
    </cfRule>
    <cfRule type="cellIs" dxfId="2413" priority="321" operator="equal">
      <formula>"NA"</formula>
    </cfRule>
    <cfRule type="cellIs" dxfId="2412" priority="322" operator="equal">
      <formula>"Yes"</formula>
    </cfRule>
  </conditionalFormatting>
  <conditionalFormatting sqref="C36">
    <cfRule type="cellIs" dxfId="2411" priority="274" operator="equal">
      <formula>"No"</formula>
    </cfRule>
    <cfRule type="cellIs" dxfId="2410" priority="275" operator="equal">
      <formula>"NA"</formula>
    </cfRule>
    <cfRule type="cellIs" dxfId="2409" priority="276" operator="equal">
      <formula>"Yes"</formula>
    </cfRule>
  </conditionalFormatting>
  <conditionalFormatting sqref="C37">
    <cfRule type="cellIs" dxfId="2408" priority="228" operator="equal">
      <formula>"No"</formula>
    </cfRule>
    <cfRule type="cellIs" dxfId="2407" priority="229" operator="equal">
      <formula>"NA"</formula>
    </cfRule>
    <cfRule type="cellIs" dxfId="2406" priority="230" operator="equal">
      <formula>"Yes"</formula>
    </cfRule>
  </conditionalFormatting>
  <conditionalFormatting sqref="C38">
    <cfRule type="cellIs" dxfId="2405" priority="182" operator="equal">
      <formula>"No"</formula>
    </cfRule>
    <cfRule type="cellIs" dxfId="2404" priority="183" operator="equal">
      <formula>"NA"</formula>
    </cfRule>
    <cfRule type="cellIs" dxfId="2403" priority="184" operator="equal">
      <formula>"Yes"</formula>
    </cfRule>
  </conditionalFormatting>
  <conditionalFormatting sqref="C40">
    <cfRule type="cellIs" dxfId="2402" priority="136" operator="equal">
      <formula>"No"</formula>
    </cfRule>
    <cfRule type="cellIs" dxfId="2401" priority="137" operator="equal">
      <formula>"NA"</formula>
    </cfRule>
    <cfRule type="cellIs" dxfId="2400" priority="138" operator="equal">
      <formula>"Yes"</formula>
    </cfRule>
  </conditionalFormatting>
  <conditionalFormatting sqref="C41">
    <cfRule type="cellIs" dxfId="2399" priority="90" operator="equal">
      <formula>"No"</formula>
    </cfRule>
    <cfRule type="cellIs" dxfId="2398" priority="91" operator="equal">
      <formula>"NA"</formula>
    </cfRule>
    <cfRule type="cellIs" dxfId="2397" priority="92" operator="equal">
      <formula>"Yes"</formula>
    </cfRule>
  </conditionalFormatting>
  <conditionalFormatting sqref="C43">
    <cfRule type="cellIs" dxfId="2396" priority="44" operator="equal">
      <formula>"No"</formula>
    </cfRule>
    <cfRule type="cellIs" dxfId="2395" priority="45" operator="equal">
      <formula>"NA"</formula>
    </cfRule>
    <cfRule type="cellIs" dxfId="2394"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860</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861</v>
      </c>
      <c r="C5" s="149"/>
      <c r="D5" s="149"/>
      <c r="E5" s="215"/>
      <c r="F5" s="215"/>
    </row>
    <row r="6" spans="1:7" ht="38.25">
      <c r="A6" s="151" t="s">
        <v>862</v>
      </c>
      <c r="B6" s="160" t="s">
        <v>863</v>
      </c>
      <c r="C6" s="209"/>
      <c r="D6" s="210"/>
      <c r="E6" s="150"/>
      <c r="F6" s="150"/>
    </row>
    <row r="7" spans="1:7" ht="18.75">
      <c r="A7" s="148"/>
      <c r="B7" s="157" t="s">
        <v>570</v>
      </c>
      <c r="C7" s="149"/>
      <c r="D7" s="149"/>
      <c r="E7" s="215"/>
      <c r="F7" s="215"/>
    </row>
    <row r="8" spans="1:7" ht="38.25">
      <c r="A8" s="151" t="s">
        <v>571</v>
      </c>
      <c r="B8" s="160" t="s">
        <v>572</v>
      </c>
      <c r="C8" s="209"/>
      <c r="D8" s="210"/>
      <c r="E8" s="150"/>
      <c r="F8" s="150"/>
    </row>
    <row r="9" spans="1:7" ht="25.5">
      <c r="A9" s="151" t="s">
        <v>573</v>
      </c>
      <c r="B9" s="160" t="s">
        <v>574</v>
      </c>
      <c r="C9" s="209"/>
      <c r="D9" s="210"/>
      <c r="E9" s="150"/>
      <c r="F9" s="150"/>
    </row>
    <row r="10" spans="1:7" ht="38.25">
      <c r="A10" s="151" t="s">
        <v>575</v>
      </c>
      <c r="B10" s="160" t="s">
        <v>576</v>
      </c>
      <c r="C10" s="209"/>
      <c r="D10" s="210"/>
      <c r="E10" s="150"/>
      <c r="F10" s="150"/>
    </row>
    <row r="11" spans="1:7" ht="38.25">
      <c r="A11" s="151" t="s">
        <v>577</v>
      </c>
      <c r="B11" s="160" t="s">
        <v>578</v>
      </c>
      <c r="C11" s="209"/>
      <c r="D11" s="210"/>
      <c r="E11" s="150"/>
      <c r="F11" s="150"/>
    </row>
    <row r="12" spans="1:7" ht="18.75">
      <c r="A12" s="148"/>
      <c r="B12" s="157" t="s">
        <v>579</v>
      </c>
      <c r="C12" s="149"/>
      <c r="D12" s="149"/>
      <c r="E12" s="215"/>
      <c r="F12" s="215"/>
    </row>
    <row r="13" spans="1:7" ht="38.25">
      <c r="A13" s="151" t="s">
        <v>580</v>
      </c>
      <c r="B13" s="160" t="s">
        <v>581</v>
      </c>
      <c r="C13" s="209"/>
      <c r="D13" s="210"/>
      <c r="E13" s="150"/>
      <c r="F13" s="150"/>
    </row>
    <row r="14" spans="1:7" ht="38.25">
      <c r="A14" s="151" t="s">
        <v>582</v>
      </c>
      <c r="B14" s="160" t="s">
        <v>583</v>
      </c>
      <c r="C14" s="209"/>
      <c r="D14" s="210"/>
      <c r="E14" s="150"/>
      <c r="F14" s="150"/>
    </row>
    <row r="15" spans="1:7" ht="18.75">
      <c r="A15" s="148"/>
      <c r="B15" s="157" t="s">
        <v>584</v>
      </c>
      <c r="C15" s="149"/>
      <c r="D15" s="149"/>
      <c r="E15" s="215"/>
      <c r="F15" s="215"/>
    </row>
    <row r="16" spans="1:7" ht="51">
      <c r="A16" s="151" t="s">
        <v>585</v>
      </c>
      <c r="B16" s="160" t="s">
        <v>586</v>
      </c>
      <c r="C16" s="209"/>
      <c r="D16" s="210"/>
      <c r="E16" s="150"/>
      <c r="F16" s="150"/>
    </row>
    <row r="17" spans="1:6" ht="18">
      <c r="A17" s="211"/>
      <c r="B17" s="212" t="s">
        <v>587</v>
      </c>
      <c r="C17" s="211"/>
      <c r="D17" s="211"/>
      <c r="E17" s="211"/>
      <c r="F17" s="211"/>
    </row>
    <row r="18" spans="1:6">
      <c r="A18" s="151"/>
      <c r="B18" s="160"/>
    </row>
    <row r="19" spans="1:6" ht="15">
      <c r="A19" s="213"/>
      <c r="B19" s="214" t="s">
        <v>588</v>
      </c>
      <c r="C19" s="213"/>
      <c r="D19" s="213"/>
      <c r="E19" s="213"/>
      <c r="F19" s="213"/>
    </row>
  </sheetData>
  <mergeCells count="1">
    <mergeCell ref="E2:F2"/>
  </mergeCells>
  <conditionalFormatting sqref="C6">
    <cfRule type="cellIs" dxfId="2393" priority="366" operator="equal">
      <formula>"No"</formula>
    </cfRule>
    <cfRule type="cellIs" dxfId="2392" priority="367" operator="equal">
      <formula>"NA"</formula>
    </cfRule>
    <cfRule type="cellIs" dxfId="2391" priority="368" operator="equal">
      <formula>"Yes"</formula>
    </cfRule>
  </conditionalFormatting>
  <conditionalFormatting sqref="C8">
    <cfRule type="cellIs" dxfId="2390" priority="320" operator="equal">
      <formula>"No"</formula>
    </cfRule>
    <cfRule type="cellIs" dxfId="2389" priority="321" operator="equal">
      <formula>"NA"</formula>
    </cfRule>
    <cfRule type="cellIs" dxfId="2388" priority="322" operator="equal">
      <formula>"Yes"</formula>
    </cfRule>
  </conditionalFormatting>
  <conditionalFormatting sqref="C9">
    <cfRule type="cellIs" dxfId="2387" priority="274" operator="equal">
      <formula>"No"</formula>
    </cfRule>
    <cfRule type="cellIs" dxfId="2386" priority="275" operator="equal">
      <formula>"NA"</formula>
    </cfRule>
    <cfRule type="cellIs" dxfId="2385" priority="276" operator="equal">
      <formula>"Yes"</formula>
    </cfRule>
  </conditionalFormatting>
  <conditionalFormatting sqref="C10">
    <cfRule type="cellIs" dxfId="2384" priority="228" operator="equal">
      <formula>"No"</formula>
    </cfRule>
    <cfRule type="cellIs" dxfId="2383" priority="229" operator="equal">
      <formula>"NA"</formula>
    </cfRule>
    <cfRule type="cellIs" dxfId="2382" priority="230" operator="equal">
      <formula>"Yes"</formula>
    </cfRule>
  </conditionalFormatting>
  <conditionalFormatting sqref="C11">
    <cfRule type="cellIs" dxfId="2381" priority="182" operator="equal">
      <formula>"No"</formula>
    </cfRule>
    <cfRule type="cellIs" dxfId="2380" priority="183" operator="equal">
      <formula>"NA"</formula>
    </cfRule>
    <cfRule type="cellIs" dxfId="2379" priority="184" operator="equal">
      <formula>"Yes"</formula>
    </cfRule>
  </conditionalFormatting>
  <conditionalFormatting sqref="C13">
    <cfRule type="cellIs" dxfId="2378" priority="136" operator="equal">
      <formula>"No"</formula>
    </cfRule>
    <cfRule type="cellIs" dxfId="2377" priority="137" operator="equal">
      <formula>"NA"</formula>
    </cfRule>
    <cfRule type="cellIs" dxfId="2376" priority="138" operator="equal">
      <formula>"Yes"</formula>
    </cfRule>
  </conditionalFormatting>
  <conditionalFormatting sqref="C14">
    <cfRule type="cellIs" dxfId="2375" priority="90" operator="equal">
      <formula>"No"</formula>
    </cfRule>
    <cfRule type="cellIs" dxfId="2374" priority="91" operator="equal">
      <formula>"NA"</formula>
    </cfRule>
    <cfRule type="cellIs" dxfId="2373" priority="92" operator="equal">
      <formula>"Yes"</formula>
    </cfRule>
  </conditionalFormatting>
  <conditionalFormatting sqref="C16">
    <cfRule type="cellIs" dxfId="2372" priority="44" operator="equal">
      <formula>"No"</formula>
    </cfRule>
    <cfRule type="cellIs" dxfId="2371" priority="45" operator="equal">
      <formula>"NA"</formula>
    </cfRule>
    <cfRule type="cellIs" dxfId="2370"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
      <c r="A2" s="196" t="s">
        <v>506</v>
      </c>
      <c r="B2" s="197" t="s">
        <v>864</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861</v>
      </c>
      <c r="C5" s="149"/>
      <c r="D5" s="149"/>
      <c r="E5" s="215"/>
      <c r="F5" s="215"/>
    </row>
    <row r="6" spans="1:7" ht="38.25">
      <c r="A6" s="151" t="s">
        <v>862</v>
      </c>
      <c r="B6" s="160" t="s">
        <v>863</v>
      </c>
      <c r="C6" s="209"/>
      <c r="D6" s="210"/>
      <c r="E6" s="150"/>
      <c r="F6" s="150"/>
    </row>
    <row r="7" spans="1:7" ht="18.75">
      <c r="A7" s="148"/>
      <c r="B7" s="157" t="s">
        <v>865</v>
      </c>
      <c r="C7" s="149"/>
      <c r="D7" s="149"/>
      <c r="E7" s="215"/>
      <c r="F7" s="215"/>
    </row>
    <row r="8" spans="1:7" ht="25.5">
      <c r="A8" s="151" t="s">
        <v>866</v>
      </c>
      <c r="B8" s="160" t="s">
        <v>867</v>
      </c>
      <c r="C8" s="209"/>
      <c r="D8" s="210"/>
      <c r="E8" s="150"/>
      <c r="F8" s="150"/>
    </row>
    <row r="9" spans="1:7" ht="38.25">
      <c r="A9" s="151" t="s">
        <v>868</v>
      </c>
      <c r="B9" s="160" t="s">
        <v>869</v>
      </c>
      <c r="C9" s="209"/>
      <c r="D9" s="210"/>
      <c r="E9" s="150"/>
      <c r="F9" s="150"/>
    </row>
    <row r="10" spans="1:7" ht="38.25">
      <c r="A10" s="151" t="s">
        <v>870</v>
      </c>
      <c r="B10" s="160" t="s">
        <v>871</v>
      </c>
      <c r="C10" s="209"/>
      <c r="D10" s="210"/>
      <c r="E10" s="150"/>
      <c r="F10" s="150"/>
    </row>
    <row r="11" spans="1:7" ht="38.25">
      <c r="A11" s="151" t="s">
        <v>872</v>
      </c>
      <c r="B11" s="160" t="s">
        <v>873</v>
      </c>
      <c r="C11" s="209"/>
      <c r="D11" s="210"/>
      <c r="E11" s="150"/>
      <c r="F11" s="150"/>
    </row>
    <row r="12" spans="1:7" ht="38.25">
      <c r="A12" s="151" t="s">
        <v>874</v>
      </c>
      <c r="B12" s="160" t="s">
        <v>875</v>
      </c>
      <c r="C12" s="209"/>
      <c r="D12" s="210"/>
      <c r="E12" s="150"/>
      <c r="F12" s="150"/>
    </row>
    <row r="13" spans="1:7" ht="18.75">
      <c r="A13" s="148"/>
      <c r="B13" s="157" t="s">
        <v>876</v>
      </c>
      <c r="C13" s="149"/>
      <c r="D13" s="149"/>
      <c r="E13" s="215"/>
      <c r="F13" s="215"/>
    </row>
    <row r="14" spans="1:7" ht="25.5">
      <c r="A14" s="151" t="s">
        <v>877</v>
      </c>
      <c r="B14" s="160" t="s">
        <v>878</v>
      </c>
      <c r="C14" s="209"/>
      <c r="D14" s="210"/>
      <c r="E14" s="150"/>
      <c r="F14" s="150"/>
    </row>
    <row r="15" spans="1:7" ht="25.5">
      <c r="A15" s="151" t="s">
        <v>879</v>
      </c>
      <c r="B15" s="160" t="s">
        <v>880</v>
      </c>
      <c r="C15" s="209"/>
      <c r="D15" s="210"/>
      <c r="E15" s="150"/>
      <c r="F15" s="150"/>
    </row>
    <row r="16" spans="1:7" ht="38.25">
      <c r="A16" s="151" t="s">
        <v>881</v>
      </c>
      <c r="B16" s="160" t="s">
        <v>882</v>
      </c>
      <c r="C16" s="209"/>
      <c r="D16" s="210"/>
      <c r="E16" s="150"/>
      <c r="F16" s="150"/>
    </row>
    <row r="17" spans="1:6" ht="51">
      <c r="A17" s="151" t="s">
        <v>883</v>
      </c>
      <c r="B17" s="160" t="s">
        <v>884</v>
      </c>
      <c r="C17" s="209"/>
      <c r="D17" s="210"/>
      <c r="E17" s="150"/>
      <c r="F17" s="150"/>
    </row>
    <row r="18" spans="1:6" ht="18.75">
      <c r="A18" s="148"/>
      <c r="B18" s="157" t="s">
        <v>885</v>
      </c>
      <c r="C18" s="149"/>
      <c r="D18" s="149"/>
      <c r="E18" s="215"/>
      <c r="F18" s="215"/>
    </row>
    <row r="19" spans="1:6" ht="38.25">
      <c r="A19" s="151" t="s">
        <v>886</v>
      </c>
      <c r="B19" s="160" t="s">
        <v>887</v>
      </c>
      <c r="C19" s="209"/>
      <c r="D19" s="210"/>
      <c r="E19" s="150"/>
      <c r="F19" s="150"/>
    </row>
    <row r="20" spans="1:6" ht="25.5">
      <c r="A20" s="151" t="s">
        <v>888</v>
      </c>
      <c r="B20" s="160" t="s">
        <v>889</v>
      </c>
      <c r="C20" s="209"/>
      <c r="D20" s="210"/>
      <c r="E20" s="150"/>
      <c r="F20" s="150"/>
    </row>
    <row r="21" spans="1:6" ht="38.25">
      <c r="A21" s="151" t="s">
        <v>890</v>
      </c>
      <c r="B21" s="160" t="s">
        <v>891</v>
      </c>
      <c r="C21" s="209"/>
      <c r="D21" s="210"/>
      <c r="E21" s="150"/>
      <c r="F21" s="150"/>
    </row>
    <row r="22" spans="1:6" ht="38.25">
      <c r="A22" s="151" t="s">
        <v>892</v>
      </c>
      <c r="B22" s="160" t="s">
        <v>893</v>
      </c>
      <c r="C22" s="209"/>
      <c r="D22" s="210"/>
      <c r="E22" s="150"/>
      <c r="F22" s="150"/>
    </row>
    <row r="23" spans="1:6" ht="38.25">
      <c r="A23" s="151" t="s">
        <v>894</v>
      </c>
      <c r="B23" s="160" t="s">
        <v>895</v>
      </c>
      <c r="C23" s="209"/>
      <c r="D23" s="210"/>
      <c r="E23" s="150"/>
      <c r="F23" s="150"/>
    </row>
    <row r="24" spans="1:6" ht="38.25">
      <c r="A24" s="151" t="s">
        <v>896</v>
      </c>
      <c r="B24" s="160" t="s">
        <v>897</v>
      </c>
      <c r="C24" s="209"/>
      <c r="D24" s="210"/>
      <c r="E24" s="150"/>
      <c r="F24" s="150"/>
    </row>
    <row r="25" spans="1:6" ht="25.5">
      <c r="A25" s="151" t="s">
        <v>898</v>
      </c>
      <c r="B25" s="160" t="s">
        <v>899</v>
      </c>
      <c r="C25" s="209"/>
      <c r="D25" s="210"/>
      <c r="E25" s="150"/>
      <c r="F25" s="150"/>
    </row>
    <row r="26" spans="1:6" ht="18.75">
      <c r="A26" s="148"/>
      <c r="B26" s="157" t="s">
        <v>900</v>
      </c>
      <c r="C26" s="149"/>
      <c r="D26" s="149"/>
      <c r="E26" s="215"/>
      <c r="F26" s="215"/>
    </row>
    <row r="27" spans="1:6" ht="25.5">
      <c r="A27" s="151" t="s">
        <v>901</v>
      </c>
      <c r="B27" s="160" t="s">
        <v>902</v>
      </c>
      <c r="C27" s="209"/>
      <c r="D27" s="210"/>
      <c r="E27" s="150"/>
      <c r="F27" s="150"/>
    </row>
    <row r="28" spans="1:6" ht="51">
      <c r="A28" s="151" t="s">
        <v>903</v>
      </c>
      <c r="B28" s="160" t="s">
        <v>904</v>
      </c>
      <c r="C28" s="209"/>
      <c r="D28" s="210"/>
      <c r="E28" s="150"/>
      <c r="F28" s="150"/>
    </row>
    <row r="29" spans="1:6" ht="25.5">
      <c r="A29" s="151" t="s">
        <v>905</v>
      </c>
      <c r="B29" s="160" t="s">
        <v>906</v>
      </c>
      <c r="C29" s="209"/>
      <c r="D29" s="210"/>
      <c r="E29" s="150"/>
      <c r="F29" s="150"/>
    </row>
    <row r="30" spans="1:6" ht="25.5">
      <c r="A30" s="151" t="s">
        <v>907</v>
      </c>
      <c r="B30" s="160" t="s">
        <v>908</v>
      </c>
      <c r="C30" s="209"/>
      <c r="D30" s="210"/>
      <c r="E30" s="150"/>
      <c r="F30" s="150"/>
    </row>
    <row r="31" spans="1:6" ht="25.5">
      <c r="A31" s="151" t="s">
        <v>909</v>
      </c>
      <c r="B31" s="160" t="s">
        <v>910</v>
      </c>
      <c r="C31" s="209"/>
      <c r="D31" s="210"/>
      <c r="E31" s="150"/>
      <c r="F31" s="150"/>
    </row>
    <row r="32" spans="1:6" ht="38.25">
      <c r="A32" s="151" t="s">
        <v>911</v>
      </c>
      <c r="B32" s="160" t="s">
        <v>912</v>
      </c>
      <c r="C32" s="209"/>
      <c r="D32" s="210"/>
      <c r="E32" s="150"/>
      <c r="F32" s="150"/>
    </row>
    <row r="33" spans="1:6" ht="18.75">
      <c r="A33" s="148"/>
      <c r="B33" s="157" t="s">
        <v>913</v>
      </c>
      <c r="C33" s="149"/>
      <c r="D33" s="149"/>
      <c r="E33" s="215"/>
      <c r="F33" s="215"/>
    </row>
    <row r="34" spans="1:6" ht="63.75">
      <c r="A34" s="151" t="s">
        <v>914</v>
      </c>
      <c r="B34" s="160" t="s">
        <v>915</v>
      </c>
      <c r="C34" s="209"/>
      <c r="D34" s="210"/>
      <c r="E34" s="150"/>
      <c r="F34" s="150"/>
    </row>
    <row r="35" spans="1:6" ht="18.75">
      <c r="A35" s="148"/>
      <c r="B35" s="157" t="s">
        <v>916</v>
      </c>
      <c r="C35" s="149"/>
      <c r="D35" s="149"/>
      <c r="E35" s="215"/>
      <c r="F35" s="215"/>
    </row>
    <row r="36" spans="1:6" ht="76.5">
      <c r="A36" s="151" t="s">
        <v>917</v>
      </c>
      <c r="B36" s="160" t="s">
        <v>918</v>
      </c>
      <c r="C36" s="209"/>
      <c r="D36" s="210"/>
      <c r="E36" s="150"/>
      <c r="F36" s="150"/>
    </row>
    <row r="37" spans="1:6" ht="25.5">
      <c r="A37" s="151" t="s">
        <v>919</v>
      </c>
      <c r="B37" s="160" t="s">
        <v>920</v>
      </c>
      <c r="C37" s="209"/>
      <c r="D37" s="210"/>
      <c r="E37" s="150"/>
      <c r="F37" s="150"/>
    </row>
    <row r="38" spans="1:6" ht="18.75">
      <c r="A38" s="148"/>
      <c r="B38" s="157" t="s">
        <v>570</v>
      </c>
      <c r="C38" s="149"/>
      <c r="D38" s="149"/>
      <c r="E38" s="215"/>
      <c r="F38" s="215"/>
    </row>
    <row r="39" spans="1:6" ht="38.25">
      <c r="A39" s="151" t="s">
        <v>571</v>
      </c>
      <c r="B39" s="160" t="s">
        <v>572</v>
      </c>
      <c r="C39" s="209"/>
      <c r="D39" s="210"/>
      <c r="E39" s="150"/>
      <c r="F39" s="150"/>
    </row>
    <row r="40" spans="1:6" ht="25.5">
      <c r="A40" s="151" t="s">
        <v>573</v>
      </c>
      <c r="B40" s="160" t="s">
        <v>574</v>
      </c>
      <c r="C40" s="209"/>
      <c r="D40" s="210"/>
      <c r="E40" s="150"/>
      <c r="F40" s="150"/>
    </row>
    <row r="41" spans="1:6" ht="38.25">
      <c r="A41" s="151" t="s">
        <v>575</v>
      </c>
      <c r="B41" s="160" t="s">
        <v>576</v>
      </c>
      <c r="C41" s="209"/>
      <c r="D41" s="210"/>
      <c r="E41" s="150"/>
      <c r="F41" s="150"/>
    </row>
    <row r="42" spans="1:6" ht="38.25">
      <c r="A42" s="151" t="s">
        <v>577</v>
      </c>
      <c r="B42" s="160" t="s">
        <v>578</v>
      </c>
      <c r="C42" s="209"/>
      <c r="D42" s="210"/>
      <c r="E42" s="150"/>
      <c r="F42" s="150"/>
    </row>
    <row r="43" spans="1:6" ht="18.75">
      <c r="A43" s="148"/>
      <c r="B43" s="157" t="s">
        <v>579</v>
      </c>
      <c r="C43" s="149"/>
      <c r="D43" s="149"/>
      <c r="E43" s="215"/>
      <c r="F43" s="215"/>
    </row>
    <row r="44" spans="1:6" ht="38.25">
      <c r="A44" s="151" t="s">
        <v>580</v>
      </c>
      <c r="B44" s="160" t="s">
        <v>581</v>
      </c>
      <c r="C44" s="209"/>
      <c r="D44" s="210"/>
      <c r="E44" s="150"/>
      <c r="F44" s="150"/>
    </row>
    <row r="45" spans="1:6" ht="38.25">
      <c r="A45" s="151" t="s">
        <v>582</v>
      </c>
      <c r="B45" s="160" t="s">
        <v>583</v>
      </c>
      <c r="C45" s="209"/>
      <c r="D45" s="210"/>
      <c r="E45" s="150"/>
      <c r="F45" s="150"/>
    </row>
    <row r="46" spans="1:6" ht="18.75">
      <c r="A46" s="148"/>
      <c r="B46" s="157" t="s">
        <v>584</v>
      </c>
      <c r="C46" s="149"/>
      <c r="D46" s="149"/>
      <c r="E46" s="215"/>
      <c r="F46" s="215"/>
    </row>
    <row r="47" spans="1:6" ht="51">
      <c r="A47" s="151" t="s">
        <v>585</v>
      </c>
      <c r="B47" s="160" t="s">
        <v>586</v>
      </c>
      <c r="C47" s="209"/>
      <c r="D47" s="210"/>
      <c r="E47" s="150"/>
      <c r="F47" s="150"/>
    </row>
    <row r="48" spans="1:6" ht="18">
      <c r="A48" s="211"/>
      <c r="B48" s="212" t="s">
        <v>587</v>
      </c>
      <c r="C48" s="211"/>
      <c r="D48" s="211"/>
      <c r="E48" s="211"/>
      <c r="F48" s="211"/>
    </row>
    <row r="49" spans="1:6">
      <c r="A49" s="151"/>
      <c r="B49" s="160"/>
    </row>
    <row r="50" spans="1:6" ht="15">
      <c r="A50" s="213"/>
      <c r="B50" s="214" t="s">
        <v>588</v>
      </c>
      <c r="C50" s="213"/>
      <c r="D50" s="213"/>
      <c r="E50" s="213"/>
      <c r="F50" s="213"/>
    </row>
  </sheetData>
  <mergeCells count="1">
    <mergeCell ref="E2:F2"/>
  </mergeCells>
  <conditionalFormatting sqref="C6">
    <cfRule type="cellIs" dxfId="2369" priority="1516" operator="equal">
      <formula>"No"</formula>
    </cfRule>
    <cfRule type="cellIs" dxfId="2368" priority="1517" operator="equal">
      <formula>"NA"</formula>
    </cfRule>
    <cfRule type="cellIs" dxfId="2367" priority="1518" operator="equal">
      <formula>"Yes"</formula>
    </cfRule>
  </conditionalFormatting>
  <conditionalFormatting sqref="C8">
    <cfRule type="cellIs" dxfId="2366" priority="1470" operator="equal">
      <formula>"No"</formula>
    </cfRule>
    <cfRule type="cellIs" dxfId="2365" priority="1471" operator="equal">
      <formula>"NA"</formula>
    </cfRule>
    <cfRule type="cellIs" dxfId="2364" priority="1472" operator="equal">
      <formula>"Yes"</formula>
    </cfRule>
  </conditionalFormatting>
  <conditionalFormatting sqref="C9">
    <cfRule type="cellIs" dxfId="2363" priority="1424" operator="equal">
      <formula>"No"</formula>
    </cfRule>
    <cfRule type="cellIs" dxfId="2362" priority="1425" operator="equal">
      <formula>"NA"</formula>
    </cfRule>
    <cfRule type="cellIs" dxfId="2361" priority="1426" operator="equal">
      <formula>"Yes"</formula>
    </cfRule>
  </conditionalFormatting>
  <conditionalFormatting sqref="C10">
    <cfRule type="cellIs" dxfId="2360" priority="1378" operator="equal">
      <formula>"No"</formula>
    </cfRule>
    <cfRule type="cellIs" dxfId="2359" priority="1379" operator="equal">
      <formula>"NA"</formula>
    </cfRule>
    <cfRule type="cellIs" dxfId="2358" priority="1380" operator="equal">
      <formula>"Yes"</formula>
    </cfRule>
  </conditionalFormatting>
  <conditionalFormatting sqref="C11">
    <cfRule type="cellIs" dxfId="2357" priority="1332" operator="equal">
      <formula>"No"</formula>
    </cfRule>
    <cfRule type="cellIs" dxfId="2356" priority="1333" operator="equal">
      <formula>"NA"</formula>
    </cfRule>
    <cfRule type="cellIs" dxfId="2355" priority="1334" operator="equal">
      <formula>"Yes"</formula>
    </cfRule>
  </conditionalFormatting>
  <conditionalFormatting sqref="C12">
    <cfRule type="cellIs" dxfId="2354" priority="1286" operator="equal">
      <formula>"No"</formula>
    </cfRule>
    <cfRule type="cellIs" dxfId="2353" priority="1287" operator="equal">
      <formula>"NA"</formula>
    </cfRule>
    <cfRule type="cellIs" dxfId="2352" priority="1288" operator="equal">
      <formula>"Yes"</formula>
    </cfRule>
  </conditionalFormatting>
  <conditionalFormatting sqref="C14">
    <cfRule type="cellIs" dxfId="2351" priority="1240" operator="equal">
      <formula>"No"</formula>
    </cfRule>
    <cfRule type="cellIs" dxfId="2350" priority="1241" operator="equal">
      <formula>"NA"</formula>
    </cfRule>
    <cfRule type="cellIs" dxfId="2349" priority="1242" operator="equal">
      <formula>"Yes"</formula>
    </cfRule>
  </conditionalFormatting>
  <conditionalFormatting sqref="C15">
    <cfRule type="cellIs" dxfId="2348" priority="1194" operator="equal">
      <formula>"No"</formula>
    </cfRule>
    <cfRule type="cellIs" dxfId="2347" priority="1195" operator="equal">
      <formula>"NA"</formula>
    </cfRule>
    <cfRule type="cellIs" dxfId="2346" priority="1196" operator="equal">
      <formula>"Yes"</formula>
    </cfRule>
  </conditionalFormatting>
  <conditionalFormatting sqref="C16">
    <cfRule type="cellIs" dxfId="2345" priority="1148" operator="equal">
      <formula>"No"</formula>
    </cfRule>
    <cfRule type="cellIs" dxfId="2344" priority="1149" operator="equal">
      <formula>"NA"</formula>
    </cfRule>
    <cfRule type="cellIs" dxfId="2343" priority="1150" operator="equal">
      <formula>"Yes"</formula>
    </cfRule>
  </conditionalFormatting>
  <conditionalFormatting sqref="C17">
    <cfRule type="cellIs" dxfId="2342" priority="1102" operator="equal">
      <formula>"No"</formula>
    </cfRule>
    <cfRule type="cellIs" dxfId="2341" priority="1103" operator="equal">
      <formula>"NA"</formula>
    </cfRule>
    <cfRule type="cellIs" dxfId="2340" priority="1104" operator="equal">
      <formula>"Yes"</formula>
    </cfRule>
  </conditionalFormatting>
  <conditionalFormatting sqref="C19">
    <cfRule type="cellIs" dxfId="2339" priority="1056" operator="equal">
      <formula>"No"</formula>
    </cfRule>
    <cfRule type="cellIs" dxfId="2338" priority="1057" operator="equal">
      <formula>"NA"</formula>
    </cfRule>
    <cfRule type="cellIs" dxfId="2337" priority="1058" operator="equal">
      <formula>"Yes"</formula>
    </cfRule>
  </conditionalFormatting>
  <conditionalFormatting sqref="C20">
    <cfRule type="cellIs" dxfId="2336" priority="1010" operator="equal">
      <formula>"No"</formula>
    </cfRule>
    <cfRule type="cellIs" dxfId="2335" priority="1011" operator="equal">
      <formula>"NA"</formula>
    </cfRule>
    <cfRule type="cellIs" dxfId="2334" priority="1012" operator="equal">
      <formula>"Yes"</formula>
    </cfRule>
  </conditionalFormatting>
  <conditionalFormatting sqref="C21">
    <cfRule type="cellIs" dxfId="2333" priority="964" operator="equal">
      <formula>"No"</formula>
    </cfRule>
    <cfRule type="cellIs" dxfId="2332" priority="965" operator="equal">
      <formula>"NA"</formula>
    </cfRule>
    <cfRule type="cellIs" dxfId="2331" priority="966" operator="equal">
      <formula>"Yes"</formula>
    </cfRule>
  </conditionalFormatting>
  <conditionalFormatting sqref="C22">
    <cfRule type="cellIs" dxfId="2330" priority="918" operator="equal">
      <formula>"No"</formula>
    </cfRule>
    <cfRule type="cellIs" dxfId="2329" priority="919" operator="equal">
      <formula>"NA"</formula>
    </cfRule>
    <cfRule type="cellIs" dxfId="2328" priority="920" operator="equal">
      <formula>"Yes"</formula>
    </cfRule>
  </conditionalFormatting>
  <conditionalFormatting sqref="C23">
    <cfRule type="cellIs" dxfId="2327" priority="872" operator="equal">
      <formula>"No"</formula>
    </cfRule>
    <cfRule type="cellIs" dxfId="2326" priority="873" operator="equal">
      <formula>"NA"</formula>
    </cfRule>
    <cfRule type="cellIs" dxfId="2325" priority="874" operator="equal">
      <formula>"Yes"</formula>
    </cfRule>
  </conditionalFormatting>
  <conditionalFormatting sqref="C24">
    <cfRule type="cellIs" dxfId="2324" priority="826" operator="equal">
      <formula>"No"</formula>
    </cfRule>
    <cfRule type="cellIs" dxfId="2323" priority="827" operator="equal">
      <formula>"NA"</formula>
    </cfRule>
    <cfRule type="cellIs" dxfId="2322" priority="828" operator="equal">
      <formula>"Yes"</formula>
    </cfRule>
  </conditionalFormatting>
  <conditionalFormatting sqref="C25">
    <cfRule type="cellIs" dxfId="2321" priority="780" operator="equal">
      <formula>"No"</formula>
    </cfRule>
    <cfRule type="cellIs" dxfId="2320" priority="781" operator="equal">
      <formula>"NA"</formula>
    </cfRule>
    <cfRule type="cellIs" dxfId="2319" priority="782" operator="equal">
      <formula>"Yes"</formula>
    </cfRule>
  </conditionalFormatting>
  <conditionalFormatting sqref="C27">
    <cfRule type="cellIs" dxfId="2318" priority="734" operator="equal">
      <formula>"No"</formula>
    </cfRule>
    <cfRule type="cellIs" dxfId="2317" priority="735" operator="equal">
      <formula>"NA"</formula>
    </cfRule>
    <cfRule type="cellIs" dxfId="2316" priority="736" operator="equal">
      <formula>"Yes"</formula>
    </cfRule>
  </conditionalFormatting>
  <conditionalFormatting sqref="C28">
    <cfRule type="cellIs" dxfId="2315" priority="688" operator="equal">
      <formula>"No"</formula>
    </cfRule>
    <cfRule type="cellIs" dxfId="2314" priority="689" operator="equal">
      <formula>"NA"</formula>
    </cfRule>
    <cfRule type="cellIs" dxfId="2313" priority="690" operator="equal">
      <formula>"Yes"</formula>
    </cfRule>
  </conditionalFormatting>
  <conditionalFormatting sqref="C29">
    <cfRule type="cellIs" dxfId="2312" priority="642" operator="equal">
      <formula>"No"</formula>
    </cfRule>
    <cfRule type="cellIs" dxfId="2311" priority="643" operator="equal">
      <formula>"NA"</formula>
    </cfRule>
    <cfRule type="cellIs" dxfId="2310" priority="644" operator="equal">
      <formula>"Yes"</formula>
    </cfRule>
  </conditionalFormatting>
  <conditionalFormatting sqref="C30">
    <cfRule type="cellIs" dxfId="2309" priority="596" operator="equal">
      <formula>"No"</formula>
    </cfRule>
    <cfRule type="cellIs" dxfId="2308" priority="597" operator="equal">
      <formula>"NA"</formula>
    </cfRule>
    <cfRule type="cellIs" dxfId="2307" priority="598" operator="equal">
      <formula>"Yes"</formula>
    </cfRule>
  </conditionalFormatting>
  <conditionalFormatting sqref="C31">
    <cfRule type="cellIs" dxfId="2306" priority="550" operator="equal">
      <formula>"No"</formula>
    </cfRule>
    <cfRule type="cellIs" dxfId="2305" priority="551" operator="equal">
      <formula>"NA"</formula>
    </cfRule>
    <cfRule type="cellIs" dxfId="2304" priority="552" operator="equal">
      <formula>"Yes"</formula>
    </cfRule>
  </conditionalFormatting>
  <conditionalFormatting sqref="C32">
    <cfRule type="cellIs" dxfId="2303" priority="504" operator="equal">
      <formula>"No"</formula>
    </cfRule>
    <cfRule type="cellIs" dxfId="2302" priority="505" operator="equal">
      <formula>"NA"</formula>
    </cfRule>
    <cfRule type="cellIs" dxfId="2301" priority="506" operator="equal">
      <formula>"Yes"</formula>
    </cfRule>
  </conditionalFormatting>
  <conditionalFormatting sqref="C34">
    <cfRule type="cellIs" dxfId="2300" priority="458" operator="equal">
      <formula>"No"</formula>
    </cfRule>
    <cfRule type="cellIs" dxfId="2299" priority="459" operator="equal">
      <formula>"NA"</formula>
    </cfRule>
    <cfRule type="cellIs" dxfId="2298" priority="460" operator="equal">
      <formula>"Yes"</formula>
    </cfRule>
  </conditionalFormatting>
  <conditionalFormatting sqref="C36">
    <cfRule type="cellIs" dxfId="2297" priority="412" operator="equal">
      <formula>"No"</formula>
    </cfRule>
    <cfRule type="cellIs" dxfId="2296" priority="413" operator="equal">
      <formula>"NA"</formula>
    </cfRule>
    <cfRule type="cellIs" dxfId="2295" priority="414" operator="equal">
      <formula>"Yes"</formula>
    </cfRule>
  </conditionalFormatting>
  <conditionalFormatting sqref="C37">
    <cfRule type="cellIs" dxfId="2294" priority="366" operator="equal">
      <formula>"No"</formula>
    </cfRule>
    <cfRule type="cellIs" dxfId="2293" priority="367" operator="equal">
      <formula>"NA"</formula>
    </cfRule>
    <cfRule type="cellIs" dxfId="2292" priority="368" operator="equal">
      <formula>"Yes"</formula>
    </cfRule>
  </conditionalFormatting>
  <conditionalFormatting sqref="C39">
    <cfRule type="cellIs" dxfId="2291" priority="320" operator="equal">
      <formula>"No"</formula>
    </cfRule>
    <cfRule type="cellIs" dxfId="2290" priority="321" operator="equal">
      <formula>"NA"</formula>
    </cfRule>
    <cfRule type="cellIs" dxfId="2289" priority="322" operator="equal">
      <formula>"Yes"</formula>
    </cfRule>
  </conditionalFormatting>
  <conditionalFormatting sqref="C40">
    <cfRule type="cellIs" dxfId="2288" priority="274" operator="equal">
      <formula>"No"</formula>
    </cfRule>
    <cfRule type="cellIs" dxfId="2287" priority="275" operator="equal">
      <formula>"NA"</formula>
    </cfRule>
    <cfRule type="cellIs" dxfId="2286" priority="276" operator="equal">
      <formula>"Yes"</formula>
    </cfRule>
  </conditionalFormatting>
  <conditionalFormatting sqref="C41">
    <cfRule type="cellIs" dxfId="2285" priority="228" operator="equal">
      <formula>"No"</formula>
    </cfRule>
    <cfRule type="cellIs" dxfId="2284" priority="229" operator="equal">
      <formula>"NA"</formula>
    </cfRule>
    <cfRule type="cellIs" dxfId="2283" priority="230" operator="equal">
      <formula>"Yes"</formula>
    </cfRule>
  </conditionalFormatting>
  <conditionalFormatting sqref="C42">
    <cfRule type="cellIs" dxfId="2282" priority="182" operator="equal">
      <formula>"No"</formula>
    </cfRule>
    <cfRule type="cellIs" dxfId="2281" priority="183" operator="equal">
      <formula>"NA"</formula>
    </cfRule>
    <cfRule type="cellIs" dxfId="2280" priority="184" operator="equal">
      <formula>"Yes"</formula>
    </cfRule>
  </conditionalFormatting>
  <conditionalFormatting sqref="C44">
    <cfRule type="cellIs" dxfId="2279" priority="136" operator="equal">
      <formula>"No"</formula>
    </cfRule>
    <cfRule type="cellIs" dxfId="2278" priority="137" operator="equal">
      <formula>"NA"</formula>
    </cfRule>
    <cfRule type="cellIs" dxfId="2277" priority="138" operator="equal">
      <formula>"Yes"</formula>
    </cfRule>
  </conditionalFormatting>
  <conditionalFormatting sqref="C45">
    <cfRule type="cellIs" dxfId="2276" priority="90" operator="equal">
      <formula>"No"</formula>
    </cfRule>
    <cfRule type="cellIs" dxfId="2275" priority="91" operator="equal">
      <formula>"NA"</formula>
    </cfRule>
    <cfRule type="cellIs" dxfId="2274" priority="92" operator="equal">
      <formula>"Yes"</formula>
    </cfRule>
  </conditionalFormatting>
  <conditionalFormatting sqref="C47">
    <cfRule type="cellIs" dxfId="2273" priority="44" operator="equal">
      <formula>"No"</formula>
    </cfRule>
    <cfRule type="cellIs" dxfId="2272" priority="45" operator="equal">
      <formula>"NA"</formula>
    </cfRule>
    <cfRule type="cellIs" dxfId="2271"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L35"/>
  <sheetViews>
    <sheetView tabSelected="1" workbookViewId="0">
      <selection activeCell="H3" sqref="H3"/>
    </sheetView>
  </sheetViews>
  <sheetFormatPr defaultColWidth="9.28515625" defaultRowHeight="12.75" outlineLevelCol="1"/>
  <cols>
    <col min="1" max="1" width="12.85546875" style="147" bestFit="1" customWidth="1"/>
    <col min="2" max="2" width="61" style="145" customWidth="1"/>
    <col min="3" max="3" width="12.7109375" style="144" customWidth="1"/>
    <col min="4" max="4" width="10.7109375" style="144" customWidth="1"/>
    <col min="5" max="8" width="11.28515625" style="144" customWidth="1"/>
    <col min="9" max="9" width="33.7109375" style="144" customWidth="1"/>
    <col min="10" max="11" width="30.7109375" style="144" customWidth="1" outlineLevel="1"/>
    <col min="12" max="16384" width="9.28515625" style="144"/>
  </cols>
  <sheetData>
    <row r="2" spans="1:12" ht="86.25" customHeight="1">
      <c r="A2" s="196" t="s">
        <v>506</v>
      </c>
      <c r="B2" s="197" t="s">
        <v>921</v>
      </c>
      <c r="C2" s="198" t="s">
        <v>922</v>
      </c>
      <c r="D2" s="198" t="s">
        <v>923</v>
      </c>
      <c r="E2" s="198" t="s">
        <v>1153</v>
      </c>
      <c r="F2" s="198" t="s">
        <v>1162</v>
      </c>
      <c r="G2" s="198" t="s">
        <v>1163</v>
      </c>
      <c r="H2" s="198" t="s">
        <v>1158</v>
      </c>
      <c r="I2" s="199" t="s">
        <v>509</v>
      </c>
      <c r="J2" s="353" t="s">
        <v>167</v>
      </c>
      <c r="K2" s="354"/>
    </row>
    <row r="3" spans="1:12" ht="18.75">
      <c r="A3" s="200"/>
      <c r="B3" s="201"/>
      <c r="C3" s="202">
        <f>COUNTIF(C6:C35,"Yes") / ( COUNTA(C6:C35) - COUNTIF(C6:C35,"NA"))</f>
        <v>0.86363636363636365</v>
      </c>
      <c r="D3" s="202">
        <f t="shared" ref="D3:H3" si="0">COUNTIF(D6:D35,"Yes") / ( COUNTA(D6:D35) - COUNTIF(D6:D35,"NA"))</f>
        <v>0.90909090909090906</v>
      </c>
      <c r="E3" s="202">
        <f t="shared" si="0"/>
        <v>1</v>
      </c>
      <c r="F3" s="202">
        <f t="shared" si="0"/>
        <v>1</v>
      </c>
      <c r="G3" s="202">
        <f t="shared" si="0"/>
        <v>1</v>
      </c>
      <c r="H3" s="202">
        <f t="shared" si="0"/>
        <v>1</v>
      </c>
      <c r="I3" s="207"/>
      <c r="J3" s="215" t="s">
        <v>510</v>
      </c>
      <c r="K3" s="215" t="s">
        <v>511</v>
      </c>
      <c r="L3" s="208"/>
    </row>
    <row r="4" spans="1:12" ht="36">
      <c r="A4" s="203"/>
      <c r="B4" s="204" t="s">
        <v>512</v>
      </c>
      <c r="C4" s="205"/>
      <c r="D4" s="205"/>
      <c r="E4" s="205"/>
      <c r="F4" s="205"/>
      <c r="G4" s="205"/>
      <c r="H4" s="205"/>
      <c r="I4" s="205"/>
      <c r="J4" s="205"/>
      <c r="K4" s="206"/>
      <c r="L4" s="23"/>
    </row>
    <row r="5" spans="1:12" ht="18.75">
      <c r="A5" s="148"/>
      <c r="B5" s="157" t="s">
        <v>861</v>
      </c>
      <c r="C5" s="149"/>
      <c r="D5" s="149"/>
      <c r="E5" s="149"/>
      <c r="F5" s="149"/>
      <c r="G5" s="149"/>
      <c r="H5" s="149"/>
      <c r="I5" s="149"/>
      <c r="J5" s="215"/>
      <c r="K5" s="215"/>
    </row>
    <row r="6" spans="1:12" ht="38.25">
      <c r="A6" s="151" t="s">
        <v>862</v>
      </c>
      <c r="B6" s="160" t="s">
        <v>863</v>
      </c>
      <c r="C6" s="209" t="s">
        <v>112</v>
      </c>
      <c r="D6" s="209" t="s">
        <v>112</v>
      </c>
      <c r="E6" s="209" t="s">
        <v>112</v>
      </c>
      <c r="F6" s="209" t="s">
        <v>112</v>
      </c>
      <c r="G6" s="209" t="s">
        <v>112</v>
      </c>
      <c r="H6" s="209" t="s">
        <v>112</v>
      </c>
      <c r="I6" s="210"/>
      <c r="J6" s="150"/>
      <c r="K6" s="150"/>
    </row>
    <row r="7" spans="1:12" ht="18.75">
      <c r="A7" s="148"/>
      <c r="B7" s="157" t="s">
        <v>924</v>
      </c>
      <c r="C7" s="149"/>
      <c r="D7" s="149"/>
      <c r="E7" s="149"/>
      <c r="F7" s="149"/>
      <c r="G7" s="149"/>
      <c r="H7" s="149"/>
      <c r="I7" s="149"/>
      <c r="J7" s="215"/>
      <c r="K7" s="215"/>
    </row>
    <row r="8" spans="1:12" ht="38.25">
      <c r="A8" s="151" t="s">
        <v>925</v>
      </c>
      <c r="B8" s="160" t="s">
        <v>926</v>
      </c>
      <c r="C8" s="209" t="s">
        <v>112</v>
      </c>
      <c r="D8" s="209" t="s">
        <v>112</v>
      </c>
      <c r="E8" s="209" t="s">
        <v>112</v>
      </c>
      <c r="F8" s="209" t="s">
        <v>112</v>
      </c>
      <c r="G8" s="209" t="s">
        <v>112</v>
      </c>
      <c r="H8" s="209" t="s">
        <v>112</v>
      </c>
      <c r="I8" s="210"/>
      <c r="J8" s="150"/>
      <c r="K8" s="150"/>
    </row>
    <row r="9" spans="1:12" ht="25.5">
      <c r="A9" s="151" t="s">
        <v>927</v>
      </c>
      <c r="B9" s="160" t="s">
        <v>928</v>
      </c>
      <c r="C9" s="209" t="s">
        <v>112</v>
      </c>
      <c r="D9" s="209" t="s">
        <v>112</v>
      </c>
      <c r="E9" s="209" t="s">
        <v>112</v>
      </c>
      <c r="F9" s="209" t="s">
        <v>112</v>
      </c>
      <c r="G9" s="209" t="s">
        <v>112</v>
      </c>
      <c r="H9" s="209" t="s">
        <v>112</v>
      </c>
      <c r="I9" s="210"/>
      <c r="J9" s="150"/>
      <c r="K9" s="150"/>
    </row>
    <row r="10" spans="1:12" ht="38.25">
      <c r="A10" s="151" t="s">
        <v>929</v>
      </c>
      <c r="B10" s="160" t="s">
        <v>930</v>
      </c>
      <c r="C10" s="209" t="s">
        <v>114</v>
      </c>
      <c r="D10" s="209" t="s">
        <v>112</v>
      </c>
      <c r="E10" s="209" t="s">
        <v>112</v>
      </c>
      <c r="F10" s="209" t="s">
        <v>112</v>
      </c>
      <c r="G10" s="209" t="s">
        <v>112</v>
      </c>
      <c r="H10" s="209" t="s">
        <v>112</v>
      </c>
      <c r="I10" s="219" t="s">
        <v>931</v>
      </c>
      <c r="J10" s="150"/>
      <c r="K10" s="150"/>
    </row>
    <row r="11" spans="1:12" ht="25.5">
      <c r="A11" s="151" t="s">
        <v>932</v>
      </c>
      <c r="B11" s="160" t="s">
        <v>933</v>
      </c>
      <c r="C11" s="209" t="s">
        <v>112</v>
      </c>
      <c r="D11" s="209" t="s">
        <v>112</v>
      </c>
      <c r="E11" s="209" t="s">
        <v>112</v>
      </c>
      <c r="F11" s="209" t="s">
        <v>112</v>
      </c>
      <c r="G11" s="209" t="s">
        <v>112</v>
      </c>
      <c r="H11" s="209" t="s">
        <v>112</v>
      </c>
      <c r="I11" s="210"/>
      <c r="J11" s="150"/>
      <c r="K11" s="150"/>
    </row>
    <row r="12" spans="1:12" ht="51">
      <c r="A12" s="151" t="s">
        <v>934</v>
      </c>
      <c r="B12" s="160" t="s">
        <v>935</v>
      </c>
      <c r="C12" s="209" t="s">
        <v>112</v>
      </c>
      <c r="D12" s="209" t="s">
        <v>112</v>
      </c>
      <c r="E12" s="209" t="s">
        <v>112</v>
      </c>
      <c r="F12" s="209" t="s">
        <v>112</v>
      </c>
      <c r="G12" s="209" t="s">
        <v>112</v>
      </c>
      <c r="H12" s="209" t="s">
        <v>112</v>
      </c>
      <c r="I12" s="210"/>
      <c r="J12" s="150"/>
      <c r="K12" s="150"/>
    </row>
    <row r="13" spans="1:12" ht="25.5">
      <c r="A13" s="151" t="s">
        <v>936</v>
      </c>
      <c r="B13" s="160" t="s">
        <v>937</v>
      </c>
      <c r="C13" s="209" t="s">
        <v>112</v>
      </c>
      <c r="D13" s="209" t="s">
        <v>112</v>
      </c>
      <c r="E13" s="209" t="s">
        <v>112</v>
      </c>
      <c r="F13" s="209" t="s">
        <v>112</v>
      </c>
      <c r="G13" s="209" t="s">
        <v>112</v>
      </c>
      <c r="H13" s="209" t="s">
        <v>112</v>
      </c>
      <c r="I13" s="210"/>
      <c r="J13" s="150"/>
      <c r="K13" s="150"/>
    </row>
    <row r="14" spans="1:12" ht="25.5">
      <c r="A14" s="151" t="s">
        <v>938</v>
      </c>
      <c r="B14" s="160" t="s">
        <v>939</v>
      </c>
      <c r="C14" s="209" t="s">
        <v>112</v>
      </c>
      <c r="D14" s="209" t="s">
        <v>112</v>
      </c>
      <c r="E14" s="209" t="s">
        <v>112</v>
      </c>
      <c r="F14" s="209" t="s">
        <v>112</v>
      </c>
      <c r="G14" s="209" t="s">
        <v>112</v>
      </c>
      <c r="H14" s="209" t="s">
        <v>112</v>
      </c>
      <c r="I14" s="210"/>
      <c r="J14" s="150"/>
      <c r="K14" s="150"/>
    </row>
    <row r="15" spans="1:12" ht="38.25">
      <c r="A15" s="151" t="s">
        <v>940</v>
      </c>
      <c r="B15" s="160" t="s">
        <v>941</v>
      </c>
      <c r="C15" s="209" t="s">
        <v>112</v>
      </c>
      <c r="D15" s="209" t="s">
        <v>112</v>
      </c>
      <c r="E15" s="209" t="s">
        <v>112</v>
      </c>
      <c r="F15" s="209" t="s">
        <v>112</v>
      </c>
      <c r="G15" s="209" t="s">
        <v>112</v>
      </c>
      <c r="H15" s="209" t="s">
        <v>112</v>
      </c>
      <c r="I15" s="210"/>
      <c r="J15" s="150"/>
      <c r="K15" s="150"/>
    </row>
    <row r="16" spans="1:12" ht="25.5">
      <c r="A16" s="151" t="s">
        <v>942</v>
      </c>
      <c r="B16" s="160" t="s">
        <v>920</v>
      </c>
      <c r="C16" s="209" t="s">
        <v>112</v>
      </c>
      <c r="D16" s="209" t="s">
        <v>112</v>
      </c>
      <c r="E16" s="209" t="s">
        <v>112</v>
      </c>
      <c r="F16" s="209" t="s">
        <v>112</v>
      </c>
      <c r="G16" s="209" t="s">
        <v>112</v>
      </c>
      <c r="H16" s="209" t="s">
        <v>112</v>
      </c>
      <c r="I16" s="210"/>
      <c r="J16" s="150"/>
      <c r="K16" s="150"/>
    </row>
    <row r="17" spans="1:11" ht="38.25">
      <c r="A17" s="151" t="s">
        <v>943</v>
      </c>
      <c r="B17" s="160" t="s">
        <v>944</v>
      </c>
      <c r="C17" s="209" t="s">
        <v>112</v>
      </c>
      <c r="D17" s="209" t="s">
        <v>112</v>
      </c>
      <c r="E17" s="209" t="s">
        <v>112</v>
      </c>
      <c r="F17" s="209" t="s">
        <v>112</v>
      </c>
      <c r="G17" s="209" t="s">
        <v>112</v>
      </c>
      <c r="H17" s="209" t="s">
        <v>112</v>
      </c>
      <c r="I17" s="210"/>
      <c r="J17" s="150"/>
      <c r="K17" s="150"/>
    </row>
    <row r="18" spans="1:11" ht="38.25">
      <c r="A18" s="151" t="s">
        <v>945</v>
      </c>
      <c r="B18" s="160" t="s">
        <v>946</v>
      </c>
      <c r="C18" s="209" t="s">
        <v>112</v>
      </c>
      <c r="D18" s="209" t="s">
        <v>112</v>
      </c>
      <c r="E18" s="209" t="s">
        <v>112</v>
      </c>
      <c r="F18" s="209" t="s">
        <v>112</v>
      </c>
      <c r="G18" s="209" t="s">
        <v>112</v>
      </c>
      <c r="H18" s="209" t="s">
        <v>112</v>
      </c>
      <c r="I18" s="210"/>
      <c r="J18" s="150"/>
      <c r="K18" s="150"/>
    </row>
    <row r="19" spans="1:11" ht="25.5">
      <c r="A19" s="151" t="s">
        <v>947</v>
      </c>
      <c r="B19" s="160" t="s">
        <v>948</v>
      </c>
      <c r="C19" s="209" t="s">
        <v>112</v>
      </c>
      <c r="D19" s="209" t="s">
        <v>112</v>
      </c>
      <c r="E19" s="209" t="s">
        <v>112</v>
      </c>
      <c r="F19" s="209" t="s">
        <v>112</v>
      </c>
      <c r="G19" s="209" t="s">
        <v>112</v>
      </c>
      <c r="H19" s="209" t="s">
        <v>112</v>
      </c>
      <c r="I19" s="210"/>
      <c r="J19" s="150"/>
      <c r="K19" s="150"/>
    </row>
    <row r="20" spans="1:11" ht="25.5">
      <c r="A20" s="151" t="s">
        <v>949</v>
      </c>
      <c r="B20" s="160" t="s">
        <v>950</v>
      </c>
      <c r="C20" s="209" t="s">
        <v>112</v>
      </c>
      <c r="D20" s="209" t="s">
        <v>112</v>
      </c>
      <c r="E20" s="209" t="s">
        <v>112</v>
      </c>
      <c r="F20" s="209" t="s">
        <v>112</v>
      </c>
      <c r="G20" s="209" t="s">
        <v>112</v>
      </c>
      <c r="H20" s="209" t="s">
        <v>112</v>
      </c>
      <c r="I20" s="210"/>
      <c r="J20" s="150"/>
      <c r="K20" s="150"/>
    </row>
    <row r="21" spans="1:11" ht="38.25">
      <c r="A21" s="151" t="s">
        <v>951</v>
      </c>
      <c r="B21" s="160" t="s">
        <v>952</v>
      </c>
      <c r="C21" s="209" t="s">
        <v>112</v>
      </c>
      <c r="D21" s="209" t="s">
        <v>112</v>
      </c>
      <c r="E21" s="209" t="s">
        <v>112</v>
      </c>
      <c r="F21" s="209" t="s">
        <v>112</v>
      </c>
      <c r="G21" s="209" t="s">
        <v>112</v>
      </c>
      <c r="H21" s="209" t="s">
        <v>112</v>
      </c>
      <c r="I21" s="210"/>
      <c r="J21" s="150"/>
      <c r="K21" s="150"/>
    </row>
    <row r="22" spans="1:11" ht="38.25">
      <c r="A22" s="151" t="s">
        <v>953</v>
      </c>
      <c r="B22" s="160" t="s">
        <v>954</v>
      </c>
      <c r="C22" s="209" t="s">
        <v>112</v>
      </c>
      <c r="D22" s="209" t="s">
        <v>112</v>
      </c>
      <c r="E22" s="209" t="s">
        <v>112</v>
      </c>
      <c r="F22" s="209" t="s">
        <v>112</v>
      </c>
      <c r="G22" s="209" t="s">
        <v>112</v>
      </c>
      <c r="H22" s="209" t="s">
        <v>112</v>
      </c>
      <c r="I22" s="210"/>
      <c r="J22" s="150"/>
      <c r="K22" s="150"/>
    </row>
    <row r="23" spans="1:11" ht="18.75">
      <c r="A23" s="148"/>
      <c r="B23" s="157" t="s">
        <v>570</v>
      </c>
      <c r="C23" s="149"/>
      <c r="D23" s="149"/>
      <c r="E23" s="149"/>
      <c r="F23" s="149"/>
      <c r="G23" s="149"/>
      <c r="H23" s="149"/>
      <c r="I23" s="149"/>
      <c r="J23" s="215"/>
      <c r="K23" s="215"/>
    </row>
    <row r="24" spans="1:11" ht="38.25">
      <c r="A24" s="151" t="s">
        <v>571</v>
      </c>
      <c r="B24" s="160" t="s">
        <v>572</v>
      </c>
      <c r="C24" s="209" t="s">
        <v>114</v>
      </c>
      <c r="D24" s="209" t="s">
        <v>114</v>
      </c>
      <c r="E24" s="209" t="s">
        <v>112</v>
      </c>
      <c r="F24" s="209" t="s">
        <v>112</v>
      </c>
      <c r="G24" s="209" t="s">
        <v>112</v>
      </c>
      <c r="H24" s="209" t="s">
        <v>112</v>
      </c>
      <c r="I24" s="219" t="s">
        <v>931</v>
      </c>
      <c r="J24" s="150"/>
      <c r="K24" s="150"/>
    </row>
    <row r="25" spans="1:11" ht="25.5">
      <c r="A25" s="151" t="s">
        <v>573</v>
      </c>
      <c r="B25" s="160" t="s">
        <v>574</v>
      </c>
      <c r="C25" s="209" t="s">
        <v>112</v>
      </c>
      <c r="D25" s="209" t="s">
        <v>112</v>
      </c>
      <c r="E25" s="209" t="s">
        <v>112</v>
      </c>
      <c r="F25" s="209" t="s">
        <v>112</v>
      </c>
      <c r="G25" s="209" t="s">
        <v>112</v>
      </c>
      <c r="H25" s="209" t="s">
        <v>112</v>
      </c>
      <c r="I25" s="210"/>
      <c r="J25" s="150"/>
      <c r="K25" s="150"/>
    </row>
    <row r="26" spans="1:11" ht="38.25">
      <c r="A26" s="151" t="s">
        <v>575</v>
      </c>
      <c r="B26" s="160" t="s">
        <v>576</v>
      </c>
      <c r="C26" s="209" t="s">
        <v>112</v>
      </c>
      <c r="D26" s="209" t="s">
        <v>112</v>
      </c>
      <c r="E26" s="209" t="s">
        <v>112</v>
      </c>
      <c r="F26" s="209" t="s">
        <v>112</v>
      </c>
      <c r="G26" s="209" t="s">
        <v>112</v>
      </c>
      <c r="H26" s="209" t="s">
        <v>112</v>
      </c>
      <c r="I26" s="210"/>
      <c r="J26" s="150"/>
      <c r="K26" s="150"/>
    </row>
    <row r="27" spans="1:11" ht="38.25">
      <c r="A27" s="151" t="s">
        <v>577</v>
      </c>
      <c r="B27" s="160" t="s">
        <v>578</v>
      </c>
      <c r="C27" s="209" t="s">
        <v>114</v>
      </c>
      <c r="D27" s="209" t="s">
        <v>114</v>
      </c>
      <c r="E27" s="209" t="s">
        <v>112</v>
      </c>
      <c r="F27" s="209" t="s">
        <v>112</v>
      </c>
      <c r="G27" s="209" t="s">
        <v>112</v>
      </c>
      <c r="H27" s="209" t="s">
        <v>112</v>
      </c>
      <c r="I27" s="219" t="s">
        <v>931</v>
      </c>
      <c r="J27" s="150"/>
      <c r="K27" s="150"/>
    </row>
    <row r="28" spans="1:11" ht="18.75">
      <c r="A28" s="148"/>
      <c r="B28" s="157" t="s">
        <v>579</v>
      </c>
      <c r="C28" s="149"/>
      <c r="D28" s="149"/>
      <c r="E28" s="149"/>
      <c r="F28" s="149"/>
      <c r="G28" s="149"/>
      <c r="H28" s="149"/>
      <c r="I28" s="149"/>
      <c r="J28" s="215"/>
      <c r="K28" s="215"/>
    </row>
    <row r="29" spans="1:11" ht="38.25">
      <c r="A29" s="151" t="s">
        <v>580</v>
      </c>
      <c r="B29" s="160" t="s">
        <v>581</v>
      </c>
      <c r="C29" s="209" t="s">
        <v>112</v>
      </c>
      <c r="D29" s="209" t="s">
        <v>112</v>
      </c>
      <c r="E29" s="209" t="s">
        <v>112</v>
      </c>
      <c r="F29" s="209" t="s">
        <v>112</v>
      </c>
      <c r="G29" s="209" t="s">
        <v>112</v>
      </c>
      <c r="H29" s="209" t="s">
        <v>112</v>
      </c>
      <c r="I29" s="210"/>
      <c r="J29" s="150"/>
      <c r="K29" s="150"/>
    </row>
    <row r="30" spans="1:11" ht="38.25">
      <c r="A30" s="151" t="s">
        <v>582</v>
      </c>
      <c r="B30" s="160" t="s">
        <v>583</v>
      </c>
      <c r="C30" s="209" t="s">
        <v>112</v>
      </c>
      <c r="D30" s="209" t="s">
        <v>112</v>
      </c>
      <c r="E30" s="209" t="s">
        <v>112</v>
      </c>
      <c r="F30" s="209" t="s">
        <v>112</v>
      </c>
      <c r="G30" s="209" t="s">
        <v>112</v>
      </c>
      <c r="H30" s="209" t="s">
        <v>112</v>
      </c>
      <c r="I30" s="210"/>
      <c r="J30" s="150"/>
      <c r="K30" s="150"/>
    </row>
    <row r="31" spans="1:11" ht="18.75">
      <c r="A31" s="148"/>
      <c r="B31" s="157" t="s">
        <v>584</v>
      </c>
      <c r="C31" s="149"/>
      <c r="D31" s="149"/>
      <c r="E31" s="149"/>
      <c r="F31" s="149"/>
      <c r="G31" s="149"/>
      <c r="H31" s="149"/>
      <c r="I31" s="149"/>
      <c r="J31" s="215"/>
      <c r="K31" s="215"/>
    </row>
    <row r="32" spans="1:11" ht="51">
      <c r="A32" s="151" t="s">
        <v>585</v>
      </c>
      <c r="B32" s="160" t="s">
        <v>586</v>
      </c>
      <c r="C32" s="209" t="s">
        <v>116</v>
      </c>
      <c r="D32" s="209" t="s">
        <v>116</v>
      </c>
      <c r="E32" s="209" t="s">
        <v>116</v>
      </c>
      <c r="F32" s="209" t="s">
        <v>116</v>
      </c>
      <c r="G32" s="209" t="s">
        <v>116</v>
      </c>
      <c r="H32" s="209" t="s">
        <v>116</v>
      </c>
      <c r="I32" s="219" t="s">
        <v>955</v>
      </c>
      <c r="J32" s="150"/>
      <c r="K32" s="150"/>
    </row>
    <row r="33" spans="1:11" ht="18">
      <c r="A33" s="211"/>
      <c r="B33" s="212" t="s">
        <v>587</v>
      </c>
      <c r="C33" s="211"/>
      <c r="D33" s="211"/>
      <c r="E33" s="211"/>
      <c r="F33" s="211"/>
      <c r="G33" s="211"/>
      <c r="H33" s="211"/>
      <c r="I33" s="211"/>
      <c r="J33" s="211"/>
      <c r="K33" s="211"/>
    </row>
    <row r="34" spans="1:11">
      <c r="A34" s="151"/>
      <c r="B34" s="160"/>
    </row>
    <row r="35" spans="1:11" ht="15">
      <c r="A35" s="213"/>
      <c r="B35" s="214" t="s">
        <v>588</v>
      </c>
      <c r="C35" s="213"/>
      <c r="D35" s="213"/>
      <c r="E35" s="213"/>
      <c r="F35" s="213"/>
      <c r="G35" s="213"/>
      <c r="H35" s="213"/>
      <c r="I35" s="213"/>
      <c r="J35" s="213"/>
      <c r="K35" s="213"/>
    </row>
  </sheetData>
  <mergeCells count="1">
    <mergeCell ref="J2:K2"/>
  </mergeCells>
  <conditionalFormatting sqref="C6">
    <cfRule type="cellIs" dxfId="2270" priority="1101" operator="equal">
      <formula>"No"</formula>
    </cfRule>
    <cfRule type="cellIs" dxfId="2269" priority="1102" operator="equal">
      <formula>"NA"</formula>
    </cfRule>
    <cfRule type="cellIs" dxfId="2268" priority="1103" operator="equal">
      <formula>"Yes"</formula>
    </cfRule>
  </conditionalFormatting>
  <conditionalFormatting sqref="C24">
    <cfRule type="cellIs" dxfId="2267" priority="365" operator="equal">
      <formula>"No"</formula>
    </cfRule>
    <cfRule type="cellIs" dxfId="2266" priority="366" operator="equal">
      <formula>"NA"</formula>
    </cfRule>
    <cfRule type="cellIs" dxfId="2265" priority="367" operator="equal">
      <formula>"Yes"</formula>
    </cfRule>
  </conditionalFormatting>
  <conditionalFormatting sqref="C25">
    <cfRule type="cellIs" dxfId="2264" priority="319" operator="equal">
      <formula>"No"</formula>
    </cfRule>
    <cfRule type="cellIs" dxfId="2263" priority="320" operator="equal">
      <formula>"NA"</formula>
    </cfRule>
    <cfRule type="cellIs" dxfId="2262" priority="321" operator="equal">
      <formula>"Yes"</formula>
    </cfRule>
  </conditionalFormatting>
  <conditionalFormatting sqref="C26">
    <cfRule type="cellIs" dxfId="2261" priority="273" operator="equal">
      <formula>"No"</formula>
    </cfRule>
    <cfRule type="cellIs" dxfId="2260" priority="274" operator="equal">
      <formula>"NA"</formula>
    </cfRule>
    <cfRule type="cellIs" dxfId="2259" priority="275" operator="equal">
      <formula>"Yes"</formula>
    </cfRule>
  </conditionalFormatting>
  <conditionalFormatting sqref="C27">
    <cfRule type="cellIs" dxfId="2258" priority="227" operator="equal">
      <formula>"No"</formula>
    </cfRule>
    <cfRule type="cellIs" dxfId="2257" priority="228" operator="equal">
      <formula>"NA"</formula>
    </cfRule>
    <cfRule type="cellIs" dxfId="2256" priority="229" operator="equal">
      <formula>"Yes"</formula>
    </cfRule>
  </conditionalFormatting>
  <conditionalFormatting sqref="C32">
    <cfRule type="cellIs" dxfId="2255" priority="89" operator="equal">
      <formula>"No"</formula>
    </cfRule>
    <cfRule type="cellIs" dxfId="2254" priority="90" operator="equal">
      <formula>"NA"</formula>
    </cfRule>
    <cfRule type="cellIs" dxfId="2253" priority="91" operator="equal">
      <formula>"Yes"</formula>
    </cfRule>
  </conditionalFormatting>
  <conditionalFormatting sqref="C8:C17">
    <cfRule type="cellIs" dxfId="2252" priority="43" operator="equal">
      <formula>"No"</formula>
    </cfRule>
    <cfRule type="cellIs" dxfId="2251" priority="44" operator="equal">
      <formula>"NA"</formula>
    </cfRule>
    <cfRule type="cellIs" dxfId="2250" priority="45" operator="equal">
      <formula>"Yes"</formula>
    </cfRule>
  </conditionalFormatting>
  <conditionalFormatting sqref="C18:C22">
    <cfRule type="cellIs" dxfId="2249" priority="40" operator="equal">
      <formula>"No"</formula>
    </cfRule>
    <cfRule type="cellIs" dxfId="2248" priority="41" operator="equal">
      <formula>"NA"</formula>
    </cfRule>
    <cfRule type="cellIs" dxfId="2247" priority="42" operator="equal">
      <formula>"Yes"</formula>
    </cfRule>
  </conditionalFormatting>
  <conditionalFormatting sqref="C29:C30">
    <cfRule type="cellIs" dxfId="2246" priority="37" operator="equal">
      <formula>"No"</formula>
    </cfRule>
    <cfRule type="cellIs" dxfId="2245" priority="38" operator="equal">
      <formula>"NA"</formula>
    </cfRule>
    <cfRule type="cellIs" dxfId="2244" priority="39" operator="equal">
      <formula>"Yes"</formula>
    </cfRule>
  </conditionalFormatting>
  <conditionalFormatting sqref="D6:H6">
    <cfRule type="cellIs" dxfId="2243" priority="34" operator="equal">
      <formula>"No"</formula>
    </cfRule>
    <cfRule type="cellIs" dxfId="2242" priority="35" operator="equal">
      <formula>"NA"</formula>
    </cfRule>
    <cfRule type="cellIs" dxfId="2241" priority="36" operator="equal">
      <formula>"Yes"</formula>
    </cfRule>
  </conditionalFormatting>
  <conditionalFormatting sqref="D24:H24">
    <cfRule type="cellIs" dxfId="2240" priority="31" operator="equal">
      <formula>"No"</formula>
    </cfRule>
    <cfRule type="cellIs" dxfId="2239" priority="32" operator="equal">
      <formula>"NA"</formula>
    </cfRule>
    <cfRule type="cellIs" dxfId="2238" priority="33" operator="equal">
      <formula>"Yes"</formula>
    </cfRule>
  </conditionalFormatting>
  <conditionalFormatting sqref="D25:H25">
    <cfRule type="cellIs" dxfId="2237" priority="28" operator="equal">
      <formula>"No"</formula>
    </cfRule>
    <cfRule type="cellIs" dxfId="2236" priority="29" operator="equal">
      <formula>"NA"</formula>
    </cfRule>
    <cfRule type="cellIs" dxfId="2235" priority="30" operator="equal">
      <formula>"Yes"</formula>
    </cfRule>
  </conditionalFormatting>
  <conditionalFormatting sqref="D26:H26">
    <cfRule type="cellIs" dxfId="2234" priority="25" operator="equal">
      <formula>"No"</formula>
    </cfRule>
    <cfRule type="cellIs" dxfId="2233" priority="26" operator="equal">
      <formula>"NA"</formula>
    </cfRule>
    <cfRule type="cellIs" dxfId="2232" priority="27" operator="equal">
      <formula>"Yes"</formula>
    </cfRule>
  </conditionalFormatting>
  <conditionalFormatting sqref="D27:H27">
    <cfRule type="cellIs" dxfId="2231" priority="22" operator="equal">
      <formula>"No"</formula>
    </cfRule>
    <cfRule type="cellIs" dxfId="2230" priority="23" operator="equal">
      <formula>"NA"</formula>
    </cfRule>
    <cfRule type="cellIs" dxfId="2229" priority="24" operator="equal">
      <formula>"Yes"</formula>
    </cfRule>
  </conditionalFormatting>
  <conditionalFormatting sqref="D32:H32">
    <cfRule type="cellIs" dxfId="2228" priority="19" operator="equal">
      <formula>"No"</formula>
    </cfRule>
    <cfRule type="cellIs" dxfId="2227" priority="20" operator="equal">
      <formula>"NA"</formula>
    </cfRule>
    <cfRule type="cellIs" dxfId="2226" priority="21" operator="equal">
      <formula>"Yes"</formula>
    </cfRule>
  </conditionalFormatting>
  <conditionalFormatting sqref="E8:H17">
    <cfRule type="cellIs" dxfId="2225" priority="16" operator="equal">
      <formula>"No"</formula>
    </cfRule>
    <cfRule type="cellIs" dxfId="2224" priority="17" operator="equal">
      <formula>"NA"</formula>
    </cfRule>
    <cfRule type="cellIs" dxfId="2223" priority="18" operator="equal">
      <formula>"Yes"</formula>
    </cfRule>
  </conditionalFormatting>
  <conditionalFormatting sqref="E18:H22">
    <cfRule type="cellIs" dxfId="2222" priority="13" operator="equal">
      <formula>"No"</formula>
    </cfRule>
    <cfRule type="cellIs" dxfId="2221" priority="14" operator="equal">
      <formula>"NA"</formula>
    </cfRule>
    <cfRule type="cellIs" dxfId="2220" priority="15" operator="equal">
      <formula>"Yes"</formula>
    </cfRule>
  </conditionalFormatting>
  <conditionalFormatting sqref="E29:H30">
    <cfRule type="cellIs" dxfId="2219" priority="10" operator="equal">
      <formula>"No"</formula>
    </cfRule>
    <cfRule type="cellIs" dxfId="2218" priority="11" operator="equal">
      <formula>"NA"</formula>
    </cfRule>
    <cfRule type="cellIs" dxfId="2217" priority="12" operator="equal">
      <formula>"Yes"</formula>
    </cfRule>
  </conditionalFormatting>
  <conditionalFormatting sqref="D8:D17">
    <cfRule type="cellIs" dxfId="2216" priority="7" operator="equal">
      <formula>"No"</formula>
    </cfRule>
    <cfRule type="cellIs" dxfId="2215" priority="8" operator="equal">
      <formula>"NA"</formula>
    </cfRule>
    <cfRule type="cellIs" dxfId="2214" priority="9" operator="equal">
      <formula>"Yes"</formula>
    </cfRule>
  </conditionalFormatting>
  <conditionalFormatting sqref="D18:D22">
    <cfRule type="cellIs" dxfId="2213" priority="4" operator="equal">
      <formula>"No"</formula>
    </cfRule>
    <cfRule type="cellIs" dxfId="2212" priority="5" operator="equal">
      <formula>"NA"</formula>
    </cfRule>
    <cfRule type="cellIs" dxfId="2211" priority="6" operator="equal">
      <formula>"Yes"</formula>
    </cfRule>
  </conditionalFormatting>
  <conditionalFormatting sqref="D29:D30">
    <cfRule type="cellIs" dxfId="2210" priority="1" operator="equal">
      <formula>"No"</formula>
    </cfRule>
    <cfRule type="cellIs" dxfId="2209" priority="2" operator="equal">
      <formula>"NA"</formula>
    </cfRule>
    <cfRule type="cellIs" dxfId="2208" priority="3" operator="equal">
      <formula>"Yes"</formula>
    </cfRule>
  </conditionalFormatting>
  <dataValidations count="1">
    <dataValidation type="list" allowBlank="1" showInputMessage="1" showErrorMessage="1" sqref="C24:H27 C32:H32 C6:H6 C29:H30 C8:H2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L36"/>
  <sheetViews>
    <sheetView topLeftCell="B1" zoomScale="85" zoomScaleNormal="85" workbookViewId="0">
      <selection activeCell="AH17" sqref="AH17"/>
    </sheetView>
  </sheetViews>
  <sheetFormatPr defaultColWidth="9.28515625" defaultRowHeight="12.75" outlineLevelCol="1"/>
  <cols>
    <col min="1" max="1" width="13" style="147" bestFit="1" customWidth="1"/>
    <col min="2" max="2" width="61" style="145" customWidth="1"/>
    <col min="3" max="3" width="8.42578125" style="144" customWidth="1"/>
    <col min="4" max="4" width="12.7109375" style="144" customWidth="1"/>
    <col min="5" max="5" width="14.85546875" style="144" hidden="1" customWidth="1"/>
    <col min="6" max="6" width="12.140625" style="144" hidden="1" customWidth="1"/>
    <col min="7" max="18" width="14.85546875" style="144" hidden="1" customWidth="1"/>
    <col min="19" max="19" width="14.85546875" style="144" customWidth="1"/>
    <col min="20" max="20" width="12.140625" style="144" customWidth="1"/>
    <col min="21" max="22" width="14.85546875" style="144" customWidth="1"/>
    <col min="23" max="23" width="12.140625" style="144" customWidth="1"/>
    <col min="24" max="24" width="12.7109375" style="144" customWidth="1"/>
    <col min="25" max="26" width="14.85546875" style="144" customWidth="1"/>
    <col min="27" max="27" width="12.140625" style="144" customWidth="1"/>
    <col min="28" max="28" width="12.7109375" style="144" customWidth="1"/>
    <col min="29" max="29" width="9.7109375" style="144" customWidth="1"/>
    <col min="30" max="30" width="14.85546875" style="144" customWidth="1"/>
    <col min="31" max="31" width="12.140625" style="144" customWidth="1"/>
    <col min="32" max="32" width="12.7109375" style="144" customWidth="1"/>
    <col min="33" max="33" width="9.7109375" style="144" customWidth="1"/>
    <col min="34" max="34" width="14.85546875" style="144" customWidth="1"/>
    <col min="35" max="35" width="32.7109375" style="144" customWidth="1"/>
    <col min="36" max="37" width="30.7109375" style="144" customWidth="1" outlineLevel="1"/>
    <col min="38" max="16384" width="9.28515625" style="144"/>
  </cols>
  <sheetData>
    <row r="2" spans="1:38" ht="87.75" customHeight="1">
      <c r="A2" s="196" t="s">
        <v>506</v>
      </c>
      <c r="B2" s="197" t="s">
        <v>956</v>
      </c>
      <c r="C2" s="198" t="s">
        <v>957</v>
      </c>
      <c r="D2" s="198" t="s">
        <v>958</v>
      </c>
      <c r="E2" s="198" t="s">
        <v>959</v>
      </c>
      <c r="F2" s="198" t="s">
        <v>960</v>
      </c>
      <c r="G2" s="198" t="s">
        <v>961</v>
      </c>
      <c r="H2" s="198" t="s">
        <v>962</v>
      </c>
      <c r="I2" s="198" t="s">
        <v>963</v>
      </c>
      <c r="J2" s="198" t="s">
        <v>964</v>
      </c>
      <c r="K2" s="198" t="s">
        <v>965</v>
      </c>
      <c r="L2" s="198" t="s">
        <v>963</v>
      </c>
      <c r="M2" s="198" t="s">
        <v>966</v>
      </c>
      <c r="N2" s="198" t="s">
        <v>967</v>
      </c>
      <c r="O2" s="198" t="s">
        <v>968</v>
      </c>
      <c r="P2" s="198" t="s">
        <v>969</v>
      </c>
      <c r="Q2" s="198" t="s">
        <v>277</v>
      </c>
      <c r="R2" s="198" t="s">
        <v>970</v>
      </c>
      <c r="S2" s="198" t="s">
        <v>971</v>
      </c>
      <c r="T2" s="198" t="s">
        <v>972</v>
      </c>
      <c r="U2" s="198" t="s">
        <v>280</v>
      </c>
      <c r="V2" s="198" t="s">
        <v>973</v>
      </c>
      <c r="W2" s="198" t="s">
        <v>974</v>
      </c>
      <c r="X2" s="198" t="s">
        <v>975</v>
      </c>
      <c r="Y2" s="198" t="s">
        <v>283</v>
      </c>
      <c r="Z2" s="198" t="s">
        <v>1126</v>
      </c>
      <c r="AA2" s="198" t="s">
        <v>1127</v>
      </c>
      <c r="AB2" s="198" t="s">
        <v>1128</v>
      </c>
      <c r="AC2" s="198" t="s">
        <v>1129</v>
      </c>
      <c r="AD2" s="198" t="s">
        <v>1130</v>
      </c>
      <c r="AE2" s="198" t="s">
        <v>1148</v>
      </c>
      <c r="AF2" s="198" t="s">
        <v>1149</v>
      </c>
      <c r="AG2" s="198" t="s">
        <v>1150</v>
      </c>
      <c r="AH2" s="198" t="s">
        <v>1147</v>
      </c>
      <c r="AI2" s="199" t="s">
        <v>509</v>
      </c>
      <c r="AJ2" s="353" t="s">
        <v>167</v>
      </c>
      <c r="AK2" s="354"/>
    </row>
    <row r="3" spans="1:38" ht="18.75">
      <c r="A3" s="200"/>
      <c r="B3" s="201"/>
      <c r="C3" s="202">
        <f>COUNTIF(C6:C36,"Yes") / ( COUNTA(C6:C36) - COUNTIF(C6:C36,"NA"))</f>
        <v>0.95652173913043481</v>
      </c>
      <c r="D3" s="202">
        <f t="shared" ref="D3:M3" si="0">COUNTIF(D6:D36,"Yes") / ( COUNTA(D6:D36) - COUNTIF(D6:D36,"NA"))</f>
        <v>0.78260869565217395</v>
      </c>
      <c r="E3" s="202">
        <f t="shared" si="0"/>
        <v>0.82608695652173914</v>
      </c>
      <c r="F3" s="202">
        <f t="shared" si="0"/>
        <v>0.78260869565217395</v>
      </c>
      <c r="G3" s="202">
        <f t="shared" si="0"/>
        <v>1</v>
      </c>
      <c r="H3" s="202">
        <f t="shared" si="0"/>
        <v>1</v>
      </c>
      <c r="I3" s="202">
        <f t="shared" si="0"/>
        <v>1</v>
      </c>
      <c r="J3" s="202">
        <f t="shared" si="0"/>
        <v>1</v>
      </c>
      <c r="K3" s="202">
        <f t="shared" si="0"/>
        <v>1</v>
      </c>
      <c r="L3" s="202">
        <f t="shared" si="0"/>
        <v>0.91304347826086951</v>
      </c>
      <c r="M3" s="202">
        <f t="shared" si="0"/>
        <v>1</v>
      </c>
      <c r="N3" s="202">
        <f t="shared" ref="N3:T3" si="1">COUNTIF(N6:N36,"Yes") / ( COUNTA(N6:N36) - COUNTIF(N6:N36,"NA"))</f>
        <v>0.95652173913043481</v>
      </c>
      <c r="O3" s="202">
        <f t="shared" si="1"/>
        <v>0.95652173913043481</v>
      </c>
      <c r="P3" s="202">
        <f t="shared" si="1"/>
        <v>0.91304347826086951</v>
      </c>
      <c r="Q3" s="202">
        <f t="shared" si="1"/>
        <v>1</v>
      </c>
      <c r="R3" s="202" t="e">
        <f t="shared" si="1"/>
        <v>#DIV/0!</v>
      </c>
      <c r="S3" s="202">
        <f t="shared" si="1"/>
        <v>0.86956521739130432</v>
      </c>
      <c r="T3" s="202">
        <f t="shared" si="1"/>
        <v>0.82608695652173914</v>
      </c>
      <c r="U3" s="202">
        <f t="shared" ref="U3:X3" si="2">COUNTIF(U6:U36,"Yes") / ( COUNTA(U6:U36) - COUNTIF(U6:U36,"NA"))</f>
        <v>0.73913043478260865</v>
      </c>
      <c r="V3" s="202">
        <f t="shared" si="2"/>
        <v>1</v>
      </c>
      <c r="W3" s="202">
        <f t="shared" si="2"/>
        <v>0.95652173913043481</v>
      </c>
      <c r="X3" s="202">
        <f t="shared" si="2"/>
        <v>1</v>
      </c>
      <c r="Y3" s="202">
        <f t="shared" ref="Y3:AB3" si="3">COUNTIF(Y6:Y36,"Yes") / ( COUNTA(Y6:Y36) - COUNTIF(Y6:Y36,"NA"))</f>
        <v>0.86956521739130432</v>
      </c>
      <c r="Z3" s="202">
        <f t="shared" si="3"/>
        <v>1</v>
      </c>
      <c r="AA3" s="202">
        <f t="shared" si="3"/>
        <v>1</v>
      </c>
      <c r="AB3" s="202">
        <f t="shared" si="3"/>
        <v>1</v>
      </c>
      <c r="AC3" s="202">
        <f>COUNTIF(AC6:AC36,"Yes") / ( COUNTA(AC6:AC36) - COUNTIF(AC6:AC36,"NA"))</f>
        <v>1</v>
      </c>
      <c r="AD3" s="202">
        <f t="shared" ref="AD3:AF3" si="4">COUNTIF(AD6:AD36,"Yes") / ( COUNTA(AD6:AD36) - COUNTIF(AD6:AD36,"NA"))</f>
        <v>0.95652173913043481</v>
      </c>
      <c r="AE3" s="202">
        <f t="shared" si="4"/>
        <v>1</v>
      </c>
      <c r="AF3" s="202">
        <f t="shared" si="4"/>
        <v>1</v>
      </c>
      <c r="AG3" s="202">
        <f>COUNTIF(AG6:AG36,"Yes") / ( COUNTA(AG6:AG36) - COUNTIF(AG6:AG36,"NA"))</f>
        <v>1</v>
      </c>
      <c r="AH3" s="202">
        <f t="shared" ref="AH3" si="5">COUNTIF(AH6:AH36,"Yes") / ( COUNTA(AH6:AH36) - COUNTIF(AH6:AH36,"NA"))</f>
        <v>0.95652173913043481</v>
      </c>
      <c r="AI3" s="207"/>
      <c r="AJ3" s="215" t="s">
        <v>510</v>
      </c>
      <c r="AK3" s="215" t="s">
        <v>511</v>
      </c>
      <c r="AL3" s="208"/>
    </row>
    <row r="4" spans="1:38" ht="36">
      <c r="A4" s="203"/>
      <c r="B4" s="204" t="s">
        <v>512</v>
      </c>
      <c r="C4" s="205"/>
      <c r="D4" s="205"/>
      <c r="E4" s="205"/>
      <c r="F4" s="205"/>
      <c r="G4" s="205"/>
      <c r="H4" s="205"/>
      <c r="I4" s="205"/>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205"/>
      <c r="AI4" s="205"/>
      <c r="AJ4" s="205"/>
      <c r="AK4" s="206"/>
      <c r="AL4" s="23"/>
    </row>
    <row r="5" spans="1:38" ht="18.75">
      <c r="A5" s="148"/>
      <c r="B5" s="157" t="s">
        <v>655</v>
      </c>
      <c r="C5" s="149"/>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149"/>
      <c r="AE5" s="149"/>
      <c r="AF5" s="149"/>
      <c r="AG5" s="149"/>
      <c r="AH5" s="149"/>
      <c r="AI5" s="149"/>
      <c r="AJ5" s="215"/>
      <c r="AK5" s="215"/>
    </row>
    <row r="6" spans="1:38" ht="38.25">
      <c r="A6" s="151" t="s">
        <v>976</v>
      </c>
      <c r="B6" s="160" t="s">
        <v>977</v>
      </c>
      <c r="C6" s="209" t="s">
        <v>112</v>
      </c>
      <c r="D6" s="209" t="s">
        <v>112</v>
      </c>
      <c r="E6" s="209" t="s">
        <v>112</v>
      </c>
      <c r="F6" s="209" t="s">
        <v>112</v>
      </c>
      <c r="G6" s="209" t="s">
        <v>112</v>
      </c>
      <c r="H6" s="209" t="s">
        <v>112</v>
      </c>
      <c r="I6" s="209" t="s">
        <v>112</v>
      </c>
      <c r="J6" s="209" t="s">
        <v>112</v>
      </c>
      <c r="K6" s="209" t="s">
        <v>112</v>
      </c>
      <c r="L6" s="209" t="s">
        <v>112</v>
      </c>
      <c r="M6" s="209" t="s">
        <v>112</v>
      </c>
      <c r="N6" s="209" t="s">
        <v>112</v>
      </c>
      <c r="O6" s="209" t="s">
        <v>112</v>
      </c>
      <c r="P6" s="209" t="s">
        <v>112</v>
      </c>
      <c r="Q6" s="209" t="s">
        <v>112</v>
      </c>
      <c r="R6" s="209"/>
      <c r="S6" s="209" t="s">
        <v>112</v>
      </c>
      <c r="T6" s="209" t="s">
        <v>112</v>
      </c>
      <c r="U6" s="209" t="s">
        <v>112</v>
      </c>
      <c r="V6" s="209" t="s">
        <v>112</v>
      </c>
      <c r="W6" s="209" t="s">
        <v>112</v>
      </c>
      <c r="X6" s="209" t="s">
        <v>112</v>
      </c>
      <c r="Y6" s="209" t="s">
        <v>112</v>
      </c>
      <c r="Z6" s="209" t="s">
        <v>112</v>
      </c>
      <c r="AA6" s="209" t="s">
        <v>112</v>
      </c>
      <c r="AB6" s="209" t="s">
        <v>112</v>
      </c>
      <c r="AC6" s="209" t="s">
        <v>112</v>
      </c>
      <c r="AD6" s="209" t="s">
        <v>112</v>
      </c>
      <c r="AE6" s="209" t="s">
        <v>112</v>
      </c>
      <c r="AF6" s="209" t="s">
        <v>112</v>
      </c>
      <c r="AG6" s="209" t="s">
        <v>112</v>
      </c>
      <c r="AH6" s="209" t="s">
        <v>112</v>
      </c>
      <c r="AI6" s="210"/>
      <c r="AJ6" s="150"/>
      <c r="AK6" s="150"/>
    </row>
    <row r="7" spans="1:38" ht="38.25">
      <c r="A7" s="151" t="s">
        <v>978</v>
      </c>
      <c r="B7" s="160" t="s">
        <v>979</v>
      </c>
      <c r="C7" s="209" t="s">
        <v>112</v>
      </c>
      <c r="D7" s="209" t="s">
        <v>112</v>
      </c>
      <c r="E7" s="209" t="s">
        <v>112</v>
      </c>
      <c r="F7" s="209" t="s">
        <v>112</v>
      </c>
      <c r="G7" s="209" t="s">
        <v>112</v>
      </c>
      <c r="H7" s="209" t="s">
        <v>112</v>
      </c>
      <c r="I7" s="209" t="s">
        <v>112</v>
      </c>
      <c r="J7" s="209" t="s">
        <v>112</v>
      </c>
      <c r="K7" s="209" t="s">
        <v>112</v>
      </c>
      <c r="L7" s="209" t="s">
        <v>112</v>
      </c>
      <c r="M7" s="209" t="s">
        <v>112</v>
      </c>
      <c r="N7" s="209" t="s">
        <v>112</v>
      </c>
      <c r="O7" s="209" t="s">
        <v>112</v>
      </c>
      <c r="P7" s="209" t="s">
        <v>112</v>
      </c>
      <c r="Q7" s="209" t="s">
        <v>112</v>
      </c>
      <c r="R7" s="209"/>
      <c r="S7" s="209" t="s">
        <v>112</v>
      </c>
      <c r="T7" s="209" t="s">
        <v>112</v>
      </c>
      <c r="U7" s="209" t="s">
        <v>112</v>
      </c>
      <c r="V7" s="209" t="s">
        <v>112</v>
      </c>
      <c r="W7" s="209" t="s">
        <v>112</v>
      </c>
      <c r="X7" s="209" t="s">
        <v>112</v>
      </c>
      <c r="Y7" s="209" t="s">
        <v>112</v>
      </c>
      <c r="Z7" s="209" t="s">
        <v>112</v>
      </c>
      <c r="AA7" s="209" t="s">
        <v>112</v>
      </c>
      <c r="AB7" s="209" t="s">
        <v>112</v>
      </c>
      <c r="AC7" s="209" t="s">
        <v>112</v>
      </c>
      <c r="AD7" s="209" t="s">
        <v>112</v>
      </c>
      <c r="AE7" s="209" t="s">
        <v>112</v>
      </c>
      <c r="AF7" s="209" t="s">
        <v>112</v>
      </c>
      <c r="AG7" s="209" t="s">
        <v>112</v>
      </c>
      <c r="AH7" s="209" t="s">
        <v>112</v>
      </c>
      <c r="AI7" s="210"/>
      <c r="AJ7" s="150"/>
      <c r="AK7" s="150"/>
    </row>
    <row r="8" spans="1:38" ht="18.75">
      <c r="A8" s="148"/>
      <c r="B8" s="157" t="s">
        <v>924</v>
      </c>
      <c r="C8" s="149"/>
      <c r="D8" s="149"/>
      <c r="E8" s="149"/>
      <c r="F8" s="149"/>
      <c r="G8" s="149"/>
      <c r="H8" s="149"/>
      <c r="I8" s="149"/>
      <c r="J8" s="149"/>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215"/>
      <c r="AK8" s="215"/>
    </row>
    <row r="9" spans="1:38" ht="25.5">
      <c r="A9" s="151" t="s">
        <v>980</v>
      </c>
      <c r="B9" s="160" t="s">
        <v>981</v>
      </c>
      <c r="C9" s="209" t="s">
        <v>112</v>
      </c>
      <c r="D9" s="209" t="s">
        <v>114</v>
      </c>
      <c r="E9" s="209" t="s">
        <v>114</v>
      </c>
      <c r="F9" s="209" t="s">
        <v>114</v>
      </c>
      <c r="G9" s="209" t="s">
        <v>112</v>
      </c>
      <c r="H9" s="209" t="s">
        <v>112</v>
      </c>
      <c r="I9" s="209" t="s">
        <v>112</v>
      </c>
      <c r="J9" s="209" t="s">
        <v>112</v>
      </c>
      <c r="K9" s="209" t="s">
        <v>112</v>
      </c>
      <c r="L9" s="209" t="s">
        <v>112</v>
      </c>
      <c r="M9" s="209" t="s">
        <v>112</v>
      </c>
      <c r="N9" s="209" t="s">
        <v>112</v>
      </c>
      <c r="O9" s="209" t="s">
        <v>112</v>
      </c>
      <c r="P9" s="209" t="s">
        <v>112</v>
      </c>
      <c r="Q9" s="209" t="s">
        <v>112</v>
      </c>
      <c r="R9" s="209"/>
      <c r="S9" s="209" t="s">
        <v>114</v>
      </c>
      <c r="T9" s="209" t="s">
        <v>114</v>
      </c>
      <c r="U9" s="209" t="s">
        <v>114</v>
      </c>
      <c r="V9" s="209" t="s">
        <v>112</v>
      </c>
      <c r="W9" s="209" t="s">
        <v>114</v>
      </c>
      <c r="X9" s="209" t="s">
        <v>112</v>
      </c>
      <c r="Y9" s="209" t="s">
        <v>112</v>
      </c>
      <c r="Z9" s="209" t="s">
        <v>112</v>
      </c>
      <c r="AA9" s="209" t="s">
        <v>112</v>
      </c>
      <c r="AB9" s="209" t="s">
        <v>112</v>
      </c>
      <c r="AC9" s="209" t="s">
        <v>112</v>
      </c>
      <c r="AD9" s="209" t="s">
        <v>112</v>
      </c>
      <c r="AE9" s="209" t="s">
        <v>112</v>
      </c>
      <c r="AF9" s="209" t="s">
        <v>112</v>
      </c>
      <c r="AG9" s="209" t="s">
        <v>112</v>
      </c>
      <c r="AH9" s="209" t="s">
        <v>112</v>
      </c>
      <c r="AI9" s="210"/>
      <c r="AJ9" s="150"/>
      <c r="AK9" s="150"/>
    </row>
    <row r="10" spans="1:38" ht="63.75">
      <c r="A10" s="151" t="s">
        <v>982</v>
      </c>
      <c r="B10" s="160" t="s">
        <v>983</v>
      </c>
      <c r="C10" s="209" t="s">
        <v>112</v>
      </c>
      <c r="D10" s="209" t="s">
        <v>112</v>
      </c>
      <c r="E10" s="209" t="s">
        <v>112</v>
      </c>
      <c r="F10" s="209" t="s">
        <v>112</v>
      </c>
      <c r="G10" s="209" t="s">
        <v>112</v>
      </c>
      <c r="H10" s="209" t="s">
        <v>112</v>
      </c>
      <c r="I10" s="209" t="s">
        <v>112</v>
      </c>
      <c r="J10" s="209" t="s">
        <v>112</v>
      </c>
      <c r="K10" s="209" t="s">
        <v>112</v>
      </c>
      <c r="L10" s="209" t="s">
        <v>114</v>
      </c>
      <c r="M10" s="209" t="s">
        <v>112</v>
      </c>
      <c r="N10" s="209" t="s">
        <v>114</v>
      </c>
      <c r="O10" s="209" t="s">
        <v>114</v>
      </c>
      <c r="P10" s="209" t="s">
        <v>114</v>
      </c>
      <c r="Q10" s="209" t="s">
        <v>112</v>
      </c>
      <c r="R10" s="209"/>
      <c r="S10" s="209" t="s">
        <v>112</v>
      </c>
      <c r="T10" s="209" t="s">
        <v>114</v>
      </c>
      <c r="U10" s="209" t="s">
        <v>114</v>
      </c>
      <c r="V10" s="209" t="s">
        <v>112</v>
      </c>
      <c r="W10" s="209" t="s">
        <v>112</v>
      </c>
      <c r="X10" s="209" t="s">
        <v>112</v>
      </c>
      <c r="Y10" s="209" t="s">
        <v>112</v>
      </c>
      <c r="Z10" s="209" t="s">
        <v>112</v>
      </c>
      <c r="AA10" s="209" t="s">
        <v>112</v>
      </c>
      <c r="AB10" s="209" t="s">
        <v>112</v>
      </c>
      <c r="AC10" s="209" t="s">
        <v>112</v>
      </c>
      <c r="AD10" s="209" t="s">
        <v>112</v>
      </c>
      <c r="AE10" s="209" t="s">
        <v>112</v>
      </c>
      <c r="AF10" s="209" t="s">
        <v>112</v>
      </c>
      <c r="AG10" s="209" t="s">
        <v>112</v>
      </c>
      <c r="AH10" s="209" t="s">
        <v>112</v>
      </c>
      <c r="AI10" s="25" t="s">
        <v>984</v>
      </c>
      <c r="AJ10" s="150"/>
      <c r="AK10" s="150"/>
    </row>
    <row r="11" spans="1:38" ht="38.25">
      <c r="A11" s="151" t="s">
        <v>985</v>
      </c>
      <c r="B11" s="160" t="s">
        <v>986</v>
      </c>
      <c r="C11" s="209" t="s">
        <v>112</v>
      </c>
      <c r="D11" s="209" t="s">
        <v>112</v>
      </c>
      <c r="E11" s="209" t="s">
        <v>112</v>
      </c>
      <c r="F11" s="209" t="s">
        <v>112</v>
      </c>
      <c r="G11" s="209" t="s">
        <v>112</v>
      </c>
      <c r="H11" s="209" t="s">
        <v>112</v>
      </c>
      <c r="I11" s="209" t="s">
        <v>112</v>
      </c>
      <c r="J11" s="209" t="s">
        <v>112</v>
      </c>
      <c r="K11" s="209" t="s">
        <v>112</v>
      </c>
      <c r="L11" s="209" t="s">
        <v>114</v>
      </c>
      <c r="M11" s="209" t="s">
        <v>112</v>
      </c>
      <c r="N11" s="209" t="s">
        <v>112</v>
      </c>
      <c r="O11" s="209" t="s">
        <v>112</v>
      </c>
      <c r="P11" s="209" t="s">
        <v>112</v>
      </c>
      <c r="Q11" s="209" t="s">
        <v>112</v>
      </c>
      <c r="R11" s="209"/>
      <c r="S11" s="209" t="s">
        <v>114</v>
      </c>
      <c r="T11" s="209" t="s">
        <v>112</v>
      </c>
      <c r="U11" s="209" t="s">
        <v>112</v>
      </c>
      <c r="V11" s="209" t="s">
        <v>112</v>
      </c>
      <c r="W11" s="209" t="s">
        <v>112</v>
      </c>
      <c r="X11" s="209" t="s">
        <v>112</v>
      </c>
      <c r="Y11" s="209" t="s">
        <v>112</v>
      </c>
      <c r="Z11" s="209" t="s">
        <v>112</v>
      </c>
      <c r="AA11" s="209" t="s">
        <v>112</v>
      </c>
      <c r="AB11" s="209" t="s">
        <v>112</v>
      </c>
      <c r="AC11" s="209" t="s">
        <v>112</v>
      </c>
      <c r="AD11" s="209" t="s">
        <v>112</v>
      </c>
      <c r="AE11" s="209" t="s">
        <v>112</v>
      </c>
      <c r="AF11" s="209" t="s">
        <v>112</v>
      </c>
      <c r="AG11" s="209" t="s">
        <v>112</v>
      </c>
      <c r="AH11" s="209" t="s">
        <v>112</v>
      </c>
      <c r="AI11" s="210"/>
      <c r="AJ11" s="150"/>
      <c r="AK11" s="150"/>
    </row>
    <row r="12" spans="1:38" ht="63.75">
      <c r="A12" s="151" t="s">
        <v>987</v>
      </c>
      <c r="B12" s="160" t="s">
        <v>988</v>
      </c>
      <c r="C12" s="209" t="s">
        <v>112</v>
      </c>
      <c r="D12" s="209" t="s">
        <v>112</v>
      </c>
      <c r="E12" s="209" t="s">
        <v>112</v>
      </c>
      <c r="F12" s="209" t="s">
        <v>114</v>
      </c>
      <c r="G12" s="209" t="s">
        <v>112</v>
      </c>
      <c r="H12" s="209" t="s">
        <v>112</v>
      </c>
      <c r="I12" s="209" t="s">
        <v>112</v>
      </c>
      <c r="J12" s="209" t="s">
        <v>112</v>
      </c>
      <c r="K12" s="209" t="s">
        <v>112</v>
      </c>
      <c r="L12" s="209" t="s">
        <v>112</v>
      </c>
      <c r="M12" s="209" t="s">
        <v>112</v>
      </c>
      <c r="N12" s="209" t="s">
        <v>112</v>
      </c>
      <c r="O12" s="209" t="s">
        <v>112</v>
      </c>
      <c r="P12" s="209" t="s">
        <v>112</v>
      </c>
      <c r="Q12" s="209" t="s">
        <v>112</v>
      </c>
      <c r="R12" s="209"/>
      <c r="S12" s="209" t="s">
        <v>112</v>
      </c>
      <c r="T12" s="209" t="s">
        <v>112</v>
      </c>
      <c r="U12" s="209" t="s">
        <v>112</v>
      </c>
      <c r="V12" s="209" t="s">
        <v>112</v>
      </c>
      <c r="W12" s="209" t="s">
        <v>112</v>
      </c>
      <c r="X12" s="209" t="s">
        <v>112</v>
      </c>
      <c r="Y12" s="209" t="s">
        <v>112</v>
      </c>
      <c r="Z12" s="209" t="s">
        <v>112</v>
      </c>
      <c r="AA12" s="209" t="s">
        <v>112</v>
      </c>
      <c r="AB12" s="209" t="s">
        <v>112</v>
      </c>
      <c r="AC12" s="209" t="s">
        <v>112</v>
      </c>
      <c r="AD12" s="209" t="s">
        <v>112</v>
      </c>
      <c r="AE12" s="209" t="s">
        <v>112</v>
      </c>
      <c r="AF12" s="209" t="s">
        <v>112</v>
      </c>
      <c r="AG12" s="209" t="s">
        <v>112</v>
      </c>
      <c r="AH12" s="209" t="s">
        <v>112</v>
      </c>
      <c r="AI12" s="210"/>
      <c r="AJ12" s="150"/>
      <c r="AK12" s="150"/>
    </row>
    <row r="13" spans="1:38" ht="63.75">
      <c r="A13" s="151" t="s">
        <v>989</v>
      </c>
      <c r="B13" s="160" t="s">
        <v>990</v>
      </c>
      <c r="C13" s="209" t="s">
        <v>112</v>
      </c>
      <c r="D13" s="209" t="s">
        <v>112</v>
      </c>
      <c r="E13" s="209" t="s">
        <v>112</v>
      </c>
      <c r="F13" s="209" t="s">
        <v>112</v>
      </c>
      <c r="G13" s="209" t="s">
        <v>112</v>
      </c>
      <c r="H13" s="209" t="s">
        <v>112</v>
      </c>
      <c r="I13" s="209" t="s">
        <v>112</v>
      </c>
      <c r="J13" s="209" t="s">
        <v>112</v>
      </c>
      <c r="K13" s="209" t="s">
        <v>112</v>
      </c>
      <c r="L13" s="209" t="s">
        <v>112</v>
      </c>
      <c r="M13" s="209" t="s">
        <v>112</v>
      </c>
      <c r="N13" s="209" t="s">
        <v>112</v>
      </c>
      <c r="O13" s="209" t="s">
        <v>112</v>
      </c>
      <c r="P13" s="209" t="s">
        <v>112</v>
      </c>
      <c r="Q13" s="209" t="s">
        <v>112</v>
      </c>
      <c r="R13" s="209"/>
      <c r="S13" s="209" t="s">
        <v>112</v>
      </c>
      <c r="T13" s="209" t="s">
        <v>112</v>
      </c>
      <c r="U13" s="209" t="s">
        <v>114</v>
      </c>
      <c r="V13" s="209" t="s">
        <v>112</v>
      </c>
      <c r="W13" s="209" t="s">
        <v>112</v>
      </c>
      <c r="X13" s="209" t="s">
        <v>112</v>
      </c>
      <c r="Y13" s="209" t="s">
        <v>112</v>
      </c>
      <c r="Z13" s="209" t="s">
        <v>112</v>
      </c>
      <c r="AA13" s="209" t="s">
        <v>112</v>
      </c>
      <c r="AB13" s="209" t="s">
        <v>112</v>
      </c>
      <c r="AC13" s="209" t="s">
        <v>112</v>
      </c>
      <c r="AD13" s="209" t="s">
        <v>112</v>
      </c>
      <c r="AE13" s="209" t="s">
        <v>112</v>
      </c>
      <c r="AF13" s="209" t="s">
        <v>112</v>
      </c>
      <c r="AG13" s="209" t="s">
        <v>112</v>
      </c>
      <c r="AH13" s="209" t="s">
        <v>112</v>
      </c>
      <c r="AI13" s="210"/>
      <c r="AJ13" s="150"/>
      <c r="AK13" s="150"/>
    </row>
    <row r="14" spans="1:38" ht="25.5">
      <c r="A14" s="151" t="s">
        <v>991</v>
      </c>
      <c r="B14" s="160" t="s">
        <v>992</v>
      </c>
      <c r="C14" s="209" t="s">
        <v>112</v>
      </c>
      <c r="D14" s="209" t="s">
        <v>114</v>
      </c>
      <c r="E14" s="209" t="s">
        <v>112</v>
      </c>
      <c r="F14" s="209" t="s">
        <v>114</v>
      </c>
      <c r="G14" s="209" t="s">
        <v>112</v>
      </c>
      <c r="H14" s="209" t="s">
        <v>112</v>
      </c>
      <c r="I14" s="209" t="s">
        <v>112</v>
      </c>
      <c r="J14" s="209" t="s">
        <v>112</v>
      </c>
      <c r="K14" s="209" t="s">
        <v>112</v>
      </c>
      <c r="L14" s="209" t="s">
        <v>112</v>
      </c>
      <c r="M14" s="209" t="s">
        <v>112</v>
      </c>
      <c r="N14" s="209" t="s">
        <v>112</v>
      </c>
      <c r="O14" s="209" t="s">
        <v>112</v>
      </c>
      <c r="P14" s="209" t="s">
        <v>112</v>
      </c>
      <c r="Q14" s="209" t="s">
        <v>112</v>
      </c>
      <c r="R14" s="209"/>
      <c r="S14" s="209" t="s">
        <v>112</v>
      </c>
      <c r="T14" s="209" t="s">
        <v>114</v>
      </c>
      <c r="U14" s="209" t="s">
        <v>114</v>
      </c>
      <c r="V14" s="209" t="s">
        <v>112</v>
      </c>
      <c r="W14" s="209" t="s">
        <v>112</v>
      </c>
      <c r="X14" s="209" t="s">
        <v>112</v>
      </c>
      <c r="Y14" s="209" t="s">
        <v>114</v>
      </c>
      <c r="Z14" s="209" t="s">
        <v>112</v>
      </c>
      <c r="AA14" s="209" t="s">
        <v>112</v>
      </c>
      <c r="AB14" s="209" t="s">
        <v>112</v>
      </c>
      <c r="AC14" s="209" t="s">
        <v>112</v>
      </c>
      <c r="AD14" s="209" t="s">
        <v>112</v>
      </c>
      <c r="AE14" s="209" t="s">
        <v>112</v>
      </c>
      <c r="AF14" s="209" t="s">
        <v>112</v>
      </c>
      <c r="AG14" s="209" t="s">
        <v>112</v>
      </c>
      <c r="AH14" s="209" t="s">
        <v>112</v>
      </c>
      <c r="AI14" s="210"/>
      <c r="AJ14" s="150"/>
      <c r="AK14" s="150"/>
    </row>
    <row r="15" spans="1:38" ht="25.5">
      <c r="A15" s="151" t="s">
        <v>993</v>
      </c>
      <c r="B15" s="160" t="s">
        <v>994</v>
      </c>
      <c r="C15" s="209" t="s">
        <v>112</v>
      </c>
      <c r="D15" s="209" t="s">
        <v>114</v>
      </c>
      <c r="E15" s="209" t="s">
        <v>112</v>
      </c>
      <c r="F15" s="209" t="s">
        <v>112</v>
      </c>
      <c r="G15" s="209" t="s">
        <v>112</v>
      </c>
      <c r="H15" s="209" t="s">
        <v>112</v>
      </c>
      <c r="I15" s="209" t="s">
        <v>112</v>
      </c>
      <c r="J15" s="209" t="s">
        <v>112</v>
      </c>
      <c r="K15" s="209" t="s">
        <v>112</v>
      </c>
      <c r="L15" s="209" t="s">
        <v>112</v>
      </c>
      <c r="M15" s="209" t="s">
        <v>112</v>
      </c>
      <c r="N15" s="209" t="s">
        <v>112</v>
      </c>
      <c r="O15" s="209" t="s">
        <v>112</v>
      </c>
      <c r="P15" s="209" t="s">
        <v>112</v>
      </c>
      <c r="Q15" s="209" t="s">
        <v>112</v>
      </c>
      <c r="R15" s="209"/>
      <c r="S15" s="209" t="s">
        <v>112</v>
      </c>
      <c r="T15" s="209" t="s">
        <v>114</v>
      </c>
      <c r="U15" s="209" t="s">
        <v>114</v>
      </c>
      <c r="V15" s="209" t="s">
        <v>112</v>
      </c>
      <c r="W15" s="209" t="s">
        <v>112</v>
      </c>
      <c r="X15" s="209" t="s">
        <v>112</v>
      </c>
      <c r="Y15" s="209" t="s">
        <v>114</v>
      </c>
      <c r="Z15" s="209" t="s">
        <v>112</v>
      </c>
      <c r="AA15" s="209" t="s">
        <v>112</v>
      </c>
      <c r="AB15" s="209" t="s">
        <v>112</v>
      </c>
      <c r="AC15" s="209" t="s">
        <v>112</v>
      </c>
      <c r="AD15" s="209" t="s">
        <v>112</v>
      </c>
      <c r="AE15" s="209" t="s">
        <v>112</v>
      </c>
      <c r="AF15" s="209" t="s">
        <v>112</v>
      </c>
      <c r="AG15" s="209" t="s">
        <v>112</v>
      </c>
      <c r="AH15" s="209" t="s">
        <v>112</v>
      </c>
      <c r="AI15" s="210"/>
      <c r="AJ15" s="150"/>
      <c r="AK15" s="150"/>
    </row>
    <row r="16" spans="1:38" ht="25.5">
      <c r="A16" s="151" t="s">
        <v>995</v>
      </c>
      <c r="B16" s="160" t="s">
        <v>996</v>
      </c>
      <c r="C16" s="209" t="s">
        <v>112</v>
      </c>
      <c r="D16" s="209" t="s">
        <v>112</v>
      </c>
      <c r="E16" s="209" t="s">
        <v>114</v>
      </c>
      <c r="F16" s="209" t="s">
        <v>112</v>
      </c>
      <c r="G16" s="209" t="s">
        <v>112</v>
      </c>
      <c r="H16" s="209" t="s">
        <v>112</v>
      </c>
      <c r="I16" s="209" t="s">
        <v>112</v>
      </c>
      <c r="J16" s="209" t="s">
        <v>112</v>
      </c>
      <c r="K16" s="209" t="s">
        <v>112</v>
      </c>
      <c r="L16" s="209" t="s">
        <v>112</v>
      </c>
      <c r="M16" s="209" t="s">
        <v>112</v>
      </c>
      <c r="N16" s="209" t="s">
        <v>112</v>
      </c>
      <c r="O16" s="209" t="s">
        <v>112</v>
      </c>
      <c r="P16" s="209" t="s">
        <v>112</v>
      </c>
      <c r="Q16" s="209" t="s">
        <v>112</v>
      </c>
      <c r="R16" s="209"/>
      <c r="S16" s="209" t="s">
        <v>112</v>
      </c>
      <c r="T16" s="209" t="s">
        <v>112</v>
      </c>
      <c r="U16" s="209" t="s">
        <v>112</v>
      </c>
      <c r="V16" s="209" t="s">
        <v>112</v>
      </c>
      <c r="W16" s="209" t="s">
        <v>112</v>
      </c>
      <c r="X16" s="209" t="s">
        <v>112</v>
      </c>
      <c r="Y16" s="209" t="s">
        <v>112</v>
      </c>
      <c r="Z16" s="209" t="s">
        <v>112</v>
      </c>
      <c r="AA16" s="209" t="s">
        <v>112</v>
      </c>
      <c r="AB16" s="209" t="s">
        <v>112</v>
      </c>
      <c r="AC16" s="209" t="s">
        <v>112</v>
      </c>
      <c r="AD16" s="209" t="s">
        <v>112</v>
      </c>
      <c r="AE16" s="209" t="s">
        <v>112</v>
      </c>
      <c r="AF16" s="209" t="s">
        <v>112</v>
      </c>
      <c r="AG16" s="209" t="s">
        <v>112</v>
      </c>
      <c r="AH16" s="209" t="s">
        <v>112</v>
      </c>
      <c r="AI16" s="210"/>
      <c r="AJ16" s="150"/>
      <c r="AK16" s="150"/>
    </row>
    <row r="17" spans="1:37" ht="51">
      <c r="A17" s="151" t="s">
        <v>997</v>
      </c>
      <c r="B17" s="160" t="s">
        <v>998</v>
      </c>
      <c r="C17" s="209" t="s">
        <v>112</v>
      </c>
      <c r="D17" s="209" t="s">
        <v>114</v>
      </c>
      <c r="E17" s="209" t="s">
        <v>114</v>
      </c>
      <c r="F17" s="209" t="s">
        <v>114</v>
      </c>
      <c r="G17" s="209" t="s">
        <v>112</v>
      </c>
      <c r="H17" s="209" t="s">
        <v>112</v>
      </c>
      <c r="I17" s="209" t="s">
        <v>112</v>
      </c>
      <c r="J17" s="209" t="s">
        <v>112</v>
      </c>
      <c r="K17" s="209" t="s">
        <v>112</v>
      </c>
      <c r="L17" s="209" t="s">
        <v>112</v>
      </c>
      <c r="M17" s="209" t="s">
        <v>112</v>
      </c>
      <c r="N17" s="209" t="s">
        <v>112</v>
      </c>
      <c r="O17" s="209" t="s">
        <v>112</v>
      </c>
      <c r="P17" s="209" t="s">
        <v>114</v>
      </c>
      <c r="Q17" s="209" t="s">
        <v>112</v>
      </c>
      <c r="R17" s="209"/>
      <c r="S17" s="209" t="s">
        <v>112</v>
      </c>
      <c r="T17" s="209" t="s">
        <v>112</v>
      </c>
      <c r="U17" s="209" t="s">
        <v>114</v>
      </c>
      <c r="V17" s="209" t="s">
        <v>112</v>
      </c>
      <c r="W17" s="209" t="s">
        <v>112</v>
      </c>
      <c r="X17" s="209" t="s">
        <v>112</v>
      </c>
      <c r="Y17" s="209" t="s">
        <v>114</v>
      </c>
      <c r="Z17" s="209" t="s">
        <v>112</v>
      </c>
      <c r="AA17" s="209" t="s">
        <v>112</v>
      </c>
      <c r="AB17" s="209" t="s">
        <v>112</v>
      </c>
      <c r="AC17" s="209" t="s">
        <v>112</v>
      </c>
      <c r="AD17" s="209" t="s">
        <v>114</v>
      </c>
      <c r="AE17" s="209" t="s">
        <v>112</v>
      </c>
      <c r="AF17" s="209" t="s">
        <v>112</v>
      </c>
      <c r="AG17" s="209" t="s">
        <v>112</v>
      </c>
      <c r="AH17" s="209" t="s">
        <v>114</v>
      </c>
      <c r="AI17" s="16" t="s">
        <v>999</v>
      </c>
      <c r="AJ17" s="150"/>
      <c r="AK17" s="150"/>
    </row>
    <row r="18" spans="1:37" ht="38.25">
      <c r="A18" s="151" t="s">
        <v>1000</v>
      </c>
      <c r="B18" s="160" t="s">
        <v>1001</v>
      </c>
      <c r="C18" s="209" t="s">
        <v>112</v>
      </c>
      <c r="D18" s="209" t="s">
        <v>112</v>
      </c>
      <c r="E18" s="209" t="s">
        <v>112</v>
      </c>
      <c r="F18" s="209" t="s">
        <v>112</v>
      </c>
      <c r="G18" s="209" t="s">
        <v>112</v>
      </c>
      <c r="H18" s="209" t="s">
        <v>112</v>
      </c>
      <c r="I18" s="209" t="s">
        <v>112</v>
      </c>
      <c r="J18" s="209" t="s">
        <v>112</v>
      </c>
      <c r="K18" s="209" t="s">
        <v>112</v>
      </c>
      <c r="L18" s="209" t="s">
        <v>112</v>
      </c>
      <c r="M18" s="209" t="s">
        <v>112</v>
      </c>
      <c r="N18" s="209" t="s">
        <v>112</v>
      </c>
      <c r="O18" s="209" t="s">
        <v>112</v>
      </c>
      <c r="P18" s="209" t="s">
        <v>112</v>
      </c>
      <c r="Q18" s="209" t="s">
        <v>112</v>
      </c>
      <c r="R18" s="209"/>
      <c r="S18" s="209" t="s">
        <v>112</v>
      </c>
      <c r="T18" s="209" t="s">
        <v>112</v>
      </c>
      <c r="U18" s="209" t="s">
        <v>112</v>
      </c>
      <c r="V18" s="209" t="s">
        <v>112</v>
      </c>
      <c r="W18" s="209" t="s">
        <v>112</v>
      </c>
      <c r="X18" s="209" t="s">
        <v>112</v>
      </c>
      <c r="Y18" s="209" t="s">
        <v>112</v>
      </c>
      <c r="Z18" s="209" t="s">
        <v>112</v>
      </c>
      <c r="AA18" s="209" t="s">
        <v>112</v>
      </c>
      <c r="AB18" s="209" t="s">
        <v>112</v>
      </c>
      <c r="AC18" s="209" t="s">
        <v>112</v>
      </c>
      <c r="AD18" s="209" t="s">
        <v>112</v>
      </c>
      <c r="AE18" s="209" t="s">
        <v>112</v>
      </c>
      <c r="AF18" s="209" t="s">
        <v>112</v>
      </c>
      <c r="AG18" s="209" t="s">
        <v>112</v>
      </c>
      <c r="AH18" s="209" t="s">
        <v>112</v>
      </c>
      <c r="AI18" s="210"/>
      <c r="AJ18" s="150"/>
      <c r="AK18" s="150"/>
    </row>
    <row r="19" spans="1:37" ht="51">
      <c r="A19" s="151" t="s">
        <v>1002</v>
      </c>
      <c r="B19" s="160" t="s">
        <v>1003</v>
      </c>
      <c r="C19" s="209" t="s">
        <v>112</v>
      </c>
      <c r="D19" s="209" t="s">
        <v>112</v>
      </c>
      <c r="E19" s="209" t="s">
        <v>112</v>
      </c>
      <c r="F19" s="209" t="s">
        <v>112</v>
      </c>
      <c r="G19" s="209" t="s">
        <v>112</v>
      </c>
      <c r="H19" s="209" t="s">
        <v>112</v>
      </c>
      <c r="I19" s="209" t="s">
        <v>112</v>
      </c>
      <c r="J19" s="209" t="s">
        <v>112</v>
      </c>
      <c r="K19" s="209" t="s">
        <v>112</v>
      </c>
      <c r="L19" s="209" t="s">
        <v>112</v>
      </c>
      <c r="M19" s="209" t="s">
        <v>112</v>
      </c>
      <c r="N19" s="209" t="s">
        <v>112</v>
      </c>
      <c r="O19" s="209" t="s">
        <v>112</v>
      </c>
      <c r="P19" s="209" t="s">
        <v>112</v>
      </c>
      <c r="Q19" s="209" t="s">
        <v>112</v>
      </c>
      <c r="R19" s="209"/>
      <c r="S19" s="209" t="s">
        <v>112</v>
      </c>
      <c r="T19" s="209" t="s">
        <v>112</v>
      </c>
      <c r="U19" s="209" t="s">
        <v>112</v>
      </c>
      <c r="V19" s="209" t="s">
        <v>112</v>
      </c>
      <c r="W19" s="209" t="s">
        <v>112</v>
      </c>
      <c r="X19" s="209" t="s">
        <v>112</v>
      </c>
      <c r="Y19" s="209" t="s">
        <v>112</v>
      </c>
      <c r="Z19" s="209" t="s">
        <v>112</v>
      </c>
      <c r="AA19" s="209" t="s">
        <v>112</v>
      </c>
      <c r="AB19" s="209" t="s">
        <v>112</v>
      </c>
      <c r="AC19" s="209" t="s">
        <v>112</v>
      </c>
      <c r="AD19" s="209" t="s">
        <v>112</v>
      </c>
      <c r="AE19" s="209" t="s">
        <v>112</v>
      </c>
      <c r="AF19" s="209" t="s">
        <v>112</v>
      </c>
      <c r="AG19" s="209" t="s">
        <v>112</v>
      </c>
      <c r="AH19" s="209" t="s">
        <v>112</v>
      </c>
      <c r="AI19" s="210"/>
      <c r="AJ19" s="150"/>
      <c r="AK19" s="150"/>
    </row>
    <row r="20" spans="1:37" ht="38.25">
      <c r="A20" s="151" t="s">
        <v>1004</v>
      </c>
      <c r="B20" s="160" t="s">
        <v>1005</v>
      </c>
      <c r="C20" s="209" t="s">
        <v>112</v>
      </c>
      <c r="D20" s="209" t="s">
        <v>112</v>
      </c>
      <c r="E20" s="209" t="s">
        <v>112</v>
      </c>
      <c r="F20" s="209" t="s">
        <v>112</v>
      </c>
      <c r="G20" s="209" t="s">
        <v>112</v>
      </c>
      <c r="H20" s="209" t="s">
        <v>112</v>
      </c>
      <c r="I20" s="209" t="s">
        <v>112</v>
      </c>
      <c r="J20" s="209" t="s">
        <v>112</v>
      </c>
      <c r="K20" s="209" t="s">
        <v>112</v>
      </c>
      <c r="L20" s="209" t="s">
        <v>112</v>
      </c>
      <c r="M20" s="209" t="s">
        <v>112</v>
      </c>
      <c r="N20" s="209" t="s">
        <v>112</v>
      </c>
      <c r="O20" s="209" t="s">
        <v>112</v>
      </c>
      <c r="P20" s="209" t="s">
        <v>112</v>
      </c>
      <c r="Q20" s="209" t="s">
        <v>112</v>
      </c>
      <c r="R20" s="209"/>
      <c r="S20" s="209" t="s">
        <v>112</v>
      </c>
      <c r="T20" s="209" t="s">
        <v>112</v>
      </c>
      <c r="U20" s="209" t="s">
        <v>112</v>
      </c>
      <c r="V20" s="209" t="s">
        <v>112</v>
      </c>
      <c r="W20" s="209" t="s">
        <v>112</v>
      </c>
      <c r="X20" s="209" t="s">
        <v>112</v>
      </c>
      <c r="Y20" s="209" t="s">
        <v>112</v>
      </c>
      <c r="Z20" s="209" t="s">
        <v>112</v>
      </c>
      <c r="AA20" s="209" t="s">
        <v>112</v>
      </c>
      <c r="AB20" s="209" t="s">
        <v>112</v>
      </c>
      <c r="AC20" s="209" t="s">
        <v>112</v>
      </c>
      <c r="AD20" s="209" t="s">
        <v>112</v>
      </c>
      <c r="AE20" s="209" t="s">
        <v>112</v>
      </c>
      <c r="AF20" s="209" t="s">
        <v>112</v>
      </c>
      <c r="AG20" s="209" t="s">
        <v>112</v>
      </c>
      <c r="AH20" s="209" t="s">
        <v>112</v>
      </c>
      <c r="AI20" s="210"/>
      <c r="AJ20" s="150"/>
      <c r="AK20" s="150"/>
    </row>
    <row r="21" spans="1:37" ht="25.5">
      <c r="A21" s="151" t="s">
        <v>1006</v>
      </c>
      <c r="B21" s="160" t="s">
        <v>1007</v>
      </c>
      <c r="C21" s="209" t="s">
        <v>112</v>
      </c>
      <c r="D21" s="209" t="s">
        <v>112</v>
      </c>
      <c r="E21" s="209" t="s">
        <v>112</v>
      </c>
      <c r="F21" s="209" t="s">
        <v>112</v>
      </c>
      <c r="G21" s="209" t="s">
        <v>112</v>
      </c>
      <c r="H21" s="209" t="s">
        <v>112</v>
      </c>
      <c r="I21" s="209" t="s">
        <v>112</v>
      </c>
      <c r="J21" s="209" t="s">
        <v>112</v>
      </c>
      <c r="K21" s="209" t="s">
        <v>112</v>
      </c>
      <c r="L21" s="209" t="s">
        <v>112</v>
      </c>
      <c r="M21" s="209" t="s">
        <v>112</v>
      </c>
      <c r="N21" s="209" t="s">
        <v>112</v>
      </c>
      <c r="O21" s="209" t="s">
        <v>112</v>
      </c>
      <c r="P21" s="209" t="s">
        <v>112</v>
      </c>
      <c r="Q21" s="209" t="s">
        <v>112</v>
      </c>
      <c r="R21" s="209"/>
      <c r="S21" s="209" t="s">
        <v>112</v>
      </c>
      <c r="T21" s="209" t="s">
        <v>112</v>
      </c>
      <c r="U21" s="209" t="s">
        <v>112</v>
      </c>
      <c r="V21" s="209" t="s">
        <v>112</v>
      </c>
      <c r="W21" s="209" t="s">
        <v>112</v>
      </c>
      <c r="X21" s="209" t="s">
        <v>112</v>
      </c>
      <c r="Y21" s="209" t="s">
        <v>112</v>
      </c>
      <c r="Z21" s="209" t="s">
        <v>112</v>
      </c>
      <c r="AA21" s="209" t="s">
        <v>112</v>
      </c>
      <c r="AB21" s="209" t="s">
        <v>112</v>
      </c>
      <c r="AC21" s="209" t="s">
        <v>112</v>
      </c>
      <c r="AD21" s="209" t="s">
        <v>112</v>
      </c>
      <c r="AE21" s="209" t="s">
        <v>112</v>
      </c>
      <c r="AF21" s="209" t="s">
        <v>112</v>
      </c>
      <c r="AG21" s="209" t="s">
        <v>112</v>
      </c>
      <c r="AH21" s="209" t="s">
        <v>112</v>
      </c>
      <c r="AI21" s="210"/>
      <c r="AJ21" s="150"/>
      <c r="AK21" s="150"/>
    </row>
    <row r="22" spans="1:37" ht="38.25">
      <c r="A22" s="151" t="s">
        <v>1008</v>
      </c>
      <c r="B22" s="160" t="s">
        <v>1009</v>
      </c>
      <c r="C22" s="209" t="s">
        <v>112</v>
      </c>
      <c r="D22" s="209" t="s">
        <v>112</v>
      </c>
      <c r="E22" s="209" t="s">
        <v>112</v>
      </c>
      <c r="F22" s="209" t="s">
        <v>112</v>
      </c>
      <c r="G22" s="209" t="s">
        <v>112</v>
      </c>
      <c r="H22" s="209" t="s">
        <v>112</v>
      </c>
      <c r="I22" s="209" t="s">
        <v>112</v>
      </c>
      <c r="J22" s="209" t="s">
        <v>112</v>
      </c>
      <c r="K22" s="209" t="s">
        <v>112</v>
      </c>
      <c r="L22" s="209" t="s">
        <v>112</v>
      </c>
      <c r="M22" s="209" t="s">
        <v>112</v>
      </c>
      <c r="N22" s="209" t="s">
        <v>112</v>
      </c>
      <c r="O22" s="209" t="s">
        <v>112</v>
      </c>
      <c r="P22" s="209" t="s">
        <v>112</v>
      </c>
      <c r="Q22" s="209" t="s">
        <v>112</v>
      </c>
      <c r="R22" s="209"/>
      <c r="S22" s="209" t="s">
        <v>112</v>
      </c>
      <c r="T22" s="209" t="s">
        <v>112</v>
      </c>
      <c r="U22" s="209" t="s">
        <v>112</v>
      </c>
      <c r="V22" s="209" t="s">
        <v>112</v>
      </c>
      <c r="W22" s="209" t="s">
        <v>112</v>
      </c>
      <c r="X22" s="209" t="s">
        <v>112</v>
      </c>
      <c r="Y22" s="209" t="s">
        <v>112</v>
      </c>
      <c r="Z22" s="209" t="s">
        <v>112</v>
      </c>
      <c r="AA22" s="209" t="s">
        <v>112</v>
      </c>
      <c r="AB22" s="209" t="s">
        <v>112</v>
      </c>
      <c r="AC22" s="209" t="s">
        <v>112</v>
      </c>
      <c r="AD22" s="209" t="s">
        <v>112</v>
      </c>
      <c r="AE22" s="209" t="s">
        <v>112</v>
      </c>
      <c r="AF22" s="209" t="s">
        <v>112</v>
      </c>
      <c r="AG22" s="209" t="s">
        <v>112</v>
      </c>
      <c r="AH22" s="209" t="s">
        <v>112</v>
      </c>
      <c r="AI22" s="210"/>
      <c r="AJ22" s="150"/>
      <c r="AK22" s="150"/>
    </row>
    <row r="23" spans="1:37" ht="25.5">
      <c r="A23" s="151" t="s">
        <v>1010</v>
      </c>
      <c r="B23" s="160" t="s">
        <v>1011</v>
      </c>
      <c r="C23" s="209" t="s">
        <v>112</v>
      </c>
      <c r="D23" s="209" t="s">
        <v>112</v>
      </c>
      <c r="E23" s="209" t="s">
        <v>112</v>
      </c>
      <c r="F23" s="209" t="s">
        <v>112</v>
      </c>
      <c r="G23" s="209" t="s">
        <v>112</v>
      </c>
      <c r="H23" s="209" t="s">
        <v>112</v>
      </c>
      <c r="I23" s="209" t="s">
        <v>112</v>
      </c>
      <c r="J23" s="209" t="s">
        <v>112</v>
      </c>
      <c r="K23" s="209" t="s">
        <v>112</v>
      </c>
      <c r="L23" s="209" t="s">
        <v>112</v>
      </c>
      <c r="M23" s="209" t="s">
        <v>112</v>
      </c>
      <c r="N23" s="209" t="s">
        <v>112</v>
      </c>
      <c r="O23" s="209" t="s">
        <v>112</v>
      </c>
      <c r="P23" s="209" t="s">
        <v>112</v>
      </c>
      <c r="Q23" s="209" t="s">
        <v>112</v>
      </c>
      <c r="R23" s="209"/>
      <c r="S23" s="209" t="s">
        <v>112</v>
      </c>
      <c r="T23" s="209" t="s">
        <v>112</v>
      </c>
      <c r="U23" s="209" t="s">
        <v>112</v>
      </c>
      <c r="V23" s="209" t="s">
        <v>112</v>
      </c>
      <c r="W23" s="209" t="s">
        <v>112</v>
      </c>
      <c r="X23" s="209" t="s">
        <v>112</v>
      </c>
      <c r="Y23" s="209" t="s">
        <v>112</v>
      </c>
      <c r="Z23" s="209" t="s">
        <v>112</v>
      </c>
      <c r="AA23" s="209" t="s">
        <v>112</v>
      </c>
      <c r="AB23" s="209" t="s">
        <v>112</v>
      </c>
      <c r="AC23" s="209" t="s">
        <v>112</v>
      </c>
      <c r="AD23" s="209" t="s">
        <v>112</v>
      </c>
      <c r="AE23" s="209" t="s">
        <v>112</v>
      </c>
      <c r="AF23" s="209" t="s">
        <v>112</v>
      </c>
      <c r="AG23" s="209" t="s">
        <v>112</v>
      </c>
      <c r="AH23" s="209" t="s">
        <v>112</v>
      </c>
      <c r="AI23" s="210"/>
      <c r="AJ23" s="150"/>
      <c r="AK23" s="150"/>
    </row>
    <row r="24" spans="1:37" ht="18.75">
      <c r="A24" s="148"/>
      <c r="B24" s="157" t="s">
        <v>570</v>
      </c>
      <c r="C24" s="149"/>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215"/>
      <c r="AK24" s="215"/>
    </row>
    <row r="25" spans="1:37" ht="38.25">
      <c r="A25" s="151" t="s">
        <v>571</v>
      </c>
      <c r="B25" s="160" t="s">
        <v>572</v>
      </c>
      <c r="C25" s="209" t="s">
        <v>114</v>
      </c>
      <c r="D25" s="209" t="s">
        <v>114</v>
      </c>
      <c r="E25" s="209" t="s">
        <v>114</v>
      </c>
      <c r="F25" s="209" t="s">
        <v>114</v>
      </c>
      <c r="G25" s="209" t="s">
        <v>112</v>
      </c>
      <c r="H25" s="209" t="s">
        <v>112</v>
      </c>
      <c r="I25" s="209" t="s">
        <v>112</v>
      </c>
      <c r="J25" s="209" t="s">
        <v>112</v>
      </c>
      <c r="K25" s="209" t="s">
        <v>112</v>
      </c>
      <c r="L25" s="209" t="s">
        <v>112</v>
      </c>
      <c r="M25" s="209" t="s">
        <v>112</v>
      </c>
      <c r="N25" s="209" t="s">
        <v>112</v>
      </c>
      <c r="O25" s="209" t="s">
        <v>112</v>
      </c>
      <c r="P25" s="209" t="s">
        <v>112</v>
      </c>
      <c r="Q25" s="209" t="s">
        <v>112</v>
      </c>
      <c r="R25" s="209"/>
      <c r="S25" s="209" t="s">
        <v>114</v>
      </c>
      <c r="T25" s="209" t="s">
        <v>112</v>
      </c>
      <c r="U25" s="209" t="s">
        <v>112</v>
      </c>
      <c r="V25" s="209" t="s">
        <v>112</v>
      </c>
      <c r="W25" s="209" t="s">
        <v>112</v>
      </c>
      <c r="X25" s="209" t="s">
        <v>112</v>
      </c>
      <c r="Y25" s="209" t="s">
        <v>112</v>
      </c>
      <c r="Z25" s="209" t="s">
        <v>112</v>
      </c>
      <c r="AA25" s="209" t="s">
        <v>112</v>
      </c>
      <c r="AB25" s="209" t="s">
        <v>112</v>
      </c>
      <c r="AC25" s="209" t="s">
        <v>112</v>
      </c>
      <c r="AD25" s="209" t="s">
        <v>112</v>
      </c>
      <c r="AE25" s="209" t="s">
        <v>112</v>
      </c>
      <c r="AF25" s="209" t="s">
        <v>112</v>
      </c>
      <c r="AG25" s="209" t="s">
        <v>112</v>
      </c>
      <c r="AH25" s="209" t="s">
        <v>112</v>
      </c>
      <c r="AI25" s="210"/>
      <c r="AJ25" s="150"/>
      <c r="AK25" s="150"/>
    </row>
    <row r="26" spans="1:37" ht="25.5">
      <c r="A26" s="151" t="s">
        <v>573</v>
      </c>
      <c r="B26" s="160" t="s">
        <v>574</v>
      </c>
      <c r="C26" s="209" t="s">
        <v>112</v>
      </c>
      <c r="D26" s="209" t="s">
        <v>112</v>
      </c>
      <c r="E26" s="209" t="s">
        <v>112</v>
      </c>
      <c r="F26" s="209" t="s">
        <v>112</v>
      </c>
      <c r="G26" s="209" t="s">
        <v>112</v>
      </c>
      <c r="H26" s="209" t="s">
        <v>112</v>
      </c>
      <c r="I26" s="209" t="s">
        <v>112</v>
      </c>
      <c r="J26" s="209" t="s">
        <v>112</v>
      </c>
      <c r="K26" s="209" t="s">
        <v>112</v>
      </c>
      <c r="L26" s="209" t="s">
        <v>112</v>
      </c>
      <c r="M26" s="209" t="s">
        <v>112</v>
      </c>
      <c r="N26" s="209" t="s">
        <v>112</v>
      </c>
      <c r="O26" s="209" t="s">
        <v>112</v>
      </c>
      <c r="P26" s="209" t="s">
        <v>112</v>
      </c>
      <c r="Q26" s="209" t="s">
        <v>112</v>
      </c>
      <c r="R26" s="209"/>
      <c r="S26" s="209" t="s">
        <v>112</v>
      </c>
      <c r="T26" s="209" t="s">
        <v>112</v>
      </c>
      <c r="U26" s="209" t="s">
        <v>112</v>
      </c>
      <c r="V26" s="209" t="s">
        <v>112</v>
      </c>
      <c r="W26" s="209" t="s">
        <v>112</v>
      </c>
      <c r="X26" s="209" t="s">
        <v>112</v>
      </c>
      <c r="Y26" s="209" t="s">
        <v>112</v>
      </c>
      <c r="Z26" s="209" t="s">
        <v>112</v>
      </c>
      <c r="AA26" s="209" t="s">
        <v>112</v>
      </c>
      <c r="AB26" s="209" t="s">
        <v>112</v>
      </c>
      <c r="AC26" s="209" t="s">
        <v>112</v>
      </c>
      <c r="AD26" s="209" t="s">
        <v>112</v>
      </c>
      <c r="AE26" s="209" t="s">
        <v>112</v>
      </c>
      <c r="AF26" s="209" t="s">
        <v>112</v>
      </c>
      <c r="AG26" s="209" t="s">
        <v>112</v>
      </c>
      <c r="AH26" s="209" t="s">
        <v>112</v>
      </c>
      <c r="AI26" s="210"/>
      <c r="AJ26" s="150"/>
      <c r="AK26" s="150"/>
    </row>
    <row r="27" spans="1:37" ht="38.25">
      <c r="A27" s="151" t="s">
        <v>575</v>
      </c>
      <c r="B27" s="160" t="s">
        <v>576</v>
      </c>
      <c r="C27" s="209" t="s">
        <v>112</v>
      </c>
      <c r="D27" s="209" t="s">
        <v>112</v>
      </c>
      <c r="E27" s="209" t="s">
        <v>112</v>
      </c>
      <c r="F27" s="209" t="s">
        <v>112</v>
      </c>
      <c r="G27" s="209" t="s">
        <v>112</v>
      </c>
      <c r="H27" s="209" t="s">
        <v>112</v>
      </c>
      <c r="I27" s="209" t="s">
        <v>112</v>
      </c>
      <c r="J27" s="209" t="s">
        <v>112</v>
      </c>
      <c r="K27" s="209" t="s">
        <v>112</v>
      </c>
      <c r="L27" s="209" t="s">
        <v>112</v>
      </c>
      <c r="M27" s="209" t="s">
        <v>112</v>
      </c>
      <c r="N27" s="209" t="s">
        <v>112</v>
      </c>
      <c r="O27" s="209" t="s">
        <v>112</v>
      </c>
      <c r="P27" s="209" t="s">
        <v>112</v>
      </c>
      <c r="Q27" s="209" t="s">
        <v>112</v>
      </c>
      <c r="R27" s="209"/>
      <c r="S27" s="209" t="s">
        <v>112</v>
      </c>
      <c r="T27" s="209" t="s">
        <v>112</v>
      </c>
      <c r="U27" s="209" t="s">
        <v>112</v>
      </c>
      <c r="V27" s="209" t="s">
        <v>112</v>
      </c>
      <c r="W27" s="209" t="s">
        <v>112</v>
      </c>
      <c r="X27" s="209" t="s">
        <v>112</v>
      </c>
      <c r="Y27" s="209" t="s">
        <v>112</v>
      </c>
      <c r="Z27" s="209" t="s">
        <v>112</v>
      </c>
      <c r="AA27" s="209" t="s">
        <v>112</v>
      </c>
      <c r="AB27" s="209" t="s">
        <v>112</v>
      </c>
      <c r="AC27" s="209" t="s">
        <v>112</v>
      </c>
      <c r="AD27" s="209" t="s">
        <v>112</v>
      </c>
      <c r="AE27" s="209" t="s">
        <v>112</v>
      </c>
      <c r="AF27" s="209" t="s">
        <v>112</v>
      </c>
      <c r="AG27" s="209" t="s">
        <v>112</v>
      </c>
      <c r="AH27" s="209" t="s">
        <v>112</v>
      </c>
      <c r="AI27" s="210"/>
      <c r="AJ27" s="150"/>
      <c r="AK27" s="150"/>
    </row>
    <row r="28" spans="1:37" ht="38.25">
      <c r="A28" s="151" t="s">
        <v>577</v>
      </c>
      <c r="B28" s="160" t="s">
        <v>578</v>
      </c>
      <c r="C28" s="209" t="s">
        <v>112</v>
      </c>
      <c r="D28" s="209" t="s">
        <v>112</v>
      </c>
      <c r="E28" s="209" t="s">
        <v>112</v>
      </c>
      <c r="F28" s="209" t="s">
        <v>112</v>
      </c>
      <c r="G28" s="209" t="s">
        <v>112</v>
      </c>
      <c r="H28" s="209" t="s">
        <v>112</v>
      </c>
      <c r="I28" s="209" t="s">
        <v>112</v>
      </c>
      <c r="J28" s="209" t="s">
        <v>112</v>
      </c>
      <c r="K28" s="209" t="s">
        <v>112</v>
      </c>
      <c r="L28" s="209" t="s">
        <v>112</v>
      </c>
      <c r="M28" s="209" t="s">
        <v>112</v>
      </c>
      <c r="N28" s="209" t="s">
        <v>112</v>
      </c>
      <c r="O28" s="209" t="s">
        <v>112</v>
      </c>
      <c r="P28" s="209" t="s">
        <v>112</v>
      </c>
      <c r="Q28" s="209" t="s">
        <v>112</v>
      </c>
      <c r="R28" s="209"/>
      <c r="S28" s="209" t="s">
        <v>112</v>
      </c>
      <c r="T28" s="209" t="s">
        <v>112</v>
      </c>
      <c r="U28" s="209" t="s">
        <v>112</v>
      </c>
      <c r="V28" s="209" t="s">
        <v>112</v>
      </c>
      <c r="W28" s="209" t="s">
        <v>112</v>
      </c>
      <c r="X28" s="209" t="s">
        <v>112</v>
      </c>
      <c r="Y28" s="209" t="s">
        <v>112</v>
      </c>
      <c r="Z28" s="209" t="s">
        <v>112</v>
      </c>
      <c r="AA28" s="209" t="s">
        <v>112</v>
      </c>
      <c r="AB28" s="209" t="s">
        <v>112</v>
      </c>
      <c r="AC28" s="209" t="s">
        <v>112</v>
      </c>
      <c r="AD28" s="209" t="s">
        <v>112</v>
      </c>
      <c r="AE28" s="209" t="s">
        <v>112</v>
      </c>
      <c r="AF28" s="209" t="s">
        <v>112</v>
      </c>
      <c r="AG28" s="209" t="s">
        <v>112</v>
      </c>
      <c r="AH28" s="209" t="s">
        <v>112</v>
      </c>
      <c r="AI28" s="210"/>
      <c r="AJ28" s="150"/>
      <c r="AK28" s="150"/>
    </row>
    <row r="29" spans="1:37" ht="18.75">
      <c r="A29" s="148"/>
      <c r="B29" s="157" t="s">
        <v>579</v>
      </c>
      <c r="C29" s="149"/>
      <c r="D29" s="149"/>
      <c r="E29" s="149"/>
      <c r="F29" s="149"/>
      <c r="G29" s="149"/>
      <c r="H29" s="149"/>
      <c r="I29" s="149"/>
      <c r="J29" s="149"/>
      <c r="K29" s="149"/>
      <c r="L29" s="149"/>
      <c r="M29" s="149"/>
      <c r="N29" s="149"/>
      <c r="O29" s="149"/>
      <c r="P29" s="149"/>
      <c r="Q29" s="149"/>
      <c r="R29" s="149"/>
      <c r="S29" s="149"/>
      <c r="T29" s="149"/>
      <c r="U29" s="149"/>
      <c r="V29" s="149"/>
      <c r="W29" s="149"/>
      <c r="X29" s="149"/>
      <c r="Y29" s="149"/>
      <c r="Z29" s="149"/>
      <c r="AA29" s="149"/>
      <c r="AB29" s="149"/>
      <c r="AC29" s="149"/>
      <c r="AD29" s="149"/>
      <c r="AE29" s="149"/>
      <c r="AF29" s="149"/>
      <c r="AG29" s="149"/>
      <c r="AH29" s="149"/>
      <c r="AI29" s="149"/>
      <c r="AJ29" s="215"/>
      <c r="AK29" s="215"/>
    </row>
    <row r="30" spans="1:37" ht="38.25">
      <c r="A30" s="151" t="s">
        <v>580</v>
      </c>
      <c r="B30" s="160" t="s">
        <v>581</v>
      </c>
      <c r="C30" s="209" t="s">
        <v>112</v>
      </c>
      <c r="D30" s="209" t="s">
        <v>112</v>
      </c>
      <c r="E30" s="209" t="s">
        <v>112</v>
      </c>
      <c r="F30" s="209" t="s">
        <v>112</v>
      </c>
      <c r="G30" s="209" t="s">
        <v>112</v>
      </c>
      <c r="H30" s="209" t="s">
        <v>112</v>
      </c>
      <c r="I30" s="209" t="s">
        <v>112</v>
      </c>
      <c r="J30" s="209" t="s">
        <v>112</v>
      </c>
      <c r="K30" s="209" t="s">
        <v>112</v>
      </c>
      <c r="L30" s="209" t="s">
        <v>112</v>
      </c>
      <c r="M30" s="209" t="s">
        <v>112</v>
      </c>
      <c r="N30" s="209" t="s">
        <v>112</v>
      </c>
      <c r="O30" s="209" t="s">
        <v>112</v>
      </c>
      <c r="P30" s="209" t="s">
        <v>112</v>
      </c>
      <c r="Q30" s="209" t="s">
        <v>112</v>
      </c>
      <c r="R30" s="209"/>
      <c r="S30" s="209" t="s">
        <v>112</v>
      </c>
      <c r="T30" s="209" t="s">
        <v>112</v>
      </c>
      <c r="U30" s="209" t="s">
        <v>112</v>
      </c>
      <c r="V30" s="209" t="s">
        <v>112</v>
      </c>
      <c r="W30" s="209" t="s">
        <v>112</v>
      </c>
      <c r="X30" s="209" t="s">
        <v>112</v>
      </c>
      <c r="Y30" s="209" t="s">
        <v>112</v>
      </c>
      <c r="Z30" s="209" t="s">
        <v>112</v>
      </c>
      <c r="AA30" s="209" t="s">
        <v>112</v>
      </c>
      <c r="AB30" s="209" t="s">
        <v>112</v>
      </c>
      <c r="AC30" s="209" t="s">
        <v>112</v>
      </c>
      <c r="AD30" s="209" t="s">
        <v>112</v>
      </c>
      <c r="AE30" s="209" t="s">
        <v>112</v>
      </c>
      <c r="AF30" s="209" t="s">
        <v>112</v>
      </c>
      <c r="AG30" s="209" t="s">
        <v>112</v>
      </c>
      <c r="AH30" s="209" t="s">
        <v>112</v>
      </c>
      <c r="AI30" s="210"/>
      <c r="AJ30" s="150"/>
      <c r="AK30" s="150"/>
    </row>
    <row r="31" spans="1:37" ht="38.25">
      <c r="A31" s="151" t="s">
        <v>582</v>
      </c>
      <c r="B31" s="160" t="s">
        <v>583</v>
      </c>
      <c r="C31" s="209" t="s">
        <v>112</v>
      </c>
      <c r="D31" s="209" t="s">
        <v>112</v>
      </c>
      <c r="E31" s="209" t="s">
        <v>112</v>
      </c>
      <c r="F31" s="209" t="s">
        <v>112</v>
      </c>
      <c r="G31" s="209" t="s">
        <v>112</v>
      </c>
      <c r="H31" s="209" t="s">
        <v>112</v>
      </c>
      <c r="I31" s="209" t="s">
        <v>112</v>
      </c>
      <c r="J31" s="209" t="s">
        <v>112</v>
      </c>
      <c r="K31" s="209" t="s">
        <v>112</v>
      </c>
      <c r="L31" s="209" t="s">
        <v>112</v>
      </c>
      <c r="M31" s="209" t="s">
        <v>112</v>
      </c>
      <c r="N31" s="209" t="s">
        <v>112</v>
      </c>
      <c r="O31" s="209" t="s">
        <v>112</v>
      </c>
      <c r="P31" s="209" t="s">
        <v>112</v>
      </c>
      <c r="Q31" s="209" t="s">
        <v>112</v>
      </c>
      <c r="R31" s="209"/>
      <c r="S31" s="209" t="s">
        <v>112</v>
      </c>
      <c r="T31" s="209" t="s">
        <v>112</v>
      </c>
      <c r="U31" s="209" t="s">
        <v>112</v>
      </c>
      <c r="V31" s="209" t="s">
        <v>112</v>
      </c>
      <c r="W31" s="209" t="s">
        <v>112</v>
      </c>
      <c r="X31" s="209" t="s">
        <v>112</v>
      </c>
      <c r="Y31" s="209" t="s">
        <v>112</v>
      </c>
      <c r="Z31" s="209" t="s">
        <v>112</v>
      </c>
      <c r="AA31" s="209" t="s">
        <v>112</v>
      </c>
      <c r="AB31" s="209" t="s">
        <v>112</v>
      </c>
      <c r="AC31" s="209" t="s">
        <v>112</v>
      </c>
      <c r="AD31" s="209" t="s">
        <v>112</v>
      </c>
      <c r="AE31" s="209" t="s">
        <v>112</v>
      </c>
      <c r="AF31" s="209" t="s">
        <v>112</v>
      </c>
      <c r="AG31" s="209" t="s">
        <v>112</v>
      </c>
      <c r="AH31" s="209" t="s">
        <v>112</v>
      </c>
      <c r="AI31" s="210"/>
      <c r="AJ31" s="150"/>
      <c r="AK31" s="150"/>
    </row>
    <row r="32" spans="1:37" ht="18.75">
      <c r="A32" s="148"/>
      <c r="B32" s="157" t="s">
        <v>584</v>
      </c>
      <c r="C32" s="149"/>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149"/>
      <c r="AB32" s="149"/>
      <c r="AC32" s="149"/>
      <c r="AD32" s="149"/>
      <c r="AE32" s="149"/>
      <c r="AF32" s="149"/>
      <c r="AG32" s="149"/>
      <c r="AH32" s="149"/>
      <c r="AI32" s="149"/>
      <c r="AJ32" s="215"/>
      <c r="AK32" s="215"/>
    </row>
    <row r="33" spans="1:37" ht="51">
      <c r="A33" s="151" t="s">
        <v>585</v>
      </c>
      <c r="B33" s="160" t="s">
        <v>586</v>
      </c>
      <c r="C33" s="209" t="s">
        <v>116</v>
      </c>
      <c r="D33" s="209" t="s">
        <v>116</v>
      </c>
      <c r="E33" s="209" t="s">
        <v>116</v>
      </c>
      <c r="F33" s="209" t="s">
        <v>116</v>
      </c>
      <c r="G33" s="209" t="s">
        <v>116</v>
      </c>
      <c r="H33" s="209" t="s">
        <v>116</v>
      </c>
      <c r="I33" s="209" t="s">
        <v>116</v>
      </c>
      <c r="J33" s="209" t="s">
        <v>116</v>
      </c>
      <c r="K33" s="209" t="s">
        <v>116</v>
      </c>
      <c r="L33" s="209" t="s">
        <v>116</v>
      </c>
      <c r="M33" s="209" t="s">
        <v>116</v>
      </c>
      <c r="N33" s="209" t="s">
        <v>116</v>
      </c>
      <c r="O33" s="209" t="s">
        <v>116</v>
      </c>
      <c r="P33" s="209" t="s">
        <v>116</v>
      </c>
      <c r="Q33" s="209" t="s">
        <v>116</v>
      </c>
      <c r="R33" s="209"/>
      <c r="S33" s="209" t="s">
        <v>116</v>
      </c>
      <c r="T33" s="209" t="s">
        <v>116</v>
      </c>
      <c r="U33" s="209" t="s">
        <v>116</v>
      </c>
      <c r="V33" s="209" t="s">
        <v>116</v>
      </c>
      <c r="W33" s="209" t="s">
        <v>116</v>
      </c>
      <c r="X33" s="209" t="s">
        <v>116</v>
      </c>
      <c r="Y33" s="209" t="s">
        <v>116</v>
      </c>
      <c r="Z33" s="209" t="s">
        <v>116</v>
      </c>
      <c r="AA33" s="209" t="s">
        <v>116</v>
      </c>
      <c r="AB33" s="209" t="s">
        <v>116</v>
      </c>
      <c r="AC33" s="209" t="s">
        <v>116</v>
      </c>
      <c r="AD33" s="209" t="s">
        <v>116</v>
      </c>
      <c r="AE33" s="209" t="s">
        <v>116</v>
      </c>
      <c r="AF33" s="209" t="s">
        <v>116</v>
      </c>
      <c r="AG33" s="209" t="s">
        <v>116</v>
      </c>
      <c r="AH33" s="209" t="s">
        <v>116</v>
      </c>
      <c r="AI33" s="210" t="s">
        <v>955</v>
      </c>
      <c r="AJ33" s="150"/>
      <c r="AK33" s="150"/>
    </row>
    <row r="34" spans="1:37" ht="18">
      <c r="A34" s="211"/>
      <c r="B34" s="212" t="s">
        <v>587</v>
      </c>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1"/>
      <c r="AJ34" s="211"/>
      <c r="AK34" s="211"/>
    </row>
    <row r="35" spans="1:37" ht="15">
      <c r="A35" s="153"/>
      <c r="B35" s="154"/>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6"/>
    </row>
    <row r="36" spans="1:37" ht="15">
      <c r="A36" s="216"/>
      <c r="B36" s="217" t="s">
        <v>588</v>
      </c>
      <c r="C36" s="216"/>
      <c r="D36" s="216"/>
      <c r="E36" s="216"/>
      <c r="F36" s="216"/>
      <c r="G36" s="216"/>
      <c r="H36" s="216"/>
      <c r="I36" s="216"/>
      <c r="J36" s="216"/>
      <c r="K36" s="216"/>
      <c r="L36" s="216"/>
      <c r="M36" s="216"/>
      <c r="N36" s="216"/>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row>
  </sheetData>
  <mergeCells count="1">
    <mergeCell ref="AJ2:AK2"/>
  </mergeCells>
  <conditionalFormatting sqref="F6 E6:E7 E33 E9:E23 E25:E28 E30:E31">
    <cfRule type="cellIs" dxfId="2207" priority="3058" operator="equal">
      <formula>"No"</formula>
    </cfRule>
    <cfRule type="cellIs" dxfId="2206" priority="3059" operator="equal">
      <formula>"NA"</formula>
    </cfRule>
    <cfRule type="cellIs" dxfId="2205" priority="3060" operator="equal">
      <formula>"Yes"</formula>
    </cfRule>
  </conditionalFormatting>
  <conditionalFormatting sqref="F7">
    <cfRule type="cellIs" dxfId="2204" priority="3012" operator="equal">
      <formula>"No"</formula>
    </cfRule>
    <cfRule type="cellIs" dxfId="2203" priority="3013" operator="equal">
      <formula>"NA"</formula>
    </cfRule>
    <cfRule type="cellIs" dxfId="2202" priority="3014" operator="equal">
      <formula>"Yes"</formula>
    </cfRule>
  </conditionalFormatting>
  <conditionalFormatting sqref="F9">
    <cfRule type="cellIs" dxfId="2201" priority="2966" operator="equal">
      <formula>"No"</formula>
    </cfRule>
    <cfRule type="cellIs" dxfId="2200" priority="2967" operator="equal">
      <formula>"NA"</formula>
    </cfRule>
    <cfRule type="cellIs" dxfId="2199" priority="2968" operator="equal">
      <formula>"Yes"</formula>
    </cfRule>
  </conditionalFormatting>
  <conditionalFormatting sqref="F10">
    <cfRule type="cellIs" dxfId="2198" priority="2920" operator="equal">
      <formula>"No"</formula>
    </cfRule>
    <cfRule type="cellIs" dxfId="2197" priority="2921" operator="equal">
      <formula>"NA"</formula>
    </cfRule>
    <cfRule type="cellIs" dxfId="2196" priority="2922" operator="equal">
      <formula>"Yes"</formula>
    </cfRule>
  </conditionalFormatting>
  <conditionalFormatting sqref="F11">
    <cfRule type="cellIs" dxfId="2195" priority="2874" operator="equal">
      <formula>"No"</formula>
    </cfRule>
    <cfRule type="cellIs" dxfId="2194" priority="2875" operator="equal">
      <formula>"NA"</formula>
    </cfRule>
    <cfRule type="cellIs" dxfId="2193" priority="2876" operator="equal">
      <formula>"Yes"</formula>
    </cfRule>
  </conditionalFormatting>
  <conditionalFormatting sqref="F12">
    <cfRule type="cellIs" dxfId="2192" priority="2828" operator="equal">
      <formula>"No"</formula>
    </cfRule>
    <cfRule type="cellIs" dxfId="2191" priority="2829" operator="equal">
      <formula>"NA"</formula>
    </cfRule>
    <cfRule type="cellIs" dxfId="2190" priority="2830" operator="equal">
      <formula>"Yes"</formula>
    </cfRule>
  </conditionalFormatting>
  <conditionalFormatting sqref="F13">
    <cfRule type="cellIs" dxfId="2189" priority="2782" operator="equal">
      <formula>"No"</formula>
    </cfRule>
    <cfRule type="cellIs" dxfId="2188" priority="2783" operator="equal">
      <formula>"NA"</formula>
    </cfRule>
    <cfRule type="cellIs" dxfId="2187" priority="2784" operator="equal">
      <formula>"Yes"</formula>
    </cfRule>
  </conditionalFormatting>
  <conditionalFormatting sqref="F14">
    <cfRule type="cellIs" dxfId="2186" priority="2736" operator="equal">
      <formula>"No"</formula>
    </cfRule>
    <cfRule type="cellIs" dxfId="2185" priority="2737" operator="equal">
      <formula>"NA"</formula>
    </cfRule>
    <cfRule type="cellIs" dxfId="2184" priority="2738" operator="equal">
      <formula>"Yes"</formula>
    </cfRule>
  </conditionalFormatting>
  <conditionalFormatting sqref="F15">
    <cfRule type="cellIs" dxfId="2183" priority="2690" operator="equal">
      <formula>"No"</formula>
    </cfRule>
    <cfRule type="cellIs" dxfId="2182" priority="2691" operator="equal">
      <formula>"NA"</formula>
    </cfRule>
    <cfRule type="cellIs" dxfId="2181" priority="2692" operator="equal">
      <formula>"Yes"</formula>
    </cfRule>
  </conditionalFormatting>
  <conditionalFormatting sqref="F16">
    <cfRule type="cellIs" dxfId="2180" priority="2644" operator="equal">
      <formula>"No"</formula>
    </cfRule>
    <cfRule type="cellIs" dxfId="2179" priority="2645" operator="equal">
      <formula>"NA"</formula>
    </cfRule>
    <cfRule type="cellIs" dxfId="2178" priority="2646" operator="equal">
      <formula>"Yes"</formula>
    </cfRule>
  </conditionalFormatting>
  <conditionalFormatting sqref="F17">
    <cfRule type="cellIs" dxfId="2177" priority="2598" operator="equal">
      <formula>"No"</formula>
    </cfRule>
    <cfRule type="cellIs" dxfId="2176" priority="2599" operator="equal">
      <formula>"NA"</formula>
    </cfRule>
    <cfRule type="cellIs" dxfId="2175" priority="2600" operator="equal">
      <formula>"Yes"</formula>
    </cfRule>
  </conditionalFormatting>
  <conditionalFormatting sqref="F18">
    <cfRule type="cellIs" dxfId="2174" priority="2552" operator="equal">
      <formula>"No"</formula>
    </cfRule>
    <cfRule type="cellIs" dxfId="2173" priority="2553" operator="equal">
      <formula>"NA"</formula>
    </cfRule>
    <cfRule type="cellIs" dxfId="2172" priority="2554" operator="equal">
      <formula>"Yes"</formula>
    </cfRule>
  </conditionalFormatting>
  <conditionalFormatting sqref="F19">
    <cfRule type="cellIs" dxfId="2171" priority="2506" operator="equal">
      <formula>"No"</formula>
    </cfRule>
    <cfRule type="cellIs" dxfId="2170" priority="2507" operator="equal">
      <formula>"NA"</formula>
    </cfRule>
    <cfRule type="cellIs" dxfId="2169" priority="2508" operator="equal">
      <formula>"Yes"</formula>
    </cfRule>
  </conditionalFormatting>
  <conditionalFormatting sqref="F20">
    <cfRule type="cellIs" dxfId="2168" priority="2460" operator="equal">
      <formula>"No"</formula>
    </cfRule>
    <cfRule type="cellIs" dxfId="2167" priority="2461" operator="equal">
      <formula>"NA"</formula>
    </cfRule>
    <cfRule type="cellIs" dxfId="2166" priority="2462" operator="equal">
      <formula>"Yes"</formula>
    </cfRule>
  </conditionalFormatting>
  <conditionalFormatting sqref="F21">
    <cfRule type="cellIs" dxfId="2165" priority="2414" operator="equal">
      <formula>"No"</formula>
    </cfRule>
    <cfRule type="cellIs" dxfId="2164" priority="2415" operator="equal">
      <formula>"NA"</formula>
    </cfRule>
    <cfRule type="cellIs" dxfId="2163" priority="2416" operator="equal">
      <formula>"Yes"</formula>
    </cfRule>
  </conditionalFormatting>
  <conditionalFormatting sqref="F22">
    <cfRule type="cellIs" dxfId="2162" priority="2368" operator="equal">
      <formula>"No"</formula>
    </cfRule>
    <cfRule type="cellIs" dxfId="2161" priority="2369" operator="equal">
      <formula>"NA"</formula>
    </cfRule>
    <cfRule type="cellIs" dxfId="2160" priority="2370" operator="equal">
      <formula>"Yes"</formula>
    </cfRule>
  </conditionalFormatting>
  <conditionalFormatting sqref="F23">
    <cfRule type="cellIs" dxfId="2159" priority="2322" operator="equal">
      <formula>"No"</formula>
    </cfRule>
    <cfRule type="cellIs" dxfId="2158" priority="2323" operator="equal">
      <formula>"NA"</formula>
    </cfRule>
    <cfRule type="cellIs" dxfId="2157" priority="2324" operator="equal">
      <formula>"Yes"</formula>
    </cfRule>
  </conditionalFormatting>
  <conditionalFormatting sqref="F25">
    <cfRule type="cellIs" dxfId="2156" priority="2276" operator="equal">
      <formula>"No"</formula>
    </cfRule>
    <cfRule type="cellIs" dxfId="2155" priority="2277" operator="equal">
      <formula>"NA"</formula>
    </cfRule>
    <cfRule type="cellIs" dxfId="2154" priority="2278" operator="equal">
      <formula>"Yes"</formula>
    </cfRule>
  </conditionalFormatting>
  <conditionalFormatting sqref="F26">
    <cfRule type="cellIs" dxfId="2153" priority="2230" operator="equal">
      <formula>"No"</formula>
    </cfRule>
    <cfRule type="cellIs" dxfId="2152" priority="2231" operator="equal">
      <formula>"NA"</formula>
    </cfRule>
    <cfRule type="cellIs" dxfId="2151" priority="2232" operator="equal">
      <formula>"Yes"</formula>
    </cfRule>
  </conditionalFormatting>
  <conditionalFormatting sqref="F27">
    <cfRule type="cellIs" dxfId="2150" priority="2184" operator="equal">
      <formula>"No"</formula>
    </cfRule>
    <cfRule type="cellIs" dxfId="2149" priority="2185" operator="equal">
      <formula>"NA"</formula>
    </cfRule>
    <cfRule type="cellIs" dxfId="2148" priority="2186" operator="equal">
      <formula>"Yes"</formula>
    </cfRule>
  </conditionalFormatting>
  <conditionalFormatting sqref="F28">
    <cfRule type="cellIs" dxfId="2147" priority="2138" operator="equal">
      <formula>"No"</formula>
    </cfRule>
    <cfRule type="cellIs" dxfId="2146" priority="2139" operator="equal">
      <formula>"NA"</formula>
    </cfRule>
    <cfRule type="cellIs" dxfId="2145" priority="2140" operator="equal">
      <formula>"Yes"</formula>
    </cfRule>
  </conditionalFormatting>
  <conditionalFormatting sqref="F30">
    <cfRule type="cellIs" dxfId="2144" priority="2092" operator="equal">
      <formula>"No"</formula>
    </cfRule>
    <cfRule type="cellIs" dxfId="2143" priority="2093" operator="equal">
      <formula>"NA"</formula>
    </cfRule>
    <cfRule type="cellIs" dxfId="2142" priority="2094" operator="equal">
      <formula>"Yes"</formula>
    </cfRule>
  </conditionalFormatting>
  <conditionalFormatting sqref="F31">
    <cfRule type="cellIs" dxfId="2141" priority="2046" operator="equal">
      <formula>"No"</formula>
    </cfRule>
    <cfRule type="cellIs" dxfId="2140" priority="2047" operator="equal">
      <formula>"NA"</formula>
    </cfRule>
    <cfRule type="cellIs" dxfId="2139" priority="2048" operator="equal">
      <formula>"Yes"</formula>
    </cfRule>
  </conditionalFormatting>
  <conditionalFormatting sqref="F33">
    <cfRule type="cellIs" dxfId="2138" priority="2000" operator="equal">
      <formula>"No"</formula>
    </cfRule>
    <cfRule type="cellIs" dxfId="2137" priority="2001" operator="equal">
      <formula>"NA"</formula>
    </cfRule>
    <cfRule type="cellIs" dxfId="2136" priority="2002" operator="equal">
      <formula>"Yes"</formula>
    </cfRule>
  </conditionalFormatting>
  <conditionalFormatting sqref="C6">
    <cfRule type="cellIs" dxfId="2135" priority="1954" operator="equal">
      <formula>"No"</formula>
    </cfRule>
    <cfRule type="cellIs" dxfId="2134" priority="1955" operator="equal">
      <formula>"NA"</formula>
    </cfRule>
    <cfRule type="cellIs" dxfId="2133" priority="1956" operator="equal">
      <formula>"Yes"</formula>
    </cfRule>
  </conditionalFormatting>
  <conditionalFormatting sqref="C7">
    <cfRule type="cellIs" dxfId="2132" priority="1951" operator="equal">
      <formula>"No"</formula>
    </cfRule>
    <cfRule type="cellIs" dxfId="2131" priority="1952" operator="equal">
      <formula>"NA"</formula>
    </cfRule>
    <cfRule type="cellIs" dxfId="2130" priority="1953" operator="equal">
      <formula>"Yes"</formula>
    </cfRule>
  </conditionalFormatting>
  <conditionalFormatting sqref="C9">
    <cfRule type="cellIs" dxfId="2129" priority="1948" operator="equal">
      <formula>"No"</formula>
    </cfRule>
    <cfRule type="cellIs" dxfId="2128" priority="1949" operator="equal">
      <formula>"NA"</formula>
    </cfRule>
    <cfRule type="cellIs" dxfId="2127" priority="1950" operator="equal">
      <formula>"Yes"</formula>
    </cfRule>
  </conditionalFormatting>
  <conditionalFormatting sqref="C10">
    <cfRule type="cellIs" dxfId="2126" priority="1945" operator="equal">
      <formula>"No"</formula>
    </cfRule>
    <cfRule type="cellIs" dxfId="2125" priority="1946" operator="equal">
      <formula>"NA"</formula>
    </cfRule>
    <cfRule type="cellIs" dxfId="2124" priority="1947" operator="equal">
      <formula>"Yes"</formula>
    </cfRule>
  </conditionalFormatting>
  <conditionalFormatting sqref="C25">
    <cfRule type="cellIs" dxfId="2123" priority="1903" operator="equal">
      <formula>"No"</formula>
    </cfRule>
    <cfRule type="cellIs" dxfId="2122" priority="1904" operator="equal">
      <formula>"NA"</formula>
    </cfRule>
    <cfRule type="cellIs" dxfId="2121" priority="1905" operator="equal">
      <formula>"Yes"</formula>
    </cfRule>
  </conditionalFormatting>
  <conditionalFormatting sqref="C33">
    <cfRule type="cellIs" dxfId="2120" priority="1885" operator="equal">
      <formula>"No"</formula>
    </cfRule>
    <cfRule type="cellIs" dxfId="2119" priority="1886" operator="equal">
      <formula>"NA"</formula>
    </cfRule>
    <cfRule type="cellIs" dxfId="2118" priority="1887" operator="equal">
      <formula>"Yes"</formula>
    </cfRule>
  </conditionalFormatting>
  <conditionalFormatting sqref="D6">
    <cfRule type="cellIs" dxfId="2117" priority="1882" operator="equal">
      <formula>"No"</formula>
    </cfRule>
    <cfRule type="cellIs" dxfId="2116" priority="1883" operator="equal">
      <formula>"NA"</formula>
    </cfRule>
    <cfRule type="cellIs" dxfId="2115" priority="1884" operator="equal">
      <formula>"Yes"</formula>
    </cfRule>
  </conditionalFormatting>
  <conditionalFormatting sqref="D7">
    <cfRule type="cellIs" dxfId="2114" priority="1879" operator="equal">
      <formula>"No"</formula>
    </cfRule>
    <cfRule type="cellIs" dxfId="2113" priority="1880" operator="equal">
      <formula>"NA"</formula>
    </cfRule>
    <cfRule type="cellIs" dxfId="2112" priority="1881" operator="equal">
      <formula>"Yes"</formula>
    </cfRule>
  </conditionalFormatting>
  <conditionalFormatting sqref="D9">
    <cfRule type="cellIs" dxfId="2111" priority="1876" operator="equal">
      <formula>"No"</formula>
    </cfRule>
    <cfRule type="cellIs" dxfId="2110" priority="1877" operator="equal">
      <formula>"NA"</formula>
    </cfRule>
    <cfRule type="cellIs" dxfId="2109" priority="1878" operator="equal">
      <formula>"Yes"</formula>
    </cfRule>
  </conditionalFormatting>
  <conditionalFormatting sqref="D14">
    <cfRule type="cellIs" dxfId="2108" priority="1861" operator="equal">
      <formula>"No"</formula>
    </cfRule>
    <cfRule type="cellIs" dxfId="2107" priority="1862" operator="equal">
      <formula>"NA"</formula>
    </cfRule>
    <cfRule type="cellIs" dxfId="2106" priority="1863" operator="equal">
      <formula>"Yes"</formula>
    </cfRule>
  </conditionalFormatting>
  <conditionalFormatting sqref="D15">
    <cfRule type="cellIs" dxfId="2105" priority="1858" operator="equal">
      <formula>"No"</formula>
    </cfRule>
    <cfRule type="cellIs" dxfId="2104" priority="1859" operator="equal">
      <formula>"NA"</formula>
    </cfRule>
    <cfRule type="cellIs" dxfId="2103" priority="1860" operator="equal">
      <formula>"Yes"</formula>
    </cfRule>
  </conditionalFormatting>
  <conditionalFormatting sqref="D25">
    <cfRule type="cellIs" dxfId="2102" priority="1831" operator="equal">
      <formula>"No"</formula>
    </cfRule>
    <cfRule type="cellIs" dxfId="2101" priority="1832" operator="equal">
      <formula>"NA"</formula>
    </cfRule>
    <cfRule type="cellIs" dxfId="2100" priority="1833" operator="equal">
      <formula>"Yes"</formula>
    </cfRule>
  </conditionalFormatting>
  <conditionalFormatting sqref="D33">
    <cfRule type="cellIs" dxfId="2099" priority="1813" operator="equal">
      <formula>"No"</formula>
    </cfRule>
    <cfRule type="cellIs" dxfId="2098" priority="1814" operator="equal">
      <formula>"NA"</formula>
    </cfRule>
    <cfRule type="cellIs" dxfId="2097" priority="1815" operator="equal">
      <formula>"Yes"</formula>
    </cfRule>
  </conditionalFormatting>
  <conditionalFormatting sqref="D10">
    <cfRule type="cellIs" dxfId="2096" priority="1738" operator="equal">
      <formula>"No"</formula>
    </cfRule>
    <cfRule type="cellIs" dxfId="2095" priority="1739" operator="equal">
      <formula>"NA"</formula>
    </cfRule>
    <cfRule type="cellIs" dxfId="2094" priority="1740" operator="equal">
      <formula>"Yes"</formula>
    </cfRule>
  </conditionalFormatting>
  <conditionalFormatting sqref="C11">
    <cfRule type="cellIs" dxfId="2093" priority="1732" operator="equal">
      <formula>"No"</formula>
    </cfRule>
    <cfRule type="cellIs" dxfId="2092" priority="1733" operator="equal">
      <formula>"NA"</formula>
    </cfRule>
    <cfRule type="cellIs" dxfId="2091" priority="1734" operator="equal">
      <formula>"Yes"</formula>
    </cfRule>
  </conditionalFormatting>
  <conditionalFormatting sqref="D11">
    <cfRule type="cellIs" dxfId="2090" priority="1729" operator="equal">
      <formula>"No"</formula>
    </cfRule>
    <cfRule type="cellIs" dxfId="2089" priority="1730" operator="equal">
      <formula>"NA"</formula>
    </cfRule>
    <cfRule type="cellIs" dxfId="2088" priority="1731" operator="equal">
      <formula>"Yes"</formula>
    </cfRule>
  </conditionalFormatting>
  <conditionalFormatting sqref="C12">
    <cfRule type="cellIs" dxfId="2087" priority="1723" operator="equal">
      <formula>"No"</formula>
    </cfRule>
    <cfRule type="cellIs" dxfId="2086" priority="1724" operator="equal">
      <formula>"NA"</formula>
    </cfRule>
    <cfRule type="cellIs" dxfId="2085" priority="1725" operator="equal">
      <formula>"Yes"</formula>
    </cfRule>
  </conditionalFormatting>
  <conditionalFormatting sqref="D12">
    <cfRule type="cellIs" dxfId="2084" priority="1720" operator="equal">
      <formula>"No"</formula>
    </cfRule>
    <cfRule type="cellIs" dxfId="2083" priority="1721" operator="equal">
      <formula>"NA"</formula>
    </cfRule>
    <cfRule type="cellIs" dxfId="2082" priority="1722" operator="equal">
      <formula>"Yes"</formula>
    </cfRule>
  </conditionalFormatting>
  <conditionalFormatting sqref="C13">
    <cfRule type="cellIs" dxfId="2081" priority="1714" operator="equal">
      <formula>"No"</formula>
    </cfRule>
    <cfRule type="cellIs" dxfId="2080" priority="1715" operator="equal">
      <formula>"NA"</formula>
    </cfRule>
    <cfRule type="cellIs" dxfId="2079" priority="1716" operator="equal">
      <formula>"Yes"</formula>
    </cfRule>
  </conditionalFormatting>
  <conditionalFormatting sqref="D13">
    <cfRule type="cellIs" dxfId="2078" priority="1711" operator="equal">
      <formula>"No"</formula>
    </cfRule>
    <cfRule type="cellIs" dxfId="2077" priority="1712" operator="equal">
      <formula>"NA"</formula>
    </cfRule>
    <cfRule type="cellIs" dxfId="2076" priority="1713" operator="equal">
      <formula>"Yes"</formula>
    </cfRule>
  </conditionalFormatting>
  <conditionalFormatting sqref="C14">
    <cfRule type="cellIs" dxfId="2075" priority="1705" operator="equal">
      <formula>"No"</formula>
    </cfRule>
    <cfRule type="cellIs" dxfId="2074" priority="1706" operator="equal">
      <formula>"NA"</formula>
    </cfRule>
    <cfRule type="cellIs" dxfId="2073" priority="1707" operator="equal">
      <formula>"Yes"</formula>
    </cfRule>
  </conditionalFormatting>
  <conditionalFormatting sqref="C15">
    <cfRule type="cellIs" dxfId="2072" priority="1699" operator="equal">
      <formula>"No"</formula>
    </cfRule>
    <cfRule type="cellIs" dxfId="2071" priority="1700" operator="equal">
      <formula>"NA"</formula>
    </cfRule>
    <cfRule type="cellIs" dxfId="2070" priority="1701" operator="equal">
      <formula>"Yes"</formula>
    </cfRule>
  </conditionalFormatting>
  <conditionalFormatting sqref="C16">
    <cfRule type="cellIs" dxfId="2069" priority="1693" operator="equal">
      <formula>"No"</formula>
    </cfRule>
    <cfRule type="cellIs" dxfId="2068" priority="1694" operator="equal">
      <formula>"NA"</formula>
    </cfRule>
    <cfRule type="cellIs" dxfId="2067" priority="1695" operator="equal">
      <formula>"Yes"</formula>
    </cfRule>
  </conditionalFormatting>
  <conditionalFormatting sqref="D16">
    <cfRule type="cellIs" dxfId="2066" priority="1687" operator="equal">
      <formula>"No"</formula>
    </cfRule>
    <cfRule type="cellIs" dxfId="2065" priority="1688" operator="equal">
      <formula>"NA"</formula>
    </cfRule>
    <cfRule type="cellIs" dxfId="2064" priority="1689" operator="equal">
      <formula>"Yes"</formula>
    </cfRule>
  </conditionalFormatting>
  <conditionalFormatting sqref="C17">
    <cfRule type="cellIs" dxfId="2063" priority="1684" operator="equal">
      <formula>"No"</formula>
    </cfRule>
    <cfRule type="cellIs" dxfId="2062" priority="1685" operator="equal">
      <formula>"NA"</formula>
    </cfRule>
    <cfRule type="cellIs" dxfId="2061" priority="1686" operator="equal">
      <formula>"Yes"</formula>
    </cfRule>
  </conditionalFormatting>
  <conditionalFormatting sqref="D17">
    <cfRule type="cellIs" dxfId="2060" priority="1681" operator="equal">
      <formula>"No"</formula>
    </cfRule>
    <cfRule type="cellIs" dxfId="2059" priority="1682" operator="equal">
      <formula>"NA"</formula>
    </cfRule>
    <cfRule type="cellIs" dxfId="2058" priority="1683" operator="equal">
      <formula>"Yes"</formula>
    </cfRule>
  </conditionalFormatting>
  <conditionalFormatting sqref="C18">
    <cfRule type="cellIs" dxfId="2057" priority="1675" operator="equal">
      <formula>"No"</formula>
    </cfRule>
    <cfRule type="cellIs" dxfId="2056" priority="1676" operator="equal">
      <formula>"NA"</formula>
    </cfRule>
    <cfRule type="cellIs" dxfId="2055" priority="1677" operator="equal">
      <formula>"Yes"</formula>
    </cfRule>
  </conditionalFormatting>
  <conditionalFormatting sqref="D18">
    <cfRule type="cellIs" dxfId="2054" priority="1672" operator="equal">
      <formula>"No"</formula>
    </cfRule>
    <cfRule type="cellIs" dxfId="2053" priority="1673" operator="equal">
      <formula>"NA"</formula>
    </cfRule>
    <cfRule type="cellIs" dxfId="2052" priority="1674" operator="equal">
      <formula>"Yes"</formula>
    </cfRule>
  </conditionalFormatting>
  <conditionalFormatting sqref="C19">
    <cfRule type="cellIs" dxfId="2051" priority="1666" operator="equal">
      <formula>"No"</formula>
    </cfRule>
    <cfRule type="cellIs" dxfId="2050" priority="1667" operator="equal">
      <formula>"NA"</formula>
    </cfRule>
    <cfRule type="cellIs" dxfId="2049" priority="1668" operator="equal">
      <formula>"Yes"</formula>
    </cfRule>
  </conditionalFormatting>
  <conditionalFormatting sqref="D19">
    <cfRule type="cellIs" dxfId="2048" priority="1663" operator="equal">
      <formula>"No"</formula>
    </cfRule>
    <cfRule type="cellIs" dxfId="2047" priority="1664" operator="equal">
      <formula>"NA"</formula>
    </cfRule>
    <cfRule type="cellIs" dxfId="2046" priority="1665" operator="equal">
      <formula>"Yes"</formula>
    </cfRule>
  </conditionalFormatting>
  <conditionalFormatting sqref="C20">
    <cfRule type="cellIs" dxfId="2045" priority="1657" operator="equal">
      <formula>"No"</formula>
    </cfRule>
    <cfRule type="cellIs" dxfId="2044" priority="1658" operator="equal">
      <formula>"NA"</formula>
    </cfRule>
    <cfRule type="cellIs" dxfId="2043" priority="1659" operator="equal">
      <formula>"Yes"</formula>
    </cfRule>
  </conditionalFormatting>
  <conditionalFormatting sqref="D20">
    <cfRule type="cellIs" dxfId="2042" priority="1645" operator="equal">
      <formula>"No"</formula>
    </cfRule>
    <cfRule type="cellIs" dxfId="2041" priority="1646" operator="equal">
      <formula>"NA"</formula>
    </cfRule>
    <cfRule type="cellIs" dxfId="2040" priority="1647" operator="equal">
      <formula>"Yes"</formula>
    </cfRule>
  </conditionalFormatting>
  <conditionalFormatting sqref="C21">
    <cfRule type="cellIs" dxfId="2039" priority="1642" operator="equal">
      <formula>"No"</formula>
    </cfRule>
    <cfRule type="cellIs" dxfId="2038" priority="1643" operator="equal">
      <formula>"NA"</formula>
    </cfRule>
    <cfRule type="cellIs" dxfId="2037" priority="1644" operator="equal">
      <formula>"Yes"</formula>
    </cfRule>
  </conditionalFormatting>
  <conditionalFormatting sqref="D21">
    <cfRule type="cellIs" dxfId="2036" priority="1636" operator="equal">
      <formula>"No"</formula>
    </cfRule>
    <cfRule type="cellIs" dxfId="2035" priority="1637" operator="equal">
      <formula>"NA"</formula>
    </cfRule>
    <cfRule type="cellIs" dxfId="2034" priority="1638" operator="equal">
      <formula>"Yes"</formula>
    </cfRule>
  </conditionalFormatting>
  <conditionalFormatting sqref="C22">
    <cfRule type="cellIs" dxfId="2033" priority="1633" operator="equal">
      <formula>"No"</formula>
    </cfRule>
    <cfRule type="cellIs" dxfId="2032" priority="1634" operator="equal">
      <formula>"NA"</formula>
    </cfRule>
    <cfRule type="cellIs" dxfId="2031" priority="1635" operator="equal">
      <formula>"Yes"</formula>
    </cfRule>
  </conditionalFormatting>
  <conditionalFormatting sqref="D22">
    <cfRule type="cellIs" dxfId="2030" priority="1627" operator="equal">
      <formula>"No"</formula>
    </cfRule>
    <cfRule type="cellIs" dxfId="2029" priority="1628" operator="equal">
      <formula>"NA"</formula>
    </cfRule>
    <cfRule type="cellIs" dxfId="2028" priority="1629" operator="equal">
      <formula>"Yes"</formula>
    </cfRule>
  </conditionalFormatting>
  <conditionalFormatting sqref="C23">
    <cfRule type="cellIs" dxfId="2027" priority="1624" operator="equal">
      <formula>"No"</formula>
    </cfRule>
    <cfRule type="cellIs" dxfId="2026" priority="1625" operator="equal">
      <formula>"NA"</formula>
    </cfRule>
    <cfRule type="cellIs" dxfId="2025" priority="1626" operator="equal">
      <formula>"Yes"</formula>
    </cfRule>
  </conditionalFormatting>
  <conditionalFormatting sqref="D23">
    <cfRule type="cellIs" dxfId="2024" priority="1618" operator="equal">
      <formula>"No"</formula>
    </cfRule>
    <cfRule type="cellIs" dxfId="2023" priority="1619" operator="equal">
      <formula>"NA"</formula>
    </cfRule>
    <cfRule type="cellIs" dxfId="2022" priority="1620" operator="equal">
      <formula>"Yes"</formula>
    </cfRule>
  </conditionalFormatting>
  <conditionalFormatting sqref="C26">
    <cfRule type="cellIs" dxfId="2021" priority="1615" operator="equal">
      <formula>"No"</formula>
    </cfRule>
    <cfRule type="cellIs" dxfId="2020" priority="1616" operator="equal">
      <formula>"NA"</formula>
    </cfRule>
    <cfRule type="cellIs" dxfId="2019" priority="1617" operator="equal">
      <formula>"Yes"</formula>
    </cfRule>
  </conditionalFormatting>
  <conditionalFormatting sqref="D26">
    <cfRule type="cellIs" dxfId="2018" priority="1609" operator="equal">
      <formula>"No"</formula>
    </cfRule>
    <cfRule type="cellIs" dxfId="2017" priority="1610" operator="equal">
      <formula>"NA"</formula>
    </cfRule>
    <cfRule type="cellIs" dxfId="2016" priority="1611" operator="equal">
      <formula>"Yes"</formula>
    </cfRule>
  </conditionalFormatting>
  <conditionalFormatting sqref="C27:C28">
    <cfRule type="cellIs" dxfId="2015" priority="1606" operator="equal">
      <formula>"No"</formula>
    </cfRule>
    <cfRule type="cellIs" dxfId="2014" priority="1607" operator="equal">
      <formula>"NA"</formula>
    </cfRule>
    <cfRule type="cellIs" dxfId="2013" priority="1608" operator="equal">
      <formula>"Yes"</formula>
    </cfRule>
  </conditionalFormatting>
  <conditionalFormatting sqref="D27:D28">
    <cfRule type="cellIs" dxfId="2012" priority="1600" operator="equal">
      <formula>"No"</formula>
    </cfRule>
    <cfRule type="cellIs" dxfId="2011" priority="1601" operator="equal">
      <formula>"NA"</formula>
    </cfRule>
    <cfRule type="cellIs" dxfId="2010" priority="1602" operator="equal">
      <formula>"Yes"</formula>
    </cfRule>
  </conditionalFormatting>
  <conditionalFormatting sqref="C30">
    <cfRule type="cellIs" dxfId="2009" priority="1597" operator="equal">
      <formula>"No"</formula>
    </cfRule>
    <cfRule type="cellIs" dxfId="2008" priority="1598" operator="equal">
      <formula>"NA"</formula>
    </cfRule>
    <cfRule type="cellIs" dxfId="2007" priority="1599" operator="equal">
      <formula>"Yes"</formula>
    </cfRule>
  </conditionalFormatting>
  <conditionalFormatting sqref="D30">
    <cfRule type="cellIs" dxfId="2006" priority="1591" operator="equal">
      <formula>"No"</formula>
    </cfRule>
    <cfRule type="cellIs" dxfId="2005" priority="1592" operator="equal">
      <formula>"NA"</formula>
    </cfRule>
    <cfRule type="cellIs" dxfId="2004" priority="1593" operator="equal">
      <formula>"Yes"</formula>
    </cfRule>
  </conditionalFormatting>
  <conditionalFormatting sqref="C31">
    <cfRule type="cellIs" dxfId="2003" priority="1588" operator="equal">
      <formula>"No"</formula>
    </cfRule>
    <cfRule type="cellIs" dxfId="2002" priority="1589" operator="equal">
      <formula>"NA"</formula>
    </cfRule>
    <cfRule type="cellIs" dxfId="2001" priority="1590" operator="equal">
      <formula>"Yes"</formula>
    </cfRule>
  </conditionalFormatting>
  <conditionalFormatting sqref="D31">
    <cfRule type="cellIs" dxfId="2000" priority="1582" operator="equal">
      <formula>"No"</formula>
    </cfRule>
    <cfRule type="cellIs" dxfId="1999" priority="1583" operator="equal">
      <formula>"NA"</formula>
    </cfRule>
    <cfRule type="cellIs" dxfId="1998" priority="1584" operator="equal">
      <formula>"Yes"</formula>
    </cfRule>
  </conditionalFormatting>
  <conditionalFormatting sqref="G6:K7">
    <cfRule type="cellIs" dxfId="1997" priority="1075" operator="equal">
      <formula>"No"</formula>
    </cfRule>
    <cfRule type="cellIs" dxfId="1996" priority="1076" operator="equal">
      <formula>"NA"</formula>
    </cfRule>
    <cfRule type="cellIs" dxfId="1995" priority="1077" operator="equal">
      <formula>"Yes"</formula>
    </cfRule>
  </conditionalFormatting>
  <conditionalFormatting sqref="G9:K23">
    <cfRule type="cellIs" dxfId="1994" priority="1072" operator="equal">
      <formula>"No"</formula>
    </cfRule>
    <cfRule type="cellIs" dxfId="1993" priority="1073" operator="equal">
      <formula>"NA"</formula>
    </cfRule>
    <cfRule type="cellIs" dxfId="1992" priority="1074" operator="equal">
      <formula>"Yes"</formula>
    </cfRule>
  </conditionalFormatting>
  <conditionalFormatting sqref="G25:K28">
    <cfRule type="cellIs" dxfId="1991" priority="1069" operator="equal">
      <formula>"No"</formula>
    </cfRule>
    <cfRule type="cellIs" dxfId="1990" priority="1070" operator="equal">
      <formula>"NA"</formula>
    </cfRule>
    <cfRule type="cellIs" dxfId="1989" priority="1071" operator="equal">
      <formula>"Yes"</formula>
    </cfRule>
  </conditionalFormatting>
  <conditionalFormatting sqref="G30:K31">
    <cfRule type="cellIs" dxfId="1988" priority="1066" operator="equal">
      <formula>"No"</formula>
    </cfRule>
    <cfRule type="cellIs" dxfId="1987" priority="1067" operator="equal">
      <formula>"NA"</formula>
    </cfRule>
    <cfRule type="cellIs" dxfId="1986" priority="1068" operator="equal">
      <formula>"Yes"</formula>
    </cfRule>
  </conditionalFormatting>
  <conditionalFormatting sqref="G33:K33">
    <cfRule type="cellIs" dxfId="1985" priority="1063" operator="equal">
      <formula>"No"</formula>
    </cfRule>
    <cfRule type="cellIs" dxfId="1984" priority="1064" operator="equal">
      <formula>"NA"</formula>
    </cfRule>
    <cfRule type="cellIs" dxfId="1983" priority="1065" operator="equal">
      <formula>"Yes"</formula>
    </cfRule>
  </conditionalFormatting>
  <conditionalFormatting sqref="L6:L7">
    <cfRule type="cellIs" dxfId="1982" priority="1060" operator="equal">
      <formula>"No"</formula>
    </cfRule>
    <cfRule type="cellIs" dxfId="1981" priority="1061" operator="equal">
      <formula>"NA"</formula>
    </cfRule>
    <cfRule type="cellIs" dxfId="1980" priority="1062" operator="equal">
      <formula>"Yes"</formula>
    </cfRule>
  </conditionalFormatting>
  <conditionalFormatting sqref="L9:L23">
    <cfRule type="cellIs" dxfId="1979" priority="1057" operator="equal">
      <formula>"No"</formula>
    </cfRule>
    <cfRule type="cellIs" dxfId="1978" priority="1058" operator="equal">
      <formula>"NA"</formula>
    </cfRule>
    <cfRule type="cellIs" dxfId="1977" priority="1059" operator="equal">
      <formula>"Yes"</formula>
    </cfRule>
  </conditionalFormatting>
  <conditionalFormatting sqref="L25:L28">
    <cfRule type="cellIs" dxfId="1976" priority="1054" operator="equal">
      <formula>"No"</formula>
    </cfRule>
    <cfRule type="cellIs" dxfId="1975" priority="1055" operator="equal">
      <formula>"NA"</formula>
    </cfRule>
    <cfRule type="cellIs" dxfId="1974" priority="1056" operator="equal">
      <formula>"Yes"</formula>
    </cfRule>
  </conditionalFormatting>
  <conditionalFormatting sqref="L30:L31">
    <cfRule type="cellIs" dxfId="1973" priority="1051" operator="equal">
      <formula>"No"</formula>
    </cfRule>
    <cfRule type="cellIs" dxfId="1972" priority="1052" operator="equal">
      <formula>"NA"</formula>
    </cfRule>
    <cfRule type="cellIs" dxfId="1971" priority="1053" operator="equal">
      <formula>"Yes"</formula>
    </cfRule>
  </conditionalFormatting>
  <conditionalFormatting sqref="L33">
    <cfRule type="cellIs" dxfId="1970" priority="1048" operator="equal">
      <formula>"No"</formula>
    </cfRule>
    <cfRule type="cellIs" dxfId="1969" priority="1049" operator="equal">
      <formula>"NA"</formula>
    </cfRule>
    <cfRule type="cellIs" dxfId="1968" priority="1050" operator="equal">
      <formula>"Yes"</formula>
    </cfRule>
  </conditionalFormatting>
  <conditionalFormatting sqref="M6:M7">
    <cfRule type="cellIs" dxfId="1967" priority="1045" operator="equal">
      <formula>"No"</formula>
    </cfRule>
    <cfRule type="cellIs" dxfId="1966" priority="1046" operator="equal">
      <formula>"NA"</formula>
    </cfRule>
    <cfRule type="cellIs" dxfId="1965" priority="1047" operator="equal">
      <formula>"Yes"</formula>
    </cfRule>
  </conditionalFormatting>
  <conditionalFormatting sqref="M9:M23">
    <cfRule type="cellIs" dxfId="1964" priority="1042" operator="equal">
      <formula>"No"</formula>
    </cfRule>
    <cfRule type="cellIs" dxfId="1963" priority="1043" operator="equal">
      <formula>"NA"</formula>
    </cfRule>
    <cfRule type="cellIs" dxfId="1962" priority="1044" operator="equal">
      <formula>"Yes"</formula>
    </cfRule>
  </conditionalFormatting>
  <conditionalFormatting sqref="M25:M28">
    <cfRule type="cellIs" dxfId="1961" priority="1039" operator="equal">
      <formula>"No"</formula>
    </cfRule>
    <cfRule type="cellIs" dxfId="1960" priority="1040" operator="equal">
      <formula>"NA"</formula>
    </cfRule>
    <cfRule type="cellIs" dxfId="1959" priority="1041" operator="equal">
      <formula>"Yes"</formula>
    </cfRule>
  </conditionalFormatting>
  <conditionalFormatting sqref="M30:M31">
    <cfRule type="cellIs" dxfId="1958" priority="1036" operator="equal">
      <formula>"No"</formula>
    </cfRule>
    <cfRule type="cellIs" dxfId="1957" priority="1037" operator="equal">
      <formula>"NA"</formula>
    </cfRule>
    <cfRule type="cellIs" dxfId="1956" priority="1038" operator="equal">
      <formula>"Yes"</formula>
    </cfRule>
  </conditionalFormatting>
  <conditionalFormatting sqref="M33">
    <cfRule type="cellIs" dxfId="1955" priority="1033" operator="equal">
      <formula>"No"</formula>
    </cfRule>
    <cfRule type="cellIs" dxfId="1954" priority="1034" operator="equal">
      <formula>"NA"</formula>
    </cfRule>
    <cfRule type="cellIs" dxfId="1953" priority="1035" operator="equal">
      <formula>"Yes"</formula>
    </cfRule>
  </conditionalFormatting>
  <conditionalFormatting sqref="N6:N7">
    <cfRule type="cellIs" dxfId="1952" priority="1030" operator="equal">
      <formula>"No"</formula>
    </cfRule>
    <cfRule type="cellIs" dxfId="1951" priority="1031" operator="equal">
      <formula>"NA"</formula>
    </cfRule>
    <cfRule type="cellIs" dxfId="1950" priority="1032" operator="equal">
      <formula>"Yes"</formula>
    </cfRule>
  </conditionalFormatting>
  <conditionalFormatting sqref="N9:N23">
    <cfRule type="cellIs" dxfId="1949" priority="1027" operator="equal">
      <formula>"No"</formula>
    </cfRule>
    <cfRule type="cellIs" dxfId="1948" priority="1028" operator="equal">
      <formula>"NA"</formula>
    </cfRule>
    <cfRule type="cellIs" dxfId="1947" priority="1029" operator="equal">
      <formula>"Yes"</formula>
    </cfRule>
  </conditionalFormatting>
  <conditionalFormatting sqref="N25:N28">
    <cfRule type="cellIs" dxfId="1946" priority="1024" operator="equal">
      <formula>"No"</formula>
    </cfRule>
    <cfRule type="cellIs" dxfId="1945" priority="1025" operator="equal">
      <formula>"NA"</formula>
    </cfRule>
    <cfRule type="cellIs" dxfId="1944" priority="1026" operator="equal">
      <formula>"Yes"</formula>
    </cfRule>
  </conditionalFormatting>
  <conditionalFormatting sqref="N30:N31">
    <cfRule type="cellIs" dxfId="1943" priority="1021" operator="equal">
      <formula>"No"</formula>
    </cfRule>
    <cfRule type="cellIs" dxfId="1942" priority="1022" operator="equal">
      <formula>"NA"</formula>
    </cfRule>
    <cfRule type="cellIs" dxfId="1941" priority="1023" operator="equal">
      <formula>"Yes"</formula>
    </cfRule>
  </conditionalFormatting>
  <conditionalFormatting sqref="N33">
    <cfRule type="cellIs" dxfId="1940" priority="1018" operator="equal">
      <formula>"No"</formula>
    </cfRule>
    <cfRule type="cellIs" dxfId="1939" priority="1019" operator="equal">
      <formula>"NA"</formula>
    </cfRule>
    <cfRule type="cellIs" dxfId="1938" priority="1020" operator="equal">
      <formula>"Yes"</formula>
    </cfRule>
  </conditionalFormatting>
  <conditionalFormatting sqref="O6:O7">
    <cfRule type="cellIs" dxfId="1937" priority="1015" operator="equal">
      <formula>"No"</formula>
    </cfRule>
    <cfRule type="cellIs" dxfId="1936" priority="1016" operator="equal">
      <formula>"NA"</formula>
    </cfRule>
    <cfRule type="cellIs" dxfId="1935" priority="1017" operator="equal">
      <formula>"Yes"</formula>
    </cfRule>
  </conditionalFormatting>
  <conditionalFormatting sqref="O9:O23">
    <cfRule type="cellIs" dxfId="1934" priority="1012" operator="equal">
      <formula>"No"</formula>
    </cfRule>
    <cfRule type="cellIs" dxfId="1933" priority="1013" operator="equal">
      <formula>"NA"</formula>
    </cfRule>
    <cfRule type="cellIs" dxfId="1932" priority="1014" operator="equal">
      <formula>"Yes"</formula>
    </cfRule>
  </conditionalFormatting>
  <conditionalFormatting sqref="O25:O28">
    <cfRule type="cellIs" dxfId="1931" priority="1009" operator="equal">
      <formula>"No"</formula>
    </cfRule>
    <cfRule type="cellIs" dxfId="1930" priority="1010" operator="equal">
      <formula>"NA"</formula>
    </cfRule>
    <cfRule type="cellIs" dxfId="1929" priority="1011" operator="equal">
      <formula>"Yes"</formula>
    </cfRule>
  </conditionalFormatting>
  <conditionalFormatting sqref="O30:O31">
    <cfRule type="cellIs" dxfId="1928" priority="1006" operator="equal">
      <formula>"No"</formula>
    </cfRule>
    <cfRule type="cellIs" dxfId="1927" priority="1007" operator="equal">
      <formula>"NA"</formula>
    </cfRule>
    <cfRule type="cellIs" dxfId="1926" priority="1008" operator="equal">
      <formula>"Yes"</formula>
    </cfRule>
  </conditionalFormatting>
  <conditionalFormatting sqref="O33">
    <cfRule type="cellIs" dxfId="1925" priority="1003" operator="equal">
      <formula>"No"</formula>
    </cfRule>
    <cfRule type="cellIs" dxfId="1924" priority="1004" operator="equal">
      <formula>"NA"</formula>
    </cfRule>
    <cfRule type="cellIs" dxfId="1923" priority="1005" operator="equal">
      <formula>"Yes"</formula>
    </cfRule>
  </conditionalFormatting>
  <conditionalFormatting sqref="P6:P7">
    <cfRule type="cellIs" dxfId="1922" priority="1000" operator="equal">
      <formula>"No"</formula>
    </cfRule>
    <cfRule type="cellIs" dxfId="1921" priority="1001" operator="equal">
      <formula>"NA"</formula>
    </cfRule>
    <cfRule type="cellIs" dxfId="1920" priority="1002" operator="equal">
      <formula>"Yes"</formula>
    </cfRule>
  </conditionalFormatting>
  <conditionalFormatting sqref="P9 P11:P23">
    <cfRule type="cellIs" dxfId="1919" priority="997" operator="equal">
      <formula>"No"</formula>
    </cfRule>
    <cfRule type="cellIs" dxfId="1918" priority="998" operator="equal">
      <formula>"NA"</formula>
    </cfRule>
    <cfRule type="cellIs" dxfId="1917" priority="999" operator="equal">
      <formula>"Yes"</formula>
    </cfRule>
  </conditionalFormatting>
  <conditionalFormatting sqref="P25:P28">
    <cfRule type="cellIs" dxfId="1916" priority="994" operator="equal">
      <formula>"No"</formula>
    </cfRule>
    <cfRule type="cellIs" dxfId="1915" priority="995" operator="equal">
      <formula>"NA"</formula>
    </cfRule>
    <cfRule type="cellIs" dxfId="1914" priority="996" operator="equal">
      <formula>"Yes"</formula>
    </cfRule>
  </conditionalFormatting>
  <conditionalFormatting sqref="P30:P31">
    <cfRule type="cellIs" dxfId="1913" priority="991" operator="equal">
      <formula>"No"</formula>
    </cfRule>
    <cfRule type="cellIs" dxfId="1912" priority="992" operator="equal">
      <formula>"NA"</formula>
    </cfRule>
    <cfRule type="cellIs" dxfId="1911" priority="993" operator="equal">
      <formula>"Yes"</formula>
    </cfRule>
  </conditionalFormatting>
  <conditionalFormatting sqref="P33">
    <cfRule type="cellIs" dxfId="1910" priority="988" operator="equal">
      <formula>"No"</formula>
    </cfRule>
    <cfRule type="cellIs" dxfId="1909" priority="989" operator="equal">
      <formula>"NA"</formula>
    </cfRule>
    <cfRule type="cellIs" dxfId="1908" priority="990" operator="equal">
      <formula>"Yes"</formula>
    </cfRule>
  </conditionalFormatting>
  <conditionalFormatting sqref="P10">
    <cfRule type="cellIs" dxfId="1907" priority="985" operator="equal">
      <formula>"No"</formula>
    </cfRule>
    <cfRule type="cellIs" dxfId="1906" priority="986" operator="equal">
      <formula>"NA"</formula>
    </cfRule>
    <cfRule type="cellIs" dxfId="1905" priority="987" operator="equal">
      <formula>"Yes"</formula>
    </cfRule>
  </conditionalFormatting>
  <conditionalFormatting sqref="Q6:Q7">
    <cfRule type="cellIs" dxfId="1904" priority="982" operator="equal">
      <formula>"No"</formula>
    </cfRule>
    <cfRule type="cellIs" dxfId="1903" priority="983" operator="equal">
      <formula>"NA"</formula>
    </cfRule>
    <cfRule type="cellIs" dxfId="1902" priority="984" operator="equal">
      <formula>"Yes"</formula>
    </cfRule>
  </conditionalFormatting>
  <conditionalFormatting sqref="Q9 Q11:Q16 Q18:Q23">
    <cfRule type="cellIs" dxfId="1901" priority="979" operator="equal">
      <formula>"No"</formula>
    </cfRule>
    <cfRule type="cellIs" dxfId="1900" priority="980" operator="equal">
      <formula>"NA"</formula>
    </cfRule>
    <cfRule type="cellIs" dxfId="1899" priority="981" operator="equal">
      <formula>"Yes"</formula>
    </cfRule>
  </conditionalFormatting>
  <conditionalFormatting sqref="Q25:Q28">
    <cfRule type="cellIs" dxfId="1898" priority="976" operator="equal">
      <formula>"No"</formula>
    </cfRule>
    <cfRule type="cellIs" dxfId="1897" priority="977" operator="equal">
      <formula>"NA"</formula>
    </cfRule>
    <cfRule type="cellIs" dxfId="1896" priority="978" operator="equal">
      <formula>"Yes"</formula>
    </cfRule>
  </conditionalFormatting>
  <conditionalFormatting sqref="Q30:Q31">
    <cfRule type="cellIs" dxfId="1895" priority="973" operator="equal">
      <formula>"No"</formula>
    </cfRule>
    <cfRule type="cellIs" dxfId="1894" priority="974" operator="equal">
      <formula>"NA"</formula>
    </cfRule>
    <cfRule type="cellIs" dxfId="1893" priority="975" operator="equal">
      <formula>"Yes"</formula>
    </cfRule>
  </conditionalFormatting>
  <conditionalFormatting sqref="Q33">
    <cfRule type="cellIs" dxfId="1892" priority="970" operator="equal">
      <formula>"No"</formula>
    </cfRule>
    <cfRule type="cellIs" dxfId="1891" priority="971" operator="equal">
      <formula>"NA"</formula>
    </cfRule>
    <cfRule type="cellIs" dxfId="1890" priority="972" operator="equal">
      <formula>"Yes"</formula>
    </cfRule>
  </conditionalFormatting>
  <conditionalFormatting sqref="R6:R7">
    <cfRule type="cellIs" dxfId="1889" priority="964" operator="equal">
      <formula>"No"</formula>
    </cfRule>
    <cfRule type="cellIs" dxfId="1888" priority="965" operator="equal">
      <formula>"NA"</formula>
    </cfRule>
    <cfRule type="cellIs" dxfId="1887" priority="966" operator="equal">
      <formula>"Yes"</formula>
    </cfRule>
  </conditionalFormatting>
  <conditionalFormatting sqref="R9 R11:R16 R18:R23">
    <cfRule type="cellIs" dxfId="1886" priority="961" operator="equal">
      <formula>"No"</formula>
    </cfRule>
    <cfRule type="cellIs" dxfId="1885" priority="962" operator="equal">
      <formula>"NA"</formula>
    </cfRule>
    <cfRule type="cellIs" dxfId="1884" priority="963" operator="equal">
      <formula>"Yes"</formula>
    </cfRule>
  </conditionalFormatting>
  <conditionalFormatting sqref="R25:R28">
    <cfRule type="cellIs" dxfId="1883" priority="958" operator="equal">
      <formula>"No"</formula>
    </cfRule>
    <cfRule type="cellIs" dxfId="1882" priority="959" operator="equal">
      <formula>"NA"</formula>
    </cfRule>
    <cfRule type="cellIs" dxfId="1881" priority="960" operator="equal">
      <formula>"Yes"</formula>
    </cfRule>
  </conditionalFormatting>
  <conditionalFormatting sqref="R30:R31">
    <cfRule type="cellIs" dxfId="1880" priority="955" operator="equal">
      <formula>"No"</formula>
    </cfRule>
    <cfRule type="cellIs" dxfId="1879" priority="956" operator="equal">
      <formula>"NA"</formula>
    </cfRule>
    <cfRule type="cellIs" dxfId="1878" priority="957" operator="equal">
      <formula>"Yes"</formula>
    </cfRule>
  </conditionalFormatting>
  <conditionalFormatting sqref="R33">
    <cfRule type="cellIs" dxfId="1877" priority="952" operator="equal">
      <formula>"No"</formula>
    </cfRule>
    <cfRule type="cellIs" dxfId="1876" priority="953" operator="equal">
      <formula>"NA"</formula>
    </cfRule>
    <cfRule type="cellIs" dxfId="1875" priority="954" operator="equal">
      <formula>"Yes"</formula>
    </cfRule>
  </conditionalFormatting>
  <conditionalFormatting sqref="Q10">
    <cfRule type="cellIs" dxfId="1874" priority="946" operator="equal">
      <formula>"No"</formula>
    </cfRule>
    <cfRule type="cellIs" dxfId="1873" priority="947" operator="equal">
      <formula>"NA"</formula>
    </cfRule>
    <cfRule type="cellIs" dxfId="1872" priority="948" operator="equal">
      <formula>"Yes"</formula>
    </cfRule>
  </conditionalFormatting>
  <conditionalFormatting sqref="R10">
    <cfRule type="cellIs" dxfId="1871" priority="943" operator="equal">
      <formula>"No"</formula>
    </cfRule>
    <cfRule type="cellIs" dxfId="1870" priority="944" operator="equal">
      <formula>"NA"</formula>
    </cfRule>
    <cfRule type="cellIs" dxfId="1869" priority="945" operator="equal">
      <formula>"Yes"</formula>
    </cfRule>
  </conditionalFormatting>
  <conditionalFormatting sqref="R17">
    <cfRule type="cellIs" dxfId="1868" priority="940" operator="equal">
      <formula>"No"</formula>
    </cfRule>
    <cfRule type="cellIs" dxfId="1867" priority="941" operator="equal">
      <formula>"NA"</formula>
    </cfRule>
    <cfRule type="cellIs" dxfId="1866" priority="942" operator="equal">
      <formula>"Yes"</formula>
    </cfRule>
  </conditionalFormatting>
  <conditionalFormatting sqref="Q17">
    <cfRule type="cellIs" dxfId="1865" priority="937" operator="equal">
      <formula>"No"</formula>
    </cfRule>
    <cfRule type="cellIs" dxfId="1864" priority="938" operator="equal">
      <formula>"NA"</formula>
    </cfRule>
    <cfRule type="cellIs" dxfId="1863" priority="939" operator="equal">
      <formula>"Yes"</formula>
    </cfRule>
  </conditionalFormatting>
  <conditionalFormatting sqref="S6:S7">
    <cfRule type="cellIs" dxfId="1862" priority="934" operator="equal">
      <formula>"No"</formula>
    </cfRule>
    <cfRule type="cellIs" dxfId="1861" priority="935" operator="equal">
      <formula>"NA"</formula>
    </cfRule>
    <cfRule type="cellIs" dxfId="1860" priority="936" operator="equal">
      <formula>"Yes"</formula>
    </cfRule>
  </conditionalFormatting>
  <conditionalFormatting sqref="S9:S23">
    <cfRule type="cellIs" dxfId="1859" priority="931" operator="equal">
      <formula>"No"</formula>
    </cfRule>
    <cfRule type="cellIs" dxfId="1858" priority="932" operator="equal">
      <formula>"NA"</formula>
    </cfRule>
    <cfRule type="cellIs" dxfId="1857" priority="933" operator="equal">
      <formula>"Yes"</formula>
    </cfRule>
  </conditionalFormatting>
  <conditionalFormatting sqref="S25:S28">
    <cfRule type="cellIs" dxfId="1856" priority="928" operator="equal">
      <formula>"No"</formula>
    </cfRule>
    <cfRule type="cellIs" dxfId="1855" priority="929" operator="equal">
      <formula>"NA"</formula>
    </cfRule>
    <cfRule type="cellIs" dxfId="1854" priority="930" operator="equal">
      <formula>"Yes"</formula>
    </cfRule>
  </conditionalFormatting>
  <conditionalFormatting sqref="S30:S31">
    <cfRule type="cellIs" dxfId="1853" priority="925" operator="equal">
      <formula>"No"</formula>
    </cfRule>
    <cfRule type="cellIs" dxfId="1852" priority="926" operator="equal">
      <formula>"NA"</formula>
    </cfRule>
    <cfRule type="cellIs" dxfId="1851" priority="927" operator="equal">
      <formula>"Yes"</formula>
    </cfRule>
  </conditionalFormatting>
  <conditionalFormatting sqref="S33">
    <cfRule type="cellIs" dxfId="1850" priority="922" operator="equal">
      <formula>"No"</formula>
    </cfRule>
    <cfRule type="cellIs" dxfId="1849" priority="923" operator="equal">
      <formula>"NA"</formula>
    </cfRule>
    <cfRule type="cellIs" dxfId="1848" priority="924" operator="equal">
      <formula>"Yes"</formula>
    </cfRule>
  </conditionalFormatting>
  <conditionalFormatting sqref="T6">
    <cfRule type="cellIs" dxfId="1847" priority="898" operator="equal">
      <formula>"No"</formula>
    </cfRule>
    <cfRule type="cellIs" dxfId="1846" priority="899" operator="equal">
      <formula>"NA"</formula>
    </cfRule>
    <cfRule type="cellIs" dxfId="1845" priority="900" operator="equal">
      <formula>"Yes"</formula>
    </cfRule>
  </conditionalFormatting>
  <conditionalFormatting sqref="T7">
    <cfRule type="cellIs" dxfId="1844" priority="895" operator="equal">
      <formula>"No"</formula>
    </cfRule>
    <cfRule type="cellIs" dxfId="1843" priority="896" operator="equal">
      <formula>"NA"</formula>
    </cfRule>
    <cfRule type="cellIs" dxfId="1842" priority="897" operator="equal">
      <formula>"Yes"</formula>
    </cfRule>
  </conditionalFormatting>
  <conditionalFormatting sqref="T9">
    <cfRule type="cellIs" dxfId="1841" priority="892" operator="equal">
      <formula>"No"</formula>
    </cfRule>
    <cfRule type="cellIs" dxfId="1840" priority="893" operator="equal">
      <formula>"NA"</formula>
    </cfRule>
    <cfRule type="cellIs" dxfId="1839" priority="894" operator="equal">
      <formula>"Yes"</formula>
    </cfRule>
  </conditionalFormatting>
  <conditionalFormatting sqref="T10">
    <cfRule type="cellIs" dxfId="1838" priority="889" operator="equal">
      <formula>"No"</formula>
    </cfRule>
    <cfRule type="cellIs" dxfId="1837" priority="890" operator="equal">
      <formula>"NA"</formula>
    </cfRule>
    <cfRule type="cellIs" dxfId="1836" priority="891" operator="equal">
      <formula>"Yes"</formula>
    </cfRule>
  </conditionalFormatting>
  <conditionalFormatting sqref="T11">
    <cfRule type="cellIs" dxfId="1835" priority="886" operator="equal">
      <formula>"No"</formula>
    </cfRule>
    <cfRule type="cellIs" dxfId="1834" priority="887" operator="equal">
      <formula>"NA"</formula>
    </cfRule>
    <cfRule type="cellIs" dxfId="1833" priority="888" operator="equal">
      <formula>"Yes"</formula>
    </cfRule>
  </conditionalFormatting>
  <conditionalFormatting sqref="T12">
    <cfRule type="cellIs" dxfId="1832" priority="883" operator="equal">
      <formula>"No"</formula>
    </cfRule>
    <cfRule type="cellIs" dxfId="1831" priority="884" operator="equal">
      <formula>"NA"</formula>
    </cfRule>
    <cfRule type="cellIs" dxfId="1830" priority="885" operator="equal">
      <formula>"Yes"</formula>
    </cfRule>
  </conditionalFormatting>
  <conditionalFormatting sqref="T13">
    <cfRule type="cellIs" dxfId="1829" priority="880" operator="equal">
      <formula>"No"</formula>
    </cfRule>
    <cfRule type="cellIs" dxfId="1828" priority="881" operator="equal">
      <formula>"NA"</formula>
    </cfRule>
    <cfRule type="cellIs" dxfId="1827" priority="882" operator="equal">
      <formula>"Yes"</formula>
    </cfRule>
  </conditionalFormatting>
  <conditionalFormatting sqref="T14">
    <cfRule type="cellIs" dxfId="1826" priority="877" operator="equal">
      <formula>"No"</formula>
    </cfRule>
    <cfRule type="cellIs" dxfId="1825" priority="878" operator="equal">
      <formula>"NA"</formula>
    </cfRule>
    <cfRule type="cellIs" dxfId="1824" priority="879" operator="equal">
      <formula>"Yes"</formula>
    </cfRule>
  </conditionalFormatting>
  <conditionalFormatting sqref="T15">
    <cfRule type="cellIs" dxfId="1823" priority="874" operator="equal">
      <formula>"No"</formula>
    </cfRule>
    <cfRule type="cellIs" dxfId="1822" priority="875" operator="equal">
      <formula>"NA"</formula>
    </cfRule>
    <cfRule type="cellIs" dxfId="1821" priority="876" operator="equal">
      <formula>"Yes"</formula>
    </cfRule>
  </conditionalFormatting>
  <conditionalFormatting sqref="T16">
    <cfRule type="cellIs" dxfId="1820" priority="871" operator="equal">
      <formula>"No"</formula>
    </cfRule>
    <cfRule type="cellIs" dxfId="1819" priority="872" operator="equal">
      <formula>"NA"</formula>
    </cfRule>
    <cfRule type="cellIs" dxfId="1818" priority="873" operator="equal">
      <formula>"Yes"</formula>
    </cfRule>
  </conditionalFormatting>
  <conditionalFormatting sqref="T18">
    <cfRule type="cellIs" dxfId="1817" priority="865" operator="equal">
      <formula>"No"</formula>
    </cfRule>
    <cfRule type="cellIs" dxfId="1816" priority="866" operator="equal">
      <formula>"NA"</formula>
    </cfRule>
    <cfRule type="cellIs" dxfId="1815" priority="867" operator="equal">
      <formula>"Yes"</formula>
    </cfRule>
  </conditionalFormatting>
  <conditionalFormatting sqref="T19">
    <cfRule type="cellIs" dxfId="1814" priority="862" operator="equal">
      <formula>"No"</formula>
    </cfRule>
    <cfRule type="cellIs" dxfId="1813" priority="863" operator="equal">
      <formula>"NA"</formula>
    </cfRule>
    <cfRule type="cellIs" dxfId="1812" priority="864" operator="equal">
      <formula>"Yes"</formula>
    </cfRule>
  </conditionalFormatting>
  <conditionalFormatting sqref="T20">
    <cfRule type="cellIs" dxfId="1811" priority="859" operator="equal">
      <formula>"No"</formula>
    </cfRule>
    <cfRule type="cellIs" dxfId="1810" priority="860" operator="equal">
      <formula>"NA"</formula>
    </cfRule>
    <cfRule type="cellIs" dxfId="1809" priority="861" operator="equal">
      <formula>"Yes"</formula>
    </cfRule>
  </conditionalFormatting>
  <conditionalFormatting sqref="T21">
    <cfRule type="cellIs" dxfId="1808" priority="856" operator="equal">
      <formula>"No"</formula>
    </cfRule>
    <cfRule type="cellIs" dxfId="1807" priority="857" operator="equal">
      <formula>"NA"</formula>
    </cfRule>
    <cfRule type="cellIs" dxfId="1806" priority="858" operator="equal">
      <formula>"Yes"</formula>
    </cfRule>
  </conditionalFormatting>
  <conditionalFormatting sqref="T22">
    <cfRule type="cellIs" dxfId="1805" priority="853" operator="equal">
      <formula>"No"</formula>
    </cfRule>
    <cfRule type="cellIs" dxfId="1804" priority="854" operator="equal">
      <formula>"NA"</formula>
    </cfRule>
    <cfRule type="cellIs" dxfId="1803" priority="855" operator="equal">
      <formula>"Yes"</formula>
    </cfRule>
  </conditionalFormatting>
  <conditionalFormatting sqref="T23">
    <cfRule type="cellIs" dxfId="1802" priority="850" operator="equal">
      <formula>"No"</formula>
    </cfRule>
    <cfRule type="cellIs" dxfId="1801" priority="851" operator="equal">
      <formula>"NA"</formula>
    </cfRule>
    <cfRule type="cellIs" dxfId="1800" priority="852" operator="equal">
      <formula>"Yes"</formula>
    </cfRule>
  </conditionalFormatting>
  <conditionalFormatting sqref="T26">
    <cfRule type="cellIs" dxfId="1799" priority="844" operator="equal">
      <formula>"No"</formula>
    </cfRule>
    <cfRule type="cellIs" dxfId="1798" priority="845" operator="equal">
      <formula>"NA"</formula>
    </cfRule>
    <cfRule type="cellIs" dxfId="1797" priority="846" operator="equal">
      <formula>"Yes"</formula>
    </cfRule>
  </conditionalFormatting>
  <conditionalFormatting sqref="T27">
    <cfRule type="cellIs" dxfId="1796" priority="841" operator="equal">
      <formula>"No"</formula>
    </cfRule>
    <cfRule type="cellIs" dxfId="1795" priority="842" operator="equal">
      <formula>"NA"</formula>
    </cfRule>
    <cfRule type="cellIs" dxfId="1794" priority="843" operator="equal">
      <formula>"Yes"</formula>
    </cfRule>
  </conditionalFormatting>
  <conditionalFormatting sqref="T28">
    <cfRule type="cellIs" dxfId="1793" priority="838" operator="equal">
      <formula>"No"</formula>
    </cfRule>
    <cfRule type="cellIs" dxfId="1792" priority="839" operator="equal">
      <formula>"NA"</formula>
    </cfRule>
    <cfRule type="cellIs" dxfId="1791" priority="840" operator="equal">
      <formula>"Yes"</formula>
    </cfRule>
  </conditionalFormatting>
  <conditionalFormatting sqref="T30">
    <cfRule type="cellIs" dxfId="1790" priority="835" operator="equal">
      <formula>"No"</formula>
    </cfRule>
    <cfRule type="cellIs" dxfId="1789" priority="836" operator="equal">
      <formula>"NA"</formula>
    </cfRule>
    <cfRule type="cellIs" dxfId="1788" priority="837" operator="equal">
      <formula>"Yes"</formula>
    </cfRule>
  </conditionalFormatting>
  <conditionalFormatting sqref="T31">
    <cfRule type="cellIs" dxfId="1787" priority="832" operator="equal">
      <formula>"No"</formula>
    </cfRule>
    <cfRule type="cellIs" dxfId="1786" priority="833" operator="equal">
      <formula>"NA"</formula>
    </cfRule>
    <cfRule type="cellIs" dxfId="1785" priority="834" operator="equal">
      <formula>"Yes"</formula>
    </cfRule>
  </conditionalFormatting>
  <conditionalFormatting sqref="T33">
    <cfRule type="cellIs" dxfId="1784" priority="829" operator="equal">
      <formula>"No"</formula>
    </cfRule>
    <cfRule type="cellIs" dxfId="1783" priority="830" operator="equal">
      <formula>"NA"</formula>
    </cfRule>
    <cfRule type="cellIs" dxfId="1782" priority="831" operator="equal">
      <formula>"Yes"</formula>
    </cfRule>
  </conditionalFormatting>
  <conditionalFormatting sqref="T17">
    <cfRule type="cellIs" dxfId="1781" priority="826" operator="equal">
      <formula>"No"</formula>
    </cfRule>
    <cfRule type="cellIs" dxfId="1780" priority="827" operator="equal">
      <formula>"NA"</formula>
    </cfRule>
    <cfRule type="cellIs" dxfId="1779" priority="828" operator="equal">
      <formula>"Yes"</formula>
    </cfRule>
  </conditionalFormatting>
  <conditionalFormatting sqref="T25">
    <cfRule type="cellIs" dxfId="1778" priority="823" operator="equal">
      <formula>"No"</formula>
    </cfRule>
    <cfRule type="cellIs" dxfId="1777" priority="824" operator="equal">
      <formula>"NA"</formula>
    </cfRule>
    <cfRule type="cellIs" dxfId="1776" priority="825" operator="equal">
      <formula>"Yes"</formula>
    </cfRule>
  </conditionalFormatting>
  <conditionalFormatting sqref="U9 U12:U14">
    <cfRule type="cellIs" dxfId="1775" priority="817" operator="equal">
      <formula>"No"</formula>
    </cfRule>
    <cfRule type="cellIs" dxfId="1774" priority="818" operator="equal">
      <formula>"NA"</formula>
    </cfRule>
    <cfRule type="cellIs" dxfId="1773" priority="819" operator="equal">
      <formula>"Yes"</formula>
    </cfRule>
  </conditionalFormatting>
  <conditionalFormatting sqref="U10">
    <cfRule type="cellIs" dxfId="1772" priority="805" operator="equal">
      <formula>"No"</formula>
    </cfRule>
    <cfRule type="cellIs" dxfId="1771" priority="806" operator="equal">
      <formula>"NA"</formula>
    </cfRule>
    <cfRule type="cellIs" dxfId="1770" priority="807" operator="equal">
      <formula>"Yes"</formula>
    </cfRule>
  </conditionalFormatting>
  <conditionalFormatting sqref="U6">
    <cfRule type="cellIs" dxfId="1769" priority="799" operator="equal">
      <formula>"No"</formula>
    </cfRule>
    <cfRule type="cellIs" dxfId="1768" priority="800" operator="equal">
      <formula>"NA"</formula>
    </cfRule>
    <cfRule type="cellIs" dxfId="1767" priority="801" operator="equal">
      <formula>"Yes"</formula>
    </cfRule>
  </conditionalFormatting>
  <conditionalFormatting sqref="U7">
    <cfRule type="cellIs" dxfId="1766" priority="796" operator="equal">
      <formula>"No"</formula>
    </cfRule>
    <cfRule type="cellIs" dxfId="1765" priority="797" operator="equal">
      <formula>"NA"</formula>
    </cfRule>
    <cfRule type="cellIs" dxfId="1764" priority="798" operator="equal">
      <formula>"Yes"</formula>
    </cfRule>
  </conditionalFormatting>
  <conditionalFormatting sqref="U11">
    <cfRule type="cellIs" dxfId="1763" priority="793" operator="equal">
      <formula>"No"</formula>
    </cfRule>
    <cfRule type="cellIs" dxfId="1762" priority="794" operator="equal">
      <formula>"NA"</formula>
    </cfRule>
    <cfRule type="cellIs" dxfId="1761" priority="795" operator="equal">
      <formula>"Yes"</formula>
    </cfRule>
  </conditionalFormatting>
  <conditionalFormatting sqref="U15">
    <cfRule type="cellIs" dxfId="1760" priority="790" operator="equal">
      <formula>"No"</formula>
    </cfRule>
    <cfRule type="cellIs" dxfId="1759" priority="791" operator="equal">
      <formula>"NA"</formula>
    </cfRule>
    <cfRule type="cellIs" dxfId="1758" priority="792" operator="equal">
      <formula>"Yes"</formula>
    </cfRule>
  </conditionalFormatting>
  <conditionalFormatting sqref="U16">
    <cfRule type="cellIs" dxfId="1757" priority="787" operator="equal">
      <formula>"No"</formula>
    </cfRule>
    <cfRule type="cellIs" dxfId="1756" priority="788" operator="equal">
      <formula>"NA"</formula>
    </cfRule>
    <cfRule type="cellIs" dxfId="1755" priority="789" operator="equal">
      <formula>"Yes"</formula>
    </cfRule>
  </conditionalFormatting>
  <conditionalFormatting sqref="U17">
    <cfRule type="cellIs" dxfId="1754" priority="784" operator="equal">
      <formula>"No"</formula>
    </cfRule>
    <cfRule type="cellIs" dxfId="1753" priority="785" operator="equal">
      <formula>"NA"</formula>
    </cfRule>
    <cfRule type="cellIs" dxfId="1752" priority="786" operator="equal">
      <formula>"Yes"</formula>
    </cfRule>
  </conditionalFormatting>
  <conditionalFormatting sqref="U18">
    <cfRule type="cellIs" dxfId="1751" priority="781" operator="equal">
      <formula>"No"</formula>
    </cfRule>
    <cfRule type="cellIs" dxfId="1750" priority="782" operator="equal">
      <formula>"NA"</formula>
    </cfRule>
    <cfRule type="cellIs" dxfId="1749" priority="783" operator="equal">
      <formula>"Yes"</formula>
    </cfRule>
  </conditionalFormatting>
  <conditionalFormatting sqref="U19">
    <cfRule type="cellIs" dxfId="1748" priority="778" operator="equal">
      <formula>"No"</formula>
    </cfRule>
    <cfRule type="cellIs" dxfId="1747" priority="779" operator="equal">
      <formula>"NA"</formula>
    </cfRule>
    <cfRule type="cellIs" dxfId="1746" priority="780" operator="equal">
      <formula>"Yes"</formula>
    </cfRule>
  </conditionalFormatting>
  <conditionalFormatting sqref="U20">
    <cfRule type="cellIs" dxfId="1745" priority="775" operator="equal">
      <formula>"No"</formula>
    </cfRule>
    <cfRule type="cellIs" dxfId="1744" priority="776" operator="equal">
      <formula>"NA"</formula>
    </cfRule>
    <cfRule type="cellIs" dxfId="1743" priority="777" operator="equal">
      <formula>"Yes"</formula>
    </cfRule>
  </conditionalFormatting>
  <conditionalFormatting sqref="U21">
    <cfRule type="cellIs" dxfId="1742" priority="772" operator="equal">
      <formula>"No"</formula>
    </cfRule>
    <cfRule type="cellIs" dxfId="1741" priority="773" operator="equal">
      <formula>"NA"</formula>
    </cfRule>
    <cfRule type="cellIs" dxfId="1740" priority="774" operator="equal">
      <formula>"Yes"</formula>
    </cfRule>
  </conditionalFormatting>
  <conditionalFormatting sqref="U22">
    <cfRule type="cellIs" dxfId="1739" priority="769" operator="equal">
      <formula>"No"</formula>
    </cfRule>
    <cfRule type="cellIs" dxfId="1738" priority="770" operator="equal">
      <formula>"NA"</formula>
    </cfRule>
    <cfRule type="cellIs" dxfId="1737" priority="771" operator="equal">
      <formula>"Yes"</formula>
    </cfRule>
  </conditionalFormatting>
  <conditionalFormatting sqref="U23">
    <cfRule type="cellIs" dxfId="1736" priority="766" operator="equal">
      <formula>"No"</formula>
    </cfRule>
    <cfRule type="cellIs" dxfId="1735" priority="767" operator="equal">
      <formula>"NA"</formula>
    </cfRule>
    <cfRule type="cellIs" dxfId="1734" priority="768" operator="equal">
      <formula>"Yes"</formula>
    </cfRule>
  </conditionalFormatting>
  <conditionalFormatting sqref="U25">
    <cfRule type="cellIs" dxfId="1733" priority="763" operator="equal">
      <formula>"No"</formula>
    </cfRule>
    <cfRule type="cellIs" dxfId="1732" priority="764" operator="equal">
      <formula>"NA"</formula>
    </cfRule>
    <cfRule type="cellIs" dxfId="1731" priority="765" operator="equal">
      <formula>"Yes"</formula>
    </cfRule>
  </conditionalFormatting>
  <conditionalFormatting sqref="U26:U28">
    <cfRule type="cellIs" dxfId="1730" priority="760" operator="equal">
      <formula>"No"</formula>
    </cfRule>
    <cfRule type="cellIs" dxfId="1729" priority="761" operator="equal">
      <formula>"NA"</formula>
    </cfRule>
    <cfRule type="cellIs" dxfId="1728" priority="762" operator="equal">
      <formula>"Yes"</formula>
    </cfRule>
  </conditionalFormatting>
  <conditionalFormatting sqref="U30:U31">
    <cfRule type="cellIs" dxfId="1727" priority="757" operator="equal">
      <formula>"No"</formula>
    </cfRule>
    <cfRule type="cellIs" dxfId="1726" priority="758" operator="equal">
      <formula>"NA"</formula>
    </cfRule>
    <cfRule type="cellIs" dxfId="1725" priority="759" operator="equal">
      <formula>"Yes"</formula>
    </cfRule>
  </conditionalFormatting>
  <conditionalFormatting sqref="U33">
    <cfRule type="cellIs" dxfId="1724" priority="754" operator="equal">
      <formula>"No"</formula>
    </cfRule>
    <cfRule type="cellIs" dxfId="1723" priority="755" operator="equal">
      <formula>"NA"</formula>
    </cfRule>
    <cfRule type="cellIs" dxfId="1722" priority="756" operator="equal">
      <formula>"Yes"</formula>
    </cfRule>
  </conditionalFormatting>
  <conditionalFormatting sqref="V6:V7">
    <cfRule type="cellIs" dxfId="1721" priority="751" operator="equal">
      <formula>"No"</formula>
    </cfRule>
    <cfRule type="cellIs" dxfId="1720" priority="752" operator="equal">
      <formula>"NA"</formula>
    </cfRule>
    <cfRule type="cellIs" dxfId="1719" priority="753" operator="equal">
      <formula>"Yes"</formula>
    </cfRule>
  </conditionalFormatting>
  <conditionalFormatting sqref="V9:V23">
    <cfRule type="cellIs" dxfId="1718" priority="748" operator="equal">
      <formula>"No"</formula>
    </cfRule>
    <cfRule type="cellIs" dxfId="1717" priority="749" operator="equal">
      <formula>"NA"</formula>
    </cfRule>
    <cfRule type="cellIs" dxfId="1716" priority="750" operator="equal">
      <formula>"Yes"</formula>
    </cfRule>
  </conditionalFormatting>
  <conditionalFormatting sqref="V25:V28">
    <cfRule type="cellIs" dxfId="1715" priority="745" operator="equal">
      <formula>"No"</formula>
    </cfRule>
    <cfRule type="cellIs" dxfId="1714" priority="746" operator="equal">
      <formula>"NA"</formula>
    </cfRule>
    <cfRule type="cellIs" dxfId="1713" priority="747" operator="equal">
      <formula>"Yes"</formula>
    </cfRule>
  </conditionalFormatting>
  <conditionalFormatting sqref="V30:V31">
    <cfRule type="cellIs" dxfId="1712" priority="742" operator="equal">
      <formula>"No"</formula>
    </cfRule>
    <cfRule type="cellIs" dxfId="1711" priority="743" operator="equal">
      <formula>"NA"</formula>
    </cfRule>
    <cfRule type="cellIs" dxfId="1710" priority="744" operator="equal">
      <formula>"Yes"</formula>
    </cfRule>
  </conditionalFormatting>
  <conditionalFormatting sqref="V33">
    <cfRule type="cellIs" dxfId="1709" priority="739" operator="equal">
      <formula>"No"</formula>
    </cfRule>
    <cfRule type="cellIs" dxfId="1708" priority="740" operator="equal">
      <formula>"NA"</formula>
    </cfRule>
    <cfRule type="cellIs" dxfId="1707" priority="741" operator="equal">
      <formula>"Yes"</formula>
    </cfRule>
  </conditionalFormatting>
  <conditionalFormatting sqref="W6">
    <cfRule type="cellIs" dxfId="1706" priority="736" operator="equal">
      <formula>"No"</formula>
    </cfRule>
    <cfRule type="cellIs" dxfId="1705" priority="737" operator="equal">
      <formula>"NA"</formula>
    </cfRule>
    <cfRule type="cellIs" dxfId="1704" priority="738" operator="equal">
      <formula>"Yes"</formula>
    </cfRule>
  </conditionalFormatting>
  <conditionalFormatting sqref="W7">
    <cfRule type="cellIs" dxfId="1703" priority="733" operator="equal">
      <formula>"No"</formula>
    </cfRule>
    <cfRule type="cellIs" dxfId="1702" priority="734" operator="equal">
      <formula>"NA"</formula>
    </cfRule>
    <cfRule type="cellIs" dxfId="1701" priority="735" operator="equal">
      <formula>"Yes"</formula>
    </cfRule>
  </conditionalFormatting>
  <conditionalFormatting sqref="W9">
    <cfRule type="cellIs" dxfId="1700" priority="730" operator="equal">
      <formula>"No"</formula>
    </cfRule>
    <cfRule type="cellIs" dxfId="1699" priority="731" operator="equal">
      <formula>"NA"</formula>
    </cfRule>
    <cfRule type="cellIs" dxfId="1698" priority="732" operator="equal">
      <formula>"Yes"</formula>
    </cfRule>
  </conditionalFormatting>
  <conditionalFormatting sqref="W10">
    <cfRule type="cellIs" dxfId="1697" priority="727" operator="equal">
      <formula>"No"</formula>
    </cfRule>
    <cfRule type="cellIs" dxfId="1696" priority="728" operator="equal">
      <formula>"NA"</formula>
    </cfRule>
    <cfRule type="cellIs" dxfId="1695" priority="729" operator="equal">
      <formula>"Yes"</formula>
    </cfRule>
  </conditionalFormatting>
  <conditionalFormatting sqref="W11">
    <cfRule type="cellIs" dxfId="1694" priority="724" operator="equal">
      <formula>"No"</formula>
    </cfRule>
    <cfRule type="cellIs" dxfId="1693" priority="725" operator="equal">
      <formula>"NA"</formula>
    </cfRule>
    <cfRule type="cellIs" dxfId="1692" priority="726" operator="equal">
      <formula>"Yes"</formula>
    </cfRule>
  </conditionalFormatting>
  <conditionalFormatting sqref="W12">
    <cfRule type="cellIs" dxfId="1691" priority="721" operator="equal">
      <formula>"No"</formula>
    </cfRule>
    <cfRule type="cellIs" dxfId="1690" priority="722" operator="equal">
      <formula>"NA"</formula>
    </cfRule>
    <cfRule type="cellIs" dxfId="1689" priority="723" operator="equal">
      <formula>"Yes"</formula>
    </cfRule>
  </conditionalFormatting>
  <conditionalFormatting sqref="W13">
    <cfRule type="cellIs" dxfId="1688" priority="718" operator="equal">
      <formula>"No"</formula>
    </cfRule>
    <cfRule type="cellIs" dxfId="1687" priority="719" operator="equal">
      <formula>"NA"</formula>
    </cfRule>
    <cfRule type="cellIs" dxfId="1686" priority="720" operator="equal">
      <formula>"Yes"</formula>
    </cfRule>
  </conditionalFormatting>
  <conditionalFormatting sqref="W14">
    <cfRule type="cellIs" dxfId="1685" priority="715" operator="equal">
      <formula>"No"</formula>
    </cfRule>
    <cfRule type="cellIs" dxfId="1684" priority="716" operator="equal">
      <formula>"NA"</formula>
    </cfRule>
    <cfRule type="cellIs" dxfId="1683" priority="717" operator="equal">
      <formula>"Yes"</formula>
    </cfRule>
  </conditionalFormatting>
  <conditionalFormatting sqref="W15">
    <cfRule type="cellIs" dxfId="1682" priority="712" operator="equal">
      <formula>"No"</formula>
    </cfRule>
    <cfRule type="cellIs" dxfId="1681" priority="713" operator="equal">
      <formula>"NA"</formula>
    </cfRule>
    <cfRule type="cellIs" dxfId="1680" priority="714" operator="equal">
      <formula>"Yes"</formula>
    </cfRule>
  </conditionalFormatting>
  <conditionalFormatting sqref="W16">
    <cfRule type="cellIs" dxfId="1679" priority="709" operator="equal">
      <formula>"No"</formula>
    </cfRule>
    <cfRule type="cellIs" dxfId="1678" priority="710" operator="equal">
      <formula>"NA"</formula>
    </cfRule>
    <cfRule type="cellIs" dxfId="1677" priority="711" operator="equal">
      <formula>"Yes"</formula>
    </cfRule>
  </conditionalFormatting>
  <conditionalFormatting sqref="W18">
    <cfRule type="cellIs" dxfId="1676" priority="706" operator="equal">
      <formula>"No"</formula>
    </cfRule>
    <cfRule type="cellIs" dxfId="1675" priority="707" operator="equal">
      <formula>"NA"</formula>
    </cfRule>
    <cfRule type="cellIs" dxfId="1674" priority="708" operator="equal">
      <formula>"Yes"</formula>
    </cfRule>
  </conditionalFormatting>
  <conditionalFormatting sqref="W19">
    <cfRule type="cellIs" dxfId="1673" priority="703" operator="equal">
      <formula>"No"</formula>
    </cfRule>
    <cfRule type="cellIs" dxfId="1672" priority="704" operator="equal">
      <formula>"NA"</formula>
    </cfRule>
    <cfRule type="cellIs" dxfId="1671" priority="705" operator="equal">
      <formula>"Yes"</formula>
    </cfRule>
  </conditionalFormatting>
  <conditionalFormatting sqref="W20">
    <cfRule type="cellIs" dxfId="1670" priority="700" operator="equal">
      <formula>"No"</formula>
    </cfRule>
    <cfRule type="cellIs" dxfId="1669" priority="701" operator="equal">
      <formula>"NA"</formula>
    </cfRule>
    <cfRule type="cellIs" dxfId="1668" priority="702" operator="equal">
      <formula>"Yes"</formula>
    </cfRule>
  </conditionalFormatting>
  <conditionalFormatting sqref="W21">
    <cfRule type="cellIs" dxfId="1667" priority="697" operator="equal">
      <formula>"No"</formula>
    </cfRule>
    <cfRule type="cellIs" dxfId="1666" priority="698" operator="equal">
      <formula>"NA"</formula>
    </cfRule>
    <cfRule type="cellIs" dxfId="1665" priority="699" operator="equal">
      <formula>"Yes"</formula>
    </cfRule>
  </conditionalFormatting>
  <conditionalFormatting sqref="W22">
    <cfRule type="cellIs" dxfId="1664" priority="694" operator="equal">
      <formula>"No"</formula>
    </cfRule>
    <cfRule type="cellIs" dxfId="1663" priority="695" operator="equal">
      <formula>"NA"</formula>
    </cfRule>
    <cfRule type="cellIs" dxfId="1662" priority="696" operator="equal">
      <formula>"Yes"</formula>
    </cfRule>
  </conditionalFormatting>
  <conditionalFormatting sqref="W23">
    <cfRule type="cellIs" dxfId="1661" priority="691" operator="equal">
      <formula>"No"</formula>
    </cfRule>
    <cfRule type="cellIs" dxfId="1660" priority="692" operator="equal">
      <formula>"NA"</formula>
    </cfRule>
    <cfRule type="cellIs" dxfId="1659" priority="693" operator="equal">
      <formula>"Yes"</formula>
    </cfRule>
  </conditionalFormatting>
  <conditionalFormatting sqref="W26">
    <cfRule type="cellIs" dxfId="1658" priority="688" operator="equal">
      <formula>"No"</formula>
    </cfRule>
    <cfRule type="cellIs" dxfId="1657" priority="689" operator="equal">
      <formula>"NA"</formula>
    </cfRule>
    <cfRule type="cellIs" dxfId="1656" priority="690" operator="equal">
      <formula>"Yes"</formula>
    </cfRule>
  </conditionalFormatting>
  <conditionalFormatting sqref="W27">
    <cfRule type="cellIs" dxfId="1655" priority="685" operator="equal">
      <formula>"No"</formula>
    </cfRule>
    <cfRule type="cellIs" dxfId="1654" priority="686" operator="equal">
      <formula>"NA"</formula>
    </cfRule>
    <cfRule type="cellIs" dxfId="1653" priority="687" operator="equal">
      <formula>"Yes"</formula>
    </cfRule>
  </conditionalFormatting>
  <conditionalFormatting sqref="W28">
    <cfRule type="cellIs" dxfId="1652" priority="682" operator="equal">
      <formula>"No"</formula>
    </cfRule>
    <cfRule type="cellIs" dxfId="1651" priority="683" operator="equal">
      <formula>"NA"</formula>
    </cfRule>
    <cfRule type="cellIs" dxfId="1650" priority="684" operator="equal">
      <formula>"Yes"</formula>
    </cfRule>
  </conditionalFormatting>
  <conditionalFormatting sqref="W30">
    <cfRule type="cellIs" dxfId="1649" priority="679" operator="equal">
      <formula>"No"</formula>
    </cfRule>
    <cfRule type="cellIs" dxfId="1648" priority="680" operator="equal">
      <formula>"NA"</formula>
    </cfRule>
    <cfRule type="cellIs" dxfId="1647" priority="681" operator="equal">
      <formula>"Yes"</formula>
    </cfRule>
  </conditionalFormatting>
  <conditionalFormatting sqref="W31">
    <cfRule type="cellIs" dxfId="1646" priority="676" operator="equal">
      <formula>"No"</formula>
    </cfRule>
    <cfRule type="cellIs" dxfId="1645" priority="677" operator="equal">
      <formula>"NA"</formula>
    </cfRule>
    <cfRule type="cellIs" dxfId="1644" priority="678" operator="equal">
      <formula>"Yes"</formula>
    </cfRule>
  </conditionalFormatting>
  <conditionalFormatting sqref="W33">
    <cfRule type="cellIs" dxfId="1643" priority="673" operator="equal">
      <formula>"No"</formula>
    </cfRule>
    <cfRule type="cellIs" dxfId="1642" priority="674" operator="equal">
      <formula>"NA"</formula>
    </cfRule>
    <cfRule type="cellIs" dxfId="1641" priority="675" operator="equal">
      <formula>"Yes"</formula>
    </cfRule>
  </conditionalFormatting>
  <conditionalFormatting sqref="W17">
    <cfRule type="cellIs" dxfId="1640" priority="670" operator="equal">
      <formula>"No"</formula>
    </cfRule>
    <cfRule type="cellIs" dxfId="1639" priority="671" operator="equal">
      <formula>"NA"</formula>
    </cfRule>
    <cfRule type="cellIs" dxfId="1638" priority="672" operator="equal">
      <formula>"Yes"</formula>
    </cfRule>
  </conditionalFormatting>
  <conditionalFormatting sqref="W25">
    <cfRule type="cellIs" dxfId="1637" priority="667" operator="equal">
      <formula>"No"</formula>
    </cfRule>
    <cfRule type="cellIs" dxfId="1636" priority="668" operator="equal">
      <formula>"NA"</formula>
    </cfRule>
    <cfRule type="cellIs" dxfId="1635" priority="669" operator="equal">
      <formula>"Yes"</formula>
    </cfRule>
  </conditionalFormatting>
  <conditionalFormatting sqref="X6">
    <cfRule type="cellIs" dxfId="1634" priority="664" operator="equal">
      <formula>"No"</formula>
    </cfRule>
    <cfRule type="cellIs" dxfId="1633" priority="665" operator="equal">
      <formula>"NA"</formula>
    </cfRule>
    <cfRule type="cellIs" dxfId="1632" priority="666" operator="equal">
      <formula>"Yes"</formula>
    </cfRule>
  </conditionalFormatting>
  <conditionalFormatting sqref="X7">
    <cfRule type="cellIs" dxfId="1631" priority="661" operator="equal">
      <formula>"No"</formula>
    </cfRule>
    <cfRule type="cellIs" dxfId="1630" priority="662" operator="equal">
      <formula>"NA"</formula>
    </cfRule>
    <cfRule type="cellIs" dxfId="1629" priority="663" operator="equal">
      <formula>"Yes"</formula>
    </cfRule>
  </conditionalFormatting>
  <conditionalFormatting sqref="X9">
    <cfRule type="cellIs" dxfId="1628" priority="658" operator="equal">
      <formula>"No"</formula>
    </cfRule>
    <cfRule type="cellIs" dxfId="1627" priority="659" operator="equal">
      <formula>"NA"</formula>
    </cfRule>
    <cfRule type="cellIs" dxfId="1626" priority="660" operator="equal">
      <formula>"Yes"</formula>
    </cfRule>
  </conditionalFormatting>
  <conditionalFormatting sqref="X14">
    <cfRule type="cellIs" dxfId="1625" priority="655" operator="equal">
      <formula>"No"</formula>
    </cfRule>
    <cfRule type="cellIs" dxfId="1624" priority="656" operator="equal">
      <formula>"NA"</formula>
    </cfRule>
    <cfRule type="cellIs" dxfId="1623" priority="657" operator="equal">
      <formula>"Yes"</formula>
    </cfRule>
  </conditionalFormatting>
  <conditionalFormatting sqref="X15">
    <cfRule type="cellIs" dxfId="1622" priority="652" operator="equal">
      <formula>"No"</formula>
    </cfRule>
    <cfRule type="cellIs" dxfId="1621" priority="653" operator="equal">
      <formula>"NA"</formula>
    </cfRule>
    <cfRule type="cellIs" dxfId="1620" priority="654" operator="equal">
      <formula>"Yes"</formula>
    </cfRule>
  </conditionalFormatting>
  <conditionalFormatting sqref="X25">
    <cfRule type="cellIs" dxfId="1619" priority="649" operator="equal">
      <formula>"No"</formula>
    </cfRule>
    <cfRule type="cellIs" dxfId="1618" priority="650" operator="equal">
      <formula>"NA"</formula>
    </cfRule>
    <cfRule type="cellIs" dxfId="1617" priority="651" operator="equal">
      <formula>"Yes"</formula>
    </cfRule>
  </conditionalFormatting>
  <conditionalFormatting sqref="X33">
    <cfRule type="cellIs" dxfId="1616" priority="646" operator="equal">
      <formula>"No"</formula>
    </cfRule>
    <cfRule type="cellIs" dxfId="1615" priority="647" operator="equal">
      <formula>"NA"</formula>
    </cfRule>
    <cfRule type="cellIs" dxfId="1614" priority="648" operator="equal">
      <formula>"Yes"</formula>
    </cfRule>
  </conditionalFormatting>
  <conditionalFormatting sqref="X10">
    <cfRule type="cellIs" dxfId="1613" priority="643" operator="equal">
      <formula>"No"</formula>
    </cfRule>
    <cfRule type="cellIs" dxfId="1612" priority="644" operator="equal">
      <formula>"NA"</formula>
    </cfRule>
    <cfRule type="cellIs" dxfId="1611" priority="645" operator="equal">
      <formula>"Yes"</formula>
    </cfRule>
  </conditionalFormatting>
  <conditionalFormatting sqref="X11">
    <cfRule type="cellIs" dxfId="1610" priority="640" operator="equal">
      <formula>"No"</formula>
    </cfRule>
    <cfRule type="cellIs" dxfId="1609" priority="641" operator="equal">
      <formula>"NA"</formula>
    </cfRule>
    <cfRule type="cellIs" dxfId="1608" priority="642" operator="equal">
      <formula>"Yes"</formula>
    </cfRule>
  </conditionalFormatting>
  <conditionalFormatting sqref="X12">
    <cfRule type="cellIs" dxfId="1607" priority="637" operator="equal">
      <formula>"No"</formula>
    </cfRule>
    <cfRule type="cellIs" dxfId="1606" priority="638" operator="equal">
      <formula>"NA"</formula>
    </cfRule>
    <cfRule type="cellIs" dxfId="1605" priority="639" operator="equal">
      <formula>"Yes"</formula>
    </cfRule>
  </conditionalFormatting>
  <conditionalFormatting sqref="X13">
    <cfRule type="cellIs" dxfId="1604" priority="634" operator="equal">
      <formula>"No"</formula>
    </cfRule>
    <cfRule type="cellIs" dxfId="1603" priority="635" operator="equal">
      <formula>"NA"</formula>
    </cfRule>
    <cfRule type="cellIs" dxfId="1602" priority="636" operator="equal">
      <formula>"Yes"</formula>
    </cfRule>
  </conditionalFormatting>
  <conditionalFormatting sqref="X16">
    <cfRule type="cellIs" dxfId="1601" priority="631" operator="equal">
      <formula>"No"</formula>
    </cfRule>
    <cfRule type="cellIs" dxfId="1600" priority="632" operator="equal">
      <formula>"NA"</formula>
    </cfRule>
    <cfRule type="cellIs" dxfId="1599" priority="633" operator="equal">
      <formula>"Yes"</formula>
    </cfRule>
  </conditionalFormatting>
  <conditionalFormatting sqref="X17">
    <cfRule type="cellIs" dxfId="1598" priority="628" operator="equal">
      <formula>"No"</formula>
    </cfRule>
    <cfRule type="cellIs" dxfId="1597" priority="629" operator="equal">
      <formula>"NA"</formula>
    </cfRule>
    <cfRule type="cellIs" dxfId="1596" priority="630" operator="equal">
      <formula>"Yes"</formula>
    </cfRule>
  </conditionalFormatting>
  <conditionalFormatting sqref="X18">
    <cfRule type="cellIs" dxfId="1595" priority="625" operator="equal">
      <formula>"No"</formula>
    </cfRule>
    <cfRule type="cellIs" dxfId="1594" priority="626" operator="equal">
      <formula>"NA"</formula>
    </cfRule>
    <cfRule type="cellIs" dxfId="1593" priority="627" operator="equal">
      <formula>"Yes"</formula>
    </cfRule>
  </conditionalFormatting>
  <conditionalFormatting sqref="X19">
    <cfRule type="cellIs" dxfId="1592" priority="622" operator="equal">
      <formula>"No"</formula>
    </cfRule>
    <cfRule type="cellIs" dxfId="1591" priority="623" operator="equal">
      <formula>"NA"</formula>
    </cfRule>
    <cfRule type="cellIs" dxfId="1590" priority="624" operator="equal">
      <formula>"Yes"</formula>
    </cfRule>
  </conditionalFormatting>
  <conditionalFormatting sqref="X20">
    <cfRule type="cellIs" dxfId="1589" priority="619" operator="equal">
      <formula>"No"</formula>
    </cfRule>
    <cfRule type="cellIs" dxfId="1588" priority="620" operator="equal">
      <formula>"NA"</formula>
    </cfRule>
    <cfRule type="cellIs" dxfId="1587" priority="621" operator="equal">
      <formula>"Yes"</formula>
    </cfRule>
  </conditionalFormatting>
  <conditionalFormatting sqref="X21">
    <cfRule type="cellIs" dxfId="1586" priority="616" operator="equal">
      <formula>"No"</formula>
    </cfRule>
    <cfRule type="cellIs" dxfId="1585" priority="617" operator="equal">
      <formula>"NA"</formula>
    </cfRule>
    <cfRule type="cellIs" dxfId="1584" priority="618" operator="equal">
      <formula>"Yes"</formula>
    </cfRule>
  </conditionalFormatting>
  <conditionalFormatting sqref="X22">
    <cfRule type="cellIs" dxfId="1583" priority="613" operator="equal">
      <formula>"No"</formula>
    </cfRule>
    <cfRule type="cellIs" dxfId="1582" priority="614" operator="equal">
      <formula>"NA"</formula>
    </cfRule>
    <cfRule type="cellIs" dxfId="1581" priority="615" operator="equal">
      <formula>"Yes"</formula>
    </cfRule>
  </conditionalFormatting>
  <conditionalFormatting sqref="X23">
    <cfRule type="cellIs" dxfId="1580" priority="610" operator="equal">
      <formula>"No"</formula>
    </cfRule>
    <cfRule type="cellIs" dxfId="1579" priority="611" operator="equal">
      <formula>"NA"</formula>
    </cfRule>
    <cfRule type="cellIs" dxfId="1578" priority="612" operator="equal">
      <formula>"Yes"</formula>
    </cfRule>
  </conditionalFormatting>
  <conditionalFormatting sqref="X26">
    <cfRule type="cellIs" dxfId="1577" priority="607" operator="equal">
      <formula>"No"</formula>
    </cfRule>
    <cfRule type="cellIs" dxfId="1576" priority="608" operator="equal">
      <formula>"NA"</formula>
    </cfRule>
    <cfRule type="cellIs" dxfId="1575" priority="609" operator="equal">
      <formula>"Yes"</formula>
    </cfRule>
  </conditionalFormatting>
  <conditionalFormatting sqref="X27:X28">
    <cfRule type="cellIs" dxfId="1574" priority="604" operator="equal">
      <formula>"No"</formula>
    </cfRule>
    <cfRule type="cellIs" dxfId="1573" priority="605" operator="equal">
      <formula>"NA"</formula>
    </cfRule>
    <cfRule type="cellIs" dxfId="1572" priority="606" operator="equal">
      <formula>"Yes"</formula>
    </cfRule>
  </conditionalFormatting>
  <conditionalFormatting sqref="X30">
    <cfRule type="cellIs" dxfId="1571" priority="601" operator="equal">
      <formula>"No"</formula>
    </cfRule>
    <cfRule type="cellIs" dxfId="1570" priority="602" operator="equal">
      <formula>"NA"</formula>
    </cfRule>
    <cfRule type="cellIs" dxfId="1569" priority="603" operator="equal">
      <formula>"Yes"</formula>
    </cfRule>
  </conditionalFormatting>
  <conditionalFormatting sqref="X31">
    <cfRule type="cellIs" dxfId="1568" priority="598" operator="equal">
      <formula>"No"</formula>
    </cfRule>
    <cfRule type="cellIs" dxfId="1567" priority="599" operator="equal">
      <formula>"NA"</formula>
    </cfRule>
    <cfRule type="cellIs" dxfId="1566" priority="600" operator="equal">
      <formula>"Yes"</formula>
    </cfRule>
  </conditionalFormatting>
  <conditionalFormatting sqref="Y9 Y12:Y14">
    <cfRule type="cellIs" dxfId="1565" priority="595" operator="equal">
      <formula>"No"</formula>
    </cfRule>
    <cfRule type="cellIs" dxfId="1564" priority="596" operator="equal">
      <formula>"NA"</formula>
    </cfRule>
    <cfRule type="cellIs" dxfId="1563" priority="597" operator="equal">
      <formula>"Yes"</formula>
    </cfRule>
  </conditionalFormatting>
  <conditionalFormatting sqref="Y10">
    <cfRule type="cellIs" dxfId="1562" priority="592" operator="equal">
      <formula>"No"</formula>
    </cfRule>
    <cfRule type="cellIs" dxfId="1561" priority="593" operator="equal">
      <formula>"NA"</formula>
    </cfRule>
    <cfRule type="cellIs" dxfId="1560" priority="594" operator="equal">
      <formula>"Yes"</formula>
    </cfRule>
  </conditionalFormatting>
  <conditionalFormatting sqref="Y6">
    <cfRule type="cellIs" dxfId="1559" priority="589" operator="equal">
      <formula>"No"</formula>
    </cfRule>
    <cfRule type="cellIs" dxfId="1558" priority="590" operator="equal">
      <formula>"NA"</formula>
    </cfRule>
    <cfRule type="cellIs" dxfId="1557" priority="591" operator="equal">
      <formula>"Yes"</formula>
    </cfRule>
  </conditionalFormatting>
  <conditionalFormatting sqref="Y7">
    <cfRule type="cellIs" dxfId="1556" priority="586" operator="equal">
      <formula>"No"</formula>
    </cfRule>
    <cfRule type="cellIs" dxfId="1555" priority="587" operator="equal">
      <formula>"NA"</formula>
    </cfRule>
    <cfRule type="cellIs" dxfId="1554" priority="588" operator="equal">
      <formula>"Yes"</formula>
    </cfRule>
  </conditionalFormatting>
  <conditionalFormatting sqref="Y11">
    <cfRule type="cellIs" dxfId="1553" priority="583" operator="equal">
      <formula>"No"</formula>
    </cfRule>
    <cfRule type="cellIs" dxfId="1552" priority="584" operator="equal">
      <formula>"NA"</formula>
    </cfRule>
    <cfRule type="cellIs" dxfId="1551" priority="585" operator="equal">
      <formula>"Yes"</formula>
    </cfRule>
  </conditionalFormatting>
  <conditionalFormatting sqref="Y15">
    <cfRule type="cellIs" dxfId="1550" priority="580" operator="equal">
      <formula>"No"</formula>
    </cfRule>
    <cfRule type="cellIs" dxfId="1549" priority="581" operator="equal">
      <formula>"NA"</formula>
    </cfRule>
    <cfRule type="cellIs" dxfId="1548" priority="582" operator="equal">
      <formula>"Yes"</formula>
    </cfRule>
  </conditionalFormatting>
  <conditionalFormatting sqref="Y16">
    <cfRule type="cellIs" dxfId="1547" priority="577" operator="equal">
      <formula>"No"</formula>
    </cfRule>
    <cfRule type="cellIs" dxfId="1546" priority="578" operator="equal">
      <formula>"NA"</formula>
    </cfRule>
    <cfRule type="cellIs" dxfId="1545" priority="579" operator="equal">
      <formula>"Yes"</formula>
    </cfRule>
  </conditionalFormatting>
  <conditionalFormatting sqref="Y17">
    <cfRule type="cellIs" dxfId="1544" priority="574" operator="equal">
      <formula>"No"</formula>
    </cfRule>
    <cfRule type="cellIs" dxfId="1543" priority="575" operator="equal">
      <formula>"NA"</formula>
    </cfRule>
    <cfRule type="cellIs" dxfId="1542" priority="576" operator="equal">
      <formula>"Yes"</formula>
    </cfRule>
  </conditionalFormatting>
  <conditionalFormatting sqref="Y18">
    <cfRule type="cellIs" dxfId="1541" priority="571" operator="equal">
      <formula>"No"</formula>
    </cfRule>
    <cfRule type="cellIs" dxfId="1540" priority="572" operator="equal">
      <formula>"NA"</formula>
    </cfRule>
    <cfRule type="cellIs" dxfId="1539" priority="573" operator="equal">
      <formula>"Yes"</formula>
    </cfRule>
  </conditionalFormatting>
  <conditionalFormatting sqref="Y19">
    <cfRule type="cellIs" dxfId="1538" priority="568" operator="equal">
      <formula>"No"</formula>
    </cfRule>
    <cfRule type="cellIs" dxfId="1537" priority="569" operator="equal">
      <formula>"NA"</formula>
    </cfRule>
    <cfRule type="cellIs" dxfId="1536" priority="570" operator="equal">
      <formula>"Yes"</formula>
    </cfRule>
  </conditionalFormatting>
  <conditionalFormatting sqref="Y20">
    <cfRule type="cellIs" dxfId="1535" priority="565" operator="equal">
      <formula>"No"</formula>
    </cfRule>
    <cfRule type="cellIs" dxfId="1534" priority="566" operator="equal">
      <formula>"NA"</formula>
    </cfRule>
    <cfRule type="cellIs" dxfId="1533" priority="567" operator="equal">
      <formula>"Yes"</formula>
    </cfRule>
  </conditionalFormatting>
  <conditionalFormatting sqref="Y21">
    <cfRule type="cellIs" dxfId="1532" priority="562" operator="equal">
      <formula>"No"</formula>
    </cfRule>
    <cfRule type="cellIs" dxfId="1531" priority="563" operator="equal">
      <formula>"NA"</formula>
    </cfRule>
    <cfRule type="cellIs" dxfId="1530" priority="564" operator="equal">
      <formula>"Yes"</formula>
    </cfRule>
  </conditionalFormatting>
  <conditionalFormatting sqref="Y22">
    <cfRule type="cellIs" dxfId="1529" priority="559" operator="equal">
      <formula>"No"</formula>
    </cfRule>
    <cfRule type="cellIs" dxfId="1528" priority="560" operator="equal">
      <formula>"NA"</formula>
    </cfRule>
    <cfRule type="cellIs" dxfId="1527" priority="561" operator="equal">
      <formula>"Yes"</formula>
    </cfRule>
  </conditionalFormatting>
  <conditionalFormatting sqref="Y23">
    <cfRule type="cellIs" dxfId="1526" priority="556" operator="equal">
      <formula>"No"</formula>
    </cfRule>
    <cfRule type="cellIs" dxfId="1525" priority="557" operator="equal">
      <formula>"NA"</formula>
    </cfRule>
    <cfRule type="cellIs" dxfId="1524" priority="558" operator="equal">
      <formula>"Yes"</formula>
    </cfRule>
  </conditionalFormatting>
  <conditionalFormatting sqref="Y25">
    <cfRule type="cellIs" dxfId="1523" priority="553" operator="equal">
      <formula>"No"</formula>
    </cfRule>
    <cfRule type="cellIs" dxfId="1522" priority="554" operator="equal">
      <formula>"NA"</formula>
    </cfRule>
    <cfRule type="cellIs" dxfId="1521" priority="555" operator="equal">
      <formula>"Yes"</formula>
    </cfRule>
  </conditionalFormatting>
  <conditionalFormatting sqref="Y26:Y28">
    <cfRule type="cellIs" dxfId="1520" priority="550" operator="equal">
      <formula>"No"</formula>
    </cfRule>
    <cfRule type="cellIs" dxfId="1519" priority="551" operator="equal">
      <formula>"NA"</formula>
    </cfRule>
    <cfRule type="cellIs" dxfId="1518" priority="552" operator="equal">
      <formula>"Yes"</formula>
    </cfRule>
  </conditionalFormatting>
  <conditionalFormatting sqref="Y30:Y31">
    <cfRule type="cellIs" dxfId="1517" priority="547" operator="equal">
      <formula>"No"</formula>
    </cfRule>
    <cfRule type="cellIs" dxfId="1516" priority="548" operator="equal">
      <formula>"NA"</formula>
    </cfRule>
    <cfRule type="cellIs" dxfId="1515" priority="549" operator="equal">
      <formula>"Yes"</formula>
    </cfRule>
  </conditionalFormatting>
  <conditionalFormatting sqref="Y33">
    <cfRule type="cellIs" dxfId="1514" priority="544" operator="equal">
      <formula>"No"</formula>
    </cfRule>
    <cfRule type="cellIs" dxfId="1513" priority="545" operator="equal">
      <formula>"NA"</formula>
    </cfRule>
    <cfRule type="cellIs" dxfId="1512" priority="546" operator="equal">
      <formula>"Yes"</formula>
    </cfRule>
  </conditionalFormatting>
  <conditionalFormatting sqref="Z6:Z7">
    <cfRule type="cellIs" dxfId="1511" priority="541" operator="equal">
      <formula>"No"</formula>
    </cfRule>
    <cfRule type="cellIs" dxfId="1510" priority="542" operator="equal">
      <formula>"NA"</formula>
    </cfRule>
    <cfRule type="cellIs" dxfId="1509" priority="543" operator="equal">
      <formula>"Yes"</formula>
    </cfRule>
  </conditionalFormatting>
  <conditionalFormatting sqref="Z9:Z23">
    <cfRule type="cellIs" dxfId="1508" priority="538" operator="equal">
      <formula>"No"</formula>
    </cfRule>
    <cfRule type="cellIs" dxfId="1507" priority="539" operator="equal">
      <formula>"NA"</formula>
    </cfRule>
    <cfRule type="cellIs" dxfId="1506" priority="540" operator="equal">
      <formula>"Yes"</formula>
    </cfRule>
  </conditionalFormatting>
  <conditionalFormatting sqref="Z25:Z28">
    <cfRule type="cellIs" dxfId="1505" priority="535" operator="equal">
      <formula>"No"</formula>
    </cfRule>
    <cfRule type="cellIs" dxfId="1504" priority="536" operator="equal">
      <formula>"NA"</formula>
    </cfRule>
    <cfRule type="cellIs" dxfId="1503" priority="537" operator="equal">
      <formula>"Yes"</formula>
    </cfRule>
  </conditionalFormatting>
  <conditionalFormatting sqref="Z30:Z31">
    <cfRule type="cellIs" dxfId="1502" priority="532" operator="equal">
      <formula>"No"</formula>
    </cfRule>
    <cfRule type="cellIs" dxfId="1501" priority="533" operator="equal">
      <formula>"NA"</formula>
    </cfRule>
    <cfRule type="cellIs" dxfId="1500" priority="534" operator="equal">
      <formula>"Yes"</formula>
    </cfRule>
  </conditionalFormatting>
  <conditionalFormatting sqref="Z33">
    <cfRule type="cellIs" dxfId="1499" priority="529" operator="equal">
      <formula>"No"</formula>
    </cfRule>
    <cfRule type="cellIs" dxfId="1498" priority="530" operator="equal">
      <formula>"NA"</formula>
    </cfRule>
    <cfRule type="cellIs" dxfId="1497" priority="531" operator="equal">
      <formula>"Yes"</formula>
    </cfRule>
  </conditionalFormatting>
  <conditionalFormatting sqref="AA6">
    <cfRule type="cellIs" dxfId="1496" priority="526" operator="equal">
      <formula>"No"</formula>
    </cfRule>
    <cfRule type="cellIs" dxfId="1495" priority="527" operator="equal">
      <formula>"NA"</formula>
    </cfRule>
    <cfRule type="cellIs" dxfId="1494" priority="528" operator="equal">
      <formula>"Yes"</formula>
    </cfRule>
  </conditionalFormatting>
  <conditionalFormatting sqref="AA7">
    <cfRule type="cellIs" dxfId="1493" priority="523" operator="equal">
      <formula>"No"</formula>
    </cfRule>
    <cfRule type="cellIs" dxfId="1492" priority="524" operator="equal">
      <formula>"NA"</formula>
    </cfRule>
    <cfRule type="cellIs" dxfId="1491" priority="525" operator="equal">
      <formula>"Yes"</formula>
    </cfRule>
  </conditionalFormatting>
  <conditionalFormatting sqref="AA9">
    <cfRule type="cellIs" dxfId="1490" priority="520" operator="equal">
      <formula>"No"</formula>
    </cfRule>
    <cfRule type="cellIs" dxfId="1489" priority="521" operator="equal">
      <formula>"NA"</formula>
    </cfRule>
    <cfRule type="cellIs" dxfId="1488" priority="522" operator="equal">
      <formula>"Yes"</formula>
    </cfRule>
  </conditionalFormatting>
  <conditionalFormatting sqref="AA10">
    <cfRule type="cellIs" dxfId="1487" priority="517" operator="equal">
      <formula>"No"</formula>
    </cfRule>
    <cfRule type="cellIs" dxfId="1486" priority="518" operator="equal">
      <formula>"NA"</formula>
    </cfRule>
    <cfRule type="cellIs" dxfId="1485" priority="519" operator="equal">
      <formula>"Yes"</formula>
    </cfRule>
  </conditionalFormatting>
  <conditionalFormatting sqref="AA11">
    <cfRule type="cellIs" dxfId="1484" priority="514" operator="equal">
      <formula>"No"</formula>
    </cfRule>
    <cfRule type="cellIs" dxfId="1483" priority="515" operator="equal">
      <formula>"NA"</formula>
    </cfRule>
    <cfRule type="cellIs" dxfId="1482" priority="516" operator="equal">
      <formula>"Yes"</formula>
    </cfRule>
  </conditionalFormatting>
  <conditionalFormatting sqref="AA12">
    <cfRule type="cellIs" dxfId="1481" priority="511" operator="equal">
      <formula>"No"</formula>
    </cfRule>
    <cfRule type="cellIs" dxfId="1480" priority="512" operator="equal">
      <formula>"NA"</formula>
    </cfRule>
    <cfRule type="cellIs" dxfId="1479" priority="513" operator="equal">
      <formula>"Yes"</formula>
    </cfRule>
  </conditionalFormatting>
  <conditionalFormatting sqref="AA13">
    <cfRule type="cellIs" dxfId="1478" priority="508" operator="equal">
      <formula>"No"</formula>
    </cfRule>
    <cfRule type="cellIs" dxfId="1477" priority="509" operator="equal">
      <formula>"NA"</formula>
    </cfRule>
    <cfRule type="cellIs" dxfId="1476" priority="510" operator="equal">
      <formula>"Yes"</formula>
    </cfRule>
  </conditionalFormatting>
  <conditionalFormatting sqref="AA14">
    <cfRule type="cellIs" dxfId="1475" priority="505" operator="equal">
      <formula>"No"</formula>
    </cfRule>
    <cfRule type="cellIs" dxfId="1474" priority="506" operator="equal">
      <formula>"NA"</formula>
    </cfRule>
    <cfRule type="cellIs" dxfId="1473" priority="507" operator="equal">
      <formula>"Yes"</formula>
    </cfRule>
  </conditionalFormatting>
  <conditionalFormatting sqref="AA15">
    <cfRule type="cellIs" dxfId="1472" priority="502" operator="equal">
      <formula>"No"</formula>
    </cfRule>
    <cfRule type="cellIs" dxfId="1471" priority="503" operator="equal">
      <formula>"NA"</formula>
    </cfRule>
    <cfRule type="cellIs" dxfId="1470" priority="504" operator="equal">
      <formula>"Yes"</formula>
    </cfRule>
  </conditionalFormatting>
  <conditionalFormatting sqref="AA16">
    <cfRule type="cellIs" dxfId="1469" priority="499" operator="equal">
      <formula>"No"</formula>
    </cfRule>
    <cfRule type="cellIs" dxfId="1468" priority="500" operator="equal">
      <formula>"NA"</formula>
    </cfRule>
    <cfRule type="cellIs" dxfId="1467" priority="501" operator="equal">
      <formula>"Yes"</formula>
    </cfRule>
  </conditionalFormatting>
  <conditionalFormatting sqref="AA18">
    <cfRule type="cellIs" dxfId="1466" priority="496" operator="equal">
      <formula>"No"</formula>
    </cfRule>
    <cfRule type="cellIs" dxfId="1465" priority="497" operator="equal">
      <formula>"NA"</formula>
    </cfRule>
    <cfRule type="cellIs" dxfId="1464" priority="498" operator="equal">
      <formula>"Yes"</formula>
    </cfRule>
  </conditionalFormatting>
  <conditionalFormatting sqref="AA19">
    <cfRule type="cellIs" dxfId="1463" priority="493" operator="equal">
      <formula>"No"</formula>
    </cfRule>
    <cfRule type="cellIs" dxfId="1462" priority="494" operator="equal">
      <formula>"NA"</formula>
    </cfRule>
    <cfRule type="cellIs" dxfId="1461" priority="495" operator="equal">
      <formula>"Yes"</formula>
    </cfRule>
  </conditionalFormatting>
  <conditionalFormatting sqref="AA20">
    <cfRule type="cellIs" dxfId="1460" priority="490" operator="equal">
      <formula>"No"</formula>
    </cfRule>
    <cfRule type="cellIs" dxfId="1459" priority="491" operator="equal">
      <formula>"NA"</formula>
    </cfRule>
    <cfRule type="cellIs" dxfId="1458" priority="492" operator="equal">
      <formula>"Yes"</formula>
    </cfRule>
  </conditionalFormatting>
  <conditionalFormatting sqref="AA21">
    <cfRule type="cellIs" dxfId="1457" priority="487" operator="equal">
      <formula>"No"</formula>
    </cfRule>
    <cfRule type="cellIs" dxfId="1456" priority="488" operator="equal">
      <formula>"NA"</formula>
    </cfRule>
    <cfRule type="cellIs" dxfId="1455" priority="489" operator="equal">
      <formula>"Yes"</formula>
    </cfRule>
  </conditionalFormatting>
  <conditionalFormatting sqref="AA22">
    <cfRule type="cellIs" dxfId="1454" priority="484" operator="equal">
      <formula>"No"</formula>
    </cfRule>
    <cfRule type="cellIs" dxfId="1453" priority="485" operator="equal">
      <formula>"NA"</formula>
    </cfRule>
    <cfRule type="cellIs" dxfId="1452" priority="486" operator="equal">
      <formula>"Yes"</formula>
    </cfRule>
  </conditionalFormatting>
  <conditionalFormatting sqref="AA23">
    <cfRule type="cellIs" dxfId="1451" priority="481" operator="equal">
      <formula>"No"</formula>
    </cfRule>
    <cfRule type="cellIs" dxfId="1450" priority="482" operator="equal">
      <formula>"NA"</formula>
    </cfRule>
    <cfRule type="cellIs" dxfId="1449" priority="483" operator="equal">
      <formula>"Yes"</formula>
    </cfRule>
  </conditionalFormatting>
  <conditionalFormatting sqref="AA26">
    <cfRule type="cellIs" dxfId="1448" priority="478" operator="equal">
      <formula>"No"</formula>
    </cfRule>
    <cfRule type="cellIs" dxfId="1447" priority="479" operator="equal">
      <formula>"NA"</formula>
    </cfRule>
    <cfRule type="cellIs" dxfId="1446" priority="480" operator="equal">
      <formula>"Yes"</formula>
    </cfRule>
  </conditionalFormatting>
  <conditionalFormatting sqref="AA27">
    <cfRule type="cellIs" dxfId="1445" priority="475" operator="equal">
      <formula>"No"</formula>
    </cfRule>
    <cfRule type="cellIs" dxfId="1444" priority="476" operator="equal">
      <formula>"NA"</formula>
    </cfRule>
    <cfRule type="cellIs" dxfId="1443" priority="477" operator="equal">
      <formula>"Yes"</formula>
    </cfRule>
  </conditionalFormatting>
  <conditionalFormatting sqref="AA28">
    <cfRule type="cellIs" dxfId="1442" priority="472" operator="equal">
      <formula>"No"</formula>
    </cfRule>
    <cfRule type="cellIs" dxfId="1441" priority="473" operator="equal">
      <formula>"NA"</formula>
    </cfRule>
    <cfRule type="cellIs" dxfId="1440" priority="474" operator="equal">
      <formula>"Yes"</formula>
    </cfRule>
  </conditionalFormatting>
  <conditionalFormatting sqref="AA30">
    <cfRule type="cellIs" dxfId="1439" priority="469" operator="equal">
      <formula>"No"</formula>
    </cfRule>
    <cfRule type="cellIs" dxfId="1438" priority="470" operator="equal">
      <formula>"NA"</formula>
    </cfRule>
    <cfRule type="cellIs" dxfId="1437" priority="471" operator="equal">
      <formula>"Yes"</formula>
    </cfRule>
  </conditionalFormatting>
  <conditionalFormatting sqref="AA31">
    <cfRule type="cellIs" dxfId="1436" priority="466" operator="equal">
      <formula>"No"</formula>
    </cfRule>
    <cfRule type="cellIs" dxfId="1435" priority="467" operator="equal">
      <formula>"NA"</formula>
    </cfRule>
    <cfRule type="cellIs" dxfId="1434" priority="468" operator="equal">
      <formula>"Yes"</formula>
    </cfRule>
  </conditionalFormatting>
  <conditionalFormatting sqref="AA33">
    <cfRule type="cellIs" dxfId="1433" priority="463" operator="equal">
      <formula>"No"</formula>
    </cfRule>
    <cfRule type="cellIs" dxfId="1432" priority="464" operator="equal">
      <formula>"NA"</formula>
    </cfRule>
    <cfRule type="cellIs" dxfId="1431" priority="465" operator="equal">
      <formula>"Yes"</formula>
    </cfRule>
  </conditionalFormatting>
  <conditionalFormatting sqref="AA17">
    <cfRule type="cellIs" dxfId="1430" priority="460" operator="equal">
      <formula>"No"</formula>
    </cfRule>
    <cfRule type="cellIs" dxfId="1429" priority="461" operator="equal">
      <formula>"NA"</formula>
    </cfRule>
    <cfRule type="cellIs" dxfId="1428" priority="462" operator="equal">
      <formula>"Yes"</formula>
    </cfRule>
  </conditionalFormatting>
  <conditionalFormatting sqref="AA25">
    <cfRule type="cellIs" dxfId="1427" priority="457" operator="equal">
      <formula>"No"</formula>
    </cfRule>
    <cfRule type="cellIs" dxfId="1426" priority="458" operator="equal">
      <formula>"NA"</formula>
    </cfRule>
    <cfRule type="cellIs" dxfId="1425" priority="459" operator="equal">
      <formula>"Yes"</formula>
    </cfRule>
  </conditionalFormatting>
  <conditionalFormatting sqref="AB6">
    <cfRule type="cellIs" dxfId="1424" priority="454" operator="equal">
      <formula>"No"</formula>
    </cfRule>
    <cfRule type="cellIs" dxfId="1423" priority="455" operator="equal">
      <formula>"NA"</formula>
    </cfRule>
    <cfRule type="cellIs" dxfId="1422" priority="456" operator="equal">
      <formula>"Yes"</formula>
    </cfRule>
  </conditionalFormatting>
  <conditionalFormatting sqref="AB7">
    <cfRule type="cellIs" dxfId="1421" priority="451" operator="equal">
      <formula>"No"</formula>
    </cfRule>
    <cfRule type="cellIs" dxfId="1420" priority="452" operator="equal">
      <formula>"NA"</formula>
    </cfRule>
    <cfRule type="cellIs" dxfId="1419" priority="453" operator="equal">
      <formula>"Yes"</formula>
    </cfRule>
  </conditionalFormatting>
  <conditionalFormatting sqref="AB9">
    <cfRule type="cellIs" dxfId="1418" priority="448" operator="equal">
      <formula>"No"</formula>
    </cfRule>
    <cfRule type="cellIs" dxfId="1417" priority="449" operator="equal">
      <formula>"NA"</formula>
    </cfRule>
    <cfRule type="cellIs" dxfId="1416" priority="450" operator="equal">
      <formula>"Yes"</formula>
    </cfRule>
  </conditionalFormatting>
  <conditionalFormatting sqref="AB14">
    <cfRule type="cellIs" dxfId="1415" priority="445" operator="equal">
      <formula>"No"</formula>
    </cfRule>
    <cfRule type="cellIs" dxfId="1414" priority="446" operator="equal">
      <formula>"NA"</formula>
    </cfRule>
    <cfRule type="cellIs" dxfId="1413" priority="447" operator="equal">
      <formula>"Yes"</formula>
    </cfRule>
  </conditionalFormatting>
  <conditionalFormatting sqref="AB15">
    <cfRule type="cellIs" dxfId="1412" priority="442" operator="equal">
      <formula>"No"</formula>
    </cfRule>
    <cfRule type="cellIs" dxfId="1411" priority="443" operator="equal">
      <formula>"NA"</formula>
    </cfRule>
    <cfRule type="cellIs" dxfId="1410" priority="444" operator="equal">
      <formula>"Yes"</formula>
    </cfRule>
  </conditionalFormatting>
  <conditionalFormatting sqref="AB25">
    <cfRule type="cellIs" dxfId="1409" priority="439" operator="equal">
      <formula>"No"</formula>
    </cfRule>
    <cfRule type="cellIs" dxfId="1408" priority="440" operator="equal">
      <formula>"NA"</formula>
    </cfRule>
    <cfRule type="cellIs" dxfId="1407" priority="441" operator="equal">
      <formula>"Yes"</formula>
    </cfRule>
  </conditionalFormatting>
  <conditionalFormatting sqref="AB33">
    <cfRule type="cellIs" dxfId="1406" priority="436" operator="equal">
      <formula>"No"</formula>
    </cfRule>
    <cfRule type="cellIs" dxfId="1405" priority="437" operator="equal">
      <formula>"NA"</formula>
    </cfRule>
    <cfRule type="cellIs" dxfId="1404" priority="438" operator="equal">
      <formula>"Yes"</formula>
    </cfRule>
  </conditionalFormatting>
  <conditionalFormatting sqref="AB10">
    <cfRule type="cellIs" dxfId="1403" priority="433" operator="equal">
      <formula>"No"</formula>
    </cfRule>
    <cfRule type="cellIs" dxfId="1402" priority="434" operator="equal">
      <formula>"NA"</formula>
    </cfRule>
    <cfRule type="cellIs" dxfId="1401" priority="435" operator="equal">
      <formula>"Yes"</formula>
    </cfRule>
  </conditionalFormatting>
  <conditionalFormatting sqref="AB11">
    <cfRule type="cellIs" dxfId="1400" priority="430" operator="equal">
      <formula>"No"</formula>
    </cfRule>
    <cfRule type="cellIs" dxfId="1399" priority="431" operator="equal">
      <formula>"NA"</formula>
    </cfRule>
    <cfRule type="cellIs" dxfId="1398" priority="432" operator="equal">
      <formula>"Yes"</formula>
    </cfRule>
  </conditionalFormatting>
  <conditionalFormatting sqref="AB12">
    <cfRule type="cellIs" dxfId="1397" priority="427" operator="equal">
      <formula>"No"</formula>
    </cfRule>
    <cfRule type="cellIs" dxfId="1396" priority="428" operator="equal">
      <formula>"NA"</formula>
    </cfRule>
    <cfRule type="cellIs" dxfId="1395" priority="429" operator="equal">
      <formula>"Yes"</formula>
    </cfRule>
  </conditionalFormatting>
  <conditionalFormatting sqref="AB13">
    <cfRule type="cellIs" dxfId="1394" priority="424" operator="equal">
      <formula>"No"</formula>
    </cfRule>
    <cfRule type="cellIs" dxfId="1393" priority="425" operator="equal">
      <formula>"NA"</formula>
    </cfRule>
    <cfRule type="cellIs" dxfId="1392" priority="426" operator="equal">
      <formula>"Yes"</formula>
    </cfRule>
  </conditionalFormatting>
  <conditionalFormatting sqref="AB16">
    <cfRule type="cellIs" dxfId="1391" priority="421" operator="equal">
      <formula>"No"</formula>
    </cfRule>
    <cfRule type="cellIs" dxfId="1390" priority="422" operator="equal">
      <formula>"NA"</formula>
    </cfRule>
    <cfRule type="cellIs" dxfId="1389" priority="423" operator="equal">
      <formula>"Yes"</formula>
    </cfRule>
  </conditionalFormatting>
  <conditionalFormatting sqref="AB17">
    <cfRule type="cellIs" dxfId="1388" priority="418" operator="equal">
      <formula>"No"</formula>
    </cfRule>
    <cfRule type="cellIs" dxfId="1387" priority="419" operator="equal">
      <formula>"NA"</formula>
    </cfRule>
    <cfRule type="cellIs" dxfId="1386" priority="420" operator="equal">
      <formula>"Yes"</formula>
    </cfRule>
  </conditionalFormatting>
  <conditionalFormatting sqref="AB18">
    <cfRule type="cellIs" dxfId="1385" priority="415" operator="equal">
      <formula>"No"</formula>
    </cfRule>
    <cfRule type="cellIs" dxfId="1384" priority="416" operator="equal">
      <formula>"NA"</formula>
    </cfRule>
    <cfRule type="cellIs" dxfId="1383" priority="417" operator="equal">
      <formula>"Yes"</formula>
    </cfRule>
  </conditionalFormatting>
  <conditionalFormatting sqref="AB19">
    <cfRule type="cellIs" dxfId="1382" priority="412" operator="equal">
      <formula>"No"</formula>
    </cfRule>
    <cfRule type="cellIs" dxfId="1381" priority="413" operator="equal">
      <formula>"NA"</formula>
    </cfRule>
    <cfRule type="cellIs" dxfId="1380" priority="414" operator="equal">
      <formula>"Yes"</formula>
    </cfRule>
  </conditionalFormatting>
  <conditionalFormatting sqref="AB20">
    <cfRule type="cellIs" dxfId="1379" priority="409" operator="equal">
      <formula>"No"</formula>
    </cfRule>
    <cfRule type="cellIs" dxfId="1378" priority="410" operator="equal">
      <formula>"NA"</formula>
    </cfRule>
    <cfRule type="cellIs" dxfId="1377" priority="411" operator="equal">
      <formula>"Yes"</formula>
    </cfRule>
  </conditionalFormatting>
  <conditionalFormatting sqref="AB21">
    <cfRule type="cellIs" dxfId="1376" priority="406" operator="equal">
      <formula>"No"</formula>
    </cfRule>
    <cfRule type="cellIs" dxfId="1375" priority="407" operator="equal">
      <formula>"NA"</formula>
    </cfRule>
    <cfRule type="cellIs" dxfId="1374" priority="408" operator="equal">
      <formula>"Yes"</formula>
    </cfRule>
  </conditionalFormatting>
  <conditionalFormatting sqref="AB22">
    <cfRule type="cellIs" dxfId="1373" priority="403" operator="equal">
      <formula>"No"</formula>
    </cfRule>
    <cfRule type="cellIs" dxfId="1372" priority="404" operator="equal">
      <formula>"NA"</formula>
    </cfRule>
    <cfRule type="cellIs" dxfId="1371" priority="405" operator="equal">
      <formula>"Yes"</formula>
    </cfRule>
  </conditionalFormatting>
  <conditionalFormatting sqref="AB23">
    <cfRule type="cellIs" dxfId="1370" priority="400" operator="equal">
      <formula>"No"</formula>
    </cfRule>
    <cfRule type="cellIs" dxfId="1369" priority="401" operator="equal">
      <formula>"NA"</formula>
    </cfRule>
    <cfRule type="cellIs" dxfId="1368" priority="402" operator="equal">
      <formula>"Yes"</formula>
    </cfRule>
  </conditionalFormatting>
  <conditionalFormatting sqref="AB26">
    <cfRule type="cellIs" dxfId="1367" priority="397" operator="equal">
      <formula>"No"</formula>
    </cfRule>
    <cfRule type="cellIs" dxfId="1366" priority="398" operator="equal">
      <formula>"NA"</formula>
    </cfRule>
    <cfRule type="cellIs" dxfId="1365" priority="399" operator="equal">
      <formula>"Yes"</formula>
    </cfRule>
  </conditionalFormatting>
  <conditionalFormatting sqref="AB27:AB28">
    <cfRule type="cellIs" dxfId="1364" priority="394" operator="equal">
      <formula>"No"</formula>
    </cfRule>
    <cfRule type="cellIs" dxfId="1363" priority="395" operator="equal">
      <formula>"NA"</formula>
    </cfRule>
    <cfRule type="cellIs" dxfId="1362" priority="396" operator="equal">
      <formula>"Yes"</formula>
    </cfRule>
  </conditionalFormatting>
  <conditionalFormatting sqref="AB30">
    <cfRule type="cellIs" dxfId="1361" priority="391" operator="equal">
      <formula>"No"</formula>
    </cfRule>
    <cfRule type="cellIs" dxfId="1360" priority="392" operator="equal">
      <formula>"NA"</formula>
    </cfRule>
    <cfRule type="cellIs" dxfId="1359" priority="393" operator="equal">
      <formula>"Yes"</formula>
    </cfRule>
  </conditionalFormatting>
  <conditionalFormatting sqref="AB31">
    <cfRule type="cellIs" dxfId="1358" priority="388" operator="equal">
      <formula>"No"</formula>
    </cfRule>
    <cfRule type="cellIs" dxfId="1357" priority="389" operator="equal">
      <formula>"NA"</formula>
    </cfRule>
    <cfRule type="cellIs" dxfId="1356" priority="390" operator="equal">
      <formula>"Yes"</formula>
    </cfRule>
  </conditionalFormatting>
  <conditionalFormatting sqref="AC6">
    <cfRule type="cellIs" dxfId="1355" priority="385" operator="equal">
      <formula>"No"</formula>
    </cfRule>
    <cfRule type="cellIs" dxfId="1354" priority="386" operator="equal">
      <formula>"NA"</formula>
    </cfRule>
    <cfRule type="cellIs" dxfId="1353" priority="387" operator="equal">
      <formula>"Yes"</formula>
    </cfRule>
  </conditionalFormatting>
  <conditionalFormatting sqref="AC7">
    <cfRule type="cellIs" dxfId="1352" priority="382" operator="equal">
      <formula>"No"</formula>
    </cfRule>
    <cfRule type="cellIs" dxfId="1351" priority="383" operator="equal">
      <formula>"NA"</formula>
    </cfRule>
    <cfRule type="cellIs" dxfId="1350" priority="384" operator="equal">
      <formula>"Yes"</formula>
    </cfRule>
  </conditionalFormatting>
  <conditionalFormatting sqref="AC9">
    <cfRule type="cellIs" dxfId="1349" priority="379" operator="equal">
      <formula>"No"</formula>
    </cfRule>
    <cfRule type="cellIs" dxfId="1348" priority="380" operator="equal">
      <formula>"NA"</formula>
    </cfRule>
    <cfRule type="cellIs" dxfId="1347" priority="381" operator="equal">
      <formula>"Yes"</formula>
    </cfRule>
  </conditionalFormatting>
  <conditionalFormatting sqref="AC10">
    <cfRule type="cellIs" dxfId="1346" priority="376" operator="equal">
      <formula>"No"</formula>
    </cfRule>
    <cfRule type="cellIs" dxfId="1345" priority="377" operator="equal">
      <formula>"NA"</formula>
    </cfRule>
    <cfRule type="cellIs" dxfId="1344" priority="378" operator="equal">
      <formula>"Yes"</formula>
    </cfRule>
  </conditionalFormatting>
  <conditionalFormatting sqref="AC25">
    <cfRule type="cellIs" dxfId="1343" priority="373" operator="equal">
      <formula>"No"</formula>
    </cfRule>
    <cfRule type="cellIs" dxfId="1342" priority="374" operator="equal">
      <formula>"NA"</formula>
    </cfRule>
    <cfRule type="cellIs" dxfId="1341" priority="375" operator="equal">
      <formula>"Yes"</formula>
    </cfRule>
  </conditionalFormatting>
  <conditionalFormatting sqref="AC33">
    <cfRule type="cellIs" dxfId="1340" priority="370" operator="equal">
      <formula>"No"</formula>
    </cfRule>
    <cfRule type="cellIs" dxfId="1339" priority="371" operator="equal">
      <formula>"NA"</formula>
    </cfRule>
    <cfRule type="cellIs" dxfId="1338" priority="372" operator="equal">
      <formula>"Yes"</formula>
    </cfRule>
  </conditionalFormatting>
  <conditionalFormatting sqref="AC11">
    <cfRule type="cellIs" dxfId="1337" priority="367" operator="equal">
      <formula>"No"</formula>
    </cfRule>
    <cfRule type="cellIs" dxfId="1336" priority="368" operator="equal">
      <formula>"NA"</formula>
    </cfRule>
    <cfRule type="cellIs" dxfId="1335" priority="369" operator="equal">
      <formula>"Yes"</formula>
    </cfRule>
  </conditionalFormatting>
  <conditionalFormatting sqref="AC12">
    <cfRule type="cellIs" dxfId="1334" priority="364" operator="equal">
      <formula>"No"</formula>
    </cfRule>
    <cfRule type="cellIs" dxfId="1333" priority="365" operator="equal">
      <formula>"NA"</formula>
    </cfRule>
    <cfRule type="cellIs" dxfId="1332" priority="366" operator="equal">
      <formula>"Yes"</formula>
    </cfRule>
  </conditionalFormatting>
  <conditionalFormatting sqref="AC13">
    <cfRule type="cellIs" dxfId="1331" priority="361" operator="equal">
      <formula>"No"</formula>
    </cfRule>
    <cfRule type="cellIs" dxfId="1330" priority="362" operator="equal">
      <formula>"NA"</formula>
    </cfRule>
    <cfRule type="cellIs" dxfId="1329" priority="363" operator="equal">
      <formula>"Yes"</formula>
    </cfRule>
  </conditionalFormatting>
  <conditionalFormatting sqref="AC14">
    <cfRule type="cellIs" dxfId="1328" priority="358" operator="equal">
      <formula>"No"</formula>
    </cfRule>
    <cfRule type="cellIs" dxfId="1327" priority="359" operator="equal">
      <formula>"NA"</formula>
    </cfRule>
    <cfRule type="cellIs" dxfId="1326" priority="360" operator="equal">
      <formula>"Yes"</formula>
    </cfRule>
  </conditionalFormatting>
  <conditionalFormatting sqref="AC15">
    <cfRule type="cellIs" dxfId="1325" priority="355" operator="equal">
      <formula>"No"</formula>
    </cfRule>
    <cfRule type="cellIs" dxfId="1324" priority="356" operator="equal">
      <formula>"NA"</formula>
    </cfRule>
    <cfRule type="cellIs" dxfId="1323" priority="357" operator="equal">
      <formula>"Yes"</formula>
    </cfRule>
  </conditionalFormatting>
  <conditionalFormatting sqref="AC16">
    <cfRule type="cellIs" dxfId="1322" priority="352" operator="equal">
      <formula>"No"</formula>
    </cfRule>
    <cfRule type="cellIs" dxfId="1321" priority="353" operator="equal">
      <formula>"NA"</formula>
    </cfRule>
    <cfRule type="cellIs" dxfId="1320" priority="354" operator="equal">
      <formula>"Yes"</formula>
    </cfRule>
  </conditionalFormatting>
  <conditionalFormatting sqref="AC17">
    <cfRule type="cellIs" dxfId="1319" priority="349" operator="equal">
      <formula>"No"</formula>
    </cfRule>
    <cfRule type="cellIs" dxfId="1318" priority="350" operator="equal">
      <formula>"NA"</formula>
    </cfRule>
    <cfRule type="cellIs" dxfId="1317" priority="351" operator="equal">
      <formula>"Yes"</formula>
    </cfRule>
  </conditionalFormatting>
  <conditionalFormatting sqref="AC18">
    <cfRule type="cellIs" dxfId="1316" priority="346" operator="equal">
      <formula>"No"</formula>
    </cfRule>
    <cfRule type="cellIs" dxfId="1315" priority="347" operator="equal">
      <formula>"NA"</formula>
    </cfRule>
    <cfRule type="cellIs" dxfId="1314" priority="348" operator="equal">
      <formula>"Yes"</formula>
    </cfRule>
  </conditionalFormatting>
  <conditionalFormatting sqref="AC19">
    <cfRule type="cellIs" dxfId="1313" priority="343" operator="equal">
      <formula>"No"</formula>
    </cfRule>
    <cfRule type="cellIs" dxfId="1312" priority="344" operator="equal">
      <formula>"NA"</formula>
    </cfRule>
    <cfRule type="cellIs" dxfId="1311" priority="345" operator="equal">
      <formula>"Yes"</formula>
    </cfRule>
  </conditionalFormatting>
  <conditionalFormatting sqref="AC20">
    <cfRule type="cellIs" dxfId="1310" priority="340" operator="equal">
      <formula>"No"</formula>
    </cfRule>
    <cfRule type="cellIs" dxfId="1309" priority="341" operator="equal">
      <formula>"NA"</formula>
    </cfRule>
    <cfRule type="cellIs" dxfId="1308" priority="342" operator="equal">
      <formula>"Yes"</formula>
    </cfRule>
  </conditionalFormatting>
  <conditionalFormatting sqref="AC21">
    <cfRule type="cellIs" dxfId="1307" priority="337" operator="equal">
      <formula>"No"</formula>
    </cfRule>
    <cfRule type="cellIs" dxfId="1306" priority="338" operator="equal">
      <formula>"NA"</formula>
    </cfRule>
    <cfRule type="cellIs" dxfId="1305" priority="339" operator="equal">
      <formula>"Yes"</formula>
    </cfRule>
  </conditionalFormatting>
  <conditionalFormatting sqref="AC22">
    <cfRule type="cellIs" dxfId="1304" priority="334" operator="equal">
      <formula>"No"</formula>
    </cfRule>
    <cfRule type="cellIs" dxfId="1303" priority="335" operator="equal">
      <formula>"NA"</formula>
    </cfRule>
    <cfRule type="cellIs" dxfId="1302" priority="336" operator="equal">
      <formula>"Yes"</formula>
    </cfRule>
  </conditionalFormatting>
  <conditionalFormatting sqref="AC23">
    <cfRule type="cellIs" dxfId="1301" priority="331" operator="equal">
      <formula>"No"</formula>
    </cfRule>
    <cfRule type="cellIs" dxfId="1300" priority="332" operator="equal">
      <formula>"NA"</formula>
    </cfRule>
    <cfRule type="cellIs" dxfId="1299" priority="333" operator="equal">
      <formula>"Yes"</formula>
    </cfRule>
  </conditionalFormatting>
  <conditionalFormatting sqref="AC26">
    <cfRule type="cellIs" dxfId="1298" priority="328" operator="equal">
      <formula>"No"</formula>
    </cfRule>
    <cfRule type="cellIs" dxfId="1297" priority="329" operator="equal">
      <formula>"NA"</formula>
    </cfRule>
    <cfRule type="cellIs" dxfId="1296" priority="330" operator="equal">
      <formula>"Yes"</formula>
    </cfRule>
  </conditionalFormatting>
  <conditionalFormatting sqref="AC27:AC28">
    <cfRule type="cellIs" dxfId="1295" priority="325" operator="equal">
      <formula>"No"</formula>
    </cfRule>
    <cfRule type="cellIs" dxfId="1294" priority="326" operator="equal">
      <formula>"NA"</formula>
    </cfRule>
    <cfRule type="cellIs" dxfId="1293" priority="327" operator="equal">
      <formula>"Yes"</formula>
    </cfRule>
  </conditionalFormatting>
  <conditionalFormatting sqref="AC30">
    <cfRule type="cellIs" dxfId="1292" priority="322" operator="equal">
      <formula>"No"</formula>
    </cfRule>
    <cfRule type="cellIs" dxfId="1291" priority="323" operator="equal">
      <formula>"NA"</formula>
    </cfRule>
    <cfRule type="cellIs" dxfId="1290" priority="324" operator="equal">
      <formula>"Yes"</formula>
    </cfRule>
  </conditionalFormatting>
  <conditionalFormatting sqref="AC31">
    <cfRule type="cellIs" dxfId="1289" priority="319" operator="equal">
      <formula>"No"</formula>
    </cfRule>
    <cfRule type="cellIs" dxfId="1288" priority="320" operator="equal">
      <formula>"NA"</formula>
    </cfRule>
    <cfRule type="cellIs" dxfId="1287" priority="321" operator="equal">
      <formula>"Yes"</formula>
    </cfRule>
  </conditionalFormatting>
  <conditionalFormatting sqref="AD9 AD12:AD14">
    <cfRule type="cellIs" dxfId="1286" priority="316" operator="equal">
      <formula>"No"</formula>
    </cfRule>
    <cfRule type="cellIs" dxfId="1285" priority="317" operator="equal">
      <formula>"NA"</formula>
    </cfRule>
    <cfRule type="cellIs" dxfId="1284" priority="318" operator="equal">
      <formula>"Yes"</formula>
    </cfRule>
  </conditionalFormatting>
  <conditionalFormatting sqref="AD10">
    <cfRule type="cellIs" dxfId="1283" priority="313" operator="equal">
      <formula>"No"</formula>
    </cfRule>
    <cfRule type="cellIs" dxfId="1282" priority="314" operator="equal">
      <formula>"NA"</formula>
    </cfRule>
    <cfRule type="cellIs" dxfId="1281" priority="315" operator="equal">
      <formula>"Yes"</formula>
    </cfRule>
  </conditionalFormatting>
  <conditionalFormatting sqref="AD6">
    <cfRule type="cellIs" dxfId="1280" priority="310" operator="equal">
      <formula>"No"</formula>
    </cfRule>
    <cfRule type="cellIs" dxfId="1279" priority="311" operator="equal">
      <formula>"NA"</formula>
    </cfRule>
    <cfRule type="cellIs" dxfId="1278" priority="312" operator="equal">
      <formula>"Yes"</formula>
    </cfRule>
  </conditionalFormatting>
  <conditionalFormatting sqref="AD7">
    <cfRule type="cellIs" dxfId="1277" priority="307" operator="equal">
      <formula>"No"</formula>
    </cfRule>
    <cfRule type="cellIs" dxfId="1276" priority="308" operator="equal">
      <formula>"NA"</formula>
    </cfRule>
    <cfRule type="cellIs" dxfId="1275" priority="309" operator="equal">
      <formula>"Yes"</formula>
    </cfRule>
  </conditionalFormatting>
  <conditionalFormatting sqref="AD11">
    <cfRule type="cellIs" dxfId="1274" priority="304" operator="equal">
      <formula>"No"</formula>
    </cfRule>
    <cfRule type="cellIs" dxfId="1273" priority="305" operator="equal">
      <formula>"NA"</formula>
    </cfRule>
    <cfRule type="cellIs" dxfId="1272" priority="306" operator="equal">
      <formula>"Yes"</formula>
    </cfRule>
  </conditionalFormatting>
  <conditionalFormatting sqref="AD15">
    <cfRule type="cellIs" dxfId="1271" priority="301" operator="equal">
      <formula>"No"</formula>
    </cfRule>
    <cfRule type="cellIs" dxfId="1270" priority="302" operator="equal">
      <formula>"NA"</formula>
    </cfRule>
    <cfRule type="cellIs" dxfId="1269" priority="303" operator="equal">
      <formula>"Yes"</formula>
    </cfRule>
  </conditionalFormatting>
  <conditionalFormatting sqref="AD16">
    <cfRule type="cellIs" dxfId="1268" priority="298" operator="equal">
      <formula>"No"</formula>
    </cfRule>
    <cfRule type="cellIs" dxfId="1267" priority="299" operator="equal">
      <formula>"NA"</formula>
    </cfRule>
    <cfRule type="cellIs" dxfId="1266" priority="300" operator="equal">
      <formula>"Yes"</formula>
    </cfRule>
  </conditionalFormatting>
  <conditionalFormatting sqref="AD17">
    <cfRule type="cellIs" dxfId="1265" priority="295" operator="equal">
      <formula>"No"</formula>
    </cfRule>
    <cfRule type="cellIs" dxfId="1264" priority="296" operator="equal">
      <formula>"NA"</formula>
    </cfRule>
    <cfRule type="cellIs" dxfId="1263" priority="297" operator="equal">
      <formula>"Yes"</formula>
    </cfRule>
  </conditionalFormatting>
  <conditionalFormatting sqref="AD18">
    <cfRule type="cellIs" dxfId="1262" priority="292" operator="equal">
      <formula>"No"</formula>
    </cfRule>
    <cfRule type="cellIs" dxfId="1261" priority="293" operator="equal">
      <formula>"NA"</formula>
    </cfRule>
    <cfRule type="cellIs" dxfId="1260" priority="294" operator="equal">
      <formula>"Yes"</formula>
    </cfRule>
  </conditionalFormatting>
  <conditionalFormatting sqref="AD19">
    <cfRule type="cellIs" dxfId="1259" priority="289" operator="equal">
      <formula>"No"</formula>
    </cfRule>
    <cfRule type="cellIs" dxfId="1258" priority="290" operator="equal">
      <formula>"NA"</formula>
    </cfRule>
    <cfRule type="cellIs" dxfId="1257" priority="291" operator="equal">
      <formula>"Yes"</formula>
    </cfRule>
  </conditionalFormatting>
  <conditionalFormatting sqref="AD20">
    <cfRule type="cellIs" dxfId="1256" priority="286" operator="equal">
      <formula>"No"</formula>
    </cfRule>
    <cfRule type="cellIs" dxfId="1255" priority="287" operator="equal">
      <formula>"NA"</formula>
    </cfRule>
    <cfRule type="cellIs" dxfId="1254" priority="288" operator="equal">
      <formula>"Yes"</formula>
    </cfRule>
  </conditionalFormatting>
  <conditionalFormatting sqref="AD21">
    <cfRule type="cellIs" dxfId="1253" priority="283" operator="equal">
      <formula>"No"</formula>
    </cfRule>
    <cfRule type="cellIs" dxfId="1252" priority="284" operator="equal">
      <formula>"NA"</formula>
    </cfRule>
    <cfRule type="cellIs" dxfId="1251" priority="285" operator="equal">
      <formula>"Yes"</formula>
    </cfRule>
  </conditionalFormatting>
  <conditionalFormatting sqref="AD22">
    <cfRule type="cellIs" dxfId="1250" priority="280" operator="equal">
      <formula>"No"</formula>
    </cfRule>
    <cfRule type="cellIs" dxfId="1249" priority="281" operator="equal">
      <formula>"NA"</formula>
    </cfRule>
    <cfRule type="cellIs" dxfId="1248" priority="282" operator="equal">
      <formula>"Yes"</formula>
    </cfRule>
  </conditionalFormatting>
  <conditionalFormatting sqref="AD23">
    <cfRule type="cellIs" dxfId="1247" priority="277" operator="equal">
      <formula>"No"</formula>
    </cfRule>
    <cfRule type="cellIs" dxfId="1246" priority="278" operator="equal">
      <formula>"NA"</formula>
    </cfRule>
    <cfRule type="cellIs" dxfId="1245" priority="279" operator="equal">
      <formula>"Yes"</formula>
    </cfRule>
  </conditionalFormatting>
  <conditionalFormatting sqref="AD25">
    <cfRule type="cellIs" dxfId="1244" priority="274" operator="equal">
      <formula>"No"</formula>
    </cfRule>
    <cfRule type="cellIs" dxfId="1243" priority="275" operator="equal">
      <formula>"NA"</formula>
    </cfRule>
    <cfRule type="cellIs" dxfId="1242" priority="276" operator="equal">
      <formula>"Yes"</formula>
    </cfRule>
  </conditionalFormatting>
  <conditionalFormatting sqref="AD26:AD28">
    <cfRule type="cellIs" dxfId="1241" priority="271" operator="equal">
      <formula>"No"</formula>
    </cfRule>
    <cfRule type="cellIs" dxfId="1240" priority="272" operator="equal">
      <formula>"NA"</formula>
    </cfRule>
    <cfRule type="cellIs" dxfId="1239" priority="273" operator="equal">
      <formula>"Yes"</formula>
    </cfRule>
  </conditionalFormatting>
  <conditionalFormatting sqref="AD30:AD31">
    <cfRule type="cellIs" dxfId="1238" priority="268" operator="equal">
      <formula>"No"</formula>
    </cfRule>
    <cfRule type="cellIs" dxfId="1237" priority="269" operator="equal">
      <formula>"NA"</formula>
    </cfRule>
    <cfRule type="cellIs" dxfId="1236" priority="270" operator="equal">
      <formula>"Yes"</formula>
    </cfRule>
  </conditionalFormatting>
  <conditionalFormatting sqref="AD33">
    <cfRule type="cellIs" dxfId="1235" priority="265" operator="equal">
      <formula>"No"</formula>
    </cfRule>
    <cfRule type="cellIs" dxfId="1234" priority="266" operator="equal">
      <formula>"NA"</formula>
    </cfRule>
    <cfRule type="cellIs" dxfId="1233" priority="267" operator="equal">
      <formula>"Yes"</formula>
    </cfRule>
  </conditionalFormatting>
  <conditionalFormatting sqref="AE6">
    <cfRule type="cellIs" dxfId="1232" priority="262" operator="equal">
      <formula>"No"</formula>
    </cfRule>
    <cfRule type="cellIs" dxfId="1231" priority="263" operator="equal">
      <formula>"NA"</formula>
    </cfRule>
    <cfRule type="cellIs" dxfId="1230" priority="264" operator="equal">
      <formula>"Yes"</formula>
    </cfRule>
  </conditionalFormatting>
  <conditionalFormatting sqref="AE7">
    <cfRule type="cellIs" dxfId="1229" priority="259" operator="equal">
      <formula>"No"</formula>
    </cfRule>
    <cfRule type="cellIs" dxfId="1228" priority="260" operator="equal">
      <formula>"NA"</formula>
    </cfRule>
    <cfRule type="cellIs" dxfId="1227" priority="261" operator="equal">
      <formula>"Yes"</formula>
    </cfRule>
  </conditionalFormatting>
  <conditionalFormatting sqref="AE9">
    <cfRule type="cellIs" dxfId="1226" priority="256" operator="equal">
      <formula>"No"</formula>
    </cfRule>
    <cfRule type="cellIs" dxfId="1225" priority="257" operator="equal">
      <formula>"NA"</formula>
    </cfRule>
    <cfRule type="cellIs" dxfId="1224" priority="258" operator="equal">
      <formula>"Yes"</formula>
    </cfRule>
  </conditionalFormatting>
  <conditionalFormatting sqref="AE10">
    <cfRule type="cellIs" dxfId="1223" priority="253" operator="equal">
      <formula>"No"</formula>
    </cfRule>
    <cfRule type="cellIs" dxfId="1222" priority="254" operator="equal">
      <formula>"NA"</formula>
    </cfRule>
    <cfRule type="cellIs" dxfId="1221" priority="255" operator="equal">
      <formula>"Yes"</formula>
    </cfRule>
  </conditionalFormatting>
  <conditionalFormatting sqref="AE11">
    <cfRule type="cellIs" dxfId="1220" priority="250" operator="equal">
      <formula>"No"</formula>
    </cfRule>
    <cfRule type="cellIs" dxfId="1219" priority="251" operator="equal">
      <formula>"NA"</formula>
    </cfRule>
    <cfRule type="cellIs" dxfId="1218" priority="252" operator="equal">
      <formula>"Yes"</formula>
    </cfRule>
  </conditionalFormatting>
  <conditionalFormatting sqref="AE12">
    <cfRule type="cellIs" dxfId="1217" priority="247" operator="equal">
      <formula>"No"</formula>
    </cfRule>
    <cfRule type="cellIs" dxfId="1216" priority="248" operator="equal">
      <formula>"NA"</formula>
    </cfRule>
    <cfRule type="cellIs" dxfId="1215" priority="249" operator="equal">
      <formula>"Yes"</formula>
    </cfRule>
  </conditionalFormatting>
  <conditionalFormatting sqref="AE13">
    <cfRule type="cellIs" dxfId="1214" priority="244" operator="equal">
      <formula>"No"</formula>
    </cfRule>
    <cfRule type="cellIs" dxfId="1213" priority="245" operator="equal">
      <formula>"NA"</formula>
    </cfRule>
    <cfRule type="cellIs" dxfId="1212" priority="246" operator="equal">
      <formula>"Yes"</formula>
    </cfRule>
  </conditionalFormatting>
  <conditionalFormatting sqref="AE14">
    <cfRule type="cellIs" dxfId="1211" priority="241" operator="equal">
      <formula>"No"</formula>
    </cfRule>
    <cfRule type="cellIs" dxfId="1210" priority="242" operator="equal">
      <formula>"NA"</formula>
    </cfRule>
    <cfRule type="cellIs" dxfId="1209" priority="243" operator="equal">
      <formula>"Yes"</formula>
    </cfRule>
  </conditionalFormatting>
  <conditionalFormatting sqref="AE15">
    <cfRule type="cellIs" dxfId="1208" priority="238" operator="equal">
      <formula>"No"</formula>
    </cfRule>
    <cfRule type="cellIs" dxfId="1207" priority="239" operator="equal">
      <formula>"NA"</formula>
    </cfRule>
    <cfRule type="cellIs" dxfId="1206" priority="240" operator="equal">
      <formula>"Yes"</formula>
    </cfRule>
  </conditionalFormatting>
  <conditionalFormatting sqref="AE16">
    <cfRule type="cellIs" dxfId="1205" priority="235" operator="equal">
      <formula>"No"</formula>
    </cfRule>
    <cfRule type="cellIs" dxfId="1204" priority="236" operator="equal">
      <formula>"NA"</formula>
    </cfRule>
    <cfRule type="cellIs" dxfId="1203" priority="237" operator="equal">
      <formula>"Yes"</formula>
    </cfRule>
  </conditionalFormatting>
  <conditionalFormatting sqref="AE18">
    <cfRule type="cellIs" dxfId="1202" priority="232" operator="equal">
      <formula>"No"</formula>
    </cfRule>
    <cfRule type="cellIs" dxfId="1201" priority="233" operator="equal">
      <formula>"NA"</formula>
    </cfRule>
    <cfRule type="cellIs" dxfId="1200" priority="234" operator="equal">
      <formula>"Yes"</formula>
    </cfRule>
  </conditionalFormatting>
  <conditionalFormatting sqref="AE19">
    <cfRule type="cellIs" dxfId="1199" priority="229" operator="equal">
      <formula>"No"</formula>
    </cfRule>
    <cfRule type="cellIs" dxfId="1198" priority="230" operator="equal">
      <formula>"NA"</formula>
    </cfRule>
    <cfRule type="cellIs" dxfId="1197" priority="231" operator="equal">
      <formula>"Yes"</formula>
    </cfRule>
  </conditionalFormatting>
  <conditionalFormatting sqref="AE20">
    <cfRule type="cellIs" dxfId="1196" priority="226" operator="equal">
      <formula>"No"</formula>
    </cfRule>
    <cfRule type="cellIs" dxfId="1195" priority="227" operator="equal">
      <formula>"NA"</formula>
    </cfRule>
    <cfRule type="cellIs" dxfId="1194" priority="228" operator="equal">
      <formula>"Yes"</formula>
    </cfRule>
  </conditionalFormatting>
  <conditionalFormatting sqref="AE21">
    <cfRule type="cellIs" dxfId="1193" priority="223" operator="equal">
      <formula>"No"</formula>
    </cfRule>
    <cfRule type="cellIs" dxfId="1192" priority="224" operator="equal">
      <formula>"NA"</formula>
    </cfRule>
    <cfRule type="cellIs" dxfId="1191" priority="225" operator="equal">
      <formula>"Yes"</formula>
    </cfRule>
  </conditionalFormatting>
  <conditionalFormatting sqref="AE22">
    <cfRule type="cellIs" dxfId="1190" priority="220" operator="equal">
      <formula>"No"</formula>
    </cfRule>
    <cfRule type="cellIs" dxfId="1189" priority="221" operator="equal">
      <formula>"NA"</formula>
    </cfRule>
    <cfRule type="cellIs" dxfId="1188" priority="222" operator="equal">
      <formula>"Yes"</formula>
    </cfRule>
  </conditionalFormatting>
  <conditionalFormatting sqref="AE23">
    <cfRule type="cellIs" dxfId="1187" priority="217" operator="equal">
      <formula>"No"</formula>
    </cfRule>
    <cfRule type="cellIs" dxfId="1186" priority="218" operator="equal">
      <formula>"NA"</formula>
    </cfRule>
    <cfRule type="cellIs" dxfId="1185" priority="219" operator="equal">
      <formula>"Yes"</formula>
    </cfRule>
  </conditionalFormatting>
  <conditionalFormatting sqref="AE26">
    <cfRule type="cellIs" dxfId="1184" priority="214" operator="equal">
      <formula>"No"</formula>
    </cfRule>
    <cfRule type="cellIs" dxfId="1183" priority="215" operator="equal">
      <formula>"NA"</formula>
    </cfRule>
    <cfRule type="cellIs" dxfId="1182" priority="216" operator="equal">
      <formula>"Yes"</formula>
    </cfRule>
  </conditionalFormatting>
  <conditionalFormatting sqref="AE27">
    <cfRule type="cellIs" dxfId="1181" priority="211" operator="equal">
      <formula>"No"</formula>
    </cfRule>
    <cfRule type="cellIs" dxfId="1180" priority="212" operator="equal">
      <formula>"NA"</formula>
    </cfRule>
    <cfRule type="cellIs" dxfId="1179" priority="213" operator="equal">
      <formula>"Yes"</formula>
    </cfRule>
  </conditionalFormatting>
  <conditionalFormatting sqref="AE28">
    <cfRule type="cellIs" dxfId="1178" priority="208" operator="equal">
      <formula>"No"</formula>
    </cfRule>
    <cfRule type="cellIs" dxfId="1177" priority="209" operator="equal">
      <formula>"NA"</formula>
    </cfRule>
    <cfRule type="cellIs" dxfId="1176" priority="210" operator="equal">
      <formula>"Yes"</formula>
    </cfRule>
  </conditionalFormatting>
  <conditionalFormatting sqref="AE30">
    <cfRule type="cellIs" dxfId="1175" priority="205" operator="equal">
      <formula>"No"</formula>
    </cfRule>
    <cfRule type="cellIs" dxfId="1174" priority="206" operator="equal">
      <formula>"NA"</formula>
    </cfRule>
    <cfRule type="cellIs" dxfId="1173" priority="207" operator="equal">
      <formula>"Yes"</formula>
    </cfRule>
  </conditionalFormatting>
  <conditionalFormatting sqref="AE31">
    <cfRule type="cellIs" dxfId="1172" priority="202" operator="equal">
      <formula>"No"</formula>
    </cfRule>
    <cfRule type="cellIs" dxfId="1171" priority="203" operator="equal">
      <formula>"NA"</formula>
    </cfRule>
    <cfRule type="cellIs" dxfId="1170" priority="204" operator="equal">
      <formula>"Yes"</formula>
    </cfRule>
  </conditionalFormatting>
  <conditionalFormatting sqref="AE33">
    <cfRule type="cellIs" dxfId="1169" priority="199" operator="equal">
      <formula>"No"</formula>
    </cfRule>
    <cfRule type="cellIs" dxfId="1168" priority="200" operator="equal">
      <formula>"NA"</formula>
    </cfRule>
    <cfRule type="cellIs" dxfId="1167" priority="201" operator="equal">
      <formula>"Yes"</formula>
    </cfRule>
  </conditionalFormatting>
  <conditionalFormatting sqref="AE17">
    <cfRule type="cellIs" dxfId="1166" priority="196" operator="equal">
      <formula>"No"</formula>
    </cfRule>
    <cfRule type="cellIs" dxfId="1165" priority="197" operator="equal">
      <formula>"NA"</formula>
    </cfRule>
    <cfRule type="cellIs" dxfId="1164" priority="198" operator="equal">
      <formula>"Yes"</formula>
    </cfRule>
  </conditionalFormatting>
  <conditionalFormatting sqref="AE25">
    <cfRule type="cellIs" dxfId="1163" priority="193" operator="equal">
      <formula>"No"</formula>
    </cfRule>
    <cfRule type="cellIs" dxfId="1162" priority="194" operator="equal">
      <formula>"NA"</formula>
    </cfRule>
    <cfRule type="cellIs" dxfId="1161" priority="195" operator="equal">
      <formula>"Yes"</formula>
    </cfRule>
  </conditionalFormatting>
  <conditionalFormatting sqref="AF6">
    <cfRule type="cellIs" dxfId="1160" priority="190" operator="equal">
      <formula>"No"</formula>
    </cfRule>
    <cfRule type="cellIs" dxfId="1159" priority="191" operator="equal">
      <formula>"NA"</formula>
    </cfRule>
    <cfRule type="cellIs" dxfId="1158" priority="192" operator="equal">
      <formula>"Yes"</formula>
    </cfRule>
  </conditionalFormatting>
  <conditionalFormatting sqref="AF7">
    <cfRule type="cellIs" dxfId="1157" priority="187" operator="equal">
      <formula>"No"</formula>
    </cfRule>
    <cfRule type="cellIs" dxfId="1156" priority="188" operator="equal">
      <formula>"NA"</formula>
    </cfRule>
    <cfRule type="cellIs" dxfId="1155" priority="189" operator="equal">
      <formula>"Yes"</formula>
    </cfRule>
  </conditionalFormatting>
  <conditionalFormatting sqref="AF9">
    <cfRule type="cellIs" dxfId="1154" priority="184" operator="equal">
      <formula>"No"</formula>
    </cfRule>
    <cfRule type="cellIs" dxfId="1153" priority="185" operator="equal">
      <formula>"NA"</formula>
    </cfRule>
    <cfRule type="cellIs" dxfId="1152" priority="186" operator="equal">
      <formula>"Yes"</formula>
    </cfRule>
  </conditionalFormatting>
  <conditionalFormatting sqref="AF14">
    <cfRule type="cellIs" dxfId="1151" priority="181" operator="equal">
      <formula>"No"</formula>
    </cfRule>
    <cfRule type="cellIs" dxfId="1150" priority="182" operator="equal">
      <formula>"NA"</formula>
    </cfRule>
    <cfRule type="cellIs" dxfId="1149" priority="183" operator="equal">
      <formula>"Yes"</formula>
    </cfRule>
  </conditionalFormatting>
  <conditionalFormatting sqref="AF15">
    <cfRule type="cellIs" dxfId="1148" priority="178" operator="equal">
      <formula>"No"</formula>
    </cfRule>
    <cfRule type="cellIs" dxfId="1147" priority="179" operator="equal">
      <formula>"NA"</formula>
    </cfRule>
    <cfRule type="cellIs" dxfId="1146" priority="180" operator="equal">
      <formula>"Yes"</formula>
    </cfRule>
  </conditionalFormatting>
  <conditionalFormatting sqref="AF25">
    <cfRule type="cellIs" dxfId="1145" priority="175" operator="equal">
      <formula>"No"</formula>
    </cfRule>
    <cfRule type="cellIs" dxfId="1144" priority="176" operator="equal">
      <formula>"NA"</formula>
    </cfRule>
    <cfRule type="cellIs" dxfId="1143" priority="177" operator="equal">
      <formula>"Yes"</formula>
    </cfRule>
  </conditionalFormatting>
  <conditionalFormatting sqref="AF33">
    <cfRule type="cellIs" dxfId="1142" priority="172" operator="equal">
      <formula>"No"</formula>
    </cfRule>
    <cfRule type="cellIs" dxfId="1141" priority="173" operator="equal">
      <formula>"NA"</formula>
    </cfRule>
    <cfRule type="cellIs" dxfId="1140" priority="174" operator="equal">
      <formula>"Yes"</formula>
    </cfRule>
  </conditionalFormatting>
  <conditionalFormatting sqref="AF10">
    <cfRule type="cellIs" dxfId="1139" priority="169" operator="equal">
      <formula>"No"</formula>
    </cfRule>
    <cfRule type="cellIs" dxfId="1138" priority="170" operator="equal">
      <formula>"NA"</formula>
    </cfRule>
    <cfRule type="cellIs" dxfId="1137" priority="171" operator="equal">
      <formula>"Yes"</formula>
    </cfRule>
  </conditionalFormatting>
  <conditionalFormatting sqref="AF11">
    <cfRule type="cellIs" dxfId="1136" priority="166" operator="equal">
      <formula>"No"</formula>
    </cfRule>
    <cfRule type="cellIs" dxfId="1135" priority="167" operator="equal">
      <formula>"NA"</formula>
    </cfRule>
    <cfRule type="cellIs" dxfId="1134" priority="168" operator="equal">
      <formula>"Yes"</formula>
    </cfRule>
  </conditionalFormatting>
  <conditionalFormatting sqref="AF12">
    <cfRule type="cellIs" dxfId="1133" priority="163" operator="equal">
      <formula>"No"</formula>
    </cfRule>
    <cfRule type="cellIs" dxfId="1132" priority="164" operator="equal">
      <formula>"NA"</formula>
    </cfRule>
    <cfRule type="cellIs" dxfId="1131" priority="165" operator="equal">
      <formula>"Yes"</formula>
    </cfRule>
  </conditionalFormatting>
  <conditionalFormatting sqref="AF13">
    <cfRule type="cellIs" dxfId="1130" priority="160" operator="equal">
      <formula>"No"</formula>
    </cfRule>
    <cfRule type="cellIs" dxfId="1129" priority="161" operator="equal">
      <formula>"NA"</formula>
    </cfRule>
    <cfRule type="cellIs" dxfId="1128" priority="162" operator="equal">
      <formula>"Yes"</formula>
    </cfRule>
  </conditionalFormatting>
  <conditionalFormatting sqref="AF16">
    <cfRule type="cellIs" dxfId="1127" priority="157" operator="equal">
      <formula>"No"</formula>
    </cfRule>
    <cfRule type="cellIs" dxfId="1126" priority="158" operator="equal">
      <formula>"NA"</formula>
    </cfRule>
    <cfRule type="cellIs" dxfId="1125" priority="159" operator="equal">
      <formula>"Yes"</formula>
    </cfRule>
  </conditionalFormatting>
  <conditionalFormatting sqref="AF17">
    <cfRule type="cellIs" dxfId="1124" priority="154" operator="equal">
      <formula>"No"</formula>
    </cfRule>
    <cfRule type="cellIs" dxfId="1123" priority="155" operator="equal">
      <formula>"NA"</formula>
    </cfRule>
    <cfRule type="cellIs" dxfId="1122" priority="156" operator="equal">
      <formula>"Yes"</formula>
    </cfRule>
  </conditionalFormatting>
  <conditionalFormatting sqref="AF18">
    <cfRule type="cellIs" dxfId="1121" priority="151" operator="equal">
      <formula>"No"</formula>
    </cfRule>
    <cfRule type="cellIs" dxfId="1120" priority="152" operator="equal">
      <formula>"NA"</formula>
    </cfRule>
    <cfRule type="cellIs" dxfId="1119" priority="153" operator="equal">
      <formula>"Yes"</formula>
    </cfRule>
  </conditionalFormatting>
  <conditionalFormatting sqref="AF19">
    <cfRule type="cellIs" dxfId="1118" priority="148" operator="equal">
      <formula>"No"</formula>
    </cfRule>
    <cfRule type="cellIs" dxfId="1117" priority="149" operator="equal">
      <formula>"NA"</formula>
    </cfRule>
    <cfRule type="cellIs" dxfId="1116" priority="150" operator="equal">
      <formula>"Yes"</formula>
    </cfRule>
  </conditionalFormatting>
  <conditionalFormatting sqref="AF20">
    <cfRule type="cellIs" dxfId="1115" priority="145" operator="equal">
      <formula>"No"</formula>
    </cfRule>
    <cfRule type="cellIs" dxfId="1114" priority="146" operator="equal">
      <formula>"NA"</formula>
    </cfRule>
    <cfRule type="cellIs" dxfId="1113" priority="147" operator="equal">
      <formula>"Yes"</formula>
    </cfRule>
  </conditionalFormatting>
  <conditionalFormatting sqref="AF21">
    <cfRule type="cellIs" dxfId="1112" priority="142" operator="equal">
      <formula>"No"</formula>
    </cfRule>
    <cfRule type="cellIs" dxfId="1111" priority="143" operator="equal">
      <formula>"NA"</formula>
    </cfRule>
    <cfRule type="cellIs" dxfId="1110" priority="144" operator="equal">
      <formula>"Yes"</formula>
    </cfRule>
  </conditionalFormatting>
  <conditionalFormatting sqref="AF22">
    <cfRule type="cellIs" dxfId="1109" priority="139" operator="equal">
      <formula>"No"</formula>
    </cfRule>
    <cfRule type="cellIs" dxfId="1108" priority="140" operator="equal">
      <formula>"NA"</formula>
    </cfRule>
    <cfRule type="cellIs" dxfId="1107" priority="141" operator="equal">
      <formula>"Yes"</formula>
    </cfRule>
  </conditionalFormatting>
  <conditionalFormatting sqref="AF23">
    <cfRule type="cellIs" dxfId="1106" priority="136" operator="equal">
      <formula>"No"</formula>
    </cfRule>
    <cfRule type="cellIs" dxfId="1105" priority="137" operator="equal">
      <formula>"NA"</formula>
    </cfRule>
    <cfRule type="cellIs" dxfId="1104" priority="138" operator="equal">
      <formula>"Yes"</formula>
    </cfRule>
  </conditionalFormatting>
  <conditionalFormatting sqref="AF26">
    <cfRule type="cellIs" dxfId="1103" priority="133" operator="equal">
      <formula>"No"</formula>
    </cfRule>
    <cfRule type="cellIs" dxfId="1102" priority="134" operator="equal">
      <formula>"NA"</formula>
    </cfRule>
    <cfRule type="cellIs" dxfId="1101" priority="135" operator="equal">
      <formula>"Yes"</formula>
    </cfRule>
  </conditionalFormatting>
  <conditionalFormatting sqref="AF27:AF28">
    <cfRule type="cellIs" dxfId="1100" priority="130" operator="equal">
      <formula>"No"</formula>
    </cfRule>
    <cfRule type="cellIs" dxfId="1099" priority="131" operator="equal">
      <formula>"NA"</formula>
    </cfRule>
    <cfRule type="cellIs" dxfId="1098" priority="132" operator="equal">
      <formula>"Yes"</formula>
    </cfRule>
  </conditionalFormatting>
  <conditionalFormatting sqref="AF30">
    <cfRule type="cellIs" dxfId="1097" priority="127" operator="equal">
      <formula>"No"</formula>
    </cfRule>
    <cfRule type="cellIs" dxfId="1096" priority="128" operator="equal">
      <formula>"NA"</formula>
    </cfRule>
    <cfRule type="cellIs" dxfId="1095" priority="129" operator="equal">
      <formula>"Yes"</formula>
    </cfRule>
  </conditionalFormatting>
  <conditionalFormatting sqref="AF31">
    <cfRule type="cellIs" dxfId="1094" priority="124" operator="equal">
      <formula>"No"</formula>
    </cfRule>
    <cfRule type="cellIs" dxfId="1093" priority="125" operator="equal">
      <formula>"NA"</formula>
    </cfRule>
    <cfRule type="cellIs" dxfId="1092" priority="126" operator="equal">
      <formula>"Yes"</formula>
    </cfRule>
  </conditionalFormatting>
  <conditionalFormatting sqref="AG6">
    <cfRule type="cellIs" dxfId="1091" priority="121" operator="equal">
      <formula>"No"</formula>
    </cfRule>
    <cfRule type="cellIs" dxfId="1090" priority="122" operator="equal">
      <formula>"NA"</formula>
    </cfRule>
    <cfRule type="cellIs" dxfId="1089" priority="123" operator="equal">
      <formula>"Yes"</formula>
    </cfRule>
  </conditionalFormatting>
  <conditionalFormatting sqref="AG7">
    <cfRule type="cellIs" dxfId="1088" priority="118" operator="equal">
      <formula>"No"</formula>
    </cfRule>
    <cfRule type="cellIs" dxfId="1087" priority="119" operator="equal">
      <formula>"NA"</formula>
    </cfRule>
    <cfRule type="cellIs" dxfId="1086" priority="120" operator="equal">
      <formula>"Yes"</formula>
    </cfRule>
  </conditionalFormatting>
  <conditionalFormatting sqref="AG9">
    <cfRule type="cellIs" dxfId="1085" priority="115" operator="equal">
      <formula>"No"</formula>
    </cfRule>
    <cfRule type="cellIs" dxfId="1084" priority="116" operator="equal">
      <formula>"NA"</formula>
    </cfRule>
    <cfRule type="cellIs" dxfId="1083" priority="117" operator="equal">
      <formula>"Yes"</formula>
    </cfRule>
  </conditionalFormatting>
  <conditionalFormatting sqref="AG10">
    <cfRule type="cellIs" dxfId="1082" priority="112" operator="equal">
      <formula>"No"</formula>
    </cfRule>
    <cfRule type="cellIs" dxfId="1081" priority="113" operator="equal">
      <formula>"NA"</formula>
    </cfRule>
    <cfRule type="cellIs" dxfId="1080" priority="114" operator="equal">
      <formula>"Yes"</formula>
    </cfRule>
  </conditionalFormatting>
  <conditionalFormatting sqref="AG25">
    <cfRule type="cellIs" dxfId="1079" priority="109" operator="equal">
      <formula>"No"</formula>
    </cfRule>
    <cfRule type="cellIs" dxfId="1078" priority="110" operator="equal">
      <formula>"NA"</formula>
    </cfRule>
    <cfRule type="cellIs" dxfId="1077" priority="111" operator="equal">
      <formula>"Yes"</formula>
    </cfRule>
  </conditionalFormatting>
  <conditionalFormatting sqref="AG33">
    <cfRule type="cellIs" dxfId="1076" priority="106" operator="equal">
      <formula>"No"</formula>
    </cfRule>
    <cfRule type="cellIs" dxfId="1075" priority="107" operator="equal">
      <formula>"NA"</formula>
    </cfRule>
    <cfRule type="cellIs" dxfId="1074" priority="108" operator="equal">
      <formula>"Yes"</formula>
    </cfRule>
  </conditionalFormatting>
  <conditionalFormatting sqref="AG11">
    <cfRule type="cellIs" dxfId="1073" priority="103" operator="equal">
      <formula>"No"</formula>
    </cfRule>
    <cfRule type="cellIs" dxfId="1072" priority="104" operator="equal">
      <formula>"NA"</formula>
    </cfRule>
    <cfRule type="cellIs" dxfId="1071" priority="105" operator="equal">
      <formula>"Yes"</formula>
    </cfRule>
  </conditionalFormatting>
  <conditionalFormatting sqref="AG12">
    <cfRule type="cellIs" dxfId="1070" priority="100" operator="equal">
      <formula>"No"</formula>
    </cfRule>
    <cfRule type="cellIs" dxfId="1069" priority="101" operator="equal">
      <formula>"NA"</formula>
    </cfRule>
    <cfRule type="cellIs" dxfId="1068" priority="102" operator="equal">
      <formula>"Yes"</formula>
    </cfRule>
  </conditionalFormatting>
  <conditionalFormatting sqref="AG13">
    <cfRule type="cellIs" dxfId="1067" priority="97" operator="equal">
      <formula>"No"</formula>
    </cfRule>
    <cfRule type="cellIs" dxfId="1066" priority="98" operator="equal">
      <formula>"NA"</formula>
    </cfRule>
    <cfRule type="cellIs" dxfId="1065" priority="99" operator="equal">
      <formula>"Yes"</formula>
    </cfRule>
  </conditionalFormatting>
  <conditionalFormatting sqref="AG14">
    <cfRule type="cellIs" dxfId="1064" priority="94" operator="equal">
      <formula>"No"</formula>
    </cfRule>
    <cfRule type="cellIs" dxfId="1063" priority="95" operator="equal">
      <formula>"NA"</formula>
    </cfRule>
    <cfRule type="cellIs" dxfId="1062" priority="96" operator="equal">
      <formula>"Yes"</formula>
    </cfRule>
  </conditionalFormatting>
  <conditionalFormatting sqref="AG15">
    <cfRule type="cellIs" dxfId="1061" priority="91" operator="equal">
      <formula>"No"</formula>
    </cfRule>
    <cfRule type="cellIs" dxfId="1060" priority="92" operator="equal">
      <formula>"NA"</formula>
    </cfRule>
    <cfRule type="cellIs" dxfId="1059" priority="93" operator="equal">
      <formula>"Yes"</formula>
    </cfRule>
  </conditionalFormatting>
  <conditionalFormatting sqref="AG16">
    <cfRule type="cellIs" dxfId="1058" priority="88" operator="equal">
      <formula>"No"</formula>
    </cfRule>
    <cfRule type="cellIs" dxfId="1057" priority="89" operator="equal">
      <formula>"NA"</formula>
    </cfRule>
    <cfRule type="cellIs" dxfId="1056" priority="90" operator="equal">
      <formula>"Yes"</formula>
    </cfRule>
  </conditionalFormatting>
  <conditionalFormatting sqref="AG17">
    <cfRule type="cellIs" dxfId="1055" priority="85" operator="equal">
      <formula>"No"</formula>
    </cfRule>
    <cfRule type="cellIs" dxfId="1054" priority="86" operator="equal">
      <formula>"NA"</formula>
    </cfRule>
    <cfRule type="cellIs" dxfId="1053" priority="87" operator="equal">
      <formula>"Yes"</formula>
    </cfRule>
  </conditionalFormatting>
  <conditionalFormatting sqref="AG18">
    <cfRule type="cellIs" dxfId="1052" priority="82" operator="equal">
      <formula>"No"</formula>
    </cfRule>
    <cfRule type="cellIs" dxfId="1051" priority="83" operator="equal">
      <formula>"NA"</formula>
    </cfRule>
    <cfRule type="cellIs" dxfId="1050" priority="84" operator="equal">
      <formula>"Yes"</formula>
    </cfRule>
  </conditionalFormatting>
  <conditionalFormatting sqref="AG19">
    <cfRule type="cellIs" dxfId="1049" priority="79" operator="equal">
      <formula>"No"</formula>
    </cfRule>
    <cfRule type="cellIs" dxfId="1048" priority="80" operator="equal">
      <formula>"NA"</formula>
    </cfRule>
    <cfRule type="cellIs" dxfId="1047" priority="81" operator="equal">
      <formula>"Yes"</formula>
    </cfRule>
  </conditionalFormatting>
  <conditionalFormatting sqref="AG20">
    <cfRule type="cellIs" dxfId="1046" priority="76" operator="equal">
      <formula>"No"</formula>
    </cfRule>
    <cfRule type="cellIs" dxfId="1045" priority="77" operator="equal">
      <formula>"NA"</formula>
    </cfRule>
    <cfRule type="cellIs" dxfId="1044" priority="78" operator="equal">
      <formula>"Yes"</formula>
    </cfRule>
  </conditionalFormatting>
  <conditionalFormatting sqref="AG21">
    <cfRule type="cellIs" dxfId="1043" priority="73" operator="equal">
      <formula>"No"</formula>
    </cfRule>
    <cfRule type="cellIs" dxfId="1042" priority="74" operator="equal">
      <formula>"NA"</formula>
    </cfRule>
    <cfRule type="cellIs" dxfId="1041" priority="75" operator="equal">
      <formula>"Yes"</formula>
    </cfRule>
  </conditionalFormatting>
  <conditionalFormatting sqref="AG22">
    <cfRule type="cellIs" dxfId="1040" priority="70" operator="equal">
      <formula>"No"</formula>
    </cfRule>
    <cfRule type="cellIs" dxfId="1039" priority="71" operator="equal">
      <formula>"NA"</formula>
    </cfRule>
    <cfRule type="cellIs" dxfId="1038" priority="72" operator="equal">
      <formula>"Yes"</formula>
    </cfRule>
  </conditionalFormatting>
  <conditionalFormatting sqref="AG23">
    <cfRule type="cellIs" dxfId="1037" priority="67" operator="equal">
      <formula>"No"</formula>
    </cfRule>
    <cfRule type="cellIs" dxfId="1036" priority="68" operator="equal">
      <formula>"NA"</formula>
    </cfRule>
    <cfRule type="cellIs" dxfId="1035" priority="69" operator="equal">
      <formula>"Yes"</formula>
    </cfRule>
  </conditionalFormatting>
  <conditionalFormatting sqref="AG26">
    <cfRule type="cellIs" dxfId="1034" priority="64" operator="equal">
      <formula>"No"</formula>
    </cfRule>
    <cfRule type="cellIs" dxfId="1033" priority="65" operator="equal">
      <formula>"NA"</formula>
    </cfRule>
    <cfRule type="cellIs" dxfId="1032" priority="66" operator="equal">
      <formula>"Yes"</formula>
    </cfRule>
  </conditionalFormatting>
  <conditionalFormatting sqref="AG27:AG28">
    <cfRule type="cellIs" dxfId="1031" priority="61" operator="equal">
      <formula>"No"</formula>
    </cfRule>
    <cfRule type="cellIs" dxfId="1030" priority="62" operator="equal">
      <formula>"NA"</formula>
    </cfRule>
    <cfRule type="cellIs" dxfId="1029" priority="63" operator="equal">
      <formula>"Yes"</formula>
    </cfRule>
  </conditionalFormatting>
  <conditionalFormatting sqref="AG30">
    <cfRule type="cellIs" dxfId="1028" priority="58" operator="equal">
      <formula>"No"</formula>
    </cfRule>
    <cfRule type="cellIs" dxfId="1027" priority="59" operator="equal">
      <formula>"NA"</formula>
    </cfRule>
    <cfRule type="cellIs" dxfId="1026" priority="60" operator="equal">
      <formula>"Yes"</formula>
    </cfRule>
  </conditionalFormatting>
  <conditionalFormatting sqref="AG31">
    <cfRule type="cellIs" dxfId="1025" priority="55" operator="equal">
      <formula>"No"</formula>
    </cfRule>
    <cfRule type="cellIs" dxfId="1024" priority="56" operator="equal">
      <formula>"NA"</formula>
    </cfRule>
    <cfRule type="cellIs" dxfId="1023" priority="57" operator="equal">
      <formula>"Yes"</formula>
    </cfRule>
  </conditionalFormatting>
  <conditionalFormatting sqref="AH9 AH12:AH14">
    <cfRule type="cellIs" dxfId="1022" priority="52" operator="equal">
      <formula>"No"</formula>
    </cfRule>
    <cfRule type="cellIs" dxfId="1021" priority="53" operator="equal">
      <formula>"NA"</formula>
    </cfRule>
    <cfRule type="cellIs" dxfId="1020" priority="54" operator="equal">
      <formula>"Yes"</formula>
    </cfRule>
  </conditionalFormatting>
  <conditionalFormatting sqref="AH10">
    <cfRule type="cellIs" dxfId="1019" priority="49" operator="equal">
      <formula>"No"</formula>
    </cfRule>
    <cfRule type="cellIs" dxfId="1018" priority="50" operator="equal">
      <formula>"NA"</formula>
    </cfRule>
    <cfRule type="cellIs" dxfId="1017" priority="51" operator="equal">
      <formula>"Yes"</formula>
    </cfRule>
  </conditionalFormatting>
  <conditionalFormatting sqref="AH6">
    <cfRule type="cellIs" dxfId="1016" priority="46" operator="equal">
      <formula>"No"</formula>
    </cfRule>
    <cfRule type="cellIs" dxfId="1015" priority="47" operator="equal">
      <formula>"NA"</formula>
    </cfRule>
    <cfRule type="cellIs" dxfId="1014" priority="48" operator="equal">
      <formula>"Yes"</formula>
    </cfRule>
  </conditionalFormatting>
  <conditionalFormatting sqref="AH7">
    <cfRule type="cellIs" dxfId="1013" priority="43" operator="equal">
      <formula>"No"</formula>
    </cfRule>
    <cfRule type="cellIs" dxfId="1012" priority="44" operator="equal">
      <formula>"NA"</formula>
    </cfRule>
    <cfRule type="cellIs" dxfId="1011" priority="45" operator="equal">
      <formula>"Yes"</formula>
    </cfRule>
  </conditionalFormatting>
  <conditionalFormatting sqref="AH11">
    <cfRule type="cellIs" dxfId="1010" priority="40" operator="equal">
      <formula>"No"</formula>
    </cfRule>
    <cfRule type="cellIs" dxfId="1009" priority="41" operator="equal">
      <formula>"NA"</formula>
    </cfRule>
    <cfRule type="cellIs" dxfId="1008" priority="42" operator="equal">
      <formula>"Yes"</formula>
    </cfRule>
  </conditionalFormatting>
  <conditionalFormatting sqref="AH15">
    <cfRule type="cellIs" dxfId="1007" priority="37" operator="equal">
      <formula>"No"</formula>
    </cfRule>
    <cfRule type="cellIs" dxfId="1006" priority="38" operator="equal">
      <formula>"NA"</formula>
    </cfRule>
    <cfRule type="cellIs" dxfId="1005" priority="39" operator="equal">
      <formula>"Yes"</formula>
    </cfRule>
  </conditionalFormatting>
  <conditionalFormatting sqref="AH16">
    <cfRule type="cellIs" dxfId="1004" priority="34" operator="equal">
      <formula>"No"</formula>
    </cfRule>
    <cfRule type="cellIs" dxfId="1003" priority="35" operator="equal">
      <formula>"NA"</formula>
    </cfRule>
    <cfRule type="cellIs" dxfId="1002" priority="36" operator="equal">
      <formula>"Yes"</formula>
    </cfRule>
  </conditionalFormatting>
  <conditionalFormatting sqref="AH17">
    <cfRule type="cellIs" dxfId="1001" priority="31" operator="equal">
      <formula>"No"</formula>
    </cfRule>
    <cfRule type="cellIs" dxfId="1000" priority="32" operator="equal">
      <formula>"NA"</formula>
    </cfRule>
    <cfRule type="cellIs" dxfId="999" priority="33" operator="equal">
      <formula>"Yes"</formula>
    </cfRule>
  </conditionalFormatting>
  <conditionalFormatting sqref="AH18">
    <cfRule type="cellIs" dxfId="998" priority="28" operator="equal">
      <formula>"No"</formula>
    </cfRule>
    <cfRule type="cellIs" dxfId="997" priority="29" operator="equal">
      <formula>"NA"</formula>
    </cfRule>
    <cfRule type="cellIs" dxfId="996" priority="30" operator="equal">
      <formula>"Yes"</formula>
    </cfRule>
  </conditionalFormatting>
  <conditionalFormatting sqref="AH19">
    <cfRule type="cellIs" dxfId="995" priority="25" operator="equal">
      <formula>"No"</formula>
    </cfRule>
    <cfRule type="cellIs" dxfId="994" priority="26" operator="equal">
      <formula>"NA"</formula>
    </cfRule>
    <cfRule type="cellIs" dxfId="993" priority="27" operator="equal">
      <formula>"Yes"</formula>
    </cfRule>
  </conditionalFormatting>
  <conditionalFormatting sqref="AH20">
    <cfRule type="cellIs" dxfId="992" priority="22" operator="equal">
      <formula>"No"</formula>
    </cfRule>
    <cfRule type="cellIs" dxfId="991" priority="23" operator="equal">
      <formula>"NA"</formula>
    </cfRule>
    <cfRule type="cellIs" dxfId="990" priority="24" operator="equal">
      <formula>"Yes"</formula>
    </cfRule>
  </conditionalFormatting>
  <conditionalFormatting sqref="AH21">
    <cfRule type="cellIs" dxfId="989" priority="19" operator="equal">
      <formula>"No"</formula>
    </cfRule>
    <cfRule type="cellIs" dxfId="988" priority="20" operator="equal">
      <formula>"NA"</formula>
    </cfRule>
    <cfRule type="cellIs" dxfId="987" priority="21" operator="equal">
      <formula>"Yes"</formula>
    </cfRule>
  </conditionalFormatting>
  <conditionalFormatting sqref="AH22">
    <cfRule type="cellIs" dxfId="986" priority="16" operator="equal">
      <formula>"No"</formula>
    </cfRule>
    <cfRule type="cellIs" dxfId="985" priority="17" operator="equal">
      <formula>"NA"</formula>
    </cfRule>
    <cfRule type="cellIs" dxfId="984" priority="18" operator="equal">
      <formula>"Yes"</formula>
    </cfRule>
  </conditionalFormatting>
  <conditionalFormatting sqref="AH23">
    <cfRule type="cellIs" dxfId="983" priority="13" operator="equal">
      <formula>"No"</formula>
    </cfRule>
    <cfRule type="cellIs" dxfId="982" priority="14" operator="equal">
      <formula>"NA"</formula>
    </cfRule>
    <cfRule type="cellIs" dxfId="981" priority="15" operator="equal">
      <formula>"Yes"</formula>
    </cfRule>
  </conditionalFormatting>
  <conditionalFormatting sqref="AH25">
    <cfRule type="cellIs" dxfId="980" priority="10" operator="equal">
      <formula>"No"</formula>
    </cfRule>
    <cfRule type="cellIs" dxfId="979" priority="11" operator="equal">
      <formula>"NA"</formula>
    </cfRule>
    <cfRule type="cellIs" dxfId="978" priority="12" operator="equal">
      <formula>"Yes"</formula>
    </cfRule>
  </conditionalFormatting>
  <conditionalFormatting sqref="AH26:AH28">
    <cfRule type="cellIs" dxfId="977" priority="7" operator="equal">
      <formula>"No"</formula>
    </cfRule>
    <cfRule type="cellIs" dxfId="976" priority="8" operator="equal">
      <formula>"NA"</formula>
    </cfRule>
    <cfRule type="cellIs" dxfId="975" priority="9" operator="equal">
      <formula>"Yes"</formula>
    </cfRule>
  </conditionalFormatting>
  <conditionalFormatting sqref="AH30:AH31">
    <cfRule type="cellIs" dxfId="974" priority="4" operator="equal">
      <formula>"No"</formula>
    </cfRule>
    <cfRule type="cellIs" dxfId="973" priority="5" operator="equal">
      <formula>"NA"</formula>
    </cfRule>
    <cfRule type="cellIs" dxfId="972" priority="6" operator="equal">
      <formula>"Yes"</formula>
    </cfRule>
  </conditionalFormatting>
  <conditionalFormatting sqref="AH33">
    <cfRule type="cellIs" dxfId="971" priority="1" operator="equal">
      <formula>"No"</formula>
    </cfRule>
    <cfRule type="cellIs" dxfId="970" priority="2" operator="equal">
      <formula>"NA"</formula>
    </cfRule>
    <cfRule type="cellIs" dxfId="969" priority="3" operator="equal">
      <formula>"Yes"</formula>
    </cfRule>
  </conditionalFormatting>
  <dataValidations count="1">
    <dataValidation type="list" allowBlank="1" showInputMessage="1" showErrorMessage="1" sqref="C9:AH23 C33:AH33 C6:AH7 C25:AH28 C30:AH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J38"/>
  <sheetViews>
    <sheetView workbookViewId="0">
      <selection activeCell="F2" sqref="F2"/>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6.28515625" style="144" customWidth="1"/>
    <col min="5" max="6" width="6.28515625" style="144" bestFit="1" customWidth="1"/>
    <col min="7" max="7" width="33.7109375" style="144" customWidth="1"/>
    <col min="8" max="9" width="30.7109375" style="144" customWidth="1" outlineLevel="1"/>
    <col min="10" max="16384" width="9.28515625" style="144"/>
  </cols>
  <sheetData>
    <row r="2" spans="1:10" ht="69.75">
      <c r="A2" s="196" t="s">
        <v>506</v>
      </c>
      <c r="B2" s="197" t="s">
        <v>1012</v>
      </c>
      <c r="C2" s="198" t="s">
        <v>1013</v>
      </c>
      <c r="D2" s="198" t="s">
        <v>248</v>
      </c>
      <c r="E2" s="198" t="s">
        <v>1014</v>
      </c>
      <c r="F2" s="198" t="s">
        <v>1154</v>
      </c>
      <c r="G2" s="199" t="s">
        <v>509</v>
      </c>
      <c r="H2" s="353" t="s">
        <v>167</v>
      </c>
      <c r="I2" s="354"/>
    </row>
    <row r="3" spans="1:10" ht="18.75">
      <c r="A3" s="200"/>
      <c r="B3" s="201"/>
      <c r="C3" s="202">
        <f>COUNTIF(Review.ratings,"Yes") / ( COUNTA(Review.QuestionIds) - COUNTIF(Review.ratings,"NA"))</f>
        <v>0.88888888888888884</v>
      </c>
      <c r="D3" s="202">
        <f>COUNTIF(D6:D35,"Yes") / ( COUNTA(Review.QuestionIds) - COUNTIF(D6:D35,"NA"))</f>
        <v>0.88888888888888884</v>
      </c>
      <c r="E3" s="202">
        <f>COUNTIF(E6:E35,"Yes") / ( COUNTA(Review.QuestionIds) - COUNTIF(E6:E35,"NA"))</f>
        <v>1</v>
      </c>
      <c r="F3" s="202">
        <f>COUNTIF(F6:F35,"Yes") / ( COUNTA(Review.QuestionIds) - COUNTIF(F6:F35,"NA"))</f>
        <v>1</v>
      </c>
      <c r="G3" s="207"/>
      <c r="H3" s="215" t="s">
        <v>510</v>
      </c>
      <c r="I3" s="215" t="s">
        <v>511</v>
      </c>
      <c r="J3" s="208"/>
    </row>
    <row r="4" spans="1:10" ht="36">
      <c r="A4" s="203"/>
      <c r="B4" s="204" t="s">
        <v>512</v>
      </c>
      <c r="C4" s="205"/>
      <c r="D4" s="205"/>
      <c r="E4" s="205"/>
      <c r="F4" s="205"/>
      <c r="G4" s="205"/>
      <c r="H4" s="205"/>
      <c r="I4" s="206"/>
      <c r="J4" s="23"/>
    </row>
    <row r="5" spans="1:10" ht="18.75">
      <c r="A5" s="148"/>
      <c r="B5" s="157" t="s">
        <v>1015</v>
      </c>
      <c r="C5" s="149"/>
      <c r="D5" s="149"/>
      <c r="E5" s="149"/>
      <c r="F5" s="149"/>
      <c r="G5" s="149"/>
      <c r="H5" s="215"/>
      <c r="I5" s="215"/>
    </row>
    <row r="6" spans="1:10" ht="25.5">
      <c r="A6" s="151" t="s">
        <v>1016</v>
      </c>
      <c r="B6" s="160" t="s">
        <v>1017</v>
      </c>
      <c r="C6" s="209" t="s">
        <v>112</v>
      </c>
      <c r="D6" s="209" t="s">
        <v>112</v>
      </c>
      <c r="E6" s="209" t="s">
        <v>112</v>
      </c>
      <c r="F6" s="209" t="s">
        <v>112</v>
      </c>
      <c r="G6" s="210"/>
      <c r="H6" s="150"/>
      <c r="I6" s="150"/>
    </row>
    <row r="7" spans="1:10" ht="38.25">
      <c r="A7" s="151" t="s">
        <v>1018</v>
      </c>
      <c r="B7" s="160" t="s">
        <v>1019</v>
      </c>
      <c r="C7" s="209" t="s">
        <v>112</v>
      </c>
      <c r="D7" s="209" t="s">
        <v>112</v>
      </c>
      <c r="E7" s="209" t="s">
        <v>112</v>
      </c>
      <c r="F7" s="209" t="s">
        <v>112</v>
      </c>
      <c r="G7" s="210"/>
      <c r="H7" s="152" t="s">
        <v>1020</v>
      </c>
      <c r="I7" s="150"/>
    </row>
    <row r="8" spans="1:10" ht="25.5">
      <c r="A8" s="151" t="s">
        <v>1021</v>
      </c>
      <c r="B8" s="160" t="s">
        <v>1022</v>
      </c>
      <c r="C8" s="209" t="s">
        <v>112</v>
      </c>
      <c r="D8" s="209" t="s">
        <v>112</v>
      </c>
      <c r="E8" s="209" t="s">
        <v>112</v>
      </c>
      <c r="F8" s="209" t="s">
        <v>112</v>
      </c>
      <c r="G8" s="210"/>
      <c r="H8" s="150"/>
      <c r="I8" s="150"/>
    </row>
    <row r="9" spans="1:10" ht="25.5">
      <c r="A9" s="151" t="s">
        <v>1023</v>
      </c>
      <c r="B9" s="160" t="s">
        <v>1024</v>
      </c>
      <c r="C9" s="209" t="s">
        <v>112</v>
      </c>
      <c r="D9" s="209" t="s">
        <v>112</v>
      </c>
      <c r="E9" s="209" t="s">
        <v>112</v>
      </c>
      <c r="F9" s="209" t="s">
        <v>112</v>
      </c>
      <c r="G9" s="210"/>
      <c r="H9" s="150"/>
      <c r="I9" s="150"/>
    </row>
    <row r="10" spans="1:10" ht="38.25">
      <c r="A10" s="151" t="s">
        <v>1025</v>
      </c>
      <c r="B10" s="160" t="s">
        <v>1026</v>
      </c>
      <c r="C10" s="209" t="s">
        <v>112</v>
      </c>
      <c r="D10" s="209" t="s">
        <v>112</v>
      </c>
      <c r="E10" s="209" t="s">
        <v>112</v>
      </c>
      <c r="F10" s="209" t="s">
        <v>112</v>
      </c>
      <c r="G10" s="210"/>
      <c r="H10" s="150"/>
      <c r="I10" s="150"/>
    </row>
    <row r="11" spans="1:10" ht="18.75">
      <c r="A11" s="148"/>
      <c r="B11" s="157" t="s">
        <v>1027</v>
      </c>
      <c r="C11" s="149"/>
      <c r="D11" s="149"/>
      <c r="E11" s="149"/>
      <c r="F11" s="149"/>
      <c r="G11" s="149"/>
      <c r="H11" s="215"/>
      <c r="I11" s="215"/>
    </row>
    <row r="12" spans="1:10" ht="63.75">
      <c r="A12" s="151" t="s">
        <v>1028</v>
      </c>
      <c r="B12" s="160" t="s">
        <v>1029</v>
      </c>
      <c r="C12" s="209" t="s">
        <v>116</v>
      </c>
      <c r="D12" s="209" t="s">
        <v>116</v>
      </c>
      <c r="E12" s="209" t="s">
        <v>116</v>
      </c>
      <c r="F12" s="209" t="s">
        <v>116</v>
      </c>
      <c r="G12" s="219" t="s">
        <v>1030</v>
      </c>
      <c r="H12" s="150"/>
      <c r="I12" s="150"/>
    </row>
    <row r="13" spans="1:10" ht="63.75">
      <c r="A13" s="151" t="s">
        <v>1031</v>
      </c>
      <c r="B13" s="160" t="s">
        <v>1032</v>
      </c>
      <c r="C13" s="209" t="s">
        <v>112</v>
      </c>
      <c r="D13" s="209" t="s">
        <v>112</v>
      </c>
      <c r="E13" s="209" t="s">
        <v>112</v>
      </c>
      <c r="F13" s="209" t="s">
        <v>112</v>
      </c>
      <c r="G13" s="210"/>
      <c r="H13" s="150"/>
      <c r="I13" s="150"/>
    </row>
    <row r="14" spans="1:10" ht="51">
      <c r="A14" s="151" t="s">
        <v>1033</v>
      </c>
      <c r="B14" s="160" t="s">
        <v>1034</v>
      </c>
      <c r="C14" s="209" t="s">
        <v>112</v>
      </c>
      <c r="D14" s="209" t="s">
        <v>112</v>
      </c>
      <c r="E14" s="209" t="s">
        <v>112</v>
      </c>
      <c r="F14" s="209" t="s">
        <v>112</v>
      </c>
      <c r="G14" s="210"/>
      <c r="H14" s="150"/>
      <c r="I14" s="150"/>
    </row>
    <row r="15" spans="1:10" ht="25.5">
      <c r="A15" s="151" t="s">
        <v>1035</v>
      </c>
      <c r="B15" s="160" t="s">
        <v>1036</v>
      </c>
      <c r="C15" s="209" t="s">
        <v>112</v>
      </c>
      <c r="D15" s="209" t="s">
        <v>112</v>
      </c>
      <c r="E15" s="209" t="s">
        <v>112</v>
      </c>
      <c r="F15" s="209" t="s">
        <v>112</v>
      </c>
      <c r="G15" s="210"/>
      <c r="H15" s="150"/>
      <c r="I15" s="150"/>
    </row>
    <row r="16" spans="1:10" ht="18.75">
      <c r="A16" s="148"/>
      <c r="B16" s="157" t="s">
        <v>916</v>
      </c>
      <c r="C16" s="149"/>
      <c r="D16" s="149"/>
      <c r="E16" s="149"/>
      <c r="F16" s="149"/>
      <c r="G16" s="149"/>
      <c r="H16" s="215"/>
      <c r="I16" s="215"/>
    </row>
    <row r="17" spans="1:9" ht="38.25">
      <c r="A17" s="151" t="s">
        <v>1037</v>
      </c>
      <c r="B17" s="160" t="s">
        <v>1038</v>
      </c>
      <c r="C17" s="209" t="s">
        <v>114</v>
      </c>
      <c r="D17" s="209" t="s">
        <v>114</v>
      </c>
      <c r="E17" s="209" t="s">
        <v>112</v>
      </c>
      <c r="F17" s="209" t="s">
        <v>112</v>
      </c>
      <c r="G17" s="210"/>
      <c r="H17" s="150"/>
      <c r="I17" s="150"/>
    </row>
    <row r="18" spans="1:9" ht="76.5">
      <c r="A18" s="151" t="s">
        <v>1039</v>
      </c>
      <c r="B18" s="160" t="s">
        <v>1040</v>
      </c>
      <c r="C18" s="209" t="s">
        <v>114</v>
      </c>
      <c r="D18" s="209" t="s">
        <v>114</v>
      </c>
      <c r="E18" s="209" t="s">
        <v>112</v>
      </c>
      <c r="F18" s="209" t="s">
        <v>112</v>
      </c>
      <c r="G18" s="210"/>
      <c r="H18" s="150"/>
      <c r="I18" s="150"/>
    </row>
    <row r="19" spans="1:9" ht="18.75">
      <c r="A19" s="148"/>
      <c r="B19" s="157" t="s">
        <v>924</v>
      </c>
      <c r="C19" s="149"/>
      <c r="D19" s="149"/>
      <c r="E19" s="149"/>
      <c r="F19" s="149"/>
      <c r="G19" s="149"/>
      <c r="H19" s="215"/>
      <c r="I19" s="215"/>
    </row>
    <row r="20" spans="1:9" ht="51">
      <c r="A20" s="151" t="s">
        <v>1041</v>
      </c>
      <c r="B20" s="160" t="s">
        <v>1042</v>
      </c>
      <c r="C20" s="209" t="s">
        <v>116</v>
      </c>
      <c r="D20" s="209" t="s">
        <v>116</v>
      </c>
      <c r="E20" s="209" t="s">
        <v>116</v>
      </c>
      <c r="F20" s="209" t="s">
        <v>116</v>
      </c>
      <c r="G20" s="219" t="s">
        <v>1043</v>
      </c>
      <c r="H20" s="150"/>
      <c r="I20" s="150"/>
    </row>
    <row r="21" spans="1:9" ht="51">
      <c r="A21" s="151" t="s">
        <v>1044</v>
      </c>
      <c r="B21" s="160" t="s">
        <v>1045</v>
      </c>
      <c r="C21" s="209" t="s">
        <v>116</v>
      </c>
      <c r="D21" s="209" t="s">
        <v>116</v>
      </c>
      <c r="E21" s="209" t="s">
        <v>116</v>
      </c>
      <c r="F21" s="209" t="s">
        <v>116</v>
      </c>
      <c r="G21" s="219" t="s">
        <v>1043</v>
      </c>
      <c r="H21" s="150"/>
      <c r="I21" s="150"/>
    </row>
    <row r="22" spans="1:9" ht="51">
      <c r="A22" s="151" t="s">
        <v>1046</v>
      </c>
      <c r="B22" s="160" t="s">
        <v>1047</v>
      </c>
      <c r="C22" s="209" t="s">
        <v>116</v>
      </c>
      <c r="D22" s="209" t="s">
        <v>116</v>
      </c>
      <c r="E22" s="209" t="s">
        <v>116</v>
      </c>
      <c r="F22" s="209" t="s">
        <v>116</v>
      </c>
      <c r="G22" s="219" t="s">
        <v>1043</v>
      </c>
      <c r="H22" s="150"/>
      <c r="I22" s="150"/>
    </row>
    <row r="23" spans="1:9" ht="25.5">
      <c r="A23" s="151" t="s">
        <v>1048</v>
      </c>
      <c r="B23" s="160" t="s">
        <v>1049</v>
      </c>
      <c r="C23" s="209" t="s">
        <v>112</v>
      </c>
      <c r="D23" s="209" t="s">
        <v>112</v>
      </c>
      <c r="E23" s="209" t="s">
        <v>112</v>
      </c>
      <c r="F23" s="209" t="s">
        <v>112</v>
      </c>
      <c r="G23" s="210"/>
      <c r="H23" s="150"/>
      <c r="I23" s="150"/>
    </row>
    <row r="24" spans="1:9" ht="51">
      <c r="A24" s="151" t="s">
        <v>1050</v>
      </c>
      <c r="B24" s="160" t="s">
        <v>1051</v>
      </c>
      <c r="C24" s="209" t="s">
        <v>116</v>
      </c>
      <c r="D24" s="209" t="s">
        <v>116</v>
      </c>
      <c r="E24" s="209" t="s">
        <v>116</v>
      </c>
      <c r="F24" s="209" t="s">
        <v>116</v>
      </c>
      <c r="G24" s="219" t="s">
        <v>1043</v>
      </c>
      <c r="H24" s="150"/>
      <c r="I24" s="150"/>
    </row>
    <row r="25" spans="1:9" ht="25.5">
      <c r="A25" s="151" t="s">
        <v>1052</v>
      </c>
      <c r="B25" s="160" t="s">
        <v>1053</v>
      </c>
      <c r="C25" s="209" t="s">
        <v>112</v>
      </c>
      <c r="D25" s="209" t="s">
        <v>112</v>
      </c>
      <c r="E25" s="209" t="s">
        <v>112</v>
      </c>
      <c r="F25" s="209" t="s">
        <v>112</v>
      </c>
      <c r="G25" s="210"/>
      <c r="H25" s="150"/>
      <c r="I25" s="150"/>
    </row>
    <row r="26" spans="1:9" ht="18.75">
      <c r="A26" s="148"/>
      <c r="B26" s="157" t="s">
        <v>570</v>
      </c>
      <c r="C26" s="149"/>
      <c r="D26" s="149"/>
      <c r="E26" s="149"/>
      <c r="F26" s="149"/>
      <c r="G26" s="149"/>
      <c r="H26" s="215"/>
      <c r="I26" s="215"/>
    </row>
    <row r="27" spans="1:9" ht="38.25">
      <c r="A27" s="151" t="s">
        <v>571</v>
      </c>
      <c r="B27" s="160" t="s">
        <v>572</v>
      </c>
      <c r="C27" s="209" t="s">
        <v>112</v>
      </c>
      <c r="D27" s="209" t="s">
        <v>112</v>
      </c>
      <c r="E27" s="209" t="s">
        <v>112</v>
      </c>
      <c r="F27" s="209" t="s">
        <v>112</v>
      </c>
      <c r="G27" s="210"/>
      <c r="H27" s="150"/>
      <c r="I27" s="150"/>
    </row>
    <row r="28" spans="1:9" ht="25.5">
      <c r="A28" s="151" t="s">
        <v>573</v>
      </c>
      <c r="B28" s="160" t="s">
        <v>574</v>
      </c>
      <c r="C28" s="209" t="s">
        <v>112</v>
      </c>
      <c r="D28" s="209" t="s">
        <v>112</v>
      </c>
      <c r="E28" s="209" t="s">
        <v>112</v>
      </c>
      <c r="F28" s="209" t="s">
        <v>112</v>
      </c>
      <c r="G28" s="210"/>
      <c r="H28" s="150"/>
      <c r="I28" s="150"/>
    </row>
    <row r="29" spans="1:9" ht="38.25">
      <c r="A29" s="151" t="s">
        <v>575</v>
      </c>
      <c r="B29" s="160" t="s">
        <v>576</v>
      </c>
      <c r="C29" s="209" t="s">
        <v>112</v>
      </c>
      <c r="D29" s="209" t="s">
        <v>112</v>
      </c>
      <c r="E29" s="209" t="s">
        <v>112</v>
      </c>
      <c r="F29" s="209" t="s">
        <v>112</v>
      </c>
      <c r="G29" s="210"/>
      <c r="H29" s="150"/>
      <c r="I29" s="150"/>
    </row>
    <row r="30" spans="1:9" ht="38.25">
      <c r="A30" s="151" t="s">
        <v>577</v>
      </c>
      <c r="B30" s="160" t="s">
        <v>578</v>
      </c>
      <c r="C30" s="209" t="s">
        <v>112</v>
      </c>
      <c r="D30" s="209" t="s">
        <v>112</v>
      </c>
      <c r="E30" s="209" t="s">
        <v>112</v>
      </c>
      <c r="F30" s="209" t="s">
        <v>112</v>
      </c>
      <c r="G30" s="210"/>
      <c r="H30" s="150"/>
      <c r="I30" s="150"/>
    </row>
    <row r="31" spans="1:9" ht="18.75">
      <c r="A31" s="148"/>
      <c r="B31" s="157" t="s">
        <v>579</v>
      </c>
      <c r="C31" s="149"/>
      <c r="D31" s="149"/>
      <c r="E31" s="149"/>
      <c r="F31" s="149"/>
      <c r="G31" s="149"/>
      <c r="H31" s="215"/>
      <c r="I31" s="215"/>
    </row>
    <row r="32" spans="1:9" ht="38.25">
      <c r="A32" s="151" t="s">
        <v>580</v>
      </c>
      <c r="B32" s="160" t="s">
        <v>581</v>
      </c>
      <c r="C32" s="209" t="s">
        <v>112</v>
      </c>
      <c r="D32" s="209" t="s">
        <v>112</v>
      </c>
      <c r="E32" s="209" t="s">
        <v>112</v>
      </c>
      <c r="F32" s="209" t="s">
        <v>112</v>
      </c>
      <c r="G32" s="210"/>
      <c r="H32" s="150"/>
      <c r="I32" s="150"/>
    </row>
    <row r="33" spans="1:9" ht="38.25">
      <c r="A33" s="151" t="s">
        <v>582</v>
      </c>
      <c r="B33" s="160" t="s">
        <v>583</v>
      </c>
      <c r="C33" s="209" t="s">
        <v>112</v>
      </c>
      <c r="D33" s="209" t="s">
        <v>112</v>
      </c>
      <c r="E33" s="209" t="s">
        <v>112</v>
      </c>
      <c r="F33" s="209" t="s">
        <v>112</v>
      </c>
      <c r="G33" s="210"/>
      <c r="H33" s="150"/>
      <c r="I33" s="150"/>
    </row>
    <row r="34" spans="1:9" ht="18.75">
      <c r="A34" s="148"/>
      <c r="B34" s="157" t="s">
        <v>584</v>
      </c>
      <c r="C34" s="149"/>
      <c r="D34" s="149"/>
      <c r="E34" s="149"/>
      <c r="F34" s="149"/>
      <c r="G34" s="149"/>
      <c r="H34" s="215"/>
      <c r="I34" s="215"/>
    </row>
    <row r="35" spans="1:9" ht="51">
      <c r="A35" s="151" t="s">
        <v>585</v>
      </c>
      <c r="B35" s="160" t="s">
        <v>586</v>
      </c>
      <c r="C35" s="209" t="s">
        <v>116</v>
      </c>
      <c r="D35" s="209" t="s">
        <v>116</v>
      </c>
      <c r="E35" s="209" t="s">
        <v>116</v>
      </c>
      <c r="F35" s="209" t="s">
        <v>116</v>
      </c>
      <c r="G35" s="210"/>
      <c r="H35" s="150"/>
      <c r="I35" s="150"/>
    </row>
    <row r="36" spans="1:9" ht="18">
      <c r="A36" s="211"/>
      <c r="B36" s="212" t="s">
        <v>587</v>
      </c>
      <c r="C36" s="211"/>
      <c r="D36" s="211"/>
      <c r="E36" s="211"/>
      <c r="F36" s="211"/>
      <c r="G36" s="211"/>
      <c r="H36" s="211"/>
      <c r="I36" s="211"/>
    </row>
    <row r="37" spans="1:9">
      <c r="A37" s="151"/>
      <c r="B37" s="160"/>
    </row>
    <row r="38" spans="1:9" ht="15">
      <c r="A38" s="213"/>
      <c r="B38" s="214" t="s">
        <v>588</v>
      </c>
      <c r="C38" s="213"/>
      <c r="D38" s="213"/>
      <c r="E38" s="213"/>
      <c r="F38" s="213"/>
      <c r="G38" s="213"/>
      <c r="H38" s="213"/>
      <c r="I38" s="213"/>
    </row>
  </sheetData>
  <mergeCells count="1">
    <mergeCell ref="H2:I2"/>
  </mergeCells>
  <conditionalFormatting sqref="C6">
    <cfRule type="cellIs" dxfId="968" priority="214" operator="equal">
      <formula>"No"</formula>
    </cfRule>
    <cfRule type="cellIs" dxfId="967" priority="215" operator="equal">
      <formula>"NA"</formula>
    </cfRule>
    <cfRule type="cellIs" dxfId="966" priority="216" operator="equal">
      <formula>"Yes"</formula>
    </cfRule>
  </conditionalFormatting>
  <conditionalFormatting sqref="C7">
    <cfRule type="cellIs" dxfId="965" priority="211" operator="equal">
      <formula>"No"</formula>
    </cfRule>
    <cfRule type="cellIs" dxfId="964" priority="212" operator="equal">
      <formula>"NA"</formula>
    </cfRule>
    <cfRule type="cellIs" dxfId="963" priority="213" operator="equal">
      <formula>"Yes"</formula>
    </cfRule>
  </conditionalFormatting>
  <conditionalFormatting sqref="C8">
    <cfRule type="cellIs" dxfId="962" priority="208" operator="equal">
      <formula>"No"</formula>
    </cfRule>
    <cfRule type="cellIs" dxfId="961" priority="209" operator="equal">
      <formula>"NA"</formula>
    </cfRule>
    <cfRule type="cellIs" dxfId="960" priority="210" operator="equal">
      <formula>"Yes"</formula>
    </cfRule>
  </conditionalFormatting>
  <conditionalFormatting sqref="C9">
    <cfRule type="cellIs" dxfId="959" priority="205" operator="equal">
      <formula>"No"</formula>
    </cfRule>
    <cfRule type="cellIs" dxfId="958" priority="206" operator="equal">
      <formula>"NA"</formula>
    </cfRule>
    <cfRule type="cellIs" dxfId="957" priority="207" operator="equal">
      <formula>"Yes"</formula>
    </cfRule>
  </conditionalFormatting>
  <conditionalFormatting sqref="C10">
    <cfRule type="cellIs" dxfId="956" priority="202" operator="equal">
      <formula>"No"</formula>
    </cfRule>
    <cfRule type="cellIs" dxfId="955" priority="203" operator="equal">
      <formula>"NA"</formula>
    </cfRule>
    <cfRule type="cellIs" dxfId="954" priority="204" operator="equal">
      <formula>"Yes"</formula>
    </cfRule>
  </conditionalFormatting>
  <conditionalFormatting sqref="C12">
    <cfRule type="cellIs" dxfId="953" priority="199" operator="equal">
      <formula>"No"</formula>
    </cfRule>
    <cfRule type="cellIs" dxfId="952" priority="200" operator="equal">
      <formula>"NA"</formula>
    </cfRule>
    <cfRule type="cellIs" dxfId="951" priority="201" operator="equal">
      <formula>"Yes"</formula>
    </cfRule>
  </conditionalFormatting>
  <conditionalFormatting sqref="C13">
    <cfRule type="cellIs" dxfId="950" priority="196" operator="equal">
      <formula>"No"</formula>
    </cfRule>
    <cfRule type="cellIs" dxfId="949" priority="197" operator="equal">
      <formula>"NA"</formula>
    </cfRule>
    <cfRule type="cellIs" dxfId="948" priority="198" operator="equal">
      <formula>"Yes"</formula>
    </cfRule>
  </conditionalFormatting>
  <conditionalFormatting sqref="C14">
    <cfRule type="cellIs" dxfId="947" priority="193" operator="equal">
      <formula>"No"</formula>
    </cfRule>
    <cfRule type="cellIs" dxfId="946" priority="194" operator="equal">
      <formula>"NA"</formula>
    </cfRule>
    <cfRule type="cellIs" dxfId="945" priority="195" operator="equal">
      <formula>"Yes"</formula>
    </cfRule>
  </conditionalFormatting>
  <conditionalFormatting sqref="C15">
    <cfRule type="cellIs" dxfId="944" priority="190" operator="equal">
      <formula>"No"</formula>
    </cfRule>
    <cfRule type="cellIs" dxfId="943" priority="191" operator="equal">
      <formula>"NA"</formula>
    </cfRule>
    <cfRule type="cellIs" dxfId="942" priority="192" operator="equal">
      <formula>"Yes"</formula>
    </cfRule>
  </conditionalFormatting>
  <conditionalFormatting sqref="C17">
    <cfRule type="cellIs" dxfId="941" priority="187" operator="equal">
      <formula>"No"</formula>
    </cfRule>
    <cfRule type="cellIs" dxfId="940" priority="188" operator="equal">
      <formula>"NA"</formula>
    </cfRule>
    <cfRule type="cellIs" dxfId="939" priority="189" operator="equal">
      <formula>"Yes"</formula>
    </cfRule>
  </conditionalFormatting>
  <conditionalFormatting sqref="C18">
    <cfRule type="cellIs" dxfId="938" priority="184" operator="equal">
      <formula>"No"</formula>
    </cfRule>
    <cfRule type="cellIs" dxfId="937" priority="185" operator="equal">
      <formula>"NA"</formula>
    </cfRule>
    <cfRule type="cellIs" dxfId="936" priority="186" operator="equal">
      <formula>"Yes"</formula>
    </cfRule>
  </conditionalFormatting>
  <conditionalFormatting sqref="C20">
    <cfRule type="cellIs" dxfId="935" priority="181" operator="equal">
      <formula>"No"</formula>
    </cfRule>
    <cfRule type="cellIs" dxfId="934" priority="182" operator="equal">
      <formula>"NA"</formula>
    </cfRule>
    <cfRule type="cellIs" dxfId="933" priority="183" operator="equal">
      <formula>"Yes"</formula>
    </cfRule>
  </conditionalFormatting>
  <conditionalFormatting sqref="C21">
    <cfRule type="cellIs" dxfId="932" priority="178" operator="equal">
      <formula>"No"</formula>
    </cfRule>
    <cfRule type="cellIs" dxfId="931" priority="179" operator="equal">
      <formula>"NA"</formula>
    </cfRule>
    <cfRule type="cellIs" dxfId="930" priority="180" operator="equal">
      <formula>"Yes"</formula>
    </cfRule>
  </conditionalFormatting>
  <conditionalFormatting sqref="C22">
    <cfRule type="cellIs" dxfId="929" priority="175" operator="equal">
      <formula>"No"</formula>
    </cfRule>
    <cfRule type="cellIs" dxfId="928" priority="176" operator="equal">
      <formula>"NA"</formula>
    </cfRule>
    <cfRule type="cellIs" dxfId="927" priority="177" operator="equal">
      <formula>"Yes"</formula>
    </cfRule>
  </conditionalFormatting>
  <conditionalFormatting sqref="C23">
    <cfRule type="cellIs" dxfId="926" priority="172" operator="equal">
      <formula>"No"</formula>
    </cfRule>
    <cfRule type="cellIs" dxfId="925" priority="173" operator="equal">
      <formula>"NA"</formula>
    </cfRule>
    <cfRule type="cellIs" dxfId="924" priority="174" operator="equal">
      <formula>"Yes"</formula>
    </cfRule>
  </conditionalFormatting>
  <conditionalFormatting sqref="C24">
    <cfRule type="cellIs" dxfId="923" priority="169" operator="equal">
      <formula>"No"</formula>
    </cfRule>
    <cfRule type="cellIs" dxfId="922" priority="170" operator="equal">
      <formula>"NA"</formula>
    </cfRule>
    <cfRule type="cellIs" dxfId="921" priority="171" operator="equal">
      <formula>"Yes"</formula>
    </cfRule>
  </conditionalFormatting>
  <conditionalFormatting sqref="C25">
    <cfRule type="cellIs" dxfId="920" priority="166" operator="equal">
      <formula>"No"</formula>
    </cfRule>
    <cfRule type="cellIs" dxfId="919" priority="167" operator="equal">
      <formula>"NA"</formula>
    </cfRule>
    <cfRule type="cellIs" dxfId="918" priority="168" operator="equal">
      <formula>"Yes"</formula>
    </cfRule>
  </conditionalFormatting>
  <conditionalFormatting sqref="C27">
    <cfRule type="cellIs" dxfId="917" priority="163" operator="equal">
      <formula>"No"</formula>
    </cfRule>
    <cfRule type="cellIs" dxfId="916" priority="164" operator="equal">
      <formula>"NA"</formula>
    </cfRule>
    <cfRule type="cellIs" dxfId="915" priority="165" operator="equal">
      <formula>"Yes"</formula>
    </cfRule>
  </conditionalFormatting>
  <conditionalFormatting sqref="C28">
    <cfRule type="cellIs" dxfId="914" priority="160" operator="equal">
      <formula>"No"</formula>
    </cfRule>
    <cfRule type="cellIs" dxfId="913" priority="161" operator="equal">
      <formula>"NA"</formula>
    </cfRule>
    <cfRule type="cellIs" dxfId="912" priority="162" operator="equal">
      <formula>"Yes"</formula>
    </cfRule>
  </conditionalFormatting>
  <conditionalFormatting sqref="C29">
    <cfRule type="cellIs" dxfId="911" priority="157" operator="equal">
      <formula>"No"</formula>
    </cfRule>
    <cfRule type="cellIs" dxfId="910" priority="158" operator="equal">
      <formula>"NA"</formula>
    </cfRule>
    <cfRule type="cellIs" dxfId="909" priority="159" operator="equal">
      <formula>"Yes"</formula>
    </cfRule>
  </conditionalFormatting>
  <conditionalFormatting sqref="C30">
    <cfRule type="cellIs" dxfId="908" priority="154" operator="equal">
      <formula>"No"</formula>
    </cfRule>
    <cfRule type="cellIs" dxfId="907" priority="155" operator="equal">
      <formula>"NA"</formula>
    </cfRule>
    <cfRule type="cellIs" dxfId="906" priority="156" operator="equal">
      <formula>"Yes"</formula>
    </cfRule>
  </conditionalFormatting>
  <conditionalFormatting sqref="C32">
    <cfRule type="cellIs" dxfId="905" priority="151" operator="equal">
      <formula>"No"</formula>
    </cfRule>
    <cfRule type="cellIs" dxfId="904" priority="152" operator="equal">
      <formula>"NA"</formula>
    </cfRule>
    <cfRule type="cellIs" dxfId="903" priority="153" operator="equal">
      <formula>"Yes"</formula>
    </cfRule>
  </conditionalFormatting>
  <conditionalFormatting sqref="C33">
    <cfRule type="cellIs" dxfId="902" priority="148" operator="equal">
      <formula>"No"</formula>
    </cfRule>
    <cfRule type="cellIs" dxfId="901" priority="149" operator="equal">
      <formula>"NA"</formula>
    </cfRule>
    <cfRule type="cellIs" dxfId="900" priority="150" operator="equal">
      <formula>"Yes"</formula>
    </cfRule>
  </conditionalFormatting>
  <conditionalFormatting sqref="C35">
    <cfRule type="cellIs" dxfId="899" priority="145" operator="equal">
      <formula>"No"</formula>
    </cfRule>
    <cfRule type="cellIs" dxfId="898" priority="146" operator="equal">
      <formula>"NA"</formula>
    </cfRule>
    <cfRule type="cellIs" dxfId="897" priority="147" operator="equal">
      <formula>"Yes"</formula>
    </cfRule>
  </conditionalFormatting>
  <conditionalFormatting sqref="D6">
    <cfRule type="cellIs" dxfId="896" priority="142" operator="equal">
      <formula>"No"</formula>
    </cfRule>
    <cfRule type="cellIs" dxfId="895" priority="143" operator="equal">
      <formula>"NA"</formula>
    </cfRule>
    <cfRule type="cellIs" dxfId="894" priority="144" operator="equal">
      <formula>"Yes"</formula>
    </cfRule>
  </conditionalFormatting>
  <conditionalFormatting sqref="D7">
    <cfRule type="cellIs" dxfId="893" priority="139" operator="equal">
      <formula>"No"</formula>
    </cfRule>
    <cfRule type="cellIs" dxfId="892" priority="140" operator="equal">
      <formula>"NA"</formula>
    </cfRule>
    <cfRule type="cellIs" dxfId="891" priority="141" operator="equal">
      <formula>"Yes"</formula>
    </cfRule>
  </conditionalFormatting>
  <conditionalFormatting sqref="D8">
    <cfRule type="cellIs" dxfId="890" priority="136" operator="equal">
      <formula>"No"</formula>
    </cfRule>
    <cfRule type="cellIs" dxfId="889" priority="137" operator="equal">
      <formula>"NA"</formula>
    </cfRule>
    <cfRule type="cellIs" dxfId="888" priority="138" operator="equal">
      <formula>"Yes"</formula>
    </cfRule>
  </conditionalFormatting>
  <conditionalFormatting sqref="D9">
    <cfRule type="cellIs" dxfId="887" priority="133" operator="equal">
      <formula>"No"</formula>
    </cfRule>
    <cfRule type="cellIs" dxfId="886" priority="134" operator="equal">
      <formula>"NA"</formula>
    </cfRule>
    <cfRule type="cellIs" dxfId="885" priority="135" operator="equal">
      <formula>"Yes"</formula>
    </cfRule>
  </conditionalFormatting>
  <conditionalFormatting sqref="D10">
    <cfRule type="cellIs" dxfId="884" priority="130" operator="equal">
      <formula>"No"</formula>
    </cfRule>
    <cfRule type="cellIs" dxfId="883" priority="131" operator="equal">
      <formula>"NA"</formula>
    </cfRule>
    <cfRule type="cellIs" dxfId="882" priority="132" operator="equal">
      <formula>"Yes"</formula>
    </cfRule>
  </conditionalFormatting>
  <conditionalFormatting sqref="D12">
    <cfRule type="cellIs" dxfId="881" priority="127" operator="equal">
      <formula>"No"</formula>
    </cfRule>
    <cfRule type="cellIs" dxfId="880" priority="128" operator="equal">
      <formula>"NA"</formula>
    </cfRule>
    <cfRule type="cellIs" dxfId="879" priority="129" operator="equal">
      <formula>"Yes"</formula>
    </cfRule>
  </conditionalFormatting>
  <conditionalFormatting sqref="D13">
    <cfRule type="cellIs" dxfId="878" priority="124" operator="equal">
      <formula>"No"</formula>
    </cfRule>
    <cfRule type="cellIs" dxfId="877" priority="125" operator="equal">
      <formula>"NA"</formula>
    </cfRule>
    <cfRule type="cellIs" dxfId="876" priority="126" operator="equal">
      <formula>"Yes"</formula>
    </cfRule>
  </conditionalFormatting>
  <conditionalFormatting sqref="D14">
    <cfRule type="cellIs" dxfId="875" priority="121" operator="equal">
      <formula>"No"</formula>
    </cfRule>
    <cfRule type="cellIs" dxfId="874" priority="122" operator="equal">
      <formula>"NA"</formula>
    </cfRule>
    <cfRule type="cellIs" dxfId="873" priority="123" operator="equal">
      <formula>"Yes"</formula>
    </cfRule>
  </conditionalFormatting>
  <conditionalFormatting sqref="D15">
    <cfRule type="cellIs" dxfId="872" priority="118" operator="equal">
      <formula>"No"</formula>
    </cfRule>
    <cfRule type="cellIs" dxfId="871" priority="119" operator="equal">
      <formula>"NA"</formula>
    </cfRule>
    <cfRule type="cellIs" dxfId="870" priority="120" operator="equal">
      <formula>"Yes"</formula>
    </cfRule>
  </conditionalFormatting>
  <conditionalFormatting sqref="D17">
    <cfRule type="cellIs" dxfId="869" priority="115" operator="equal">
      <formula>"No"</formula>
    </cfRule>
    <cfRule type="cellIs" dxfId="868" priority="116" operator="equal">
      <formula>"NA"</formula>
    </cfRule>
    <cfRule type="cellIs" dxfId="867" priority="117" operator="equal">
      <formula>"Yes"</formula>
    </cfRule>
  </conditionalFormatting>
  <conditionalFormatting sqref="D18">
    <cfRule type="cellIs" dxfId="866" priority="112" operator="equal">
      <formula>"No"</formula>
    </cfRule>
    <cfRule type="cellIs" dxfId="865" priority="113" operator="equal">
      <formula>"NA"</formula>
    </cfRule>
    <cfRule type="cellIs" dxfId="864" priority="114" operator="equal">
      <formula>"Yes"</formula>
    </cfRule>
  </conditionalFormatting>
  <conditionalFormatting sqref="D20">
    <cfRule type="cellIs" dxfId="863" priority="109" operator="equal">
      <formula>"No"</formula>
    </cfRule>
    <cfRule type="cellIs" dxfId="862" priority="110" operator="equal">
      <formula>"NA"</formula>
    </cfRule>
    <cfRule type="cellIs" dxfId="861" priority="111" operator="equal">
      <formula>"Yes"</formula>
    </cfRule>
  </conditionalFormatting>
  <conditionalFormatting sqref="D21">
    <cfRule type="cellIs" dxfId="860" priority="106" operator="equal">
      <formula>"No"</formula>
    </cfRule>
    <cfRule type="cellIs" dxfId="859" priority="107" operator="equal">
      <formula>"NA"</formula>
    </cfRule>
    <cfRule type="cellIs" dxfId="858" priority="108" operator="equal">
      <formula>"Yes"</formula>
    </cfRule>
  </conditionalFormatting>
  <conditionalFormatting sqref="D22">
    <cfRule type="cellIs" dxfId="857" priority="103" operator="equal">
      <formula>"No"</formula>
    </cfRule>
    <cfRule type="cellIs" dxfId="856" priority="104" operator="equal">
      <formula>"NA"</formula>
    </cfRule>
    <cfRule type="cellIs" dxfId="855" priority="105" operator="equal">
      <formula>"Yes"</formula>
    </cfRule>
  </conditionalFormatting>
  <conditionalFormatting sqref="D23">
    <cfRule type="cellIs" dxfId="854" priority="100" operator="equal">
      <formula>"No"</formula>
    </cfRule>
    <cfRule type="cellIs" dxfId="853" priority="101" operator="equal">
      <formula>"NA"</formula>
    </cfRule>
    <cfRule type="cellIs" dxfId="852" priority="102" operator="equal">
      <formula>"Yes"</formula>
    </cfRule>
  </conditionalFormatting>
  <conditionalFormatting sqref="D24">
    <cfRule type="cellIs" dxfId="851" priority="97" operator="equal">
      <formula>"No"</formula>
    </cfRule>
    <cfRule type="cellIs" dxfId="850" priority="98" operator="equal">
      <formula>"NA"</formula>
    </cfRule>
    <cfRule type="cellIs" dxfId="849" priority="99" operator="equal">
      <formula>"Yes"</formula>
    </cfRule>
  </conditionalFormatting>
  <conditionalFormatting sqref="D25">
    <cfRule type="cellIs" dxfId="848" priority="94" operator="equal">
      <formula>"No"</formula>
    </cfRule>
    <cfRule type="cellIs" dxfId="847" priority="95" operator="equal">
      <formula>"NA"</formula>
    </cfRule>
    <cfRule type="cellIs" dxfId="846" priority="96" operator="equal">
      <formula>"Yes"</formula>
    </cfRule>
  </conditionalFormatting>
  <conditionalFormatting sqref="D27">
    <cfRule type="cellIs" dxfId="845" priority="91" operator="equal">
      <formula>"No"</formula>
    </cfRule>
    <cfRule type="cellIs" dxfId="844" priority="92" operator="equal">
      <formula>"NA"</formula>
    </cfRule>
    <cfRule type="cellIs" dxfId="843" priority="93" operator="equal">
      <formula>"Yes"</formula>
    </cfRule>
  </conditionalFormatting>
  <conditionalFormatting sqref="D28">
    <cfRule type="cellIs" dxfId="842" priority="88" operator="equal">
      <formula>"No"</formula>
    </cfRule>
    <cfRule type="cellIs" dxfId="841" priority="89" operator="equal">
      <formula>"NA"</formula>
    </cfRule>
    <cfRule type="cellIs" dxfId="840" priority="90" operator="equal">
      <formula>"Yes"</formula>
    </cfRule>
  </conditionalFormatting>
  <conditionalFormatting sqref="D29">
    <cfRule type="cellIs" dxfId="839" priority="85" operator="equal">
      <formula>"No"</formula>
    </cfRule>
    <cfRule type="cellIs" dxfId="838" priority="86" operator="equal">
      <formula>"NA"</formula>
    </cfRule>
    <cfRule type="cellIs" dxfId="837" priority="87" operator="equal">
      <formula>"Yes"</formula>
    </cfRule>
  </conditionalFormatting>
  <conditionalFormatting sqref="D30">
    <cfRule type="cellIs" dxfId="836" priority="82" operator="equal">
      <formula>"No"</formula>
    </cfRule>
    <cfRule type="cellIs" dxfId="835" priority="83" operator="equal">
      <formula>"NA"</formula>
    </cfRule>
    <cfRule type="cellIs" dxfId="834" priority="84" operator="equal">
      <formula>"Yes"</formula>
    </cfRule>
  </conditionalFormatting>
  <conditionalFormatting sqref="D32">
    <cfRule type="cellIs" dxfId="833" priority="79" operator="equal">
      <formula>"No"</formula>
    </cfRule>
    <cfRule type="cellIs" dxfId="832" priority="80" operator="equal">
      <formula>"NA"</formula>
    </cfRule>
    <cfRule type="cellIs" dxfId="831" priority="81" operator="equal">
      <formula>"Yes"</formula>
    </cfRule>
  </conditionalFormatting>
  <conditionalFormatting sqref="D33">
    <cfRule type="cellIs" dxfId="830" priority="76" operator="equal">
      <formula>"No"</formula>
    </cfRule>
    <cfRule type="cellIs" dxfId="829" priority="77" operator="equal">
      <formula>"NA"</formula>
    </cfRule>
    <cfRule type="cellIs" dxfId="828" priority="78" operator="equal">
      <formula>"Yes"</formula>
    </cfRule>
  </conditionalFormatting>
  <conditionalFormatting sqref="D35">
    <cfRule type="cellIs" dxfId="827" priority="73" operator="equal">
      <formula>"No"</formula>
    </cfRule>
    <cfRule type="cellIs" dxfId="826" priority="74" operator="equal">
      <formula>"NA"</formula>
    </cfRule>
    <cfRule type="cellIs" dxfId="825" priority="75" operator="equal">
      <formula>"Yes"</formula>
    </cfRule>
  </conditionalFormatting>
  <conditionalFormatting sqref="E6:F6">
    <cfRule type="cellIs" dxfId="824" priority="70" operator="equal">
      <formula>"No"</formula>
    </cfRule>
    <cfRule type="cellIs" dxfId="823" priority="71" operator="equal">
      <formula>"NA"</formula>
    </cfRule>
    <cfRule type="cellIs" dxfId="822" priority="72" operator="equal">
      <formula>"Yes"</formula>
    </cfRule>
  </conditionalFormatting>
  <conditionalFormatting sqref="E7:F7">
    <cfRule type="cellIs" dxfId="821" priority="67" operator="equal">
      <formula>"No"</formula>
    </cfRule>
    <cfRule type="cellIs" dxfId="820" priority="68" operator="equal">
      <formula>"NA"</formula>
    </cfRule>
    <cfRule type="cellIs" dxfId="819" priority="69" operator="equal">
      <formula>"Yes"</formula>
    </cfRule>
  </conditionalFormatting>
  <conditionalFormatting sqref="E8:F8">
    <cfRule type="cellIs" dxfId="818" priority="64" operator="equal">
      <formula>"No"</formula>
    </cfRule>
    <cfRule type="cellIs" dxfId="817" priority="65" operator="equal">
      <formula>"NA"</formula>
    </cfRule>
    <cfRule type="cellIs" dxfId="816" priority="66" operator="equal">
      <formula>"Yes"</formula>
    </cfRule>
  </conditionalFormatting>
  <conditionalFormatting sqref="E9:F9">
    <cfRule type="cellIs" dxfId="815" priority="61" operator="equal">
      <formula>"No"</formula>
    </cfRule>
    <cfRule type="cellIs" dxfId="814" priority="62" operator="equal">
      <formula>"NA"</formula>
    </cfRule>
    <cfRule type="cellIs" dxfId="813" priority="63" operator="equal">
      <formula>"Yes"</formula>
    </cfRule>
  </conditionalFormatting>
  <conditionalFormatting sqref="E10:F10">
    <cfRule type="cellIs" dxfId="812" priority="58" operator="equal">
      <formula>"No"</formula>
    </cfRule>
    <cfRule type="cellIs" dxfId="811" priority="59" operator="equal">
      <formula>"NA"</formula>
    </cfRule>
    <cfRule type="cellIs" dxfId="810" priority="60" operator="equal">
      <formula>"Yes"</formula>
    </cfRule>
  </conditionalFormatting>
  <conditionalFormatting sqref="E12:F12">
    <cfRule type="cellIs" dxfId="809" priority="55" operator="equal">
      <formula>"No"</formula>
    </cfRule>
    <cfRule type="cellIs" dxfId="808" priority="56" operator="equal">
      <formula>"NA"</formula>
    </cfRule>
    <cfRule type="cellIs" dxfId="807" priority="57" operator="equal">
      <formula>"Yes"</formula>
    </cfRule>
  </conditionalFormatting>
  <conditionalFormatting sqref="E13:F13">
    <cfRule type="cellIs" dxfId="806" priority="52" operator="equal">
      <formula>"No"</formula>
    </cfRule>
    <cfRule type="cellIs" dxfId="805" priority="53" operator="equal">
      <formula>"NA"</formula>
    </cfRule>
    <cfRule type="cellIs" dxfId="804" priority="54" operator="equal">
      <formula>"Yes"</formula>
    </cfRule>
  </conditionalFormatting>
  <conditionalFormatting sqref="E14:F14">
    <cfRule type="cellIs" dxfId="803" priority="49" operator="equal">
      <formula>"No"</formula>
    </cfRule>
    <cfRule type="cellIs" dxfId="802" priority="50" operator="equal">
      <formula>"NA"</formula>
    </cfRule>
    <cfRule type="cellIs" dxfId="801" priority="51" operator="equal">
      <formula>"Yes"</formula>
    </cfRule>
  </conditionalFormatting>
  <conditionalFormatting sqref="E15:F15">
    <cfRule type="cellIs" dxfId="800" priority="46" operator="equal">
      <formula>"No"</formula>
    </cfRule>
    <cfRule type="cellIs" dxfId="799" priority="47" operator="equal">
      <formula>"NA"</formula>
    </cfRule>
    <cfRule type="cellIs" dxfId="798" priority="48" operator="equal">
      <formula>"Yes"</formula>
    </cfRule>
  </conditionalFormatting>
  <conditionalFormatting sqref="E17:F17">
    <cfRule type="cellIs" dxfId="797" priority="43" operator="equal">
      <formula>"No"</formula>
    </cfRule>
    <cfRule type="cellIs" dxfId="796" priority="44" operator="equal">
      <formula>"NA"</formula>
    </cfRule>
    <cfRule type="cellIs" dxfId="795" priority="45" operator="equal">
      <formula>"Yes"</formula>
    </cfRule>
  </conditionalFormatting>
  <conditionalFormatting sqref="E18:F18">
    <cfRule type="cellIs" dxfId="794" priority="40" operator="equal">
      <formula>"No"</formula>
    </cfRule>
    <cfRule type="cellIs" dxfId="793" priority="41" operator="equal">
      <formula>"NA"</formula>
    </cfRule>
    <cfRule type="cellIs" dxfId="792" priority="42" operator="equal">
      <formula>"Yes"</formula>
    </cfRule>
  </conditionalFormatting>
  <conditionalFormatting sqref="E20:F20">
    <cfRule type="cellIs" dxfId="791" priority="37" operator="equal">
      <formula>"No"</formula>
    </cfRule>
    <cfRule type="cellIs" dxfId="790" priority="38" operator="equal">
      <formula>"NA"</formula>
    </cfRule>
    <cfRule type="cellIs" dxfId="789" priority="39" operator="equal">
      <formula>"Yes"</formula>
    </cfRule>
  </conditionalFormatting>
  <conditionalFormatting sqref="E21:F21">
    <cfRule type="cellIs" dxfId="788" priority="34" operator="equal">
      <formula>"No"</formula>
    </cfRule>
    <cfRule type="cellIs" dxfId="787" priority="35" operator="equal">
      <formula>"NA"</formula>
    </cfRule>
    <cfRule type="cellIs" dxfId="786" priority="36" operator="equal">
      <formula>"Yes"</formula>
    </cfRule>
  </conditionalFormatting>
  <conditionalFormatting sqref="E22:F22">
    <cfRule type="cellIs" dxfId="785" priority="31" operator="equal">
      <formula>"No"</formula>
    </cfRule>
    <cfRule type="cellIs" dxfId="784" priority="32" operator="equal">
      <formula>"NA"</formula>
    </cfRule>
    <cfRule type="cellIs" dxfId="783" priority="33" operator="equal">
      <formula>"Yes"</formula>
    </cfRule>
  </conditionalFormatting>
  <conditionalFormatting sqref="E23:F23">
    <cfRule type="cellIs" dxfId="782" priority="28" operator="equal">
      <formula>"No"</formula>
    </cfRule>
    <cfRule type="cellIs" dxfId="781" priority="29" operator="equal">
      <formula>"NA"</formula>
    </cfRule>
    <cfRule type="cellIs" dxfId="780" priority="30" operator="equal">
      <formula>"Yes"</formula>
    </cfRule>
  </conditionalFormatting>
  <conditionalFormatting sqref="E24:F24">
    <cfRule type="cellIs" dxfId="779" priority="25" operator="equal">
      <formula>"No"</formula>
    </cfRule>
    <cfRule type="cellIs" dxfId="778" priority="26" operator="equal">
      <formula>"NA"</formula>
    </cfRule>
    <cfRule type="cellIs" dxfId="777" priority="27" operator="equal">
      <formula>"Yes"</formula>
    </cfRule>
  </conditionalFormatting>
  <conditionalFormatting sqref="E25:F25">
    <cfRule type="cellIs" dxfId="776" priority="22" operator="equal">
      <formula>"No"</formula>
    </cfRule>
    <cfRule type="cellIs" dxfId="775" priority="23" operator="equal">
      <formula>"NA"</formula>
    </cfRule>
    <cfRule type="cellIs" dxfId="774" priority="24" operator="equal">
      <formula>"Yes"</formula>
    </cfRule>
  </conditionalFormatting>
  <conditionalFormatting sqref="E27:F27">
    <cfRule type="cellIs" dxfId="773" priority="19" operator="equal">
      <formula>"No"</formula>
    </cfRule>
    <cfRule type="cellIs" dxfId="772" priority="20" operator="equal">
      <formula>"NA"</formula>
    </cfRule>
    <cfRule type="cellIs" dxfId="771" priority="21" operator="equal">
      <formula>"Yes"</formula>
    </cfRule>
  </conditionalFormatting>
  <conditionalFormatting sqref="E28:F28">
    <cfRule type="cellIs" dxfId="770" priority="16" operator="equal">
      <formula>"No"</formula>
    </cfRule>
    <cfRule type="cellIs" dxfId="769" priority="17" operator="equal">
      <formula>"NA"</formula>
    </cfRule>
    <cfRule type="cellIs" dxfId="768" priority="18" operator="equal">
      <formula>"Yes"</formula>
    </cfRule>
  </conditionalFormatting>
  <conditionalFormatting sqref="E29:F29">
    <cfRule type="cellIs" dxfId="767" priority="13" operator="equal">
      <formula>"No"</formula>
    </cfRule>
    <cfRule type="cellIs" dxfId="766" priority="14" operator="equal">
      <formula>"NA"</formula>
    </cfRule>
    <cfRule type="cellIs" dxfId="765" priority="15" operator="equal">
      <formula>"Yes"</formula>
    </cfRule>
  </conditionalFormatting>
  <conditionalFormatting sqref="E30:F30">
    <cfRule type="cellIs" dxfId="764" priority="10" operator="equal">
      <formula>"No"</formula>
    </cfRule>
    <cfRule type="cellIs" dxfId="763" priority="11" operator="equal">
      <formula>"NA"</formula>
    </cfRule>
    <cfRule type="cellIs" dxfId="762" priority="12" operator="equal">
      <formula>"Yes"</formula>
    </cfRule>
  </conditionalFormatting>
  <conditionalFormatting sqref="E32:F32">
    <cfRule type="cellIs" dxfId="761" priority="7" operator="equal">
      <formula>"No"</formula>
    </cfRule>
    <cfRule type="cellIs" dxfId="760" priority="8" operator="equal">
      <formula>"NA"</formula>
    </cfRule>
    <cfRule type="cellIs" dxfId="759" priority="9" operator="equal">
      <formula>"Yes"</formula>
    </cfRule>
  </conditionalFormatting>
  <conditionalFormatting sqref="E33:F33">
    <cfRule type="cellIs" dxfId="758" priority="4" operator="equal">
      <formula>"No"</formula>
    </cfRule>
    <cfRule type="cellIs" dxfId="757" priority="5" operator="equal">
      <formula>"NA"</formula>
    </cfRule>
    <cfRule type="cellIs" dxfId="756" priority="6" operator="equal">
      <formula>"Yes"</formula>
    </cfRule>
  </conditionalFormatting>
  <conditionalFormatting sqref="E35:F35">
    <cfRule type="cellIs" dxfId="755" priority="1" operator="equal">
      <formula>"No"</formula>
    </cfRule>
    <cfRule type="cellIs" dxfId="754" priority="2" operator="equal">
      <formula>"NA"</formula>
    </cfRule>
    <cfRule type="cellIs" dxfId="753" priority="3" operator="equal">
      <formula>"Yes"</formula>
    </cfRule>
  </conditionalFormatting>
  <dataValidations count="1">
    <dataValidation type="list" allowBlank="1" showInputMessage="1" showErrorMessage="1" sqref="C12:F15 C6:F10 C35:F35 C32:F33 C27:F30 C20:F25 C17:F18" xr:uid="{AA3BE0C4-8609-4882-82CA-893F5156A66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O36"/>
  <sheetViews>
    <sheetView workbookViewId="0">
      <selection activeCell="L9" sqref="L9"/>
    </sheetView>
  </sheetViews>
  <sheetFormatPr defaultColWidth="9.28515625" defaultRowHeight="12.75" outlineLevelCol="1"/>
  <cols>
    <col min="1" max="1" width="12.5703125" style="147" bestFit="1" customWidth="1"/>
    <col min="2" max="2" width="61" style="145" customWidth="1"/>
    <col min="3" max="11" width="6.28515625" style="144" bestFit="1" customWidth="1"/>
    <col min="12" max="12" width="33.7109375" style="144" customWidth="1"/>
    <col min="13" max="14" width="30.7109375" style="144" customWidth="1" outlineLevel="1"/>
    <col min="15" max="16384" width="9.28515625" style="144"/>
  </cols>
  <sheetData>
    <row r="2" spans="1:15" ht="139.5" customHeight="1">
      <c r="A2" s="196" t="s">
        <v>506</v>
      </c>
      <c r="B2" s="197" t="s">
        <v>1054</v>
      </c>
      <c r="C2" s="228" t="s">
        <v>1055</v>
      </c>
      <c r="D2" s="228" t="s">
        <v>1056</v>
      </c>
      <c r="E2" s="228" t="s">
        <v>1057</v>
      </c>
      <c r="F2" s="228" t="s">
        <v>1058</v>
      </c>
      <c r="G2" s="228" t="s">
        <v>1059</v>
      </c>
      <c r="H2" s="228" t="s">
        <v>1060</v>
      </c>
      <c r="I2" s="228" t="s">
        <v>1061</v>
      </c>
      <c r="J2" s="228" t="s">
        <v>1062</v>
      </c>
      <c r="K2" s="228" t="s">
        <v>1063</v>
      </c>
      <c r="L2" s="199" t="s">
        <v>509</v>
      </c>
      <c r="M2" s="353" t="s">
        <v>167</v>
      </c>
      <c r="N2" s="354"/>
    </row>
    <row r="3" spans="1:15" ht="18.75">
      <c r="A3" s="200"/>
      <c r="B3" s="201"/>
      <c r="C3" s="202">
        <f t="shared" ref="C3:K3" si="0">COUNTIF(Review.ratings,"Yes") / ( COUNTA(Review.QuestionIds) - COUNTIF(Review.ratings,"NA"))</f>
        <v>1</v>
      </c>
      <c r="D3" s="202">
        <f t="shared" si="0"/>
        <v>1</v>
      </c>
      <c r="E3" s="202">
        <f t="shared" si="0"/>
        <v>1</v>
      </c>
      <c r="F3" s="202">
        <f t="shared" si="0"/>
        <v>1</v>
      </c>
      <c r="G3" s="202">
        <f t="shared" si="0"/>
        <v>1</v>
      </c>
      <c r="H3" s="202">
        <f t="shared" si="0"/>
        <v>1</v>
      </c>
      <c r="I3" s="202">
        <f t="shared" si="0"/>
        <v>1</v>
      </c>
      <c r="J3" s="202">
        <f t="shared" si="0"/>
        <v>1</v>
      </c>
      <c r="K3" s="202">
        <f t="shared" si="0"/>
        <v>1</v>
      </c>
      <c r="L3" s="207"/>
      <c r="M3" s="215" t="s">
        <v>510</v>
      </c>
      <c r="N3" s="215" t="s">
        <v>511</v>
      </c>
      <c r="O3" s="208"/>
    </row>
    <row r="4" spans="1:15" ht="36">
      <c r="A4" s="203"/>
      <c r="B4" s="204" t="s">
        <v>512</v>
      </c>
      <c r="C4" s="205"/>
      <c r="D4" s="205"/>
      <c r="E4" s="205"/>
      <c r="F4" s="205"/>
      <c r="G4" s="205"/>
      <c r="H4" s="205"/>
      <c r="I4" s="205"/>
      <c r="J4" s="205"/>
      <c r="K4" s="205"/>
      <c r="L4" s="205"/>
      <c r="M4" s="205"/>
      <c r="N4" s="206"/>
      <c r="O4" s="23"/>
    </row>
    <row r="5" spans="1:15" ht="18.75">
      <c r="A5" s="148"/>
      <c r="B5" s="157" t="s">
        <v>1015</v>
      </c>
      <c r="C5" s="149"/>
      <c r="D5" s="149"/>
      <c r="E5" s="149"/>
      <c r="F5" s="149"/>
      <c r="G5" s="149"/>
      <c r="H5" s="149"/>
      <c r="I5" s="149"/>
      <c r="J5" s="149"/>
      <c r="K5" s="149"/>
      <c r="L5" s="149"/>
      <c r="M5" s="215"/>
      <c r="N5" s="215"/>
    </row>
    <row r="6" spans="1:15" ht="25.5">
      <c r="A6" s="151" t="s">
        <v>1016</v>
      </c>
      <c r="B6" s="160" t="s">
        <v>1017</v>
      </c>
      <c r="C6" s="209" t="s">
        <v>112</v>
      </c>
      <c r="D6" s="209" t="s">
        <v>112</v>
      </c>
      <c r="E6" s="209" t="s">
        <v>112</v>
      </c>
      <c r="F6" s="209" t="s">
        <v>112</v>
      </c>
      <c r="G6" s="209" t="s">
        <v>112</v>
      </c>
      <c r="H6" s="209" t="s">
        <v>112</v>
      </c>
      <c r="I6" s="209" t="s">
        <v>112</v>
      </c>
      <c r="J6" s="209" t="s">
        <v>112</v>
      </c>
      <c r="K6" s="209" t="s">
        <v>112</v>
      </c>
      <c r="L6" s="210"/>
      <c r="M6" s="150"/>
      <c r="N6" s="150"/>
    </row>
    <row r="7" spans="1:15" ht="38.25">
      <c r="A7" s="151" t="s">
        <v>1018</v>
      </c>
      <c r="B7" s="160" t="s">
        <v>1019</v>
      </c>
      <c r="C7" s="209" t="s">
        <v>112</v>
      </c>
      <c r="D7" s="209" t="s">
        <v>112</v>
      </c>
      <c r="E7" s="209" t="s">
        <v>112</v>
      </c>
      <c r="F7" s="209" t="s">
        <v>112</v>
      </c>
      <c r="G7" s="209" t="s">
        <v>112</v>
      </c>
      <c r="H7" s="209" t="s">
        <v>112</v>
      </c>
      <c r="I7" s="209" t="s">
        <v>112</v>
      </c>
      <c r="J7" s="209" t="s">
        <v>112</v>
      </c>
      <c r="K7" s="209" t="s">
        <v>112</v>
      </c>
      <c r="L7" s="210"/>
      <c r="M7" s="152" t="s">
        <v>1020</v>
      </c>
      <c r="N7" s="150"/>
    </row>
    <row r="8" spans="1:15" ht="38.25">
      <c r="A8" s="151" t="s">
        <v>1064</v>
      </c>
      <c r="B8" s="160" t="s">
        <v>1065</v>
      </c>
      <c r="C8" s="209" t="s">
        <v>112</v>
      </c>
      <c r="D8" s="209" t="s">
        <v>112</v>
      </c>
      <c r="E8" s="209" t="s">
        <v>112</v>
      </c>
      <c r="F8" s="209" t="s">
        <v>112</v>
      </c>
      <c r="G8" s="209" t="s">
        <v>112</v>
      </c>
      <c r="H8" s="209" t="s">
        <v>112</v>
      </c>
      <c r="I8" s="209" t="s">
        <v>112</v>
      </c>
      <c r="J8" s="209" t="s">
        <v>112</v>
      </c>
      <c r="K8" s="209" t="s">
        <v>112</v>
      </c>
      <c r="L8" s="210"/>
      <c r="M8" s="150"/>
      <c r="N8" s="150"/>
    </row>
    <row r="9" spans="1:15" ht="38.25">
      <c r="A9" s="151" t="s">
        <v>1066</v>
      </c>
      <c r="B9" s="160" t="s">
        <v>1067</v>
      </c>
      <c r="C9" s="209" t="s">
        <v>112</v>
      </c>
      <c r="D9" s="209" t="s">
        <v>112</v>
      </c>
      <c r="E9" s="209" t="s">
        <v>112</v>
      </c>
      <c r="F9" s="209" t="s">
        <v>112</v>
      </c>
      <c r="G9" s="209" t="s">
        <v>112</v>
      </c>
      <c r="H9" s="209" t="s">
        <v>112</v>
      </c>
      <c r="I9" s="209" t="s">
        <v>112</v>
      </c>
      <c r="J9" s="209" t="s">
        <v>112</v>
      </c>
      <c r="K9" s="209" t="s">
        <v>112</v>
      </c>
      <c r="L9" s="210"/>
      <c r="M9" s="150"/>
      <c r="N9" s="150"/>
    </row>
    <row r="10" spans="1:15" ht="25.5">
      <c r="A10" s="151" t="s">
        <v>1068</v>
      </c>
      <c r="B10" s="160" t="s">
        <v>1069</v>
      </c>
      <c r="C10" s="209" t="s">
        <v>112</v>
      </c>
      <c r="D10" s="209" t="s">
        <v>112</v>
      </c>
      <c r="E10" s="209" t="s">
        <v>112</v>
      </c>
      <c r="F10" s="209" t="s">
        <v>112</v>
      </c>
      <c r="G10" s="209" t="s">
        <v>112</v>
      </c>
      <c r="H10" s="209" t="s">
        <v>112</v>
      </c>
      <c r="I10" s="209" t="s">
        <v>112</v>
      </c>
      <c r="J10" s="209" t="s">
        <v>112</v>
      </c>
      <c r="K10" s="209" t="s">
        <v>112</v>
      </c>
      <c r="L10" s="210"/>
      <c r="M10" s="150"/>
      <c r="N10" s="150"/>
    </row>
    <row r="11" spans="1:15" ht="25.5">
      <c r="A11" s="151" t="s">
        <v>1021</v>
      </c>
      <c r="B11" s="160" t="s">
        <v>1022</v>
      </c>
      <c r="C11" s="209" t="s">
        <v>112</v>
      </c>
      <c r="D11" s="209" t="s">
        <v>112</v>
      </c>
      <c r="E11" s="209" t="s">
        <v>112</v>
      </c>
      <c r="F11" s="209" t="s">
        <v>112</v>
      </c>
      <c r="G11" s="209" t="s">
        <v>112</v>
      </c>
      <c r="H11" s="209" t="s">
        <v>112</v>
      </c>
      <c r="I11" s="209" t="s">
        <v>112</v>
      </c>
      <c r="J11" s="209" t="s">
        <v>112</v>
      </c>
      <c r="K11" s="209" t="s">
        <v>112</v>
      </c>
      <c r="L11" s="210"/>
      <c r="M11" s="150"/>
      <c r="N11" s="150"/>
    </row>
    <row r="12" spans="1:15" ht="51">
      <c r="A12" s="151" t="s">
        <v>1070</v>
      </c>
      <c r="B12" s="160" t="s">
        <v>1071</v>
      </c>
      <c r="C12" s="209" t="s">
        <v>112</v>
      </c>
      <c r="D12" s="209" t="s">
        <v>112</v>
      </c>
      <c r="E12" s="209" t="s">
        <v>112</v>
      </c>
      <c r="F12" s="209" t="s">
        <v>112</v>
      </c>
      <c r="G12" s="209" t="s">
        <v>112</v>
      </c>
      <c r="H12" s="209" t="s">
        <v>112</v>
      </c>
      <c r="I12" s="209" t="s">
        <v>112</v>
      </c>
      <c r="J12" s="209" t="s">
        <v>112</v>
      </c>
      <c r="K12" s="209" t="s">
        <v>112</v>
      </c>
      <c r="L12" s="210"/>
      <c r="M12" s="150"/>
      <c r="N12" s="150"/>
    </row>
    <row r="13" spans="1:15" ht="25.5">
      <c r="A13" s="151" t="s">
        <v>1023</v>
      </c>
      <c r="B13" s="160" t="s">
        <v>1024</v>
      </c>
      <c r="C13" s="209" t="s">
        <v>112</v>
      </c>
      <c r="D13" s="209" t="s">
        <v>112</v>
      </c>
      <c r="E13" s="209" t="s">
        <v>112</v>
      </c>
      <c r="F13" s="209" t="s">
        <v>112</v>
      </c>
      <c r="G13" s="209" t="s">
        <v>112</v>
      </c>
      <c r="H13" s="209" t="s">
        <v>112</v>
      </c>
      <c r="I13" s="209" t="s">
        <v>112</v>
      </c>
      <c r="J13" s="209" t="s">
        <v>112</v>
      </c>
      <c r="K13" s="209" t="s">
        <v>112</v>
      </c>
      <c r="L13" s="210"/>
      <c r="M13" s="150"/>
      <c r="N13" s="150"/>
    </row>
    <row r="14" spans="1:15" ht="38.25">
      <c r="A14" s="151" t="s">
        <v>1025</v>
      </c>
      <c r="B14" s="160" t="s">
        <v>1026</v>
      </c>
      <c r="C14" s="209" t="s">
        <v>112</v>
      </c>
      <c r="D14" s="209" t="s">
        <v>112</v>
      </c>
      <c r="E14" s="209" t="s">
        <v>112</v>
      </c>
      <c r="F14" s="209" t="s">
        <v>112</v>
      </c>
      <c r="G14" s="209" t="s">
        <v>112</v>
      </c>
      <c r="H14" s="209" t="s">
        <v>112</v>
      </c>
      <c r="I14" s="209" t="s">
        <v>112</v>
      </c>
      <c r="J14" s="209" t="s">
        <v>112</v>
      </c>
      <c r="K14" s="209" t="s">
        <v>112</v>
      </c>
      <c r="L14" s="210"/>
      <c r="M14" s="150"/>
      <c r="N14" s="150"/>
    </row>
    <row r="15" spans="1:15" ht="18.75">
      <c r="A15" s="148"/>
      <c r="B15" s="157" t="s">
        <v>1027</v>
      </c>
      <c r="C15" s="149"/>
      <c r="D15" s="149"/>
      <c r="E15" s="149"/>
      <c r="F15" s="149"/>
      <c r="G15" s="149"/>
      <c r="H15" s="149"/>
      <c r="I15" s="149"/>
      <c r="J15" s="149"/>
      <c r="K15" s="149"/>
      <c r="L15" s="149"/>
      <c r="M15" s="215"/>
      <c r="N15" s="215"/>
    </row>
    <row r="16" spans="1:15" ht="63.75">
      <c r="A16" s="151" t="s">
        <v>1028</v>
      </c>
      <c r="B16" s="160" t="s">
        <v>1029</v>
      </c>
      <c r="C16" s="209" t="s">
        <v>116</v>
      </c>
      <c r="D16" s="209" t="s">
        <v>116</v>
      </c>
      <c r="E16" s="209" t="s">
        <v>116</v>
      </c>
      <c r="F16" s="209" t="s">
        <v>116</v>
      </c>
      <c r="G16" s="209" t="s">
        <v>116</v>
      </c>
      <c r="H16" s="209" t="s">
        <v>116</v>
      </c>
      <c r="I16" s="209" t="s">
        <v>116</v>
      </c>
      <c r="J16" s="209" t="s">
        <v>116</v>
      </c>
      <c r="K16" s="209" t="s">
        <v>116</v>
      </c>
      <c r="L16" s="219" t="s">
        <v>1072</v>
      </c>
      <c r="M16" s="150"/>
      <c r="N16" s="150"/>
    </row>
    <row r="17" spans="1:14" ht="63.75">
      <c r="A17" s="151" t="s">
        <v>1031</v>
      </c>
      <c r="B17" s="160" t="s">
        <v>1032</v>
      </c>
      <c r="C17" s="209" t="s">
        <v>116</v>
      </c>
      <c r="D17" s="209" t="s">
        <v>116</v>
      </c>
      <c r="E17" s="209" t="s">
        <v>116</v>
      </c>
      <c r="F17" s="209" t="s">
        <v>116</v>
      </c>
      <c r="G17" s="209" t="s">
        <v>116</v>
      </c>
      <c r="H17" s="209" t="s">
        <v>116</v>
      </c>
      <c r="I17" s="209" t="s">
        <v>116</v>
      </c>
      <c r="J17" s="209" t="s">
        <v>116</v>
      </c>
      <c r="K17" s="209" t="s">
        <v>116</v>
      </c>
      <c r="L17" s="219" t="s">
        <v>1072</v>
      </c>
      <c r="M17" s="150"/>
      <c r="N17" s="150"/>
    </row>
    <row r="18" spans="1:14" ht="51">
      <c r="A18" s="151" t="s">
        <v>1033</v>
      </c>
      <c r="B18" s="160" t="s">
        <v>1034</v>
      </c>
      <c r="C18" s="209" t="s">
        <v>116</v>
      </c>
      <c r="D18" s="209" t="s">
        <v>116</v>
      </c>
      <c r="E18" s="209" t="s">
        <v>116</v>
      </c>
      <c r="F18" s="209" t="s">
        <v>116</v>
      </c>
      <c r="G18" s="209" t="s">
        <v>116</v>
      </c>
      <c r="H18" s="209" t="s">
        <v>116</v>
      </c>
      <c r="I18" s="209" t="s">
        <v>116</v>
      </c>
      <c r="J18" s="209" t="s">
        <v>116</v>
      </c>
      <c r="K18" s="209" t="s">
        <v>116</v>
      </c>
      <c r="L18" s="219" t="s">
        <v>1072</v>
      </c>
      <c r="M18" s="150"/>
      <c r="N18" s="150"/>
    </row>
    <row r="19" spans="1:14" ht="25.5">
      <c r="A19" s="151" t="s">
        <v>1035</v>
      </c>
      <c r="B19" s="160" t="s">
        <v>1036</v>
      </c>
      <c r="C19" s="209" t="s">
        <v>116</v>
      </c>
      <c r="D19" s="209" t="s">
        <v>116</v>
      </c>
      <c r="E19" s="209" t="s">
        <v>116</v>
      </c>
      <c r="F19" s="209" t="s">
        <v>116</v>
      </c>
      <c r="G19" s="209" t="s">
        <v>116</v>
      </c>
      <c r="H19" s="209" t="s">
        <v>116</v>
      </c>
      <c r="I19" s="209" t="s">
        <v>116</v>
      </c>
      <c r="J19" s="209" t="s">
        <v>116</v>
      </c>
      <c r="K19" s="209" t="s">
        <v>116</v>
      </c>
      <c r="L19" s="219" t="s">
        <v>1072</v>
      </c>
      <c r="M19" s="150"/>
      <c r="N19" s="150"/>
    </row>
    <row r="20" spans="1:14" ht="18.75">
      <c r="A20" s="148"/>
      <c r="B20" s="157" t="s">
        <v>924</v>
      </c>
      <c r="C20" s="149"/>
      <c r="D20" s="149"/>
      <c r="E20" s="149"/>
      <c r="F20" s="149"/>
      <c r="G20" s="149"/>
      <c r="H20" s="149"/>
      <c r="I20" s="149"/>
      <c r="J20" s="149"/>
      <c r="K20" s="149"/>
      <c r="L20" s="149"/>
      <c r="M20" s="215"/>
      <c r="N20" s="215"/>
    </row>
    <row r="21" spans="1:14" ht="38.25">
      <c r="A21" s="151" t="s">
        <v>1073</v>
      </c>
      <c r="B21" s="160" t="s">
        <v>1074</v>
      </c>
      <c r="C21" s="209" t="s">
        <v>116</v>
      </c>
      <c r="D21" s="209" t="s">
        <v>116</v>
      </c>
      <c r="E21" s="209" t="s">
        <v>116</v>
      </c>
      <c r="F21" s="209" t="s">
        <v>116</v>
      </c>
      <c r="G21" s="209" t="s">
        <v>116</v>
      </c>
      <c r="H21" s="209" t="s">
        <v>116</v>
      </c>
      <c r="I21" s="209" t="s">
        <v>116</v>
      </c>
      <c r="J21" s="209" t="s">
        <v>116</v>
      </c>
      <c r="K21" s="209" t="s">
        <v>116</v>
      </c>
      <c r="L21" s="210"/>
      <c r="M21" s="150"/>
      <c r="N21" s="150"/>
    </row>
    <row r="22" spans="1:14" ht="38.25">
      <c r="A22" s="151" t="s">
        <v>1075</v>
      </c>
      <c r="B22" s="160" t="s">
        <v>1076</v>
      </c>
      <c r="C22" s="209" t="s">
        <v>116</v>
      </c>
      <c r="D22" s="209" t="s">
        <v>116</v>
      </c>
      <c r="E22" s="209" t="s">
        <v>116</v>
      </c>
      <c r="F22" s="209" t="s">
        <v>116</v>
      </c>
      <c r="G22" s="209" t="s">
        <v>116</v>
      </c>
      <c r="H22" s="209" t="s">
        <v>116</v>
      </c>
      <c r="I22" s="209" t="s">
        <v>116</v>
      </c>
      <c r="J22" s="209" t="s">
        <v>116</v>
      </c>
      <c r="K22" s="209" t="s">
        <v>116</v>
      </c>
      <c r="L22" s="210"/>
      <c r="M22" s="150"/>
      <c r="N22" s="150"/>
    </row>
    <row r="23" spans="1:14" ht="51">
      <c r="A23" s="151" t="s">
        <v>1077</v>
      </c>
      <c r="B23" s="160" t="s">
        <v>1042</v>
      </c>
      <c r="C23" s="209" t="s">
        <v>116</v>
      </c>
      <c r="D23" s="209" t="s">
        <v>116</v>
      </c>
      <c r="E23" s="209" t="s">
        <v>116</v>
      </c>
      <c r="F23" s="209" t="s">
        <v>116</v>
      </c>
      <c r="G23" s="209" t="s">
        <v>116</v>
      </c>
      <c r="H23" s="209" t="s">
        <v>116</v>
      </c>
      <c r="I23" s="209" t="s">
        <v>116</v>
      </c>
      <c r="J23" s="209" t="s">
        <v>116</v>
      </c>
      <c r="K23" s="209" t="s">
        <v>116</v>
      </c>
      <c r="L23" s="210"/>
      <c r="M23" s="150"/>
      <c r="N23" s="150"/>
    </row>
    <row r="24" spans="1:14" ht="18.75">
      <c r="A24" s="148"/>
      <c r="B24" s="157" t="s">
        <v>570</v>
      </c>
      <c r="C24" s="149"/>
      <c r="D24" s="149"/>
      <c r="E24" s="149"/>
      <c r="F24" s="149"/>
      <c r="G24" s="149"/>
      <c r="H24" s="149"/>
      <c r="I24" s="149"/>
      <c r="J24" s="149"/>
      <c r="K24" s="149"/>
      <c r="L24" s="149"/>
      <c r="M24" s="215"/>
      <c r="N24" s="215"/>
    </row>
    <row r="25" spans="1:14" ht="38.25">
      <c r="A25" s="151" t="s">
        <v>571</v>
      </c>
      <c r="B25" s="160" t="s">
        <v>572</v>
      </c>
      <c r="C25" s="209" t="s">
        <v>112</v>
      </c>
      <c r="D25" s="209" t="s">
        <v>112</v>
      </c>
      <c r="E25" s="209" t="s">
        <v>112</v>
      </c>
      <c r="F25" s="209" t="s">
        <v>112</v>
      </c>
      <c r="G25" s="209" t="s">
        <v>112</v>
      </c>
      <c r="H25" s="209" t="s">
        <v>112</v>
      </c>
      <c r="I25" s="209" t="s">
        <v>112</v>
      </c>
      <c r="J25" s="209" t="s">
        <v>112</v>
      </c>
      <c r="K25" s="209" t="s">
        <v>112</v>
      </c>
      <c r="L25" s="210"/>
      <c r="M25" s="150"/>
      <c r="N25" s="150"/>
    </row>
    <row r="26" spans="1:14" ht="25.5">
      <c r="A26" s="151" t="s">
        <v>573</v>
      </c>
      <c r="B26" s="160" t="s">
        <v>574</v>
      </c>
      <c r="C26" s="209" t="s">
        <v>112</v>
      </c>
      <c r="D26" s="209" t="s">
        <v>112</v>
      </c>
      <c r="E26" s="209" t="s">
        <v>112</v>
      </c>
      <c r="F26" s="209" t="s">
        <v>112</v>
      </c>
      <c r="G26" s="209" t="s">
        <v>112</v>
      </c>
      <c r="H26" s="209" t="s">
        <v>112</v>
      </c>
      <c r="I26" s="209" t="s">
        <v>112</v>
      </c>
      <c r="J26" s="209" t="s">
        <v>112</v>
      </c>
      <c r="K26" s="209" t="s">
        <v>112</v>
      </c>
      <c r="L26" s="210"/>
      <c r="M26" s="150"/>
      <c r="N26" s="150"/>
    </row>
    <row r="27" spans="1:14" ht="38.25">
      <c r="A27" s="151" t="s">
        <v>575</v>
      </c>
      <c r="B27" s="160" t="s">
        <v>576</v>
      </c>
      <c r="C27" s="209" t="s">
        <v>112</v>
      </c>
      <c r="D27" s="209" t="s">
        <v>112</v>
      </c>
      <c r="E27" s="209" t="s">
        <v>112</v>
      </c>
      <c r="F27" s="209" t="s">
        <v>112</v>
      </c>
      <c r="G27" s="209" t="s">
        <v>112</v>
      </c>
      <c r="H27" s="209" t="s">
        <v>112</v>
      </c>
      <c r="I27" s="209" t="s">
        <v>112</v>
      </c>
      <c r="J27" s="209" t="s">
        <v>112</v>
      </c>
      <c r="K27" s="209" t="s">
        <v>112</v>
      </c>
      <c r="L27" s="210"/>
      <c r="M27" s="150"/>
      <c r="N27" s="150"/>
    </row>
    <row r="28" spans="1:14" ht="38.25">
      <c r="A28" s="151" t="s">
        <v>577</v>
      </c>
      <c r="B28" s="160" t="s">
        <v>578</v>
      </c>
      <c r="C28" s="209" t="s">
        <v>112</v>
      </c>
      <c r="D28" s="209" t="s">
        <v>112</v>
      </c>
      <c r="E28" s="209" t="s">
        <v>112</v>
      </c>
      <c r="F28" s="209" t="s">
        <v>112</v>
      </c>
      <c r="G28" s="209" t="s">
        <v>112</v>
      </c>
      <c r="H28" s="209" t="s">
        <v>112</v>
      </c>
      <c r="I28" s="209" t="s">
        <v>112</v>
      </c>
      <c r="J28" s="209" t="s">
        <v>112</v>
      </c>
      <c r="K28" s="209" t="s">
        <v>112</v>
      </c>
      <c r="L28" s="210"/>
      <c r="M28" s="150"/>
      <c r="N28" s="150"/>
    </row>
    <row r="29" spans="1:14" ht="18.75">
      <c r="A29" s="148"/>
      <c r="B29" s="157" t="s">
        <v>579</v>
      </c>
      <c r="C29" s="149"/>
      <c r="D29" s="149"/>
      <c r="E29" s="149"/>
      <c r="F29" s="149"/>
      <c r="G29" s="149"/>
      <c r="H29" s="149"/>
      <c r="I29" s="149"/>
      <c r="J29" s="149"/>
      <c r="K29" s="149"/>
      <c r="L29" s="149"/>
      <c r="M29" s="215"/>
      <c r="N29" s="215"/>
    </row>
    <row r="30" spans="1:14" ht="38.25">
      <c r="A30" s="151" t="s">
        <v>580</v>
      </c>
      <c r="B30" s="160" t="s">
        <v>581</v>
      </c>
      <c r="C30" s="209" t="s">
        <v>112</v>
      </c>
      <c r="D30" s="209" t="s">
        <v>112</v>
      </c>
      <c r="E30" s="209" t="s">
        <v>112</v>
      </c>
      <c r="F30" s="209" t="s">
        <v>112</v>
      </c>
      <c r="G30" s="209" t="s">
        <v>112</v>
      </c>
      <c r="H30" s="209" t="s">
        <v>112</v>
      </c>
      <c r="I30" s="209" t="s">
        <v>112</v>
      </c>
      <c r="J30" s="209" t="s">
        <v>112</v>
      </c>
      <c r="K30" s="209" t="s">
        <v>112</v>
      </c>
      <c r="L30" s="210"/>
      <c r="M30" s="150"/>
      <c r="N30" s="150"/>
    </row>
    <row r="31" spans="1:14" ht="38.25">
      <c r="A31" s="151" t="s">
        <v>582</v>
      </c>
      <c r="B31" s="160" t="s">
        <v>583</v>
      </c>
      <c r="C31" s="209" t="s">
        <v>112</v>
      </c>
      <c r="D31" s="209" t="s">
        <v>112</v>
      </c>
      <c r="E31" s="209" t="s">
        <v>112</v>
      </c>
      <c r="F31" s="209" t="s">
        <v>112</v>
      </c>
      <c r="G31" s="209" t="s">
        <v>112</v>
      </c>
      <c r="H31" s="209" t="s">
        <v>112</v>
      </c>
      <c r="I31" s="209" t="s">
        <v>112</v>
      </c>
      <c r="J31" s="209" t="s">
        <v>112</v>
      </c>
      <c r="K31" s="209" t="s">
        <v>112</v>
      </c>
      <c r="L31" s="210"/>
      <c r="M31" s="150"/>
      <c r="N31" s="150"/>
    </row>
    <row r="32" spans="1:14" ht="18.75">
      <c r="A32" s="148"/>
      <c r="B32" s="157" t="s">
        <v>584</v>
      </c>
      <c r="C32" s="149"/>
      <c r="D32" s="149"/>
      <c r="E32" s="149"/>
      <c r="F32" s="149"/>
      <c r="G32" s="149"/>
      <c r="H32" s="149"/>
      <c r="I32" s="149"/>
      <c r="J32" s="149"/>
      <c r="K32" s="149"/>
      <c r="L32" s="149"/>
      <c r="M32" s="215"/>
      <c r="N32" s="215"/>
    </row>
    <row r="33" spans="1:14" ht="51">
      <c r="A33" s="151" t="s">
        <v>585</v>
      </c>
      <c r="B33" s="160" t="s">
        <v>586</v>
      </c>
      <c r="C33" s="209" t="s">
        <v>116</v>
      </c>
      <c r="D33" s="209" t="s">
        <v>116</v>
      </c>
      <c r="E33" s="209" t="s">
        <v>116</v>
      </c>
      <c r="F33" s="209" t="s">
        <v>116</v>
      </c>
      <c r="G33" s="209" t="s">
        <v>116</v>
      </c>
      <c r="H33" s="209" t="s">
        <v>116</v>
      </c>
      <c r="I33" s="209" t="s">
        <v>116</v>
      </c>
      <c r="J33" s="209" t="s">
        <v>116</v>
      </c>
      <c r="K33" s="209" t="s">
        <v>116</v>
      </c>
      <c r="L33" s="210"/>
      <c r="M33" s="150"/>
      <c r="N33" s="150"/>
    </row>
    <row r="34" spans="1:14" ht="18">
      <c r="A34" s="211"/>
      <c r="B34" s="212" t="s">
        <v>587</v>
      </c>
      <c r="C34" s="211"/>
      <c r="D34" s="211"/>
      <c r="E34" s="211"/>
      <c r="F34" s="211"/>
      <c r="G34" s="211"/>
      <c r="H34" s="211"/>
      <c r="I34" s="211"/>
      <c r="J34" s="211"/>
      <c r="K34" s="211"/>
      <c r="L34" s="211"/>
      <c r="M34" s="211"/>
      <c r="N34" s="211"/>
    </row>
    <row r="35" spans="1:14">
      <c r="A35" s="151"/>
      <c r="B35" s="160"/>
    </row>
    <row r="36" spans="1:14" ht="15">
      <c r="A36" s="213"/>
      <c r="B36" s="214" t="s">
        <v>588</v>
      </c>
      <c r="C36" s="213"/>
      <c r="D36" s="213"/>
      <c r="E36" s="213"/>
      <c r="F36" s="213"/>
      <c r="G36" s="213"/>
      <c r="H36" s="213"/>
      <c r="I36" s="213"/>
      <c r="J36" s="213"/>
      <c r="K36" s="213"/>
      <c r="L36" s="213"/>
      <c r="M36" s="213"/>
      <c r="N36" s="213"/>
    </row>
  </sheetData>
  <mergeCells count="1">
    <mergeCell ref="M2:N2"/>
  </mergeCells>
  <conditionalFormatting sqref="C6">
    <cfRule type="cellIs" dxfId="752" priority="1608" operator="equal">
      <formula>"No"</formula>
    </cfRule>
    <cfRule type="cellIs" dxfId="751" priority="1609" operator="equal">
      <formula>"NA"</formula>
    </cfRule>
    <cfRule type="cellIs" dxfId="750" priority="1610" operator="equal">
      <formula>"Yes"</formula>
    </cfRule>
  </conditionalFormatting>
  <conditionalFormatting sqref="C7">
    <cfRule type="cellIs" dxfId="749" priority="1562" operator="equal">
      <formula>"No"</formula>
    </cfRule>
    <cfRule type="cellIs" dxfId="748" priority="1563" operator="equal">
      <formula>"NA"</formula>
    </cfRule>
    <cfRule type="cellIs" dxfId="747" priority="1564" operator="equal">
      <formula>"Yes"</formula>
    </cfRule>
  </conditionalFormatting>
  <conditionalFormatting sqref="C8">
    <cfRule type="cellIs" dxfId="746" priority="1516" operator="equal">
      <formula>"No"</formula>
    </cfRule>
    <cfRule type="cellIs" dxfId="745" priority="1517" operator="equal">
      <formula>"NA"</formula>
    </cfRule>
    <cfRule type="cellIs" dxfId="744" priority="1518" operator="equal">
      <formula>"Yes"</formula>
    </cfRule>
  </conditionalFormatting>
  <conditionalFormatting sqref="C9">
    <cfRule type="cellIs" dxfId="743" priority="1470" operator="equal">
      <formula>"No"</formula>
    </cfRule>
    <cfRule type="cellIs" dxfId="742" priority="1471" operator="equal">
      <formula>"NA"</formula>
    </cfRule>
    <cfRule type="cellIs" dxfId="741" priority="1472" operator="equal">
      <formula>"Yes"</formula>
    </cfRule>
  </conditionalFormatting>
  <conditionalFormatting sqref="C10">
    <cfRule type="cellIs" dxfId="740" priority="1424" operator="equal">
      <formula>"No"</formula>
    </cfRule>
    <cfRule type="cellIs" dxfId="739" priority="1425" operator="equal">
      <formula>"NA"</formula>
    </cfRule>
    <cfRule type="cellIs" dxfId="738" priority="1426" operator="equal">
      <formula>"Yes"</formula>
    </cfRule>
  </conditionalFormatting>
  <conditionalFormatting sqref="C11">
    <cfRule type="cellIs" dxfId="737" priority="1378" operator="equal">
      <formula>"No"</formula>
    </cfRule>
    <cfRule type="cellIs" dxfId="736" priority="1379" operator="equal">
      <formula>"NA"</formula>
    </cfRule>
    <cfRule type="cellIs" dxfId="735" priority="1380" operator="equal">
      <formula>"Yes"</formula>
    </cfRule>
  </conditionalFormatting>
  <conditionalFormatting sqref="C12">
    <cfRule type="cellIs" dxfId="734" priority="1332" operator="equal">
      <formula>"No"</formula>
    </cfRule>
    <cfRule type="cellIs" dxfId="733" priority="1333" operator="equal">
      <formula>"NA"</formula>
    </cfRule>
    <cfRule type="cellIs" dxfId="732" priority="1334" operator="equal">
      <formula>"Yes"</formula>
    </cfRule>
  </conditionalFormatting>
  <conditionalFormatting sqref="C13">
    <cfRule type="cellIs" dxfId="731" priority="1286" operator="equal">
      <formula>"No"</formula>
    </cfRule>
    <cfRule type="cellIs" dxfId="730" priority="1287" operator="equal">
      <formula>"NA"</formula>
    </cfRule>
    <cfRule type="cellIs" dxfId="729" priority="1288" operator="equal">
      <formula>"Yes"</formula>
    </cfRule>
  </conditionalFormatting>
  <conditionalFormatting sqref="C14">
    <cfRule type="cellIs" dxfId="728" priority="1240" operator="equal">
      <formula>"No"</formula>
    </cfRule>
    <cfRule type="cellIs" dxfId="727" priority="1241" operator="equal">
      <formula>"NA"</formula>
    </cfRule>
    <cfRule type="cellIs" dxfId="726" priority="1242" operator="equal">
      <formula>"Yes"</formula>
    </cfRule>
  </conditionalFormatting>
  <conditionalFormatting sqref="C16">
    <cfRule type="cellIs" dxfId="725" priority="1194" operator="equal">
      <formula>"No"</formula>
    </cfRule>
    <cfRule type="cellIs" dxfId="724" priority="1195" operator="equal">
      <formula>"NA"</formula>
    </cfRule>
    <cfRule type="cellIs" dxfId="723" priority="1196" operator="equal">
      <formula>"Yes"</formula>
    </cfRule>
  </conditionalFormatting>
  <conditionalFormatting sqref="C17">
    <cfRule type="cellIs" dxfId="722" priority="1148" operator="equal">
      <formula>"No"</formula>
    </cfRule>
    <cfRule type="cellIs" dxfId="721" priority="1149" operator="equal">
      <formula>"NA"</formula>
    </cfRule>
    <cfRule type="cellIs" dxfId="720" priority="1150" operator="equal">
      <formula>"Yes"</formula>
    </cfRule>
  </conditionalFormatting>
  <conditionalFormatting sqref="C18">
    <cfRule type="cellIs" dxfId="719" priority="1102" operator="equal">
      <formula>"No"</formula>
    </cfRule>
    <cfRule type="cellIs" dxfId="718" priority="1103" operator="equal">
      <formula>"NA"</formula>
    </cfRule>
    <cfRule type="cellIs" dxfId="717" priority="1104" operator="equal">
      <formula>"Yes"</formula>
    </cfRule>
  </conditionalFormatting>
  <conditionalFormatting sqref="C19">
    <cfRule type="cellIs" dxfId="716" priority="1056" operator="equal">
      <formula>"No"</formula>
    </cfRule>
    <cfRule type="cellIs" dxfId="715" priority="1057" operator="equal">
      <formula>"NA"</formula>
    </cfRule>
    <cfRule type="cellIs" dxfId="714" priority="1058" operator="equal">
      <formula>"Yes"</formula>
    </cfRule>
  </conditionalFormatting>
  <conditionalFormatting sqref="C21">
    <cfRule type="cellIs" dxfId="713" priority="1010" operator="equal">
      <formula>"No"</formula>
    </cfRule>
    <cfRule type="cellIs" dxfId="712" priority="1011" operator="equal">
      <formula>"NA"</formula>
    </cfRule>
    <cfRule type="cellIs" dxfId="711" priority="1012" operator="equal">
      <formula>"Yes"</formula>
    </cfRule>
  </conditionalFormatting>
  <conditionalFormatting sqref="C22">
    <cfRule type="cellIs" dxfId="710" priority="964" operator="equal">
      <formula>"No"</formula>
    </cfRule>
    <cfRule type="cellIs" dxfId="709" priority="965" operator="equal">
      <formula>"NA"</formula>
    </cfRule>
    <cfRule type="cellIs" dxfId="708" priority="966" operator="equal">
      <formula>"Yes"</formula>
    </cfRule>
  </conditionalFormatting>
  <conditionalFormatting sqref="C23">
    <cfRule type="cellIs" dxfId="707" priority="918" operator="equal">
      <formula>"No"</formula>
    </cfRule>
    <cfRule type="cellIs" dxfId="706" priority="919" operator="equal">
      <formula>"NA"</formula>
    </cfRule>
    <cfRule type="cellIs" dxfId="705" priority="920" operator="equal">
      <formula>"Yes"</formula>
    </cfRule>
  </conditionalFormatting>
  <conditionalFormatting sqref="C25">
    <cfRule type="cellIs" dxfId="704" priority="872" operator="equal">
      <formula>"No"</formula>
    </cfRule>
    <cfRule type="cellIs" dxfId="703" priority="873" operator="equal">
      <formula>"NA"</formula>
    </cfRule>
    <cfRule type="cellIs" dxfId="702" priority="874" operator="equal">
      <formula>"Yes"</formula>
    </cfRule>
  </conditionalFormatting>
  <conditionalFormatting sqref="C26">
    <cfRule type="cellIs" dxfId="701" priority="826" operator="equal">
      <formula>"No"</formula>
    </cfRule>
    <cfRule type="cellIs" dxfId="700" priority="827" operator="equal">
      <formula>"NA"</formula>
    </cfRule>
    <cfRule type="cellIs" dxfId="699" priority="828" operator="equal">
      <formula>"Yes"</formula>
    </cfRule>
  </conditionalFormatting>
  <conditionalFormatting sqref="C27">
    <cfRule type="cellIs" dxfId="698" priority="780" operator="equal">
      <formula>"No"</formula>
    </cfRule>
    <cfRule type="cellIs" dxfId="697" priority="781" operator="equal">
      <formula>"NA"</formula>
    </cfRule>
    <cfRule type="cellIs" dxfId="696" priority="782" operator="equal">
      <formula>"Yes"</formula>
    </cfRule>
  </conditionalFormatting>
  <conditionalFormatting sqref="C28">
    <cfRule type="cellIs" dxfId="695" priority="734" operator="equal">
      <formula>"No"</formula>
    </cfRule>
    <cfRule type="cellIs" dxfId="694" priority="735" operator="equal">
      <formula>"NA"</formula>
    </cfRule>
    <cfRule type="cellIs" dxfId="693" priority="736" operator="equal">
      <formula>"Yes"</formula>
    </cfRule>
  </conditionalFormatting>
  <conditionalFormatting sqref="C30">
    <cfRule type="cellIs" dxfId="692" priority="688" operator="equal">
      <formula>"No"</formula>
    </cfRule>
    <cfRule type="cellIs" dxfId="691" priority="689" operator="equal">
      <formula>"NA"</formula>
    </cfRule>
    <cfRule type="cellIs" dxfId="690" priority="690" operator="equal">
      <formula>"Yes"</formula>
    </cfRule>
  </conditionalFormatting>
  <conditionalFormatting sqref="C31">
    <cfRule type="cellIs" dxfId="689" priority="642" operator="equal">
      <formula>"No"</formula>
    </cfRule>
    <cfRule type="cellIs" dxfId="688" priority="643" operator="equal">
      <formula>"NA"</formula>
    </cfRule>
    <cfRule type="cellIs" dxfId="687" priority="644" operator="equal">
      <formula>"Yes"</formula>
    </cfRule>
  </conditionalFormatting>
  <conditionalFormatting sqref="C33">
    <cfRule type="cellIs" dxfId="686" priority="596" operator="equal">
      <formula>"No"</formula>
    </cfRule>
    <cfRule type="cellIs" dxfId="685" priority="597" operator="equal">
      <formula>"NA"</formula>
    </cfRule>
    <cfRule type="cellIs" dxfId="684" priority="598" operator="equal">
      <formula>"Yes"</formula>
    </cfRule>
  </conditionalFormatting>
  <conditionalFormatting sqref="D6">
    <cfRule type="cellIs" dxfId="683" priority="550" operator="equal">
      <formula>"No"</formula>
    </cfRule>
    <cfRule type="cellIs" dxfId="682" priority="551" operator="equal">
      <formula>"NA"</formula>
    </cfRule>
    <cfRule type="cellIs" dxfId="681" priority="552" operator="equal">
      <formula>"Yes"</formula>
    </cfRule>
  </conditionalFormatting>
  <conditionalFormatting sqref="D7">
    <cfRule type="cellIs" dxfId="680" priority="547" operator="equal">
      <formula>"No"</formula>
    </cfRule>
    <cfRule type="cellIs" dxfId="679" priority="548" operator="equal">
      <formula>"NA"</formula>
    </cfRule>
    <cfRule type="cellIs" dxfId="678" priority="549" operator="equal">
      <formula>"Yes"</formula>
    </cfRule>
  </conditionalFormatting>
  <conditionalFormatting sqref="D8">
    <cfRule type="cellIs" dxfId="677" priority="544" operator="equal">
      <formula>"No"</formula>
    </cfRule>
    <cfRule type="cellIs" dxfId="676" priority="545" operator="equal">
      <formula>"NA"</formula>
    </cfRule>
    <cfRule type="cellIs" dxfId="675" priority="546" operator="equal">
      <formula>"Yes"</formula>
    </cfRule>
  </conditionalFormatting>
  <conditionalFormatting sqref="D9">
    <cfRule type="cellIs" dxfId="674" priority="541" operator="equal">
      <formula>"No"</formula>
    </cfRule>
    <cfRule type="cellIs" dxfId="673" priority="542" operator="equal">
      <formula>"NA"</formula>
    </cfRule>
    <cfRule type="cellIs" dxfId="672" priority="543" operator="equal">
      <formula>"Yes"</formula>
    </cfRule>
  </conditionalFormatting>
  <conditionalFormatting sqref="D10">
    <cfRule type="cellIs" dxfId="671" priority="538" operator="equal">
      <formula>"No"</formula>
    </cfRule>
    <cfRule type="cellIs" dxfId="670" priority="539" operator="equal">
      <formula>"NA"</formula>
    </cfRule>
    <cfRule type="cellIs" dxfId="669" priority="540" operator="equal">
      <formula>"Yes"</formula>
    </cfRule>
  </conditionalFormatting>
  <conditionalFormatting sqref="D11">
    <cfRule type="cellIs" dxfId="668" priority="535" operator="equal">
      <formula>"No"</formula>
    </cfRule>
    <cfRule type="cellIs" dxfId="667" priority="536" operator="equal">
      <formula>"NA"</formula>
    </cfRule>
    <cfRule type="cellIs" dxfId="666" priority="537" operator="equal">
      <formula>"Yes"</formula>
    </cfRule>
  </conditionalFormatting>
  <conditionalFormatting sqref="D12">
    <cfRule type="cellIs" dxfId="665" priority="532" operator="equal">
      <formula>"No"</formula>
    </cfRule>
    <cfRule type="cellIs" dxfId="664" priority="533" operator="equal">
      <formula>"NA"</formula>
    </cfRule>
    <cfRule type="cellIs" dxfId="663" priority="534" operator="equal">
      <formula>"Yes"</formula>
    </cfRule>
  </conditionalFormatting>
  <conditionalFormatting sqref="D13">
    <cfRule type="cellIs" dxfId="662" priority="529" operator="equal">
      <formula>"No"</formula>
    </cfRule>
    <cfRule type="cellIs" dxfId="661" priority="530" operator="equal">
      <formula>"NA"</formula>
    </cfRule>
    <cfRule type="cellIs" dxfId="660" priority="531" operator="equal">
      <formula>"Yes"</formula>
    </cfRule>
  </conditionalFormatting>
  <conditionalFormatting sqref="D14">
    <cfRule type="cellIs" dxfId="659" priority="526" operator="equal">
      <formula>"No"</formula>
    </cfRule>
    <cfRule type="cellIs" dxfId="658" priority="527" operator="equal">
      <formula>"NA"</formula>
    </cfRule>
    <cfRule type="cellIs" dxfId="657" priority="528" operator="equal">
      <formula>"Yes"</formula>
    </cfRule>
  </conditionalFormatting>
  <conditionalFormatting sqref="D16">
    <cfRule type="cellIs" dxfId="656" priority="523" operator="equal">
      <formula>"No"</formula>
    </cfRule>
    <cfRule type="cellIs" dxfId="655" priority="524" operator="equal">
      <formula>"NA"</formula>
    </cfRule>
    <cfRule type="cellIs" dxfId="654" priority="525" operator="equal">
      <formula>"Yes"</formula>
    </cfRule>
  </conditionalFormatting>
  <conditionalFormatting sqref="D17">
    <cfRule type="cellIs" dxfId="653" priority="520" operator="equal">
      <formula>"No"</formula>
    </cfRule>
    <cfRule type="cellIs" dxfId="652" priority="521" operator="equal">
      <formula>"NA"</formula>
    </cfRule>
    <cfRule type="cellIs" dxfId="651" priority="522" operator="equal">
      <formula>"Yes"</formula>
    </cfRule>
  </conditionalFormatting>
  <conditionalFormatting sqref="D18">
    <cfRule type="cellIs" dxfId="650" priority="517" operator="equal">
      <formula>"No"</formula>
    </cfRule>
    <cfRule type="cellIs" dxfId="649" priority="518" operator="equal">
      <formula>"NA"</formula>
    </cfRule>
    <cfRule type="cellIs" dxfId="648" priority="519" operator="equal">
      <formula>"Yes"</formula>
    </cfRule>
  </conditionalFormatting>
  <conditionalFormatting sqref="D19">
    <cfRule type="cellIs" dxfId="647" priority="514" operator="equal">
      <formula>"No"</formula>
    </cfRule>
    <cfRule type="cellIs" dxfId="646" priority="515" operator="equal">
      <formula>"NA"</formula>
    </cfRule>
    <cfRule type="cellIs" dxfId="645" priority="516" operator="equal">
      <formula>"Yes"</formula>
    </cfRule>
  </conditionalFormatting>
  <conditionalFormatting sqref="D21">
    <cfRule type="cellIs" dxfId="644" priority="511" operator="equal">
      <formula>"No"</formula>
    </cfRule>
    <cfRule type="cellIs" dxfId="643" priority="512" operator="equal">
      <formula>"NA"</formula>
    </cfRule>
    <cfRule type="cellIs" dxfId="642" priority="513" operator="equal">
      <formula>"Yes"</formula>
    </cfRule>
  </conditionalFormatting>
  <conditionalFormatting sqref="D22">
    <cfRule type="cellIs" dxfId="641" priority="508" operator="equal">
      <formula>"No"</formula>
    </cfRule>
    <cfRule type="cellIs" dxfId="640" priority="509" operator="equal">
      <formula>"NA"</formula>
    </cfRule>
    <cfRule type="cellIs" dxfId="639" priority="510" operator="equal">
      <formula>"Yes"</formula>
    </cfRule>
  </conditionalFormatting>
  <conditionalFormatting sqref="D23">
    <cfRule type="cellIs" dxfId="638" priority="505" operator="equal">
      <formula>"No"</formula>
    </cfRule>
    <cfRule type="cellIs" dxfId="637" priority="506" operator="equal">
      <formula>"NA"</formula>
    </cfRule>
    <cfRule type="cellIs" dxfId="636" priority="507" operator="equal">
      <formula>"Yes"</formula>
    </cfRule>
  </conditionalFormatting>
  <conditionalFormatting sqref="D25">
    <cfRule type="cellIs" dxfId="635" priority="502" operator="equal">
      <formula>"No"</formula>
    </cfRule>
    <cfRule type="cellIs" dxfId="634" priority="503" operator="equal">
      <formula>"NA"</formula>
    </cfRule>
    <cfRule type="cellIs" dxfId="633" priority="504" operator="equal">
      <formula>"Yes"</formula>
    </cfRule>
  </conditionalFormatting>
  <conditionalFormatting sqref="D26">
    <cfRule type="cellIs" dxfId="632" priority="499" operator="equal">
      <formula>"No"</formula>
    </cfRule>
    <cfRule type="cellIs" dxfId="631" priority="500" operator="equal">
      <formula>"NA"</formula>
    </cfRule>
    <cfRule type="cellIs" dxfId="630" priority="501" operator="equal">
      <formula>"Yes"</formula>
    </cfRule>
  </conditionalFormatting>
  <conditionalFormatting sqref="D27">
    <cfRule type="cellIs" dxfId="629" priority="496" operator="equal">
      <formula>"No"</formula>
    </cfRule>
    <cfRule type="cellIs" dxfId="628" priority="497" operator="equal">
      <formula>"NA"</formula>
    </cfRule>
    <cfRule type="cellIs" dxfId="627" priority="498" operator="equal">
      <formula>"Yes"</formula>
    </cfRule>
  </conditionalFormatting>
  <conditionalFormatting sqref="D28">
    <cfRule type="cellIs" dxfId="626" priority="493" operator="equal">
      <formula>"No"</formula>
    </cfRule>
    <cfRule type="cellIs" dxfId="625" priority="494" operator="equal">
      <formula>"NA"</formula>
    </cfRule>
    <cfRule type="cellIs" dxfId="624" priority="495" operator="equal">
      <formula>"Yes"</formula>
    </cfRule>
  </conditionalFormatting>
  <conditionalFormatting sqref="D30">
    <cfRule type="cellIs" dxfId="623" priority="490" operator="equal">
      <formula>"No"</formula>
    </cfRule>
    <cfRule type="cellIs" dxfId="622" priority="491" operator="equal">
      <formula>"NA"</formula>
    </cfRule>
    <cfRule type="cellIs" dxfId="621" priority="492" operator="equal">
      <formula>"Yes"</formula>
    </cfRule>
  </conditionalFormatting>
  <conditionalFormatting sqref="D31">
    <cfRule type="cellIs" dxfId="620" priority="487" operator="equal">
      <formula>"No"</formula>
    </cfRule>
    <cfRule type="cellIs" dxfId="619" priority="488" operator="equal">
      <formula>"NA"</formula>
    </cfRule>
    <cfRule type="cellIs" dxfId="618" priority="489" operator="equal">
      <formula>"Yes"</formula>
    </cfRule>
  </conditionalFormatting>
  <conditionalFormatting sqref="D33">
    <cfRule type="cellIs" dxfId="617" priority="484" operator="equal">
      <formula>"No"</formula>
    </cfRule>
    <cfRule type="cellIs" dxfId="616" priority="485" operator="equal">
      <formula>"NA"</formula>
    </cfRule>
    <cfRule type="cellIs" dxfId="615" priority="486" operator="equal">
      <formula>"Yes"</formula>
    </cfRule>
  </conditionalFormatting>
  <conditionalFormatting sqref="E6">
    <cfRule type="cellIs" dxfId="614" priority="481" operator="equal">
      <formula>"No"</formula>
    </cfRule>
    <cfRule type="cellIs" dxfId="613" priority="482" operator="equal">
      <formula>"NA"</formula>
    </cfRule>
    <cfRule type="cellIs" dxfId="612" priority="483" operator="equal">
      <formula>"Yes"</formula>
    </cfRule>
  </conditionalFormatting>
  <conditionalFormatting sqref="E7">
    <cfRule type="cellIs" dxfId="611" priority="478" operator="equal">
      <formula>"No"</formula>
    </cfRule>
    <cfRule type="cellIs" dxfId="610" priority="479" operator="equal">
      <formula>"NA"</formula>
    </cfRule>
    <cfRule type="cellIs" dxfId="609" priority="480" operator="equal">
      <formula>"Yes"</formula>
    </cfRule>
  </conditionalFormatting>
  <conditionalFormatting sqref="E8">
    <cfRule type="cellIs" dxfId="608" priority="475" operator="equal">
      <formula>"No"</formula>
    </cfRule>
    <cfRule type="cellIs" dxfId="607" priority="476" operator="equal">
      <formula>"NA"</formula>
    </cfRule>
    <cfRule type="cellIs" dxfId="606" priority="477" operator="equal">
      <formula>"Yes"</formula>
    </cfRule>
  </conditionalFormatting>
  <conditionalFormatting sqref="E9">
    <cfRule type="cellIs" dxfId="605" priority="472" operator="equal">
      <formula>"No"</formula>
    </cfRule>
    <cfRule type="cellIs" dxfId="604" priority="473" operator="equal">
      <formula>"NA"</formula>
    </cfRule>
    <cfRule type="cellIs" dxfId="603" priority="474" operator="equal">
      <formula>"Yes"</formula>
    </cfRule>
  </conditionalFormatting>
  <conditionalFormatting sqref="E10">
    <cfRule type="cellIs" dxfId="602" priority="469" operator="equal">
      <formula>"No"</formula>
    </cfRule>
    <cfRule type="cellIs" dxfId="601" priority="470" operator="equal">
      <formula>"NA"</formula>
    </cfRule>
    <cfRule type="cellIs" dxfId="600" priority="471" operator="equal">
      <formula>"Yes"</formula>
    </cfRule>
  </conditionalFormatting>
  <conditionalFormatting sqref="E11">
    <cfRule type="cellIs" dxfId="599" priority="466" operator="equal">
      <formula>"No"</formula>
    </cfRule>
    <cfRule type="cellIs" dxfId="598" priority="467" operator="equal">
      <formula>"NA"</formula>
    </cfRule>
    <cfRule type="cellIs" dxfId="597" priority="468" operator="equal">
      <formula>"Yes"</formula>
    </cfRule>
  </conditionalFormatting>
  <conditionalFormatting sqref="E12">
    <cfRule type="cellIs" dxfId="596" priority="463" operator="equal">
      <formula>"No"</formula>
    </cfRule>
    <cfRule type="cellIs" dxfId="595" priority="464" operator="equal">
      <formula>"NA"</formula>
    </cfRule>
    <cfRule type="cellIs" dxfId="594" priority="465" operator="equal">
      <formula>"Yes"</formula>
    </cfRule>
  </conditionalFormatting>
  <conditionalFormatting sqref="E13">
    <cfRule type="cellIs" dxfId="593" priority="460" operator="equal">
      <formula>"No"</formula>
    </cfRule>
    <cfRule type="cellIs" dxfId="592" priority="461" operator="equal">
      <formula>"NA"</formula>
    </cfRule>
    <cfRule type="cellIs" dxfId="591" priority="462" operator="equal">
      <formula>"Yes"</formula>
    </cfRule>
  </conditionalFormatting>
  <conditionalFormatting sqref="E14">
    <cfRule type="cellIs" dxfId="590" priority="457" operator="equal">
      <formula>"No"</formula>
    </cfRule>
    <cfRule type="cellIs" dxfId="589" priority="458" operator="equal">
      <formula>"NA"</formula>
    </cfRule>
    <cfRule type="cellIs" dxfId="588" priority="459" operator="equal">
      <formula>"Yes"</formula>
    </cfRule>
  </conditionalFormatting>
  <conditionalFormatting sqref="E16">
    <cfRule type="cellIs" dxfId="587" priority="454" operator="equal">
      <formula>"No"</formula>
    </cfRule>
    <cfRule type="cellIs" dxfId="586" priority="455" operator="equal">
      <formula>"NA"</formula>
    </cfRule>
    <cfRule type="cellIs" dxfId="585" priority="456" operator="equal">
      <formula>"Yes"</formula>
    </cfRule>
  </conditionalFormatting>
  <conditionalFormatting sqref="E17">
    <cfRule type="cellIs" dxfId="584" priority="451" operator="equal">
      <formula>"No"</formula>
    </cfRule>
    <cfRule type="cellIs" dxfId="583" priority="452" operator="equal">
      <formula>"NA"</formula>
    </cfRule>
    <cfRule type="cellIs" dxfId="582" priority="453" operator="equal">
      <formula>"Yes"</formula>
    </cfRule>
  </conditionalFormatting>
  <conditionalFormatting sqref="E18">
    <cfRule type="cellIs" dxfId="581" priority="448" operator="equal">
      <formula>"No"</formula>
    </cfRule>
    <cfRule type="cellIs" dxfId="580" priority="449" operator="equal">
      <formula>"NA"</formula>
    </cfRule>
    <cfRule type="cellIs" dxfId="579" priority="450" operator="equal">
      <formula>"Yes"</formula>
    </cfRule>
  </conditionalFormatting>
  <conditionalFormatting sqref="E19">
    <cfRule type="cellIs" dxfId="578" priority="445" operator="equal">
      <formula>"No"</formula>
    </cfRule>
    <cfRule type="cellIs" dxfId="577" priority="446" operator="equal">
      <formula>"NA"</formula>
    </cfRule>
    <cfRule type="cellIs" dxfId="576" priority="447" operator="equal">
      <formula>"Yes"</formula>
    </cfRule>
  </conditionalFormatting>
  <conditionalFormatting sqref="E21">
    <cfRule type="cellIs" dxfId="575" priority="442" operator="equal">
      <formula>"No"</formula>
    </cfRule>
    <cfRule type="cellIs" dxfId="574" priority="443" operator="equal">
      <formula>"NA"</formula>
    </cfRule>
    <cfRule type="cellIs" dxfId="573" priority="444" operator="equal">
      <formula>"Yes"</formula>
    </cfRule>
  </conditionalFormatting>
  <conditionalFormatting sqref="E22">
    <cfRule type="cellIs" dxfId="572" priority="439" operator="equal">
      <formula>"No"</formula>
    </cfRule>
    <cfRule type="cellIs" dxfId="571" priority="440" operator="equal">
      <formula>"NA"</formula>
    </cfRule>
    <cfRule type="cellIs" dxfId="570" priority="441" operator="equal">
      <formula>"Yes"</formula>
    </cfRule>
  </conditionalFormatting>
  <conditionalFormatting sqref="E23">
    <cfRule type="cellIs" dxfId="569" priority="436" operator="equal">
      <formula>"No"</formula>
    </cfRule>
    <cfRule type="cellIs" dxfId="568" priority="437" operator="equal">
      <formula>"NA"</formula>
    </cfRule>
    <cfRule type="cellIs" dxfId="567" priority="438" operator="equal">
      <formula>"Yes"</formula>
    </cfRule>
  </conditionalFormatting>
  <conditionalFormatting sqref="E25">
    <cfRule type="cellIs" dxfId="566" priority="433" operator="equal">
      <formula>"No"</formula>
    </cfRule>
    <cfRule type="cellIs" dxfId="565" priority="434" operator="equal">
      <formula>"NA"</formula>
    </cfRule>
    <cfRule type="cellIs" dxfId="564" priority="435" operator="equal">
      <formula>"Yes"</formula>
    </cfRule>
  </conditionalFormatting>
  <conditionalFormatting sqref="E26">
    <cfRule type="cellIs" dxfId="563" priority="430" operator="equal">
      <formula>"No"</formula>
    </cfRule>
    <cfRule type="cellIs" dxfId="562" priority="431" operator="equal">
      <formula>"NA"</formula>
    </cfRule>
    <cfRule type="cellIs" dxfId="561" priority="432" operator="equal">
      <formula>"Yes"</formula>
    </cfRule>
  </conditionalFormatting>
  <conditionalFormatting sqref="E27">
    <cfRule type="cellIs" dxfId="560" priority="427" operator="equal">
      <formula>"No"</formula>
    </cfRule>
    <cfRule type="cellIs" dxfId="559" priority="428" operator="equal">
      <formula>"NA"</formula>
    </cfRule>
    <cfRule type="cellIs" dxfId="558" priority="429" operator="equal">
      <formula>"Yes"</formula>
    </cfRule>
  </conditionalFormatting>
  <conditionalFormatting sqref="E28">
    <cfRule type="cellIs" dxfId="557" priority="424" operator="equal">
      <formula>"No"</formula>
    </cfRule>
    <cfRule type="cellIs" dxfId="556" priority="425" operator="equal">
      <formula>"NA"</formula>
    </cfRule>
    <cfRule type="cellIs" dxfId="555" priority="426" operator="equal">
      <formula>"Yes"</formula>
    </cfRule>
  </conditionalFormatting>
  <conditionalFormatting sqref="E30">
    <cfRule type="cellIs" dxfId="554" priority="421" operator="equal">
      <formula>"No"</formula>
    </cfRule>
    <cfRule type="cellIs" dxfId="553" priority="422" operator="equal">
      <formula>"NA"</formula>
    </cfRule>
    <cfRule type="cellIs" dxfId="552" priority="423" operator="equal">
      <formula>"Yes"</formula>
    </cfRule>
  </conditionalFormatting>
  <conditionalFormatting sqref="E31">
    <cfRule type="cellIs" dxfId="551" priority="418" operator="equal">
      <formula>"No"</formula>
    </cfRule>
    <cfRule type="cellIs" dxfId="550" priority="419" operator="equal">
      <formula>"NA"</formula>
    </cfRule>
    <cfRule type="cellIs" dxfId="549" priority="420" operator="equal">
      <formula>"Yes"</formula>
    </cfRule>
  </conditionalFormatting>
  <conditionalFormatting sqref="E33">
    <cfRule type="cellIs" dxfId="548" priority="415" operator="equal">
      <formula>"No"</formula>
    </cfRule>
    <cfRule type="cellIs" dxfId="547" priority="416" operator="equal">
      <formula>"NA"</formula>
    </cfRule>
    <cfRule type="cellIs" dxfId="546" priority="417" operator="equal">
      <formula>"Yes"</formula>
    </cfRule>
  </conditionalFormatting>
  <conditionalFormatting sqref="F6">
    <cfRule type="cellIs" dxfId="545" priority="412" operator="equal">
      <formula>"No"</formula>
    </cfRule>
    <cfRule type="cellIs" dxfId="544" priority="413" operator="equal">
      <formula>"NA"</formula>
    </cfRule>
    <cfRule type="cellIs" dxfId="543" priority="414" operator="equal">
      <formula>"Yes"</formula>
    </cfRule>
  </conditionalFormatting>
  <conditionalFormatting sqref="F7">
    <cfRule type="cellIs" dxfId="542" priority="409" operator="equal">
      <formula>"No"</formula>
    </cfRule>
    <cfRule type="cellIs" dxfId="541" priority="410" operator="equal">
      <formula>"NA"</formula>
    </cfRule>
    <cfRule type="cellIs" dxfId="540" priority="411" operator="equal">
      <formula>"Yes"</formula>
    </cfRule>
  </conditionalFormatting>
  <conditionalFormatting sqref="F8">
    <cfRule type="cellIs" dxfId="539" priority="406" operator="equal">
      <formula>"No"</formula>
    </cfRule>
    <cfRule type="cellIs" dxfId="538" priority="407" operator="equal">
      <formula>"NA"</formula>
    </cfRule>
    <cfRule type="cellIs" dxfId="537" priority="408" operator="equal">
      <formula>"Yes"</formula>
    </cfRule>
  </conditionalFormatting>
  <conditionalFormatting sqref="F9">
    <cfRule type="cellIs" dxfId="536" priority="403" operator="equal">
      <formula>"No"</formula>
    </cfRule>
    <cfRule type="cellIs" dxfId="535" priority="404" operator="equal">
      <formula>"NA"</formula>
    </cfRule>
    <cfRule type="cellIs" dxfId="534" priority="405" operator="equal">
      <formula>"Yes"</formula>
    </cfRule>
  </conditionalFormatting>
  <conditionalFormatting sqref="F10">
    <cfRule type="cellIs" dxfId="533" priority="400" operator="equal">
      <formula>"No"</formula>
    </cfRule>
    <cfRule type="cellIs" dxfId="532" priority="401" operator="equal">
      <formula>"NA"</formula>
    </cfRule>
    <cfRule type="cellIs" dxfId="531" priority="402" operator="equal">
      <formula>"Yes"</formula>
    </cfRule>
  </conditionalFormatting>
  <conditionalFormatting sqref="F11">
    <cfRule type="cellIs" dxfId="530" priority="397" operator="equal">
      <formula>"No"</formula>
    </cfRule>
    <cfRule type="cellIs" dxfId="529" priority="398" operator="equal">
      <formula>"NA"</formula>
    </cfRule>
    <cfRule type="cellIs" dxfId="528" priority="399" operator="equal">
      <formula>"Yes"</formula>
    </cfRule>
  </conditionalFormatting>
  <conditionalFormatting sqref="F12">
    <cfRule type="cellIs" dxfId="527" priority="394" operator="equal">
      <formula>"No"</formula>
    </cfRule>
    <cfRule type="cellIs" dxfId="526" priority="395" operator="equal">
      <formula>"NA"</formula>
    </cfRule>
    <cfRule type="cellIs" dxfId="525" priority="396" operator="equal">
      <formula>"Yes"</formula>
    </cfRule>
  </conditionalFormatting>
  <conditionalFormatting sqref="F13">
    <cfRule type="cellIs" dxfId="524" priority="391" operator="equal">
      <formula>"No"</formula>
    </cfRule>
    <cfRule type="cellIs" dxfId="523" priority="392" operator="equal">
      <formula>"NA"</formula>
    </cfRule>
    <cfRule type="cellIs" dxfId="522" priority="393" operator="equal">
      <formula>"Yes"</formula>
    </cfRule>
  </conditionalFormatting>
  <conditionalFormatting sqref="F14">
    <cfRule type="cellIs" dxfId="521" priority="388" operator="equal">
      <formula>"No"</formula>
    </cfRule>
    <cfRule type="cellIs" dxfId="520" priority="389" operator="equal">
      <formula>"NA"</formula>
    </cfRule>
    <cfRule type="cellIs" dxfId="519" priority="390" operator="equal">
      <formula>"Yes"</formula>
    </cfRule>
  </conditionalFormatting>
  <conditionalFormatting sqref="F16">
    <cfRule type="cellIs" dxfId="518" priority="385" operator="equal">
      <formula>"No"</formula>
    </cfRule>
    <cfRule type="cellIs" dxfId="517" priority="386" operator="equal">
      <formula>"NA"</formula>
    </cfRule>
    <cfRule type="cellIs" dxfId="516" priority="387" operator="equal">
      <formula>"Yes"</formula>
    </cfRule>
  </conditionalFormatting>
  <conditionalFormatting sqref="F17">
    <cfRule type="cellIs" dxfId="515" priority="382" operator="equal">
      <formula>"No"</formula>
    </cfRule>
    <cfRule type="cellIs" dxfId="514" priority="383" operator="equal">
      <formula>"NA"</formula>
    </cfRule>
    <cfRule type="cellIs" dxfId="513" priority="384" operator="equal">
      <formula>"Yes"</formula>
    </cfRule>
  </conditionalFormatting>
  <conditionalFormatting sqref="F18">
    <cfRule type="cellIs" dxfId="512" priority="379" operator="equal">
      <formula>"No"</formula>
    </cfRule>
    <cfRule type="cellIs" dxfId="511" priority="380" operator="equal">
      <formula>"NA"</formula>
    </cfRule>
    <cfRule type="cellIs" dxfId="510" priority="381" operator="equal">
      <formula>"Yes"</formula>
    </cfRule>
  </conditionalFormatting>
  <conditionalFormatting sqref="F19">
    <cfRule type="cellIs" dxfId="509" priority="376" operator="equal">
      <formula>"No"</formula>
    </cfRule>
    <cfRule type="cellIs" dxfId="508" priority="377" operator="equal">
      <formula>"NA"</formula>
    </cfRule>
    <cfRule type="cellIs" dxfId="507" priority="378" operator="equal">
      <formula>"Yes"</formula>
    </cfRule>
  </conditionalFormatting>
  <conditionalFormatting sqref="F21">
    <cfRule type="cellIs" dxfId="506" priority="373" operator="equal">
      <formula>"No"</formula>
    </cfRule>
    <cfRule type="cellIs" dxfId="505" priority="374" operator="equal">
      <formula>"NA"</formula>
    </cfRule>
    <cfRule type="cellIs" dxfId="504" priority="375" operator="equal">
      <formula>"Yes"</formula>
    </cfRule>
  </conditionalFormatting>
  <conditionalFormatting sqref="F22">
    <cfRule type="cellIs" dxfId="503" priority="370" operator="equal">
      <formula>"No"</formula>
    </cfRule>
    <cfRule type="cellIs" dxfId="502" priority="371" operator="equal">
      <formula>"NA"</formula>
    </cfRule>
    <cfRule type="cellIs" dxfId="501" priority="372" operator="equal">
      <formula>"Yes"</formula>
    </cfRule>
  </conditionalFormatting>
  <conditionalFormatting sqref="F23">
    <cfRule type="cellIs" dxfId="500" priority="367" operator="equal">
      <formula>"No"</formula>
    </cfRule>
    <cfRule type="cellIs" dxfId="499" priority="368" operator="equal">
      <formula>"NA"</formula>
    </cfRule>
    <cfRule type="cellIs" dxfId="498" priority="369" operator="equal">
      <formula>"Yes"</formula>
    </cfRule>
  </conditionalFormatting>
  <conditionalFormatting sqref="F25">
    <cfRule type="cellIs" dxfId="497" priority="364" operator="equal">
      <formula>"No"</formula>
    </cfRule>
    <cfRule type="cellIs" dxfId="496" priority="365" operator="equal">
      <formula>"NA"</formula>
    </cfRule>
    <cfRule type="cellIs" dxfId="495" priority="366" operator="equal">
      <formula>"Yes"</formula>
    </cfRule>
  </conditionalFormatting>
  <conditionalFormatting sqref="F26">
    <cfRule type="cellIs" dxfId="494" priority="361" operator="equal">
      <formula>"No"</formula>
    </cfRule>
    <cfRule type="cellIs" dxfId="493" priority="362" operator="equal">
      <formula>"NA"</formula>
    </cfRule>
    <cfRule type="cellIs" dxfId="492" priority="363" operator="equal">
      <formula>"Yes"</formula>
    </cfRule>
  </conditionalFormatting>
  <conditionalFormatting sqref="F27">
    <cfRule type="cellIs" dxfId="491" priority="358" operator="equal">
      <formula>"No"</formula>
    </cfRule>
    <cfRule type="cellIs" dxfId="490" priority="359" operator="equal">
      <formula>"NA"</formula>
    </cfRule>
    <cfRule type="cellIs" dxfId="489" priority="360" operator="equal">
      <formula>"Yes"</formula>
    </cfRule>
  </conditionalFormatting>
  <conditionalFormatting sqref="F28">
    <cfRule type="cellIs" dxfId="488" priority="355" operator="equal">
      <formula>"No"</formula>
    </cfRule>
    <cfRule type="cellIs" dxfId="487" priority="356" operator="equal">
      <formula>"NA"</formula>
    </cfRule>
    <cfRule type="cellIs" dxfId="486" priority="357" operator="equal">
      <formula>"Yes"</formula>
    </cfRule>
  </conditionalFormatting>
  <conditionalFormatting sqref="F30">
    <cfRule type="cellIs" dxfId="485" priority="352" operator="equal">
      <formula>"No"</formula>
    </cfRule>
    <cfRule type="cellIs" dxfId="484" priority="353" operator="equal">
      <formula>"NA"</formula>
    </cfRule>
    <cfRule type="cellIs" dxfId="483" priority="354" operator="equal">
      <formula>"Yes"</formula>
    </cfRule>
  </conditionalFormatting>
  <conditionalFormatting sqref="F31">
    <cfRule type="cellIs" dxfId="482" priority="349" operator="equal">
      <formula>"No"</formula>
    </cfRule>
    <cfRule type="cellIs" dxfId="481" priority="350" operator="equal">
      <formula>"NA"</formula>
    </cfRule>
    <cfRule type="cellIs" dxfId="480" priority="351" operator="equal">
      <formula>"Yes"</formula>
    </cfRule>
  </conditionalFormatting>
  <conditionalFormatting sqref="F33">
    <cfRule type="cellIs" dxfId="479" priority="346" operator="equal">
      <formula>"No"</formula>
    </cfRule>
    <cfRule type="cellIs" dxfId="478" priority="347" operator="equal">
      <formula>"NA"</formula>
    </cfRule>
    <cfRule type="cellIs" dxfId="477" priority="348" operator="equal">
      <formula>"Yes"</formula>
    </cfRule>
  </conditionalFormatting>
  <conditionalFormatting sqref="G6">
    <cfRule type="cellIs" dxfId="476" priority="343" operator="equal">
      <formula>"No"</formula>
    </cfRule>
    <cfRule type="cellIs" dxfId="475" priority="344" operator="equal">
      <formula>"NA"</formula>
    </cfRule>
    <cfRule type="cellIs" dxfId="474" priority="345" operator="equal">
      <formula>"Yes"</formula>
    </cfRule>
  </conditionalFormatting>
  <conditionalFormatting sqref="G7">
    <cfRule type="cellIs" dxfId="473" priority="340" operator="equal">
      <formula>"No"</formula>
    </cfRule>
    <cfRule type="cellIs" dxfId="472" priority="341" operator="equal">
      <formula>"NA"</formula>
    </cfRule>
    <cfRule type="cellIs" dxfId="471" priority="342" operator="equal">
      <formula>"Yes"</formula>
    </cfRule>
  </conditionalFormatting>
  <conditionalFormatting sqref="G8">
    <cfRule type="cellIs" dxfId="470" priority="337" operator="equal">
      <formula>"No"</formula>
    </cfRule>
    <cfRule type="cellIs" dxfId="469" priority="338" operator="equal">
      <formula>"NA"</formula>
    </cfRule>
    <cfRule type="cellIs" dxfId="468" priority="339" operator="equal">
      <formula>"Yes"</formula>
    </cfRule>
  </conditionalFormatting>
  <conditionalFormatting sqref="G9">
    <cfRule type="cellIs" dxfId="467" priority="334" operator="equal">
      <formula>"No"</formula>
    </cfRule>
    <cfRule type="cellIs" dxfId="466" priority="335" operator="equal">
      <formula>"NA"</formula>
    </cfRule>
    <cfRule type="cellIs" dxfId="465" priority="336" operator="equal">
      <formula>"Yes"</formula>
    </cfRule>
  </conditionalFormatting>
  <conditionalFormatting sqref="G10">
    <cfRule type="cellIs" dxfId="464" priority="331" operator="equal">
      <formula>"No"</formula>
    </cfRule>
    <cfRule type="cellIs" dxfId="463" priority="332" operator="equal">
      <formula>"NA"</formula>
    </cfRule>
    <cfRule type="cellIs" dxfId="462" priority="333" operator="equal">
      <formula>"Yes"</formula>
    </cfRule>
  </conditionalFormatting>
  <conditionalFormatting sqref="G11">
    <cfRule type="cellIs" dxfId="461" priority="328" operator="equal">
      <formula>"No"</formula>
    </cfRule>
    <cfRule type="cellIs" dxfId="460" priority="329" operator="equal">
      <formula>"NA"</formula>
    </cfRule>
    <cfRule type="cellIs" dxfId="459" priority="330" operator="equal">
      <formula>"Yes"</formula>
    </cfRule>
  </conditionalFormatting>
  <conditionalFormatting sqref="G12">
    <cfRule type="cellIs" dxfId="458" priority="325" operator="equal">
      <formula>"No"</formula>
    </cfRule>
    <cfRule type="cellIs" dxfId="457" priority="326" operator="equal">
      <formula>"NA"</formula>
    </cfRule>
    <cfRule type="cellIs" dxfId="456" priority="327" operator="equal">
      <formula>"Yes"</formula>
    </cfRule>
  </conditionalFormatting>
  <conditionalFormatting sqref="G13">
    <cfRule type="cellIs" dxfId="455" priority="322" operator="equal">
      <formula>"No"</formula>
    </cfRule>
    <cfRule type="cellIs" dxfId="454" priority="323" operator="equal">
      <formula>"NA"</formula>
    </cfRule>
    <cfRule type="cellIs" dxfId="453" priority="324" operator="equal">
      <formula>"Yes"</formula>
    </cfRule>
  </conditionalFormatting>
  <conditionalFormatting sqref="G14">
    <cfRule type="cellIs" dxfId="452" priority="319" operator="equal">
      <formula>"No"</formula>
    </cfRule>
    <cfRule type="cellIs" dxfId="451" priority="320" operator="equal">
      <formula>"NA"</formula>
    </cfRule>
    <cfRule type="cellIs" dxfId="450" priority="321" operator="equal">
      <formula>"Yes"</formula>
    </cfRule>
  </conditionalFormatting>
  <conditionalFormatting sqref="G16">
    <cfRule type="cellIs" dxfId="449" priority="316" operator="equal">
      <formula>"No"</formula>
    </cfRule>
    <cfRule type="cellIs" dxfId="448" priority="317" operator="equal">
      <formula>"NA"</formula>
    </cfRule>
    <cfRule type="cellIs" dxfId="447" priority="318" operator="equal">
      <formula>"Yes"</formula>
    </cfRule>
  </conditionalFormatting>
  <conditionalFormatting sqref="G17">
    <cfRule type="cellIs" dxfId="446" priority="313" operator="equal">
      <formula>"No"</formula>
    </cfRule>
    <cfRule type="cellIs" dxfId="445" priority="314" operator="equal">
      <formula>"NA"</formula>
    </cfRule>
    <cfRule type="cellIs" dxfId="444" priority="315" operator="equal">
      <formula>"Yes"</formula>
    </cfRule>
  </conditionalFormatting>
  <conditionalFormatting sqref="G18">
    <cfRule type="cellIs" dxfId="443" priority="310" operator="equal">
      <formula>"No"</formula>
    </cfRule>
    <cfRule type="cellIs" dxfId="442" priority="311" operator="equal">
      <formula>"NA"</formula>
    </cfRule>
    <cfRule type="cellIs" dxfId="441" priority="312" operator="equal">
      <formula>"Yes"</formula>
    </cfRule>
  </conditionalFormatting>
  <conditionalFormatting sqref="G19">
    <cfRule type="cellIs" dxfId="440" priority="307" operator="equal">
      <formula>"No"</formula>
    </cfRule>
    <cfRule type="cellIs" dxfId="439" priority="308" operator="equal">
      <formula>"NA"</formula>
    </cfRule>
    <cfRule type="cellIs" dxfId="438" priority="309" operator="equal">
      <formula>"Yes"</formula>
    </cfRule>
  </conditionalFormatting>
  <conditionalFormatting sqref="G21">
    <cfRule type="cellIs" dxfId="437" priority="304" operator="equal">
      <formula>"No"</formula>
    </cfRule>
    <cfRule type="cellIs" dxfId="436" priority="305" operator="equal">
      <formula>"NA"</formula>
    </cfRule>
    <cfRule type="cellIs" dxfId="435" priority="306" operator="equal">
      <formula>"Yes"</formula>
    </cfRule>
  </conditionalFormatting>
  <conditionalFormatting sqref="G22">
    <cfRule type="cellIs" dxfId="434" priority="301" operator="equal">
      <formula>"No"</formula>
    </cfRule>
    <cfRule type="cellIs" dxfId="433" priority="302" operator="equal">
      <formula>"NA"</formula>
    </cfRule>
    <cfRule type="cellIs" dxfId="432" priority="303" operator="equal">
      <formula>"Yes"</formula>
    </cfRule>
  </conditionalFormatting>
  <conditionalFormatting sqref="G23">
    <cfRule type="cellIs" dxfId="431" priority="298" operator="equal">
      <formula>"No"</formula>
    </cfRule>
    <cfRule type="cellIs" dxfId="430" priority="299" operator="equal">
      <formula>"NA"</formula>
    </cfRule>
    <cfRule type="cellIs" dxfId="429" priority="300" operator="equal">
      <formula>"Yes"</formula>
    </cfRule>
  </conditionalFormatting>
  <conditionalFormatting sqref="G25">
    <cfRule type="cellIs" dxfId="428" priority="295" operator="equal">
      <formula>"No"</formula>
    </cfRule>
    <cfRule type="cellIs" dxfId="427" priority="296" operator="equal">
      <formula>"NA"</formula>
    </cfRule>
    <cfRule type="cellIs" dxfId="426" priority="297" operator="equal">
      <formula>"Yes"</formula>
    </cfRule>
  </conditionalFormatting>
  <conditionalFormatting sqref="G26">
    <cfRule type="cellIs" dxfId="425" priority="292" operator="equal">
      <formula>"No"</formula>
    </cfRule>
    <cfRule type="cellIs" dxfId="424" priority="293" operator="equal">
      <formula>"NA"</formula>
    </cfRule>
    <cfRule type="cellIs" dxfId="423" priority="294" operator="equal">
      <formula>"Yes"</formula>
    </cfRule>
  </conditionalFormatting>
  <conditionalFormatting sqref="G27">
    <cfRule type="cellIs" dxfId="422" priority="289" operator="equal">
      <formula>"No"</formula>
    </cfRule>
    <cfRule type="cellIs" dxfId="421" priority="290" operator="equal">
      <formula>"NA"</formula>
    </cfRule>
    <cfRule type="cellIs" dxfId="420" priority="291" operator="equal">
      <formula>"Yes"</formula>
    </cfRule>
  </conditionalFormatting>
  <conditionalFormatting sqref="G28">
    <cfRule type="cellIs" dxfId="419" priority="286" operator="equal">
      <formula>"No"</formula>
    </cfRule>
    <cfRule type="cellIs" dxfId="418" priority="287" operator="equal">
      <formula>"NA"</formula>
    </cfRule>
    <cfRule type="cellIs" dxfId="417" priority="288" operator="equal">
      <formula>"Yes"</formula>
    </cfRule>
  </conditionalFormatting>
  <conditionalFormatting sqref="G30">
    <cfRule type="cellIs" dxfId="416" priority="283" operator="equal">
      <formula>"No"</formula>
    </cfRule>
    <cfRule type="cellIs" dxfId="415" priority="284" operator="equal">
      <formula>"NA"</formula>
    </cfRule>
    <cfRule type="cellIs" dxfId="414" priority="285" operator="equal">
      <formula>"Yes"</formula>
    </cfRule>
  </conditionalFormatting>
  <conditionalFormatting sqref="G31">
    <cfRule type="cellIs" dxfId="413" priority="280" operator="equal">
      <formula>"No"</formula>
    </cfRule>
    <cfRule type="cellIs" dxfId="412" priority="281" operator="equal">
      <formula>"NA"</formula>
    </cfRule>
    <cfRule type="cellIs" dxfId="411" priority="282" operator="equal">
      <formula>"Yes"</formula>
    </cfRule>
  </conditionalFormatting>
  <conditionalFormatting sqref="G33">
    <cfRule type="cellIs" dxfId="410" priority="277" operator="equal">
      <formula>"No"</formula>
    </cfRule>
    <cfRule type="cellIs" dxfId="409" priority="278" operator="equal">
      <formula>"NA"</formula>
    </cfRule>
    <cfRule type="cellIs" dxfId="408" priority="279" operator="equal">
      <formula>"Yes"</formula>
    </cfRule>
  </conditionalFormatting>
  <conditionalFormatting sqref="H6">
    <cfRule type="cellIs" dxfId="407" priority="274" operator="equal">
      <formula>"No"</formula>
    </cfRule>
    <cfRule type="cellIs" dxfId="406" priority="275" operator="equal">
      <formula>"NA"</formula>
    </cfRule>
    <cfRule type="cellIs" dxfId="405" priority="276" operator="equal">
      <formula>"Yes"</formula>
    </cfRule>
  </conditionalFormatting>
  <conditionalFormatting sqref="H7">
    <cfRule type="cellIs" dxfId="404" priority="271" operator="equal">
      <formula>"No"</formula>
    </cfRule>
    <cfRule type="cellIs" dxfId="403" priority="272" operator="equal">
      <formula>"NA"</formula>
    </cfRule>
    <cfRule type="cellIs" dxfId="402" priority="273" operator="equal">
      <formula>"Yes"</formula>
    </cfRule>
  </conditionalFormatting>
  <conditionalFormatting sqref="H8">
    <cfRule type="cellIs" dxfId="401" priority="268" operator="equal">
      <formula>"No"</formula>
    </cfRule>
    <cfRule type="cellIs" dxfId="400" priority="269" operator="equal">
      <formula>"NA"</formula>
    </cfRule>
    <cfRule type="cellIs" dxfId="399" priority="270" operator="equal">
      <formula>"Yes"</formula>
    </cfRule>
  </conditionalFormatting>
  <conditionalFormatting sqref="H9">
    <cfRule type="cellIs" dxfId="398" priority="265" operator="equal">
      <formula>"No"</formula>
    </cfRule>
    <cfRule type="cellIs" dxfId="397" priority="266" operator="equal">
      <formula>"NA"</formula>
    </cfRule>
    <cfRule type="cellIs" dxfId="396" priority="267" operator="equal">
      <formula>"Yes"</formula>
    </cfRule>
  </conditionalFormatting>
  <conditionalFormatting sqref="H10">
    <cfRule type="cellIs" dxfId="395" priority="262" operator="equal">
      <formula>"No"</formula>
    </cfRule>
    <cfRule type="cellIs" dxfId="394" priority="263" operator="equal">
      <formula>"NA"</formula>
    </cfRule>
    <cfRule type="cellIs" dxfId="393" priority="264" operator="equal">
      <formula>"Yes"</formula>
    </cfRule>
  </conditionalFormatting>
  <conditionalFormatting sqref="H11">
    <cfRule type="cellIs" dxfId="392" priority="259" operator="equal">
      <formula>"No"</formula>
    </cfRule>
    <cfRule type="cellIs" dxfId="391" priority="260" operator="equal">
      <formula>"NA"</formula>
    </cfRule>
    <cfRule type="cellIs" dxfId="390" priority="261" operator="equal">
      <formula>"Yes"</formula>
    </cfRule>
  </conditionalFormatting>
  <conditionalFormatting sqref="H12">
    <cfRule type="cellIs" dxfId="389" priority="256" operator="equal">
      <formula>"No"</formula>
    </cfRule>
    <cfRule type="cellIs" dxfId="388" priority="257" operator="equal">
      <formula>"NA"</formula>
    </cfRule>
    <cfRule type="cellIs" dxfId="387" priority="258" operator="equal">
      <formula>"Yes"</formula>
    </cfRule>
  </conditionalFormatting>
  <conditionalFormatting sqref="H13">
    <cfRule type="cellIs" dxfId="386" priority="253" operator="equal">
      <formula>"No"</formula>
    </cfRule>
    <cfRule type="cellIs" dxfId="385" priority="254" operator="equal">
      <formula>"NA"</formula>
    </cfRule>
    <cfRule type="cellIs" dxfId="384" priority="255" operator="equal">
      <formula>"Yes"</formula>
    </cfRule>
  </conditionalFormatting>
  <conditionalFormatting sqref="H14">
    <cfRule type="cellIs" dxfId="383" priority="250" operator="equal">
      <formula>"No"</formula>
    </cfRule>
    <cfRule type="cellIs" dxfId="382" priority="251" operator="equal">
      <formula>"NA"</formula>
    </cfRule>
    <cfRule type="cellIs" dxfId="381" priority="252" operator="equal">
      <formula>"Yes"</formula>
    </cfRule>
  </conditionalFormatting>
  <conditionalFormatting sqref="H16">
    <cfRule type="cellIs" dxfId="380" priority="247" operator="equal">
      <formula>"No"</formula>
    </cfRule>
    <cfRule type="cellIs" dxfId="379" priority="248" operator="equal">
      <formula>"NA"</formula>
    </cfRule>
    <cfRule type="cellIs" dxfId="378" priority="249" operator="equal">
      <formula>"Yes"</formula>
    </cfRule>
  </conditionalFormatting>
  <conditionalFormatting sqref="H17">
    <cfRule type="cellIs" dxfId="377" priority="244" operator="equal">
      <formula>"No"</formula>
    </cfRule>
    <cfRule type="cellIs" dxfId="376" priority="245" operator="equal">
      <formula>"NA"</formula>
    </cfRule>
    <cfRule type="cellIs" dxfId="375" priority="246" operator="equal">
      <formula>"Yes"</formula>
    </cfRule>
  </conditionalFormatting>
  <conditionalFormatting sqref="H18">
    <cfRule type="cellIs" dxfId="374" priority="241" operator="equal">
      <formula>"No"</formula>
    </cfRule>
    <cfRule type="cellIs" dxfId="373" priority="242" operator="equal">
      <formula>"NA"</formula>
    </cfRule>
    <cfRule type="cellIs" dxfId="372" priority="243" operator="equal">
      <formula>"Yes"</formula>
    </cfRule>
  </conditionalFormatting>
  <conditionalFormatting sqref="H19">
    <cfRule type="cellIs" dxfId="371" priority="238" operator="equal">
      <formula>"No"</formula>
    </cfRule>
    <cfRule type="cellIs" dxfId="370" priority="239" operator="equal">
      <formula>"NA"</formula>
    </cfRule>
    <cfRule type="cellIs" dxfId="369" priority="240" operator="equal">
      <formula>"Yes"</formula>
    </cfRule>
  </conditionalFormatting>
  <conditionalFormatting sqref="H21">
    <cfRule type="cellIs" dxfId="368" priority="235" operator="equal">
      <formula>"No"</formula>
    </cfRule>
    <cfRule type="cellIs" dxfId="367" priority="236" operator="equal">
      <formula>"NA"</formula>
    </cfRule>
    <cfRule type="cellIs" dxfId="366" priority="237" operator="equal">
      <formula>"Yes"</formula>
    </cfRule>
  </conditionalFormatting>
  <conditionalFormatting sqref="H22">
    <cfRule type="cellIs" dxfId="365" priority="232" operator="equal">
      <formula>"No"</formula>
    </cfRule>
    <cfRule type="cellIs" dxfId="364" priority="233" operator="equal">
      <formula>"NA"</formula>
    </cfRule>
    <cfRule type="cellIs" dxfId="363" priority="234" operator="equal">
      <formula>"Yes"</formula>
    </cfRule>
  </conditionalFormatting>
  <conditionalFormatting sqref="H23">
    <cfRule type="cellIs" dxfId="362" priority="229" operator="equal">
      <formula>"No"</formula>
    </cfRule>
    <cfRule type="cellIs" dxfId="361" priority="230" operator="equal">
      <formula>"NA"</formula>
    </cfRule>
    <cfRule type="cellIs" dxfId="360" priority="231" operator="equal">
      <formula>"Yes"</formula>
    </cfRule>
  </conditionalFormatting>
  <conditionalFormatting sqref="H25">
    <cfRule type="cellIs" dxfId="359" priority="226" operator="equal">
      <formula>"No"</formula>
    </cfRule>
    <cfRule type="cellIs" dxfId="358" priority="227" operator="equal">
      <formula>"NA"</formula>
    </cfRule>
    <cfRule type="cellIs" dxfId="357" priority="228" operator="equal">
      <formula>"Yes"</formula>
    </cfRule>
  </conditionalFormatting>
  <conditionalFormatting sqref="H26">
    <cfRule type="cellIs" dxfId="356" priority="223" operator="equal">
      <formula>"No"</formula>
    </cfRule>
    <cfRule type="cellIs" dxfId="355" priority="224" operator="equal">
      <formula>"NA"</formula>
    </cfRule>
    <cfRule type="cellIs" dxfId="354" priority="225" operator="equal">
      <formula>"Yes"</formula>
    </cfRule>
  </conditionalFormatting>
  <conditionalFormatting sqref="H27">
    <cfRule type="cellIs" dxfId="353" priority="220" operator="equal">
      <formula>"No"</formula>
    </cfRule>
    <cfRule type="cellIs" dxfId="352" priority="221" operator="equal">
      <formula>"NA"</formula>
    </cfRule>
    <cfRule type="cellIs" dxfId="351" priority="222" operator="equal">
      <formula>"Yes"</formula>
    </cfRule>
  </conditionalFormatting>
  <conditionalFormatting sqref="H28">
    <cfRule type="cellIs" dxfId="350" priority="217" operator="equal">
      <formula>"No"</formula>
    </cfRule>
    <cfRule type="cellIs" dxfId="349" priority="218" operator="equal">
      <formula>"NA"</formula>
    </cfRule>
    <cfRule type="cellIs" dxfId="348" priority="219" operator="equal">
      <formula>"Yes"</formula>
    </cfRule>
  </conditionalFormatting>
  <conditionalFormatting sqref="H30">
    <cfRule type="cellIs" dxfId="347" priority="214" operator="equal">
      <formula>"No"</formula>
    </cfRule>
    <cfRule type="cellIs" dxfId="346" priority="215" operator="equal">
      <formula>"NA"</formula>
    </cfRule>
    <cfRule type="cellIs" dxfId="345" priority="216" operator="equal">
      <formula>"Yes"</formula>
    </cfRule>
  </conditionalFormatting>
  <conditionalFormatting sqref="H31">
    <cfRule type="cellIs" dxfId="344" priority="211" operator="equal">
      <formula>"No"</formula>
    </cfRule>
    <cfRule type="cellIs" dxfId="343" priority="212" operator="equal">
      <formula>"NA"</formula>
    </cfRule>
    <cfRule type="cellIs" dxfId="342" priority="213" operator="equal">
      <formula>"Yes"</formula>
    </cfRule>
  </conditionalFormatting>
  <conditionalFormatting sqref="H33">
    <cfRule type="cellIs" dxfId="341" priority="208" operator="equal">
      <formula>"No"</formula>
    </cfRule>
    <cfRule type="cellIs" dxfId="340" priority="209" operator="equal">
      <formula>"NA"</formula>
    </cfRule>
    <cfRule type="cellIs" dxfId="339" priority="210" operator="equal">
      <formula>"Yes"</formula>
    </cfRule>
  </conditionalFormatting>
  <conditionalFormatting sqref="I6">
    <cfRule type="cellIs" dxfId="338" priority="205" operator="equal">
      <formula>"No"</formula>
    </cfRule>
    <cfRule type="cellIs" dxfId="337" priority="206" operator="equal">
      <formula>"NA"</formula>
    </cfRule>
    <cfRule type="cellIs" dxfId="336" priority="207" operator="equal">
      <formula>"Yes"</formula>
    </cfRule>
  </conditionalFormatting>
  <conditionalFormatting sqref="I7">
    <cfRule type="cellIs" dxfId="335" priority="202" operator="equal">
      <formula>"No"</formula>
    </cfRule>
    <cfRule type="cellIs" dxfId="334" priority="203" operator="equal">
      <formula>"NA"</formula>
    </cfRule>
    <cfRule type="cellIs" dxfId="333" priority="204" operator="equal">
      <formula>"Yes"</formula>
    </cfRule>
  </conditionalFormatting>
  <conditionalFormatting sqref="I8">
    <cfRule type="cellIs" dxfId="332" priority="199" operator="equal">
      <formula>"No"</formula>
    </cfRule>
    <cfRule type="cellIs" dxfId="331" priority="200" operator="equal">
      <formula>"NA"</formula>
    </cfRule>
    <cfRule type="cellIs" dxfId="330" priority="201" operator="equal">
      <formula>"Yes"</formula>
    </cfRule>
  </conditionalFormatting>
  <conditionalFormatting sqref="I9">
    <cfRule type="cellIs" dxfId="329" priority="196" operator="equal">
      <formula>"No"</formula>
    </cfRule>
    <cfRule type="cellIs" dxfId="328" priority="197" operator="equal">
      <formula>"NA"</formula>
    </cfRule>
    <cfRule type="cellIs" dxfId="327" priority="198" operator="equal">
      <formula>"Yes"</formula>
    </cfRule>
  </conditionalFormatting>
  <conditionalFormatting sqref="I10">
    <cfRule type="cellIs" dxfId="326" priority="193" operator="equal">
      <formula>"No"</formula>
    </cfRule>
    <cfRule type="cellIs" dxfId="325" priority="194" operator="equal">
      <formula>"NA"</formula>
    </cfRule>
    <cfRule type="cellIs" dxfId="324" priority="195" operator="equal">
      <formula>"Yes"</formula>
    </cfRule>
  </conditionalFormatting>
  <conditionalFormatting sqref="I11">
    <cfRule type="cellIs" dxfId="323" priority="190" operator="equal">
      <formula>"No"</formula>
    </cfRule>
    <cfRule type="cellIs" dxfId="322" priority="191" operator="equal">
      <formula>"NA"</formula>
    </cfRule>
    <cfRule type="cellIs" dxfId="321" priority="192" operator="equal">
      <formula>"Yes"</formula>
    </cfRule>
  </conditionalFormatting>
  <conditionalFormatting sqref="I12">
    <cfRule type="cellIs" dxfId="320" priority="187" operator="equal">
      <formula>"No"</formula>
    </cfRule>
    <cfRule type="cellIs" dxfId="319" priority="188" operator="equal">
      <formula>"NA"</formula>
    </cfRule>
    <cfRule type="cellIs" dxfId="318" priority="189" operator="equal">
      <formula>"Yes"</formula>
    </cfRule>
  </conditionalFormatting>
  <conditionalFormatting sqref="I13">
    <cfRule type="cellIs" dxfId="317" priority="184" operator="equal">
      <formula>"No"</formula>
    </cfRule>
    <cfRule type="cellIs" dxfId="316" priority="185" operator="equal">
      <formula>"NA"</formula>
    </cfRule>
    <cfRule type="cellIs" dxfId="315" priority="186" operator="equal">
      <formula>"Yes"</formula>
    </cfRule>
  </conditionalFormatting>
  <conditionalFormatting sqref="I14">
    <cfRule type="cellIs" dxfId="314" priority="181" operator="equal">
      <formula>"No"</formula>
    </cfRule>
    <cfRule type="cellIs" dxfId="313" priority="182" operator="equal">
      <formula>"NA"</formula>
    </cfRule>
    <cfRule type="cellIs" dxfId="312" priority="183" operator="equal">
      <formula>"Yes"</formula>
    </cfRule>
  </conditionalFormatting>
  <conditionalFormatting sqref="I16">
    <cfRule type="cellIs" dxfId="311" priority="178" operator="equal">
      <formula>"No"</formula>
    </cfRule>
    <cfRule type="cellIs" dxfId="310" priority="179" operator="equal">
      <formula>"NA"</formula>
    </cfRule>
    <cfRule type="cellIs" dxfId="309" priority="180" operator="equal">
      <formula>"Yes"</formula>
    </cfRule>
  </conditionalFormatting>
  <conditionalFormatting sqref="I17">
    <cfRule type="cellIs" dxfId="308" priority="175" operator="equal">
      <formula>"No"</formula>
    </cfRule>
    <cfRule type="cellIs" dxfId="307" priority="176" operator="equal">
      <formula>"NA"</formula>
    </cfRule>
    <cfRule type="cellIs" dxfId="306" priority="177" operator="equal">
      <formula>"Yes"</formula>
    </cfRule>
  </conditionalFormatting>
  <conditionalFormatting sqref="I18">
    <cfRule type="cellIs" dxfId="305" priority="172" operator="equal">
      <formula>"No"</formula>
    </cfRule>
    <cfRule type="cellIs" dxfId="304" priority="173" operator="equal">
      <formula>"NA"</formula>
    </cfRule>
    <cfRule type="cellIs" dxfId="303" priority="174" operator="equal">
      <formula>"Yes"</formula>
    </cfRule>
  </conditionalFormatting>
  <conditionalFormatting sqref="I19">
    <cfRule type="cellIs" dxfId="302" priority="169" operator="equal">
      <formula>"No"</formula>
    </cfRule>
    <cfRule type="cellIs" dxfId="301" priority="170" operator="equal">
      <formula>"NA"</formula>
    </cfRule>
    <cfRule type="cellIs" dxfId="300" priority="171" operator="equal">
      <formula>"Yes"</formula>
    </cfRule>
  </conditionalFormatting>
  <conditionalFormatting sqref="I21">
    <cfRule type="cellIs" dxfId="299" priority="166" operator="equal">
      <formula>"No"</formula>
    </cfRule>
    <cfRule type="cellIs" dxfId="298" priority="167" operator="equal">
      <formula>"NA"</formula>
    </cfRule>
    <cfRule type="cellIs" dxfId="297" priority="168" operator="equal">
      <formula>"Yes"</formula>
    </cfRule>
  </conditionalFormatting>
  <conditionalFormatting sqref="I22">
    <cfRule type="cellIs" dxfId="296" priority="163" operator="equal">
      <formula>"No"</formula>
    </cfRule>
    <cfRule type="cellIs" dxfId="295" priority="164" operator="equal">
      <formula>"NA"</formula>
    </cfRule>
    <cfRule type="cellIs" dxfId="294" priority="165" operator="equal">
      <formula>"Yes"</formula>
    </cfRule>
  </conditionalFormatting>
  <conditionalFormatting sqref="I23">
    <cfRule type="cellIs" dxfId="293" priority="160" operator="equal">
      <formula>"No"</formula>
    </cfRule>
    <cfRule type="cellIs" dxfId="292" priority="161" operator="equal">
      <formula>"NA"</formula>
    </cfRule>
    <cfRule type="cellIs" dxfId="291" priority="162" operator="equal">
      <formula>"Yes"</formula>
    </cfRule>
  </conditionalFormatting>
  <conditionalFormatting sqref="I25">
    <cfRule type="cellIs" dxfId="290" priority="157" operator="equal">
      <formula>"No"</formula>
    </cfRule>
    <cfRule type="cellIs" dxfId="289" priority="158" operator="equal">
      <formula>"NA"</formula>
    </cfRule>
    <cfRule type="cellIs" dxfId="288" priority="159" operator="equal">
      <formula>"Yes"</formula>
    </cfRule>
  </conditionalFormatting>
  <conditionalFormatting sqref="I26">
    <cfRule type="cellIs" dxfId="287" priority="154" operator="equal">
      <formula>"No"</formula>
    </cfRule>
    <cfRule type="cellIs" dxfId="286" priority="155" operator="equal">
      <formula>"NA"</formula>
    </cfRule>
    <cfRule type="cellIs" dxfId="285" priority="156" operator="equal">
      <formula>"Yes"</formula>
    </cfRule>
  </conditionalFormatting>
  <conditionalFormatting sqref="I27">
    <cfRule type="cellIs" dxfId="284" priority="151" operator="equal">
      <formula>"No"</formula>
    </cfRule>
    <cfRule type="cellIs" dxfId="283" priority="152" operator="equal">
      <formula>"NA"</formula>
    </cfRule>
    <cfRule type="cellIs" dxfId="282" priority="153" operator="equal">
      <formula>"Yes"</formula>
    </cfRule>
  </conditionalFormatting>
  <conditionalFormatting sqref="I28">
    <cfRule type="cellIs" dxfId="281" priority="148" operator="equal">
      <formula>"No"</formula>
    </cfRule>
    <cfRule type="cellIs" dxfId="280" priority="149" operator="equal">
      <formula>"NA"</formula>
    </cfRule>
    <cfRule type="cellIs" dxfId="279" priority="150" operator="equal">
      <formula>"Yes"</formula>
    </cfRule>
  </conditionalFormatting>
  <conditionalFormatting sqref="I30">
    <cfRule type="cellIs" dxfId="278" priority="145" operator="equal">
      <formula>"No"</formula>
    </cfRule>
    <cfRule type="cellIs" dxfId="277" priority="146" operator="equal">
      <formula>"NA"</formula>
    </cfRule>
    <cfRule type="cellIs" dxfId="276" priority="147" operator="equal">
      <formula>"Yes"</formula>
    </cfRule>
  </conditionalFormatting>
  <conditionalFormatting sqref="I31">
    <cfRule type="cellIs" dxfId="275" priority="142" operator="equal">
      <formula>"No"</formula>
    </cfRule>
    <cfRule type="cellIs" dxfId="274" priority="143" operator="equal">
      <formula>"NA"</formula>
    </cfRule>
    <cfRule type="cellIs" dxfId="273" priority="144" operator="equal">
      <formula>"Yes"</formula>
    </cfRule>
  </conditionalFormatting>
  <conditionalFormatting sqref="I33">
    <cfRule type="cellIs" dxfId="272" priority="139" operator="equal">
      <formula>"No"</formula>
    </cfRule>
    <cfRule type="cellIs" dxfId="271" priority="140" operator="equal">
      <formula>"NA"</formula>
    </cfRule>
    <cfRule type="cellIs" dxfId="270" priority="141" operator="equal">
      <formula>"Yes"</formula>
    </cfRule>
  </conditionalFormatting>
  <conditionalFormatting sqref="J6">
    <cfRule type="cellIs" dxfId="269" priority="136" operator="equal">
      <formula>"No"</formula>
    </cfRule>
    <cfRule type="cellIs" dxfId="268" priority="137" operator="equal">
      <formula>"NA"</formula>
    </cfRule>
    <cfRule type="cellIs" dxfId="267" priority="138" operator="equal">
      <formula>"Yes"</formula>
    </cfRule>
  </conditionalFormatting>
  <conditionalFormatting sqref="J7">
    <cfRule type="cellIs" dxfId="266" priority="133" operator="equal">
      <formula>"No"</formula>
    </cfRule>
    <cfRule type="cellIs" dxfId="265" priority="134" operator="equal">
      <formula>"NA"</formula>
    </cfRule>
    <cfRule type="cellIs" dxfId="264" priority="135" operator="equal">
      <formula>"Yes"</formula>
    </cfRule>
  </conditionalFormatting>
  <conditionalFormatting sqref="J8">
    <cfRule type="cellIs" dxfId="263" priority="130" operator="equal">
      <formula>"No"</formula>
    </cfRule>
    <cfRule type="cellIs" dxfId="262" priority="131" operator="equal">
      <formula>"NA"</formula>
    </cfRule>
    <cfRule type="cellIs" dxfId="261" priority="132" operator="equal">
      <formula>"Yes"</formula>
    </cfRule>
  </conditionalFormatting>
  <conditionalFormatting sqref="J9">
    <cfRule type="cellIs" dxfId="260" priority="127" operator="equal">
      <formula>"No"</formula>
    </cfRule>
    <cfRule type="cellIs" dxfId="259" priority="128" operator="equal">
      <formula>"NA"</formula>
    </cfRule>
    <cfRule type="cellIs" dxfId="258" priority="129" operator="equal">
      <formula>"Yes"</formula>
    </cfRule>
  </conditionalFormatting>
  <conditionalFormatting sqref="J10">
    <cfRule type="cellIs" dxfId="257" priority="124" operator="equal">
      <formula>"No"</formula>
    </cfRule>
    <cfRule type="cellIs" dxfId="256" priority="125" operator="equal">
      <formula>"NA"</formula>
    </cfRule>
    <cfRule type="cellIs" dxfId="255" priority="126" operator="equal">
      <formula>"Yes"</formula>
    </cfRule>
  </conditionalFormatting>
  <conditionalFormatting sqref="J11">
    <cfRule type="cellIs" dxfId="254" priority="121" operator="equal">
      <formula>"No"</formula>
    </cfRule>
    <cfRule type="cellIs" dxfId="253" priority="122" operator="equal">
      <formula>"NA"</formula>
    </cfRule>
    <cfRule type="cellIs" dxfId="252" priority="123" operator="equal">
      <formula>"Yes"</formula>
    </cfRule>
  </conditionalFormatting>
  <conditionalFormatting sqref="J12">
    <cfRule type="cellIs" dxfId="251" priority="118" operator="equal">
      <formula>"No"</formula>
    </cfRule>
    <cfRule type="cellIs" dxfId="250" priority="119" operator="equal">
      <formula>"NA"</formula>
    </cfRule>
    <cfRule type="cellIs" dxfId="249" priority="120" operator="equal">
      <formula>"Yes"</formula>
    </cfRule>
  </conditionalFormatting>
  <conditionalFormatting sqref="J13">
    <cfRule type="cellIs" dxfId="248" priority="115" operator="equal">
      <formula>"No"</formula>
    </cfRule>
    <cfRule type="cellIs" dxfId="247" priority="116" operator="equal">
      <formula>"NA"</formula>
    </cfRule>
    <cfRule type="cellIs" dxfId="246" priority="117" operator="equal">
      <formula>"Yes"</formula>
    </cfRule>
  </conditionalFormatting>
  <conditionalFormatting sqref="J14">
    <cfRule type="cellIs" dxfId="245" priority="112" operator="equal">
      <formula>"No"</formula>
    </cfRule>
    <cfRule type="cellIs" dxfId="244" priority="113" operator="equal">
      <formula>"NA"</formula>
    </cfRule>
    <cfRule type="cellIs" dxfId="243" priority="114" operator="equal">
      <formula>"Yes"</formula>
    </cfRule>
  </conditionalFormatting>
  <conditionalFormatting sqref="J16">
    <cfRule type="cellIs" dxfId="242" priority="109" operator="equal">
      <formula>"No"</formula>
    </cfRule>
    <cfRule type="cellIs" dxfId="241" priority="110" operator="equal">
      <formula>"NA"</formula>
    </cfRule>
    <cfRule type="cellIs" dxfId="240" priority="111" operator="equal">
      <formula>"Yes"</formula>
    </cfRule>
  </conditionalFormatting>
  <conditionalFormatting sqref="J17">
    <cfRule type="cellIs" dxfId="239" priority="106" operator="equal">
      <formula>"No"</formula>
    </cfRule>
    <cfRule type="cellIs" dxfId="238" priority="107" operator="equal">
      <formula>"NA"</formula>
    </cfRule>
    <cfRule type="cellIs" dxfId="237" priority="108" operator="equal">
      <formula>"Yes"</formula>
    </cfRule>
  </conditionalFormatting>
  <conditionalFormatting sqref="J18">
    <cfRule type="cellIs" dxfId="236" priority="103" operator="equal">
      <formula>"No"</formula>
    </cfRule>
    <cfRule type="cellIs" dxfId="235" priority="104" operator="equal">
      <formula>"NA"</formula>
    </cfRule>
    <cfRule type="cellIs" dxfId="234" priority="105" operator="equal">
      <formula>"Yes"</formula>
    </cfRule>
  </conditionalFormatting>
  <conditionalFormatting sqref="J19">
    <cfRule type="cellIs" dxfId="233" priority="100" operator="equal">
      <formula>"No"</formula>
    </cfRule>
    <cfRule type="cellIs" dxfId="232" priority="101" operator="equal">
      <formula>"NA"</formula>
    </cfRule>
    <cfRule type="cellIs" dxfId="231" priority="102" operator="equal">
      <formula>"Yes"</formula>
    </cfRule>
  </conditionalFormatting>
  <conditionalFormatting sqref="J21">
    <cfRule type="cellIs" dxfId="230" priority="97" operator="equal">
      <formula>"No"</formula>
    </cfRule>
    <cfRule type="cellIs" dxfId="229" priority="98" operator="equal">
      <formula>"NA"</formula>
    </cfRule>
    <cfRule type="cellIs" dxfId="228" priority="99" operator="equal">
      <formula>"Yes"</formula>
    </cfRule>
  </conditionalFormatting>
  <conditionalFormatting sqref="J22">
    <cfRule type="cellIs" dxfId="227" priority="94" operator="equal">
      <formula>"No"</formula>
    </cfRule>
    <cfRule type="cellIs" dxfId="226" priority="95" operator="equal">
      <formula>"NA"</formula>
    </cfRule>
    <cfRule type="cellIs" dxfId="225" priority="96" operator="equal">
      <formula>"Yes"</formula>
    </cfRule>
  </conditionalFormatting>
  <conditionalFormatting sqref="J23">
    <cfRule type="cellIs" dxfId="224" priority="91" operator="equal">
      <formula>"No"</formula>
    </cfRule>
    <cfRule type="cellIs" dxfId="223" priority="92" operator="equal">
      <formula>"NA"</formula>
    </cfRule>
    <cfRule type="cellIs" dxfId="222" priority="93" operator="equal">
      <formula>"Yes"</formula>
    </cfRule>
  </conditionalFormatting>
  <conditionalFormatting sqref="J25">
    <cfRule type="cellIs" dxfId="221" priority="88" operator="equal">
      <formula>"No"</formula>
    </cfRule>
    <cfRule type="cellIs" dxfId="220" priority="89" operator="equal">
      <formula>"NA"</formula>
    </cfRule>
    <cfRule type="cellIs" dxfId="219" priority="90" operator="equal">
      <formula>"Yes"</formula>
    </cfRule>
  </conditionalFormatting>
  <conditionalFormatting sqref="J26">
    <cfRule type="cellIs" dxfId="218" priority="85" operator="equal">
      <formula>"No"</formula>
    </cfRule>
    <cfRule type="cellIs" dxfId="217" priority="86" operator="equal">
      <formula>"NA"</formula>
    </cfRule>
    <cfRule type="cellIs" dxfId="216" priority="87" operator="equal">
      <formula>"Yes"</formula>
    </cfRule>
  </conditionalFormatting>
  <conditionalFormatting sqref="J27">
    <cfRule type="cellIs" dxfId="215" priority="82" operator="equal">
      <formula>"No"</formula>
    </cfRule>
    <cfRule type="cellIs" dxfId="214" priority="83" operator="equal">
      <formula>"NA"</formula>
    </cfRule>
    <cfRule type="cellIs" dxfId="213" priority="84" operator="equal">
      <formula>"Yes"</formula>
    </cfRule>
  </conditionalFormatting>
  <conditionalFormatting sqref="J28">
    <cfRule type="cellIs" dxfId="212" priority="79" operator="equal">
      <formula>"No"</formula>
    </cfRule>
    <cfRule type="cellIs" dxfId="211" priority="80" operator="equal">
      <formula>"NA"</formula>
    </cfRule>
    <cfRule type="cellIs" dxfId="210" priority="81" operator="equal">
      <formula>"Yes"</formula>
    </cfRule>
  </conditionalFormatting>
  <conditionalFormatting sqref="J30">
    <cfRule type="cellIs" dxfId="209" priority="76" operator="equal">
      <formula>"No"</formula>
    </cfRule>
    <cfRule type="cellIs" dxfId="208" priority="77" operator="equal">
      <formula>"NA"</formula>
    </cfRule>
    <cfRule type="cellIs" dxfId="207" priority="78" operator="equal">
      <formula>"Yes"</formula>
    </cfRule>
  </conditionalFormatting>
  <conditionalFormatting sqref="J31">
    <cfRule type="cellIs" dxfId="206" priority="73" operator="equal">
      <formula>"No"</formula>
    </cfRule>
    <cfRule type="cellIs" dxfId="205" priority="74" operator="equal">
      <formula>"NA"</formula>
    </cfRule>
    <cfRule type="cellIs" dxfId="204" priority="75" operator="equal">
      <formula>"Yes"</formula>
    </cfRule>
  </conditionalFormatting>
  <conditionalFormatting sqref="J33">
    <cfRule type="cellIs" dxfId="203" priority="70" operator="equal">
      <formula>"No"</formula>
    </cfRule>
    <cfRule type="cellIs" dxfId="202" priority="71" operator="equal">
      <formula>"NA"</formula>
    </cfRule>
    <cfRule type="cellIs" dxfId="201" priority="72" operator="equal">
      <formula>"Yes"</formula>
    </cfRule>
  </conditionalFormatting>
  <conditionalFormatting sqref="K6">
    <cfRule type="cellIs" dxfId="200" priority="67" operator="equal">
      <formula>"No"</formula>
    </cfRule>
    <cfRule type="cellIs" dxfId="199" priority="68" operator="equal">
      <formula>"NA"</formula>
    </cfRule>
    <cfRule type="cellIs" dxfId="198" priority="69" operator="equal">
      <formula>"Yes"</formula>
    </cfRule>
  </conditionalFormatting>
  <conditionalFormatting sqref="K7">
    <cfRule type="cellIs" dxfId="197" priority="64" operator="equal">
      <formula>"No"</formula>
    </cfRule>
    <cfRule type="cellIs" dxfId="196" priority="65" operator="equal">
      <formula>"NA"</formula>
    </cfRule>
    <cfRule type="cellIs" dxfId="195" priority="66" operator="equal">
      <formula>"Yes"</formula>
    </cfRule>
  </conditionalFormatting>
  <conditionalFormatting sqref="K8">
    <cfRule type="cellIs" dxfId="194" priority="61" operator="equal">
      <formula>"No"</formula>
    </cfRule>
    <cfRule type="cellIs" dxfId="193" priority="62" operator="equal">
      <formula>"NA"</formula>
    </cfRule>
    <cfRule type="cellIs" dxfId="192" priority="63" operator="equal">
      <formula>"Yes"</formula>
    </cfRule>
  </conditionalFormatting>
  <conditionalFormatting sqref="K9">
    <cfRule type="cellIs" dxfId="191" priority="58" operator="equal">
      <formula>"No"</formula>
    </cfRule>
    <cfRule type="cellIs" dxfId="190" priority="59" operator="equal">
      <formula>"NA"</formula>
    </cfRule>
    <cfRule type="cellIs" dxfId="189" priority="60" operator="equal">
      <formula>"Yes"</formula>
    </cfRule>
  </conditionalFormatting>
  <conditionalFormatting sqref="K10">
    <cfRule type="cellIs" dxfId="188" priority="55" operator="equal">
      <formula>"No"</formula>
    </cfRule>
    <cfRule type="cellIs" dxfId="187" priority="56" operator="equal">
      <formula>"NA"</formula>
    </cfRule>
    <cfRule type="cellIs" dxfId="186" priority="57" operator="equal">
      <formula>"Yes"</formula>
    </cfRule>
  </conditionalFormatting>
  <conditionalFormatting sqref="K11">
    <cfRule type="cellIs" dxfId="185" priority="52" operator="equal">
      <formula>"No"</formula>
    </cfRule>
    <cfRule type="cellIs" dxfId="184" priority="53" operator="equal">
      <formula>"NA"</formula>
    </cfRule>
    <cfRule type="cellIs" dxfId="183" priority="54" operator="equal">
      <formula>"Yes"</formula>
    </cfRule>
  </conditionalFormatting>
  <conditionalFormatting sqref="K12">
    <cfRule type="cellIs" dxfId="182" priority="49" operator="equal">
      <formula>"No"</formula>
    </cfRule>
    <cfRule type="cellIs" dxfId="181" priority="50" operator="equal">
      <formula>"NA"</formula>
    </cfRule>
    <cfRule type="cellIs" dxfId="180" priority="51" operator="equal">
      <formula>"Yes"</formula>
    </cfRule>
  </conditionalFormatting>
  <conditionalFormatting sqref="K13">
    <cfRule type="cellIs" dxfId="179" priority="46" operator="equal">
      <formula>"No"</formula>
    </cfRule>
    <cfRule type="cellIs" dxfId="178" priority="47" operator="equal">
      <formula>"NA"</formula>
    </cfRule>
    <cfRule type="cellIs" dxfId="177" priority="48" operator="equal">
      <formula>"Yes"</formula>
    </cfRule>
  </conditionalFormatting>
  <conditionalFormatting sqref="K14">
    <cfRule type="cellIs" dxfId="176" priority="43" operator="equal">
      <formula>"No"</formula>
    </cfRule>
    <cfRule type="cellIs" dxfId="175" priority="44" operator="equal">
      <formula>"NA"</formula>
    </cfRule>
    <cfRule type="cellIs" dxfId="174" priority="45" operator="equal">
      <formula>"Yes"</formula>
    </cfRule>
  </conditionalFormatting>
  <conditionalFormatting sqref="K16">
    <cfRule type="cellIs" dxfId="173" priority="40" operator="equal">
      <formula>"No"</formula>
    </cfRule>
    <cfRule type="cellIs" dxfId="172" priority="41" operator="equal">
      <formula>"NA"</formula>
    </cfRule>
    <cfRule type="cellIs" dxfId="171" priority="42" operator="equal">
      <formula>"Yes"</formula>
    </cfRule>
  </conditionalFormatting>
  <conditionalFormatting sqref="K17">
    <cfRule type="cellIs" dxfId="170" priority="37" operator="equal">
      <formula>"No"</formula>
    </cfRule>
    <cfRule type="cellIs" dxfId="169" priority="38" operator="equal">
      <formula>"NA"</formula>
    </cfRule>
    <cfRule type="cellIs" dxfId="168" priority="39" operator="equal">
      <formula>"Yes"</formula>
    </cfRule>
  </conditionalFormatting>
  <conditionalFormatting sqref="K18">
    <cfRule type="cellIs" dxfId="167" priority="34" operator="equal">
      <formula>"No"</formula>
    </cfRule>
    <cfRule type="cellIs" dxfId="166" priority="35" operator="equal">
      <formula>"NA"</formula>
    </cfRule>
    <cfRule type="cellIs" dxfId="165" priority="36" operator="equal">
      <formula>"Yes"</formula>
    </cfRule>
  </conditionalFormatting>
  <conditionalFormatting sqref="K19">
    <cfRule type="cellIs" dxfId="164" priority="31" operator="equal">
      <formula>"No"</formula>
    </cfRule>
    <cfRule type="cellIs" dxfId="163" priority="32" operator="equal">
      <formula>"NA"</formula>
    </cfRule>
    <cfRule type="cellIs" dxfId="162" priority="33" operator="equal">
      <formula>"Yes"</formula>
    </cfRule>
  </conditionalFormatting>
  <conditionalFormatting sqref="K21">
    <cfRule type="cellIs" dxfId="161" priority="28" operator="equal">
      <formula>"No"</formula>
    </cfRule>
    <cfRule type="cellIs" dxfId="160" priority="29" operator="equal">
      <formula>"NA"</formula>
    </cfRule>
    <cfRule type="cellIs" dxfId="159" priority="30" operator="equal">
      <formula>"Yes"</formula>
    </cfRule>
  </conditionalFormatting>
  <conditionalFormatting sqref="K22">
    <cfRule type="cellIs" dxfId="158" priority="25" operator="equal">
      <formula>"No"</formula>
    </cfRule>
    <cfRule type="cellIs" dxfId="157" priority="26" operator="equal">
      <formula>"NA"</formula>
    </cfRule>
    <cfRule type="cellIs" dxfId="156" priority="27" operator="equal">
      <formula>"Yes"</formula>
    </cfRule>
  </conditionalFormatting>
  <conditionalFormatting sqref="K23">
    <cfRule type="cellIs" dxfId="155" priority="22" operator="equal">
      <formula>"No"</formula>
    </cfRule>
    <cfRule type="cellIs" dxfId="154" priority="23" operator="equal">
      <formula>"NA"</formula>
    </cfRule>
    <cfRule type="cellIs" dxfId="153" priority="24" operator="equal">
      <formula>"Yes"</formula>
    </cfRule>
  </conditionalFormatting>
  <conditionalFormatting sqref="K25">
    <cfRule type="cellIs" dxfId="152" priority="19" operator="equal">
      <formula>"No"</formula>
    </cfRule>
    <cfRule type="cellIs" dxfId="151" priority="20" operator="equal">
      <formula>"NA"</formula>
    </cfRule>
    <cfRule type="cellIs" dxfId="150" priority="21" operator="equal">
      <formula>"Yes"</formula>
    </cfRule>
  </conditionalFormatting>
  <conditionalFormatting sqref="K26">
    <cfRule type="cellIs" dxfId="149" priority="16" operator="equal">
      <formula>"No"</formula>
    </cfRule>
    <cfRule type="cellIs" dxfId="148" priority="17" operator="equal">
      <formula>"NA"</formula>
    </cfRule>
    <cfRule type="cellIs" dxfId="147" priority="18" operator="equal">
      <formula>"Yes"</formula>
    </cfRule>
  </conditionalFormatting>
  <conditionalFormatting sqref="K27">
    <cfRule type="cellIs" dxfId="146" priority="13" operator="equal">
      <formula>"No"</formula>
    </cfRule>
    <cfRule type="cellIs" dxfId="145" priority="14" operator="equal">
      <formula>"NA"</formula>
    </cfRule>
    <cfRule type="cellIs" dxfId="144" priority="15" operator="equal">
      <formula>"Yes"</formula>
    </cfRule>
  </conditionalFormatting>
  <conditionalFormatting sqref="K28">
    <cfRule type="cellIs" dxfId="143" priority="10" operator="equal">
      <formula>"No"</formula>
    </cfRule>
    <cfRule type="cellIs" dxfId="142" priority="11" operator="equal">
      <formula>"NA"</formula>
    </cfRule>
    <cfRule type="cellIs" dxfId="141" priority="12" operator="equal">
      <formula>"Yes"</formula>
    </cfRule>
  </conditionalFormatting>
  <conditionalFormatting sqref="K30">
    <cfRule type="cellIs" dxfId="140" priority="7" operator="equal">
      <formula>"No"</formula>
    </cfRule>
    <cfRule type="cellIs" dxfId="139" priority="8" operator="equal">
      <formula>"NA"</formula>
    </cfRule>
    <cfRule type="cellIs" dxfId="138" priority="9" operator="equal">
      <formula>"Yes"</formula>
    </cfRule>
  </conditionalFormatting>
  <conditionalFormatting sqref="K31">
    <cfRule type="cellIs" dxfId="137" priority="4" operator="equal">
      <formula>"No"</formula>
    </cfRule>
    <cfRule type="cellIs" dxfId="136" priority="5" operator="equal">
      <formula>"NA"</formula>
    </cfRule>
    <cfRule type="cellIs" dxfId="135" priority="6" operator="equal">
      <formula>"Yes"</formula>
    </cfRule>
  </conditionalFormatting>
  <conditionalFormatting sqref="K33">
    <cfRule type="cellIs" dxfId="134" priority="1" operator="equal">
      <formula>"No"</formula>
    </cfRule>
    <cfRule type="cellIs" dxfId="133" priority="2" operator="equal">
      <formula>"NA"</formula>
    </cfRule>
    <cfRule type="cellIs" dxfId="132" priority="3" operator="equal">
      <formula>"Yes"</formula>
    </cfRule>
  </conditionalFormatting>
  <dataValidations count="1">
    <dataValidation type="list" allowBlank="1" showInputMessage="1" showErrorMessage="1" sqref="C21:K23 C25:K28 C30:K31 C33:K33 C6:K14 C16:K19"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1078</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1015</v>
      </c>
      <c r="C5" s="149"/>
      <c r="D5" s="149"/>
      <c r="E5" s="215"/>
      <c r="F5" s="215"/>
    </row>
    <row r="6" spans="1:7" ht="25.5">
      <c r="A6" s="151" t="s">
        <v>1016</v>
      </c>
      <c r="B6" s="160" t="s">
        <v>1017</v>
      </c>
      <c r="C6" s="209"/>
      <c r="D6" s="210"/>
      <c r="E6" s="150"/>
      <c r="F6" s="150"/>
    </row>
    <row r="7" spans="1:7" ht="38.25">
      <c r="A7" s="151" t="s">
        <v>1018</v>
      </c>
      <c r="B7" s="160" t="s">
        <v>1019</v>
      </c>
      <c r="C7" s="209"/>
      <c r="D7" s="210"/>
      <c r="E7" s="152" t="s">
        <v>1020</v>
      </c>
      <c r="F7" s="150"/>
    </row>
    <row r="8" spans="1:7" ht="25.5">
      <c r="A8" s="151" t="s">
        <v>1068</v>
      </c>
      <c r="B8" s="160" t="s">
        <v>1069</v>
      </c>
      <c r="C8" s="209"/>
      <c r="D8" s="210"/>
      <c r="E8" s="150"/>
      <c r="F8" s="150"/>
    </row>
    <row r="9" spans="1:7" ht="25.5">
      <c r="A9" s="151" t="s">
        <v>1021</v>
      </c>
      <c r="B9" s="160" t="s">
        <v>1022</v>
      </c>
      <c r="C9" s="209"/>
      <c r="D9" s="210"/>
      <c r="E9" s="150"/>
      <c r="F9" s="150"/>
    </row>
    <row r="10" spans="1:7" ht="25.5">
      <c r="A10" s="151" t="s">
        <v>1023</v>
      </c>
      <c r="B10" s="160" t="s">
        <v>1024</v>
      </c>
      <c r="C10" s="209"/>
      <c r="D10" s="210"/>
      <c r="E10" s="150"/>
      <c r="F10" s="150"/>
    </row>
    <row r="11" spans="1:7" ht="38.25">
      <c r="A11" s="151" t="s">
        <v>1025</v>
      </c>
      <c r="B11" s="160" t="s">
        <v>1026</v>
      </c>
      <c r="C11" s="209"/>
      <c r="D11" s="210"/>
      <c r="E11" s="150"/>
      <c r="F11" s="150"/>
    </row>
    <row r="12" spans="1:7" ht="18.75">
      <c r="A12" s="148"/>
      <c r="B12" s="157" t="s">
        <v>1027</v>
      </c>
      <c r="C12" s="149"/>
      <c r="D12" s="149"/>
      <c r="E12" s="215"/>
      <c r="F12" s="215"/>
    </row>
    <row r="13" spans="1:7" ht="63.75">
      <c r="A13" s="151" t="s">
        <v>1031</v>
      </c>
      <c r="B13" s="160" t="s">
        <v>1032</v>
      </c>
      <c r="C13" s="209"/>
      <c r="D13" s="210"/>
      <c r="E13" s="150"/>
      <c r="F13" s="150"/>
    </row>
    <row r="14" spans="1:7" ht="51">
      <c r="A14" s="151" t="s">
        <v>1033</v>
      </c>
      <c r="B14" s="160" t="s">
        <v>1034</v>
      </c>
      <c r="C14" s="209"/>
      <c r="D14" s="210"/>
      <c r="E14" s="150"/>
      <c r="F14" s="150"/>
    </row>
    <row r="15" spans="1:7" ht="25.5">
      <c r="A15" s="151" t="s">
        <v>1035</v>
      </c>
      <c r="B15" s="160" t="s">
        <v>1036</v>
      </c>
      <c r="C15" s="209"/>
      <c r="D15" s="210"/>
      <c r="E15" s="150"/>
      <c r="F15" s="150"/>
    </row>
    <row r="16" spans="1:7" ht="18.75">
      <c r="A16" s="148"/>
      <c r="B16" s="157" t="s">
        <v>570</v>
      </c>
      <c r="C16" s="149"/>
      <c r="D16" s="149"/>
      <c r="E16" s="215"/>
      <c r="F16" s="215"/>
    </row>
    <row r="17" spans="1:6" ht="38.25">
      <c r="A17" s="151" t="s">
        <v>571</v>
      </c>
      <c r="B17" s="160" t="s">
        <v>572</v>
      </c>
      <c r="C17" s="209"/>
      <c r="D17" s="210"/>
      <c r="E17" s="150"/>
      <c r="F17" s="150"/>
    </row>
    <row r="18" spans="1:6" ht="25.5">
      <c r="A18" s="151" t="s">
        <v>573</v>
      </c>
      <c r="B18" s="160" t="s">
        <v>574</v>
      </c>
      <c r="C18" s="209"/>
      <c r="D18" s="210"/>
      <c r="E18" s="150"/>
      <c r="F18" s="150"/>
    </row>
    <row r="19" spans="1:6" ht="38.25">
      <c r="A19" s="151" t="s">
        <v>575</v>
      </c>
      <c r="B19" s="160" t="s">
        <v>576</v>
      </c>
      <c r="C19" s="209"/>
      <c r="D19" s="210"/>
      <c r="E19" s="150"/>
      <c r="F19" s="150"/>
    </row>
    <row r="20" spans="1:6" ht="38.25">
      <c r="A20" s="151" t="s">
        <v>577</v>
      </c>
      <c r="B20" s="160" t="s">
        <v>578</v>
      </c>
      <c r="C20" s="209"/>
      <c r="D20" s="210"/>
      <c r="E20" s="150"/>
      <c r="F20" s="150"/>
    </row>
    <row r="21" spans="1:6" ht="18.75">
      <c r="A21" s="148"/>
      <c r="B21" s="157" t="s">
        <v>579</v>
      </c>
      <c r="C21" s="149"/>
      <c r="D21" s="149"/>
      <c r="E21" s="215"/>
      <c r="F21" s="215"/>
    </row>
    <row r="22" spans="1:6" ht="38.25">
      <c r="A22" s="151" t="s">
        <v>580</v>
      </c>
      <c r="B22" s="160" t="s">
        <v>581</v>
      </c>
      <c r="C22" s="209"/>
      <c r="D22" s="210"/>
      <c r="E22" s="150"/>
      <c r="F22" s="150"/>
    </row>
    <row r="23" spans="1:6" ht="38.25">
      <c r="A23" s="151" t="s">
        <v>582</v>
      </c>
      <c r="B23" s="160" t="s">
        <v>583</v>
      </c>
      <c r="C23" s="209"/>
      <c r="D23" s="210"/>
      <c r="E23" s="150"/>
      <c r="F23" s="150"/>
    </row>
    <row r="24" spans="1:6" ht="18.75">
      <c r="A24" s="148"/>
      <c r="B24" s="157" t="s">
        <v>584</v>
      </c>
      <c r="C24" s="149"/>
      <c r="D24" s="149"/>
      <c r="E24" s="215"/>
      <c r="F24" s="215"/>
    </row>
    <row r="25" spans="1:6" ht="51">
      <c r="A25" s="151" t="s">
        <v>585</v>
      </c>
      <c r="B25" s="160" t="s">
        <v>586</v>
      </c>
      <c r="C25" s="209"/>
      <c r="D25" s="210"/>
      <c r="E25" s="150"/>
      <c r="F25" s="150"/>
    </row>
    <row r="26" spans="1:6" ht="18">
      <c r="A26" s="211"/>
      <c r="B26" s="212" t="s">
        <v>587</v>
      </c>
      <c r="C26" s="211"/>
      <c r="D26" s="211"/>
      <c r="E26" s="211"/>
      <c r="F26" s="211"/>
    </row>
    <row r="27" spans="1:6">
      <c r="A27" s="151"/>
      <c r="B27" s="160"/>
    </row>
    <row r="28" spans="1:6" ht="15">
      <c r="A28" s="213"/>
      <c r="B28" s="214" t="s">
        <v>588</v>
      </c>
      <c r="C28" s="213"/>
      <c r="D28" s="213"/>
      <c r="E28" s="213"/>
      <c r="F28" s="213"/>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1079</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655</v>
      </c>
      <c r="C5" s="149"/>
      <c r="D5" s="149"/>
      <c r="E5" s="215"/>
      <c r="F5" s="215"/>
    </row>
    <row r="6" spans="1:7" ht="63.75">
      <c r="A6" s="151" t="s">
        <v>1080</v>
      </c>
      <c r="B6" s="160" t="s">
        <v>1081</v>
      </c>
      <c r="C6" s="209"/>
      <c r="D6" s="210"/>
      <c r="E6" s="150"/>
      <c r="F6" s="150"/>
    </row>
    <row r="7" spans="1:7" ht="25.5">
      <c r="A7" s="151" t="s">
        <v>1082</v>
      </c>
      <c r="B7" s="160" t="s">
        <v>1083</v>
      </c>
      <c r="C7" s="209"/>
      <c r="D7" s="210"/>
      <c r="E7" s="150"/>
      <c r="F7" s="150"/>
    </row>
    <row r="8" spans="1:7" ht="25.5">
      <c r="A8" s="151" t="s">
        <v>1084</v>
      </c>
      <c r="B8" s="160" t="s">
        <v>1085</v>
      </c>
      <c r="C8" s="209"/>
      <c r="D8" s="210"/>
      <c r="E8" s="150"/>
      <c r="F8" s="150"/>
    </row>
    <row r="9" spans="1:7" ht="25.5">
      <c r="A9" s="151" t="s">
        <v>1086</v>
      </c>
      <c r="B9" s="160" t="s">
        <v>1087</v>
      </c>
      <c r="C9" s="209"/>
      <c r="D9" s="210"/>
      <c r="E9" s="150"/>
      <c r="F9" s="150"/>
    </row>
    <row r="10" spans="1:7" ht="18.75">
      <c r="A10" s="148"/>
      <c r="B10" s="157" t="s">
        <v>570</v>
      </c>
      <c r="C10" s="149"/>
      <c r="D10" s="149"/>
      <c r="E10" s="215"/>
      <c r="F10" s="215"/>
    </row>
    <row r="11" spans="1:7" ht="38.25">
      <c r="A11" s="151" t="s">
        <v>571</v>
      </c>
      <c r="B11" s="160" t="s">
        <v>572</v>
      </c>
      <c r="C11" s="209"/>
      <c r="D11" s="210"/>
      <c r="E11" s="150"/>
      <c r="F11" s="150"/>
    </row>
    <row r="12" spans="1:7" ht="25.5">
      <c r="A12" s="151" t="s">
        <v>573</v>
      </c>
      <c r="B12" s="160" t="s">
        <v>574</v>
      </c>
      <c r="C12" s="209"/>
      <c r="D12" s="210"/>
      <c r="E12" s="150"/>
      <c r="F12" s="150"/>
    </row>
    <row r="13" spans="1:7" ht="38.25">
      <c r="A13" s="151" t="s">
        <v>575</v>
      </c>
      <c r="B13" s="160" t="s">
        <v>576</v>
      </c>
      <c r="C13" s="209"/>
      <c r="D13" s="210"/>
      <c r="E13" s="150"/>
      <c r="F13" s="150"/>
    </row>
    <row r="14" spans="1:7" ht="38.25">
      <c r="A14" s="151" t="s">
        <v>577</v>
      </c>
      <c r="B14" s="160" t="s">
        <v>578</v>
      </c>
      <c r="C14" s="209"/>
      <c r="D14" s="210"/>
      <c r="E14" s="150"/>
      <c r="F14" s="150"/>
    </row>
    <row r="15" spans="1:7" ht="18.75">
      <c r="A15" s="148"/>
      <c r="B15" s="157" t="s">
        <v>579</v>
      </c>
      <c r="C15" s="149"/>
      <c r="D15" s="149"/>
      <c r="E15" s="215"/>
      <c r="F15" s="215"/>
    </row>
    <row r="16" spans="1:7" ht="38.25">
      <c r="A16" s="151" t="s">
        <v>580</v>
      </c>
      <c r="B16" s="160" t="s">
        <v>581</v>
      </c>
      <c r="C16" s="209"/>
      <c r="D16" s="210"/>
      <c r="E16" s="150"/>
      <c r="F16" s="150"/>
    </row>
    <row r="17" spans="1:6" ht="38.25">
      <c r="A17" s="151" t="s">
        <v>582</v>
      </c>
      <c r="B17" s="160" t="s">
        <v>583</v>
      </c>
      <c r="C17" s="209"/>
      <c r="D17" s="210"/>
      <c r="E17" s="150"/>
      <c r="F17" s="150"/>
    </row>
    <row r="18" spans="1:6" ht="18.75">
      <c r="A18" s="148"/>
      <c r="B18" s="157" t="s">
        <v>584</v>
      </c>
      <c r="C18" s="149"/>
      <c r="D18" s="149"/>
      <c r="E18" s="215"/>
      <c r="F18" s="215"/>
    </row>
    <row r="19" spans="1:6" ht="51">
      <c r="A19" s="151" t="s">
        <v>585</v>
      </c>
      <c r="B19" s="160" t="s">
        <v>586</v>
      </c>
      <c r="C19" s="209"/>
      <c r="D19" s="210"/>
      <c r="E19" s="150"/>
      <c r="F19" s="150"/>
    </row>
    <row r="20" spans="1:6" ht="18">
      <c r="A20" s="211"/>
      <c r="B20" s="212" t="s">
        <v>587</v>
      </c>
      <c r="C20" s="211"/>
      <c r="D20" s="211"/>
      <c r="E20" s="211"/>
      <c r="F20" s="211"/>
    </row>
    <row r="21" spans="1:6">
      <c r="A21" s="151"/>
      <c r="B21" s="160"/>
    </row>
    <row r="22" spans="1:6" ht="15">
      <c r="A22" s="213"/>
      <c r="B22" s="214" t="s">
        <v>588</v>
      </c>
      <c r="C22" s="213"/>
      <c r="D22" s="213"/>
      <c r="E22" s="213"/>
      <c r="F22" s="213"/>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workbookViewId="0"/>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506</v>
      </c>
      <c r="B2" s="197" t="s">
        <v>1088</v>
      </c>
      <c r="C2" s="198" t="s">
        <v>508</v>
      </c>
      <c r="D2" s="199" t="s">
        <v>509</v>
      </c>
      <c r="E2" s="353" t="s">
        <v>167</v>
      </c>
      <c r="F2" s="354"/>
    </row>
    <row r="3" spans="1:7" ht="18.75">
      <c r="A3" s="200"/>
      <c r="B3" s="201"/>
      <c r="C3" s="202">
        <f>COUNTIF(Review.ratings,"Yes") / ( COUNTA(Review.QuestionIds) - COUNTIF(Review.ratings,"NA"))</f>
        <v>0</v>
      </c>
      <c r="D3" s="207"/>
      <c r="E3" s="215" t="s">
        <v>510</v>
      </c>
      <c r="F3" s="215" t="s">
        <v>511</v>
      </c>
      <c r="G3" s="208"/>
    </row>
    <row r="4" spans="1:7" ht="36">
      <c r="A4" s="203"/>
      <c r="B4" s="204" t="s">
        <v>512</v>
      </c>
      <c r="C4" s="205"/>
      <c r="D4" s="205"/>
      <c r="E4" s="205"/>
      <c r="F4" s="206"/>
      <c r="G4" s="23"/>
    </row>
    <row r="5" spans="1:7" ht="18.75">
      <c r="A5" s="148"/>
      <c r="B5" s="157" t="s">
        <v>655</v>
      </c>
      <c r="C5" s="149"/>
      <c r="D5" s="149"/>
      <c r="E5" s="215"/>
      <c r="F5" s="215"/>
    </row>
    <row r="6" spans="1:7" ht="229.5">
      <c r="A6" s="151" t="s">
        <v>1089</v>
      </c>
      <c r="B6" s="160" t="s">
        <v>1090</v>
      </c>
      <c r="C6" s="209"/>
      <c r="D6" s="210"/>
      <c r="E6" s="150"/>
      <c r="F6" s="150"/>
    </row>
    <row r="7" spans="1:7" ht="38.25">
      <c r="A7" s="151" t="s">
        <v>1091</v>
      </c>
      <c r="B7" s="160" t="s">
        <v>1092</v>
      </c>
      <c r="C7" s="209"/>
      <c r="D7" s="210"/>
      <c r="E7" s="150"/>
      <c r="F7" s="150"/>
    </row>
    <row r="8" spans="1:7" ht="25.5">
      <c r="A8" s="151" t="s">
        <v>1093</v>
      </c>
      <c r="B8" s="160" t="s">
        <v>1094</v>
      </c>
      <c r="C8" s="209"/>
      <c r="D8" s="210"/>
      <c r="E8" s="150"/>
      <c r="F8" s="150"/>
    </row>
    <row r="9" spans="1:7" ht="25.5">
      <c r="A9" s="151" t="s">
        <v>1095</v>
      </c>
      <c r="B9" s="160" t="s">
        <v>1096</v>
      </c>
      <c r="C9" s="209"/>
      <c r="D9" s="210"/>
      <c r="E9" s="150"/>
      <c r="F9" s="150"/>
    </row>
    <row r="10" spans="1:7" ht="25.5">
      <c r="A10" s="151" t="s">
        <v>1097</v>
      </c>
      <c r="B10" s="160" t="s">
        <v>1098</v>
      </c>
      <c r="C10" s="209"/>
      <c r="D10" s="210"/>
      <c r="E10" s="150"/>
      <c r="F10" s="150"/>
    </row>
    <row r="11" spans="1:7" ht="25.5">
      <c r="A11" s="151" t="s">
        <v>1099</v>
      </c>
      <c r="B11" s="160" t="s">
        <v>1100</v>
      </c>
      <c r="C11" s="209"/>
      <c r="D11" s="210"/>
      <c r="E11" s="150"/>
      <c r="F11" s="150"/>
    </row>
    <row r="12" spans="1:7" ht="25.5">
      <c r="A12" s="151" t="s">
        <v>1101</v>
      </c>
      <c r="B12" s="160" t="s">
        <v>1102</v>
      </c>
      <c r="C12" s="209"/>
      <c r="D12" s="210"/>
      <c r="E12" s="150"/>
      <c r="F12" s="150"/>
    </row>
    <row r="13" spans="1:7" ht="63.75">
      <c r="A13" s="151" t="s">
        <v>1103</v>
      </c>
      <c r="B13" s="160" t="s">
        <v>1104</v>
      </c>
      <c r="C13" s="209"/>
      <c r="D13" s="210"/>
      <c r="E13" s="150"/>
      <c r="F13" s="150"/>
    </row>
    <row r="14" spans="1:7" ht="38.25">
      <c r="A14" s="151" t="s">
        <v>1105</v>
      </c>
      <c r="B14" s="160" t="s">
        <v>1106</v>
      </c>
      <c r="C14" s="209"/>
      <c r="D14" s="210"/>
      <c r="E14" s="150"/>
      <c r="F14" s="150"/>
    </row>
    <row r="15" spans="1:7" ht="25.5">
      <c r="A15" s="151" t="s">
        <v>1107</v>
      </c>
      <c r="B15" s="160" t="s">
        <v>1108</v>
      </c>
      <c r="C15" s="209"/>
      <c r="D15" s="210"/>
      <c r="E15" s="150"/>
      <c r="F15" s="150"/>
    </row>
    <row r="16" spans="1:7" ht="18.75">
      <c r="A16" s="148"/>
      <c r="B16" s="157" t="s">
        <v>570</v>
      </c>
      <c r="C16" s="149"/>
      <c r="D16" s="149"/>
      <c r="E16" s="215"/>
      <c r="F16" s="215"/>
    </row>
    <row r="17" spans="1:6" ht="38.25">
      <c r="A17" s="151" t="s">
        <v>571</v>
      </c>
      <c r="B17" s="160" t="s">
        <v>572</v>
      </c>
      <c r="C17" s="209"/>
      <c r="D17" s="210"/>
      <c r="E17" s="150"/>
      <c r="F17" s="150"/>
    </row>
    <row r="18" spans="1:6" ht="25.5">
      <c r="A18" s="151" t="s">
        <v>573</v>
      </c>
      <c r="B18" s="160" t="s">
        <v>574</v>
      </c>
      <c r="C18" s="209"/>
      <c r="D18" s="210"/>
      <c r="E18" s="150"/>
      <c r="F18" s="150"/>
    </row>
    <row r="19" spans="1:6" ht="38.25">
      <c r="A19" s="151" t="s">
        <v>575</v>
      </c>
      <c r="B19" s="160" t="s">
        <v>576</v>
      </c>
      <c r="C19" s="209"/>
      <c r="D19" s="210"/>
      <c r="E19" s="150"/>
      <c r="F19" s="150"/>
    </row>
    <row r="20" spans="1:6" ht="38.25">
      <c r="A20" s="151" t="s">
        <v>577</v>
      </c>
      <c r="B20" s="160" t="s">
        <v>578</v>
      </c>
      <c r="C20" s="209"/>
      <c r="D20" s="210"/>
      <c r="E20" s="150"/>
      <c r="F20" s="150"/>
    </row>
    <row r="21" spans="1:6" ht="18.75">
      <c r="A21" s="148"/>
      <c r="B21" s="157" t="s">
        <v>579</v>
      </c>
      <c r="C21" s="149"/>
      <c r="D21" s="149"/>
      <c r="E21" s="215"/>
      <c r="F21" s="215"/>
    </row>
    <row r="22" spans="1:6" ht="38.25">
      <c r="A22" s="151" t="s">
        <v>580</v>
      </c>
      <c r="B22" s="160" t="s">
        <v>581</v>
      </c>
      <c r="C22" s="209"/>
      <c r="D22" s="210"/>
      <c r="E22" s="150"/>
      <c r="F22" s="150"/>
    </row>
    <row r="23" spans="1:6" ht="38.25">
      <c r="A23" s="151" t="s">
        <v>582</v>
      </c>
      <c r="B23" s="160" t="s">
        <v>583</v>
      </c>
      <c r="C23" s="209"/>
      <c r="D23" s="210"/>
      <c r="E23" s="150"/>
      <c r="F23" s="150"/>
    </row>
    <row r="24" spans="1:6" ht="18.75">
      <c r="A24" s="148"/>
      <c r="B24" s="157" t="s">
        <v>584</v>
      </c>
      <c r="C24" s="149"/>
      <c r="D24" s="149"/>
      <c r="E24" s="215"/>
      <c r="F24" s="215"/>
    </row>
    <row r="25" spans="1:6" ht="51">
      <c r="A25" s="151" t="s">
        <v>585</v>
      </c>
      <c r="B25" s="160" t="s">
        <v>586</v>
      </c>
      <c r="C25" s="209"/>
      <c r="D25" s="210"/>
      <c r="E25" s="150"/>
      <c r="F25" s="150"/>
    </row>
    <row r="26" spans="1:6" ht="18">
      <c r="A26" s="211"/>
      <c r="B26" s="212" t="s">
        <v>587</v>
      </c>
      <c r="C26" s="211"/>
      <c r="D26" s="211"/>
      <c r="E26" s="211"/>
      <c r="F26" s="211"/>
    </row>
    <row r="27" spans="1:6">
      <c r="A27" s="151"/>
      <c r="B27" s="160"/>
    </row>
    <row r="28" spans="1:6" ht="15">
      <c r="A28" s="213"/>
      <c r="B28" s="214" t="s">
        <v>588</v>
      </c>
      <c r="C28" s="213"/>
      <c r="D28" s="213"/>
      <c r="E28" s="213"/>
      <c r="F28" s="213"/>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microsoft.com/office/2006/metadata/properties"/>
    <ds:schemaRef ds:uri="http://schemas.microsoft.com/office/infopath/2007/PartnerControls"/>
    <ds:schemaRef ds:uri="http://schemas.microsoft.com/sharepoint/v3"/>
    <ds:schemaRef ds:uri="34c9bd9a-5a71-426a-ab93-6fe2caeb5e9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UTSR checklist</vt:lpstr>
      <vt:lpstr>ITSR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David Puscasu</cp:lastModifiedBy>
  <cp:revision/>
  <dcterms:created xsi:type="dcterms:W3CDTF">1996-10-21T11:03:58Z</dcterms:created>
  <dcterms:modified xsi:type="dcterms:W3CDTF">2023-07-31T12:12:24Z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