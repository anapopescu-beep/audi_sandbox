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CompilerIf\Quality_Assurance\Peer_Review\"/>
    </mc:Choice>
  </mc:AlternateContent>
  <xr:revisionPtr revIDLastSave="0" documentId="13_ncr:1_{582F6D86-48A7-4BF7-9208-38D02454EC69}" xr6:coauthVersionLast="47" xr6:coauthVersionMax="47" xr10:uidLastSave="{00000000-0000-0000-0000-000000000000}"/>
  <bookViews>
    <workbookView xWindow="-120" yWindow="-120" windowWidth="29040" windowHeight="15990" tabRatio="750" activeTab="6"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s>
  <functionGroups builtInGroupCount="19"/>
  <externalReferences>
    <externalReference r:id="rId9"/>
    <externalReference r:id="rId10"/>
    <externalReference r:id="rId11"/>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ratings" localSheetId="7">'CODE checklist'!$C$5:$C$36</definedName>
    <definedName name="Review.ratings" localSheetId="6">'SDD checklist'!$C$5:$C$35</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checklist'!$F$3</definedName>
    <definedName name="Title.Checklist.Guide.HowToRate" localSheetId="6">'SDD checklist'!$H$3</definedName>
    <definedName name="Title.Checklist.Guide.WhatToCheck" localSheetId="7">'CODE checklist'!$E$3</definedName>
    <definedName name="Title.Checklist.Guide.WhatToCheck" localSheetId="6">'SDD checklist'!$G$3</definedName>
    <definedName name="Title.Checklist.ManualQuestion" localSheetId="7">'CODE checklist'!$B$34</definedName>
    <definedName name="Title.Checklist.ManualQuestion" localSheetId="6">'SDD checklist'!$B$33</definedName>
    <definedName name="Title.Checklist.NoteForAuditor" localSheetId="7">'CODE checklist'!$E$2</definedName>
    <definedName name="Title.Checklist.NoteForAuditor" localSheetId="6">'SDD checklist'!$G$2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checklist'!$C$2</definedName>
    <definedName name="Title.Checklist.Rate" localSheetId="6">'SDD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245" l="1"/>
  <c r="D3" i="245"/>
  <c r="E5" i="42"/>
  <c r="E4" i="42"/>
  <c r="F10" i="38"/>
  <c r="A5" i="38"/>
  <c r="E7" i="38"/>
  <c r="W7" i="38"/>
  <c r="AE7" i="38"/>
  <c r="AB7" i="38"/>
  <c r="AB5" i="38"/>
  <c r="W5" i="38"/>
  <c r="A7" i="38"/>
  <c r="E3" i="42" l="1"/>
  <c r="F27" i="16"/>
  <c r="E27" i="16"/>
  <c r="E44" i="16"/>
  <c r="E37" i="16"/>
  <c r="C3" i="246" l="1"/>
  <c r="C3" i="245"/>
  <c r="A23" i="38" l="1"/>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64B925D4-25AE-4A89-9FDB-88D336596C67}">
      <text>
        <r>
          <rPr>
            <b/>
            <sz val="9"/>
            <color indexed="81"/>
            <rFont val="Tahoma"/>
            <family val="2"/>
          </rPr>
          <t>Overview :</t>
        </r>
        <r>
          <rPr>
            <sz val="9"/>
            <color indexed="81"/>
            <rFont val="Tahoma"/>
            <family val="2"/>
          </rPr>
          <t xml:space="preserve">
Pourcentage of "yes" answers out of applicable answers</t>
        </r>
      </text>
    </comment>
    <comment ref="E3" authorId="0" shapeId="0" xr:uid="{8B3373C6-FAEA-436C-94FA-8E6DBCB034DF}">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C43ECE8C-A4DD-486F-81DE-8140E15D80F8}">
      <text>
        <r>
          <rPr>
            <b/>
            <sz val="9"/>
            <color indexed="81"/>
            <rFont val="Tahoma"/>
            <family val="2"/>
          </rPr>
          <t>This cell must be blank</t>
        </r>
      </text>
    </comment>
    <comment ref="E35" authorId="0" shapeId="0" xr:uid="{EE7ACE71-242F-4947-ACE5-588BB5685025}">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sharedStrings.xml><?xml version="1.0" encoding="utf-8"?>
<sst xmlns="http://schemas.openxmlformats.org/spreadsheetml/2006/main" count="727" uniqueCount="387">
  <si>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</si>
  <si>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</si>
  <si>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</si>
  <si>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</si>
  <si>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</si>
  <si>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</si>
  <si>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</si>
  <si>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</si>
  <si>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</si>
  <si>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</si>
  <si>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</si>
  <si>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</si>
  <si>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</si>
  <si>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</si>
  <si>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</si>
  <si>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</si>
  <si>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</si>
  <si>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</si>
  <si>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</si>
  <si>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</si>
  <si>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</si>
  <si>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</si>
  <si>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</si>
  <si>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</si>
  <si>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</si>
  <si>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</si>
  <si>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</si>
  <si>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</si>
  <si>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</si>
  <si>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</si>
  <si>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</si>
  <si>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</si>
  <si>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</si>
  <si>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</si>
  <si>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</si>
  <si>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</si>
  <si>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</si>
  <si>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</si>
  <si>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</si>
  <si>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</si>
  <si>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</si>
  <si>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</si>
  <si>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</si>
  <si>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</si>
  <si>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</si>
  <si>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</si>
  <si>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</si>
  <si>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</si>
  <si>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</si>
  <si>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</si>
  <si>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</si>
  <si>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</si>
  <si>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</si>
  <si>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</si>
  <si>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</si>
  <si>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</si>
  <si>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</si>
  <si>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</si>
  <si>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</si>
  <si>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</si>
  <si>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</si>
  <si>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</si>
  <si>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</si>
  <si>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</si>
  <si>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</si>
  <si>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</si>
  <si>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</si>
  <si>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</si>
  <si>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</si>
  <si>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</si>
  <si>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</si>
  <si>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</si>
  <si>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</si>
  <si>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</si>
  <si>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</si>
  <si>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</si>
  <si>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</si>
  <si>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</si>
  <si>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</si>
  <si>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</si>
  <si>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</si>
  <si>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</si>
  <si>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</si>
  <si>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</si>
  <si>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</si>
  <si>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</si>
  <si>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</si>
  <si>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</si>
  <si>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</si>
  <si>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</si>
  <si>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</si>
  <si>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</si>
  <si>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</si>
  <si>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</si>
  <si>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</si>
  <si>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</si>
  <si>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</si>
  <si>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</si>
  <si>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</si>
  <si>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</si>
  <si>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</si>
  <si>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</si>
  <si>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</si>
  <si>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</si>
  <si>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</si>
  <si>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</si>
  <si>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</si>
  <si>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</si>
  <si>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</si>
  <si>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</si>
  <si>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</si>
  <si>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</si>
  <si>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</si>
  <si>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</si>
  <si>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</si>
  <si>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</si>
  <si>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</si>
  <si>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</si>
  <si>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</si>
  <si>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</si>
  <si>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</si>
  <si>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</si>
  <si>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</si>
  <si>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</si>
  <si>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</si>
  <si>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</si>
  <si>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</si>
  <si>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</si>
  <si>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</si>
  <si>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</si>
  <si>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</si>
  <si>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</si>
  <si>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</si>
  <si>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</si>
  <si>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</si>
  <si>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</si>
  <si>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</si>
  <si>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</si>
  <si>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</si>
  <si>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</si>
  <si>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</si>
  <si>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</si>
  <si>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</si>
  <si>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</si>
  <si>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</si>
  <si>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</si>
  <si>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</si>
  <si>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</si>
  <si>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</si>
  <si>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</si>
  <si>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</si>
  <si>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</si>
  <si>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</si>
  <si>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</si>
  <si>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</si>
  <si>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</si>
  <si>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</si>
  <si>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</si>
  <si>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</si>
  <si>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</si>
  <si>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</si>
  <si>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</si>
  <si>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</si>
  <si>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</si>
  <si>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</si>
  <si>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</si>
  <si>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</si>
  <si>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</si>
  <si>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</si>
  <si>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</si>
  <si>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</si>
  <si>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</si>
  <si>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</si>
  <si>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</si>
  <si>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</si>
  <si>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</si>
  <si>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</si>
  <si>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</si>
  <si>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</si>
  <si>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</si>
  <si>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</si>
  <si>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</si>
  <si>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</si>
  <si>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</si>
  <si>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</si>
  <si>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</si>
  <si>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</si>
  <si>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</si>
  <si>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</si>
  <si>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</si>
  <si>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</si>
  <si>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</si>
  <si>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</si>
  <si>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</si>
  <si>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</si>
  <si>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</si>
  <si>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</si>
  <si>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</si>
  <si>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</si>
  <si>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</si>
  <si>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</si>
  <si>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</si>
  <si>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</si>
  <si>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</si>
  <si>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</si>
  <si>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</si>
  <si>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</si>
  <si>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</si>
  <si>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</si>
  <si>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</si>
  <si>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</si>
  <si>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</si>
  <si>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</si>
  <si>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</si>
  <si>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</si>
  <si>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</si>
  <si>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</si>
  <si>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</si>
  <si>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</si>
  <si>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</si>
  <si>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</si>
  <si>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</si>
  <si>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</si>
  <si>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</si>
  <si>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</si>
  <si>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</si>
  <si>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</si>
  <si>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</si>
  <si>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</si>
  <si>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</si>
  <si>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</si>
  <si>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</si>
  <si>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</si>
  <si>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</si>
  <si>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</si>
  <si>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</si>
  <si>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</si>
  <si>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</si>
  <si>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</si>
  <si>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</si>
  <si>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</si>
  <si>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</si>
  <si>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</si>
  <si>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</si>
  <si>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</si>
  <si>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</si>
  <si>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</si>
  <si>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</si>
  <si>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</si>
  <si>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</si>
  <si>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</si>
  <si>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</si>
  <si>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</si>
  <si>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</si>
  <si>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</si>
  <si>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</si>
  <si>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</si>
  <si>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</si>
  <si>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</si>
  <si>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</si>
  <si>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</si>
  <si>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</si>
  <si>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</si>
  <si>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</si>
  <si>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</si>
  <si>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</si>
  <si>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</si>
  <si>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</si>
  <si>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</si>
  <si>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</si>
  <si>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</si>
  <si>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</si>
  <si>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</si>
  <si>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</si>
  <si>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</si>
  <si>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</si>
  <si>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</si>
  <si>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</si>
  <si>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</si>
  <si>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</si>
  <si>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</si>
  <si>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</si>
  <si>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</si>
  <si>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</si>
  <si>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</si>
  <si>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</si>
  <si>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</si>
  <si>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</si>
  <si>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</si>
  <si>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</si>
  <si>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</si>
  <si>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</si>
  <si>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</si>
  <si>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</si>
  <si>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</si>
  <si>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</si>
  <si>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</si>
  <si>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</si>
  <si>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</si>
  <si>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</si>
  <si>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</si>
  <si>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</si>
  <si>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</si>
  <si>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</si>
  <si>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</si>
  <si>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</si>
  <si>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</si>
  <si>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</si>
  <si>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</si>
  <si>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</si>
  <si>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</si>
  <si>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</si>
  <si>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</si>
  <si>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</si>
  <si>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</si>
  <si>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</si>
  <si>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</si>
  <si>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</si>
  <si>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</si>
  <si>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</si>
  <si>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</si>
  <si>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</si>
  <si>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</si>
  <si>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</si>
  <si>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</si>
  <si>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</si>
  <si>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</si>
  <si>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</si>
  <si>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</si>
  <si>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</si>
  <si>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</si>
  <si>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</si>
  <si>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</si>
  <si>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</si>
  <si>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</si>
  <si>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</si>
  <si>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</si>
  <si>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</si>
  <si>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</si>
  <si>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</si>
  <si>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</si>
  <si>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</si>
  <si>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</si>
  <si>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</si>
  <si>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</si>
  <si>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</si>
  <si>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</si>
  <si>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</si>
  <si>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</si>
  <si>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</si>
  <si>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</si>
  <si>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</si>
  <si>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</si>
  <si>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</si>
  <si>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</si>
  <si>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</si>
  <si>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</si>
  <si>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</si>
  <si>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</si>
  <si>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</si>
  <si>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GBR</t>
  </si>
  <si>
    <t>NA: There is no loop in .h file</t>
  </si>
  <si>
    <t>VPO</t>
  </si>
  <si>
    <t>No additional questions</t>
  </si>
  <si>
    <t>NA: QAC not aplicable on header</t>
  </si>
  <si>
    <t>IRe</t>
  </si>
  <si>
    <t>Gabriel Brasoveanu</t>
  </si>
  <si>
    <t>No findings</t>
  </si>
  <si>
    <t>CompilerIf - Peer Review Workbook.xlsm</t>
  </si>
  <si>
    <t>Compiler_Cfg.h</t>
  </si>
  <si>
    <t>Compiler_Cfg.h - v1.1</t>
  </si>
  <si>
    <t>Header file, no traceability available</t>
  </si>
  <si>
    <t>File provided from EB packedge</t>
  </si>
  <si>
    <t>NA: No source file</t>
  </si>
  <si>
    <t>eCS_SW_Arhitecture.eapx</t>
  </si>
  <si>
    <t>Lucian Ardeleanu</t>
  </si>
  <si>
    <t>Mihai Motoc</t>
  </si>
  <si>
    <t>1.3.1.1.1.24</t>
  </si>
  <si>
    <t>eCS_SW_Arhitecture.eapx - v1.3.1.1.1.24</t>
  </si>
  <si>
    <t>DDU</t>
  </si>
  <si>
    <t>LAR</t>
  </si>
  <si>
    <t>eCS_SW_Arhitecture.eapx - v1.3.1.1.1.26</t>
  </si>
  <si>
    <t>DPU</t>
  </si>
  <si>
    <t>1.3.1.1.1.25</t>
  </si>
  <si>
    <t>1.3.1.1.1.26</t>
  </si>
  <si>
    <t>David Puscasu</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</si>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</sst>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4F81BD"/>
      </left>
      <right/>
      <top style="thin">
        <color rgb="FF4F81BD"/>
      </top>
      <bottom/>
      <diagonal/>
    </border>
    <border>
      <left/>
      <right/>
      <top style="thin">
        <color rgb="FF4F81BD"/>
      </top>
      <bottom/>
      <diagonal/>
    </border>
    <border>
      <left style="thin">
        <color rgb="FF7F7F7F"/>
      </left>
      <right style="thin">
        <color rgb="FF7F7F7F"/>
      </right>
      <top style="thin">
        <color rgb="FF7F7F7F"/>
      </top>
      <bottom/>
      <diagonal/>
    </border>
  </borders>
  <cellStyleXfs count="35">
    <xf numFmtId="0" fontId="0" fillId="0" borderId="0"/>
    <xf numFmtId="0" fontId="57" fillId="6" borderId="14" applyNumberFormat="0" applyAlignment="0" applyProtection="0"/>
    <xf numFmtId="0" fontId="58" fillId="0" borderId="0" applyNumberFormat="0" applyFill="0" applyBorder="0" applyAlignment="0" applyProtection="0"/>
    <xf numFmtId="0" fontId="27" fillId="0" borderId="0"/>
    <xf numFmtId="0" fontId="52" fillId="0" borderId="0"/>
    <xf numFmtId="0" fontId="56" fillId="0" borderId="0"/>
    <xf numFmtId="0" fontId="27" fillId="0" borderId="0"/>
    <xf numFmtId="0" fontId="34" fillId="0" borderId="0"/>
    <xf numFmtId="0" fontId="59" fillId="6" borderId="15" applyNumberFormat="0" applyAlignment="0" applyProtection="0"/>
    <xf numFmtId="0" fontId="26" fillId="0" borderId="0"/>
    <xf numFmtId="0" fontId="25" fillId="0" borderId="0"/>
    <xf numFmtId="0" fontId="24" fillId="0" borderId="0"/>
    <xf numFmtId="0" fontId="84" fillId="25" borderId="14" applyNumberFormat="0" applyAlignment="0" applyProtection="0"/>
    <xf numFmtId="0" fontId="85" fillId="26" borderId="0" applyNumberFormat="0" applyBorder="0" applyAlignment="0" applyProtection="0"/>
    <xf numFmtId="0" fontId="23" fillId="27" borderId="0" applyNumberFormat="0" applyBorder="0" applyAlignment="0" applyProtection="0"/>
    <xf numFmtId="0" fontId="27" fillId="0" borderId="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0" borderId="0"/>
    <xf numFmtId="0" fontId="10" fillId="27" borderId="0" applyNumberFormat="0" applyBorder="0" applyAlignment="0" applyProtection="0"/>
    <xf numFmtId="0" fontId="9" fillId="27" borderId="0" applyNumberFormat="0" applyBorder="0" applyAlignment="0" applyProtection="0"/>
    <xf numFmtId="0" fontId="104" fillId="0" borderId="0" applyNumberFormat="0" applyFill="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5" fillId="27" borderId="0" applyNumberFormat="0" applyBorder="0" applyAlignment="0" applyProtection="0"/>
  </cellStyleXfs>
  <cellXfs count="326">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8" fillId="3" borderId="12" xfId="0" applyFont="1" applyFill="1" applyBorder="1" applyAlignment="1">
      <alignment horizontal="center" wrapText="1"/>
    </xf>
    <xf numFmtId="0" fontId="0" fillId="2" borderId="0" xfId="0" applyFill="1" applyAlignment="1">
      <alignment horizontal="center"/>
    </xf>
    <xf numFmtId="0" fontId="28"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7" fillId="0" borderId="1" xfId="0" applyFont="1" applyBorder="1" applyAlignment="1">
      <alignment vertical="center" wrapText="1"/>
    </xf>
    <xf numFmtId="0" fontId="27" fillId="3" borderId="1" xfId="0" applyFont="1" applyFill="1" applyBorder="1" applyAlignment="1">
      <alignment horizontal="center" vertical="center" wrapText="1"/>
    </xf>
    <xf numFmtId="0" fontId="27" fillId="2" borderId="0" xfId="0" applyFont="1" applyFill="1" applyBorder="1" applyAlignment="1">
      <alignment wrapText="1"/>
    </xf>
    <xf numFmtId="0" fontId="60" fillId="7" borderId="0" xfId="0" applyFont="1" applyFill="1" applyBorder="1" applyAlignment="1">
      <alignment horizontal="center" vertical="center" wrapText="1"/>
    </xf>
    <xf numFmtId="0" fontId="60" fillId="0" borderId="0" xfId="0" applyFont="1" applyFill="1" applyBorder="1" applyAlignment="1">
      <alignment horizontal="center" vertical="center" wrapText="1"/>
    </xf>
    <xf numFmtId="0" fontId="60" fillId="0" borderId="0" xfId="0" applyFont="1" applyFill="1" applyAlignment="1">
      <alignment vertical="center"/>
    </xf>
    <xf numFmtId="0" fontId="60" fillId="0" borderId="0" xfId="0" applyFont="1" applyFill="1" applyBorder="1" applyAlignment="1">
      <alignment vertical="center" wrapText="1"/>
    </xf>
    <xf numFmtId="0" fontId="49" fillId="2" borderId="2" xfId="0" applyFont="1" applyFill="1" applyBorder="1"/>
    <xf numFmtId="0" fontId="27" fillId="2" borderId="0" xfId="0" applyFont="1" applyFill="1" applyAlignment="1">
      <alignment horizontal="center"/>
    </xf>
    <xf numFmtId="0" fontId="0" fillId="8" borderId="0" xfId="0" applyFill="1" applyAlignment="1">
      <alignment horizontal="center"/>
    </xf>
    <xf numFmtId="0" fontId="27" fillId="2" borderId="1" xfId="0" applyFont="1" applyFill="1" applyBorder="1" applyAlignment="1">
      <alignment horizontal="center" wrapText="1"/>
    </xf>
    <xf numFmtId="0" fontId="27" fillId="2" borderId="1" xfId="0" applyFont="1" applyFill="1" applyBorder="1" applyAlignment="1">
      <alignment horizontal="center" vertical="center" wrapText="1"/>
    </xf>
    <xf numFmtId="0" fontId="27" fillId="0" borderId="1" xfId="0" applyFont="1" applyFill="1" applyBorder="1" applyAlignment="1">
      <alignment horizontal="center" vertical="center" wrapText="1"/>
    </xf>
    <xf numFmtId="0" fontId="0" fillId="2" borderId="5" xfId="0" applyFill="1" applyBorder="1" applyAlignment="1">
      <alignment wrapText="1"/>
    </xf>
    <xf numFmtId="0" fontId="27" fillId="2" borderId="0" xfId="0" applyFont="1" applyFill="1" applyBorder="1"/>
    <xf numFmtId="0" fontId="28" fillId="9" borderId="1" xfId="0" applyFont="1" applyFill="1" applyBorder="1" applyAlignment="1">
      <alignment horizontal="center" vertical="center" wrapText="1"/>
    </xf>
    <xf numFmtId="0" fontId="27" fillId="2" borderId="10" xfId="0" applyFont="1" applyFill="1" applyBorder="1"/>
    <xf numFmtId="0" fontId="60"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7" fillId="8" borderId="0" xfId="0" applyFont="1" applyFill="1" applyBorder="1" applyAlignment="1">
      <alignment horizontal="center" vertical="center"/>
    </xf>
    <xf numFmtId="0" fontId="27" fillId="8" borderId="1" xfId="0" applyFont="1" applyFill="1" applyBorder="1" applyAlignment="1">
      <alignment horizontal="center" vertical="center"/>
    </xf>
    <xf numFmtId="0" fontId="27" fillId="13" borderId="1" xfId="0" applyFont="1" applyFill="1" applyBorder="1" applyAlignment="1">
      <alignment horizontal="center" vertical="center" wrapText="1"/>
    </xf>
    <xf numFmtId="0" fontId="27"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0" fillId="8" borderId="0" xfId="0" applyFont="1" applyFill="1" applyBorder="1" applyAlignment="1">
      <alignment horizontal="center" vertical="center" wrapText="1"/>
    </xf>
    <xf numFmtId="0" fontId="60" fillId="8" borderId="0" xfId="0" applyFont="1" applyFill="1" applyAlignment="1">
      <alignment horizontal="center" vertical="center" wrapText="1"/>
    </xf>
    <xf numFmtId="0" fontId="60"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0" fillId="14" borderId="1" xfId="0" applyFont="1" applyFill="1" applyBorder="1" applyAlignment="1">
      <alignment horizontal="center" vertical="center" wrapText="1"/>
    </xf>
    <xf numFmtId="0" fontId="60"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3" fillId="13" borderId="1" xfId="0" applyFont="1" applyFill="1" applyBorder="1" applyAlignment="1">
      <alignment horizontal="center" vertical="center" wrapText="1"/>
    </xf>
    <xf numFmtId="0" fontId="0" fillId="0" borderId="0" xfId="0" applyFill="1" applyBorder="1" applyAlignment="1">
      <alignment horizontal="center"/>
    </xf>
    <xf numFmtId="0" fontId="27" fillId="13" borderId="1" xfId="0" applyFont="1" applyFill="1" applyBorder="1" applyAlignment="1">
      <alignment horizontal="center" vertical="center"/>
    </xf>
    <xf numFmtId="0" fontId="0" fillId="13" borderId="1" xfId="0" applyFill="1" applyBorder="1" applyAlignment="1">
      <alignment horizontal="center" vertical="center"/>
    </xf>
    <xf numFmtId="0" fontId="27" fillId="2" borderId="5" xfId="0" applyFont="1" applyFill="1" applyBorder="1" applyAlignment="1">
      <alignment wrapText="1"/>
    </xf>
    <xf numFmtId="0" fontId="27" fillId="10" borderId="0" xfId="0" applyFont="1" applyFill="1" applyBorder="1" applyAlignment="1">
      <alignment horizontal="left" vertical="center"/>
    </xf>
    <xf numFmtId="0" fontId="27" fillId="12" borderId="0" xfId="0" applyFont="1" applyFill="1" applyBorder="1" applyAlignment="1">
      <alignment horizontal="left" vertical="center"/>
    </xf>
    <xf numFmtId="0" fontId="27" fillId="15" borderId="0" xfId="0" applyFont="1" applyFill="1" applyBorder="1" applyAlignment="1">
      <alignment horizontal="left" vertical="center"/>
    </xf>
    <xf numFmtId="0" fontId="27" fillId="13" borderId="0" xfId="0" applyFont="1" applyFill="1" applyBorder="1" applyAlignment="1">
      <alignment horizontal="left" vertical="center"/>
    </xf>
    <xf numFmtId="0" fontId="27" fillId="2" borderId="1" xfId="0" applyFont="1" applyFill="1" applyBorder="1"/>
    <xf numFmtId="0" fontId="27" fillId="0" borderId="1" xfId="0" applyFont="1" applyBorder="1" applyAlignment="1">
      <alignment horizontal="center" vertical="center"/>
    </xf>
    <xf numFmtId="0" fontId="0" fillId="2" borderId="0" xfId="0" applyFill="1" applyAlignment="1">
      <alignment horizontal="center" wrapText="1"/>
    </xf>
    <xf numFmtId="0" fontId="27" fillId="3" borderId="12" xfId="0" applyFont="1" applyFill="1" applyBorder="1" applyAlignment="1">
      <alignment horizontal="center" vertical="center" wrapText="1"/>
    </xf>
    <xf numFmtId="0" fontId="57" fillId="6" borderId="1" xfId="1" applyFont="1" applyBorder="1" applyAlignment="1">
      <alignment horizontal="center"/>
    </xf>
    <xf numFmtId="0" fontId="61" fillId="6" borderId="15" xfId="8" applyFont="1" applyAlignment="1">
      <alignment horizontal="center"/>
    </xf>
    <xf numFmtId="0" fontId="61" fillId="6" borderId="17" xfId="8" applyFont="1" applyBorder="1" applyAlignment="1">
      <alignment horizontal="center"/>
    </xf>
    <xf numFmtId="0" fontId="57" fillId="6" borderId="1" xfId="1" applyBorder="1" applyAlignment="1">
      <alignment horizontal="center" vertical="center"/>
    </xf>
    <xf numFmtId="0" fontId="27" fillId="2" borderId="1" xfId="0" applyFont="1" applyFill="1" applyBorder="1" applyAlignment="1">
      <alignment horizontal="center"/>
    </xf>
    <xf numFmtId="0" fontId="27"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7" fillId="2" borderId="8" xfId="0" applyFont="1" applyFill="1" applyBorder="1" applyAlignment="1">
      <alignment wrapText="1" shrinkToFit="1"/>
    </xf>
    <xf numFmtId="0" fontId="27" fillId="2" borderId="0" xfId="0" applyFont="1" applyFill="1"/>
    <xf numFmtId="0" fontId="27" fillId="2" borderId="0" xfId="0" applyFont="1" applyFill="1" applyAlignment="1">
      <alignment vertical="top"/>
    </xf>
    <xf numFmtId="0" fontId="27" fillId="0" borderId="0" xfId="3" applyAlignment="1">
      <alignment vertical="center"/>
    </xf>
    <xf numFmtId="0" fontId="31" fillId="0" borderId="0" xfId="3" applyFont="1" applyAlignment="1">
      <alignment vertical="center" wrapText="1"/>
    </xf>
    <xf numFmtId="164" fontId="31" fillId="0" borderId="0" xfId="3" applyNumberFormat="1" applyFont="1" applyAlignment="1">
      <alignment horizontal="center" vertical="center" wrapText="1"/>
    </xf>
    <xf numFmtId="20" fontId="31" fillId="0" borderId="0" xfId="3" applyNumberFormat="1" applyFont="1" applyAlignment="1">
      <alignment vertical="center" wrapText="1"/>
    </xf>
    <xf numFmtId="0" fontId="31" fillId="0" borderId="0" xfId="3" applyFont="1" applyAlignment="1">
      <alignment horizontal="left" vertical="center" wrapText="1"/>
    </xf>
    <xf numFmtId="0" fontId="62" fillId="0" borderId="0" xfId="3" quotePrefix="1" applyFont="1" applyAlignment="1">
      <alignment horizontal="right" vertical="center"/>
    </xf>
    <xf numFmtId="0" fontId="32" fillId="0" borderId="0" xfId="3" applyFont="1" applyAlignment="1">
      <alignment horizontal="left" vertical="center" wrapText="1"/>
    </xf>
    <xf numFmtId="0" fontId="27" fillId="0" borderId="0" xfId="3" applyAlignment="1">
      <alignment vertical="center" shrinkToFit="1"/>
    </xf>
    <xf numFmtId="0" fontId="64" fillId="0" borderId="0" xfId="3" applyFont="1" applyAlignment="1">
      <alignment horizontal="left" vertical="center" shrinkToFit="1"/>
    </xf>
    <xf numFmtId="0" fontId="28" fillId="0" borderId="0" xfId="3" applyFont="1" applyAlignment="1">
      <alignment horizontal="left" vertical="center" shrinkToFit="1"/>
    </xf>
    <xf numFmtId="0" fontId="27" fillId="0" borderId="0" xfId="3" applyAlignment="1" applyProtection="1">
      <alignment vertical="center"/>
      <protection locked="0"/>
    </xf>
    <xf numFmtId="0" fontId="27" fillId="0" borderId="0" xfId="3" applyAlignment="1" applyProtection="1">
      <alignment vertical="center" shrinkToFit="1"/>
      <protection locked="0"/>
    </xf>
    <xf numFmtId="0" fontId="69" fillId="0" borderId="2" xfId="3" applyFont="1" applyBorder="1" applyAlignment="1" applyProtection="1">
      <alignment horizontal="left" vertical="center" wrapText="1" shrinkToFit="1"/>
      <protection locked="0"/>
    </xf>
    <xf numFmtId="0" fontId="70" fillId="0" borderId="0" xfId="3" applyFont="1" applyAlignment="1" applyProtection="1">
      <alignment horizontal="left" vertical="center" shrinkToFit="1"/>
      <protection locked="0"/>
    </xf>
    <xf numFmtId="0" fontId="69" fillId="0" borderId="0" xfId="3" applyFont="1" applyAlignment="1" applyProtection="1">
      <alignment horizontal="left" vertical="center" wrapText="1" shrinkToFit="1"/>
      <protection locked="0"/>
    </xf>
    <xf numFmtId="0" fontId="70" fillId="0" borderId="3" xfId="3" applyFont="1" applyBorder="1" applyAlignment="1" applyProtection="1">
      <alignment horizontal="left" vertical="center" shrinkToFit="1"/>
      <protection locked="0"/>
    </xf>
    <xf numFmtId="0" fontId="73" fillId="0" borderId="0" xfId="3" applyFont="1" applyAlignment="1" applyProtection="1">
      <alignment vertical="center"/>
      <protection locked="0"/>
    </xf>
    <xf numFmtId="0" fontId="74" fillId="0" borderId="0" xfId="3" applyFont="1" applyAlignment="1" applyProtection="1">
      <alignment horizontal="center" vertical="center"/>
      <protection locked="0"/>
    </xf>
    <xf numFmtId="0" fontId="26" fillId="8" borderId="0" xfId="9" applyFill="1"/>
    <xf numFmtId="0" fontId="75" fillId="0" borderId="0" xfId="3" applyFont="1" applyAlignment="1">
      <alignment horizontal="right" vertical="center"/>
    </xf>
    <xf numFmtId="0" fontId="76" fillId="0" borderId="18" xfId="3" applyFont="1" applyBorder="1" applyAlignment="1" applyProtection="1">
      <alignment vertical="center"/>
      <protection locked="0"/>
    </xf>
    <xf numFmtId="0" fontId="27" fillId="0" borderId="18" xfId="3" applyBorder="1" applyAlignment="1" applyProtection="1">
      <alignment vertical="center"/>
      <protection locked="0"/>
    </xf>
    <xf numFmtId="0" fontId="77" fillId="0" borderId="0" xfId="3" applyFont="1" applyAlignment="1" applyProtection="1">
      <alignment horizontal="left" vertical="center"/>
      <protection locked="0"/>
    </xf>
    <xf numFmtId="0" fontId="36" fillId="0" borderId="0" xfId="3" applyFont="1" applyAlignment="1" applyProtection="1">
      <alignment horizontal="left" vertical="center"/>
      <protection locked="0"/>
    </xf>
    <xf numFmtId="0" fontId="55" fillId="0" borderId="0" xfId="3" applyFont="1" applyAlignment="1" applyProtection="1">
      <alignment vertical="center"/>
      <protection locked="0"/>
    </xf>
    <xf numFmtId="0" fontId="28" fillId="0" borderId="0" xfId="3" applyFont="1" applyAlignment="1" applyProtection="1">
      <alignment vertical="center"/>
      <protection locked="0"/>
    </xf>
    <xf numFmtId="49" fontId="78" fillId="0" borderId="0" xfId="3" applyNumberFormat="1" applyFont="1" applyAlignment="1" applyProtection="1">
      <alignment horizontal="left" vertical="center"/>
      <protection locked="0"/>
    </xf>
    <xf numFmtId="49" fontId="27" fillId="0" borderId="0" xfId="3" applyNumberFormat="1" applyAlignment="1">
      <alignment horizontal="center" vertical="center" wrapText="1"/>
    </xf>
    <xf numFmtId="49" fontId="27" fillId="0" borderId="0" xfId="3" applyNumberFormat="1" applyAlignment="1" applyProtection="1">
      <alignment horizontal="left" vertical="center" wrapText="1"/>
      <protection locked="0"/>
    </xf>
    <xf numFmtId="49" fontId="27" fillId="0" borderId="0" xfId="3" applyNumberFormat="1" applyAlignment="1">
      <alignment horizontal="left" vertical="center" wrapText="1"/>
    </xf>
    <xf numFmtId="14" fontId="27" fillId="0" borderId="0" xfId="3" applyNumberFormat="1" applyAlignment="1" applyProtection="1">
      <alignment vertical="center"/>
      <protection locked="0"/>
    </xf>
    <xf numFmtId="0" fontId="79" fillId="0" borderId="0" xfId="3" applyFont="1" applyAlignment="1" applyProtection="1">
      <alignment horizontal="left" vertical="center"/>
      <protection locked="0"/>
    </xf>
    <xf numFmtId="0" fontId="27" fillId="0" borderId="0" xfId="3" applyAlignment="1">
      <alignment horizontal="left" vertical="center" wrapText="1"/>
    </xf>
    <xf numFmtId="0" fontId="76" fillId="0" borderId="5" xfId="3" applyFont="1" applyBorder="1" applyAlignment="1" applyProtection="1">
      <alignment vertical="center"/>
      <protection locked="0"/>
    </xf>
    <xf numFmtId="49" fontId="27" fillId="0" borderId="5" xfId="3" applyNumberFormat="1" applyBorder="1" applyAlignment="1" applyProtection="1">
      <alignment horizontal="left" vertical="center" wrapText="1"/>
      <protection locked="0"/>
    </xf>
    <xf numFmtId="0" fontId="27" fillId="0" borderId="5" xfId="3" applyBorder="1" applyAlignment="1">
      <alignment horizontal="left" vertical="center" wrapText="1"/>
    </xf>
    <xf numFmtId="0" fontId="76" fillId="0" borderId="0" xfId="3" applyFont="1" applyAlignment="1" applyProtection="1">
      <alignment vertical="center"/>
      <protection locked="0"/>
    </xf>
    <xf numFmtId="49" fontId="27" fillId="0" borderId="0" xfId="3" applyNumberFormat="1" applyAlignment="1" applyProtection="1">
      <alignment horizontal="left" vertical="center"/>
      <protection locked="0"/>
    </xf>
    <xf numFmtId="0" fontId="27" fillId="0" borderId="0" xfId="3" applyAlignment="1">
      <alignment horizontal="left" vertical="center"/>
    </xf>
    <xf numFmtId="0" fontId="28" fillId="2" borderId="1" xfId="0" applyNumberFormat="1" applyFont="1" applyFill="1" applyBorder="1" applyAlignment="1">
      <alignment horizontal="center" vertical="center"/>
    </xf>
    <xf numFmtId="0" fontId="27" fillId="21" borderId="0" xfId="0" applyFont="1" applyFill="1" applyBorder="1" applyAlignment="1">
      <alignment horizontal="left" vertical="top" wrapText="1"/>
    </xf>
    <xf numFmtId="0" fontId="27" fillId="21" borderId="0" xfId="0" applyFont="1" applyFill="1" applyBorder="1" applyAlignment="1">
      <alignment wrapText="1"/>
    </xf>
    <xf numFmtId="0" fontId="0" fillId="21" borderId="0" xfId="0" applyFill="1" applyBorder="1" applyAlignment="1">
      <alignment wrapText="1"/>
    </xf>
    <xf numFmtId="0" fontId="27" fillId="9" borderId="0" xfId="0" applyFont="1" applyFill="1" applyBorder="1" applyAlignment="1">
      <alignment wrapText="1"/>
    </xf>
    <xf numFmtId="0" fontId="0" fillId="9" borderId="0" xfId="0" applyFill="1" applyBorder="1" applyAlignment="1">
      <alignment wrapText="1"/>
    </xf>
    <xf numFmtId="0" fontId="27" fillId="2" borderId="2" xfId="0" applyFont="1" applyFill="1" applyBorder="1" applyAlignment="1">
      <alignment horizontal="right"/>
    </xf>
    <xf numFmtId="0" fontId="0" fillId="2" borderId="4" xfId="0" applyFill="1" applyBorder="1" applyAlignment="1">
      <alignment horizontal="right"/>
    </xf>
    <xf numFmtId="0" fontId="24" fillId="0" borderId="0" xfId="11"/>
    <xf numFmtId="0" fontId="30" fillId="10" borderId="1" xfId="0" applyFont="1" applyFill="1" applyBorder="1" applyAlignment="1">
      <alignment horizontal="center" vertical="center" wrapText="1"/>
    </xf>
    <xf numFmtId="0" fontId="86" fillId="12" borderId="1" xfId="0" applyFont="1" applyFill="1" applyBorder="1" applyAlignment="1">
      <alignment horizontal="center" vertical="center" wrapText="1"/>
    </xf>
    <xf numFmtId="0" fontId="30" fillId="11" borderId="1" xfId="0" applyFont="1" applyFill="1" applyBorder="1" applyAlignment="1">
      <alignment horizontal="center" vertical="center" wrapText="1"/>
    </xf>
    <xf numFmtId="14" fontId="30" fillId="11" borderId="1" xfId="0" applyNumberFormat="1" applyFont="1" applyFill="1" applyBorder="1" applyAlignment="1">
      <alignment horizontal="center" vertical="center" wrapText="1"/>
    </xf>
    <xf numFmtId="0" fontId="51" fillId="8" borderId="0" xfId="0" applyFont="1" applyFill="1" applyAlignment="1">
      <alignment horizontal="center" vertical="center"/>
    </xf>
    <xf numFmtId="0" fontId="51" fillId="8" borderId="0" xfId="0" applyFont="1" applyFill="1" applyAlignment="1">
      <alignment vertical="center"/>
    </xf>
    <xf numFmtId="0" fontId="51" fillId="0" borderId="0" xfId="0" applyFont="1" applyAlignment="1">
      <alignment vertical="center"/>
    </xf>
    <xf numFmtId="0" fontId="30" fillId="0" borderId="0" xfId="0" applyFont="1" applyFill="1" applyAlignment="1">
      <alignment vertical="center"/>
    </xf>
    <xf numFmtId="0" fontId="88" fillId="29" borderId="20" xfId="14" applyFont="1" applyFill="1" applyBorder="1" applyAlignment="1" applyProtection="1">
      <alignment horizontal="center" vertical="center" wrapText="1"/>
      <protection locked="0"/>
    </xf>
    <xf numFmtId="0" fontId="89" fillId="13" borderId="20" xfId="14" applyFont="1" applyFill="1" applyBorder="1" applyAlignment="1" applyProtection="1">
      <alignment horizontal="center" vertical="center" wrapText="1"/>
    </xf>
    <xf numFmtId="0" fontId="88" fillId="7" borderId="1" xfId="14" applyFont="1" applyFill="1" applyBorder="1" applyAlignment="1">
      <alignment horizontal="left" vertical="center"/>
    </xf>
    <xf numFmtId="0" fontId="84" fillId="25" borderId="14" xfId="12" applyAlignment="1">
      <alignment horizontal="center" vertical="center"/>
    </xf>
    <xf numFmtId="0" fontId="88" fillId="7" borderId="1" xfId="14" applyFont="1" applyFill="1" applyBorder="1" applyAlignment="1">
      <alignment horizontal="center" vertical="center"/>
    </xf>
    <xf numFmtId="0" fontId="27" fillId="5" borderId="0" xfId="15" applyFill="1" applyAlignment="1">
      <alignment vertical="center"/>
    </xf>
    <xf numFmtId="0" fontId="27" fillId="5" borderId="0" xfId="15" applyFill="1" applyAlignment="1">
      <alignment vertical="center" wrapText="1"/>
    </xf>
    <xf numFmtId="0" fontId="29" fillId="5" borderId="0" xfId="15" applyFont="1" applyFill="1" applyAlignment="1">
      <alignment vertical="center"/>
    </xf>
    <xf numFmtId="0" fontId="65" fillId="30" borderId="10" xfId="15" applyFont="1" applyFill="1" applyBorder="1" applyAlignment="1">
      <alignment vertical="center"/>
    </xf>
    <xf numFmtId="0" fontId="94" fillId="30" borderId="19" xfId="15" applyFont="1" applyFill="1" applyBorder="1" applyAlignment="1">
      <alignment vertical="center" wrapText="1"/>
    </xf>
    <xf numFmtId="0" fontId="27" fillId="5" borderId="1" xfId="15" applyFill="1" applyBorder="1" applyAlignment="1">
      <alignment vertical="center"/>
    </xf>
    <xf numFmtId="0" fontId="95" fillId="5" borderId="1" xfId="15" applyFont="1" applyFill="1" applyBorder="1" applyAlignment="1">
      <alignment horizontal="center" vertical="center"/>
    </xf>
    <xf numFmtId="0" fontId="65" fillId="31" borderId="10" xfId="15" applyFont="1" applyFill="1" applyBorder="1" applyAlignment="1">
      <alignment vertical="center"/>
    </xf>
    <xf numFmtId="0" fontId="37" fillId="31" borderId="8" xfId="15" applyFont="1" applyFill="1" applyBorder="1" applyAlignment="1">
      <alignment horizontal="center" vertical="center" wrapText="1"/>
    </xf>
    <xf numFmtId="0" fontId="94" fillId="31" borderId="19" xfId="15" applyFont="1" applyFill="1" applyBorder="1" applyAlignment="1">
      <alignment vertical="center" wrapText="1"/>
    </xf>
    <xf numFmtId="0" fontId="94" fillId="31" borderId="11" xfId="15" applyFont="1" applyFill="1" applyBorder="1" applyAlignment="1">
      <alignment vertical="center" wrapText="1"/>
    </xf>
    <xf numFmtId="0" fontId="37" fillId="30" borderId="19" xfId="15" applyFont="1" applyFill="1" applyBorder="1" applyAlignment="1">
      <alignment vertical="center" wrapText="1"/>
    </xf>
    <xf numFmtId="0" fontId="0" fillId="0" borderId="0" xfId="0" applyAlignment="1" applyProtection="1">
      <alignment vertical="center"/>
      <protection locked="0"/>
    </xf>
    <xf numFmtId="0" fontId="77" fillId="0" borderId="0" xfId="0" applyFont="1" applyAlignment="1" applyProtection="1">
      <alignment horizontal="left" vertical="center"/>
      <protection locked="0"/>
    </xf>
    <xf numFmtId="0" fontId="27" fillId="0" borderId="1" xfId="15" applyBorder="1" applyAlignment="1">
      <alignment vertical="center" wrapText="1"/>
    </xf>
    <xf numFmtId="0" fontId="101" fillId="0" borderId="2" xfId="0" applyFont="1" applyBorder="1" applyAlignment="1">
      <alignment horizontal="right" vertical="center"/>
    </xf>
    <xf numFmtId="0" fontId="103" fillId="0" borderId="0" xfId="0" applyFont="1" applyBorder="1" applyAlignment="1">
      <alignment wrapText="1"/>
    </xf>
    <xf numFmtId="0" fontId="85" fillId="7" borderId="1" xfId="14" applyFont="1" applyFill="1" applyBorder="1" applyAlignment="1">
      <alignment horizontal="center" vertical="center"/>
    </xf>
    <xf numFmtId="0" fontId="104" fillId="8" borderId="0" xfId="30" applyFill="1" applyAlignment="1">
      <alignment horizontal="center" wrapText="1"/>
    </xf>
    <xf numFmtId="0" fontId="30" fillId="3" borderId="12"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30" fillId="3" borderId="1" xfId="0" applyFont="1" applyFill="1" applyBorder="1" applyAlignment="1">
      <alignment horizontal="center" vertical="center" wrapText="1"/>
    </xf>
    <xf numFmtId="0" fontId="57" fillId="6" borderId="16" xfId="1" applyFont="1" applyBorder="1" applyAlignment="1">
      <alignment horizontal="center" vertical="center"/>
    </xf>
    <xf numFmtId="0" fontId="57" fillId="6" borderId="1" xfId="1" applyFont="1" applyBorder="1" applyAlignment="1">
      <alignment horizontal="center" vertical="center"/>
    </xf>
    <xf numFmtId="0" fontId="28" fillId="2" borderId="1" xfId="0" applyFont="1" applyFill="1" applyBorder="1" applyAlignment="1">
      <alignment horizontal="center"/>
    </xf>
    <xf numFmtId="0" fontId="65" fillId="33" borderId="12" xfId="15" applyFont="1" applyFill="1" applyBorder="1" applyAlignment="1">
      <alignment horizontal="center" vertical="center" textRotation="45" wrapText="1"/>
    </xf>
    <xf numFmtId="0" fontId="92" fillId="33" borderId="12" xfId="15" applyFont="1" applyFill="1" applyBorder="1" applyAlignment="1">
      <alignment horizontal="center" vertical="center" wrapText="1"/>
    </xf>
    <xf numFmtId="0" fontId="80" fillId="33" borderId="1" xfId="15" applyFont="1" applyFill="1" applyBorder="1" applyAlignment="1">
      <alignment horizontal="center" vertical="center" textRotation="45" wrapText="1"/>
    </xf>
    <xf numFmtId="0" fontId="80" fillId="33" borderId="1" xfId="15" applyFont="1" applyFill="1" applyBorder="1" applyAlignment="1">
      <alignment horizontal="center" vertical="center" wrapText="1"/>
    </xf>
    <xf numFmtId="0" fontId="65" fillId="33" borderId="13" xfId="15" applyFont="1" applyFill="1" applyBorder="1" applyAlignment="1">
      <alignment horizontal="center" vertical="center"/>
    </xf>
    <xf numFmtId="0" fontId="93" fillId="33" borderId="13" xfId="15" applyFont="1" applyFill="1" applyBorder="1" applyAlignment="1">
      <alignment horizontal="center" vertical="center" wrapText="1"/>
    </xf>
    <xf numFmtId="9" fontId="105" fillId="6" borderId="14" xfId="1" applyNumberFormat="1" applyFont="1" applyAlignment="1">
      <alignment horizontal="center" vertical="center" wrapText="1"/>
    </xf>
    <xf numFmtId="0" fontId="65" fillId="33" borderId="7" xfId="15" applyFont="1" applyFill="1" applyBorder="1" applyAlignment="1">
      <alignment horizontal="center" vertical="center"/>
    </xf>
    <xf numFmtId="0" fontId="96" fillId="33" borderId="8" xfId="15" applyFont="1" applyFill="1" applyBorder="1" applyAlignment="1">
      <alignment horizontal="center" vertical="center" wrapText="1"/>
    </xf>
    <xf numFmtId="0" fontId="93" fillId="33" borderId="8" xfId="15" applyFont="1" applyFill="1" applyBorder="1" applyAlignment="1">
      <alignment horizontal="center" vertical="center" wrapText="1"/>
    </xf>
    <xf numFmtId="0" fontId="93"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37" fillId="15" borderId="0" xfId="0" applyFont="1" applyFill="1" applyAlignment="1">
      <alignment horizontal="center" wrapText="1"/>
    </xf>
    <xf numFmtId="0" fontId="49" fillId="15" borderId="0" xfId="0" applyFont="1" applyFill="1" applyAlignment="1">
      <alignment horizontal="center" wrapText="1"/>
    </xf>
    <xf numFmtId="0" fontId="37" fillId="7" borderId="0" xfId="0" applyFont="1" applyFill="1" applyAlignment="1">
      <alignment horizontal="center" wrapText="1"/>
    </xf>
    <xf numFmtId="0" fontId="106" fillId="7" borderId="0" xfId="0" applyFont="1" applyFill="1" applyAlignment="1">
      <alignment horizontal="center" vertical="center" wrapText="1"/>
    </xf>
    <xf numFmtId="0" fontId="88" fillId="29" borderId="12" xfId="34" applyFont="1" applyFill="1" applyBorder="1" applyAlignment="1">
      <alignment horizontal="center" vertical="center" wrapText="1"/>
    </xf>
    <xf numFmtId="0" fontId="37" fillId="7" borderId="0" xfId="3" applyFont="1" applyFill="1" applyAlignment="1">
      <alignment horizontal="center" wrapText="1"/>
    </xf>
    <xf numFmtId="0" fontId="106" fillId="7" borderId="0" xfId="3" applyFont="1" applyFill="1" applyAlignment="1">
      <alignment horizontal="center" vertical="center" wrapText="1"/>
    </xf>
    <xf numFmtId="0" fontId="27" fillId="0" borderId="1" xfId="0" applyFont="1" applyBorder="1" applyAlignment="1">
      <alignment vertical="center"/>
    </xf>
    <xf numFmtId="0" fontId="3" fillId="0" borderId="0" xfId="11" applyFont="1"/>
    <xf numFmtId="0" fontId="27" fillId="0" borderId="1" xfId="0" applyFont="1" applyBorder="1" applyAlignment="1">
      <alignment horizontal="center" vertical="center" wrapText="1"/>
    </xf>
    <xf numFmtId="0" fontId="27" fillId="35" borderId="1" xfId="0" applyFont="1" applyFill="1" applyBorder="1" applyAlignment="1">
      <alignment vertical="center" wrapText="1"/>
    </xf>
    <xf numFmtId="14" fontId="0" fillId="0" borderId="1" xfId="0" applyNumberFormat="1" applyBorder="1" applyAlignment="1">
      <alignment horizontal="center" vertical="center" wrapText="1"/>
    </xf>
    <xf numFmtId="14" fontId="27" fillId="0" borderId="1" xfId="0" applyNumberFormat="1" applyFont="1" applyBorder="1" applyAlignment="1">
      <alignment horizontal="center" vertical="center" wrapText="1"/>
    </xf>
    <xf numFmtId="14" fontId="4" fillId="0" borderId="0" xfId="11" applyNumberFormat="1" applyFont="1"/>
    <xf numFmtId="0" fontId="24" fillId="0" borderId="0" xfId="11" applyFill="1" applyBorder="1"/>
    <xf numFmtId="0" fontId="0" fillId="6" borderId="14" xfId="1" applyFont="1"/>
    <xf numFmtId="0" fontId="2" fillId="0" borderId="0" xfId="11" applyFont="1"/>
    <xf numFmtId="0" fontId="107" fillId="0" borderId="21" xfId="0" applyFont="1" applyBorder="1"/>
    <xf numFmtId="0" fontId="107" fillId="0" borderId="22" xfId="0" applyFont="1" applyBorder="1"/>
    <xf numFmtId="14" fontId="107" fillId="0" borderId="22" xfId="0" applyNumberFormat="1" applyFont="1" applyBorder="1" applyAlignment="1">
      <alignment horizontal="left"/>
    </xf>
    <xf numFmtId="0" fontId="27" fillId="35" borderId="1" xfId="0" applyFont="1" applyFill="1" applyBorder="1" applyAlignment="1">
      <alignment horizontal="center" vertical="center" wrapText="1"/>
    </xf>
    <xf numFmtId="14" fontId="27" fillId="35" borderId="1" xfId="0" applyNumberFormat="1" applyFont="1" applyFill="1" applyBorder="1" applyAlignment="1">
      <alignment horizontal="center" vertical="center" wrapText="1"/>
    </xf>
    <xf numFmtId="0" fontId="27" fillId="35" borderId="1" xfId="0" applyFont="1" applyFill="1" applyBorder="1" applyAlignment="1">
      <alignment horizontal="center" vertical="center"/>
    </xf>
    <xf numFmtId="0" fontId="74" fillId="0" borderId="0" xfId="3" applyFont="1" applyAlignment="1" applyProtection="1">
      <alignment horizontal="center" vertical="center" wrapText="1"/>
      <protection locked="0"/>
    </xf>
    <xf numFmtId="0" fontId="27" fillId="0" borderId="0" xfId="3" applyAlignment="1">
      <alignment vertical="center" wrapText="1"/>
    </xf>
    <xf numFmtId="0" fontId="65" fillId="16" borderId="2" xfId="3" applyFont="1" applyFill="1" applyBorder="1" applyAlignment="1" applyProtection="1">
      <alignment horizontal="center" vertical="center" shrinkToFit="1"/>
      <protection locked="0"/>
    </xf>
    <xf numFmtId="0" fontId="65" fillId="16" borderId="0" xfId="3" applyFont="1" applyFill="1" applyAlignment="1" applyProtection="1">
      <alignment horizontal="center" vertical="center" shrinkToFit="1"/>
      <protection locked="0"/>
    </xf>
    <xf numFmtId="0" fontId="65" fillId="16" borderId="3" xfId="3" applyFont="1" applyFill="1" applyBorder="1" applyAlignment="1" applyProtection="1">
      <alignment horizontal="center" vertical="center" shrinkToFit="1"/>
      <protection locked="0"/>
    </xf>
    <xf numFmtId="0" fontId="27" fillId="0" borderId="4" xfId="3" applyBorder="1" applyAlignment="1" applyProtection="1">
      <alignment horizontal="right" vertical="top" wrapText="1" shrinkToFit="1"/>
      <protection locked="0"/>
    </xf>
    <xf numFmtId="0" fontId="27" fillId="0" borderId="5" xfId="3" applyBorder="1" applyAlignment="1" applyProtection="1">
      <alignment horizontal="right" vertical="top" wrapText="1" shrinkToFit="1"/>
      <protection locked="0"/>
    </xf>
    <xf numFmtId="0" fontId="66" fillId="0" borderId="5" xfId="0" applyFont="1" applyBorder="1" applyAlignment="1" applyProtection="1">
      <alignment horizontal="left" vertical="top" wrapText="1" shrinkToFit="1"/>
      <protection locked="0"/>
    </xf>
    <xf numFmtId="0" fontId="66" fillId="0" borderId="6" xfId="0" applyFont="1" applyBorder="1" applyAlignment="1" applyProtection="1">
      <alignment horizontal="left" vertical="top" wrapText="1" shrinkToFit="1"/>
      <protection locked="0"/>
    </xf>
    <xf numFmtId="0" fontId="29" fillId="0" borderId="5" xfId="3" applyFont="1" applyBorder="1" applyAlignment="1" applyProtection="1">
      <alignment horizontal="left" vertical="top" wrapText="1" shrinkToFit="1"/>
      <protection locked="0"/>
    </xf>
    <xf numFmtId="0" fontId="68" fillId="0" borderId="5" xfId="3" applyFont="1" applyBorder="1" applyAlignment="1" applyProtection="1">
      <alignment horizontal="left" vertical="top" shrinkToFit="1"/>
      <protection locked="0"/>
    </xf>
    <xf numFmtId="0" fontId="68" fillId="0" borderId="6" xfId="3" applyFont="1" applyBorder="1" applyAlignment="1" applyProtection="1">
      <alignment horizontal="left" vertical="top" shrinkToFit="1"/>
      <protection locked="0"/>
    </xf>
    <xf numFmtId="0" fontId="65" fillId="16" borderId="7" xfId="3" applyFont="1" applyFill="1" applyBorder="1" applyAlignment="1" applyProtection="1">
      <alignment horizontal="center" vertical="center" shrinkToFit="1"/>
      <protection locked="0"/>
    </xf>
    <xf numFmtId="0" fontId="65" fillId="16" borderId="8" xfId="3" applyFont="1" applyFill="1" applyBorder="1" applyAlignment="1" applyProtection="1">
      <alignment horizontal="center" vertical="center" shrinkToFit="1"/>
      <protection locked="0"/>
    </xf>
    <xf numFmtId="0" fontId="65" fillId="16" borderId="9" xfId="3" applyFont="1" applyFill="1" applyBorder="1" applyAlignment="1" applyProtection="1">
      <alignment horizontal="center" vertical="center" shrinkToFit="1"/>
      <protection locked="0"/>
    </xf>
    <xf numFmtId="0" fontId="27" fillId="0" borderId="4" xfId="3" applyBorder="1" applyAlignment="1" applyProtection="1">
      <alignment horizontal="center" vertical="top" wrapText="1" shrinkToFit="1"/>
      <protection locked="0"/>
    </xf>
    <xf numFmtId="0" fontId="27" fillId="0" borderId="5" xfId="3" applyBorder="1" applyAlignment="1" applyProtection="1">
      <alignment horizontal="center" vertical="top" wrapText="1" shrinkToFit="1"/>
      <protection locked="0"/>
    </xf>
    <xf numFmtId="0" fontId="27" fillId="0" borderId="6" xfId="3" applyBorder="1" applyAlignment="1" applyProtection="1">
      <alignment horizontal="center" vertical="top" wrapText="1" shrinkToFit="1"/>
      <protection locked="0"/>
    </xf>
    <xf numFmtId="0" fontId="65" fillId="16" borderId="8" xfId="3" applyFont="1" applyFill="1" applyBorder="1" applyAlignment="1" applyProtection="1">
      <alignment horizontal="center" vertical="center" wrapText="1"/>
      <protection locked="0"/>
    </xf>
    <xf numFmtId="0" fontId="65" fillId="16" borderId="0" xfId="3" applyFont="1" applyFill="1" applyAlignment="1" applyProtection="1">
      <alignment horizontal="center" vertical="center" wrapText="1"/>
      <protection locked="0"/>
    </xf>
    <xf numFmtId="0" fontId="27" fillId="0" borderId="7" xfId="3" applyBorder="1" applyAlignment="1" applyProtection="1">
      <alignment horizontal="left" vertical="top"/>
      <protection locked="0"/>
    </xf>
    <xf numFmtId="0" fontId="27" fillId="0" borderId="8" xfId="3" applyBorder="1" applyAlignment="1" applyProtection="1">
      <alignment horizontal="left" vertical="top"/>
      <protection locked="0"/>
    </xf>
    <xf numFmtId="0" fontId="27" fillId="0" borderId="9" xfId="3" applyBorder="1" applyAlignment="1" applyProtection="1">
      <alignment horizontal="left" vertical="top"/>
      <protection locked="0"/>
    </xf>
    <xf numFmtId="0" fontId="27" fillId="0" borderId="4" xfId="3" applyBorder="1" applyAlignment="1" applyProtection="1">
      <alignment horizontal="left" vertical="top"/>
      <protection locked="0"/>
    </xf>
    <xf numFmtId="0" fontId="27" fillId="0" borderId="5" xfId="3" applyBorder="1" applyAlignment="1" applyProtection="1">
      <alignment horizontal="left" vertical="top"/>
      <protection locked="0"/>
    </xf>
    <xf numFmtId="0" fontId="27" fillId="0" borderId="6" xfId="3" applyBorder="1" applyAlignment="1" applyProtection="1">
      <alignment horizontal="left" vertical="top"/>
      <protection locked="0"/>
    </xf>
    <xf numFmtId="0" fontId="65" fillId="16" borderId="2" xfId="3" applyFont="1" applyFill="1" applyBorder="1" applyAlignment="1" applyProtection="1">
      <alignment horizontal="center" vertical="center" wrapText="1" shrinkToFit="1"/>
      <protection locked="0"/>
    </xf>
    <xf numFmtId="0" fontId="65" fillId="16" borderId="0" xfId="3" applyFont="1" applyFill="1" applyAlignment="1" applyProtection="1">
      <alignment horizontal="center" vertical="center" wrapText="1" shrinkToFit="1"/>
      <protection locked="0"/>
    </xf>
    <xf numFmtId="0" fontId="84" fillId="25" borderId="14" xfId="12" applyAlignment="1" applyProtection="1">
      <alignment horizontal="center" vertical="center"/>
      <protection locked="0"/>
    </xf>
    <xf numFmtId="0" fontId="32" fillId="0" borderId="7" xfId="3" applyFont="1" applyBorder="1" applyAlignment="1">
      <alignment horizontal="left" vertical="center" wrapText="1"/>
    </xf>
    <xf numFmtId="0" fontId="32" fillId="0" borderId="8" xfId="3" applyFont="1" applyBorder="1" applyAlignment="1">
      <alignment horizontal="left" vertical="center" wrapText="1"/>
    </xf>
    <xf numFmtId="0" fontId="32" fillId="0" borderId="9" xfId="3" applyFont="1" applyBorder="1" applyAlignment="1">
      <alignment horizontal="left" vertical="center" wrapText="1"/>
    </xf>
    <xf numFmtId="0" fontId="32" fillId="0" borderId="7" xfId="3" applyFont="1" applyBorder="1" applyAlignment="1">
      <alignment horizontal="left" vertical="center" shrinkToFit="1"/>
    </xf>
    <xf numFmtId="0" fontId="32" fillId="0" borderId="8" xfId="3" applyFont="1" applyBorder="1" applyAlignment="1">
      <alignment horizontal="left" vertical="center" shrinkToFit="1"/>
    </xf>
    <xf numFmtId="0" fontId="32" fillId="0" borderId="9" xfId="3" applyFont="1" applyBorder="1" applyAlignment="1">
      <alignment horizontal="left" vertical="center" shrinkToFit="1"/>
    </xf>
    <xf numFmtId="0" fontId="63" fillId="0" borderId="4" xfId="0" applyFont="1" applyBorder="1" applyAlignment="1">
      <alignment horizontal="left" vertical="center" shrinkToFit="1"/>
    </xf>
    <xf numFmtId="0" fontId="63" fillId="0" borderId="5" xfId="0" applyFont="1" applyBorder="1" applyAlignment="1">
      <alignment horizontal="left" vertical="center" shrinkToFit="1"/>
    </xf>
    <xf numFmtId="0" fontId="63" fillId="0" borderId="6" xfId="0" applyFont="1" applyBorder="1" applyAlignment="1">
      <alignment horizontal="left" vertical="center" shrinkToFit="1"/>
    </xf>
    <xf numFmtId="0" fontId="63" fillId="0" borderId="4" xfId="3" applyFont="1" applyBorder="1" applyAlignment="1">
      <alignment horizontal="left" vertical="center" shrinkToFit="1"/>
    </xf>
    <xf numFmtId="0" fontId="63" fillId="0" borderId="5" xfId="3" applyFont="1" applyBorder="1" applyAlignment="1">
      <alignment horizontal="left" vertical="center" shrinkToFit="1"/>
    </xf>
    <xf numFmtId="0" fontId="63" fillId="0" borderId="6" xfId="3" applyFont="1" applyBorder="1" applyAlignment="1">
      <alignment horizontal="left" vertical="center" shrinkToFit="1"/>
    </xf>
    <xf numFmtId="49" fontId="27" fillId="0" borderId="10" xfId="3" applyNumberFormat="1" applyBorder="1" applyAlignment="1" applyProtection="1">
      <alignment horizontal="center" vertical="center" wrapText="1"/>
      <protection locked="0"/>
    </xf>
    <xf numFmtId="49" fontId="27" fillId="0" borderId="19" xfId="3" applyNumberFormat="1" applyBorder="1" applyAlignment="1" applyProtection="1">
      <alignment horizontal="center" vertical="center" wrapText="1"/>
      <protection locked="0"/>
    </xf>
    <xf numFmtId="49" fontId="27" fillId="0" borderId="11" xfId="3" applyNumberFormat="1" applyBorder="1" applyAlignment="1" applyProtection="1">
      <alignment horizontal="center" vertical="center" wrapText="1"/>
      <protection locked="0"/>
    </xf>
    <xf numFmtId="0" fontId="27" fillId="0" borderId="10" xfId="3" applyBorder="1" applyAlignment="1">
      <alignment horizontal="left" vertical="center" wrapText="1"/>
    </xf>
    <xf numFmtId="0" fontId="27" fillId="0" borderId="19" xfId="3" applyBorder="1" applyAlignment="1">
      <alignment horizontal="left" vertical="center" wrapText="1"/>
    </xf>
    <xf numFmtId="0" fontId="27" fillId="0" borderId="11" xfId="3" applyBorder="1" applyAlignment="1">
      <alignment horizontal="left" vertical="center" wrapText="1"/>
    </xf>
    <xf numFmtId="0" fontId="58" fillId="0" borderId="10" xfId="2" applyBorder="1" applyAlignment="1">
      <alignment horizontal="left" vertical="center" wrapText="1"/>
    </xf>
    <xf numFmtId="49" fontId="27" fillId="0" borderId="1" xfId="3" applyNumberFormat="1" applyBorder="1" applyAlignment="1" applyProtection="1">
      <alignment horizontal="left" vertical="center" wrapText="1"/>
      <protection locked="0"/>
    </xf>
    <xf numFmtId="0" fontId="27" fillId="0" borderId="1" xfId="3" applyBorder="1" applyAlignment="1">
      <alignment horizontal="left" vertical="center" wrapText="1"/>
    </xf>
    <xf numFmtId="49" fontId="27" fillId="0" borderId="1" xfId="3" applyNumberFormat="1" applyBorder="1" applyAlignment="1" applyProtection="1">
      <alignment vertical="center" wrapText="1"/>
      <protection locked="0"/>
    </xf>
    <xf numFmtId="0" fontId="46" fillId="18" borderId="1" xfId="3" applyFont="1" applyFill="1" applyBorder="1" applyAlignment="1" applyProtection="1">
      <alignment horizontal="center" vertical="center" wrapText="1"/>
      <protection locked="0"/>
    </xf>
    <xf numFmtId="0" fontId="80" fillId="20" borderId="1" xfId="3" applyFont="1" applyFill="1" applyBorder="1" applyAlignment="1">
      <alignment horizontal="center" vertical="center" wrapText="1"/>
    </xf>
    <xf numFmtId="0" fontId="27" fillId="0" borderId="1" xfId="3" applyBorder="1" applyAlignment="1">
      <alignment horizontal="center" vertical="center" wrapText="1"/>
    </xf>
    <xf numFmtId="14" fontId="27" fillId="0" borderId="10" xfId="3" applyNumberFormat="1" applyBorder="1" applyAlignment="1" applyProtection="1">
      <alignment horizontal="left" vertical="center" wrapText="1"/>
      <protection locked="0"/>
    </xf>
    <xf numFmtId="14" fontId="27" fillId="0" borderId="19" xfId="3" applyNumberFormat="1" applyBorder="1" applyAlignment="1" applyProtection="1">
      <alignment horizontal="left" vertical="center" wrapText="1"/>
      <protection locked="0"/>
    </xf>
    <xf numFmtId="14" fontId="27" fillId="0" borderId="11" xfId="3" applyNumberFormat="1" applyBorder="1" applyAlignment="1" applyProtection="1">
      <alignment horizontal="left" vertical="center" wrapText="1"/>
      <protection locked="0"/>
    </xf>
    <xf numFmtId="49" fontId="27" fillId="0" borderId="1" xfId="3" applyNumberFormat="1" applyBorder="1" applyAlignment="1">
      <alignment horizontal="left" vertical="center" wrapText="1"/>
    </xf>
    <xf numFmtId="49" fontId="27" fillId="0" borderId="1" xfId="3" applyNumberFormat="1" applyBorder="1" applyAlignment="1" applyProtection="1">
      <alignment horizontal="center" vertical="center" wrapText="1"/>
      <protection locked="0"/>
    </xf>
    <xf numFmtId="49" fontId="27" fillId="0" borderId="1" xfId="3" applyNumberFormat="1" applyBorder="1" applyAlignment="1">
      <alignment horizontal="center" vertical="center" wrapText="1"/>
    </xf>
    <xf numFmtId="49" fontId="27" fillId="22" borderId="1" xfId="3" applyNumberFormat="1" applyFill="1" applyBorder="1" applyAlignment="1" applyProtection="1">
      <alignment horizontal="center" vertical="center" wrapText="1"/>
      <protection locked="0"/>
    </xf>
    <xf numFmtId="49" fontId="27" fillId="32" borderId="1" xfId="3" applyNumberFormat="1" applyFont="1" applyFill="1" applyBorder="1" applyAlignment="1" applyProtection="1">
      <alignment horizontal="center" vertical="center" wrapText="1"/>
      <protection locked="0"/>
    </xf>
    <xf numFmtId="49" fontId="60" fillId="24" borderId="1" xfId="3" applyNumberFormat="1" applyFont="1" applyFill="1" applyBorder="1" applyAlignment="1" applyProtection="1">
      <alignment horizontal="center" vertical="center" wrapText="1"/>
      <protection locked="0"/>
    </xf>
    <xf numFmtId="0" fontId="32" fillId="17" borderId="7" xfId="3" applyFont="1" applyFill="1" applyBorder="1" applyAlignment="1">
      <alignment horizontal="left" vertical="center" shrinkToFit="1"/>
    </xf>
    <xf numFmtId="0" fontId="32" fillId="17" borderId="8" xfId="3" applyFont="1" applyFill="1" applyBorder="1" applyAlignment="1">
      <alignment horizontal="left" vertical="center" shrinkToFit="1"/>
    </xf>
    <xf numFmtId="0" fontId="32" fillId="17" borderId="9" xfId="3" applyFont="1" applyFill="1" applyBorder="1" applyAlignment="1">
      <alignment horizontal="left" vertical="center" shrinkToFi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0" fontId="27" fillId="18" borderId="1" xfId="3" applyFill="1" applyBorder="1" applyAlignment="1" applyProtection="1">
      <alignment horizontal="center" vertical="center" wrapText="1"/>
      <protection locked="0"/>
    </xf>
    <xf numFmtId="49" fontId="27" fillId="19" borderId="1" xfId="3" applyNumberFormat="1" applyFill="1" applyBorder="1" applyAlignment="1" applyProtection="1">
      <alignment horizontal="center" vertical="center" wrapText="1"/>
      <protection locked="0"/>
    </xf>
    <xf numFmtId="0" fontId="32" fillId="17" borderId="7" xfId="3" applyFont="1" applyFill="1" applyBorder="1" applyAlignment="1">
      <alignment horizontal="left" vertical="center" wrapText="1"/>
    </xf>
    <xf numFmtId="0" fontId="32" fillId="17" borderId="8" xfId="3" applyFont="1" applyFill="1" applyBorder="1" applyAlignment="1">
      <alignment horizontal="left" vertical="center" wrapText="1"/>
    </xf>
    <xf numFmtId="0" fontId="32" fillId="17" borderId="9" xfId="3" applyFont="1" applyFill="1" applyBorder="1" applyAlignment="1">
      <alignment horizontal="left" vertical="center" wrapTex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49" fontId="27" fillId="23" borderId="1" xfId="3" applyNumberFormat="1" applyFill="1" applyBorder="1" applyAlignment="1" applyProtection="1">
      <alignment horizontal="center" vertical="center" wrapText="1"/>
      <protection locked="0"/>
    </xf>
    <xf numFmtId="0" fontId="98" fillId="2" borderId="10" xfId="7" applyFont="1" applyFill="1" applyBorder="1" applyAlignment="1">
      <alignment horizontal="center" vertical="center"/>
    </xf>
    <xf numFmtId="0" fontId="98" fillId="2" borderId="19" xfId="7" applyFont="1" applyFill="1" applyBorder="1" applyAlignment="1">
      <alignment horizontal="center" vertical="center"/>
    </xf>
    <xf numFmtId="0" fontId="98" fillId="2" borderId="11" xfId="7" applyFont="1" applyFill="1" applyBorder="1" applyAlignment="1">
      <alignment horizontal="center" vertical="center"/>
    </xf>
    <xf numFmtId="0" fontId="34" fillId="2" borderId="10" xfId="7" applyFill="1" applyBorder="1" applyAlignment="1">
      <alignment horizontal="justify" vertical="center" wrapText="1"/>
    </xf>
    <xf numFmtId="0" fontId="34" fillId="2" borderId="19" xfId="7" applyFill="1" applyBorder="1" applyAlignment="1">
      <alignment horizontal="justify" vertical="center" wrapText="1"/>
    </xf>
    <xf numFmtId="0" fontId="34" fillId="2" borderId="11" xfId="7" applyFill="1" applyBorder="1" applyAlignment="1">
      <alignment horizontal="justify" vertical="center" wrapText="1"/>
    </xf>
    <xf numFmtId="0" fontId="28" fillId="21" borderId="2" xfId="0" applyFont="1" applyFill="1" applyBorder="1" applyAlignment="1">
      <alignment horizontal="center" vertical="top" textRotation="45"/>
    </xf>
    <xf numFmtId="0" fontId="28" fillId="9" borderId="2" xfId="0" applyFont="1" applyFill="1" applyBorder="1" applyAlignment="1">
      <alignment horizontal="center" vertical="center" textRotation="45"/>
    </xf>
    <xf numFmtId="0" fontId="35" fillId="3" borderId="7" xfId="7" applyFont="1" applyFill="1" applyBorder="1" applyAlignment="1">
      <alignment horizontal="center" vertical="distributed"/>
    </xf>
    <xf numFmtId="0" fontId="35" fillId="3" borderId="8" xfId="7" applyFont="1" applyFill="1" applyBorder="1" applyAlignment="1">
      <alignment horizontal="center" vertical="distributed"/>
    </xf>
    <xf numFmtId="0" fontId="35" fillId="3" borderId="9" xfId="7" applyFont="1" applyFill="1" applyBorder="1" applyAlignment="1">
      <alignment horizontal="center" vertical="distributed"/>
    </xf>
    <xf numFmtId="0" fontId="28" fillId="3" borderId="7" xfId="0" applyFont="1" applyFill="1" applyBorder="1" applyAlignment="1">
      <alignment horizontal="center" wrapText="1"/>
    </xf>
    <xf numFmtId="0" fontId="28" fillId="3" borderId="8" xfId="0" applyFont="1" applyFill="1" applyBorder="1" applyAlignment="1">
      <alignment horizontal="center" wrapText="1"/>
    </xf>
    <xf numFmtId="0" fontId="28" fillId="3" borderId="9" xfId="0" applyFont="1" applyFill="1" applyBorder="1" applyAlignment="1">
      <alignment horizontal="center" wrapText="1"/>
    </xf>
    <xf numFmtId="0" fontId="27" fillId="2" borderId="10" xfId="0" applyFont="1" applyFill="1" applyBorder="1" applyAlignment="1">
      <alignment horizontal="left" vertical="center" wrapText="1" shrinkToFit="1"/>
    </xf>
    <xf numFmtId="0" fontId="27" fillId="2" borderId="11" xfId="0" applyFont="1" applyFill="1" applyBorder="1" applyAlignment="1">
      <alignment horizontal="left" vertical="center" wrapText="1" shrinkToFit="1"/>
    </xf>
    <xf numFmtId="0" fontId="87" fillId="28" borderId="4" xfId="13" applyFont="1" applyFill="1" applyBorder="1" applyAlignment="1" applyProtection="1">
      <alignment horizontal="center" vertical="center" wrapText="1"/>
      <protection locked="0"/>
    </xf>
    <xf numFmtId="0" fontId="87" fillId="28" borderId="5" xfId="13" applyFont="1" applyFill="1" applyBorder="1" applyAlignment="1" applyProtection="1">
      <alignment horizontal="center" vertical="center" wrapText="1"/>
      <protection locked="0"/>
    </xf>
    <xf numFmtId="0" fontId="87" fillId="28" borderId="6" xfId="13" applyFont="1" applyFill="1" applyBorder="1" applyAlignment="1" applyProtection="1">
      <alignment horizontal="center" vertical="center" wrapText="1"/>
      <protection locked="0"/>
    </xf>
    <xf numFmtId="0" fontId="87" fillId="16" borderId="4" xfId="13" applyFont="1" applyFill="1" applyBorder="1" applyAlignment="1" applyProtection="1">
      <alignment horizontal="center" vertical="center" wrapText="1"/>
    </xf>
    <xf numFmtId="0" fontId="87" fillId="16" borderId="5" xfId="13" applyFont="1" applyFill="1" applyBorder="1" applyAlignment="1" applyProtection="1">
      <alignment horizontal="center" vertical="center" wrapText="1"/>
    </xf>
    <xf numFmtId="0" fontId="84" fillId="25" borderId="14" xfId="12" applyAlignment="1">
      <alignment horizontal="left" vertical="center"/>
    </xf>
    <xf numFmtId="0" fontId="37" fillId="8" borderId="5" xfId="0" applyFont="1" applyFill="1" applyBorder="1" applyAlignment="1">
      <alignment horizontal="center" vertical="center"/>
    </xf>
    <xf numFmtId="0" fontId="37" fillId="8" borderId="6" xfId="0" applyFont="1" applyFill="1" applyBorder="1" applyAlignment="1">
      <alignment horizontal="center" vertical="center"/>
    </xf>
    <xf numFmtId="0" fontId="92" fillId="28" borderId="10" xfId="2" applyFont="1" applyFill="1" applyBorder="1" applyAlignment="1" applyProtection="1">
      <alignment horizontal="center" vertical="center" wrapText="1"/>
      <protection locked="0"/>
    </xf>
    <xf numFmtId="0" fontId="92" fillId="28" borderId="11" xfId="2" applyFont="1" applyFill="1" applyBorder="1" applyAlignment="1" applyProtection="1">
      <alignment horizontal="center" vertical="center" wrapText="1"/>
      <protection locked="0"/>
    </xf>
    <xf numFmtId="0" fontId="24" fillId="0" borderId="0" xfId="11" applyFill="1"/>
    <xf numFmtId="0" fontId="57" fillId="6" borderId="23" xfId="1" applyNumberFormat="1" applyBorder="1"/>
    <xf numFmtId="0" fontId="1" fillId="0" borderId="0" xfId="11" applyFont="1" applyFill="1" applyBorder="1"/>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281">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font>
        <b val="0"/>
        <i val="0"/>
        <strike val="0"/>
        <condense val="0"/>
        <extend val="0"/>
        <outline val="0"/>
        <shadow val="0"/>
        <u val="none"/>
        <vertAlign val="baseline"/>
        <sz val="11"/>
        <color theme="1"/>
        <name val="Calibri"/>
        <family val="2"/>
        <scheme val="minor"/>
      </font>
      <numFmt numFmtId="19" formatCode="m/d/yyyy"/>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15</c:v>
                </c:pt>
                <c:pt idx="1">
                  <c:v>7</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3</c:v>
                </c:pt>
                <c:pt idx="1">
                  <c:v>0</c:v>
                </c:pt>
                <c:pt idx="2">
                  <c:v>0</c:v>
                </c:pt>
                <c:pt idx="3">
                  <c:v>0</c:v>
                </c:pt>
                <c:pt idx="4">
                  <c:v>4</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4</c:v>
                </c:pt>
                <c:pt idx="1">
                  <c:v>0</c:v>
                </c:pt>
                <c:pt idx="2">
                  <c:v>3</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5" totalsRowShown="0" headerRowDxfId="280" headerRowBorderDxfId="279" tableBorderDxfId="278" headerRowCellStyle="40% - Accent5" dataCellStyle="Normal 4">
  <autoFilter ref="A2:O5"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277" dataCellStyle="Normal 4"/>
    <tableColumn id="5" xr3:uid="{A7E8DB5D-2E5B-4D50-802A-7373C2649DB9}" name="Effort (in mn)" dataDxfId="276" dataCellStyle="Calculation">
      <calculatedColumnFormula>SUM(F3:O3)</calculatedColumnFormula>
    </tableColumn>
    <tableColumn id="6" xr3:uid="{DD9655BE-E53F-4CA5-885B-7FC10F8D2395}" name="VCH" dataCellStyle="Normal 4"/>
    <tableColumn id="7" xr3:uid="{525D8884-0C8A-4478-BF05-7E1372CD45F9}" name="VPO" dataCellStyle="Normal 4"/>
    <tableColumn id="8" xr3:uid="{967B83B5-4BDD-455D-9479-4517937966AE}" name="GBR" dataCellStyle="Normal 4"/>
    <tableColumn id="9" xr3:uid="{B1B837F4-0787-4CAA-BD5D-A6B2F7E9368A}" name="IRe" dataCellStyle="Normal 4"/>
    <tableColumn id="10" xr3:uid="{4B029EAF-CE65-4128-A016-A786C51E5D01}" name="DDU" dataCellStyle="Normal 4"/>
    <tableColumn id="11" xr3:uid="{5B3D026C-0D6F-4D5D-949A-921EED9750D8}" name="LAR" dataCellStyle="Normal 4"/>
    <tableColumn id="12" xr3:uid="{F47E4945-FC46-4596-99F8-6868803682F5}" name="DPU"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F11" sqref="F11"/>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368</v>
      </c>
    </row>
    <row r="4" spans="1:37" s="95" customFormat="1" ht="11.1" customHeight="1">
      <c r="A4" s="251" t="s">
        <v>5</v>
      </c>
      <c r="B4" s="252"/>
      <c r="C4" s="252"/>
      <c r="D4" s="252"/>
      <c r="E4" s="252"/>
      <c r="F4" s="252"/>
      <c r="G4" s="252"/>
      <c r="H4" s="252"/>
      <c r="I4" s="252"/>
      <c r="J4" s="252"/>
      <c r="K4" s="252"/>
      <c r="L4" s="252"/>
      <c r="M4" s="252"/>
      <c r="N4" s="252"/>
      <c r="O4" s="252"/>
      <c r="P4" s="252"/>
      <c r="Q4" s="253"/>
      <c r="R4" s="248" t="s">
        <v>12</v>
      </c>
      <c r="S4" s="249"/>
      <c r="T4" s="249"/>
      <c r="U4" s="249"/>
      <c r="V4" s="250"/>
      <c r="W4" s="248" t="s">
        <v>6</v>
      </c>
      <c r="X4" s="249"/>
      <c r="Y4" s="249"/>
      <c r="Z4" s="249"/>
      <c r="AA4" s="250"/>
      <c r="AB4" s="251" t="s">
        <v>136</v>
      </c>
      <c r="AC4" s="252"/>
      <c r="AD4" s="252"/>
      <c r="AE4" s="252"/>
      <c r="AF4" s="252"/>
      <c r="AG4" s="253"/>
      <c r="AH4" s="101"/>
      <c r="AI4" s="101"/>
      <c r="AJ4" s="101"/>
    </row>
    <row r="5" spans="1:37" s="102" customFormat="1" ht="12.75" customHeight="1">
      <c r="A5" s="254" t="str">
        <f ca="1" xml:space="preserve"> IFERROR(IF([3]!alvDocProperty("MXAuthority")="","272502 VW VWA VN 41S1_NAR EL SB",[3]!alvDocProperty("MXAuthority")),"272502 VW VWA VN 41S1_NAR EL SB")</f>
        <v>272502 VW VWA VN 41S1_NAR EL SB</v>
      </c>
      <c r="B5" s="255"/>
      <c r="C5" s="255"/>
      <c r="D5" s="255"/>
      <c r="E5" s="255"/>
      <c r="F5" s="255"/>
      <c r="G5" s="255"/>
      <c r="H5" s="255"/>
      <c r="I5" s="255"/>
      <c r="J5" s="255"/>
      <c r="K5" s="255"/>
      <c r="L5" s="255"/>
      <c r="M5" s="255"/>
      <c r="N5" s="255"/>
      <c r="O5" s="255"/>
      <c r="P5" s="255"/>
      <c r="Q5" s="256"/>
      <c r="R5" s="254" t="s">
        <v>137</v>
      </c>
      <c r="S5" s="255"/>
      <c r="T5" s="255"/>
      <c r="U5" s="255"/>
      <c r="V5" s="256"/>
      <c r="W5" s="254" t="str">
        <f ca="1" xml:space="preserve"> IFERROR(IF([3]!alvDocProperty("MXCurrent.Localized")="","Template released",[3]!alvDocProperty("MXCurrent.Localized")),"Template released")</f>
        <v>Template released</v>
      </c>
      <c r="X5" s="255"/>
      <c r="Y5" s="255"/>
      <c r="Z5" s="255"/>
      <c r="AA5" s="256"/>
      <c r="AB5" s="254" t="str">
        <f ca="1" xml:space="preserve"> IFERROR(IF([3]!alvDocProperty("MXActual_state_Released")="","2022-07",[3]!alvDocProperty("MXActual_state_Released")),"2022-07")</f>
        <v>2022-07</v>
      </c>
      <c r="AC5" s="255"/>
      <c r="AD5" s="255"/>
      <c r="AE5" s="255"/>
      <c r="AF5" s="255"/>
      <c r="AG5" s="256"/>
    </row>
    <row r="6" spans="1:37" s="95" customFormat="1" ht="11.1" customHeight="1">
      <c r="A6" s="248" t="s">
        <v>7</v>
      </c>
      <c r="B6" s="249"/>
      <c r="C6" s="249"/>
      <c r="D6" s="250"/>
      <c r="E6" s="248" t="s">
        <v>8</v>
      </c>
      <c r="F6" s="249"/>
      <c r="G6" s="249"/>
      <c r="H6" s="249"/>
      <c r="I6" s="249"/>
      <c r="J6" s="249"/>
      <c r="K6" s="249"/>
      <c r="L6" s="249"/>
      <c r="M6" s="249"/>
      <c r="N6" s="249"/>
      <c r="O6" s="249"/>
      <c r="P6" s="249"/>
      <c r="Q6" s="249"/>
      <c r="R6" s="249"/>
      <c r="S6" s="249"/>
      <c r="T6" s="249"/>
      <c r="U6" s="249"/>
      <c r="V6" s="250"/>
      <c r="W6" s="251" t="s">
        <v>10</v>
      </c>
      <c r="X6" s="252"/>
      <c r="Y6" s="252"/>
      <c r="Z6" s="252"/>
      <c r="AA6" s="253"/>
      <c r="AB6" s="248" t="s">
        <v>34</v>
      </c>
      <c r="AC6" s="249"/>
      <c r="AD6" s="250"/>
      <c r="AE6" s="248" t="s">
        <v>9</v>
      </c>
      <c r="AF6" s="249"/>
      <c r="AG6" s="250"/>
    </row>
    <row r="7" spans="1:37" s="102" customFormat="1" ht="12.75" customHeight="1">
      <c r="A7" s="254" t="str">
        <f ca="1" xml:space="preserve"> IFERROR(IF([3]!alvDocProperty("MXName")="","TBD",[3]!alvDocProperty("MXName")),"TBD")</f>
        <v>TBD</v>
      </c>
      <c r="B7" s="255"/>
      <c r="C7" s="255"/>
      <c r="D7" s="256"/>
      <c r="E7" s="254" t="str">
        <f ca="1" xml:space="preserve"> IFERROR(IF([3]!alvDocProperty("MXTitle")="","CompilerIf - Peer Review Workbook (PRWB)",[3]!alvDocProperty("MXTitle")),"CompilerIf - Peer Review Workbook (PRWB)")</f>
        <v>CompilerIf - Peer Review Workbook</v>
      </c>
      <c r="F7" s="255"/>
      <c r="G7" s="255"/>
      <c r="H7" s="255"/>
      <c r="I7" s="255"/>
      <c r="J7" s="255"/>
      <c r="K7" s="255"/>
      <c r="L7" s="255"/>
      <c r="M7" s="255"/>
      <c r="N7" s="255"/>
      <c r="O7" s="255"/>
      <c r="P7" s="255"/>
      <c r="Q7" s="255"/>
      <c r="R7" s="255"/>
      <c r="S7" s="255"/>
      <c r="T7" s="255"/>
      <c r="U7" s="255"/>
      <c r="V7" s="256"/>
      <c r="W7" s="257" t="str">
        <f ca="1" xml:space="preserve"> IFERROR(IF([3]!alvDocProperty("MXDocTemplate_Name")="","AEF1007",[3]!alvDocProperty("MXDocTemplate_Name")),"AEF1007")</f>
        <v>AEF1007</v>
      </c>
      <c r="X7" s="258"/>
      <c r="Y7" s="258"/>
      <c r="Z7" s="258"/>
      <c r="AA7" s="259"/>
      <c r="AB7" s="254" t="str">
        <f ca="1" xml:space="preserve"> IFERROR(IF([3]!alvDocProperty("MXRevision")="","TBD",[3]!alvDocProperty("MXRevision")),"TBD")</f>
        <v>TBD</v>
      </c>
      <c r="AC7" s="255"/>
      <c r="AD7" s="256"/>
      <c r="AE7" s="254" t="str">
        <f ca="1" xml:space="preserve"> IFERROR(IF([3]!alvDocProperty("MXVersion")="","TBD",[3]!alvDocProperty("MXVersion")),"TBD")</f>
        <v>TBD</v>
      </c>
      <c r="AF7" s="255"/>
      <c r="AG7" s="256"/>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21" t="s">
        <v>60</v>
      </c>
      <c r="B9" s="222"/>
      <c r="C9" s="222"/>
      <c r="D9" s="222"/>
      <c r="E9" s="222"/>
      <c r="F9" s="222"/>
      <c r="G9" s="222"/>
      <c r="H9" s="222"/>
      <c r="I9" s="222"/>
      <c r="J9" s="222"/>
      <c r="K9" s="223"/>
      <c r="L9" s="221" t="s">
        <v>12</v>
      </c>
      <c r="M9" s="222"/>
      <c r="N9" s="222"/>
      <c r="O9" s="222"/>
      <c r="P9" s="222"/>
      <c r="Q9" s="222"/>
      <c r="R9" s="222"/>
      <c r="S9" s="222"/>
      <c r="T9" s="222"/>
      <c r="U9" s="222"/>
      <c r="V9" s="223"/>
      <c r="W9" s="221" t="s">
        <v>17</v>
      </c>
      <c r="X9" s="222"/>
      <c r="Y9" s="222"/>
      <c r="Z9" s="222"/>
      <c r="AA9" s="222"/>
      <c r="AB9" s="222"/>
      <c r="AC9" s="222"/>
      <c r="AD9" s="222"/>
      <c r="AE9" s="222"/>
      <c r="AF9" s="222"/>
      <c r="AG9" s="223"/>
    </row>
    <row r="10" spans="1:37" s="106" customFormat="1" ht="39" customHeight="1">
      <c r="A10" s="224" t="s">
        <v>138</v>
      </c>
      <c r="B10" s="225"/>
      <c r="C10" s="225"/>
      <c r="D10" s="225"/>
      <c r="E10" s="225"/>
      <c r="F10" s="226" t="str">
        <f ca="1" xml:space="preserve"> IFERROR(IF([3]!alvDocProperty("MXUser")="","Vlad Chioveanu",[3]!alvDocProperty("MXUser")),"Gabriel Brasoveanu")</f>
        <v>Gabriel Brasoveanu</v>
      </c>
      <c r="G10" s="226"/>
      <c r="H10" s="226"/>
      <c r="I10" s="226"/>
      <c r="J10" s="226"/>
      <c r="K10" s="227"/>
      <c r="L10" s="228" t="s">
        <v>139</v>
      </c>
      <c r="M10" s="229"/>
      <c r="N10" s="229"/>
      <c r="O10" s="229"/>
      <c r="P10" s="229"/>
      <c r="Q10" s="229"/>
      <c r="R10" s="229"/>
      <c r="S10" s="229"/>
      <c r="T10" s="229"/>
      <c r="U10" s="229"/>
      <c r="V10" s="230"/>
      <c r="W10" s="228" t="s">
        <v>139</v>
      </c>
      <c r="X10" s="229"/>
      <c r="Y10" s="229"/>
      <c r="Z10" s="229"/>
      <c r="AA10" s="229"/>
      <c r="AB10" s="229"/>
      <c r="AC10" s="229"/>
      <c r="AD10" s="229"/>
      <c r="AE10" s="229"/>
      <c r="AF10" s="229"/>
      <c r="AG10" s="230"/>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31" t="s">
        <v>140</v>
      </c>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3"/>
    </row>
    <row r="13" spans="1:37" s="106" customFormat="1" ht="28.5" customHeight="1">
      <c r="A13" s="234" t="s">
        <v>141</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6"/>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37" t="s">
        <v>142</v>
      </c>
      <c r="B15" s="237"/>
      <c r="C15" s="237"/>
      <c r="D15" s="237"/>
      <c r="E15" s="239"/>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1"/>
    </row>
    <row r="16" spans="1:37" ht="37.5" customHeight="1">
      <c r="A16" s="238"/>
      <c r="B16" s="238"/>
      <c r="C16" s="238"/>
      <c r="D16" s="238"/>
      <c r="E16" s="242"/>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4"/>
    </row>
    <row r="17" spans="1:33">
      <c r="A17" s="111"/>
    </row>
    <row r="18" spans="1:33" ht="26.25" customHeight="1">
      <c r="A18" s="245" t="s">
        <v>293</v>
      </c>
      <c r="B18" s="246"/>
      <c r="C18" s="246"/>
      <c r="D18" s="246"/>
      <c r="E18" s="247" t="s">
        <v>292</v>
      </c>
      <c r="F18" s="247"/>
      <c r="G18" s="247"/>
      <c r="H18" s="247"/>
      <c r="I18" s="247"/>
      <c r="J18" s="247"/>
      <c r="K18" s="247"/>
      <c r="L18" s="247"/>
      <c r="M18" s="247"/>
      <c r="N18" s="247"/>
      <c r="O18" s="247"/>
      <c r="P18" s="247"/>
    </row>
    <row r="19" spans="1:33"/>
    <row r="20" spans="1:33"/>
    <row r="21" spans="1:33" ht="15.75" customHeight="1">
      <c r="Q21" s="112"/>
    </row>
    <row r="22" spans="1:33" ht="12" customHeight="1">
      <c r="Q22" s="112"/>
    </row>
    <row r="23" spans="1:33" ht="60" customHeight="1">
      <c r="A23" s="219" t="str">
        <f ca="1">MXTitle</f>
        <v>CompilerIf - Peer Review Workbook</v>
      </c>
      <c r="B23" s="220"/>
      <c r="C23" s="220"/>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20"/>
      <c r="AB23" s="220"/>
      <c r="AC23" s="220"/>
      <c r="AD23" s="220"/>
      <c r="AE23" s="220"/>
      <c r="AF23" s="220"/>
      <c r="AG23" s="220"/>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1" type="noConversion"/>
  <conditionalFormatting sqref="W5">
    <cfRule type="cellIs" dxfId="275" priority="21" operator="equal">
      <formula>"draft"</formula>
    </cfRule>
  </conditionalFormatting>
  <conditionalFormatting sqref="W5:AA5">
    <cfRule type="cellIs" dxfId="274" priority="1" operator="equal">
      <formula>"In-Work"</formula>
    </cfRule>
    <cfRule type="cellIs" dxfId="273" priority="2" stopIfTrue="1" operator="equal">
      <formula>"draft"</formula>
    </cfRule>
    <cfRule type="cellIs" dxfId="272" priority="3" operator="equal">
      <formula>"In-Work"</formula>
    </cfRule>
    <cfRule type="cellIs" dxfId="271" priority="4" stopIfTrue="1" operator="equal">
      <formula>"draft"</formula>
    </cfRule>
    <cfRule type="cellIs" dxfId="270" priority="5" operator="equal">
      <formula>"In-Work"</formula>
    </cfRule>
    <cfRule type="cellIs" dxfId="269" priority="6" stopIfTrue="1" operator="equal">
      <formula>"draft"</formula>
    </cfRule>
    <cfRule type="cellIs" dxfId="268" priority="7" operator="equal">
      <formula>"In-Work"</formula>
    </cfRule>
    <cfRule type="cellIs" dxfId="267" priority="8" stopIfTrue="1" operator="equal">
      <formula>"draft"</formula>
    </cfRule>
    <cfRule type="cellIs" dxfId="266" priority="9" operator="equal">
      <formula>"In-Work"</formula>
    </cfRule>
    <cfRule type="cellIs" dxfId="265" priority="10" stopIfTrue="1" operator="equal">
      <formula>"draft"</formula>
    </cfRule>
    <cfRule type="cellIs" dxfId="264" priority="11" operator="equal">
      <formula>"In-Work"</formula>
    </cfRule>
    <cfRule type="cellIs" dxfId="263" priority="12" stopIfTrue="1" operator="equal">
      <formula>"draft"</formula>
    </cfRule>
    <cfRule type="cellIs" dxfId="262" priority="13" operator="equal">
      <formula>"In-Work"</formula>
    </cfRule>
    <cfRule type="cellIs" dxfId="261" priority="14" stopIfTrue="1" operator="equal">
      <formula>"draft"</formula>
    </cfRule>
    <cfRule type="cellIs" dxfId="260" priority="15" operator="equal">
      <formula>"In-Work"</formula>
    </cfRule>
    <cfRule type="cellIs" dxfId="259" priority="16" stopIfTrue="1" operator="equal">
      <formula>"draft"</formula>
    </cfRule>
    <cfRule type="cellIs" dxfId="258" priority="17" operator="equal">
      <formula>"In-Work"</formula>
    </cfRule>
    <cfRule type="cellIs" dxfId="257" priority="18" stopIfTrue="1" operator="equal">
      <formula>"draft"</formula>
    </cfRule>
    <cfRule type="cellIs" dxfId="256" priority="19" operator="equal">
      <formula>"In-Work"</formula>
    </cfRule>
    <cfRule type="cellIs" dxfId="255" priority="20"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CompilerIf - Peer Review Workbook.xlsm</v>
      </c>
      <c r="AE3" s="95"/>
      <c r="AF3" s="95"/>
      <c r="AG3" s="95"/>
      <c r="AH3" s="95"/>
    </row>
    <row r="4" spans="1:34">
      <c r="A4" s="251" t="s">
        <v>5</v>
      </c>
      <c r="B4" s="252"/>
      <c r="C4" s="252"/>
      <c r="D4" s="252"/>
      <c r="E4" s="252"/>
      <c r="F4" s="252"/>
      <c r="G4" s="252"/>
      <c r="H4" s="252"/>
      <c r="I4" s="252"/>
      <c r="J4" s="252"/>
      <c r="K4" s="252"/>
      <c r="L4" s="252"/>
      <c r="M4" s="252"/>
      <c r="N4" s="252"/>
      <c r="O4" s="252"/>
      <c r="P4" s="252"/>
      <c r="Q4" s="252"/>
      <c r="R4" s="252"/>
      <c r="S4" s="252"/>
      <c r="T4" s="252"/>
      <c r="U4" s="252"/>
      <c r="V4" s="253"/>
      <c r="W4" s="290" t="s">
        <v>6</v>
      </c>
      <c r="X4" s="291"/>
      <c r="Y4" s="291"/>
      <c r="Z4" s="291"/>
      <c r="AA4" s="292"/>
      <c r="AB4" s="251" t="s">
        <v>136</v>
      </c>
      <c r="AC4" s="252"/>
      <c r="AD4" s="252"/>
      <c r="AE4" s="252"/>
      <c r="AF4" s="252"/>
      <c r="AG4" s="253"/>
      <c r="AH4" s="101"/>
    </row>
    <row r="5" spans="1:34">
      <c r="A5" s="257" t="s">
        <v>204</v>
      </c>
      <c r="B5" s="258"/>
      <c r="C5" s="258"/>
      <c r="D5" s="258"/>
      <c r="E5" s="258"/>
      <c r="F5" s="258"/>
      <c r="G5" s="258"/>
      <c r="H5" s="258"/>
      <c r="I5" s="258"/>
      <c r="J5" s="258"/>
      <c r="K5" s="258"/>
      <c r="L5" s="258"/>
      <c r="M5" s="258"/>
      <c r="N5" s="258"/>
      <c r="O5" s="258"/>
      <c r="P5" s="258"/>
      <c r="Q5" s="258"/>
      <c r="R5" s="258"/>
      <c r="S5" s="258"/>
      <c r="T5" s="258"/>
      <c r="U5" s="258"/>
      <c r="V5" s="259"/>
      <c r="W5" s="293" t="s">
        <v>203</v>
      </c>
      <c r="X5" s="294"/>
      <c r="Y5" s="294"/>
      <c r="Z5" s="294"/>
      <c r="AA5" s="295"/>
      <c r="AB5" s="257" t="s">
        <v>202</v>
      </c>
      <c r="AC5" s="258"/>
      <c r="AD5" s="258"/>
      <c r="AE5" s="258"/>
      <c r="AF5" s="258"/>
      <c r="AG5" s="259"/>
      <c r="AH5" s="102"/>
    </row>
    <row r="6" spans="1:34">
      <c r="A6" s="282" t="s">
        <v>7</v>
      </c>
      <c r="B6" s="283"/>
      <c r="C6" s="283"/>
      <c r="D6" s="284"/>
      <c r="E6" s="282" t="s">
        <v>8</v>
      </c>
      <c r="F6" s="283"/>
      <c r="G6" s="283"/>
      <c r="H6" s="283"/>
      <c r="I6" s="283"/>
      <c r="J6" s="283"/>
      <c r="K6" s="283"/>
      <c r="L6" s="283"/>
      <c r="M6" s="283"/>
      <c r="N6" s="283"/>
      <c r="O6" s="283"/>
      <c r="P6" s="283"/>
      <c r="Q6" s="283"/>
      <c r="R6" s="283"/>
      <c r="S6" s="283"/>
      <c r="T6" s="283"/>
      <c r="U6" s="283"/>
      <c r="V6" s="284"/>
      <c r="W6" s="251" t="s">
        <v>10</v>
      </c>
      <c r="X6" s="252"/>
      <c r="Y6" s="252"/>
      <c r="Z6" s="252"/>
      <c r="AA6" s="253"/>
      <c r="AB6" s="290" t="s">
        <v>34</v>
      </c>
      <c r="AC6" s="291"/>
      <c r="AD6" s="292"/>
      <c r="AE6" s="290" t="s">
        <v>9</v>
      </c>
      <c r="AF6" s="291"/>
      <c r="AG6" s="292"/>
      <c r="AH6" s="95"/>
    </row>
    <row r="7" spans="1:34">
      <c r="A7" s="293" t="s">
        <v>201</v>
      </c>
      <c r="B7" s="294"/>
      <c r="C7" s="294"/>
      <c r="D7" s="295"/>
      <c r="E7" s="293" t="s">
        <v>206</v>
      </c>
      <c r="F7" s="294"/>
      <c r="G7" s="294"/>
      <c r="H7" s="294"/>
      <c r="I7" s="294"/>
      <c r="J7" s="294"/>
      <c r="K7" s="294"/>
      <c r="L7" s="294"/>
      <c r="M7" s="294"/>
      <c r="N7" s="294"/>
      <c r="O7" s="294"/>
      <c r="P7" s="294"/>
      <c r="Q7" s="294"/>
      <c r="R7" s="294"/>
      <c r="S7" s="294"/>
      <c r="T7" s="294"/>
      <c r="U7" s="294"/>
      <c r="V7" s="295"/>
      <c r="W7" s="293" t="str">
        <f ca="1">TemplateRef</f>
        <v>AEF1007</v>
      </c>
      <c r="X7" s="294"/>
      <c r="Y7" s="294"/>
      <c r="Z7" s="294"/>
      <c r="AA7" s="295"/>
      <c r="AB7" s="293" t="s">
        <v>205</v>
      </c>
      <c r="AC7" s="294"/>
      <c r="AD7" s="295"/>
      <c r="AE7" s="293" t="s">
        <v>205</v>
      </c>
      <c r="AF7" s="294"/>
      <c r="AG7" s="295"/>
      <c r="AH7" s="102"/>
    </row>
    <row r="8" spans="1:34">
      <c r="A8" s="282" t="s">
        <v>143</v>
      </c>
      <c r="B8" s="283"/>
      <c r="C8" s="283"/>
      <c r="D8" s="283"/>
      <c r="E8" s="283"/>
      <c r="F8" s="283"/>
      <c r="G8" s="283"/>
      <c r="H8" s="283"/>
      <c r="I8" s="283"/>
      <c r="J8" s="283"/>
      <c r="K8" s="283"/>
      <c r="L8" s="283"/>
      <c r="M8" s="283"/>
      <c r="N8" s="283"/>
      <c r="O8" s="283"/>
      <c r="P8" s="283"/>
      <c r="Q8" s="283"/>
      <c r="R8" s="283"/>
      <c r="S8" s="283"/>
      <c r="T8" s="283"/>
      <c r="U8" s="283"/>
      <c r="V8" s="283"/>
      <c r="W8" s="283"/>
      <c r="X8" s="283"/>
      <c r="Y8" s="283"/>
      <c r="Z8" s="283"/>
      <c r="AA8" s="283"/>
      <c r="AB8" s="283"/>
      <c r="AC8" s="283"/>
      <c r="AD8" s="283"/>
      <c r="AE8" s="283"/>
      <c r="AF8" s="283"/>
      <c r="AG8" s="284"/>
      <c r="AH8" s="105"/>
    </row>
    <row r="9" spans="1:34">
      <c r="A9" s="285" t="s">
        <v>144</v>
      </c>
      <c r="B9" s="286"/>
      <c r="C9" s="286"/>
      <c r="D9" s="286"/>
      <c r="E9" s="286"/>
      <c r="F9" s="286"/>
      <c r="G9" s="286"/>
      <c r="H9" s="286"/>
      <c r="I9" s="286"/>
      <c r="J9" s="286"/>
      <c r="K9" s="286"/>
      <c r="L9" s="286"/>
      <c r="M9" s="286"/>
      <c r="N9" s="286"/>
      <c r="O9" s="286"/>
      <c r="P9" s="286"/>
      <c r="Q9" s="286"/>
      <c r="R9" s="286"/>
      <c r="S9" s="286"/>
      <c r="T9" s="286"/>
      <c r="U9" s="286"/>
      <c r="V9" s="286"/>
      <c r="W9" s="286"/>
      <c r="X9" s="286"/>
      <c r="Y9" s="286"/>
      <c r="Z9" s="286"/>
      <c r="AA9" s="286"/>
      <c r="AB9" s="286"/>
      <c r="AC9" s="286"/>
      <c r="AD9" s="286"/>
      <c r="AE9" s="286"/>
      <c r="AF9" s="286"/>
      <c r="AG9" s="287"/>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145</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146</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270" t="s">
        <v>147</v>
      </c>
      <c r="C15" s="288"/>
      <c r="D15" s="288"/>
      <c r="E15" s="288"/>
      <c r="F15" s="288"/>
      <c r="G15" s="270" t="s">
        <v>148</v>
      </c>
      <c r="H15" s="270"/>
      <c r="I15" s="270"/>
      <c r="J15" s="270"/>
      <c r="K15" s="270"/>
      <c r="L15" s="270"/>
      <c r="M15" s="270"/>
      <c r="N15" s="270"/>
      <c r="O15" s="270"/>
      <c r="P15" s="270"/>
      <c r="Q15" s="270"/>
      <c r="R15" s="270"/>
      <c r="S15" s="270"/>
      <c r="T15" s="270"/>
      <c r="U15" s="270"/>
      <c r="V15" s="270"/>
      <c r="W15" s="270"/>
      <c r="X15" s="270"/>
      <c r="Y15" s="270"/>
      <c r="Z15" s="270"/>
      <c r="AA15" s="270"/>
      <c r="AB15" s="270"/>
      <c r="AC15" s="270"/>
      <c r="AD15" s="270"/>
      <c r="AE15" s="270"/>
      <c r="AF15" s="270"/>
      <c r="AG15" s="105"/>
      <c r="AH15" s="105"/>
    </row>
    <row r="16" spans="1:34" ht="55.5" customHeight="1">
      <c r="A16" s="105"/>
      <c r="B16" s="289" t="s">
        <v>149</v>
      </c>
      <c r="C16" s="289"/>
      <c r="D16" s="289"/>
      <c r="E16" s="289"/>
      <c r="F16" s="289"/>
      <c r="G16" s="267" t="s">
        <v>150</v>
      </c>
      <c r="H16" s="267"/>
      <c r="I16" s="267"/>
      <c r="J16" s="267"/>
      <c r="K16" s="267"/>
      <c r="L16" s="267"/>
      <c r="M16" s="267"/>
      <c r="N16" s="267"/>
      <c r="O16" s="267"/>
      <c r="P16" s="267"/>
      <c r="Q16" s="267"/>
      <c r="R16" s="267"/>
      <c r="S16" s="267"/>
      <c r="T16" s="267"/>
      <c r="U16" s="267"/>
      <c r="V16" s="267"/>
      <c r="W16" s="267"/>
      <c r="X16" s="267"/>
      <c r="Y16" s="267"/>
      <c r="Z16" s="267"/>
      <c r="AA16" s="267"/>
      <c r="AB16" s="267"/>
      <c r="AC16" s="267"/>
      <c r="AD16" s="267"/>
      <c r="AE16" s="267"/>
      <c r="AF16" s="267"/>
      <c r="AG16" s="105"/>
      <c r="AH16" s="105"/>
    </row>
    <row r="17" spans="1:34">
      <c r="A17" s="105"/>
      <c r="B17" s="289" t="s">
        <v>151</v>
      </c>
      <c r="C17" s="289"/>
      <c r="D17" s="289"/>
      <c r="E17" s="289"/>
      <c r="F17" s="289"/>
      <c r="G17" s="267" t="s">
        <v>152</v>
      </c>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105"/>
      <c r="AH17" s="105"/>
    </row>
    <row r="18" spans="1:34" ht="15" customHeight="1">
      <c r="A18" s="105"/>
      <c r="B18" s="289" t="s">
        <v>15</v>
      </c>
      <c r="C18" s="289"/>
      <c r="D18" s="289"/>
      <c r="E18" s="289"/>
      <c r="F18" s="289"/>
      <c r="G18" s="267" t="s">
        <v>153</v>
      </c>
      <c r="H18" s="267"/>
      <c r="I18" s="267"/>
      <c r="J18" s="267"/>
      <c r="K18" s="267"/>
      <c r="L18" s="267"/>
      <c r="M18" s="267"/>
      <c r="N18" s="267"/>
      <c r="O18" s="267"/>
      <c r="P18" s="267"/>
      <c r="Q18" s="267"/>
      <c r="R18" s="267"/>
      <c r="S18" s="267"/>
      <c r="T18" s="267"/>
      <c r="U18" s="267"/>
      <c r="V18" s="267"/>
      <c r="W18" s="267"/>
      <c r="X18" s="267"/>
      <c r="Y18" s="267"/>
      <c r="Z18" s="267"/>
      <c r="AA18" s="267"/>
      <c r="AB18" s="267"/>
      <c r="AC18" s="267"/>
      <c r="AD18" s="267"/>
      <c r="AE18" s="267"/>
      <c r="AF18" s="267"/>
      <c r="AG18" s="105"/>
      <c r="AH18" s="105"/>
    </row>
    <row r="19" spans="1:34" ht="24" customHeight="1">
      <c r="A19" s="105"/>
      <c r="B19" s="279" t="s">
        <v>188</v>
      </c>
      <c r="C19" s="279"/>
      <c r="D19" s="279"/>
      <c r="E19" s="279"/>
      <c r="F19" s="279"/>
      <c r="G19" s="267" t="s">
        <v>153</v>
      </c>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c r="AG19" s="105"/>
      <c r="AH19" s="105"/>
    </row>
    <row r="20" spans="1:34">
      <c r="A20" s="105"/>
      <c r="B20" s="296" t="s">
        <v>189</v>
      </c>
      <c r="C20" s="296"/>
      <c r="D20" s="296"/>
      <c r="E20" s="296"/>
      <c r="F20" s="296"/>
      <c r="G20" s="267" t="s">
        <v>153</v>
      </c>
      <c r="H20" s="267"/>
      <c r="I20" s="267"/>
      <c r="J20" s="267"/>
      <c r="K20" s="267"/>
      <c r="L20" s="267"/>
      <c r="M20" s="267"/>
      <c r="N20" s="267"/>
      <c r="O20" s="267"/>
      <c r="P20" s="267"/>
      <c r="Q20" s="267"/>
      <c r="R20" s="267"/>
      <c r="S20" s="267"/>
      <c r="T20" s="267"/>
      <c r="U20" s="267"/>
      <c r="V20" s="267"/>
      <c r="W20" s="267"/>
      <c r="X20" s="267"/>
      <c r="Y20" s="267"/>
      <c r="Z20" s="267"/>
      <c r="AA20" s="267"/>
      <c r="AB20" s="267"/>
      <c r="AC20" s="267"/>
      <c r="AD20" s="267"/>
      <c r="AE20" s="267"/>
      <c r="AF20" s="267"/>
      <c r="AG20" s="105"/>
      <c r="AH20" s="105"/>
    </row>
    <row r="21" spans="1:34" ht="35.25" customHeight="1">
      <c r="A21" s="105"/>
      <c r="B21" s="280" t="s">
        <v>258</v>
      </c>
      <c r="C21" s="280"/>
      <c r="D21" s="280"/>
      <c r="E21" s="280"/>
      <c r="F21" s="280"/>
      <c r="G21" s="267" t="s">
        <v>259</v>
      </c>
      <c r="H21" s="267"/>
      <c r="I21" s="267"/>
      <c r="J21" s="267"/>
      <c r="K21" s="267"/>
      <c r="L21" s="267"/>
      <c r="M21" s="267"/>
      <c r="N21" s="267"/>
      <c r="O21" s="267"/>
      <c r="P21" s="267"/>
      <c r="Q21" s="267"/>
      <c r="R21" s="267"/>
      <c r="S21" s="267"/>
      <c r="T21" s="267"/>
      <c r="U21" s="267"/>
      <c r="V21" s="267"/>
      <c r="W21" s="267"/>
      <c r="X21" s="267"/>
      <c r="Y21" s="267"/>
      <c r="Z21" s="267"/>
      <c r="AA21" s="267"/>
      <c r="AB21" s="267"/>
      <c r="AC21" s="267"/>
      <c r="AD21" s="267"/>
      <c r="AE21" s="267"/>
      <c r="AF21" s="267"/>
      <c r="AG21" s="105"/>
      <c r="AH21" s="105"/>
    </row>
    <row r="22" spans="1:34" ht="28.5" customHeight="1">
      <c r="A22" s="105"/>
      <c r="B22" s="280" t="s">
        <v>260</v>
      </c>
      <c r="C22" s="280"/>
      <c r="D22" s="280"/>
      <c r="E22" s="280"/>
      <c r="F22" s="280"/>
      <c r="G22" s="267" t="s">
        <v>261</v>
      </c>
      <c r="H22" s="267"/>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105"/>
      <c r="AH22" s="105"/>
    </row>
    <row r="23" spans="1:34" ht="22.5" customHeight="1">
      <c r="A23" s="105"/>
      <c r="B23" s="280" t="s">
        <v>262</v>
      </c>
      <c r="C23" s="280"/>
      <c r="D23" s="280"/>
      <c r="E23" s="280"/>
      <c r="F23" s="280"/>
      <c r="G23" s="267" t="s">
        <v>263</v>
      </c>
      <c r="H23" s="267"/>
      <c r="I23" s="267"/>
      <c r="J23" s="267"/>
      <c r="K23" s="267"/>
      <c r="L23" s="267"/>
      <c r="M23" s="267"/>
      <c r="N23" s="267"/>
      <c r="O23" s="267"/>
      <c r="P23" s="267"/>
      <c r="Q23" s="267"/>
      <c r="R23" s="267"/>
      <c r="S23" s="267"/>
      <c r="T23" s="267"/>
      <c r="U23" s="267"/>
      <c r="V23" s="267"/>
      <c r="W23" s="267"/>
      <c r="X23" s="267"/>
      <c r="Y23" s="267"/>
      <c r="Z23" s="267"/>
      <c r="AA23" s="267"/>
      <c r="AB23" s="267"/>
      <c r="AC23" s="267"/>
      <c r="AD23" s="267"/>
      <c r="AE23" s="267"/>
      <c r="AF23" s="267"/>
      <c r="AG23" s="105"/>
      <c r="AH23" s="105"/>
    </row>
    <row r="24" spans="1:34" ht="45" customHeight="1">
      <c r="A24" s="105"/>
      <c r="B24" s="281" t="s">
        <v>190</v>
      </c>
      <c r="C24" s="281"/>
      <c r="D24" s="281"/>
      <c r="E24" s="281"/>
      <c r="F24" s="281"/>
      <c r="G24" s="267" t="s">
        <v>290</v>
      </c>
      <c r="H24" s="267"/>
      <c r="I24" s="267"/>
      <c r="J24" s="267"/>
      <c r="K24" s="267"/>
      <c r="L24" s="267"/>
      <c r="M24" s="267"/>
      <c r="N24" s="267"/>
      <c r="O24" s="267"/>
      <c r="P24" s="267"/>
      <c r="Q24" s="267"/>
      <c r="R24" s="267"/>
      <c r="S24" s="267"/>
      <c r="T24" s="267"/>
      <c r="U24" s="267"/>
      <c r="V24" s="267"/>
      <c r="W24" s="267"/>
      <c r="X24" s="267"/>
      <c r="Y24" s="267"/>
      <c r="Z24" s="267"/>
      <c r="AA24" s="267"/>
      <c r="AB24" s="267"/>
      <c r="AC24" s="267"/>
      <c r="AD24" s="267"/>
      <c r="AE24" s="267"/>
      <c r="AF24" s="267"/>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154</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270" t="s">
        <v>34</v>
      </c>
      <c r="C27" s="272"/>
      <c r="D27" s="272"/>
      <c r="E27" s="270" t="s">
        <v>92</v>
      </c>
      <c r="F27" s="270"/>
      <c r="G27" s="270"/>
      <c r="H27" s="270"/>
      <c r="I27" s="270" t="s">
        <v>155</v>
      </c>
      <c r="J27" s="272"/>
      <c r="K27" s="272"/>
      <c r="L27" s="272"/>
      <c r="M27" s="272"/>
      <c r="N27" s="272"/>
      <c r="O27" s="272"/>
      <c r="P27" s="272"/>
      <c r="Q27" s="272"/>
      <c r="R27" s="270" t="s">
        <v>156</v>
      </c>
      <c r="S27" s="270"/>
      <c r="T27" s="270"/>
      <c r="U27" s="270"/>
      <c r="V27" s="270"/>
      <c r="W27" s="270"/>
      <c r="X27" s="270"/>
      <c r="Y27" s="270"/>
      <c r="Z27" s="270"/>
      <c r="AA27" s="270"/>
      <c r="AB27" s="270"/>
      <c r="AC27" s="270"/>
      <c r="AD27" s="270"/>
      <c r="AE27" s="270"/>
      <c r="AF27" s="270"/>
      <c r="AG27" s="105"/>
      <c r="AH27" s="105"/>
    </row>
    <row r="28" spans="1:34" ht="40.5" customHeight="1">
      <c r="A28" s="105"/>
      <c r="B28" s="260" t="s">
        <v>336</v>
      </c>
      <c r="C28" s="261" t="s">
        <v>3</v>
      </c>
      <c r="D28" s="262" t="s">
        <v>3</v>
      </c>
      <c r="E28" s="273"/>
      <c r="F28" s="274"/>
      <c r="G28" s="274"/>
      <c r="H28" s="275"/>
      <c r="I28" s="267"/>
      <c r="J28" s="276"/>
      <c r="K28" s="276"/>
      <c r="L28" s="276"/>
      <c r="M28" s="276"/>
      <c r="N28" s="276"/>
      <c r="O28" s="276"/>
      <c r="P28" s="276"/>
      <c r="Q28" s="276"/>
      <c r="R28" s="267" t="s">
        <v>14</v>
      </c>
      <c r="S28" s="267" t="s">
        <v>14</v>
      </c>
      <c r="T28" s="267" t="s">
        <v>14</v>
      </c>
      <c r="U28" s="267" t="s">
        <v>14</v>
      </c>
      <c r="V28" s="267" t="s">
        <v>14</v>
      </c>
      <c r="W28" s="267" t="s">
        <v>14</v>
      </c>
      <c r="X28" s="267" t="s">
        <v>14</v>
      </c>
      <c r="Y28" s="267" t="s">
        <v>14</v>
      </c>
      <c r="Z28" s="267" t="s">
        <v>14</v>
      </c>
      <c r="AA28" s="267" t="s">
        <v>14</v>
      </c>
      <c r="AB28" s="267" t="s">
        <v>14</v>
      </c>
      <c r="AC28" s="267" t="s">
        <v>14</v>
      </c>
      <c r="AD28" s="267" t="s">
        <v>14</v>
      </c>
      <c r="AE28" s="267" t="s">
        <v>14</v>
      </c>
      <c r="AF28" s="267" t="s">
        <v>14</v>
      </c>
      <c r="AG28" s="105"/>
      <c r="AH28" s="105"/>
    </row>
    <row r="29" spans="1:34" ht="60" customHeight="1">
      <c r="A29" s="105"/>
      <c r="B29" s="260" t="s">
        <v>18</v>
      </c>
      <c r="C29" s="261" t="s">
        <v>18</v>
      </c>
      <c r="D29" s="262" t="s">
        <v>18</v>
      </c>
      <c r="E29" s="273">
        <v>40591.490486111114</v>
      </c>
      <c r="F29" s="274">
        <v>40591.490486111114</v>
      </c>
      <c r="G29" s="274">
        <v>40591.490486111114</v>
      </c>
      <c r="H29" s="275">
        <v>40591.490486111114</v>
      </c>
      <c r="I29" s="267" t="s">
        <v>4</v>
      </c>
      <c r="J29" s="276" t="s">
        <v>4</v>
      </c>
      <c r="K29" s="276" t="s">
        <v>4</v>
      </c>
      <c r="L29" s="276" t="s">
        <v>4</v>
      </c>
      <c r="M29" s="276" t="s">
        <v>4</v>
      </c>
      <c r="N29" s="276" t="s">
        <v>4</v>
      </c>
      <c r="O29" s="276" t="s">
        <v>4</v>
      </c>
      <c r="P29" s="276" t="s">
        <v>4</v>
      </c>
      <c r="Q29" s="276" t="s">
        <v>4</v>
      </c>
      <c r="R29" s="267" t="s">
        <v>35</v>
      </c>
      <c r="S29" s="267" t="s">
        <v>35</v>
      </c>
      <c r="T29" s="267" t="s">
        <v>35</v>
      </c>
      <c r="U29" s="267" t="s">
        <v>35</v>
      </c>
      <c r="V29" s="267" t="s">
        <v>35</v>
      </c>
      <c r="W29" s="267" t="s">
        <v>35</v>
      </c>
      <c r="X29" s="267" t="s">
        <v>35</v>
      </c>
      <c r="Y29" s="267" t="s">
        <v>35</v>
      </c>
      <c r="Z29" s="267" t="s">
        <v>35</v>
      </c>
      <c r="AA29" s="267" t="s">
        <v>35</v>
      </c>
      <c r="AB29" s="267" t="s">
        <v>35</v>
      </c>
      <c r="AC29" s="267" t="s">
        <v>35</v>
      </c>
      <c r="AD29" s="267" t="s">
        <v>35</v>
      </c>
      <c r="AE29" s="267" t="s">
        <v>35</v>
      </c>
      <c r="AF29" s="267" t="s">
        <v>35</v>
      </c>
      <c r="AG29" s="105"/>
      <c r="AH29" s="105"/>
    </row>
    <row r="30" spans="1:34" ht="291" customHeight="1">
      <c r="A30" s="105"/>
      <c r="B30" s="260" t="s">
        <v>98</v>
      </c>
      <c r="C30" s="261" t="s">
        <v>98</v>
      </c>
      <c r="D30" s="262" t="s">
        <v>98</v>
      </c>
      <c r="E30" s="273">
        <v>41071.656145833331</v>
      </c>
      <c r="F30" s="274">
        <v>41071.656145833331</v>
      </c>
      <c r="G30" s="274">
        <v>41071.656145833331</v>
      </c>
      <c r="H30" s="275">
        <v>41071.656145833331</v>
      </c>
      <c r="I30" s="267" t="s">
        <v>4</v>
      </c>
      <c r="J30" s="276" t="s">
        <v>4</v>
      </c>
      <c r="K30" s="276" t="s">
        <v>4</v>
      </c>
      <c r="L30" s="276" t="s">
        <v>4</v>
      </c>
      <c r="M30" s="276" t="s">
        <v>4</v>
      </c>
      <c r="N30" s="276" t="s">
        <v>4</v>
      </c>
      <c r="O30" s="276" t="s">
        <v>4</v>
      </c>
      <c r="P30" s="276" t="s">
        <v>4</v>
      </c>
      <c r="Q30" s="276" t="s">
        <v>4</v>
      </c>
      <c r="R30" s="267" t="s">
        <v>129</v>
      </c>
      <c r="S30" s="267" t="s">
        <v>129</v>
      </c>
      <c r="T30" s="267" t="s">
        <v>129</v>
      </c>
      <c r="U30" s="267" t="s">
        <v>129</v>
      </c>
      <c r="V30" s="267" t="s">
        <v>129</v>
      </c>
      <c r="W30" s="267" t="s">
        <v>129</v>
      </c>
      <c r="X30" s="267" t="s">
        <v>129</v>
      </c>
      <c r="Y30" s="267" t="s">
        <v>129</v>
      </c>
      <c r="Z30" s="267" t="s">
        <v>129</v>
      </c>
      <c r="AA30" s="267" t="s">
        <v>129</v>
      </c>
      <c r="AB30" s="267" t="s">
        <v>129</v>
      </c>
      <c r="AC30" s="267" t="s">
        <v>129</v>
      </c>
      <c r="AD30" s="267" t="s">
        <v>129</v>
      </c>
      <c r="AE30" s="267" t="s">
        <v>129</v>
      </c>
      <c r="AF30" s="267" t="s">
        <v>129</v>
      </c>
      <c r="AG30" s="105"/>
      <c r="AH30" s="105"/>
    </row>
    <row r="31" spans="1:34" ht="40.5" customHeight="1">
      <c r="A31" s="105"/>
      <c r="B31" s="260" t="s">
        <v>86</v>
      </c>
      <c r="C31" s="261" t="s">
        <v>86</v>
      </c>
      <c r="D31" s="262" t="s">
        <v>86</v>
      </c>
      <c r="E31" s="273">
        <v>41071.656145833331</v>
      </c>
      <c r="F31" s="274">
        <v>41071.656145833331</v>
      </c>
      <c r="G31" s="274">
        <v>41071.656145833331</v>
      </c>
      <c r="H31" s="275">
        <v>41071.656145833331</v>
      </c>
      <c r="I31" s="267" t="s">
        <v>87</v>
      </c>
      <c r="J31" s="276" t="s">
        <v>87</v>
      </c>
      <c r="K31" s="276" t="s">
        <v>87</v>
      </c>
      <c r="L31" s="276" t="s">
        <v>87</v>
      </c>
      <c r="M31" s="276" t="s">
        <v>87</v>
      </c>
      <c r="N31" s="276" t="s">
        <v>87</v>
      </c>
      <c r="O31" s="276" t="s">
        <v>87</v>
      </c>
      <c r="P31" s="276" t="s">
        <v>87</v>
      </c>
      <c r="Q31" s="276" t="s">
        <v>87</v>
      </c>
      <c r="R31" s="267" t="s">
        <v>100</v>
      </c>
      <c r="S31" s="267" t="s">
        <v>100</v>
      </c>
      <c r="T31" s="267" t="s">
        <v>100</v>
      </c>
      <c r="U31" s="267" t="s">
        <v>100</v>
      </c>
      <c r="V31" s="267" t="s">
        <v>100</v>
      </c>
      <c r="W31" s="267" t="s">
        <v>100</v>
      </c>
      <c r="X31" s="267" t="s">
        <v>100</v>
      </c>
      <c r="Y31" s="267" t="s">
        <v>100</v>
      </c>
      <c r="Z31" s="267" t="s">
        <v>100</v>
      </c>
      <c r="AA31" s="267" t="s">
        <v>100</v>
      </c>
      <c r="AB31" s="267" t="s">
        <v>100</v>
      </c>
      <c r="AC31" s="267" t="s">
        <v>100</v>
      </c>
      <c r="AD31" s="267" t="s">
        <v>100</v>
      </c>
      <c r="AE31" s="267" t="s">
        <v>100</v>
      </c>
      <c r="AF31" s="267" t="s">
        <v>100</v>
      </c>
      <c r="AG31" s="105"/>
      <c r="AH31" s="105"/>
    </row>
    <row r="32" spans="1:34" ht="121.5" customHeight="1">
      <c r="A32" s="105"/>
      <c r="B32" s="260"/>
      <c r="C32" s="261"/>
      <c r="D32" s="262"/>
      <c r="E32" s="273">
        <v>42195</v>
      </c>
      <c r="F32" s="274">
        <v>42195</v>
      </c>
      <c r="G32" s="274">
        <v>42195</v>
      </c>
      <c r="H32" s="275">
        <v>42195</v>
      </c>
      <c r="I32" s="267" t="s">
        <v>99</v>
      </c>
      <c r="J32" s="276" t="s">
        <v>99</v>
      </c>
      <c r="K32" s="276" t="s">
        <v>99</v>
      </c>
      <c r="L32" s="276" t="s">
        <v>99</v>
      </c>
      <c r="M32" s="276" t="s">
        <v>99</v>
      </c>
      <c r="N32" s="276" t="s">
        <v>99</v>
      </c>
      <c r="O32" s="276" t="s">
        <v>99</v>
      </c>
      <c r="P32" s="276" t="s">
        <v>99</v>
      </c>
      <c r="Q32" s="276" t="s">
        <v>99</v>
      </c>
      <c r="R32" s="267" t="s">
        <v>102</v>
      </c>
      <c r="S32" s="267" t="s">
        <v>102</v>
      </c>
      <c r="T32" s="267" t="s">
        <v>102</v>
      </c>
      <c r="U32" s="267" t="s">
        <v>102</v>
      </c>
      <c r="V32" s="267" t="s">
        <v>102</v>
      </c>
      <c r="W32" s="267" t="s">
        <v>102</v>
      </c>
      <c r="X32" s="267" t="s">
        <v>102</v>
      </c>
      <c r="Y32" s="267" t="s">
        <v>102</v>
      </c>
      <c r="Z32" s="267" t="s">
        <v>102</v>
      </c>
      <c r="AA32" s="267" t="s">
        <v>102</v>
      </c>
      <c r="AB32" s="267" t="s">
        <v>102</v>
      </c>
      <c r="AC32" s="267" t="s">
        <v>102</v>
      </c>
      <c r="AD32" s="267" t="s">
        <v>102</v>
      </c>
      <c r="AE32" s="267" t="s">
        <v>102</v>
      </c>
      <c r="AF32" s="267" t="s">
        <v>102</v>
      </c>
      <c r="AG32" s="105"/>
      <c r="AH32" s="105"/>
    </row>
    <row r="33" spans="1:34" ht="114" customHeight="1">
      <c r="A33" s="105"/>
      <c r="B33" s="260" t="s">
        <v>103</v>
      </c>
      <c r="C33" s="261" t="s">
        <v>103</v>
      </c>
      <c r="D33" s="262" t="s">
        <v>103</v>
      </c>
      <c r="E33" s="273">
        <v>42391.634837962964</v>
      </c>
      <c r="F33" s="274">
        <v>42391.634837962964</v>
      </c>
      <c r="G33" s="274">
        <v>42391.634837962964</v>
      </c>
      <c r="H33" s="275">
        <v>42391.634837962964</v>
      </c>
      <c r="I33" s="267" t="s">
        <v>104</v>
      </c>
      <c r="J33" s="276" t="s">
        <v>104</v>
      </c>
      <c r="K33" s="276" t="s">
        <v>104</v>
      </c>
      <c r="L33" s="276" t="s">
        <v>104</v>
      </c>
      <c r="M33" s="276" t="s">
        <v>104</v>
      </c>
      <c r="N33" s="276" t="s">
        <v>104</v>
      </c>
      <c r="O33" s="276" t="s">
        <v>104</v>
      </c>
      <c r="P33" s="276" t="s">
        <v>104</v>
      </c>
      <c r="Q33" s="276" t="s">
        <v>104</v>
      </c>
      <c r="R33" s="267" t="s">
        <v>128</v>
      </c>
      <c r="S33" s="267" t="s">
        <v>128</v>
      </c>
      <c r="T33" s="267" t="s">
        <v>128</v>
      </c>
      <c r="U33" s="267" t="s">
        <v>128</v>
      </c>
      <c r="V33" s="267" t="s">
        <v>128</v>
      </c>
      <c r="W33" s="267" t="s">
        <v>128</v>
      </c>
      <c r="X33" s="267" t="s">
        <v>128</v>
      </c>
      <c r="Y33" s="267" t="s">
        <v>128</v>
      </c>
      <c r="Z33" s="267" t="s">
        <v>128</v>
      </c>
      <c r="AA33" s="267" t="s">
        <v>128</v>
      </c>
      <c r="AB33" s="267" t="s">
        <v>128</v>
      </c>
      <c r="AC33" s="267" t="s">
        <v>128</v>
      </c>
      <c r="AD33" s="267" t="s">
        <v>128</v>
      </c>
      <c r="AE33" s="267" t="s">
        <v>128</v>
      </c>
      <c r="AF33" s="267" t="s">
        <v>128</v>
      </c>
      <c r="AG33" s="105"/>
      <c r="AH33" s="105"/>
    </row>
    <row r="34" spans="1:34" ht="40.5" customHeight="1">
      <c r="A34" s="105"/>
      <c r="B34" s="277" t="s">
        <v>330</v>
      </c>
      <c r="C34" s="278"/>
      <c r="D34" s="278"/>
      <c r="E34" s="273"/>
      <c r="F34" s="274"/>
      <c r="G34" s="274"/>
      <c r="H34" s="275"/>
      <c r="I34" s="267" t="s">
        <v>321</v>
      </c>
      <c r="J34" s="276"/>
      <c r="K34" s="276"/>
      <c r="L34" s="276"/>
      <c r="M34" s="276"/>
      <c r="N34" s="276"/>
      <c r="O34" s="276"/>
      <c r="P34" s="276"/>
      <c r="Q34" s="276"/>
      <c r="R34" s="267" t="s">
        <v>322</v>
      </c>
      <c r="S34" s="267"/>
      <c r="T34" s="267"/>
      <c r="U34" s="267"/>
      <c r="V34" s="267"/>
      <c r="W34" s="267"/>
      <c r="X34" s="267"/>
      <c r="Y34" s="267"/>
      <c r="Z34" s="267"/>
      <c r="AA34" s="267"/>
      <c r="AB34" s="267"/>
      <c r="AC34" s="267"/>
      <c r="AD34" s="267"/>
      <c r="AE34" s="267"/>
      <c r="AF34" s="267"/>
      <c r="AG34" s="105"/>
      <c r="AH34" s="105"/>
    </row>
    <row r="35" spans="1:34" ht="40.5" customHeight="1">
      <c r="A35" s="105"/>
      <c r="B35" s="277" t="s">
        <v>331</v>
      </c>
      <c r="C35" s="278"/>
      <c r="D35" s="278"/>
      <c r="E35" s="273"/>
      <c r="F35" s="274"/>
      <c r="G35" s="274"/>
      <c r="H35" s="275"/>
      <c r="I35" s="267" t="s">
        <v>321</v>
      </c>
      <c r="J35" s="276"/>
      <c r="K35" s="276"/>
      <c r="L35" s="276"/>
      <c r="M35" s="276"/>
      <c r="N35" s="276"/>
      <c r="O35" s="276"/>
      <c r="P35" s="276"/>
      <c r="Q35" s="276"/>
      <c r="R35" s="267" t="s">
        <v>323</v>
      </c>
      <c r="S35" s="267"/>
      <c r="T35" s="267"/>
      <c r="U35" s="267"/>
      <c r="V35" s="267"/>
      <c r="W35" s="267"/>
      <c r="X35" s="267"/>
      <c r="Y35" s="267"/>
      <c r="Z35" s="267"/>
      <c r="AA35" s="267"/>
      <c r="AB35" s="267"/>
      <c r="AC35" s="267"/>
      <c r="AD35" s="267"/>
      <c r="AE35" s="267"/>
      <c r="AF35" s="267"/>
      <c r="AG35" s="105"/>
      <c r="AH35" s="105"/>
    </row>
    <row r="36" spans="1:34" ht="40.5" customHeight="1">
      <c r="A36" s="105"/>
      <c r="B36" s="277" t="s">
        <v>332</v>
      </c>
      <c r="C36" s="278"/>
      <c r="D36" s="278"/>
      <c r="E36" s="273"/>
      <c r="F36" s="274"/>
      <c r="G36" s="274"/>
      <c r="H36" s="275"/>
      <c r="I36" s="267" t="s">
        <v>321</v>
      </c>
      <c r="J36" s="276"/>
      <c r="K36" s="276"/>
      <c r="L36" s="276"/>
      <c r="M36" s="276"/>
      <c r="N36" s="276"/>
      <c r="O36" s="276"/>
      <c r="P36" s="276"/>
      <c r="Q36" s="276"/>
      <c r="R36" s="267" t="s">
        <v>324</v>
      </c>
      <c r="S36" s="267"/>
      <c r="T36" s="267"/>
      <c r="U36" s="267"/>
      <c r="V36" s="267"/>
      <c r="W36" s="267"/>
      <c r="X36" s="267"/>
      <c r="Y36" s="267"/>
      <c r="Z36" s="267"/>
      <c r="AA36" s="267"/>
      <c r="AB36" s="267"/>
      <c r="AC36" s="267"/>
      <c r="AD36" s="267"/>
      <c r="AE36" s="267"/>
      <c r="AF36" s="267"/>
      <c r="AG36" s="105"/>
      <c r="AH36" s="105"/>
    </row>
    <row r="37" spans="1:34" ht="102" customHeight="1">
      <c r="A37" s="105"/>
      <c r="B37" s="277" t="s">
        <v>333</v>
      </c>
      <c r="C37" s="278"/>
      <c r="D37" s="278"/>
      <c r="E37" s="273"/>
      <c r="F37" s="274"/>
      <c r="G37" s="274"/>
      <c r="H37" s="275"/>
      <c r="I37" s="267" t="s">
        <v>321</v>
      </c>
      <c r="J37" s="276"/>
      <c r="K37" s="276"/>
      <c r="L37" s="276"/>
      <c r="M37" s="276"/>
      <c r="N37" s="276"/>
      <c r="O37" s="276"/>
      <c r="P37" s="276"/>
      <c r="Q37" s="276"/>
      <c r="R37" s="267" t="s">
        <v>325</v>
      </c>
      <c r="S37" s="267"/>
      <c r="T37" s="267"/>
      <c r="U37" s="267"/>
      <c r="V37" s="267"/>
      <c r="W37" s="267"/>
      <c r="X37" s="267"/>
      <c r="Y37" s="267"/>
      <c r="Z37" s="267"/>
      <c r="AA37" s="267"/>
      <c r="AB37" s="267"/>
      <c r="AC37" s="267"/>
      <c r="AD37" s="267"/>
      <c r="AE37" s="267"/>
      <c r="AF37" s="267"/>
      <c r="AG37" s="105"/>
      <c r="AH37" s="105"/>
    </row>
    <row r="38" spans="1:34" ht="217.5" customHeight="1">
      <c r="A38" s="105"/>
      <c r="B38" s="277" t="s">
        <v>334</v>
      </c>
      <c r="C38" s="278"/>
      <c r="D38" s="278"/>
      <c r="E38" s="273"/>
      <c r="F38" s="274"/>
      <c r="G38" s="274"/>
      <c r="H38" s="275"/>
      <c r="I38" s="267" t="s">
        <v>321</v>
      </c>
      <c r="J38" s="276"/>
      <c r="K38" s="276"/>
      <c r="L38" s="276"/>
      <c r="M38" s="276"/>
      <c r="N38" s="276"/>
      <c r="O38" s="276"/>
      <c r="P38" s="276"/>
      <c r="Q38" s="276"/>
      <c r="R38" s="267" t="s">
        <v>326</v>
      </c>
      <c r="S38" s="267"/>
      <c r="T38" s="267"/>
      <c r="U38" s="267"/>
      <c r="V38" s="267"/>
      <c r="W38" s="267"/>
      <c r="X38" s="267"/>
      <c r="Y38" s="267"/>
      <c r="Z38" s="267"/>
      <c r="AA38" s="267"/>
      <c r="AB38" s="267"/>
      <c r="AC38" s="267"/>
      <c r="AD38" s="267"/>
      <c r="AE38" s="267"/>
      <c r="AF38" s="267"/>
      <c r="AG38" s="105"/>
      <c r="AH38" s="105"/>
    </row>
    <row r="39" spans="1:34" ht="40.5" customHeight="1">
      <c r="A39" s="105"/>
      <c r="B39" s="277" t="s">
        <v>335</v>
      </c>
      <c r="C39" s="278"/>
      <c r="D39" s="278"/>
      <c r="E39" s="273"/>
      <c r="F39" s="274"/>
      <c r="G39" s="274"/>
      <c r="H39" s="275"/>
      <c r="I39" s="267" t="s">
        <v>321</v>
      </c>
      <c r="J39" s="276"/>
      <c r="K39" s="276"/>
      <c r="L39" s="276"/>
      <c r="M39" s="276"/>
      <c r="N39" s="276"/>
      <c r="O39" s="276"/>
      <c r="P39" s="276"/>
      <c r="Q39" s="276"/>
      <c r="R39" s="267" t="s">
        <v>327</v>
      </c>
      <c r="S39" s="267"/>
      <c r="T39" s="267"/>
      <c r="U39" s="267"/>
      <c r="V39" s="267"/>
      <c r="W39" s="267"/>
      <c r="X39" s="267"/>
      <c r="Y39" s="267"/>
      <c r="Z39" s="267"/>
      <c r="AA39" s="267"/>
      <c r="AB39" s="267"/>
      <c r="AC39" s="267"/>
      <c r="AD39" s="267"/>
      <c r="AE39" s="267"/>
      <c r="AF39" s="267"/>
      <c r="AG39" s="105"/>
      <c r="AH39" s="105"/>
    </row>
    <row r="40" spans="1:34" ht="69" customHeight="1">
      <c r="A40" s="105"/>
      <c r="B40" s="277" t="s">
        <v>329</v>
      </c>
      <c r="C40" s="278"/>
      <c r="D40" s="278"/>
      <c r="E40" s="273">
        <v>44562</v>
      </c>
      <c r="F40" s="274"/>
      <c r="G40" s="274"/>
      <c r="H40" s="275"/>
      <c r="I40" s="267" t="s">
        <v>321</v>
      </c>
      <c r="J40" s="276"/>
      <c r="K40" s="276"/>
      <c r="L40" s="276"/>
      <c r="M40" s="276"/>
      <c r="N40" s="276"/>
      <c r="O40" s="276"/>
      <c r="P40" s="276"/>
      <c r="Q40" s="276"/>
      <c r="R40" s="267" t="s">
        <v>328</v>
      </c>
      <c r="S40" s="267"/>
      <c r="T40" s="267"/>
      <c r="U40" s="267"/>
      <c r="V40" s="267"/>
      <c r="W40" s="267"/>
      <c r="X40" s="267"/>
      <c r="Y40" s="267"/>
      <c r="Z40" s="267"/>
      <c r="AA40" s="267"/>
      <c r="AB40" s="267"/>
      <c r="AC40" s="267"/>
      <c r="AD40" s="267"/>
      <c r="AE40" s="267"/>
      <c r="AF40" s="267"/>
      <c r="AG40" s="105"/>
      <c r="AH40" s="105"/>
    </row>
    <row r="41" spans="1:34">
      <c r="A41" s="105"/>
      <c r="B41" s="121" t="s">
        <v>157</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158</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159</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270" t="s">
        <v>160</v>
      </c>
      <c r="C46" s="270"/>
      <c r="D46" s="270"/>
      <c r="E46" s="270" t="s">
        <v>161</v>
      </c>
      <c r="F46" s="272"/>
      <c r="G46" s="272"/>
      <c r="H46" s="272"/>
      <c r="I46" s="272"/>
      <c r="J46" s="272"/>
      <c r="K46" s="272"/>
      <c r="L46" s="272"/>
      <c r="M46" s="272"/>
      <c r="N46" s="272"/>
      <c r="O46" s="272"/>
      <c r="P46" s="272"/>
      <c r="Q46" s="272"/>
      <c r="R46" s="272"/>
      <c r="S46" s="272"/>
      <c r="T46" s="272"/>
      <c r="U46" s="272"/>
      <c r="V46" s="272"/>
      <c r="W46" s="272"/>
      <c r="X46" s="272"/>
      <c r="Y46" s="270" t="s">
        <v>162</v>
      </c>
      <c r="Z46" s="270"/>
      <c r="AA46" s="270"/>
      <c r="AB46" s="270"/>
      <c r="AC46" s="270"/>
      <c r="AD46" s="270"/>
      <c r="AE46" s="270"/>
      <c r="AF46" s="270"/>
      <c r="AG46" s="105"/>
      <c r="AH46" s="105"/>
    </row>
    <row r="47" spans="1:34">
      <c r="A47" s="105"/>
      <c r="B47" s="269"/>
      <c r="C47" s="269"/>
      <c r="D47" s="269"/>
      <c r="E47" s="267"/>
      <c r="F47" s="268"/>
      <c r="G47" s="268"/>
      <c r="H47" s="268"/>
      <c r="I47" s="268"/>
      <c r="J47" s="268"/>
      <c r="K47" s="268"/>
      <c r="L47" s="268"/>
      <c r="M47" s="268"/>
      <c r="N47" s="268"/>
      <c r="O47" s="268"/>
      <c r="P47" s="268"/>
      <c r="Q47" s="268"/>
      <c r="R47" s="268"/>
      <c r="S47" s="268"/>
      <c r="T47" s="268"/>
      <c r="U47" s="268"/>
      <c r="V47" s="268"/>
      <c r="W47" s="268"/>
      <c r="X47" s="268"/>
      <c r="Y47" s="267"/>
      <c r="Z47" s="268"/>
      <c r="AA47" s="268"/>
      <c r="AB47" s="268"/>
      <c r="AC47" s="268"/>
      <c r="AD47" s="268"/>
      <c r="AE47" s="268"/>
      <c r="AF47" s="268"/>
      <c r="AG47" s="105"/>
      <c r="AH47" s="105"/>
    </row>
    <row r="48" spans="1:34">
      <c r="A48" s="105"/>
      <c r="B48" s="269"/>
      <c r="C48" s="269"/>
      <c r="D48" s="269"/>
      <c r="E48" s="267"/>
      <c r="F48" s="268"/>
      <c r="G48" s="268"/>
      <c r="H48" s="268"/>
      <c r="I48" s="268"/>
      <c r="J48" s="268"/>
      <c r="K48" s="268"/>
      <c r="L48" s="268"/>
      <c r="M48" s="268"/>
      <c r="N48" s="268"/>
      <c r="O48" s="268"/>
      <c r="P48" s="268"/>
      <c r="Q48" s="268"/>
      <c r="R48" s="268"/>
      <c r="S48" s="268"/>
      <c r="T48" s="268"/>
      <c r="U48" s="268"/>
      <c r="V48" s="268"/>
      <c r="W48" s="268"/>
      <c r="X48" s="268"/>
      <c r="Y48" s="267"/>
      <c r="Z48" s="268"/>
      <c r="AA48" s="268"/>
      <c r="AB48" s="268"/>
      <c r="AC48" s="268"/>
      <c r="AD48" s="268"/>
      <c r="AE48" s="268"/>
      <c r="AF48" s="268"/>
      <c r="AG48" s="105"/>
      <c r="AH48" s="105"/>
    </row>
    <row r="49" spans="1:34">
      <c r="A49" s="105"/>
      <c r="B49" s="269"/>
      <c r="C49" s="269"/>
      <c r="D49" s="269"/>
      <c r="E49" s="267"/>
      <c r="F49" s="268"/>
      <c r="G49" s="268"/>
      <c r="H49" s="268"/>
      <c r="I49" s="268"/>
      <c r="J49" s="268"/>
      <c r="K49" s="268"/>
      <c r="L49" s="268"/>
      <c r="M49" s="268"/>
      <c r="N49" s="268"/>
      <c r="O49" s="268"/>
      <c r="P49" s="268"/>
      <c r="Q49" s="268"/>
      <c r="R49" s="268"/>
      <c r="S49" s="268"/>
      <c r="T49" s="268"/>
      <c r="U49" s="268"/>
      <c r="V49" s="268"/>
      <c r="W49" s="268"/>
      <c r="X49" s="268"/>
      <c r="Y49" s="267"/>
      <c r="Z49" s="268"/>
      <c r="AA49" s="268"/>
      <c r="AB49" s="268"/>
      <c r="AC49" s="268"/>
      <c r="AD49" s="268"/>
      <c r="AE49" s="268"/>
      <c r="AF49" s="268"/>
      <c r="AG49" s="105"/>
      <c r="AH49" s="105"/>
    </row>
    <row r="50" spans="1:34">
      <c r="A50" s="105"/>
      <c r="B50" s="269"/>
      <c r="C50" s="269"/>
      <c r="D50" s="269"/>
      <c r="E50" s="267"/>
      <c r="F50" s="268"/>
      <c r="G50" s="268"/>
      <c r="H50" s="268"/>
      <c r="I50" s="268"/>
      <c r="J50" s="268"/>
      <c r="K50" s="268"/>
      <c r="L50" s="268"/>
      <c r="M50" s="268"/>
      <c r="N50" s="268"/>
      <c r="O50" s="268"/>
      <c r="P50" s="268"/>
      <c r="Q50" s="268"/>
      <c r="R50" s="268"/>
      <c r="S50" s="268"/>
      <c r="T50" s="268"/>
      <c r="U50" s="268"/>
      <c r="V50" s="268"/>
      <c r="W50" s="268"/>
      <c r="X50" s="268"/>
      <c r="Y50" s="267"/>
      <c r="Z50" s="268"/>
      <c r="AA50" s="268"/>
      <c r="AB50" s="268"/>
      <c r="AC50" s="268"/>
      <c r="AD50" s="268"/>
      <c r="AE50" s="268"/>
      <c r="AF50" s="268"/>
      <c r="AG50" s="105"/>
      <c r="AH50" s="105"/>
    </row>
    <row r="51" spans="1:34" ht="18.75">
      <c r="A51" s="105"/>
      <c r="B51" s="126" t="s">
        <v>163</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270" t="s">
        <v>160</v>
      </c>
      <c r="C52" s="270"/>
      <c r="D52" s="270"/>
      <c r="E52" s="270" t="s">
        <v>161</v>
      </c>
      <c r="F52" s="272"/>
      <c r="G52" s="272"/>
      <c r="H52" s="272"/>
      <c r="I52" s="272"/>
      <c r="J52" s="272"/>
      <c r="K52" s="272"/>
      <c r="L52" s="272"/>
      <c r="M52" s="272"/>
      <c r="N52" s="272"/>
      <c r="O52" s="272"/>
      <c r="P52" s="272"/>
      <c r="Q52" s="272"/>
      <c r="R52" s="272"/>
      <c r="S52" s="272"/>
      <c r="T52" s="272"/>
      <c r="U52" s="272"/>
      <c r="V52" s="272"/>
      <c r="W52" s="272"/>
      <c r="X52" s="272"/>
      <c r="Y52" s="270" t="s">
        <v>162</v>
      </c>
      <c r="Z52" s="270"/>
      <c r="AA52" s="270"/>
      <c r="AB52" s="270"/>
      <c r="AC52" s="270"/>
      <c r="AD52" s="270"/>
      <c r="AE52" s="270"/>
      <c r="AF52" s="270"/>
      <c r="AG52" s="105"/>
      <c r="AH52" s="105"/>
    </row>
    <row r="53" spans="1:34">
      <c r="A53" s="105"/>
      <c r="B53" s="269"/>
      <c r="C53" s="269"/>
      <c r="D53" s="269"/>
      <c r="E53" s="267"/>
      <c r="F53" s="268"/>
      <c r="G53" s="268"/>
      <c r="H53" s="268"/>
      <c r="I53" s="268"/>
      <c r="J53" s="268"/>
      <c r="K53" s="268"/>
      <c r="L53" s="268"/>
      <c r="M53" s="268"/>
      <c r="N53" s="268"/>
      <c r="O53" s="268"/>
      <c r="P53" s="268"/>
      <c r="Q53" s="268"/>
      <c r="R53" s="268"/>
      <c r="S53" s="268"/>
      <c r="T53" s="268"/>
      <c r="U53" s="268"/>
      <c r="V53" s="268"/>
      <c r="W53" s="268"/>
      <c r="X53" s="268"/>
      <c r="Y53" s="267"/>
      <c r="Z53" s="268"/>
      <c r="AA53" s="268"/>
      <c r="AB53" s="268"/>
      <c r="AC53" s="268"/>
      <c r="AD53" s="268"/>
      <c r="AE53" s="268"/>
      <c r="AF53" s="268"/>
      <c r="AG53" s="105"/>
      <c r="AH53" s="105"/>
    </row>
    <row r="54" spans="1:34">
      <c r="A54" s="105"/>
      <c r="B54" s="269"/>
      <c r="C54" s="269"/>
      <c r="D54" s="269"/>
      <c r="E54" s="267"/>
      <c r="F54" s="268"/>
      <c r="G54" s="268"/>
      <c r="H54" s="268"/>
      <c r="I54" s="268"/>
      <c r="J54" s="268"/>
      <c r="K54" s="268"/>
      <c r="L54" s="268"/>
      <c r="M54" s="268"/>
      <c r="N54" s="268"/>
      <c r="O54" s="268"/>
      <c r="P54" s="268"/>
      <c r="Q54" s="268"/>
      <c r="R54" s="268"/>
      <c r="S54" s="268"/>
      <c r="T54" s="268"/>
      <c r="U54" s="268"/>
      <c r="V54" s="268"/>
      <c r="W54" s="268"/>
      <c r="X54" s="268"/>
      <c r="Y54" s="267"/>
      <c r="Z54" s="268"/>
      <c r="AA54" s="268"/>
      <c r="AB54" s="268"/>
      <c r="AC54" s="268"/>
      <c r="AD54" s="268"/>
      <c r="AE54" s="268"/>
      <c r="AF54" s="268"/>
      <c r="AG54" s="105"/>
      <c r="AH54" s="105"/>
    </row>
    <row r="55" spans="1:34">
      <c r="A55" s="105"/>
      <c r="B55" s="269"/>
      <c r="C55" s="269"/>
      <c r="D55" s="269"/>
      <c r="E55" s="267"/>
      <c r="F55" s="268"/>
      <c r="G55" s="268"/>
      <c r="H55" s="268"/>
      <c r="I55" s="268"/>
      <c r="J55" s="268"/>
      <c r="K55" s="268"/>
      <c r="L55" s="268"/>
      <c r="M55" s="268"/>
      <c r="N55" s="268"/>
      <c r="O55" s="268"/>
      <c r="P55" s="268"/>
      <c r="Q55" s="268"/>
      <c r="R55" s="268"/>
      <c r="S55" s="268"/>
      <c r="T55" s="268"/>
      <c r="U55" s="268"/>
      <c r="V55" s="268"/>
      <c r="W55" s="268"/>
      <c r="X55" s="268"/>
      <c r="Y55" s="267"/>
      <c r="Z55" s="268"/>
      <c r="AA55" s="268"/>
      <c r="AB55" s="268"/>
      <c r="AC55" s="268"/>
      <c r="AD55" s="268"/>
      <c r="AE55" s="268"/>
      <c r="AF55" s="268"/>
      <c r="AG55" s="105"/>
      <c r="AH55" s="105"/>
    </row>
    <row r="56" spans="1:34">
      <c r="A56" s="105"/>
      <c r="B56" s="269"/>
      <c r="C56" s="269"/>
      <c r="D56" s="269"/>
      <c r="E56" s="267"/>
      <c r="F56" s="268"/>
      <c r="G56" s="268"/>
      <c r="H56" s="268"/>
      <c r="I56" s="268"/>
      <c r="J56" s="268"/>
      <c r="K56" s="268"/>
      <c r="L56" s="268"/>
      <c r="M56" s="268"/>
      <c r="N56" s="268"/>
      <c r="O56" s="268"/>
      <c r="P56" s="268"/>
      <c r="Q56" s="268"/>
      <c r="R56" s="268"/>
      <c r="S56" s="268"/>
      <c r="T56" s="268"/>
      <c r="U56" s="268"/>
      <c r="V56" s="268"/>
      <c r="W56" s="268"/>
      <c r="X56" s="268"/>
      <c r="Y56" s="267"/>
      <c r="Z56" s="268"/>
      <c r="AA56" s="268"/>
      <c r="AB56" s="268"/>
      <c r="AC56" s="268"/>
      <c r="AD56" s="268"/>
      <c r="AE56" s="268"/>
      <c r="AF56" s="268"/>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164</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270" t="s">
        <v>165</v>
      </c>
      <c r="C59" s="270"/>
      <c r="D59" s="270"/>
      <c r="E59" s="270"/>
      <c r="F59" s="270"/>
      <c r="G59" s="270"/>
      <c r="H59" s="271"/>
      <c r="I59" s="271"/>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105"/>
      <c r="AH59" s="105"/>
    </row>
    <row r="60" spans="1:34" ht="27.75" customHeight="1">
      <c r="A60" s="105"/>
      <c r="B60" s="260" t="s">
        <v>166</v>
      </c>
      <c r="C60" s="261"/>
      <c r="D60" s="261"/>
      <c r="E60" s="261"/>
      <c r="F60" s="261"/>
      <c r="G60" s="262"/>
      <c r="H60" s="266" t="s">
        <v>167</v>
      </c>
      <c r="I60" s="264"/>
      <c r="J60" s="264"/>
      <c r="K60" s="264"/>
      <c r="L60" s="264"/>
      <c r="M60" s="264"/>
      <c r="N60" s="264"/>
      <c r="O60" s="264"/>
      <c r="P60" s="264"/>
      <c r="Q60" s="264"/>
      <c r="R60" s="264"/>
      <c r="S60" s="264"/>
      <c r="T60" s="264"/>
      <c r="U60" s="264"/>
      <c r="V60" s="264"/>
      <c r="W60" s="264"/>
      <c r="X60" s="264"/>
      <c r="Y60" s="264"/>
      <c r="Z60" s="264"/>
      <c r="AA60" s="264"/>
      <c r="AB60" s="264"/>
      <c r="AC60" s="264"/>
      <c r="AD60" s="264"/>
      <c r="AE60" s="264"/>
      <c r="AF60" s="265"/>
      <c r="AG60" s="105"/>
      <c r="AH60" s="105"/>
    </row>
    <row r="61" spans="1:34">
      <c r="A61" s="105"/>
      <c r="B61" s="260"/>
      <c r="C61" s="261"/>
      <c r="D61" s="261"/>
      <c r="E61" s="261"/>
      <c r="F61" s="261"/>
      <c r="G61" s="262"/>
      <c r="H61" s="263"/>
      <c r="I61" s="264"/>
      <c r="J61" s="264"/>
      <c r="K61" s="264"/>
      <c r="L61" s="264"/>
      <c r="M61" s="264"/>
      <c r="N61" s="264"/>
      <c r="O61" s="264"/>
      <c r="P61" s="264"/>
      <c r="Q61" s="264"/>
      <c r="R61" s="264"/>
      <c r="S61" s="264"/>
      <c r="T61" s="264"/>
      <c r="U61" s="264"/>
      <c r="V61" s="264"/>
      <c r="W61" s="264"/>
      <c r="X61" s="264"/>
      <c r="Y61" s="264"/>
      <c r="Z61" s="264"/>
      <c r="AA61" s="264"/>
      <c r="AB61" s="264"/>
      <c r="AC61" s="264"/>
      <c r="AD61" s="264"/>
      <c r="AE61" s="264"/>
      <c r="AF61" s="265"/>
      <c r="AG61" s="105"/>
      <c r="AH61" s="105"/>
    </row>
    <row r="62" spans="1:34">
      <c r="A62" s="105"/>
      <c r="B62" s="260"/>
      <c r="C62" s="261"/>
      <c r="D62" s="261"/>
      <c r="E62" s="261"/>
      <c r="F62" s="261"/>
      <c r="G62" s="262"/>
      <c r="H62" s="263"/>
      <c r="I62" s="264"/>
      <c r="J62" s="264"/>
      <c r="K62" s="264"/>
      <c r="L62" s="264"/>
      <c r="M62" s="264"/>
      <c r="N62" s="264"/>
      <c r="O62" s="264"/>
      <c r="P62" s="264"/>
      <c r="Q62" s="264"/>
      <c r="R62" s="264"/>
      <c r="S62" s="264"/>
      <c r="T62" s="264"/>
      <c r="U62" s="264"/>
      <c r="V62" s="264"/>
      <c r="W62" s="264"/>
      <c r="X62" s="264"/>
      <c r="Y62" s="264"/>
      <c r="Z62" s="264"/>
      <c r="AA62" s="264"/>
      <c r="AB62" s="264"/>
      <c r="AC62" s="264"/>
      <c r="AD62" s="264"/>
      <c r="AE62" s="264"/>
      <c r="AF62" s="265"/>
      <c r="AG62" s="105"/>
      <c r="AH62" s="105"/>
    </row>
    <row r="63" spans="1:34">
      <c r="A63" s="105"/>
      <c r="B63" s="260"/>
      <c r="C63" s="261"/>
      <c r="D63" s="261"/>
      <c r="E63" s="261"/>
      <c r="F63" s="261"/>
      <c r="G63" s="262"/>
      <c r="H63" s="263"/>
      <c r="I63" s="264"/>
      <c r="J63" s="264"/>
      <c r="K63" s="264"/>
      <c r="L63" s="264"/>
      <c r="M63" s="264"/>
      <c r="N63" s="264"/>
      <c r="O63" s="264"/>
      <c r="P63" s="264"/>
      <c r="Q63" s="264"/>
      <c r="R63" s="264"/>
      <c r="S63" s="264"/>
      <c r="T63" s="264"/>
      <c r="U63" s="264"/>
      <c r="V63" s="264"/>
      <c r="W63" s="264"/>
      <c r="X63" s="264"/>
      <c r="Y63" s="264"/>
      <c r="Z63" s="264"/>
      <c r="AA63" s="264"/>
      <c r="AB63" s="264"/>
      <c r="AC63" s="264"/>
      <c r="AD63" s="264"/>
      <c r="AE63" s="264"/>
      <c r="AF63" s="265"/>
      <c r="AG63" s="105"/>
      <c r="AH63" s="105"/>
    </row>
    <row r="64" spans="1:34">
      <c r="A64" s="105"/>
      <c r="B64" s="260"/>
      <c r="C64" s="261"/>
      <c r="D64" s="261"/>
      <c r="E64" s="261"/>
      <c r="F64" s="261"/>
      <c r="G64" s="262"/>
      <c r="H64" s="263"/>
      <c r="I64" s="264"/>
      <c r="J64" s="264"/>
      <c r="K64" s="264"/>
      <c r="L64" s="264"/>
      <c r="M64" s="264"/>
      <c r="N64" s="264"/>
      <c r="O64" s="264"/>
      <c r="P64" s="264"/>
      <c r="Q64" s="264"/>
      <c r="R64" s="264"/>
      <c r="S64" s="264"/>
      <c r="T64" s="264"/>
      <c r="U64" s="264"/>
      <c r="V64" s="264"/>
      <c r="W64" s="264"/>
      <c r="X64" s="264"/>
      <c r="Y64" s="264"/>
      <c r="Z64" s="264"/>
      <c r="AA64" s="264"/>
      <c r="AB64" s="264"/>
      <c r="AC64" s="264"/>
      <c r="AD64" s="264"/>
      <c r="AE64" s="264"/>
      <c r="AF64" s="265"/>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168</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68" customFormat="1" ht="20.25">
      <c r="B69" s="169" t="s">
        <v>243</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297" t="s">
        <v>239</v>
      </c>
      <c r="C71" s="298"/>
      <c r="D71" s="298"/>
      <c r="E71" s="298"/>
      <c r="F71" s="298"/>
      <c r="G71" s="299"/>
      <c r="H71" s="300" t="s">
        <v>234</v>
      </c>
      <c r="I71" s="301"/>
      <c r="J71" s="301"/>
      <c r="K71" s="301"/>
      <c r="L71" s="301"/>
      <c r="M71" s="301"/>
      <c r="N71" s="301"/>
      <c r="O71" s="301"/>
      <c r="P71" s="301"/>
      <c r="Q71" s="301"/>
      <c r="R71" s="301"/>
      <c r="S71" s="301"/>
      <c r="T71" s="301"/>
      <c r="U71" s="301"/>
      <c r="V71" s="301"/>
      <c r="W71" s="301"/>
      <c r="X71" s="301"/>
      <c r="Y71" s="301"/>
      <c r="Z71" s="301"/>
      <c r="AA71" s="301"/>
      <c r="AB71" s="301"/>
      <c r="AC71" s="301"/>
      <c r="AD71" s="301"/>
      <c r="AE71" s="301"/>
      <c r="AF71" s="302"/>
      <c r="AG71" s="105"/>
      <c r="AH71" s="105"/>
    </row>
    <row r="72" spans="1:34" ht="111" customHeight="1">
      <c r="A72" s="105"/>
      <c r="B72" s="297" t="s">
        <v>240</v>
      </c>
      <c r="C72" s="298"/>
      <c r="D72" s="298"/>
      <c r="E72" s="298"/>
      <c r="F72" s="298"/>
      <c r="G72" s="299"/>
      <c r="H72" s="300" t="s">
        <v>236</v>
      </c>
      <c r="I72" s="301"/>
      <c r="J72" s="301"/>
      <c r="K72" s="301"/>
      <c r="L72" s="301"/>
      <c r="M72" s="301"/>
      <c r="N72" s="301"/>
      <c r="O72" s="301"/>
      <c r="P72" s="301"/>
      <c r="Q72" s="301"/>
      <c r="R72" s="301"/>
      <c r="S72" s="301"/>
      <c r="T72" s="301"/>
      <c r="U72" s="301"/>
      <c r="V72" s="301"/>
      <c r="W72" s="301"/>
      <c r="X72" s="301"/>
      <c r="Y72" s="301"/>
      <c r="Z72" s="301"/>
      <c r="AA72" s="301"/>
      <c r="AB72" s="301"/>
      <c r="AC72" s="301"/>
      <c r="AD72" s="301"/>
      <c r="AE72" s="301"/>
      <c r="AF72" s="302"/>
      <c r="AG72" s="105"/>
      <c r="AH72" s="105"/>
    </row>
    <row r="73" spans="1:34" ht="52.5" customHeight="1">
      <c r="A73" s="105"/>
      <c r="B73" s="297" t="s">
        <v>241</v>
      </c>
      <c r="C73" s="298"/>
      <c r="D73" s="298"/>
      <c r="E73" s="298"/>
      <c r="F73" s="298"/>
      <c r="G73" s="299"/>
      <c r="H73" s="300" t="s">
        <v>244</v>
      </c>
      <c r="I73" s="301"/>
      <c r="J73" s="301"/>
      <c r="K73" s="301"/>
      <c r="L73" s="301"/>
      <c r="M73" s="301"/>
      <c r="N73" s="301"/>
      <c r="O73" s="301"/>
      <c r="P73" s="301"/>
      <c r="Q73" s="301"/>
      <c r="R73" s="301"/>
      <c r="S73" s="301"/>
      <c r="T73" s="301"/>
      <c r="U73" s="301"/>
      <c r="V73" s="301"/>
      <c r="W73" s="301"/>
      <c r="X73" s="301"/>
      <c r="Y73" s="301"/>
      <c r="Z73" s="301"/>
      <c r="AA73" s="301"/>
      <c r="AB73" s="301"/>
      <c r="AC73" s="301"/>
      <c r="AD73" s="301"/>
      <c r="AE73" s="301"/>
      <c r="AF73" s="302"/>
      <c r="AG73" s="105"/>
      <c r="AH73" s="105"/>
    </row>
    <row r="74" spans="1:34" ht="52.5" customHeight="1">
      <c r="A74" s="105"/>
      <c r="B74" s="297" t="s">
        <v>233</v>
      </c>
      <c r="C74" s="298"/>
      <c r="D74" s="298"/>
      <c r="E74" s="298"/>
      <c r="F74" s="298"/>
      <c r="G74" s="299"/>
      <c r="H74" s="300" t="s">
        <v>237</v>
      </c>
      <c r="I74" s="301"/>
      <c r="J74" s="301"/>
      <c r="K74" s="301"/>
      <c r="L74" s="301"/>
      <c r="M74" s="301"/>
      <c r="N74" s="301"/>
      <c r="O74" s="301"/>
      <c r="P74" s="301"/>
      <c r="Q74" s="301"/>
      <c r="R74" s="301"/>
      <c r="S74" s="301"/>
      <c r="T74" s="301"/>
      <c r="U74" s="301"/>
      <c r="V74" s="301"/>
      <c r="W74" s="301"/>
      <c r="X74" s="301"/>
      <c r="Y74" s="301"/>
      <c r="Z74" s="301"/>
      <c r="AA74" s="301"/>
      <c r="AB74" s="301"/>
      <c r="AC74" s="301"/>
      <c r="AD74" s="301"/>
      <c r="AE74" s="301"/>
      <c r="AF74" s="302"/>
      <c r="AG74" s="105"/>
      <c r="AH74" s="105"/>
    </row>
    <row r="75" spans="1:34" ht="81" customHeight="1">
      <c r="A75" s="105"/>
      <c r="B75" s="297" t="s">
        <v>242</v>
      </c>
      <c r="C75" s="298"/>
      <c r="D75" s="298"/>
      <c r="E75" s="298"/>
      <c r="F75" s="298"/>
      <c r="G75" s="299"/>
      <c r="H75" s="300" t="s">
        <v>245</v>
      </c>
      <c r="I75" s="301"/>
      <c r="J75" s="301"/>
      <c r="K75" s="301"/>
      <c r="L75" s="301"/>
      <c r="M75" s="301"/>
      <c r="N75" s="301"/>
      <c r="O75" s="301"/>
      <c r="P75" s="301"/>
      <c r="Q75" s="301"/>
      <c r="R75" s="301"/>
      <c r="S75" s="301"/>
      <c r="T75" s="301"/>
      <c r="U75" s="301"/>
      <c r="V75" s="301"/>
      <c r="W75" s="301"/>
      <c r="X75" s="301"/>
      <c r="Y75" s="301"/>
      <c r="Z75" s="301"/>
      <c r="AA75" s="301"/>
      <c r="AB75" s="301"/>
      <c r="AC75" s="301"/>
      <c r="AD75" s="301"/>
      <c r="AE75" s="301"/>
      <c r="AF75" s="302"/>
      <c r="AG75" s="105"/>
      <c r="AH75" s="105"/>
    </row>
    <row r="76" spans="1:34" ht="97.5" customHeight="1">
      <c r="A76" s="105"/>
      <c r="B76" s="297" t="s">
        <v>235</v>
      </c>
      <c r="C76" s="298"/>
      <c r="D76" s="298"/>
      <c r="E76" s="298"/>
      <c r="F76" s="298"/>
      <c r="G76" s="299"/>
      <c r="H76" s="300" t="s">
        <v>238</v>
      </c>
      <c r="I76" s="301"/>
      <c r="J76" s="301"/>
      <c r="K76" s="301"/>
      <c r="L76" s="301"/>
      <c r="M76" s="301"/>
      <c r="N76" s="301"/>
      <c r="O76" s="301"/>
      <c r="P76" s="301"/>
      <c r="Q76" s="301"/>
      <c r="R76" s="301"/>
      <c r="S76" s="301"/>
      <c r="T76" s="301"/>
      <c r="U76" s="301"/>
      <c r="V76" s="301"/>
      <c r="W76" s="301"/>
      <c r="X76" s="301"/>
      <c r="Y76" s="301"/>
      <c r="Z76" s="301"/>
      <c r="AA76" s="301"/>
      <c r="AB76" s="301"/>
      <c r="AC76" s="301"/>
      <c r="AD76" s="301"/>
      <c r="AE76" s="301"/>
      <c r="AF76" s="302"/>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169</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170</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174" t="s">
        <v>291</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3"/>
      <c r="AJ84" s="173" t="s">
        <v>292</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4" t="s">
        <v>215</v>
      </c>
      <c r="AJ85" s="154" t="s">
        <v>171</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4" t="s">
        <v>23</v>
      </c>
      <c r="AJ86" s="154" t="s">
        <v>173</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4" t="s">
        <v>11</v>
      </c>
      <c r="AJ87" s="154" t="s">
        <v>217</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5"/>
      <c r="AJ88" s="154" t="s">
        <v>174</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4" t="s">
        <v>246</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4" t="s">
        <v>172</v>
      </c>
    </row>
    <row r="91" spans="1:36">
      <c r="AJ91" s="154" t="s">
        <v>221</v>
      </c>
    </row>
    <row r="92" spans="1:36">
      <c r="AJ92" s="154" t="s">
        <v>247</v>
      </c>
    </row>
    <row r="93" spans="1:36">
      <c r="AJ93" s="154" t="s">
        <v>248</v>
      </c>
    </row>
    <row r="94" spans="1:36">
      <c r="AJ94" s="154" t="s">
        <v>249</v>
      </c>
    </row>
    <row r="95" spans="1:36">
      <c r="AJ95" s="154" t="s">
        <v>250</v>
      </c>
    </row>
    <row r="96" spans="1:36">
      <c r="AJ96" s="154" t="s">
        <v>256</v>
      </c>
    </row>
    <row r="97" spans="36:36">
      <c r="AJ97" s="154" t="s">
        <v>175</v>
      </c>
    </row>
    <row r="98" spans="36:36">
      <c r="AJ98" s="154" t="s">
        <v>251</v>
      </c>
    </row>
    <row r="99" spans="36:36">
      <c r="AJ99" s="154" t="s">
        <v>252</v>
      </c>
    </row>
    <row r="100" spans="36:36">
      <c r="AJ100" s="154" t="s">
        <v>253</v>
      </c>
    </row>
    <row r="101" spans="36:36">
      <c r="AJ101" s="154" t="s">
        <v>254</v>
      </c>
    </row>
    <row r="102" spans="36:36">
      <c r="AJ102" s="154" t="s">
        <v>255</v>
      </c>
    </row>
    <row r="103" spans="36:36">
      <c r="AJ103" s="154" t="s">
        <v>176</v>
      </c>
    </row>
    <row r="104" spans="36:36">
      <c r="AJ104" s="154" t="s">
        <v>257</v>
      </c>
    </row>
    <row r="105" spans="36:36" ht="18.75">
      <c r="AJ105" s="155" t="s">
        <v>252</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1"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05" t="s">
        <v>15</v>
      </c>
      <c r="B1" s="306"/>
      <c r="C1" s="306"/>
      <c r="D1" s="307"/>
    </row>
    <row r="3" spans="1:8">
      <c r="B3" s="308" t="s">
        <v>16</v>
      </c>
      <c r="C3" s="309"/>
      <c r="D3" s="310"/>
    </row>
    <row r="4" spans="1:8">
      <c r="B4" s="88"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08" t="s">
        <v>184</v>
      </c>
      <c r="C12" s="309"/>
      <c r="D12" s="310"/>
    </row>
    <row r="13" spans="1:8" ht="24.75" customHeight="1">
      <c r="B13" s="134" t="s">
        <v>179</v>
      </c>
      <c r="C13" s="311" t="s">
        <v>181</v>
      </c>
      <c r="D13" s="312"/>
    </row>
    <row r="14" spans="1:8" ht="25.5" customHeight="1">
      <c r="B14" s="134" t="s">
        <v>106</v>
      </c>
      <c r="C14" s="311" t="s">
        <v>182</v>
      </c>
      <c r="D14" s="312"/>
      <c r="E14" s="89"/>
      <c r="F14" s="89"/>
      <c r="G14" s="89"/>
      <c r="H14" s="89"/>
    </row>
    <row r="15" spans="1:8" ht="49.5" customHeight="1">
      <c r="B15" s="134" t="s">
        <v>180</v>
      </c>
      <c r="C15" s="311" t="s">
        <v>183</v>
      </c>
      <c r="D15" s="312"/>
      <c r="F15" s="93" t="s">
        <v>135</v>
      </c>
    </row>
    <row r="17" spans="2:6">
      <c r="B17" s="308" t="s">
        <v>13</v>
      </c>
      <c r="C17" s="309"/>
      <c r="D17" s="310"/>
    </row>
    <row r="18" spans="2:6">
      <c r="B18" s="2"/>
      <c r="C18" s="3"/>
      <c r="D18" s="4"/>
      <c r="F18" s="93" t="s">
        <v>132</v>
      </c>
    </row>
    <row r="19" spans="2:6" s="90" customFormat="1" ht="38.25">
      <c r="B19" s="303" t="s">
        <v>185</v>
      </c>
      <c r="C19" s="135" t="s">
        <v>107</v>
      </c>
      <c r="D19" s="91"/>
      <c r="F19" s="94" t="s">
        <v>133</v>
      </c>
    </row>
    <row r="20" spans="2:6">
      <c r="B20" s="303"/>
      <c r="C20" s="136"/>
      <c r="D20" s="4"/>
      <c r="F20" s="93" t="s">
        <v>134</v>
      </c>
    </row>
    <row r="21" spans="2:6" ht="25.5">
      <c r="B21" s="303"/>
      <c r="C21" s="137" t="s">
        <v>108</v>
      </c>
      <c r="D21" s="4"/>
    </row>
    <row r="22" spans="2:6" ht="25.5">
      <c r="B22" s="303"/>
      <c r="C22" s="137" t="s">
        <v>0</v>
      </c>
      <c r="D22" s="4"/>
    </row>
    <row r="23" spans="2:6">
      <c r="B23" s="303"/>
      <c r="C23" s="137" t="s">
        <v>1</v>
      </c>
      <c r="D23" s="4"/>
    </row>
    <row r="24" spans="2:6">
      <c r="B24" s="2"/>
      <c r="C24" s="27"/>
      <c r="D24" s="4"/>
    </row>
    <row r="25" spans="2:6">
      <c r="B25" s="304" t="s">
        <v>186</v>
      </c>
      <c r="C25" s="138" t="s">
        <v>337</v>
      </c>
      <c r="D25" s="4"/>
    </row>
    <row r="26" spans="2:6" ht="25.5">
      <c r="B26" s="304"/>
      <c r="C26" s="139" t="s">
        <v>2</v>
      </c>
      <c r="D26" s="4"/>
    </row>
    <row r="27" spans="2:6">
      <c r="B27" s="304"/>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1" t="s">
        <v>288</v>
      </c>
      <c r="C50" s="172" t="s">
        <v>289</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187</v>
      </c>
      <c r="C124" s="1" t="s">
        <v>110</v>
      </c>
      <c r="D124" s="4"/>
    </row>
    <row r="125" spans="2:4">
      <c r="B125" s="140" t="s">
        <v>187</v>
      </c>
      <c r="C125" s="31" t="s">
        <v>114</v>
      </c>
      <c r="D125" s="4"/>
    </row>
    <row r="126" spans="2:4">
      <c r="B126" s="140" t="s">
        <v>187</v>
      </c>
      <c r="C126" s="27" t="s">
        <v>115</v>
      </c>
      <c r="D126" s="4"/>
    </row>
    <row r="127" spans="2:4">
      <c r="B127" s="140" t="s">
        <v>187</v>
      </c>
      <c r="C127" s="27" t="s">
        <v>116</v>
      </c>
      <c r="D127" s="4"/>
    </row>
    <row r="128" spans="2:4">
      <c r="B128" s="140" t="s">
        <v>187</v>
      </c>
      <c r="C128" s="27" t="s">
        <v>117</v>
      </c>
      <c r="D128" s="4"/>
    </row>
    <row r="129" spans="2:4">
      <c r="B129" s="140" t="s">
        <v>187</v>
      </c>
      <c r="C129" s="27" t="s">
        <v>121</v>
      </c>
      <c r="D129" s="4"/>
    </row>
    <row r="130" spans="2:4">
      <c r="B130" s="140" t="s">
        <v>187</v>
      </c>
      <c r="C130" s="27" t="s">
        <v>122</v>
      </c>
      <c r="D130" s="4"/>
    </row>
    <row r="131" spans="2:4">
      <c r="B131" s="140" t="s">
        <v>187</v>
      </c>
      <c r="C131" s="31" t="s">
        <v>124</v>
      </c>
      <c r="D131" s="4"/>
    </row>
    <row r="132" spans="2:4">
      <c r="B132" s="140" t="s">
        <v>187</v>
      </c>
      <c r="C132" s="31" t="s">
        <v>125</v>
      </c>
      <c r="D132" s="4"/>
    </row>
    <row r="133" spans="2:4">
      <c r="B133" s="140" t="s">
        <v>187</v>
      </c>
      <c r="C133" s="1" t="s">
        <v>123</v>
      </c>
      <c r="D133" s="4"/>
    </row>
    <row r="134" spans="2:4">
      <c r="B134" s="140" t="s">
        <v>187</v>
      </c>
      <c r="C134" s="27" t="s">
        <v>118</v>
      </c>
      <c r="D134" s="4"/>
    </row>
    <row r="135" spans="2:4">
      <c r="B135" s="140" t="s">
        <v>187</v>
      </c>
      <c r="C135" s="27" t="s">
        <v>113</v>
      </c>
      <c r="D135" s="4"/>
    </row>
    <row r="136" spans="2:4">
      <c r="B136" s="140" t="s">
        <v>187</v>
      </c>
      <c r="C136" s="31" t="s">
        <v>119</v>
      </c>
      <c r="D136" s="4"/>
    </row>
    <row r="137" spans="2:4">
      <c r="B137" s="140" t="s">
        <v>187</v>
      </c>
      <c r="C137" s="31" t="s">
        <v>127</v>
      </c>
      <c r="D137" s="4"/>
    </row>
    <row r="138" spans="2:4">
      <c r="B138" s="140" t="s">
        <v>187</v>
      </c>
      <c r="C138" s="31" t="s">
        <v>112</v>
      </c>
      <c r="D138" s="4"/>
    </row>
    <row r="139" spans="2:4">
      <c r="B139" s="140" t="s">
        <v>187</v>
      </c>
      <c r="C139" s="31" t="s">
        <v>126</v>
      </c>
      <c r="D139" s="4"/>
    </row>
    <row r="140" spans="2:4">
      <c r="B140" s="141"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29"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F24" sqref="F24:F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175" t="s">
        <v>51</v>
      </c>
      <c r="D24" s="176" t="s">
        <v>68</v>
      </c>
      <c r="E24" s="82" t="s">
        <v>251</v>
      </c>
      <c r="F24" s="82" t="s">
        <v>252</v>
      </c>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178">
        <f>SUM(E25:AA25)</f>
        <v>15</v>
      </c>
      <c r="E25" s="84">
        <v>0</v>
      </c>
      <c r="F25" s="84">
        <v>15</v>
      </c>
    </row>
    <row r="26" spans="2:52" ht="15">
      <c r="B26" s="85"/>
      <c r="C26" s="40" t="s">
        <v>77</v>
      </c>
      <c r="D26" s="178">
        <f>SUM(E26:AA26)</f>
        <v>7</v>
      </c>
      <c r="E26" s="85">
        <v>0</v>
      </c>
      <c r="F26" s="85">
        <v>7</v>
      </c>
    </row>
    <row r="27" spans="2:52" ht="15">
      <c r="B27" s="83">
        <f>B25+B26</f>
        <v>0</v>
      </c>
      <c r="C27" s="44" t="s">
        <v>22</v>
      </c>
      <c r="D27" s="83">
        <f t="shared" ref="D27" si="0">D25+D26</f>
        <v>22</v>
      </c>
      <c r="E27" s="83">
        <f>E25+E26</f>
        <v>0</v>
      </c>
      <c r="F27" s="83">
        <f>F25+F26</f>
        <v>22</v>
      </c>
    </row>
    <row r="28" spans="2:52">
      <c r="D28" s="17"/>
      <c r="H28" s="37"/>
    </row>
    <row r="29" spans="2:52">
      <c r="D29" s="17"/>
      <c r="H29" s="37"/>
    </row>
    <row r="30" spans="2:52">
      <c r="D30" s="17"/>
      <c r="H30" s="37"/>
    </row>
    <row r="31" spans="2:52" s="81" customFormat="1" ht="60" customHeight="1">
      <c r="B31" s="82" t="s">
        <v>90</v>
      </c>
      <c r="C31" s="175" t="s">
        <v>47</v>
      </c>
      <c r="D31" s="176" t="s">
        <v>68</v>
      </c>
      <c r="E31" s="82"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178">
        <f>SUM(E32:AA32)</f>
        <v>3</v>
      </c>
      <c r="E32" s="84">
        <v>3</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178">
        <f>SUM(E33:AA33)</f>
        <v>0</v>
      </c>
      <c r="E33" s="85">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178">
        <f>SUM(E34:AA34)</f>
        <v>0</v>
      </c>
      <c r="E34" s="85">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178">
        <f>SUM(E35:AA35)</f>
        <v>0</v>
      </c>
      <c r="E35" s="85">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178">
        <f>SUM(E36:AA36)</f>
        <v>4</v>
      </c>
      <c r="E36" s="85">
        <v>4</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4" t="s">
        <v>22</v>
      </c>
      <c r="D37" s="179">
        <f>SUM(D32:D36)</f>
        <v>7</v>
      </c>
      <c r="E37" s="86">
        <f>SUM(E32:E36)</f>
        <v>7</v>
      </c>
    </row>
    <row r="38" spans="2:52">
      <c r="D38" s="17"/>
      <c r="H38" s="37"/>
    </row>
    <row r="39" spans="2:52">
      <c r="D39" s="17"/>
      <c r="H39" s="37"/>
    </row>
    <row r="40" spans="2:52" s="81" customFormat="1" ht="63.75">
      <c r="B40" s="82" t="s">
        <v>90</v>
      </c>
      <c r="C40" s="175" t="s">
        <v>67</v>
      </c>
      <c r="D40" s="176" t="s">
        <v>68</v>
      </c>
      <c r="E40" s="82"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178">
        <f>SUM(E41:AA41)</f>
        <v>4</v>
      </c>
      <c r="E41" s="85">
        <v>4</v>
      </c>
    </row>
    <row r="42" spans="2:52" ht="15">
      <c r="B42" s="85"/>
      <c r="C42" s="40" t="s">
        <v>74</v>
      </c>
      <c r="D42" s="178">
        <f>SUM(E42:AA42)</f>
        <v>0</v>
      </c>
      <c r="E42" s="85">
        <v>0</v>
      </c>
    </row>
    <row r="43" spans="2:52" s="17" customFormat="1" ht="15">
      <c r="B43" s="85"/>
      <c r="C43" s="40" t="s">
        <v>101</v>
      </c>
      <c r="D43" s="178">
        <f>SUM(E43:AA43)</f>
        <v>3</v>
      </c>
      <c r="E43" s="85">
        <v>3</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4" t="s">
        <v>22</v>
      </c>
      <c r="D44" s="179">
        <f>SUM(D41:D43)</f>
        <v>7</v>
      </c>
      <c r="E44" s="86">
        <f>SUM(E41:E43)</f>
        <v>7</v>
      </c>
    </row>
    <row r="45" spans="2:52">
      <c r="D45" s="17"/>
    </row>
    <row r="46" spans="2:52">
      <c r="D46" s="17"/>
    </row>
    <row r="47" spans="2:52" ht="25.5">
      <c r="C47" s="177" t="s">
        <v>59</v>
      </c>
      <c r="D47" s="177" t="s">
        <v>92</v>
      </c>
      <c r="E47" s="30" t="s">
        <v>91</v>
      </c>
    </row>
    <row r="48" spans="2:52">
      <c r="C48" s="87" t="s">
        <v>93</v>
      </c>
      <c r="D48" s="180" t="s">
        <v>94</v>
      </c>
      <c r="E48" s="87" t="s">
        <v>95</v>
      </c>
    </row>
  </sheetData>
  <phoneticPr fontId="29"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7"/>
  <sheetViews>
    <sheetView showGridLines="0" zoomScaleNormal="100" workbookViewId="0">
      <selection activeCell="L7" sqref="L7"/>
    </sheetView>
  </sheetViews>
  <sheetFormatPr defaultColWidth="8.85546875" defaultRowHeight="15" outlineLevelCol="1"/>
  <cols>
    <col min="1" max="1" width="37.140625" style="142" customWidth="1"/>
    <col min="2" max="2" width="31.5703125" style="142" customWidth="1"/>
    <col min="3" max="3" width="43.28515625" style="142"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13" t="s">
        <v>192</v>
      </c>
      <c r="B1" s="314"/>
      <c r="C1" s="314"/>
      <c r="D1" s="314"/>
      <c r="E1" s="315"/>
      <c r="F1" s="316" t="s">
        <v>200</v>
      </c>
      <c r="G1" s="317"/>
      <c r="H1" s="317"/>
      <c r="I1" s="317"/>
      <c r="J1" s="317"/>
      <c r="K1" s="317"/>
      <c r="L1" s="317"/>
      <c r="M1" s="317"/>
      <c r="N1" s="317"/>
      <c r="O1" s="317"/>
    </row>
    <row r="2" spans="1:15" ht="18.75">
      <c r="A2" s="151" t="s">
        <v>195</v>
      </c>
      <c r="B2" s="151" t="s">
        <v>191</v>
      </c>
      <c r="C2" s="151" t="s">
        <v>193</v>
      </c>
      <c r="D2" s="151" t="s">
        <v>194</v>
      </c>
      <c r="E2" s="151" t="s">
        <v>196</v>
      </c>
      <c r="F2" s="152" t="s">
        <v>359</v>
      </c>
      <c r="G2" s="152" t="s">
        <v>362</v>
      </c>
      <c r="H2" s="152" t="s">
        <v>360</v>
      </c>
      <c r="I2" s="152" t="s">
        <v>365</v>
      </c>
      <c r="J2" s="152" t="s">
        <v>379</v>
      </c>
      <c r="K2" s="152" t="s">
        <v>380</v>
      </c>
      <c r="L2" s="152" t="s">
        <v>382</v>
      </c>
      <c r="M2" s="152" t="s">
        <v>197</v>
      </c>
      <c r="N2" s="152" t="s">
        <v>198</v>
      </c>
      <c r="O2" s="152" t="s">
        <v>199</v>
      </c>
    </row>
    <row r="3" spans="1:15">
      <c r="A3" s="212" t="s">
        <v>369</v>
      </c>
      <c r="B3" s="142" t="s">
        <v>106</v>
      </c>
      <c r="C3" s="209">
        <v>44984</v>
      </c>
      <c r="D3" s="209">
        <v>44984</v>
      </c>
      <c r="E3" s="211">
        <f t="shared" ref="E3:E4" si="0">SUM(F3:O3)</f>
        <v>20</v>
      </c>
      <c r="H3" s="142">
        <v>10</v>
      </c>
      <c r="I3" s="142">
        <v>10</v>
      </c>
    </row>
    <row r="4" spans="1:15">
      <c r="A4" s="213" t="s">
        <v>378</v>
      </c>
      <c r="B4" s="214" t="s">
        <v>106</v>
      </c>
      <c r="C4" s="215">
        <v>45132</v>
      </c>
      <c r="D4" s="215">
        <v>45132</v>
      </c>
      <c r="E4" s="211">
        <f t="shared" si="0"/>
        <v>20</v>
      </c>
      <c r="F4" s="214"/>
      <c r="G4" s="214"/>
      <c r="H4" s="214"/>
      <c r="I4" s="214"/>
      <c r="J4" s="214">
        <v>10</v>
      </c>
      <c r="K4" s="210">
        <v>10</v>
      </c>
      <c r="L4" s="210"/>
      <c r="M4" s="210"/>
      <c r="N4" s="210"/>
      <c r="O4" s="210"/>
    </row>
    <row r="5" spans="1:15">
      <c r="A5" s="325" t="s">
        <v>381</v>
      </c>
      <c r="B5" s="210" t="s">
        <v>106</v>
      </c>
      <c r="C5" s="215">
        <v>45138</v>
      </c>
      <c r="D5" s="215">
        <v>45138</v>
      </c>
      <c r="E5" s="324">
        <f t="shared" ref="E5" si="1">SUM(F5:O5)</f>
        <v>20</v>
      </c>
      <c r="F5" s="210"/>
      <c r="G5" s="210"/>
      <c r="H5" s="210"/>
      <c r="I5" s="210"/>
      <c r="J5" s="210">
        <v>10</v>
      </c>
      <c r="K5" s="323"/>
      <c r="L5" s="210">
        <v>10</v>
      </c>
      <c r="M5" s="210"/>
      <c r="N5" s="210"/>
      <c r="O5" s="210"/>
    </row>
    <row r="17" spans="1:1">
      <c r="A17" s="204"/>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 B6:B17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activeCell="K17" sqref="K17"/>
      <selection pane="topRight" activeCell="K17" sqref="K17"/>
      <selection pane="bottomLeft" activeCell="K17" sqref="K17"/>
      <selection pane="bottomRight" activeCell="M13" sqref="M13"/>
    </sheetView>
  </sheetViews>
  <sheetFormatPr defaultRowHeight="12.75" outlineLevelRow="1" outlineLevelCol="1"/>
  <cols>
    <col min="1" max="1" width="5.28515625" style="71" customWidth="1"/>
    <col min="2" max="2" width="13.28515625" style="47" customWidth="1"/>
    <col min="3" max="3" width="27"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4.42578125" style="50" bestFit="1"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0</v>
      </c>
      <c r="P2" s="58"/>
      <c r="Q2" s="53">
        <f>COUNTIF($L5:$L500,"=" &amp; Q1)</f>
        <v>0</v>
      </c>
      <c r="R2" s="53">
        <f>COUNTIF($L5:$L500,"=" &amp; R1)</f>
        <v>0</v>
      </c>
      <c r="S2" s="53">
        <f>COUNTIF($L5:$L500,"=" &amp; S1)</f>
        <v>0</v>
      </c>
      <c r="T2" s="53">
        <f>COUNTIF($L5:$L500,"=" &amp; T1)</f>
        <v>4</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0</v>
      </c>
      <c r="AA2" s="53">
        <f>IF(AND(Issue_to_treat=0,Issues_to_approve=0,Issues_postponed=0),1,0)</f>
        <v>1</v>
      </c>
      <c r="AB2" s="33"/>
      <c r="AC2" s="33"/>
      <c r="AD2" s="33"/>
      <c r="AE2" s="33"/>
      <c r="AF2" s="33"/>
      <c r="AH2" s="53">
        <f>COUNTIF($M5:$M500,"=" &amp; AH1)</f>
        <v>4</v>
      </c>
      <c r="AI2" s="53">
        <f>COUNTIF($M5:$M500,"=" &amp; AI1)</f>
        <v>0</v>
      </c>
      <c r="AJ2" s="53">
        <f>COUNTIF($M5:$M500,"=" &amp; AJ1)</f>
        <v>0</v>
      </c>
      <c r="AM2" s="33"/>
      <c r="AN2" s="33"/>
      <c r="AO2" s="33"/>
      <c r="AP2" s="35"/>
      <c r="AQ2" s="35"/>
      <c r="AR2" s="33"/>
      <c r="AS2" s="35"/>
      <c r="AT2" s="35"/>
    </row>
    <row r="3" spans="1:46" s="52" customFormat="1" ht="25.5" customHeight="1" outlineLevel="1">
      <c r="A3" s="319" t="str">
        <f>IF(Issue_to_treat=1,NbOfNotTreatedIssues+NbOfRejectedIssues&amp;" issue(s) to treat",IF(Issues_to_approve=1,NbOfNotApprovedIssues&amp;" issue(s) to approve",IF(Issues_postponed=1,NbOfNotApprovedAndPostponedIssues&amp;" issue(s) postponed","Status OK")))</f>
        <v>Status OK</v>
      </c>
      <c r="B3" s="319"/>
      <c r="C3" s="320"/>
      <c r="D3" s="65" t="s">
        <v>63</v>
      </c>
      <c r="E3" s="318" t="s">
        <v>81</v>
      </c>
      <c r="F3" s="318"/>
      <c r="G3" s="318"/>
      <c r="H3" s="51"/>
      <c r="I3" s="51"/>
      <c r="J3" s="51"/>
      <c r="K3" s="51"/>
      <c r="L3" s="51"/>
      <c r="M3" s="51"/>
      <c r="N3" s="57"/>
      <c r="O3" s="57"/>
      <c r="P3" s="57"/>
      <c r="Q3" s="61"/>
      <c r="R3" s="61"/>
      <c r="S3" s="61"/>
      <c r="T3" s="61"/>
      <c r="U3" s="61"/>
      <c r="V3" s="61"/>
      <c r="W3" s="61"/>
      <c r="X3" s="25"/>
      <c r="Y3" s="25"/>
      <c r="Z3" s="25"/>
      <c r="AA3" s="25"/>
      <c r="AB3" s="25"/>
    </row>
    <row r="4" spans="1:46" s="150" customFormat="1" ht="47.25">
      <c r="A4" s="143" t="s">
        <v>30</v>
      </c>
      <c r="B4" s="143" t="s">
        <v>9</v>
      </c>
      <c r="C4" s="143" t="s">
        <v>32</v>
      </c>
      <c r="D4" s="143" t="s">
        <v>177</v>
      </c>
      <c r="E4" s="143" t="s">
        <v>69</v>
      </c>
      <c r="F4" s="143" t="s">
        <v>31</v>
      </c>
      <c r="G4" s="144" t="s">
        <v>46</v>
      </c>
      <c r="H4" s="145" t="s">
        <v>48</v>
      </c>
      <c r="I4" s="145" t="s">
        <v>105</v>
      </c>
      <c r="J4" s="145" t="s">
        <v>33</v>
      </c>
      <c r="K4" s="146" t="s">
        <v>49</v>
      </c>
      <c r="L4" s="145" t="s">
        <v>47</v>
      </c>
      <c r="M4" s="143" t="s">
        <v>178</v>
      </c>
      <c r="N4" s="147"/>
      <c r="O4" s="147"/>
      <c r="P4" s="147"/>
      <c r="Q4" s="148"/>
      <c r="R4" s="148"/>
      <c r="S4" s="148"/>
      <c r="T4" s="148"/>
      <c r="U4" s="148"/>
      <c r="V4" s="148"/>
      <c r="W4" s="148"/>
      <c r="X4" s="149"/>
      <c r="Y4" s="149"/>
      <c r="Z4" s="149"/>
      <c r="AA4" s="149"/>
      <c r="AB4" s="149"/>
    </row>
    <row r="5" spans="1:46" s="25" customFormat="1" ht="25.5">
      <c r="A5" s="72">
        <v>1</v>
      </c>
      <c r="B5" s="21">
        <v>1.1000000000000001</v>
      </c>
      <c r="C5" s="205" t="s">
        <v>369</v>
      </c>
      <c r="D5" s="206" t="s">
        <v>367</v>
      </c>
      <c r="E5" s="69">
        <v>44984.382997685185</v>
      </c>
      <c r="F5" s="53" t="s">
        <v>366</v>
      </c>
      <c r="G5" s="18"/>
      <c r="H5" s="22"/>
      <c r="I5" s="22"/>
      <c r="J5" s="22" t="s">
        <v>366</v>
      </c>
      <c r="K5" s="207">
        <v>44984.383043981485</v>
      </c>
      <c r="L5" s="22" t="s">
        <v>27</v>
      </c>
      <c r="M5" s="80" t="s">
        <v>28</v>
      </c>
      <c r="N5" s="57"/>
      <c r="O5" s="57"/>
      <c r="P5" s="57"/>
      <c r="Q5" s="61"/>
      <c r="R5" s="61"/>
      <c r="S5" s="61"/>
      <c r="T5" s="61"/>
      <c r="U5" s="61"/>
      <c r="V5" s="61"/>
      <c r="W5" s="61"/>
    </row>
    <row r="6" spans="1:46" s="25" customFormat="1" ht="25.5">
      <c r="A6" s="73">
        <v>2</v>
      </c>
      <c r="B6" s="216" t="s">
        <v>377</v>
      </c>
      <c r="C6" s="216" t="s">
        <v>374</v>
      </c>
      <c r="D6" s="206" t="s">
        <v>367</v>
      </c>
      <c r="E6" s="217">
        <v>45131</v>
      </c>
      <c r="F6" s="216" t="s">
        <v>375</v>
      </c>
      <c r="G6" s="206"/>
      <c r="H6" s="218"/>
      <c r="I6" s="218"/>
      <c r="J6" s="218" t="s">
        <v>376</v>
      </c>
      <c r="K6" s="217">
        <v>45131</v>
      </c>
      <c r="L6" s="22" t="s">
        <v>27</v>
      </c>
      <c r="M6" s="80" t="s">
        <v>28</v>
      </c>
      <c r="N6" s="57"/>
      <c r="O6" s="57"/>
      <c r="P6" s="57"/>
      <c r="Q6" s="61"/>
      <c r="R6" s="61"/>
      <c r="S6" s="61"/>
      <c r="T6" s="61"/>
      <c r="U6" s="61"/>
      <c r="V6" s="61"/>
      <c r="W6" s="61"/>
    </row>
    <row r="7" spans="1:46" s="25" customFormat="1">
      <c r="A7" s="73">
        <v>3</v>
      </c>
      <c r="B7" s="216" t="s">
        <v>383</v>
      </c>
      <c r="C7" s="216" t="s">
        <v>374</v>
      </c>
      <c r="D7" s="206" t="s">
        <v>367</v>
      </c>
      <c r="E7" s="217">
        <v>45138.635358796295</v>
      </c>
      <c r="F7" s="216" t="s">
        <v>385</v>
      </c>
      <c r="G7" s="206"/>
      <c r="H7" s="218"/>
      <c r="I7" s="218"/>
      <c r="J7" s="218" t="s">
        <v>376</v>
      </c>
      <c r="K7" s="217">
        <v>45138.635625000003</v>
      </c>
      <c r="L7" s="22" t="s">
        <v>27</v>
      </c>
      <c r="M7" s="80" t="s">
        <v>28</v>
      </c>
      <c r="N7" s="57"/>
      <c r="O7" s="57"/>
      <c r="P7" s="57"/>
      <c r="Q7" s="61"/>
      <c r="R7" s="61"/>
      <c r="S7" s="61"/>
      <c r="T7" s="61"/>
      <c r="U7" s="61"/>
      <c r="V7" s="61"/>
      <c r="W7" s="61"/>
    </row>
    <row r="8" spans="1:46" s="25" customFormat="1">
      <c r="A8" s="73">
        <v>4</v>
      </c>
      <c r="B8" s="216" t="s">
        <v>384</v>
      </c>
      <c r="C8" s="216" t="s">
        <v>374</v>
      </c>
      <c r="D8" s="206" t="s">
        <v>367</v>
      </c>
      <c r="E8" s="217">
        <v>45138.635381944441</v>
      </c>
      <c r="F8" s="216" t="s">
        <v>385</v>
      </c>
      <c r="G8" s="206"/>
      <c r="H8" s="218"/>
      <c r="I8" s="218"/>
      <c r="J8" s="218" t="s">
        <v>376</v>
      </c>
      <c r="K8" s="217">
        <v>45138.635648148149</v>
      </c>
      <c r="L8" s="22" t="s">
        <v>27</v>
      </c>
      <c r="M8" s="80" t="s">
        <v>28</v>
      </c>
      <c r="N8" s="57"/>
      <c r="O8" s="57"/>
      <c r="P8" s="57"/>
      <c r="Q8" s="61"/>
      <c r="R8" s="61"/>
      <c r="S8" s="61"/>
      <c r="T8" s="61"/>
      <c r="U8" s="61"/>
      <c r="V8" s="61"/>
      <c r="W8" s="61"/>
    </row>
    <row r="9" spans="1:46" s="25" customFormat="1">
      <c r="A9" s="73">
        <v>5</v>
      </c>
      <c r="B9" s="205"/>
      <c r="C9" s="205"/>
      <c r="D9" s="29"/>
      <c r="E9" s="69"/>
      <c r="F9" s="53"/>
      <c r="G9" s="18"/>
      <c r="H9" s="22"/>
      <c r="I9" s="22"/>
      <c r="J9" s="22"/>
      <c r="K9" s="207"/>
      <c r="L9" s="22"/>
      <c r="M9" s="80"/>
      <c r="N9" s="57"/>
      <c r="O9" s="57"/>
      <c r="P9" s="57"/>
      <c r="Q9" s="61"/>
      <c r="R9" s="61"/>
      <c r="S9" s="61"/>
      <c r="T9" s="61"/>
      <c r="U9" s="61"/>
      <c r="V9" s="61"/>
      <c r="W9" s="61"/>
    </row>
    <row r="10" spans="1:46" s="25" customFormat="1">
      <c r="A10" s="73">
        <v>6</v>
      </c>
      <c r="B10" s="205"/>
      <c r="C10" s="205"/>
      <c r="D10" s="29"/>
      <c r="E10" s="69"/>
      <c r="F10" s="53"/>
      <c r="G10" s="29"/>
      <c r="H10" s="22"/>
      <c r="I10" s="22"/>
      <c r="J10" s="22"/>
      <c r="K10" s="207"/>
      <c r="L10" s="22"/>
      <c r="M10" s="22"/>
      <c r="N10" s="57"/>
      <c r="O10" s="57"/>
      <c r="P10" s="57"/>
      <c r="Q10" s="61"/>
      <c r="R10" s="61"/>
      <c r="S10" s="61"/>
      <c r="T10" s="61"/>
      <c r="U10" s="61"/>
      <c r="V10" s="61"/>
      <c r="W10" s="61"/>
    </row>
    <row r="11" spans="1:46" s="25" customFormat="1">
      <c r="A11" s="73">
        <v>7</v>
      </c>
      <c r="B11" s="205"/>
      <c r="C11" s="205"/>
      <c r="D11" s="29"/>
      <c r="E11" s="69"/>
      <c r="F11" s="53"/>
      <c r="G11" s="18"/>
      <c r="H11" s="22"/>
      <c r="I11" s="22"/>
      <c r="J11" s="22"/>
      <c r="K11" s="208"/>
      <c r="L11" s="22"/>
      <c r="M11" s="22"/>
      <c r="N11" s="57"/>
      <c r="O11" s="57"/>
      <c r="P11" s="57"/>
      <c r="Q11" s="61"/>
      <c r="R11" s="61"/>
      <c r="S11" s="61"/>
      <c r="T11" s="61"/>
      <c r="U11" s="61"/>
      <c r="V11" s="61"/>
      <c r="W11" s="61"/>
    </row>
    <row r="12" spans="1:46" s="25" customFormat="1">
      <c r="A12" s="73">
        <v>8</v>
      </c>
      <c r="B12" s="28"/>
      <c r="C12" s="41"/>
      <c r="D12" s="29"/>
      <c r="E12" s="69"/>
      <c r="F12" s="70"/>
      <c r="G12" s="18"/>
      <c r="H12" s="22"/>
      <c r="I12" s="22"/>
      <c r="J12" s="22"/>
      <c r="K12" s="23"/>
      <c r="L12" s="22"/>
      <c r="M12" s="22"/>
      <c r="N12" s="57"/>
      <c r="O12" s="57"/>
      <c r="P12" s="57"/>
      <c r="Q12" s="61"/>
      <c r="R12" s="61"/>
      <c r="S12" s="61"/>
      <c r="T12" s="61"/>
      <c r="U12" s="61"/>
      <c r="V12" s="61"/>
      <c r="W12" s="61"/>
    </row>
    <row r="13" spans="1:46" s="25" customFormat="1">
      <c r="A13" s="73">
        <v>9</v>
      </c>
      <c r="B13" s="28"/>
      <c r="C13" s="41"/>
      <c r="D13" s="29"/>
      <c r="E13" s="69"/>
      <c r="F13" s="70"/>
      <c r="G13" s="18"/>
      <c r="H13" s="22"/>
      <c r="I13" s="22"/>
      <c r="J13" s="22"/>
      <c r="K13" s="23"/>
      <c r="L13" s="22"/>
      <c r="M13" s="22"/>
      <c r="N13" s="57"/>
      <c r="O13" s="57"/>
      <c r="P13" s="57"/>
      <c r="Q13" s="61"/>
      <c r="R13" s="61"/>
      <c r="S13" s="61"/>
      <c r="T13" s="61"/>
      <c r="U13" s="61"/>
      <c r="V13" s="61"/>
      <c r="W13" s="61"/>
    </row>
    <row r="14" spans="1:46" s="25" customFormat="1">
      <c r="A14" s="73">
        <v>10</v>
      </c>
      <c r="B14" s="28"/>
      <c r="C14" s="41"/>
      <c r="D14" s="18"/>
      <c r="E14" s="69"/>
      <c r="F14" s="70"/>
      <c r="G14" s="18"/>
      <c r="H14" s="22"/>
      <c r="I14" s="22"/>
      <c r="J14" s="22"/>
      <c r="K14" s="23"/>
      <c r="L14" s="22"/>
      <c r="M14" s="22"/>
      <c r="N14" s="57"/>
      <c r="O14" s="57"/>
      <c r="P14" s="57"/>
      <c r="Q14" s="61"/>
      <c r="R14" s="61"/>
      <c r="S14" s="61"/>
      <c r="T14" s="61"/>
      <c r="U14" s="61"/>
      <c r="V14" s="61"/>
      <c r="W14" s="61"/>
    </row>
    <row r="15" spans="1:46" s="25" customFormat="1">
      <c r="A15" s="73">
        <v>11</v>
      </c>
      <c r="B15" s="28"/>
      <c r="C15" s="41"/>
      <c r="D15" s="18"/>
      <c r="E15" s="69"/>
      <c r="F15" s="70"/>
      <c r="G15" s="18"/>
      <c r="H15" s="22"/>
      <c r="I15" s="22"/>
      <c r="J15" s="22"/>
      <c r="K15" s="23"/>
      <c r="L15" s="22"/>
      <c r="M15" s="22"/>
      <c r="N15" s="57"/>
      <c r="O15" s="57"/>
      <c r="P15" s="57"/>
      <c r="Q15" s="61"/>
      <c r="R15" s="61"/>
      <c r="S15" s="61"/>
      <c r="T15" s="61"/>
      <c r="U15" s="61"/>
      <c r="V15" s="61"/>
      <c r="W15" s="61"/>
    </row>
    <row r="16" spans="1:46" s="25" customFormat="1">
      <c r="A16" s="73">
        <v>12</v>
      </c>
      <c r="B16" s="28"/>
      <c r="C16" s="41"/>
      <c r="D16" s="18"/>
      <c r="E16" s="69"/>
      <c r="F16" s="70"/>
      <c r="G16" s="18"/>
      <c r="H16" s="22"/>
      <c r="I16" s="80"/>
      <c r="J16" s="80"/>
      <c r="K16" s="207"/>
      <c r="L16" s="22"/>
      <c r="M16" s="22"/>
      <c r="N16" s="57"/>
      <c r="O16" s="57"/>
      <c r="P16" s="57"/>
      <c r="Q16" s="61"/>
      <c r="R16" s="61"/>
      <c r="S16" s="61"/>
      <c r="T16" s="61"/>
      <c r="U16" s="61"/>
      <c r="V16" s="61"/>
      <c r="W16" s="61"/>
    </row>
    <row r="17" spans="1:23" s="25" customFormat="1">
      <c r="A17" s="73">
        <v>13</v>
      </c>
      <c r="B17" s="28"/>
      <c r="C17" s="41"/>
      <c r="D17" s="18"/>
      <c r="E17" s="69"/>
      <c r="F17" s="70"/>
      <c r="G17" s="18"/>
      <c r="H17" s="22"/>
      <c r="I17" s="80"/>
      <c r="J17" s="80"/>
      <c r="K17" s="207"/>
      <c r="L17" s="22"/>
      <c r="M17" s="22"/>
      <c r="N17" s="57"/>
      <c r="O17" s="57"/>
      <c r="P17" s="57"/>
      <c r="Q17" s="61"/>
      <c r="R17" s="61"/>
      <c r="S17" s="61"/>
      <c r="T17" s="61"/>
      <c r="U17" s="61"/>
      <c r="V17" s="61"/>
      <c r="W17" s="61"/>
    </row>
    <row r="18" spans="1:23" s="25" customFormat="1">
      <c r="A18" s="73">
        <v>14</v>
      </c>
      <c r="B18" s="28"/>
      <c r="C18" s="41"/>
      <c r="D18" s="18"/>
      <c r="E18" s="69"/>
      <c r="F18" s="70"/>
      <c r="G18" s="18"/>
      <c r="H18" s="22"/>
      <c r="I18" s="80"/>
      <c r="J18" s="80"/>
      <c r="K18" s="207"/>
      <c r="L18" s="22"/>
      <c r="M18" s="22"/>
      <c r="N18" s="57"/>
      <c r="O18" s="57"/>
      <c r="P18" s="57"/>
      <c r="Q18" s="61"/>
      <c r="R18" s="61"/>
      <c r="S18" s="61"/>
      <c r="T18" s="61"/>
      <c r="U18" s="61"/>
      <c r="V18" s="61"/>
      <c r="W18" s="61"/>
    </row>
    <row r="19" spans="1:23" s="25" customFormat="1">
      <c r="A19" s="73">
        <v>15</v>
      </c>
      <c r="B19" s="28"/>
      <c r="C19" s="41"/>
      <c r="D19" s="29"/>
      <c r="E19" s="69"/>
      <c r="F19" s="70"/>
      <c r="G19" s="18"/>
      <c r="H19" s="22"/>
      <c r="I19" s="22"/>
      <c r="J19" s="22"/>
      <c r="K19" s="23"/>
      <c r="L19" s="22"/>
      <c r="M19" s="22"/>
      <c r="N19" s="57"/>
      <c r="O19" s="57"/>
      <c r="P19" s="57"/>
      <c r="Q19" s="61"/>
      <c r="R19" s="61"/>
      <c r="S19" s="61"/>
      <c r="T19" s="61"/>
      <c r="U19" s="61"/>
      <c r="V19" s="61"/>
      <c r="W19" s="61"/>
    </row>
    <row r="20" spans="1:23" s="25" customFormat="1">
      <c r="A20" s="73">
        <v>16</v>
      </c>
      <c r="B20" s="41"/>
      <c r="C20" s="41"/>
      <c r="D20" s="29"/>
      <c r="E20" s="69"/>
      <c r="F20" s="70"/>
      <c r="G20" s="18"/>
      <c r="H20" s="22"/>
      <c r="I20" s="80"/>
      <c r="J20" s="80"/>
      <c r="K20" s="207"/>
      <c r="L20" s="22"/>
      <c r="M20" s="22"/>
      <c r="N20" s="57"/>
      <c r="O20" s="57"/>
      <c r="P20" s="57"/>
      <c r="Q20" s="61"/>
      <c r="R20" s="61"/>
      <c r="S20" s="61"/>
      <c r="T20" s="61"/>
      <c r="U20" s="61"/>
      <c r="V20" s="61"/>
      <c r="W20" s="61"/>
    </row>
    <row r="21" spans="1:23" s="25" customFormat="1">
      <c r="A21" s="73">
        <v>17</v>
      </c>
      <c r="B21" s="41"/>
      <c r="C21" s="41"/>
      <c r="D21" s="29"/>
      <c r="E21" s="69"/>
      <c r="F21" s="70"/>
      <c r="G21" s="18"/>
      <c r="H21" s="22"/>
      <c r="I21" s="22"/>
      <c r="J21" s="22"/>
      <c r="K21" s="23"/>
      <c r="L21" s="22"/>
      <c r="M21" s="22"/>
      <c r="N21" s="57"/>
      <c r="O21" s="57"/>
      <c r="P21" s="57"/>
      <c r="Q21" s="61"/>
      <c r="R21" s="61"/>
      <c r="S21" s="61"/>
      <c r="T21" s="61"/>
      <c r="U21" s="61"/>
      <c r="V21" s="61"/>
      <c r="W21" s="61"/>
    </row>
    <row r="22" spans="1:23" s="25" customFormat="1">
      <c r="A22" s="73">
        <v>18</v>
      </c>
      <c r="B22" s="41"/>
      <c r="C22" s="41"/>
      <c r="D22" s="29"/>
      <c r="E22" s="69"/>
      <c r="F22" s="70"/>
      <c r="G22" s="18"/>
      <c r="H22" s="22"/>
      <c r="I22" s="22"/>
      <c r="J22" s="22"/>
      <c r="K22" s="23"/>
      <c r="L22" s="22"/>
      <c r="M22" s="22"/>
      <c r="N22" s="57"/>
      <c r="O22" s="57"/>
      <c r="P22" s="57"/>
      <c r="Q22" s="61"/>
      <c r="R22" s="61"/>
      <c r="S22" s="61"/>
      <c r="T22" s="61"/>
      <c r="U22" s="61"/>
      <c r="V22" s="61"/>
      <c r="W22" s="61"/>
    </row>
    <row r="23" spans="1:23" s="25" customFormat="1">
      <c r="A23" s="73">
        <v>19</v>
      </c>
      <c r="B23" s="41"/>
      <c r="C23" s="41"/>
      <c r="D23" s="29"/>
      <c r="E23" s="69"/>
      <c r="F23" s="70"/>
      <c r="G23" s="18"/>
      <c r="H23" s="22"/>
      <c r="I23" s="22"/>
      <c r="J23" s="22"/>
      <c r="K23" s="23"/>
      <c r="L23" s="22"/>
      <c r="M23" s="22"/>
      <c r="N23" s="57"/>
      <c r="O23" s="57"/>
      <c r="P23" s="57"/>
      <c r="Q23" s="61"/>
      <c r="R23" s="61"/>
      <c r="S23" s="61"/>
      <c r="T23" s="61"/>
      <c r="U23" s="61"/>
      <c r="V23" s="61"/>
      <c r="W23" s="61"/>
    </row>
    <row r="24" spans="1:23" s="25" customFormat="1">
      <c r="A24" s="73">
        <v>20</v>
      </c>
      <c r="B24" s="41"/>
      <c r="C24" s="41"/>
      <c r="D24" s="29"/>
      <c r="E24" s="69"/>
      <c r="F24" s="70"/>
      <c r="G24" s="18"/>
      <c r="H24" s="22"/>
      <c r="I24" s="22"/>
      <c r="J24" s="22"/>
      <c r="K24" s="23"/>
      <c r="L24" s="22"/>
      <c r="M24" s="22"/>
      <c r="N24" s="57"/>
      <c r="O24" s="57"/>
      <c r="P24" s="57"/>
      <c r="Q24" s="61"/>
      <c r="R24" s="61"/>
      <c r="S24" s="61"/>
      <c r="T24" s="61"/>
      <c r="U24" s="61"/>
      <c r="V24" s="61"/>
      <c r="W24" s="61"/>
    </row>
    <row r="25" spans="1:23" s="25" customFormat="1">
      <c r="A25" s="73">
        <v>21</v>
      </c>
      <c r="B25" s="28"/>
      <c r="C25" s="41"/>
      <c r="D25" s="29"/>
      <c r="E25" s="69"/>
      <c r="F25" s="70"/>
      <c r="G25" s="18"/>
      <c r="H25" s="22"/>
      <c r="I25" s="22"/>
      <c r="J25" s="22"/>
      <c r="K25" s="23"/>
      <c r="L25" s="22"/>
      <c r="M25" s="22"/>
      <c r="N25" s="57"/>
      <c r="O25" s="57"/>
      <c r="P25" s="57"/>
      <c r="Q25" s="61"/>
      <c r="R25" s="61"/>
      <c r="S25" s="61"/>
      <c r="T25" s="61"/>
      <c r="U25" s="61"/>
      <c r="V25" s="61"/>
      <c r="W25" s="61"/>
    </row>
    <row r="26" spans="1:23" s="25" customFormat="1">
      <c r="A26" s="73">
        <v>22</v>
      </c>
      <c r="B26" s="28"/>
      <c r="C26" s="41"/>
      <c r="D26" s="29"/>
      <c r="E26" s="69"/>
      <c r="F26" s="70"/>
      <c r="G26" s="18"/>
      <c r="H26" s="22"/>
      <c r="I26" s="22"/>
      <c r="J26" s="22"/>
      <c r="K26" s="23"/>
      <c r="L26" s="22"/>
      <c r="M26" s="22"/>
      <c r="N26" s="57"/>
      <c r="O26" s="57"/>
      <c r="P26" s="57"/>
      <c r="Q26" s="61"/>
      <c r="R26" s="61"/>
      <c r="S26" s="61"/>
      <c r="T26" s="61"/>
      <c r="U26" s="61"/>
      <c r="V26" s="61"/>
      <c r="W26" s="61"/>
    </row>
    <row r="27" spans="1:23" s="25" customFormat="1">
      <c r="A27" s="73">
        <v>23</v>
      </c>
      <c r="B27" s="28"/>
      <c r="C27" s="41"/>
      <c r="D27" s="29"/>
      <c r="E27" s="69"/>
      <c r="F27" s="70"/>
      <c r="G27" s="18"/>
      <c r="H27" s="22"/>
      <c r="I27" s="22"/>
      <c r="J27" s="22"/>
      <c r="K27" s="23"/>
      <c r="L27" s="22"/>
      <c r="M27" s="22"/>
      <c r="N27" s="57"/>
      <c r="O27" s="57"/>
      <c r="P27" s="57"/>
      <c r="Q27" s="61"/>
      <c r="R27" s="61"/>
      <c r="S27" s="61"/>
      <c r="T27" s="61"/>
      <c r="U27" s="61"/>
      <c r="V27" s="61"/>
      <c r="W27" s="61"/>
    </row>
    <row r="28" spans="1:23" s="25" customFormat="1">
      <c r="A28" s="73">
        <v>24</v>
      </c>
      <c r="B28" s="41"/>
      <c r="C28" s="41"/>
      <c r="D28" s="29"/>
      <c r="E28" s="69"/>
      <c r="F28" s="70"/>
      <c r="G28" s="18"/>
      <c r="H28" s="22"/>
      <c r="I28" s="22"/>
      <c r="J28" s="22"/>
      <c r="K28" s="23"/>
      <c r="L28" s="22"/>
      <c r="M28" s="22"/>
      <c r="N28" s="57"/>
      <c r="O28" s="57"/>
      <c r="P28" s="57"/>
      <c r="Q28" s="61"/>
      <c r="R28" s="61"/>
      <c r="S28" s="61"/>
      <c r="T28" s="61"/>
      <c r="U28" s="61"/>
      <c r="V28" s="61"/>
      <c r="W28" s="61"/>
    </row>
    <row r="29" spans="1:23" s="25" customFormat="1">
      <c r="A29" s="73">
        <v>25</v>
      </c>
      <c r="B29" s="41"/>
      <c r="C29" s="41"/>
      <c r="D29" s="29"/>
      <c r="E29" s="69"/>
      <c r="F29" s="70"/>
      <c r="G29" s="18"/>
      <c r="H29" s="22"/>
      <c r="I29" s="22"/>
      <c r="J29" s="22"/>
      <c r="K29" s="23"/>
      <c r="L29" s="22"/>
      <c r="M29" s="22"/>
      <c r="N29" s="57"/>
      <c r="O29" s="57"/>
      <c r="P29" s="57"/>
      <c r="Q29" s="61"/>
      <c r="R29" s="61"/>
      <c r="S29" s="61"/>
      <c r="T29" s="61"/>
      <c r="U29" s="61"/>
      <c r="V29" s="61"/>
      <c r="W29" s="61"/>
    </row>
    <row r="30" spans="1:23" s="25" customFormat="1">
      <c r="A30" s="73">
        <v>26</v>
      </c>
      <c r="B30" s="41"/>
      <c r="C30" s="41"/>
      <c r="D30" s="29"/>
      <c r="E30" s="69"/>
      <c r="F30" s="70"/>
      <c r="G30" s="18"/>
      <c r="H30" s="22"/>
      <c r="I30" s="22"/>
      <c r="J30" s="22"/>
      <c r="K30" s="23"/>
      <c r="L30" s="22"/>
      <c r="M30" s="22"/>
      <c r="N30" s="57"/>
      <c r="O30" s="57"/>
      <c r="P30" s="57"/>
      <c r="Q30" s="61"/>
      <c r="R30" s="61"/>
      <c r="S30" s="61"/>
      <c r="T30" s="61"/>
      <c r="U30" s="61"/>
      <c r="V30" s="61"/>
      <c r="W30" s="61"/>
    </row>
    <row r="31" spans="1:23" s="25" customFormat="1">
      <c r="A31" s="73">
        <v>27</v>
      </c>
      <c r="B31" s="41"/>
      <c r="C31" s="41"/>
      <c r="D31" s="29"/>
      <c r="E31" s="69"/>
      <c r="F31" s="70"/>
      <c r="G31" s="18"/>
      <c r="H31" s="22"/>
      <c r="I31" s="22"/>
      <c r="J31" s="22"/>
      <c r="K31" s="23"/>
      <c r="L31" s="22"/>
      <c r="M31" s="22"/>
      <c r="N31" s="57"/>
      <c r="O31" s="57"/>
      <c r="P31" s="57"/>
      <c r="Q31" s="61"/>
      <c r="R31" s="61"/>
      <c r="S31" s="61"/>
      <c r="T31" s="61"/>
      <c r="U31" s="61"/>
      <c r="V31" s="61"/>
      <c r="W31" s="61"/>
    </row>
    <row r="32" spans="1:23" s="25" customFormat="1">
      <c r="A32" s="73">
        <v>28</v>
      </c>
      <c r="B32" s="41"/>
      <c r="C32" s="41"/>
      <c r="D32" s="29"/>
      <c r="E32" s="69"/>
      <c r="F32" s="70"/>
      <c r="G32" s="18"/>
      <c r="H32" s="22"/>
      <c r="I32" s="22"/>
      <c r="J32" s="22"/>
      <c r="K32" s="23"/>
      <c r="L32" s="22"/>
      <c r="M32" s="22"/>
      <c r="N32" s="57"/>
      <c r="O32" s="57"/>
      <c r="P32" s="57"/>
      <c r="Q32" s="61"/>
      <c r="R32" s="61"/>
      <c r="S32" s="61"/>
      <c r="T32" s="61"/>
      <c r="U32" s="61"/>
      <c r="V32" s="61"/>
      <c r="W32" s="61"/>
    </row>
    <row r="33" spans="1:23" s="25" customFormat="1">
      <c r="A33" s="73">
        <v>29</v>
      </c>
      <c r="B33" s="41"/>
      <c r="C33" s="41"/>
      <c r="D33" s="18"/>
      <c r="E33" s="69"/>
      <c r="F33" s="70"/>
      <c r="G33" s="18"/>
      <c r="H33" s="22"/>
      <c r="I33" s="22"/>
      <c r="J33" s="22"/>
      <c r="K33" s="23"/>
      <c r="L33" s="22"/>
      <c r="M33" s="22"/>
      <c r="N33" s="57"/>
      <c r="O33" s="57"/>
      <c r="P33" s="57"/>
      <c r="Q33" s="61"/>
      <c r="R33" s="61"/>
      <c r="S33" s="61"/>
      <c r="T33" s="61"/>
      <c r="U33" s="61"/>
      <c r="V33" s="61"/>
      <c r="W33" s="61"/>
    </row>
    <row r="34" spans="1:23" s="25" customFormat="1">
      <c r="A34" s="73">
        <v>30</v>
      </c>
      <c r="B34" s="28"/>
      <c r="C34" s="41"/>
      <c r="D34" s="29"/>
      <c r="E34" s="69"/>
      <c r="F34" s="70"/>
      <c r="G34" s="18"/>
      <c r="H34" s="22"/>
      <c r="I34" s="22"/>
      <c r="J34" s="22"/>
      <c r="K34" s="23"/>
      <c r="L34" s="22"/>
      <c r="M34" s="22"/>
      <c r="N34" s="57"/>
      <c r="O34" s="57"/>
      <c r="P34" s="57"/>
      <c r="Q34" s="61"/>
      <c r="R34" s="61"/>
      <c r="S34" s="61"/>
      <c r="T34" s="61"/>
      <c r="U34" s="61"/>
      <c r="V34" s="61"/>
      <c r="W34" s="61"/>
    </row>
    <row r="35" spans="1:23" s="25" customFormat="1">
      <c r="A35" s="73">
        <v>31</v>
      </c>
      <c r="B35" s="28"/>
      <c r="C35" s="41"/>
      <c r="D35" s="29"/>
      <c r="E35" s="69"/>
      <c r="F35" s="70"/>
      <c r="G35" s="18"/>
      <c r="H35" s="22"/>
      <c r="I35" s="22"/>
      <c r="J35" s="22"/>
      <c r="K35" s="23"/>
      <c r="L35" s="22"/>
      <c r="M35" s="22"/>
      <c r="N35" s="57"/>
      <c r="O35" s="57"/>
      <c r="P35" s="57"/>
      <c r="Q35" s="61"/>
      <c r="R35" s="61"/>
      <c r="S35" s="61"/>
      <c r="T35" s="61"/>
      <c r="U35" s="61"/>
      <c r="V35" s="61"/>
      <c r="W35" s="61"/>
    </row>
    <row r="36" spans="1:23" s="25" customFormat="1">
      <c r="A36" s="73">
        <v>32</v>
      </c>
      <c r="B36" s="28"/>
      <c r="C36" s="41"/>
      <c r="D36" s="29"/>
      <c r="E36" s="69"/>
      <c r="F36" s="70"/>
      <c r="G36" s="18"/>
      <c r="H36" s="22"/>
      <c r="I36" s="22"/>
      <c r="J36" s="22"/>
      <c r="K36" s="23"/>
      <c r="L36" s="22"/>
      <c r="M36" s="22"/>
      <c r="N36" s="57"/>
      <c r="O36" s="57"/>
      <c r="P36" s="57"/>
      <c r="Q36" s="61"/>
      <c r="R36" s="61"/>
      <c r="S36" s="61"/>
      <c r="T36" s="61"/>
      <c r="U36" s="61"/>
      <c r="V36" s="61"/>
      <c r="W36" s="61"/>
    </row>
    <row r="37" spans="1:23" s="25" customFormat="1">
      <c r="A37" s="73">
        <v>33</v>
      </c>
      <c r="B37" s="28"/>
      <c r="C37" s="41"/>
      <c r="D37" s="29"/>
      <c r="E37" s="69"/>
      <c r="F37" s="70"/>
      <c r="G37" s="18"/>
      <c r="H37" s="22"/>
      <c r="I37" s="22"/>
      <c r="J37" s="22"/>
      <c r="K37" s="23"/>
      <c r="L37" s="22"/>
      <c r="M37" s="22"/>
      <c r="N37" s="57"/>
      <c r="O37" s="57"/>
      <c r="P37" s="57"/>
      <c r="Q37" s="61"/>
      <c r="R37" s="61"/>
      <c r="S37" s="61"/>
      <c r="T37" s="61"/>
      <c r="U37" s="61"/>
      <c r="V37" s="61"/>
      <c r="W37" s="61"/>
    </row>
    <row r="38" spans="1:23" s="25" customFormat="1">
      <c r="A38" s="73">
        <v>34</v>
      </c>
      <c r="B38" s="28"/>
      <c r="C38" s="41"/>
      <c r="D38" s="29"/>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41"/>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41"/>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41"/>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41"/>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41"/>
      <c r="D43" s="29"/>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41"/>
      <c r="D44" s="29"/>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41"/>
      <c r="D45" s="29"/>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41"/>
      <c r="D46" s="29"/>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41"/>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41"/>
      <c r="D48" s="29"/>
      <c r="E48" s="69"/>
      <c r="F48" s="70"/>
      <c r="G48" s="18"/>
      <c r="H48" s="22"/>
      <c r="I48" s="22"/>
      <c r="J48" s="22"/>
      <c r="K48" s="23"/>
      <c r="L48" s="22"/>
      <c r="M48" s="22"/>
      <c r="N48" s="57"/>
      <c r="O48" s="57"/>
      <c r="P48" s="57"/>
      <c r="Q48" s="61"/>
      <c r="R48" s="61"/>
      <c r="S48" s="61"/>
      <c r="T48" s="61"/>
      <c r="U48" s="61"/>
      <c r="V48" s="61"/>
      <c r="W48" s="61"/>
    </row>
    <row r="49" spans="1:23" s="25" customFormat="1">
      <c r="A49" s="73">
        <v>45</v>
      </c>
      <c r="B49" s="41"/>
      <c r="C49" s="41"/>
      <c r="D49" s="29"/>
      <c r="E49" s="69"/>
      <c r="F49" s="70"/>
      <c r="G49" s="18"/>
      <c r="H49" s="22"/>
      <c r="I49" s="22"/>
      <c r="J49" s="22"/>
      <c r="K49" s="23"/>
      <c r="L49" s="22"/>
      <c r="M49" s="22"/>
      <c r="N49" s="57"/>
      <c r="O49" s="57"/>
      <c r="P49" s="57"/>
      <c r="Q49" s="61"/>
      <c r="R49" s="61"/>
      <c r="S49" s="61"/>
      <c r="T49" s="61"/>
      <c r="U49" s="61"/>
      <c r="V49" s="61"/>
      <c r="W49" s="61"/>
    </row>
    <row r="50" spans="1:23" s="25" customFormat="1">
      <c r="A50" s="73">
        <v>46</v>
      </c>
      <c r="B50" s="41"/>
      <c r="C50" s="41"/>
      <c r="D50" s="29"/>
      <c r="E50" s="69"/>
      <c r="F50" s="70"/>
      <c r="G50" s="18"/>
      <c r="H50" s="22"/>
      <c r="I50" s="22"/>
      <c r="J50" s="22"/>
      <c r="K50" s="23"/>
      <c r="L50" s="22"/>
      <c r="M50" s="22"/>
      <c r="N50" s="57"/>
      <c r="O50" s="57"/>
      <c r="P50" s="57"/>
      <c r="Q50" s="61"/>
      <c r="R50" s="61"/>
      <c r="S50" s="61"/>
      <c r="T50" s="61"/>
      <c r="U50" s="61"/>
      <c r="V50" s="61"/>
      <c r="W50" s="61"/>
    </row>
    <row r="51" spans="1:23" s="25" customFormat="1">
      <c r="A51" s="73">
        <v>47</v>
      </c>
      <c r="B51" s="41"/>
      <c r="C51" s="41"/>
      <c r="D51" s="29"/>
      <c r="E51" s="69"/>
      <c r="F51" s="70"/>
      <c r="G51" s="18"/>
      <c r="H51" s="22"/>
      <c r="I51" s="22"/>
      <c r="J51" s="22"/>
      <c r="K51" s="23"/>
      <c r="L51" s="22"/>
      <c r="M51" s="22"/>
      <c r="N51" s="57"/>
      <c r="O51" s="57"/>
      <c r="P51" s="57"/>
      <c r="Q51" s="61"/>
      <c r="R51" s="61"/>
      <c r="S51" s="61"/>
      <c r="T51" s="61"/>
      <c r="U51" s="61"/>
      <c r="V51" s="61"/>
      <c r="W51" s="61"/>
    </row>
    <row r="52" spans="1:23" s="25" customFormat="1">
      <c r="A52" s="73">
        <v>48</v>
      </c>
      <c r="B52" s="41"/>
      <c r="C52" s="41"/>
      <c r="D52" s="29"/>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29" type="noConversion"/>
  <conditionalFormatting sqref="L205:L65536 P1:P2">
    <cfRule type="cellIs" dxfId="254" priority="176" stopIfTrue="1" operator="equal">
      <formula>"Fixed"</formula>
    </cfRule>
    <cfRule type="cellIs" dxfId="253" priority="177" stopIfTrue="1" operator="equal">
      <formula>"Open"</formula>
    </cfRule>
  </conditionalFormatting>
  <conditionalFormatting sqref="L4">
    <cfRule type="cellIs" dxfId="252" priority="178" stopIfTrue="1" operator="equal">
      <formula>"Open"</formula>
    </cfRule>
    <cfRule type="cellIs" dxfId="251" priority="179" stopIfTrue="1" operator="equal">
      <formula>"Fixed"</formula>
    </cfRule>
  </conditionalFormatting>
  <conditionalFormatting sqref="L12:L20 L24:L25 L33:L34 L27:L29 L39:L43 L47:L204">
    <cfRule type="expression" dxfId="250" priority="180" stopIfTrue="1">
      <formula>AND($M12="Approved",$L12="Fixed")</formula>
    </cfRule>
    <cfRule type="cellIs" dxfId="249" priority="181" stopIfTrue="1" operator="equal">
      <formula>"Fixed"</formula>
    </cfRule>
    <cfRule type="cellIs" dxfId="248" priority="182" stopIfTrue="1" operator="equal">
      <formula>"Open"</formula>
    </cfRule>
  </conditionalFormatting>
  <conditionalFormatting sqref="M12:M20 M24:M25 M33:M34 M27:M29 M39:M43 M47:M204">
    <cfRule type="expression" dxfId="247" priority="183" stopIfTrue="1">
      <formula>OR(M12="Fixed",M12="Approved")</formula>
    </cfRule>
    <cfRule type="cellIs" dxfId="246" priority="184" stopIfTrue="1" operator="equal">
      <formula>"Rejected"</formula>
    </cfRule>
  </conditionalFormatting>
  <conditionalFormatting sqref="A3">
    <cfRule type="expression" dxfId="245" priority="170" stopIfTrue="1">
      <formula>$X$2=1</formula>
    </cfRule>
    <cfRule type="expression" dxfId="244" priority="171" stopIfTrue="1">
      <formula>$Y$2=1</formula>
    </cfRule>
    <cfRule type="expression" dxfId="243" priority="173" stopIfTrue="1">
      <formula>$AA$2=1</formula>
    </cfRule>
  </conditionalFormatting>
  <conditionalFormatting sqref="A3:C3">
    <cfRule type="expression" dxfId="242" priority="172" stopIfTrue="1">
      <formula>$Z$2=1</formula>
    </cfRule>
  </conditionalFormatting>
  <conditionalFormatting sqref="A21:A24 D24:K24 A25:C25 E25:K25 A26:A28 A29:K29 D27:K28 B28:K28 A30:A33 D33:K33 A34:K34 A35:A38 A39:B39 A40:A42 D39:K42 A48:K51 A44:A47 D47:K47 A43:K43 A53:K204 A52 C52:K52 A12:K15 A16:G18 A19:K19 A20:G20 A5:A11">
    <cfRule type="expression" dxfId="241" priority="354" stopIfTrue="1">
      <formula>AND($M5="Approved",OR($L5=$R$1,$L5=$T$1))</formula>
    </cfRule>
  </conditionalFormatting>
  <conditionalFormatting sqref="L21">
    <cfRule type="expression" dxfId="240" priority="164" stopIfTrue="1">
      <formula>AND($M21="Approved",$L21="Fixed")</formula>
    </cfRule>
    <cfRule type="cellIs" dxfId="239" priority="165" stopIfTrue="1" operator="equal">
      <formula>"Fixed"</formula>
    </cfRule>
    <cfRule type="cellIs" dxfId="238" priority="166" stopIfTrue="1" operator="equal">
      <formula>"Open"</formula>
    </cfRule>
  </conditionalFormatting>
  <conditionalFormatting sqref="M21">
    <cfRule type="expression" dxfId="237" priority="167" stopIfTrue="1">
      <formula>OR(M21="Fixed",M21="Approved")</formula>
    </cfRule>
    <cfRule type="cellIs" dxfId="236" priority="168" stopIfTrue="1" operator="equal">
      <formula>"Rejected"</formula>
    </cfRule>
  </conditionalFormatting>
  <conditionalFormatting sqref="B21:K21">
    <cfRule type="expression" dxfId="235" priority="169" stopIfTrue="1">
      <formula>AND($M21="Approved",OR($L21=$R$1,$L21=$T$1))</formula>
    </cfRule>
  </conditionalFormatting>
  <conditionalFormatting sqref="L22">
    <cfRule type="expression" dxfId="234" priority="158" stopIfTrue="1">
      <formula>AND($M22="Approved",$L22="Fixed")</formula>
    </cfRule>
    <cfRule type="cellIs" dxfId="233" priority="159" stopIfTrue="1" operator="equal">
      <formula>"Fixed"</formula>
    </cfRule>
    <cfRule type="cellIs" dxfId="232" priority="160" stopIfTrue="1" operator="equal">
      <formula>"Open"</formula>
    </cfRule>
  </conditionalFormatting>
  <conditionalFormatting sqref="M22">
    <cfRule type="expression" dxfId="231" priority="161" stopIfTrue="1">
      <formula>OR(M22="Fixed",M22="Approved")</formula>
    </cfRule>
    <cfRule type="cellIs" dxfId="230" priority="162" stopIfTrue="1" operator="equal">
      <formula>"Rejected"</formula>
    </cfRule>
  </conditionalFormatting>
  <conditionalFormatting sqref="B22:K22">
    <cfRule type="expression" dxfId="229" priority="163" stopIfTrue="1">
      <formula>AND($M22="Approved",OR($L22=$R$1,$L22=$T$1))</formula>
    </cfRule>
  </conditionalFormatting>
  <conditionalFormatting sqref="L23">
    <cfRule type="expression" dxfId="228" priority="152" stopIfTrue="1">
      <formula>AND($M23="Approved",$L23="Fixed")</formula>
    </cfRule>
    <cfRule type="cellIs" dxfId="227" priority="153" stopIfTrue="1" operator="equal">
      <formula>"Fixed"</formula>
    </cfRule>
    <cfRule type="cellIs" dxfId="226" priority="154" stopIfTrue="1" operator="equal">
      <formula>"Open"</formula>
    </cfRule>
  </conditionalFormatting>
  <conditionalFormatting sqref="M23">
    <cfRule type="expression" dxfId="225" priority="155" stopIfTrue="1">
      <formula>OR(M23="Fixed",M23="Approved")</formula>
    </cfRule>
    <cfRule type="cellIs" dxfId="224" priority="156" stopIfTrue="1" operator="equal">
      <formula>"Rejected"</formula>
    </cfRule>
  </conditionalFormatting>
  <conditionalFormatting sqref="B23:K23">
    <cfRule type="expression" dxfId="223" priority="157" stopIfTrue="1">
      <formula>AND($M23="Approved",OR($L23=$R$1,$L23=$T$1))</formula>
    </cfRule>
  </conditionalFormatting>
  <conditionalFormatting sqref="B24:C24">
    <cfRule type="expression" dxfId="222" priority="151" stopIfTrue="1">
      <formula>AND($M24="Approved",OR($L24=$R$1,$L24=$T$1))</formula>
    </cfRule>
  </conditionalFormatting>
  <conditionalFormatting sqref="D25">
    <cfRule type="expression" dxfId="221" priority="150" stopIfTrue="1">
      <formula>AND($M25="Approved",OR($L25=$R$1,$L25=$T$1))</formula>
    </cfRule>
  </conditionalFormatting>
  <conditionalFormatting sqref="L26">
    <cfRule type="expression" dxfId="220" priority="144" stopIfTrue="1">
      <formula>AND($M26="Approved",$L26="Fixed")</formula>
    </cfRule>
    <cfRule type="cellIs" dxfId="219" priority="145" stopIfTrue="1" operator="equal">
      <formula>"Fixed"</formula>
    </cfRule>
    <cfRule type="cellIs" dxfId="218" priority="146" stopIfTrue="1" operator="equal">
      <formula>"Open"</formula>
    </cfRule>
  </conditionalFormatting>
  <conditionalFormatting sqref="M26">
    <cfRule type="expression" dxfId="217" priority="147" stopIfTrue="1">
      <formula>OR(M26="Fixed",M26="Approved")</formula>
    </cfRule>
    <cfRule type="cellIs" dxfId="216" priority="148" stopIfTrue="1" operator="equal">
      <formula>"Rejected"</formula>
    </cfRule>
  </conditionalFormatting>
  <conditionalFormatting sqref="B26:C26 E26:K26">
    <cfRule type="expression" dxfId="215" priority="149" stopIfTrue="1">
      <formula>AND($M26="Approved",OR($L26=$R$1,$L26=$T$1))</formula>
    </cfRule>
  </conditionalFormatting>
  <conditionalFormatting sqref="D26">
    <cfRule type="expression" dxfId="214" priority="143" stopIfTrue="1">
      <formula>AND($M26="Approved",OR($L26=$R$1,$L26=$T$1))</formula>
    </cfRule>
  </conditionalFormatting>
  <conditionalFormatting sqref="B27:C27">
    <cfRule type="expression" dxfId="213" priority="142" stopIfTrue="1">
      <formula>AND($M27="Approved",OR($L27=$R$1,$L27=$T$1))</formula>
    </cfRule>
  </conditionalFormatting>
  <conditionalFormatting sqref="B28:C28">
    <cfRule type="expression" dxfId="212" priority="141" stopIfTrue="1">
      <formula>AND($M28="Approved",OR($L28=$R$1,$L28=$T$1))</formula>
    </cfRule>
  </conditionalFormatting>
  <conditionalFormatting sqref="L30">
    <cfRule type="expression" dxfId="211" priority="135" stopIfTrue="1">
      <formula>AND($M30="Approved",$L30="Fixed")</formula>
    </cfRule>
    <cfRule type="cellIs" dxfId="210" priority="136" stopIfTrue="1" operator="equal">
      <formula>"Fixed"</formula>
    </cfRule>
    <cfRule type="cellIs" dxfId="209" priority="137" stopIfTrue="1" operator="equal">
      <formula>"Open"</formula>
    </cfRule>
  </conditionalFormatting>
  <conditionalFormatting sqref="M30">
    <cfRule type="expression" dxfId="208" priority="138" stopIfTrue="1">
      <formula>OR(M30="Fixed",M30="Approved")</formula>
    </cfRule>
    <cfRule type="cellIs" dxfId="207" priority="139" stopIfTrue="1" operator="equal">
      <formula>"Rejected"</formula>
    </cfRule>
  </conditionalFormatting>
  <conditionalFormatting sqref="B30:K30">
    <cfRule type="expression" dxfId="206" priority="140" stopIfTrue="1">
      <formula>AND($M30="Approved",OR($L30=$R$1,$L30=$T$1))</formula>
    </cfRule>
  </conditionalFormatting>
  <conditionalFormatting sqref="L31">
    <cfRule type="expression" dxfId="205" priority="129" stopIfTrue="1">
      <formula>AND($M31="Approved",$L31="Fixed")</formula>
    </cfRule>
    <cfRule type="cellIs" dxfId="204" priority="130" stopIfTrue="1" operator="equal">
      <formula>"Fixed"</formula>
    </cfRule>
    <cfRule type="cellIs" dxfId="203" priority="131" stopIfTrue="1" operator="equal">
      <formula>"Open"</formula>
    </cfRule>
  </conditionalFormatting>
  <conditionalFormatting sqref="M31">
    <cfRule type="expression" dxfId="202" priority="132" stopIfTrue="1">
      <formula>OR(M31="Fixed",M31="Approved")</formula>
    </cfRule>
    <cfRule type="cellIs" dxfId="201" priority="133" stopIfTrue="1" operator="equal">
      <formula>"Rejected"</formula>
    </cfRule>
  </conditionalFormatting>
  <conditionalFormatting sqref="B31:K31">
    <cfRule type="expression" dxfId="200" priority="134" stopIfTrue="1">
      <formula>AND($M31="Approved",OR($L31=$R$1,$L31=$T$1))</formula>
    </cfRule>
  </conditionalFormatting>
  <conditionalFormatting sqref="L32">
    <cfRule type="expression" dxfId="199" priority="123" stopIfTrue="1">
      <formula>AND($M32="Approved",$L32="Fixed")</formula>
    </cfRule>
    <cfRule type="cellIs" dxfId="198" priority="124" stopIfTrue="1" operator="equal">
      <formula>"Fixed"</formula>
    </cfRule>
    <cfRule type="cellIs" dxfId="197" priority="125" stopIfTrue="1" operator="equal">
      <formula>"Open"</formula>
    </cfRule>
  </conditionalFormatting>
  <conditionalFormatting sqref="M32">
    <cfRule type="expression" dxfId="196" priority="126" stopIfTrue="1">
      <formula>OR(M32="Fixed",M32="Approved")</formula>
    </cfRule>
    <cfRule type="cellIs" dxfId="195" priority="127" stopIfTrue="1" operator="equal">
      <formula>"Rejected"</formula>
    </cfRule>
  </conditionalFormatting>
  <conditionalFormatting sqref="B32:K32">
    <cfRule type="expression" dxfId="194" priority="128" stopIfTrue="1">
      <formula>AND($M32="Approved",OR($L32=$R$1,$L32=$T$1))</formula>
    </cfRule>
  </conditionalFormatting>
  <conditionalFormatting sqref="B27:C27">
    <cfRule type="expression" dxfId="193" priority="122" stopIfTrue="1">
      <formula>AND($M27="Approved",OR($L27=$R$1,$L27=$T$1))</formula>
    </cfRule>
  </conditionalFormatting>
  <conditionalFormatting sqref="L29">
    <cfRule type="expression" dxfId="192" priority="116" stopIfTrue="1">
      <formula>AND($M29="Approved",$L29="Fixed")</formula>
    </cfRule>
    <cfRule type="cellIs" dxfId="191" priority="117" stopIfTrue="1" operator="equal">
      <formula>"Fixed"</formula>
    </cfRule>
    <cfRule type="cellIs" dxfId="190" priority="118" stopIfTrue="1" operator="equal">
      <formula>"Open"</formula>
    </cfRule>
  </conditionalFormatting>
  <conditionalFormatting sqref="M29">
    <cfRule type="expression" dxfId="189" priority="119" stopIfTrue="1">
      <formula>OR(M29="Fixed",M29="Approved")</formula>
    </cfRule>
    <cfRule type="cellIs" dxfId="188" priority="120" stopIfTrue="1" operator="equal">
      <formula>"Rejected"</formula>
    </cfRule>
  </conditionalFormatting>
  <conditionalFormatting sqref="B29:K29">
    <cfRule type="expression" dxfId="187" priority="121" stopIfTrue="1">
      <formula>AND($M29="Approved",OR($L29=$R$1,$L29=$T$1))</formula>
    </cfRule>
  </conditionalFormatting>
  <conditionalFormatting sqref="L30">
    <cfRule type="expression" dxfId="186" priority="110" stopIfTrue="1">
      <formula>AND($M30="Approved",$L30="Fixed")</formula>
    </cfRule>
    <cfRule type="cellIs" dxfId="185" priority="111" stopIfTrue="1" operator="equal">
      <formula>"Fixed"</formula>
    </cfRule>
    <cfRule type="cellIs" dxfId="184" priority="112" stopIfTrue="1" operator="equal">
      <formula>"Open"</formula>
    </cfRule>
  </conditionalFormatting>
  <conditionalFormatting sqref="M30">
    <cfRule type="expression" dxfId="183" priority="113" stopIfTrue="1">
      <formula>OR(M30="Fixed",M30="Approved")</formula>
    </cfRule>
    <cfRule type="cellIs" dxfId="182" priority="114" stopIfTrue="1" operator="equal">
      <formula>"Rejected"</formula>
    </cfRule>
  </conditionalFormatting>
  <conditionalFormatting sqref="B30:K30">
    <cfRule type="expression" dxfId="181" priority="115" stopIfTrue="1">
      <formula>AND($M30="Approved",OR($L30=$R$1,$L30=$T$1))</formula>
    </cfRule>
  </conditionalFormatting>
  <conditionalFormatting sqref="L31">
    <cfRule type="expression" dxfId="180" priority="104" stopIfTrue="1">
      <formula>AND($M31="Approved",$L31="Fixed")</formula>
    </cfRule>
    <cfRule type="cellIs" dxfId="179" priority="105" stopIfTrue="1" operator="equal">
      <formula>"Fixed"</formula>
    </cfRule>
    <cfRule type="cellIs" dxfId="178" priority="106" stopIfTrue="1" operator="equal">
      <formula>"Open"</formula>
    </cfRule>
  </conditionalFormatting>
  <conditionalFormatting sqref="M31">
    <cfRule type="expression" dxfId="177" priority="107" stopIfTrue="1">
      <formula>OR(M31="Fixed",M31="Approved")</formula>
    </cfRule>
    <cfRule type="cellIs" dxfId="176" priority="108" stopIfTrue="1" operator="equal">
      <formula>"Rejected"</formula>
    </cfRule>
  </conditionalFormatting>
  <conditionalFormatting sqref="B31:K31">
    <cfRule type="expression" dxfId="175" priority="109" stopIfTrue="1">
      <formula>AND($M31="Approved",OR($L31=$R$1,$L31=$T$1))</formula>
    </cfRule>
  </conditionalFormatting>
  <conditionalFormatting sqref="B33">
    <cfRule type="expression" dxfId="174" priority="103" stopIfTrue="1">
      <formula>AND($M33="Approved",OR($L33=$R$1,$L33=$T$1))</formula>
    </cfRule>
  </conditionalFormatting>
  <conditionalFormatting sqref="C33">
    <cfRule type="expression" dxfId="173" priority="102" stopIfTrue="1">
      <formula>AND($M33="Approved",OR($L33=$R$1,$L33=$T$1))</formula>
    </cfRule>
  </conditionalFormatting>
  <conditionalFormatting sqref="L35">
    <cfRule type="expression" dxfId="172" priority="96" stopIfTrue="1">
      <formula>AND($M35="Approved",$L35="Fixed")</formula>
    </cfRule>
    <cfRule type="cellIs" dxfId="171" priority="97" stopIfTrue="1" operator="equal">
      <formula>"Fixed"</formula>
    </cfRule>
    <cfRule type="cellIs" dxfId="170" priority="98" stopIfTrue="1" operator="equal">
      <formula>"Open"</formula>
    </cfRule>
  </conditionalFormatting>
  <conditionalFormatting sqref="M35">
    <cfRule type="expression" dxfId="169" priority="99" stopIfTrue="1">
      <formula>OR(M35="Fixed",M35="Approved")</formula>
    </cfRule>
    <cfRule type="cellIs" dxfId="168" priority="100" stopIfTrue="1" operator="equal">
      <formula>"Rejected"</formula>
    </cfRule>
  </conditionalFormatting>
  <conditionalFormatting sqref="B35:K35">
    <cfRule type="expression" dxfId="167" priority="101" stopIfTrue="1">
      <formula>AND($M35="Approved",OR($L35=$R$1,$L35=$T$1))</formula>
    </cfRule>
  </conditionalFormatting>
  <conditionalFormatting sqref="L36">
    <cfRule type="expression" dxfId="166" priority="90" stopIfTrue="1">
      <formula>AND($M36="Approved",$L36="Fixed")</formula>
    </cfRule>
    <cfRule type="cellIs" dxfId="165" priority="91" stopIfTrue="1" operator="equal">
      <formula>"Fixed"</formula>
    </cfRule>
    <cfRule type="cellIs" dxfId="164" priority="92" stopIfTrue="1" operator="equal">
      <formula>"Open"</formula>
    </cfRule>
  </conditionalFormatting>
  <conditionalFormatting sqref="M36">
    <cfRule type="expression" dxfId="163" priority="93" stopIfTrue="1">
      <formula>OR(M36="Fixed",M36="Approved")</formula>
    </cfRule>
    <cfRule type="cellIs" dxfId="162" priority="94" stopIfTrue="1" operator="equal">
      <formula>"Rejected"</formula>
    </cfRule>
  </conditionalFormatting>
  <conditionalFormatting sqref="B36:K36">
    <cfRule type="expression" dxfId="161" priority="95" stopIfTrue="1">
      <formula>AND($M36="Approved",OR($L36=$R$1,$L36=$T$1))</formula>
    </cfRule>
  </conditionalFormatting>
  <conditionalFormatting sqref="L37">
    <cfRule type="expression" dxfId="160" priority="84" stopIfTrue="1">
      <formula>AND($M37="Approved",$L37="Fixed")</formula>
    </cfRule>
    <cfRule type="cellIs" dxfId="159" priority="85" stopIfTrue="1" operator="equal">
      <formula>"Fixed"</formula>
    </cfRule>
    <cfRule type="cellIs" dxfId="158" priority="86" stopIfTrue="1" operator="equal">
      <formula>"Open"</formula>
    </cfRule>
  </conditionalFormatting>
  <conditionalFormatting sqref="M37">
    <cfRule type="expression" dxfId="157" priority="87" stopIfTrue="1">
      <formula>OR(M37="Fixed",M37="Approved")</formula>
    </cfRule>
    <cfRule type="cellIs" dxfId="156" priority="88" stopIfTrue="1" operator="equal">
      <formula>"Rejected"</formula>
    </cfRule>
  </conditionalFormatting>
  <conditionalFormatting sqref="B37:K37">
    <cfRule type="expression" dxfId="155" priority="89" stopIfTrue="1">
      <formula>AND($M37="Approved",OR($L37=$R$1,$L37=$T$1))</formula>
    </cfRule>
  </conditionalFormatting>
  <conditionalFormatting sqref="L38">
    <cfRule type="expression" dxfId="154" priority="78" stopIfTrue="1">
      <formula>AND($M38="Approved",$L38="Fixed")</formula>
    </cfRule>
    <cfRule type="cellIs" dxfId="153" priority="79" stopIfTrue="1" operator="equal">
      <formula>"Fixed"</formula>
    </cfRule>
    <cfRule type="cellIs" dxfId="152" priority="80" stopIfTrue="1" operator="equal">
      <formula>"Open"</formula>
    </cfRule>
  </conditionalFormatting>
  <conditionalFormatting sqref="M38">
    <cfRule type="expression" dxfId="151" priority="81" stopIfTrue="1">
      <formula>OR(M38="Fixed",M38="Approved")</formula>
    </cfRule>
    <cfRule type="cellIs" dxfId="150" priority="82" stopIfTrue="1" operator="equal">
      <formula>"Rejected"</formula>
    </cfRule>
  </conditionalFormatting>
  <conditionalFormatting sqref="B38:K38">
    <cfRule type="expression" dxfId="149" priority="83" stopIfTrue="1">
      <formula>AND($M38="Approved",OR($L38=$R$1,$L38=$T$1))</formula>
    </cfRule>
  </conditionalFormatting>
  <conditionalFormatting sqref="C39">
    <cfRule type="expression" dxfId="148" priority="77" stopIfTrue="1">
      <formula>AND($M39="Approved",OR($L39=$R$1,$L39=$T$1))</formula>
    </cfRule>
  </conditionalFormatting>
  <conditionalFormatting sqref="B40">
    <cfRule type="expression" dxfId="147" priority="76" stopIfTrue="1">
      <formula>AND($M40="Approved",OR($L40=$R$1,$L40=$T$1))</formula>
    </cfRule>
  </conditionalFormatting>
  <conditionalFormatting sqref="C40">
    <cfRule type="expression" dxfId="146" priority="75" stopIfTrue="1">
      <formula>AND($M40="Approved",OR($L40=$R$1,$L40=$T$1))</formula>
    </cfRule>
  </conditionalFormatting>
  <conditionalFormatting sqref="B41">
    <cfRule type="expression" dxfId="145" priority="74" stopIfTrue="1">
      <formula>AND($M41="Approved",OR($L41=$R$1,$L41=$T$1))</formula>
    </cfRule>
  </conditionalFormatting>
  <conditionalFormatting sqref="C41">
    <cfRule type="expression" dxfId="144" priority="73" stopIfTrue="1">
      <formula>AND($M41="Approved",OR($L41=$R$1,$L41=$T$1))</formula>
    </cfRule>
  </conditionalFormatting>
  <conditionalFormatting sqref="B42">
    <cfRule type="expression" dxfId="143" priority="72" stopIfTrue="1">
      <formula>AND($M42="Approved",OR($L42=$R$1,$L42=$T$1))</formula>
    </cfRule>
  </conditionalFormatting>
  <conditionalFormatting sqref="C42">
    <cfRule type="expression" dxfId="142" priority="71" stopIfTrue="1">
      <formula>AND($M42="Approved",OR($L42=$R$1,$L42=$T$1))</formula>
    </cfRule>
  </conditionalFormatting>
  <conditionalFormatting sqref="L44">
    <cfRule type="expression" dxfId="141" priority="65" stopIfTrue="1">
      <formula>AND($M44="Approved",$L44="Fixed")</formula>
    </cfRule>
    <cfRule type="cellIs" dxfId="140" priority="66" stopIfTrue="1" operator="equal">
      <formula>"Fixed"</formula>
    </cfRule>
    <cfRule type="cellIs" dxfId="139" priority="67" stopIfTrue="1" operator="equal">
      <formula>"Open"</formula>
    </cfRule>
  </conditionalFormatting>
  <conditionalFormatting sqref="M44">
    <cfRule type="expression" dxfId="138" priority="68" stopIfTrue="1">
      <formula>OR(M44="Fixed",M44="Approved")</formula>
    </cfRule>
    <cfRule type="cellIs" dxfId="137" priority="69" stopIfTrue="1" operator="equal">
      <formula>"Rejected"</formula>
    </cfRule>
  </conditionalFormatting>
  <conditionalFormatting sqref="B44 D44:K44">
    <cfRule type="expression" dxfId="136" priority="70" stopIfTrue="1">
      <formula>AND($M44="Approved",OR($L44=$R$1,$L44=$T$1))</formula>
    </cfRule>
  </conditionalFormatting>
  <conditionalFormatting sqref="L45">
    <cfRule type="expression" dxfId="135" priority="59" stopIfTrue="1">
      <formula>AND($M45="Approved",$L45="Fixed")</formula>
    </cfRule>
    <cfRule type="cellIs" dxfId="134" priority="60" stopIfTrue="1" operator="equal">
      <formula>"Fixed"</formula>
    </cfRule>
    <cfRule type="cellIs" dxfId="133" priority="61" stopIfTrue="1" operator="equal">
      <formula>"Open"</formula>
    </cfRule>
  </conditionalFormatting>
  <conditionalFormatting sqref="M45">
    <cfRule type="expression" dxfId="132" priority="62" stopIfTrue="1">
      <formula>OR(M45="Fixed",M45="Approved")</formula>
    </cfRule>
    <cfRule type="cellIs" dxfId="131" priority="63" stopIfTrue="1" operator="equal">
      <formula>"Rejected"</formula>
    </cfRule>
  </conditionalFormatting>
  <conditionalFormatting sqref="B45 D45:K45">
    <cfRule type="expression" dxfId="130" priority="64" stopIfTrue="1">
      <formula>AND($M45="Approved",OR($L45=$R$1,$L45=$T$1))</formula>
    </cfRule>
  </conditionalFormatting>
  <conditionalFormatting sqref="L46">
    <cfRule type="expression" dxfId="129" priority="53" stopIfTrue="1">
      <formula>AND($M46="Approved",$L46="Fixed")</formula>
    </cfRule>
    <cfRule type="cellIs" dxfId="128" priority="54" stopIfTrue="1" operator="equal">
      <formula>"Fixed"</formula>
    </cfRule>
    <cfRule type="cellIs" dxfId="127" priority="55" stopIfTrue="1" operator="equal">
      <formula>"Open"</formula>
    </cfRule>
  </conditionalFormatting>
  <conditionalFormatting sqref="M46">
    <cfRule type="expression" dxfId="126" priority="56" stopIfTrue="1">
      <formula>OR(M46="Fixed",M46="Approved")</formula>
    </cfRule>
    <cfRule type="cellIs" dxfId="125" priority="57" stopIfTrue="1" operator="equal">
      <formula>"Rejected"</formula>
    </cfRule>
  </conditionalFormatting>
  <conditionalFormatting sqref="B46 D46:K46">
    <cfRule type="expression" dxfId="124" priority="58" stopIfTrue="1">
      <formula>AND($M46="Approved",OR($L46=$R$1,$L46=$T$1))</formula>
    </cfRule>
  </conditionalFormatting>
  <conditionalFormatting sqref="B47">
    <cfRule type="expression" dxfId="123" priority="52" stopIfTrue="1">
      <formula>AND($M47="Approved",OR($L47=$R$1,$L47=$T$1))</formula>
    </cfRule>
  </conditionalFormatting>
  <conditionalFormatting sqref="C44">
    <cfRule type="expression" dxfId="122" priority="51" stopIfTrue="1">
      <formula>AND($M44="Approved",OR($L44=$R$1,$L44=$T$1))</formula>
    </cfRule>
  </conditionalFormatting>
  <conditionalFormatting sqref="C45">
    <cfRule type="expression" dxfId="121" priority="50" stopIfTrue="1">
      <formula>AND($M45="Approved",OR($L45=$R$1,$L45=$T$1))</formula>
    </cfRule>
  </conditionalFormatting>
  <conditionalFormatting sqref="C46">
    <cfRule type="expression" dxfId="120" priority="49" stopIfTrue="1">
      <formula>AND($M46="Approved",OR($L46=$R$1,$L46=$T$1))</formula>
    </cfRule>
  </conditionalFormatting>
  <conditionalFormatting sqref="C47">
    <cfRule type="expression" dxfId="119" priority="48" stopIfTrue="1">
      <formula>AND($M47="Approved",OR($L47=$R$1,$L47=$T$1))</formula>
    </cfRule>
  </conditionalFormatting>
  <conditionalFormatting sqref="B52">
    <cfRule type="expression" dxfId="118" priority="47" stopIfTrue="1">
      <formula>AND($M52="Approved",OR($L52=$R$1,$L52=$T$1))</formula>
    </cfRule>
  </conditionalFormatting>
  <conditionalFormatting sqref="L10:L11 L5:L8">
    <cfRule type="expression" dxfId="117" priority="41" stopIfTrue="1">
      <formula>AND($M5="Approved",$L5="Fixed")</formula>
    </cfRule>
    <cfRule type="cellIs" dxfId="116" priority="42" stopIfTrue="1" operator="equal">
      <formula>"Fixed"</formula>
    </cfRule>
    <cfRule type="cellIs" dxfId="115" priority="43" stopIfTrue="1" operator="equal">
      <formula>"Open"</formula>
    </cfRule>
  </conditionalFormatting>
  <conditionalFormatting sqref="M10:M11 M5:M8">
    <cfRule type="expression" dxfId="114" priority="44" stopIfTrue="1">
      <formula>OR(M5="Fixed",M5="Approved")</formula>
    </cfRule>
    <cfRule type="cellIs" dxfId="113" priority="45" stopIfTrue="1" operator="equal">
      <formula>"Rejected"</formula>
    </cfRule>
  </conditionalFormatting>
  <conditionalFormatting sqref="B5 E5:K5 D10:K11">
    <cfRule type="expression" dxfId="112" priority="46" stopIfTrue="1">
      <formula>AND($M5="Approved",OR($L5=$R$1,$L5=$T$1))</formula>
    </cfRule>
  </conditionalFormatting>
  <conditionalFormatting sqref="M9">
    <cfRule type="expression" dxfId="105" priority="20" stopIfTrue="1">
      <formula>OR(M9="Fixed",M9="Approved")</formula>
    </cfRule>
    <cfRule type="cellIs" dxfId="104" priority="21" stopIfTrue="1" operator="equal">
      <formula>"Rejected"</formula>
    </cfRule>
  </conditionalFormatting>
  <conditionalFormatting sqref="E9:H9">
    <cfRule type="expression" dxfId="103" priority="22" stopIfTrue="1">
      <formula>AND($M9="Approved",OR($L9=$R$1,$L9=$T$1))</formula>
    </cfRule>
  </conditionalFormatting>
  <conditionalFormatting sqref="B9">
    <cfRule type="expression" dxfId="102" priority="16" stopIfTrue="1">
      <formula>AND($M9="Approved",OR($L9=$R$1,$L9=$T$1))</formula>
    </cfRule>
  </conditionalFormatting>
  <conditionalFormatting sqref="B10">
    <cfRule type="expression" dxfId="101" priority="15" stopIfTrue="1">
      <formula>AND($M10="Approved",OR($L10=$R$1,$L10=$T$1))</formula>
    </cfRule>
  </conditionalFormatting>
  <conditionalFormatting sqref="C11">
    <cfRule type="expression" dxfId="100" priority="14" stopIfTrue="1">
      <formula>AND($M11="Approved",OR($L11=$R$1,$L11=$T$1))</formula>
    </cfRule>
  </conditionalFormatting>
  <conditionalFormatting sqref="B11">
    <cfRule type="expression" dxfId="99" priority="13" stopIfTrue="1">
      <formula>AND($M11="Approved",OR($L11=$R$1,$L11=$T$1))</formula>
    </cfRule>
  </conditionalFormatting>
  <conditionalFormatting sqref="C5 C9:C10">
    <cfRule type="expression" dxfId="98" priority="12" stopIfTrue="1">
      <formula>AND($M5="Approved",OR($L5=$R$1,$L5=$T$1))</formula>
    </cfRule>
  </conditionalFormatting>
  <conditionalFormatting sqref="L9">
    <cfRule type="expression" dxfId="97" priority="8" stopIfTrue="1">
      <formula>AND($M9="Approved",$L9="Fixed")</formula>
    </cfRule>
    <cfRule type="cellIs" dxfId="96" priority="9" stopIfTrue="1" operator="equal">
      <formula>"Fixed"</formula>
    </cfRule>
    <cfRule type="cellIs" dxfId="95" priority="10" stopIfTrue="1" operator="equal">
      <formula>"Open"</formula>
    </cfRule>
  </conditionalFormatting>
  <conditionalFormatting sqref="I9:K9">
    <cfRule type="expression" dxfId="94" priority="11" stopIfTrue="1">
      <formula>AND($M9="Approved",OR($L9=$R$1,$L9=$T$1))</formula>
    </cfRule>
  </conditionalFormatting>
  <conditionalFormatting sqref="H16:K16">
    <cfRule type="expression" dxfId="93" priority="7" stopIfTrue="1">
      <formula>AND($M16="Approved",OR($L16=$R$1,$L16=$T$1))</formula>
    </cfRule>
  </conditionalFormatting>
  <conditionalFormatting sqref="H17:I17 K17">
    <cfRule type="expression" dxfId="92" priority="6" stopIfTrue="1">
      <formula>AND($M17="Approved",OR($L17=$R$1,$L17=$T$1))</formula>
    </cfRule>
  </conditionalFormatting>
  <conditionalFormatting sqref="H18:I18 K18">
    <cfRule type="expression" dxfId="91" priority="5" stopIfTrue="1">
      <formula>AND($M18="Approved",OR($L18=$R$1,$L18=$T$1))</formula>
    </cfRule>
  </conditionalFormatting>
  <conditionalFormatting sqref="H20:I20 K20">
    <cfRule type="expression" dxfId="90" priority="4" stopIfTrue="1">
      <formula>AND($M20="Approved",OR($L20=$R$1,$L20=$T$1))</formula>
    </cfRule>
  </conditionalFormatting>
  <conditionalFormatting sqref="J17:J18">
    <cfRule type="expression" dxfId="89" priority="3" stopIfTrue="1">
      <formula>AND($M17="Approved",OR($L17=$R$1,$L17=$T$1))</formula>
    </cfRule>
  </conditionalFormatting>
  <conditionalFormatting sqref="J20">
    <cfRule type="expression" dxfId="88" priority="2" stopIfTrue="1">
      <formula>AND($M20="Approved",OR($L20=$R$1,$L20=$T$1))</formula>
    </cfRule>
  </conditionalFormatting>
  <conditionalFormatting sqref="D9">
    <cfRule type="expression" dxfId="87" priority="1" stopIfTrue="1">
      <formula>AND($M9="Approved",OR($L9=$R$1,$L9=$T$1))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 I9: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E3" sqref="E3"/>
    </sheetView>
  </sheetViews>
  <sheetFormatPr defaultColWidth="9.28515625" defaultRowHeight="12.75" outlineLevelCol="1"/>
  <cols>
    <col min="1" max="1" width="12.85546875" style="158" bestFit="1" customWidth="1"/>
    <col min="2" max="2" width="61" style="157" customWidth="1"/>
    <col min="3" max="5" width="12.7109375" style="156" customWidth="1"/>
    <col min="6" max="6" width="33.7109375" style="156" customWidth="1"/>
    <col min="7" max="8" width="30.7109375" style="156" customWidth="1" outlineLevel="1"/>
    <col min="9" max="16384" width="9.28515625" style="156"/>
  </cols>
  <sheetData>
    <row r="2" spans="1:9" ht="100.5" customHeight="1">
      <c r="A2" s="181" t="s">
        <v>216</v>
      </c>
      <c r="B2" s="182" t="s">
        <v>229</v>
      </c>
      <c r="C2" s="183" t="s">
        <v>378</v>
      </c>
      <c r="D2" s="183" t="s">
        <v>386</v>
      </c>
      <c r="E2" s="183" t="s">
        <v>381</v>
      </c>
      <c r="F2" s="184" t="s">
        <v>225</v>
      </c>
      <c r="G2" s="321" t="s">
        <v>186</v>
      </c>
      <c r="H2" s="322"/>
    </row>
    <row r="3" spans="1:9" ht="18.75">
      <c r="A3" s="185"/>
      <c r="B3" s="186"/>
      <c r="C3" s="187">
        <f>COUNTIF(Review.ratings,"Yes") / ( COUNTA(Review.QuestionIds) - COUNTIF(Review.ratings,"NA"))</f>
        <v>1</v>
      </c>
      <c r="D3" s="187">
        <f>COUNTIF(Review.ratings,"Yes") / ( COUNTA(Review.QuestionIds) - COUNTIF(Review.ratings,"NA"))</f>
        <v>1</v>
      </c>
      <c r="E3" s="187">
        <f>COUNTIF(Review.ratings,"Yes") / ( COUNTA(Review.QuestionIds) - COUNTIF(Review.ratings,"NA"))</f>
        <v>1</v>
      </c>
      <c r="F3" s="192"/>
      <c r="G3" s="200" t="s">
        <v>222</v>
      </c>
      <c r="H3" s="200" t="s">
        <v>223</v>
      </c>
      <c r="I3" s="193"/>
    </row>
    <row r="4" spans="1:9" ht="36">
      <c r="A4" s="188"/>
      <c r="B4" s="189" t="s">
        <v>227</v>
      </c>
      <c r="C4" s="190"/>
      <c r="D4" s="190"/>
      <c r="E4" s="190"/>
      <c r="F4" s="190"/>
      <c r="G4" s="190"/>
      <c r="H4" s="191"/>
      <c r="I4" s="25"/>
    </row>
    <row r="5" spans="1:9" ht="18.75">
      <c r="A5" s="159"/>
      <c r="B5" s="167" t="s">
        <v>226</v>
      </c>
      <c r="C5" s="160"/>
      <c r="D5" s="160"/>
      <c r="E5" s="160"/>
      <c r="F5" s="160"/>
      <c r="G5" s="200"/>
      <c r="H5" s="200"/>
    </row>
    <row r="6" spans="1:9" ht="38.25">
      <c r="A6" s="162" t="s">
        <v>339</v>
      </c>
      <c r="B6" s="170" t="s">
        <v>228</v>
      </c>
      <c r="C6" s="194" t="s">
        <v>215</v>
      </c>
      <c r="D6" s="194" t="s">
        <v>215</v>
      </c>
      <c r="E6" s="194" t="s">
        <v>215</v>
      </c>
      <c r="F6" s="195"/>
      <c r="G6" s="161"/>
      <c r="H6" s="161"/>
    </row>
    <row r="7" spans="1:9" ht="18.75">
      <c r="A7" s="159"/>
      <c r="B7" s="167" t="s">
        <v>264</v>
      </c>
      <c r="C7" s="160"/>
      <c r="D7" s="160"/>
      <c r="E7" s="160"/>
      <c r="F7" s="160"/>
      <c r="G7" s="200"/>
      <c r="H7" s="200"/>
    </row>
    <row r="8" spans="1:9" ht="38.25">
      <c r="A8" s="162" t="s">
        <v>341</v>
      </c>
      <c r="B8" s="170" t="s">
        <v>265</v>
      </c>
      <c r="C8" s="194" t="s">
        <v>215</v>
      </c>
      <c r="D8" s="194" t="s">
        <v>215</v>
      </c>
      <c r="E8" s="194" t="s">
        <v>215</v>
      </c>
      <c r="F8" s="195"/>
      <c r="G8" s="161"/>
      <c r="H8" s="161"/>
    </row>
    <row r="9" spans="1:9" ht="25.5">
      <c r="A9" s="162" t="s">
        <v>342</v>
      </c>
      <c r="B9" s="170" t="s">
        <v>266</v>
      </c>
      <c r="C9" s="194" t="s">
        <v>215</v>
      </c>
      <c r="D9" s="194" t="s">
        <v>215</v>
      </c>
      <c r="E9" s="194" t="s">
        <v>215</v>
      </c>
      <c r="F9" s="195"/>
      <c r="G9" s="161"/>
      <c r="H9" s="161"/>
    </row>
    <row r="10" spans="1:9" ht="38.25">
      <c r="A10" s="162" t="s">
        <v>343</v>
      </c>
      <c r="B10" s="170" t="s">
        <v>344</v>
      </c>
      <c r="C10" s="194" t="s">
        <v>215</v>
      </c>
      <c r="D10" s="194" t="s">
        <v>215</v>
      </c>
      <c r="E10" s="194" t="s">
        <v>215</v>
      </c>
      <c r="F10" s="195"/>
      <c r="G10" s="161"/>
      <c r="H10" s="161"/>
    </row>
    <row r="11" spans="1:9" ht="25.5">
      <c r="A11" s="162" t="s">
        <v>345</v>
      </c>
      <c r="B11" s="170" t="s">
        <v>267</v>
      </c>
      <c r="C11" s="194" t="s">
        <v>215</v>
      </c>
      <c r="D11" s="194" t="s">
        <v>215</v>
      </c>
      <c r="E11" s="194" t="s">
        <v>215</v>
      </c>
      <c r="F11" s="195"/>
      <c r="G11" s="161"/>
      <c r="H11" s="161"/>
    </row>
    <row r="12" spans="1:9" ht="51">
      <c r="A12" s="162" t="s">
        <v>346</v>
      </c>
      <c r="B12" s="170" t="s">
        <v>268</v>
      </c>
      <c r="C12" s="194" t="s">
        <v>215</v>
      </c>
      <c r="D12" s="194" t="s">
        <v>215</v>
      </c>
      <c r="E12" s="194" t="s">
        <v>215</v>
      </c>
      <c r="F12" s="195"/>
      <c r="G12" s="161"/>
      <c r="H12" s="161"/>
    </row>
    <row r="13" spans="1:9" ht="25.5">
      <c r="A13" s="162" t="s">
        <v>347</v>
      </c>
      <c r="B13" s="170" t="s">
        <v>269</v>
      </c>
      <c r="C13" s="194" t="s">
        <v>215</v>
      </c>
      <c r="D13" s="194" t="s">
        <v>215</v>
      </c>
      <c r="E13" s="194" t="s">
        <v>215</v>
      </c>
      <c r="F13" s="195"/>
      <c r="G13" s="161"/>
      <c r="H13" s="161"/>
    </row>
    <row r="14" spans="1:9" ht="25.5">
      <c r="A14" s="162" t="s">
        <v>348</v>
      </c>
      <c r="B14" s="170" t="s">
        <v>270</v>
      </c>
      <c r="C14" s="194" t="s">
        <v>215</v>
      </c>
      <c r="D14" s="194" t="s">
        <v>215</v>
      </c>
      <c r="E14" s="194" t="s">
        <v>215</v>
      </c>
      <c r="F14" s="195"/>
      <c r="G14" s="161"/>
      <c r="H14" s="161"/>
    </row>
    <row r="15" spans="1:9" ht="38.25">
      <c r="A15" s="162" t="s">
        <v>349</v>
      </c>
      <c r="B15" s="170" t="s">
        <v>271</v>
      </c>
      <c r="C15" s="194" t="s">
        <v>215</v>
      </c>
      <c r="D15" s="194" t="s">
        <v>215</v>
      </c>
      <c r="E15" s="194" t="s">
        <v>215</v>
      </c>
      <c r="F15" s="195"/>
      <c r="G15" s="161"/>
      <c r="H15" s="161"/>
    </row>
    <row r="16" spans="1:9" ht="25.5">
      <c r="A16" s="162" t="s">
        <v>350</v>
      </c>
      <c r="B16" s="170" t="s">
        <v>340</v>
      </c>
      <c r="C16" s="194" t="s">
        <v>215</v>
      </c>
      <c r="D16" s="194" t="s">
        <v>215</v>
      </c>
      <c r="E16" s="194" t="s">
        <v>215</v>
      </c>
      <c r="F16" s="195"/>
      <c r="G16" s="161"/>
      <c r="H16" s="161"/>
    </row>
    <row r="17" spans="1:8" ht="38.25">
      <c r="A17" s="162" t="s">
        <v>351</v>
      </c>
      <c r="B17" s="170" t="s">
        <v>352</v>
      </c>
      <c r="C17" s="194" t="s">
        <v>215</v>
      </c>
      <c r="D17" s="194" t="s">
        <v>215</v>
      </c>
      <c r="E17" s="194" t="s">
        <v>215</v>
      </c>
      <c r="F17" s="195"/>
      <c r="G17" s="161"/>
      <c r="H17" s="161"/>
    </row>
    <row r="18" spans="1:8" ht="38.25">
      <c r="A18" s="162" t="s">
        <v>353</v>
      </c>
      <c r="B18" s="170" t="s">
        <v>272</v>
      </c>
      <c r="C18" s="194" t="s">
        <v>215</v>
      </c>
      <c r="D18" s="194" t="s">
        <v>215</v>
      </c>
      <c r="E18" s="194" t="s">
        <v>215</v>
      </c>
      <c r="F18" s="195"/>
      <c r="G18" s="161"/>
      <c r="H18" s="161"/>
    </row>
    <row r="19" spans="1:8" ht="25.5">
      <c r="A19" s="162" t="s">
        <v>354</v>
      </c>
      <c r="B19" s="170" t="s">
        <v>273</v>
      </c>
      <c r="C19" s="194" t="s">
        <v>215</v>
      </c>
      <c r="D19" s="194" t="s">
        <v>215</v>
      </c>
      <c r="E19" s="194" t="s">
        <v>215</v>
      </c>
      <c r="F19" s="195"/>
      <c r="G19" s="161"/>
      <c r="H19" s="161"/>
    </row>
    <row r="20" spans="1:8" ht="25.5">
      <c r="A20" s="162" t="s">
        <v>355</v>
      </c>
      <c r="B20" s="170" t="s">
        <v>274</v>
      </c>
      <c r="C20" s="194" t="s">
        <v>215</v>
      </c>
      <c r="D20" s="194" t="s">
        <v>215</v>
      </c>
      <c r="E20" s="194" t="s">
        <v>215</v>
      </c>
      <c r="F20" s="195"/>
      <c r="G20" s="161"/>
      <c r="H20" s="161"/>
    </row>
    <row r="21" spans="1:8" ht="38.25">
      <c r="A21" s="162" t="s">
        <v>356</v>
      </c>
      <c r="B21" s="170" t="s">
        <v>275</v>
      </c>
      <c r="C21" s="194" t="s">
        <v>215</v>
      </c>
      <c r="D21" s="194" t="s">
        <v>215</v>
      </c>
      <c r="E21" s="194" t="s">
        <v>215</v>
      </c>
      <c r="F21" s="195"/>
      <c r="G21" s="161"/>
      <c r="H21" s="161"/>
    </row>
    <row r="22" spans="1:8" ht="38.25">
      <c r="A22" s="162" t="s">
        <v>357</v>
      </c>
      <c r="B22" s="170" t="s">
        <v>358</v>
      </c>
      <c r="C22" s="194" t="s">
        <v>215</v>
      </c>
      <c r="D22" s="194" t="s">
        <v>215</v>
      </c>
      <c r="E22" s="194" t="s">
        <v>215</v>
      </c>
      <c r="F22" s="195"/>
      <c r="G22" s="161"/>
      <c r="H22" s="161"/>
    </row>
    <row r="23" spans="1:8" ht="18.75">
      <c r="A23" s="159"/>
      <c r="B23" s="167" t="s">
        <v>219</v>
      </c>
      <c r="C23" s="160"/>
      <c r="D23" s="160"/>
      <c r="E23" s="160"/>
      <c r="F23" s="160"/>
      <c r="G23" s="200"/>
      <c r="H23" s="200"/>
    </row>
    <row r="24" spans="1:8" ht="38.25">
      <c r="A24" s="162" t="s">
        <v>314</v>
      </c>
      <c r="B24" s="170" t="s">
        <v>209</v>
      </c>
      <c r="C24" s="194" t="s">
        <v>215</v>
      </c>
      <c r="D24" s="194" t="s">
        <v>215</v>
      </c>
      <c r="E24" s="194" t="s">
        <v>215</v>
      </c>
      <c r="F24" s="203"/>
      <c r="G24" s="161"/>
      <c r="H24" s="161"/>
    </row>
    <row r="25" spans="1:8" ht="25.5">
      <c r="A25" s="162" t="s">
        <v>315</v>
      </c>
      <c r="B25" s="170" t="s">
        <v>210</v>
      </c>
      <c r="C25" s="194" t="s">
        <v>215</v>
      </c>
      <c r="D25" s="194" t="s">
        <v>215</v>
      </c>
      <c r="E25" s="194" t="s">
        <v>215</v>
      </c>
      <c r="F25" s="195"/>
      <c r="G25" s="161"/>
      <c r="H25" s="161"/>
    </row>
    <row r="26" spans="1:8" ht="38.25">
      <c r="A26" s="162" t="s">
        <v>316</v>
      </c>
      <c r="B26" s="170" t="s">
        <v>211</v>
      </c>
      <c r="C26" s="194" t="s">
        <v>215</v>
      </c>
      <c r="D26" s="194" t="s">
        <v>215</v>
      </c>
      <c r="E26" s="194" t="s">
        <v>215</v>
      </c>
      <c r="F26" s="203"/>
      <c r="G26" s="161"/>
      <c r="H26" s="161"/>
    </row>
    <row r="27" spans="1:8" ht="38.25">
      <c r="A27" s="162" t="s">
        <v>317</v>
      </c>
      <c r="B27" s="170" t="s">
        <v>212</v>
      </c>
      <c r="C27" s="194" t="s">
        <v>215</v>
      </c>
      <c r="D27" s="194" t="s">
        <v>215</v>
      </c>
      <c r="E27" s="194" t="s">
        <v>215</v>
      </c>
      <c r="F27" s="203"/>
      <c r="G27" s="161"/>
      <c r="H27" s="161"/>
    </row>
    <row r="28" spans="1:8" ht="18.75">
      <c r="A28" s="159"/>
      <c r="B28" s="167" t="s">
        <v>220</v>
      </c>
      <c r="C28" s="160"/>
      <c r="D28" s="160"/>
      <c r="E28" s="160"/>
      <c r="F28" s="160"/>
      <c r="G28" s="200"/>
      <c r="H28" s="200"/>
    </row>
    <row r="29" spans="1:8" ht="38.25">
      <c r="A29" s="162" t="s">
        <v>318</v>
      </c>
      <c r="B29" s="170" t="s">
        <v>213</v>
      </c>
      <c r="C29" s="194" t="s">
        <v>215</v>
      </c>
      <c r="D29" s="194" t="s">
        <v>215</v>
      </c>
      <c r="E29" s="194" t="s">
        <v>215</v>
      </c>
      <c r="F29" s="195"/>
      <c r="G29" s="161"/>
      <c r="H29" s="161"/>
    </row>
    <row r="30" spans="1:8" ht="38.25">
      <c r="A30" s="162" t="s">
        <v>319</v>
      </c>
      <c r="B30" s="170" t="s">
        <v>214</v>
      </c>
      <c r="C30" s="194" t="s">
        <v>215</v>
      </c>
      <c r="D30" s="194" t="s">
        <v>215</v>
      </c>
      <c r="E30" s="194" t="s">
        <v>215</v>
      </c>
      <c r="F30" s="195"/>
      <c r="G30" s="161"/>
      <c r="H30" s="161"/>
    </row>
    <row r="31" spans="1:8" ht="18.75">
      <c r="A31" s="159"/>
      <c r="B31" s="167" t="s">
        <v>207</v>
      </c>
      <c r="C31" s="160"/>
      <c r="D31" s="160"/>
      <c r="E31" s="160"/>
      <c r="F31" s="160"/>
      <c r="G31" s="200"/>
      <c r="H31" s="200"/>
    </row>
    <row r="32" spans="1:8" ht="51">
      <c r="A32" s="162" t="s">
        <v>320</v>
      </c>
      <c r="B32" s="170" t="s">
        <v>208</v>
      </c>
      <c r="C32" s="194" t="s">
        <v>215</v>
      </c>
      <c r="D32" s="194" t="s">
        <v>215</v>
      </c>
      <c r="E32" s="194" t="s">
        <v>215</v>
      </c>
      <c r="F32" s="195"/>
      <c r="G32" s="161"/>
      <c r="H32" s="161"/>
    </row>
    <row r="33" spans="1:8" ht="18">
      <c r="A33" s="196"/>
      <c r="B33" s="197" t="s">
        <v>224</v>
      </c>
      <c r="C33" s="196"/>
      <c r="D33" s="196"/>
      <c r="E33" s="196"/>
      <c r="F33" s="196"/>
      <c r="G33" s="196"/>
      <c r="H33" s="196"/>
    </row>
    <row r="34" spans="1:8">
      <c r="A34" s="162"/>
      <c r="B34" s="170"/>
    </row>
    <row r="35" spans="1:8" ht="15">
      <c r="A35" s="198"/>
      <c r="B35" s="199" t="s">
        <v>338</v>
      </c>
      <c r="C35" s="198"/>
      <c r="D35" s="198"/>
      <c r="E35" s="198"/>
      <c r="F35" s="198"/>
      <c r="G35" s="198"/>
      <c r="H35" s="198"/>
    </row>
  </sheetData>
  <mergeCells count="1">
    <mergeCell ref="G2:H2"/>
  </mergeCells>
  <conditionalFormatting sqref="C6:E6">
    <cfRule type="cellIs" dxfId="86" priority="1083" operator="equal">
      <formula>"No"</formula>
    </cfRule>
    <cfRule type="cellIs" dxfId="85" priority="1084" operator="equal">
      <formula>"NA"</formula>
    </cfRule>
    <cfRule type="cellIs" dxfId="84" priority="1085" operator="equal">
      <formula>"Yes"</formula>
    </cfRule>
  </conditionalFormatting>
  <conditionalFormatting sqref="C8:E22">
    <cfRule type="cellIs" dxfId="83" priority="10" operator="equal">
      <formula>"No"</formula>
    </cfRule>
    <cfRule type="cellIs" dxfId="82" priority="11" operator="equal">
      <formula>"NA"</formula>
    </cfRule>
    <cfRule type="cellIs" dxfId="81" priority="12" operator="equal">
      <formula>"Yes"</formula>
    </cfRule>
  </conditionalFormatting>
  <conditionalFormatting sqref="C24:E27">
    <cfRule type="cellIs" dxfId="80" priority="7" operator="equal">
      <formula>"No"</formula>
    </cfRule>
    <cfRule type="cellIs" dxfId="79" priority="8" operator="equal">
      <formula>"NA"</formula>
    </cfRule>
    <cfRule type="cellIs" dxfId="78" priority="9" operator="equal">
      <formula>"Yes"</formula>
    </cfRule>
  </conditionalFormatting>
  <conditionalFormatting sqref="C29:E30">
    <cfRule type="cellIs" dxfId="77" priority="4" operator="equal">
      <formula>"No"</formula>
    </cfRule>
    <cfRule type="cellIs" dxfId="76" priority="5" operator="equal">
      <formula>"NA"</formula>
    </cfRule>
    <cfRule type="cellIs" dxfId="75" priority="6" operator="equal">
      <formula>"Yes"</formula>
    </cfRule>
  </conditionalFormatting>
  <conditionalFormatting sqref="C32:E32">
    <cfRule type="cellIs" dxfId="74" priority="1" operator="equal">
      <formula>"No"</formula>
    </cfRule>
    <cfRule type="cellIs" dxfId="73" priority="2" operator="equal">
      <formula>"NA"</formula>
    </cfRule>
    <cfRule type="cellIs" dxfId="72" priority="3" operator="equal">
      <formula>"Yes"</formula>
    </cfRule>
  </conditionalFormatting>
  <dataValidations count="1">
    <dataValidation type="list" allowBlank="1" showInputMessage="1" showErrorMessage="1" sqref="C24:E27 C8:E22 C32:E32 C6:E6 C29:E30"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Normal="100" workbookViewId="0">
      <pane xSplit="1" ySplit="3" topLeftCell="B4" activePane="bottomRight" state="frozen"/>
      <selection pane="topRight" activeCell="B1" sqref="B1"/>
      <selection pane="bottomLeft" activeCell="A4" sqref="A4"/>
      <selection pane="bottomRight" activeCell="D12" sqref="D12"/>
    </sheetView>
  </sheetViews>
  <sheetFormatPr defaultColWidth="9.28515625" defaultRowHeight="12.75" outlineLevelCol="1"/>
  <cols>
    <col min="1" max="1" width="13" style="158"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 customHeight="1">
      <c r="A2" s="181" t="s">
        <v>216</v>
      </c>
      <c r="B2" s="182" t="s">
        <v>230</v>
      </c>
      <c r="C2" s="183" t="s">
        <v>370</v>
      </c>
      <c r="D2" s="184" t="s">
        <v>225</v>
      </c>
      <c r="E2" s="321" t="s">
        <v>186</v>
      </c>
      <c r="F2" s="322"/>
    </row>
    <row r="3" spans="1:7" ht="18.75">
      <c r="A3" s="185"/>
      <c r="B3" s="186"/>
      <c r="C3" s="187">
        <f>COUNTIF(C5:C36,"Yes") / ( COUNTA(C5:C36) - COUNTIF(C5:C36,"NA"))</f>
        <v>1</v>
      </c>
      <c r="D3" s="192"/>
      <c r="E3" s="200" t="s">
        <v>222</v>
      </c>
      <c r="F3" s="200" t="s">
        <v>223</v>
      </c>
      <c r="G3" s="193"/>
    </row>
    <row r="4" spans="1:7" ht="36">
      <c r="A4" s="188"/>
      <c r="B4" s="189" t="s">
        <v>227</v>
      </c>
      <c r="C4" s="190"/>
      <c r="D4" s="190"/>
      <c r="E4" s="190"/>
      <c r="F4" s="191"/>
      <c r="G4" s="25"/>
    </row>
    <row r="5" spans="1:7" ht="18.75">
      <c r="A5" s="159"/>
      <c r="B5" s="167" t="s">
        <v>218</v>
      </c>
      <c r="C5" s="160"/>
      <c r="D5" s="160"/>
      <c r="E5" s="200"/>
      <c r="F5" s="200"/>
    </row>
    <row r="6" spans="1:7" ht="38.25">
      <c r="A6" s="162" t="s">
        <v>294</v>
      </c>
      <c r="B6" s="170" t="s">
        <v>231</v>
      </c>
      <c r="C6" s="194" t="s">
        <v>11</v>
      </c>
      <c r="D6" s="203" t="s">
        <v>371</v>
      </c>
      <c r="E6" s="161"/>
      <c r="F6" s="161"/>
    </row>
    <row r="7" spans="1:7" ht="38.25">
      <c r="A7" s="162" t="s">
        <v>295</v>
      </c>
      <c r="B7" s="170" t="s">
        <v>232</v>
      </c>
      <c r="C7" s="194" t="s">
        <v>215</v>
      </c>
      <c r="D7" s="195"/>
      <c r="E7" s="161"/>
      <c r="F7" s="161"/>
    </row>
    <row r="8" spans="1:7" ht="18.75">
      <c r="A8" s="159"/>
      <c r="B8" s="167" t="s">
        <v>264</v>
      </c>
      <c r="C8" s="160"/>
      <c r="D8" s="160"/>
      <c r="E8" s="200"/>
      <c r="F8" s="200"/>
    </row>
    <row r="9" spans="1:7" ht="25.5">
      <c r="A9" s="162" t="s">
        <v>296</v>
      </c>
      <c r="B9" s="170" t="s">
        <v>276</v>
      </c>
      <c r="C9" s="194" t="s">
        <v>215</v>
      </c>
      <c r="D9" s="195"/>
      <c r="E9" s="161"/>
      <c r="F9" s="161"/>
    </row>
    <row r="10" spans="1:7" ht="25.5">
      <c r="A10" s="162" t="s">
        <v>297</v>
      </c>
      <c r="B10" s="170" t="s">
        <v>277</v>
      </c>
      <c r="C10" s="194" t="s">
        <v>11</v>
      </c>
      <c r="D10" s="203" t="s">
        <v>364</v>
      </c>
      <c r="E10" s="161"/>
      <c r="F10" s="161"/>
    </row>
    <row r="11" spans="1:7" ht="38.25">
      <c r="A11" s="162" t="s">
        <v>298</v>
      </c>
      <c r="B11" s="170" t="s">
        <v>299</v>
      </c>
      <c r="C11" s="194" t="s">
        <v>11</v>
      </c>
      <c r="D11" s="195" t="s">
        <v>373</v>
      </c>
      <c r="E11" s="161"/>
      <c r="F11" s="161"/>
    </row>
    <row r="12" spans="1:7" ht="63.75">
      <c r="A12" s="162" t="s">
        <v>300</v>
      </c>
      <c r="B12" s="170" t="s">
        <v>301</v>
      </c>
      <c r="C12" s="194" t="s">
        <v>215</v>
      </c>
      <c r="D12" s="195"/>
      <c r="E12" s="161"/>
      <c r="F12" s="161"/>
    </row>
    <row r="13" spans="1:7" ht="63.75">
      <c r="A13" s="162" t="s">
        <v>302</v>
      </c>
      <c r="B13" s="170" t="s">
        <v>303</v>
      </c>
      <c r="C13" s="194" t="s">
        <v>215</v>
      </c>
      <c r="D13" s="195"/>
      <c r="E13" s="161"/>
      <c r="F13" s="161"/>
    </row>
    <row r="14" spans="1:7" ht="25.5">
      <c r="A14" s="162" t="s">
        <v>304</v>
      </c>
      <c r="B14" s="170" t="s">
        <v>278</v>
      </c>
      <c r="C14" s="194" t="s">
        <v>215</v>
      </c>
      <c r="D14" s="195"/>
      <c r="E14" s="161"/>
      <c r="F14" s="161"/>
    </row>
    <row r="15" spans="1:7" ht="25.5">
      <c r="A15" s="162" t="s">
        <v>305</v>
      </c>
      <c r="B15" s="170" t="s">
        <v>279</v>
      </c>
      <c r="C15" s="194" t="s">
        <v>215</v>
      </c>
      <c r="D15" s="195"/>
      <c r="E15" s="161"/>
      <c r="F15" s="161"/>
    </row>
    <row r="16" spans="1:7" ht="25.5">
      <c r="A16" s="162" t="s">
        <v>306</v>
      </c>
      <c r="B16" s="170" t="s">
        <v>280</v>
      </c>
      <c r="C16" s="194" t="s">
        <v>11</v>
      </c>
      <c r="D16" s="195" t="s">
        <v>361</v>
      </c>
      <c r="E16" s="161"/>
      <c r="F16" s="161"/>
    </row>
    <row r="17" spans="1:6" ht="51">
      <c r="A17" s="162" t="s">
        <v>307</v>
      </c>
      <c r="B17" s="170" t="s">
        <v>281</v>
      </c>
      <c r="C17" s="194" t="s">
        <v>215</v>
      </c>
      <c r="D17" s="195"/>
      <c r="E17" s="161"/>
      <c r="F17" s="161"/>
    </row>
    <row r="18" spans="1:6" ht="38.25">
      <c r="A18" s="162" t="s">
        <v>308</v>
      </c>
      <c r="B18" s="170" t="s">
        <v>282</v>
      </c>
      <c r="C18" s="194" t="s">
        <v>215</v>
      </c>
      <c r="D18" s="195"/>
      <c r="E18" s="161"/>
      <c r="F18" s="161"/>
    </row>
    <row r="19" spans="1:6" ht="51">
      <c r="A19" s="162" t="s">
        <v>309</v>
      </c>
      <c r="B19" s="170" t="s">
        <v>283</v>
      </c>
      <c r="C19" s="194" t="s">
        <v>215</v>
      </c>
      <c r="D19" s="195"/>
      <c r="E19" s="161"/>
      <c r="F19" s="161"/>
    </row>
    <row r="20" spans="1:6" ht="38.25">
      <c r="A20" s="162" t="s">
        <v>310</v>
      </c>
      <c r="B20" s="170" t="s">
        <v>284</v>
      </c>
      <c r="C20" s="194" t="s">
        <v>215</v>
      </c>
      <c r="D20" s="195"/>
      <c r="E20" s="161"/>
      <c r="F20" s="161"/>
    </row>
    <row r="21" spans="1:6" ht="25.5">
      <c r="A21" s="162" t="s">
        <v>311</v>
      </c>
      <c r="B21" s="170" t="s">
        <v>285</v>
      </c>
      <c r="C21" s="194" t="s">
        <v>215</v>
      </c>
      <c r="D21" s="195"/>
      <c r="E21" s="161"/>
      <c r="F21" s="161"/>
    </row>
    <row r="22" spans="1:6" ht="38.25">
      <c r="A22" s="162" t="s">
        <v>312</v>
      </c>
      <c r="B22" s="170" t="s">
        <v>286</v>
      </c>
      <c r="C22" s="194" t="s">
        <v>215</v>
      </c>
      <c r="D22" s="195"/>
      <c r="E22" s="161"/>
      <c r="F22" s="161"/>
    </row>
    <row r="23" spans="1:6" ht="25.5">
      <c r="A23" s="162" t="s">
        <v>313</v>
      </c>
      <c r="B23" s="170" t="s">
        <v>287</v>
      </c>
      <c r="C23" s="194" t="s">
        <v>215</v>
      </c>
      <c r="D23" s="195"/>
      <c r="E23" s="161"/>
      <c r="F23" s="161"/>
    </row>
    <row r="24" spans="1:6" ht="18.75">
      <c r="A24" s="159"/>
      <c r="B24" s="167" t="s">
        <v>219</v>
      </c>
      <c r="C24" s="160"/>
      <c r="D24" s="160"/>
      <c r="E24" s="200"/>
      <c r="F24" s="200"/>
    </row>
    <row r="25" spans="1:6" ht="38.25">
      <c r="A25" s="162" t="s">
        <v>314</v>
      </c>
      <c r="B25" s="170" t="s">
        <v>209</v>
      </c>
      <c r="C25" s="194" t="s">
        <v>11</v>
      </c>
      <c r="D25" s="203" t="s">
        <v>372</v>
      </c>
      <c r="E25" s="161"/>
      <c r="F25" s="161"/>
    </row>
    <row r="26" spans="1:6" ht="25.5">
      <c r="A26" s="162" t="s">
        <v>315</v>
      </c>
      <c r="B26" s="170" t="s">
        <v>210</v>
      </c>
      <c r="C26" s="194" t="s">
        <v>215</v>
      </c>
      <c r="D26" s="195"/>
      <c r="E26" s="161"/>
      <c r="F26" s="161"/>
    </row>
    <row r="27" spans="1:6" ht="38.25">
      <c r="A27" s="162" t="s">
        <v>316</v>
      </c>
      <c r="B27" s="170" t="s">
        <v>211</v>
      </c>
      <c r="C27" s="194" t="s">
        <v>215</v>
      </c>
      <c r="D27" s="195"/>
      <c r="E27" s="161"/>
      <c r="F27" s="161"/>
    </row>
    <row r="28" spans="1:6" ht="38.25">
      <c r="A28" s="162" t="s">
        <v>317</v>
      </c>
      <c r="B28" s="170" t="s">
        <v>212</v>
      </c>
      <c r="C28" s="194" t="s">
        <v>215</v>
      </c>
      <c r="D28" s="195"/>
      <c r="E28" s="161"/>
      <c r="F28" s="161"/>
    </row>
    <row r="29" spans="1:6" ht="18.75">
      <c r="A29" s="159"/>
      <c r="B29" s="167" t="s">
        <v>220</v>
      </c>
      <c r="C29" s="160"/>
      <c r="D29" s="160"/>
      <c r="E29" s="200"/>
      <c r="F29" s="200"/>
    </row>
    <row r="30" spans="1:6" ht="38.25">
      <c r="A30" s="162" t="s">
        <v>318</v>
      </c>
      <c r="B30" s="170" t="s">
        <v>213</v>
      </c>
      <c r="C30" s="194" t="s">
        <v>215</v>
      </c>
      <c r="D30" s="195"/>
      <c r="E30" s="161"/>
      <c r="F30" s="161"/>
    </row>
    <row r="31" spans="1:6" ht="38.25">
      <c r="A31" s="162" t="s">
        <v>319</v>
      </c>
      <c r="B31" s="170" t="s">
        <v>214</v>
      </c>
      <c r="C31" s="194" t="s">
        <v>215</v>
      </c>
      <c r="D31" s="195"/>
      <c r="E31" s="161"/>
      <c r="F31" s="161"/>
    </row>
    <row r="32" spans="1:6" ht="18.75">
      <c r="A32" s="159"/>
      <c r="B32" s="167" t="s">
        <v>207</v>
      </c>
      <c r="C32" s="160"/>
      <c r="D32" s="160"/>
      <c r="E32" s="200"/>
      <c r="F32" s="200"/>
    </row>
    <row r="33" spans="1:6" ht="51">
      <c r="A33" s="162" t="s">
        <v>320</v>
      </c>
      <c r="B33" s="170" t="s">
        <v>208</v>
      </c>
      <c r="C33" s="194" t="s">
        <v>11</v>
      </c>
      <c r="D33" s="203" t="s">
        <v>363</v>
      </c>
      <c r="E33" s="161"/>
      <c r="F33" s="161"/>
    </row>
    <row r="34" spans="1:6" ht="18">
      <c r="A34" s="196"/>
      <c r="B34" s="197" t="s">
        <v>224</v>
      </c>
      <c r="C34" s="196"/>
      <c r="D34" s="196"/>
      <c r="E34" s="196"/>
      <c r="F34" s="196"/>
    </row>
    <row r="35" spans="1:6" ht="15">
      <c r="A35" s="163"/>
      <c r="B35" s="164"/>
      <c r="C35" s="165"/>
      <c r="D35" s="165"/>
      <c r="E35" s="165"/>
      <c r="F35" s="166"/>
    </row>
    <row r="36" spans="1:6" ht="15">
      <c r="A36" s="201"/>
      <c r="B36" s="202" t="s">
        <v>338</v>
      </c>
      <c r="C36" s="201"/>
      <c r="D36" s="201"/>
      <c r="E36" s="201"/>
      <c r="F36" s="201"/>
    </row>
  </sheetData>
  <mergeCells count="1">
    <mergeCell ref="E2:F2"/>
  </mergeCells>
  <conditionalFormatting sqref="C6">
    <cfRule type="cellIs" dxfId="71" priority="2479" operator="equal">
      <formula>"No"</formula>
    </cfRule>
    <cfRule type="cellIs" dxfId="70" priority="2480" operator="equal">
      <formula>"NA"</formula>
    </cfRule>
    <cfRule type="cellIs" dxfId="69" priority="2481" operator="equal">
      <formula>"Yes"</formula>
    </cfRule>
  </conditionalFormatting>
  <conditionalFormatting sqref="C7">
    <cfRule type="cellIs" dxfId="68" priority="2433" operator="equal">
      <formula>"No"</formula>
    </cfRule>
    <cfRule type="cellIs" dxfId="67" priority="2434" operator="equal">
      <formula>"NA"</formula>
    </cfRule>
    <cfRule type="cellIs" dxfId="66" priority="2435" operator="equal">
      <formula>"Yes"</formula>
    </cfRule>
  </conditionalFormatting>
  <conditionalFormatting sqref="C10">
    <cfRule type="cellIs" dxfId="65" priority="2341" operator="equal">
      <formula>"No"</formula>
    </cfRule>
    <cfRule type="cellIs" dxfId="64" priority="2342" operator="equal">
      <formula>"NA"</formula>
    </cfRule>
    <cfRule type="cellIs" dxfId="63" priority="2343" operator="equal">
      <formula>"Yes"</formula>
    </cfRule>
  </conditionalFormatting>
  <conditionalFormatting sqref="C12">
    <cfRule type="cellIs" dxfId="62" priority="2249" operator="equal">
      <formula>"No"</formula>
    </cfRule>
    <cfRule type="cellIs" dxfId="61" priority="2250" operator="equal">
      <formula>"NA"</formula>
    </cfRule>
    <cfRule type="cellIs" dxfId="60" priority="2251" operator="equal">
      <formula>"Yes"</formula>
    </cfRule>
  </conditionalFormatting>
  <conditionalFormatting sqref="C13">
    <cfRule type="cellIs" dxfId="59" priority="2203" operator="equal">
      <formula>"No"</formula>
    </cfRule>
    <cfRule type="cellIs" dxfId="58" priority="2204" operator="equal">
      <formula>"NA"</formula>
    </cfRule>
    <cfRule type="cellIs" dxfId="57" priority="2205" operator="equal">
      <formula>"Yes"</formula>
    </cfRule>
  </conditionalFormatting>
  <conditionalFormatting sqref="C15">
    <cfRule type="cellIs" dxfId="56" priority="2111" operator="equal">
      <formula>"No"</formula>
    </cfRule>
    <cfRule type="cellIs" dxfId="55" priority="2112" operator="equal">
      <formula>"NA"</formula>
    </cfRule>
    <cfRule type="cellIs" dxfId="54" priority="2113" operator="equal">
      <formula>"Yes"</formula>
    </cfRule>
  </conditionalFormatting>
  <conditionalFormatting sqref="C16">
    <cfRule type="cellIs" dxfId="53" priority="2065" operator="equal">
      <formula>"No"</formula>
    </cfRule>
    <cfRule type="cellIs" dxfId="52" priority="2066" operator="equal">
      <formula>"NA"</formula>
    </cfRule>
    <cfRule type="cellIs" dxfId="51" priority="2067" operator="equal">
      <formula>"Yes"</formula>
    </cfRule>
  </conditionalFormatting>
  <conditionalFormatting sqref="C17">
    <cfRule type="cellIs" dxfId="50" priority="2019" operator="equal">
      <formula>"No"</formula>
    </cfRule>
    <cfRule type="cellIs" dxfId="49" priority="2020" operator="equal">
      <formula>"NA"</formula>
    </cfRule>
    <cfRule type="cellIs" dxfId="48" priority="2021" operator="equal">
      <formula>"Yes"</formula>
    </cfRule>
  </conditionalFormatting>
  <conditionalFormatting sqref="C18">
    <cfRule type="cellIs" dxfId="47" priority="1973" operator="equal">
      <formula>"No"</formula>
    </cfRule>
    <cfRule type="cellIs" dxfId="46" priority="1974" operator="equal">
      <formula>"NA"</formula>
    </cfRule>
    <cfRule type="cellIs" dxfId="45" priority="1975" operator="equal">
      <formula>"Yes"</formula>
    </cfRule>
  </conditionalFormatting>
  <conditionalFormatting sqref="C19">
    <cfRule type="cellIs" dxfId="44" priority="1927" operator="equal">
      <formula>"No"</formula>
    </cfRule>
    <cfRule type="cellIs" dxfId="43" priority="1928" operator="equal">
      <formula>"NA"</formula>
    </cfRule>
    <cfRule type="cellIs" dxfId="42" priority="1929" operator="equal">
      <formula>"Yes"</formula>
    </cfRule>
  </conditionalFormatting>
  <conditionalFormatting sqref="C20">
    <cfRule type="cellIs" dxfId="41" priority="1881" operator="equal">
      <formula>"No"</formula>
    </cfRule>
    <cfRule type="cellIs" dxfId="40" priority="1882" operator="equal">
      <formula>"NA"</formula>
    </cfRule>
    <cfRule type="cellIs" dxfId="39" priority="1883" operator="equal">
      <formula>"Yes"</formula>
    </cfRule>
  </conditionalFormatting>
  <conditionalFormatting sqref="C21">
    <cfRule type="cellIs" dxfId="38" priority="1835" operator="equal">
      <formula>"No"</formula>
    </cfRule>
    <cfRule type="cellIs" dxfId="37" priority="1836" operator="equal">
      <formula>"NA"</formula>
    </cfRule>
    <cfRule type="cellIs" dxfId="36" priority="1837" operator="equal">
      <formula>"Yes"</formula>
    </cfRule>
  </conditionalFormatting>
  <conditionalFormatting sqref="C22">
    <cfRule type="cellIs" dxfId="35" priority="1789" operator="equal">
      <formula>"No"</formula>
    </cfRule>
    <cfRule type="cellIs" dxfId="34" priority="1790" operator="equal">
      <formula>"NA"</formula>
    </cfRule>
    <cfRule type="cellIs" dxfId="33" priority="1791" operator="equal">
      <formula>"Yes"</formula>
    </cfRule>
  </conditionalFormatting>
  <conditionalFormatting sqref="C23">
    <cfRule type="cellIs" dxfId="32" priority="1743" operator="equal">
      <formula>"No"</formula>
    </cfRule>
    <cfRule type="cellIs" dxfId="31" priority="1744" operator="equal">
      <formula>"NA"</formula>
    </cfRule>
    <cfRule type="cellIs" dxfId="30" priority="1745" operator="equal">
      <formula>"Yes"</formula>
    </cfRule>
  </conditionalFormatting>
  <conditionalFormatting sqref="C25">
    <cfRule type="cellIs" dxfId="29" priority="1697" operator="equal">
      <formula>"No"</formula>
    </cfRule>
    <cfRule type="cellIs" dxfId="28" priority="1698" operator="equal">
      <formula>"NA"</formula>
    </cfRule>
    <cfRule type="cellIs" dxfId="27" priority="1699" operator="equal">
      <formula>"Yes"</formula>
    </cfRule>
  </conditionalFormatting>
  <conditionalFormatting sqref="C26">
    <cfRule type="cellIs" dxfId="26" priority="1651" operator="equal">
      <formula>"No"</formula>
    </cfRule>
    <cfRule type="cellIs" dxfId="25" priority="1652" operator="equal">
      <formula>"NA"</formula>
    </cfRule>
    <cfRule type="cellIs" dxfId="24" priority="1653" operator="equal">
      <formula>"Yes"</formula>
    </cfRule>
  </conditionalFormatting>
  <conditionalFormatting sqref="C27">
    <cfRule type="cellIs" dxfId="23" priority="1605" operator="equal">
      <formula>"No"</formula>
    </cfRule>
    <cfRule type="cellIs" dxfId="22" priority="1606" operator="equal">
      <formula>"NA"</formula>
    </cfRule>
    <cfRule type="cellIs" dxfId="21" priority="1607" operator="equal">
      <formula>"Yes"</formula>
    </cfRule>
  </conditionalFormatting>
  <conditionalFormatting sqref="C28">
    <cfRule type="cellIs" dxfId="20" priority="1559" operator="equal">
      <formula>"No"</formula>
    </cfRule>
    <cfRule type="cellIs" dxfId="19" priority="1560" operator="equal">
      <formula>"NA"</formula>
    </cfRule>
    <cfRule type="cellIs" dxfId="18" priority="1561" operator="equal">
      <formula>"Yes"</formula>
    </cfRule>
  </conditionalFormatting>
  <conditionalFormatting sqref="C30">
    <cfRule type="cellIs" dxfId="17" priority="1513" operator="equal">
      <formula>"No"</formula>
    </cfRule>
    <cfRule type="cellIs" dxfId="16" priority="1514" operator="equal">
      <formula>"NA"</formula>
    </cfRule>
    <cfRule type="cellIs" dxfId="15" priority="1515" operator="equal">
      <formula>"Yes"</formula>
    </cfRule>
  </conditionalFormatting>
  <conditionalFormatting sqref="C31">
    <cfRule type="cellIs" dxfId="14" priority="1467" operator="equal">
      <formula>"No"</formula>
    </cfRule>
    <cfRule type="cellIs" dxfId="13" priority="1468" operator="equal">
      <formula>"NA"</formula>
    </cfRule>
    <cfRule type="cellIs" dxfId="12" priority="1469" operator="equal">
      <formula>"Yes"</formula>
    </cfRule>
  </conditionalFormatting>
  <conditionalFormatting sqref="C33">
    <cfRule type="cellIs" dxfId="11" priority="1421" operator="equal">
      <formula>"No"</formula>
    </cfRule>
    <cfRule type="cellIs" dxfId="10" priority="1422" operator="equal">
      <formula>"NA"</formula>
    </cfRule>
    <cfRule type="cellIs" dxfId="9" priority="1423" operator="equal">
      <formula>"Yes"</formula>
    </cfRule>
  </conditionalFormatting>
  <conditionalFormatting sqref="C9">
    <cfRule type="cellIs" dxfId="8" priority="295" operator="equal">
      <formula>"No"</formula>
    </cfRule>
    <cfRule type="cellIs" dxfId="7" priority="296" operator="equal">
      <formula>"NA"</formula>
    </cfRule>
    <cfRule type="cellIs" dxfId="6" priority="297" operator="equal">
      <formula>"Yes"</formula>
    </cfRule>
  </conditionalFormatting>
  <conditionalFormatting sqref="C11">
    <cfRule type="cellIs" dxfId="5" priority="292" operator="equal">
      <formula>"No"</formula>
    </cfRule>
    <cfRule type="cellIs" dxfId="4" priority="293" operator="equal">
      <formula>"NA"</formula>
    </cfRule>
    <cfRule type="cellIs" dxfId="3" priority="294" operator="equal">
      <formula>"Yes"</formula>
    </cfRule>
  </conditionalFormatting>
  <conditionalFormatting sqref="C14">
    <cfRule type="cellIs" dxfId="2" priority="289" operator="equal">
      <formula>"No"</formula>
    </cfRule>
    <cfRule type="cellIs" dxfId="1" priority="290" operator="equal">
      <formula>"NA"</formula>
    </cfRule>
    <cfRule type="cellIs" dxfId="0" priority="291" operator="equal">
      <formula>"Yes"</formula>
    </cfRule>
  </conditionalFormatting>
  <dataValidations count="1">
    <dataValidation type="list" allowBlank="1" showInputMessage="1" showErrorMessage="1" sqref="C9:C23 C33 C25:C28 C6:C7 C30:C31"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LongProperties xmlns="http://schemas.microsoft.com/office/2006/metadata/long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2965021-A51C-4AA2-B873-44DEF42FF54E}">
  <ds:schemaRefs>
    <ds:schemaRef ds:uri="http://schemas.microsoft.com/sharepoint/v3"/>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purl.org/dc/elements/1.1/"/>
    <ds:schemaRef ds:uri="http://schemas.microsoft.com/office/2006/metadata/properties"/>
    <ds:schemaRef ds:uri="http://www.w3.org/XML/1998/namespace"/>
    <ds:schemaRef ds:uri="http://purl.org/dc/dcmitype/"/>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67</vt:i4>
      </vt:variant>
    </vt:vector>
  </HeadingPairs>
  <TitlesOfParts>
    <vt:vector size="75" baseType="lpstr">
      <vt:lpstr>FrontPage</vt:lpstr>
      <vt:lpstr>General info</vt:lpstr>
      <vt:lpstr>Help</vt:lpstr>
      <vt:lpstr>Metrics</vt:lpstr>
      <vt:lpstr>Overview</vt:lpstr>
      <vt:lpstr>Review</vt:lpstr>
      <vt:lpstr>SDD checklist</vt:lpstr>
      <vt:lpstr>CODE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'CODE checklist'!Review.ratings</vt:lpstr>
      <vt:lpstr>'SDD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2023-07-31T12:17:11Z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y fmtid="{D5CDD505-2E9C-101B-9397-08002B2CF9AE}" pid="47" name="MXTitle">
    <vt:lpwstr>CompilerIf - Peer Review Workbook</vt:lpwstr>
  </property>
</Properties>
</file>