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trlProps/ctrlProp9.xml" ContentType="application/vnd.ms-excel.controlproperties+xml"/>
  <Override PartName="/xl/drawings/drawing4.xml" ContentType="application/vnd.openxmlformats-officedocument.drawing+xml"/>
  <Override PartName="/xl/comments3.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tables/table1.xml" ContentType="application/vnd.openxmlformats-officedocument.spreadsheetml.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showInkAnnotation="0" updateLinks="never" codeName="ThisWorkbook" defaultThemeVersion="124226"/>
  <mc:AlternateContent xmlns:mc="http://schemas.openxmlformats.org/markup-compatibility/2006">
    <mc:Choice Requires="x15">
      <x15ac:absPath xmlns:x15ac="http://schemas.microsoft.com/office/spreadsheetml/2010/11/ac" url="S:\Components\Application\Autoliv\DIA\Quality_Assurance\Peer_Review\"/>
    </mc:Choice>
  </mc:AlternateContent>
  <xr:revisionPtr revIDLastSave="0" documentId="13_ncr:1_{246B63BB-9BEF-4769-84A3-4997F0AE9119}" xr6:coauthVersionLast="47" xr6:coauthVersionMax="47" xr10:uidLastSave="{00000000-0000-0000-0000-000000000000}"/>
  <bookViews>
    <workbookView xWindow="-120" yWindow="-120" windowWidth="29040" windowHeight="15990" tabRatio="750" activeTab="5" xr2:uid="{00000000-000D-0000-FFFF-FFFF00000000}"/>
  </bookViews>
  <sheets>
    <sheet name="FrontPage" sheetId="38" r:id="rId1"/>
    <sheet name="General info" sheetId="39" r:id="rId2"/>
    <sheet name="Help" sheetId="15" r:id="rId3"/>
    <sheet name="Metrics" sheetId="16" r:id="rId4"/>
    <sheet name="Overview" sheetId="42" r:id="rId5"/>
    <sheet name="Review" sheetId="18" r:id="rId6"/>
    <sheet name="SDD checklist" sheetId="245" r:id="rId7"/>
    <sheet name="CODE checklist" sheetId="246" r:id="rId8"/>
    <sheet name="UTSR checklist" sheetId="248" r:id="rId9"/>
    <sheet name="ITSR checklist" sheetId="249" r:id="rId10"/>
  </sheets>
  <functionGroups builtInGroupCount="19"/>
  <externalReferences>
    <externalReference r:id="rId11"/>
    <externalReference r:id="rId12"/>
    <externalReference r:id="rId13"/>
    <externalReference r:id="rId14"/>
    <externalReference r:id="rId15"/>
  </externalReferences>
  <definedNames>
    <definedName name="_xlnm._FilterDatabase" localSheetId="5" hidden="1">Review!$A$4:$M$404</definedName>
    <definedName name="Acronyms_Disciplines">'[1]General info'!$AI$73:$AJ$83</definedName>
    <definedName name="Acronyms_Process">'[1]General info'!$AR$73:$AS$91</definedName>
    <definedName name="Acronyms_TypeOfChecks">'[1]General info'!$AL$73:$AM$77</definedName>
    <definedName name="ActorName">Review!$J$4</definedName>
    <definedName name="ApprovalStatus">Metrics!$C$40</definedName>
    <definedName name="AuditFilename">'[1]Generate checklists'!$J$23</definedName>
    <definedName name="AuthorStatus">Review!$L$4</definedName>
    <definedName name="Autofill">Review!$AX$1</definedName>
    <definedName name="ChecklistSelection">FrontPage!$E$18</definedName>
    <definedName name="ChecklistsSheetNameList" localSheetId="9">'[2]General info'!$AJ$84:$AJ$105</definedName>
    <definedName name="ChecklistsSheetNameList" localSheetId="8">'[3]General info'!$AJ$84:$AJ$105</definedName>
    <definedName name="ChecklistsSheetNameList">'General info'!$AJ$84:$AJ$105</definedName>
    <definedName name="ChoiceForProtoype">'[1]General info.Milestone'!$C$210</definedName>
    <definedName name="currentDiscipline">'[1]General info'!$AI$86</definedName>
    <definedName name="currentMilestone.acronym.input">'[1]General info'!$AO$98</definedName>
    <definedName name="currentMilestone.Name.Input">'[1]General info'!$AO$97</definedName>
    <definedName name="currentReview">'[1]General info'!$AU$100</definedName>
    <definedName name="currentReview.acronym.input">'[1]General info'!$AU$101</definedName>
    <definedName name="Description">Review!$D$4</definedName>
    <definedName name="FileName" localSheetId="9">[2]FrontPage!$AD$3</definedName>
    <definedName name="FileName" localSheetId="8">[3]FrontPage!$AD$3</definedName>
    <definedName name="FileName">FrontPage!$AD$3</definedName>
    <definedName name="Identifier">Review!$A$4</definedName>
    <definedName name="Issue_to_treat" localSheetId="5">Review!$X$2</definedName>
    <definedName name="IssuerName">Review!$F$4</definedName>
    <definedName name="Issues_postponed" localSheetId="5">Review!$Z$2</definedName>
    <definedName name="Issues_to_approve" localSheetId="5">Review!$Y$2</definedName>
    <definedName name="List_ProductFamily">'[1]General info.Milestone'!$C$204:$N$206</definedName>
    <definedName name="ManualFill">Review!$AY$1</definedName>
    <definedName name="MilestoneFilename">'[1]Generate checklists'!$C$23</definedName>
    <definedName name="MXActual_state_Released">FrontPage!$AB$5</definedName>
    <definedName name="MXAuthority">FrontPage!$A$5</definedName>
    <definedName name="MXCurrent.Localized">FrontPage!$W$5</definedName>
    <definedName name="MXName">FrontPage!$A$7</definedName>
    <definedName name="MXRevision">FrontPage!$AB$7</definedName>
    <definedName name="MXTitle" localSheetId="9">[2]FrontPage!$E$7</definedName>
    <definedName name="MXTitle" localSheetId="8">[3]FrontPage!$E$7</definedName>
    <definedName name="MXTitle">FrontPage!$E$7</definedName>
    <definedName name="MXVersion">FrontPage!$AE$7</definedName>
    <definedName name="NbOfApprovedIssues" localSheetId="5">Review!$AH$2</definedName>
    <definedName name="NbOfNotApprovedAndPostponedIssues" localSheetId="5">Review!$O$2</definedName>
    <definedName name="NbOfNotApprovedIssues" localSheetId="5">Review!$N$2</definedName>
    <definedName name="NbOfNotTreatedIssues" localSheetId="9">[2]Review!$L$2</definedName>
    <definedName name="NbOfNotTreatedIssues" localSheetId="8">[3]Review!$L$2</definedName>
    <definedName name="NbOfNotTreatedIssues">Review!$L$2</definedName>
    <definedName name="NbOfRejectedIssues" localSheetId="9">[2]Review!$M$2</definedName>
    <definedName name="NbOfRejectedIssues" localSheetId="8">[3]Review!$M$2</definedName>
    <definedName name="NbOfRejectedIssues">Review!$M$2</definedName>
    <definedName name="NextAvailableQuestionId">'[1]General info'!$B$73</definedName>
    <definedName name="OpenDate">Review!$E$4</definedName>
    <definedName name="option_discipline">'[1]General info'!$AI$73:$AI$83</definedName>
    <definedName name="Option_MilestoneFilename">'[1]General info'!$BM$74:$BM$78</definedName>
    <definedName name="Option_MilestoneName">'[1]General info'!$AO$73:$AO$94</definedName>
    <definedName name="Option_Process">'[1]General info'!$AR$73:$AR$91</definedName>
    <definedName name="Option_ReviewEvaluationScale" localSheetId="9">'[2]General info'!$AI$84:$AI$88</definedName>
    <definedName name="Option_ReviewEvaluationScale" localSheetId="8">'[3]General info'!$AI$84:$AI$88</definedName>
    <definedName name="Option_ReviewEvaluationScale">'General info'!$AI$84:$AI$88</definedName>
    <definedName name="Option_Status">'[1]General info'!$BJ$73:$BJ$76</definedName>
    <definedName name="Option_TemplateFilter">'[1]General info'!$BO$74:$BO$80</definedName>
    <definedName name="Option_TypeOfChecks">'[1]General info'!$AL$73:$AL$77</definedName>
    <definedName name="Option_Weight">'[1]General info'!$BA$73:$BA$77</definedName>
    <definedName name="Option_WorkProduct">'[1]General info'!$AU$73:$AU$97</definedName>
    <definedName name="OrganisationalDecision">'[1]General info.Milestone'!$C$183:$C$187</definedName>
    <definedName name="OrgDecision_NOK">'[1]General info.Milestone'!$C$185</definedName>
    <definedName name="OrgDecision_OK">'[1]General info.Milestone'!$C$184</definedName>
    <definedName name="ProjectDecision">[1]template.Milestone!$L$98:$L$101</definedName>
    <definedName name="Rate_F">'[1]General info'!$V$62</definedName>
    <definedName name="Rate_L">'[1]General info'!$V$63</definedName>
    <definedName name="Rate_N">'[1]General info'!$V$65</definedName>
    <definedName name="Rate_P">'[1]General info'!$V$64</definedName>
    <definedName name="Review.QuestionIds" localSheetId="7">'CODE checklist'!$A$5:$A$36</definedName>
    <definedName name="Review.QuestionIds" localSheetId="9">'ITSR checklist'!$A$5:$A$31</definedName>
    <definedName name="Review.QuestionIds" localSheetId="6">'SDD checklist'!$A$5:$A$35</definedName>
    <definedName name="Review.QuestionIds" localSheetId="8">'UTSR checklist'!$A$5:$A$33</definedName>
    <definedName name="Review.ratings" localSheetId="7">'CODE checklist'!$Q$5:$Q$36</definedName>
    <definedName name="Review.ratings" localSheetId="9">'ITSR checklist'!$C$5:$C$31</definedName>
    <definedName name="Review.ratings" localSheetId="6">'SDD checklist'!$C$5:$C$35</definedName>
    <definedName name="Review.ratings" localSheetId="8">'UTSR checklist'!$C$5:$C$33</definedName>
    <definedName name="ReviewerStatus">Review!$M$4</definedName>
    <definedName name="ReviewFilename">'[1]Generate checklists'!$Q$23</definedName>
    <definedName name="Sheet.ReviewTempate" localSheetId="7">'CODE checklist'!$A$1</definedName>
    <definedName name="Sheet.ReviewTempate" localSheetId="9">'ITSR checklist'!$A$1</definedName>
    <definedName name="Sheet.ReviewTempate" localSheetId="6">'SDD checklist'!$A$1</definedName>
    <definedName name="Sheet.ReviewTempate" localSheetId="8">'UTSR checklist'!$A$1</definedName>
    <definedName name="Sheet.ReviewTempate">#REF!</definedName>
    <definedName name="SoftwareReleaseTarget">'[1]General info.Milestone'!$C$210:$C$212</definedName>
    <definedName name="Status_OK" localSheetId="5">Review!$AA$2</definedName>
    <definedName name="StatusFixed" localSheetId="5">Review!$R$2</definedName>
    <definedName name="StatusOpen" localSheetId="5">Review!$U$2</definedName>
    <definedName name="StatusPostponed" localSheetId="5">Review!$S$2</definedName>
    <definedName name="StatusToBeFixed" localSheetId="5">Review!$Q$2</definedName>
    <definedName name="StatusWillNotBeFixed" localSheetId="5">Review!$T$2</definedName>
    <definedName name="Synthesis_ConformityTitle">Metrics!$D$24</definedName>
    <definedName name="Synthesis_Status">Metrics!$C$31</definedName>
    <definedName name="TargetDate">Review!$K$4</definedName>
    <definedName name="Template.Name" localSheetId="7">'CODE checklist'!$B$2</definedName>
    <definedName name="Template.Name" localSheetId="9">'ITSR checklist'!$B$2</definedName>
    <definedName name="Template.Name" localSheetId="6">'SDD checklist'!$B$2</definedName>
    <definedName name="Template.Name" localSheetId="8">'UTSR checklist'!$B$2</definedName>
    <definedName name="Template.Question" localSheetId="7">'CODE checklist'!#REF!</definedName>
    <definedName name="Template.Question" localSheetId="9">'ITSR checklist'!#REF!</definedName>
    <definedName name="Template.Question" localSheetId="6">'SDD checklist'!#REF!</definedName>
    <definedName name="Template.Question" localSheetId="8">'UTSR checklist'!#REF!</definedName>
    <definedName name="Template.Section" localSheetId="7">'CODE checklist'!#REF!</definedName>
    <definedName name="Template.Section" localSheetId="9">'ITSR checklist'!#REF!</definedName>
    <definedName name="Template.Section" localSheetId="6">'SDD checklist'!#REF!</definedName>
    <definedName name="Template.Section" localSheetId="8">'UTSR checklist'!#REF!</definedName>
    <definedName name="TemplateColumn">Metrics!$B:$B</definedName>
    <definedName name="TemplateRef" localSheetId="9">[2]FrontPage!$W$7</definedName>
    <definedName name="TemplateRef" localSheetId="8">[3]FrontPage!$W$7</definedName>
    <definedName name="TemplateRef">FrontPage!$W$7</definedName>
    <definedName name="Text.Released">'[1]General info'!$BJ$75</definedName>
    <definedName name="Text_AllChecklists">'General info'!$AJ$84</definedName>
    <definedName name="Title.Checklist.Actions.Description" localSheetId="7">'CODE checklist'!$B$2</definedName>
    <definedName name="Title.Checklist.Actions.Description" localSheetId="9">'ITSR checklist'!$B$2</definedName>
    <definedName name="Title.Checklist.Actions.Description" localSheetId="6">'SDD checklist'!$B$2</definedName>
    <definedName name="Title.Checklist.Actions.Description" localSheetId="8">'UTSR checklist'!$B$2</definedName>
    <definedName name="Title.Checklist.Actions.Responsible" localSheetId="7">[1]!Table1[[#Headers],[Actions
(description)]]</definedName>
    <definedName name="Title.Checklist.Actions.Responsible" localSheetId="9">[1]!Table1[[#Headers],[Actions
(description)]]</definedName>
    <definedName name="Title.Checklist.Actions.Responsible" localSheetId="6">[1]!Table1[[#Headers],[Actions
(description)]]</definedName>
    <definedName name="Title.Checklist.Actions.Responsible" localSheetId="8">[1]!Table1[[#Headers],[Actions
(description)]]</definedName>
    <definedName name="Title.Checklist.Guide.HowToRate" localSheetId="7">'CODE checklist'!$DX$3</definedName>
    <definedName name="Title.Checklist.Guide.HowToRate" localSheetId="9">'ITSR checklist'!$F$3</definedName>
    <definedName name="Title.Checklist.Guide.HowToRate" localSheetId="6">'SDD checklist'!$H$3</definedName>
    <definedName name="Title.Checklist.Guide.HowToRate" localSheetId="8">'UTSR checklist'!$H$3</definedName>
    <definedName name="Title.Checklist.Guide.WhatToCheck" localSheetId="7">'CODE checklist'!$DW$3</definedName>
    <definedName name="Title.Checklist.Guide.WhatToCheck" localSheetId="9">'ITSR checklist'!$E$3</definedName>
    <definedName name="Title.Checklist.Guide.WhatToCheck" localSheetId="6">'SDD checklist'!$G$3</definedName>
    <definedName name="Title.Checklist.Guide.WhatToCheck" localSheetId="8">'UTSR checklist'!$G$3</definedName>
    <definedName name="Title.Checklist.ManualQuestion" localSheetId="7">'CODE checklist'!$B$34</definedName>
    <definedName name="Title.Checklist.ManualQuestion" localSheetId="9">'ITSR checklist'!$B$29</definedName>
    <definedName name="Title.Checklist.ManualQuestion" localSheetId="6">'SDD checklist'!$B$33</definedName>
    <definedName name="Title.Checklist.ManualQuestion" localSheetId="8">'UTSR checklist'!$B$31</definedName>
    <definedName name="Title.Checklist.NoteForAuditor" localSheetId="7">'CODE checklist'!$DW$2</definedName>
    <definedName name="Title.Checklist.NoteForAuditor" localSheetId="9">'ITSR checklist'!$E$2</definedName>
    <definedName name="Title.Checklist.NoteForAuditor" localSheetId="6">'SDD checklist'!$G$2</definedName>
    <definedName name="Title.Checklist.NoteForAuditor" localSheetId="8">'UTSR checklist'!$G$2</definedName>
    <definedName name="Title.Checklist.Question" localSheetId="7">'CODE checklist'!$B$4</definedName>
    <definedName name="Title.Checklist.Question" localSheetId="9">'ITSR checklist'!$B$4</definedName>
    <definedName name="Title.Checklist.Question" localSheetId="6">'SDD checklist'!$B$4</definedName>
    <definedName name="Title.Checklist.Question" localSheetId="8">'UTSR checklist'!$B$4</definedName>
    <definedName name="Title.Checklist.QuestionReference" localSheetId="7">'CODE checklist'!$A$2</definedName>
    <definedName name="Title.Checklist.QuestionReference" localSheetId="9">'ITSR checklist'!$A$2</definedName>
    <definedName name="Title.Checklist.QuestionReference" localSheetId="6">'SDD checklist'!$A$2</definedName>
    <definedName name="Title.Checklist.QuestionReference" localSheetId="8">'UTSR checklist'!$A$2</definedName>
    <definedName name="Title.Checklist.Rate" localSheetId="7">'CODE checklist'!$Q$2</definedName>
    <definedName name="Title.Checklist.Rate" localSheetId="9">'ITSR checklist'!$C$2</definedName>
    <definedName name="Title.Checklist.Rate" localSheetId="6">'SDD checklist'!$C$2</definedName>
    <definedName name="Title.Checklist.Rate" localSheetId="8">'UTSR checklist'!$C$2</definedName>
    <definedName name="Title.Guideline.HowToRate">[1]!TableGuideline[[#Headers],[How to rate the question]]</definedName>
    <definedName name="Title.Guideline.Id">[1]!TableGuideline[[#Headers],[Id]]</definedName>
    <definedName name="Title.Guideline.QuestionId1">[1]!TableGuideline[[#Headers],[Question 1]]</definedName>
    <definedName name="Title.Guideline.WhatToCheck">[1]!TableGuideline[[#Headers],[What to check
(sub guide)]]</definedName>
    <definedName name="Title.Library.AlternateColor">[1]!Table_Question[[#Headers],[Alternate color]]</definedName>
    <definedName name="Title.Library.Category">[1]!Table_Question[[#Headers],[Category]]</definedName>
    <definedName name="Title.Library.Discipline">[1]!Table_Question[[#Headers],[Discipline]]</definedName>
    <definedName name="Title.Library.Guide.HowToRate">[1]!Table_Question[[#Headers],[How to rate the question]]</definedName>
    <definedName name="Title.Library.Guide.Id">[1]!Table_Question[[#Headers],[Guide.Id]]</definedName>
    <definedName name="Title.Library.Guide.WhatToCheck">[1]!Table_Question[[#Headers],[What to check]]</definedName>
    <definedName name="Title.Library.Id">[1]!Table_Question[[#Headers],[Id]]</definedName>
    <definedName name="Title.Library.NoteForAuditor">[1]!Table_Question[[#Headers],[Note for auditor
(this column will be replace by the guideline soon)]]</definedName>
    <definedName name="Title.Library.Process">[1]!Table_Question[[#Headers],[Process]]</definedName>
    <definedName name="Title.Library.Question">[1]!Table_Question[[#Headers],[Question]]</definedName>
    <definedName name="Title.Library.Reference">[1]!Table_Question[[#Headers],[Reference]]</definedName>
    <definedName name="Title.Library.Section">[1]!Table_Question[[#Headers],[Sections]]</definedName>
    <definedName name="Title.Library.Status">[1]!Table_Question[[#Headers],[Status]]</definedName>
    <definedName name="Title.Library.TemplateId">[1]!Table_Question[[#Headers],[Template ID of the work-products]]</definedName>
    <definedName name="Title.Library.TypeOfChecklist">[1]!Table_Question[[#Headers],[Type]]</definedName>
    <definedName name="Title.Milestone.HowToRate">[1]!TableQuestions[[#Headers],[How to rate ?]]</definedName>
    <definedName name="TitleRow" localSheetId="7">'CODE checklist'!$2:$2</definedName>
    <definedName name="TitleRow" localSheetId="9">'ITSR checklist'!$2:$2</definedName>
    <definedName name="TitleRow" localSheetId="6">'SDD checklist'!$2:$2</definedName>
    <definedName name="TitleRow" localSheetId="8">'UTSR checklist'!$2:$2</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3" i="245" l="1"/>
  <c r="D3" i="245"/>
  <c r="E103" i="42"/>
  <c r="D3" i="248"/>
  <c r="E101" i="42"/>
  <c r="DU3" i="246"/>
  <c r="DT3" i="246"/>
  <c r="DS3" i="246"/>
  <c r="DR3" i="246"/>
  <c r="E100" i="42"/>
  <c r="E99" i="42"/>
  <c r="E98" i="42"/>
  <c r="E97" i="42"/>
  <c r="DQ3" i="246"/>
  <c r="E96" i="42"/>
  <c r="DP3" i="246"/>
  <c r="E95" i="42"/>
  <c r="DO3" i="246"/>
  <c r="E94" i="42"/>
  <c r="DN3" i="246"/>
  <c r="E93" i="42"/>
  <c r="DM3" i="246"/>
  <c r="E92" i="42"/>
  <c r="DL3" i="246"/>
  <c r="E91" i="42"/>
  <c r="DK3" i="246"/>
  <c r="E90" i="42"/>
  <c r="E89" i="42"/>
  <c r="E88" i="42"/>
  <c r="E87" i="42"/>
  <c r="E86" i="42"/>
  <c r="E85" i="42"/>
  <c r="E84" i="42"/>
  <c r="E83" i="42"/>
  <c r="DJ3" i="246"/>
  <c r="DI3" i="246"/>
  <c r="DH3" i="246"/>
  <c r="DG3" i="246"/>
  <c r="DF3" i="246"/>
  <c r="DE3" i="246"/>
  <c r="DD3" i="246"/>
  <c r="E82" i="42"/>
  <c r="E81" i="42"/>
  <c r="E80" i="42"/>
  <c r="E79" i="42"/>
  <c r="E78" i="42"/>
  <c r="E77" i="42"/>
  <c r="E76" i="42"/>
  <c r="DC3" i="246"/>
  <c r="DB3" i="246"/>
  <c r="DA3" i="246"/>
  <c r="CZ3" i="246"/>
  <c r="CY3" i="246"/>
  <c r="CX3" i="246"/>
  <c r="CW3" i="246"/>
  <c r="H27" i="16"/>
  <c r="G27" i="16"/>
  <c r="F27" i="16"/>
  <c r="E27" i="16"/>
  <c r="E44" i="16"/>
  <c r="E37" i="16"/>
  <c r="E75" i="42"/>
  <c r="CV3" i="246"/>
  <c r="CU3" i="246"/>
  <c r="CT3" i="246"/>
  <c r="CS3" i="246"/>
  <c r="CR3" i="246"/>
  <c r="CQ3" i="246"/>
  <c r="CP3" i="246"/>
  <c r="E3" i="248"/>
  <c r="CO3" i="246"/>
  <c r="E67" i="42"/>
  <c r="CN3" i="246"/>
  <c r="E66" i="42"/>
  <c r="CM3" i="246"/>
  <c r="CL3" i="246"/>
  <c r="CK3" i="246"/>
  <c r="CJ3" i="246"/>
  <c r="CC3" i="246"/>
  <c r="CD3" i="246"/>
  <c r="CE3" i="246"/>
  <c r="CF3" i="246"/>
  <c r="CG3" i="246"/>
  <c r="CH3" i="246"/>
  <c r="CI3" i="246"/>
  <c r="E56" i="42"/>
  <c r="E57" i="42"/>
  <c r="E58" i="42"/>
  <c r="E59" i="42"/>
  <c r="E60" i="42"/>
  <c r="E61" i="42"/>
  <c r="E62" i="42"/>
  <c r="E63" i="42"/>
  <c r="E64" i="42"/>
  <c r="E65" i="42"/>
  <c r="E68" i="42"/>
  <c r="E69" i="42"/>
  <c r="E70" i="42"/>
  <c r="E71" i="42"/>
  <c r="E72" i="42"/>
  <c r="E73" i="42"/>
  <c r="E74" i="42"/>
  <c r="C3" i="249"/>
  <c r="C3" i="248"/>
  <c r="AE7" i="38"/>
  <c r="W7" i="38"/>
  <c r="BW3" i="246" l="1"/>
  <c r="BX3" i="246"/>
  <c r="BY3" i="246"/>
  <c r="BZ3" i="246"/>
  <c r="CA3" i="246"/>
  <c r="CB3" i="246"/>
  <c r="E47" i="42"/>
  <c r="E48" i="42"/>
  <c r="E49" i="42"/>
  <c r="E50" i="42"/>
  <c r="E51" i="42"/>
  <c r="E52" i="42"/>
  <c r="E46" i="42"/>
  <c r="E40" i="42"/>
  <c r="E41" i="42"/>
  <c r="E42" i="42"/>
  <c r="E43" i="42"/>
  <c r="E44" i="42"/>
  <c r="E45" i="42"/>
  <c r="BP3" i="246"/>
  <c r="BQ3" i="246"/>
  <c r="BR3" i="246"/>
  <c r="BS3" i="246"/>
  <c r="BT3" i="246"/>
  <c r="BU3" i="246"/>
  <c r="BV3" i="246"/>
  <c r="D26" i="16"/>
  <c r="E39" i="42"/>
  <c r="BO3" i="246"/>
  <c r="E38" i="42"/>
  <c r="BN3" i="246"/>
  <c r="E37" i="42"/>
  <c r="BM3" i="246"/>
  <c r="E36" i="42"/>
  <c r="BL3" i="246"/>
  <c r="E35" i="42"/>
  <c r="BK3" i="246"/>
  <c r="E34" i="42"/>
  <c r="BJ3" i="246"/>
  <c r="E33" i="42"/>
  <c r="BI3" i="246"/>
  <c r="E32" i="42"/>
  <c r="BH3" i="246"/>
  <c r="E31" i="42"/>
  <c r="BG3" i="246"/>
  <c r="E30" i="42"/>
  <c r="BF3" i="246"/>
  <c r="E29" i="42"/>
  <c r="BE3" i="246"/>
  <c r="E28" i="42"/>
  <c r="E27" i="42"/>
  <c r="E26" i="42"/>
  <c r="BC3" i="246"/>
  <c r="BD3" i="246"/>
  <c r="BB3" i="246"/>
  <c r="E25" i="42"/>
  <c r="AX3" i="246"/>
  <c r="AY3" i="246"/>
  <c r="AZ3" i="246"/>
  <c r="BA3" i="246"/>
  <c r="E24" i="42"/>
  <c r="AT3" i="246"/>
  <c r="AU3" i="246"/>
  <c r="AV3" i="246"/>
  <c r="AW3" i="246"/>
  <c r="AS3" i="246"/>
  <c r="E23" i="42"/>
  <c r="AR3" i="246"/>
  <c r="AM3" i="246"/>
  <c r="AN3" i="246"/>
  <c r="AO3" i="246"/>
  <c r="AP3" i="246"/>
  <c r="AQ3" i="246"/>
  <c r="AL3" i="246"/>
  <c r="E22" i="42"/>
  <c r="AH3" i="246"/>
  <c r="AI3" i="246"/>
  <c r="AJ3" i="246"/>
  <c r="AK3" i="246"/>
  <c r="AG3" i="246"/>
  <c r="E21" i="42"/>
  <c r="E20" i="42"/>
  <c r="E19" i="42"/>
  <c r="AC3" i="246"/>
  <c r="AD3" i="246"/>
  <c r="AE3" i="246"/>
  <c r="V3" i="246"/>
  <c r="W3" i="246"/>
  <c r="X3" i="246"/>
  <c r="R3" i="246"/>
  <c r="S3" i="246"/>
  <c r="T3" i="246"/>
  <c r="AF3" i="246" l="1"/>
  <c r="AB3" i="246"/>
  <c r="AA3" i="246"/>
  <c r="Z3" i="246"/>
  <c r="Y3" i="246"/>
  <c r="U3" i="246"/>
  <c r="Q3" i="246"/>
  <c r="P3" i="246"/>
  <c r="O3" i="246"/>
  <c r="N3" i="246"/>
  <c r="M3" i="246"/>
  <c r="L3" i="246"/>
  <c r="K3" i="246"/>
  <c r="J3" i="246"/>
  <c r="I3" i="246"/>
  <c r="H3" i="246"/>
  <c r="G3" i="246"/>
  <c r="F3" i="246"/>
  <c r="E3" i="246"/>
  <c r="D3" i="246"/>
  <c r="C3" i="246"/>
  <c r="E15" i="42"/>
  <c r="E4" i="42"/>
  <c r="E13" i="42"/>
  <c r="E17" i="42"/>
  <c r="E11" i="42"/>
  <c r="E9" i="42"/>
  <c r="E18" i="42"/>
  <c r="E5" i="42"/>
  <c r="E6" i="42"/>
  <c r="E12" i="42"/>
  <c r="E16" i="42"/>
  <c r="E10" i="42"/>
  <c r="E8" i="42"/>
  <c r="E14" i="42"/>
  <c r="E3" i="42"/>
  <c r="E7" i="42"/>
  <c r="C3" i="245"/>
  <c r="W7" i="39" l="1"/>
  <c r="AD3" i="39"/>
  <c r="A23" i="38" l="1"/>
  <c r="D32" i="16" l="1"/>
  <c r="B44" i="16"/>
  <c r="B37" i="16"/>
  <c r="D33" i="16"/>
  <c r="D34" i="16"/>
  <c r="D35" i="16"/>
  <c r="D36" i="16"/>
  <c r="D25" i="16"/>
  <c r="B27" i="16"/>
  <c r="U2" i="18"/>
  <c r="O2" i="18"/>
  <c r="M2" i="18"/>
  <c r="R2" i="18"/>
  <c r="S2" i="18"/>
  <c r="T2" i="18"/>
  <c r="Q2" i="18"/>
  <c r="AI2" i="18"/>
  <c r="AJ2" i="18"/>
  <c r="AH2" i="18"/>
  <c r="D42" i="16"/>
  <c r="D43" i="16"/>
  <c r="D41" i="16"/>
  <c r="L2" i="18"/>
  <c r="N2" i="18"/>
  <c r="X2" i="18" l="1"/>
  <c r="Y2" i="18" s="1"/>
  <c r="Z2" i="18" s="1"/>
  <c r="D44" i="16"/>
  <c r="D37" i="16"/>
  <c r="D27" i="16"/>
  <c r="A3" i="18" l="1"/>
  <c r="AA2" i="1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Cyril Jouhanneau</author>
    <author>Irina Voica</author>
  </authors>
  <commentList>
    <comment ref="R5" authorId="0" shapeId="0" xr:uid="{4E566DC5-9928-4838-B515-8068A38DF25B}">
      <text>
        <r>
          <rPr>
            <b/>
            <sz val="9"/>
            <color indexed="81"/>
            <rFont val="Tahoma"/>
            <family val="2"/>
          </rPr>
          <t>Fill here the reference of the project review findings : peer review workbook or equivalent</t>
        </r>
      </text>
    </comment>
    <comment ref="AB6" authorId="0" shapeId="0" xr:uid="{E4F1950A-E25B-459A-A454-8E403FF26566}">
      <text>
        <r>
          <rPr>
            <sz val="9"/>
            <color indexed="81"/>
            <rFont val="Tahoma"/>
            <family val="2"/>
          </rPr>
          <t>This field is only for PLM document</t>
        </r>
      </text>
    </comment>
    <comment ref="W7" authorId="0" shapeId="0" xr:uid="{2D7B8200-0256-44D5-AE9D-0292A6896B9C}">
      <text>
        <r>
          <rPr>
            <sz val="9"/>
            <color indexed="81"/>
            <rFont val="Tahoma"/>
            <family val="2"/>
          </rPr>
          <t>Template from process AEM_PROCESS_1.25.00
Last change : AEM_PROCESS_1.22.00</t>
        </r>
      </text>
    </comment>
    <comment ref="A9" authorId="1" shapeId="0" xr:uid="{8E2C6CF0-720F-49B9-8BCD-FE30E8FB0F44}">
      <text>
        <r>
          <rPr>
            <b/>
            <sz val="9"/>
            <color indexed="81"/>
            <rFont val="Tahoma"/>
            <family val="2"/>
          </rPr>
          <t>Irina Voica:</t>
        </r>
        <r>
          <rPr>
            <sz val="9"/>
            <color indexed="81"/>
            <rFont val="Tahoma"/>
            <family val="2"/>
          </rPr>
          <t xml:space="preserve">
Author of who? Author of the template itselfl or author of the templated filled in the project?</t>
        </r>
      </text>
    </comment>
    <comment ref="L9" authorId="0" shapeId="0" xr:uid="{EDE84987-A77E-44FE-BE06-DA43EA258E4A}">
      <text>
        <r>
          <rPr>
            <sz val="9"/>
            <color indexed="81"/>
            <rFont val="Tahoma"/>
            <family val="2"/>
          </rPr>
          <t>If the document Project list members (TEM461) is not used, please write the reviewers names</t>
        </r>
      </text>
    </comment>
    <comment ref="W9" authorId="0" shapeId="0" xr:uid="{6DE633F9-C57C-4202-83F4-88DF1107E8D9}">
      <text>
        <r>
          <rPr>
            <sz val="9"/>
            <color indexed="81"/>
            <rFont val="Tahoma"/>
            <family val="2"/>
          </rPr>
          <t>If the document Project list members (TEM461) is not used, please write the reviewers names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Johannes Kask</author>
    <author>Cyril Jouhanneau</author>
  </authors>
  <commentList>
    <comment ref="B15" authorId="0" shapeId="0" xr:uid="{BFBE84DC-AC32-4B3D-9826-F5424EDBF29A}">
      <text>
        <r>
          <rPr>
            <sz val="8"/>
            <color indexed="81"/>
            <rFont val="Tahoma"/>
            <family val="2"/>
          </rPr>
          <t>Insert name of tabs included in the document</t>
        </r>
        <r>
          <rPr>
            <sz val="8"/>
            <color indexed="81"/>
            <rFont val="Tahoma"/>
            <family val="2"/>
          </rPr>
          <t xml:space="preserve">
</t>
        </r>
      </text>
    </comment>
    <comment ref="G15" authorId="0" shapeId="0" xr:uid="{421B25BB-AEDA-48DA-9FC8-083D268E4CD2}">
      <text>
        <r>
          <rPr>
            <sz val="8"/>
            <color indexed="81"/>
            <rFont val="Tahoma"/>
            <family val="2"/>
          </rPr>
          <t>Describe each Tab.</t>
        </r>
      </text>
    </comment>
    <comment ref="B27" authorId="0" shapeId="0" xr:uid="{FC1D0FE6-A93B-4C88-863F-937594471234}">
      <text>
        <r>
          <rPr>
            <sz val="8"/>
            <color indexed="81"/>
            <rFont val="Tahoma"/>
            <family val="2"/>
          </rPr>
          <t>The revision number of the document 000, 001, 002 etc. No version number to be handled in the table.</t>
        </r>
        <r>
          <rPr>
            <sz val="8"/>
            <color indexed="81"/>
            <rFont val="Tahoma"/>
            <family val="2"/>
          </rPr>
          <t xml:space="preserve">
</t>
        </r>
      </text>
    </comment>
    <comment ref="E27" authorId="0" shapeId="0" xr:uid="{1AF38798-19CC-4A4A-A663-F493F6074A69}">
      <text>
        <r>
          <rPr>
            <sz val="8"/>
            <color indexed="81"/>
            <rFont val="Tahoma"/>
            <family val="2"/>
          </rPr>
          <t>Date when the Revision is released</t>
        </r>
      </text>
    </comment>
    <comment ref="I27" authorId="0" shapeId="0" xr:uid="{7FE43326-0D25-441A-B27E-86ADA84E7EE3}">
      <text>
        <r>
          <rPr>
            <sz val="8"/>
            <color indexed="81"/>
            <rFont val="Tahoma"/>
            <family val="2"/>
          </rPr>
          <t>Author of the document. Authors if several.</t>
        </r>
      </text>
    </comment>
    <comment ref="R27" authorId="0" shapeId="0" xr:uid="{4940EA2C-5A26-4FFD-BECA-816DB136BA2A}">
      <text>
        <r>
          <rPr>
            <sz val="8"/>
            <color indexed="81"/>
            <rFont val="Tahoma"/>
            <family val="2"/>
          </rPr>
          <t>Description or comment on the version. E.g. updated after meeting etc.</t>
        </r>
      </text>
    </comment>
    <comment ref="B46" authorId="0" shapeId="0" xr:uid="{4A2D3ACA-3C99-4568-B256-7DC91FDBEBFF}">
      <text>
        <r>
          <rPr>
            <sz val="8"/>
            <color indexed="81"/>
            <rFont val="Tahoma"/>
            <family val="2"/>
          </rPr>
          <t>ID of possible reference documents. Any ID can be used, suggestion is [Int1], [Int2] etc. for internal references and [Ext1], [Ext2] etc. for external references</t>
        </r>
      </text>
    </comment>
    <comment ref="E46" authorId="0" shapeId="0" xr:uid="{7D629A74-735C-4D9E-8E9C-382A2172CF1C}">
      <text>
        <r>
          <rPr>
            <sz val="8"/>
            <color indexed="81"/>
            <rFont val="Tahoma"/>
            <family val="2"/>
          </rPr>
          <t>Title of reference documents.</t>
        </r>
      </text>
    </comment>
    <comment ref="Y46" authorId="0" shapeId="0" xr:uid="{327A4027-E374-46EE-8F41-AAE7F5A68063}">
      <text>
        <r>
          <rPr>
            <sz val="8"/>
            <color indexed="81"/>
            <rFont val="Tahoma"/>
            <family val="2"/>
          </rPr>
          <t>Reference number, e.g. E123456 and revision of the reference.</t>
        </r>
      </text>
    </comment>
    <comment ref="B52" authorId="0" shapeId="0" xr:uid="{421EE7D0-8E2D-44A8-B66F-69C0A8E8938E}">
      <text>
        <r>
          <rPr>
            <sz val="8"/>
            <color indexed="81"/>
            <rFont val="Tahoma"/>
            <family val="2"/>
          </rPr>
          <t>ID of possible reference documents. Any ID can be used, suggestion is [Int1], [Int2] etc. for internal references and [Ext1], [Ext2] etc. for external references</t>
        </r>
      </text>
    </comment>
    <comment ref="E52" authorId="0" shapeId="0" xr:uid="{EAF8F54A-6162-4D53-AD9B-58CDCD7A1B4D}">
      <text>
        <r>
          <rPr>
            <sz val="8"/>
            <color indexed="81"/>
            <rFont val="Tahoma"/>
            <family val="2"/>
          </rPr>
          <t>Title of reference documents.</t>
        </r>
      </text>
    </comment>
    <comment ref="Y52" authorId="0" shapeId="0" xr:uid="{AF9ABC4C-2372-4875-B9F9-B60698EAB986}">
      <text>
        <r>
          <rPr>
            <sz val="8"/>
            <color indexed="81"/>
            <rFont val="Tahoma"/>
            <family val="2"/>
          </rPr>
          <t>Reference number, e.g. E123456 and revision of the reference.</t>
        </r>
      </text>
    </comment>
    <comment ref="AJ83" authorId="1" shapeId="0" xr:uid="{CE4B4F07-5390-42D6-95C6-9D7E2063A76C}">
      <text>
        <r>
          <rPr>
            <b/>
            <sz val="9"/>
            <color indexed="81"/>
            <rFont val="Tahoma"/>
            <family val="2"/>
          </rPr>
          <t>Cyril Jouhanneau:</t>
        </r>
        <r>
          <rPr>
            <sz val="9"/>
            <color indexed="81"/>
            <rFont val="Tahoma"/>
            <family val="2"/>
          </rPr>
          <t xml:space="preserve">
This list is automatically updated by the VBA script refreshChecklistList()</t>
        </r>
      </text>
    </comment>
    <comment ref="AI84" authorId="1" shapeId="0" xr:uid="{F17275A0-61EC-48C5-83D6-7710F1FB268A}">
      <text>
        <r>
          <rPr>
            <b/>
            <sz val="9"/>
            <color indexed="81"/>
            <rFont val="Tahoma"/>
            <family val="2"/>
          </rPr>
          <t>Don't change this cell</t>
        </r>
      </text>
    </comment>
    <comment ref="AJ84" authorId="1" shapeId="0" xr:uid="{BC53077B-6302-4462-BE75-6C9B66C6ACCE}">
      <text>
        <r>
          <rPr>
            <b/>
            <sz val="9"/>
            <color indexed="81"/>
            <rFont val="Tahoma"/>
            <family val="2"/>
          </rPr>
          <t xml:space="preserve">Don't change this cell
</t>
        </r>
        <r>
          <rPr>
            <sz val="9"/>
            <color indexed="81"/>
            <rFont val="Tahoma"/>
            <family val="2"/>
          </rPr>
          <t>If you change this cell, please update the VBA code in GeneralInfo sheet</t>
        </r>
        <r>
          <rPr>
            <b/>
            <sz val="9"/>
            <color indexed="81"/>
            <rFont val="Tahoma"/>
            <family val="2"/>
          </rPr>
          <t xml:space="preserve">
</t>
        </r>
      </text>
    </comment>
    <comment ref="AI88" authorId="1" shapeId="0" xr:uid="{7EBCCB23-C7DD-49AE-A0C3-608CFE3FF3EB}">
      <text>
        <r>
          <rPr>
            <b/>
            <sz val="9"/>
            <color indexed="81"/>
            <rFont val="Tahoma"/>
            <family val="2"/>
          </rPr>
          <t>Don't change this cell</t>
        </r>
      </text>
    </comment>
    <comment ref="AJ105" authorId="1" shapeId="0" xr:uid="{E74EDB71-7ECA-4D48-A368-7458AEFFEECE}">
      <text>
        <r>
          <rPr>
            <b/>
            <sz val="9"/>
            <color indexed="81"/>
            <rFont val="Tahoma"/>
            <family val="2"/>
          </rPr>
          <t>Don't change this cell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D24" authorId="0" shapeId="0" xr:uid="{00000000-0006-0000-0200-000001000000}">
      <text>
        <r>
          <rPr>
            <b/>
            <sz val="9"/>
            <color indexed="81"/>
            <rFont val="Tahoma"/>
            <family val="2"/>
          </rPr>
          <t>Cyril Jouhanneau:</t>
        </r>
        <r>
          <rPr>
            <sz val="9"/>
            <color indexed="81"/>
            <rFont val="Tahoma"/>
            <family val="2"/>
          </rPr>
          <t xml:space="preserve">
This column is filled by formula, not by VBA macros</t>
        </r>
      </text>
    </comment>
    <comment ref="C31" authorId="0" shapeId="0" xr:uid="{00000000-0006-0000-0200-000002000000}">
      <text>
        <r>
          <rPr>
            <b/>
            <sz val="9"/>
            <color indexed="81"/>
            <rFont val="Tahoma"/>
            <family val="2"/>
          </rPr>
          <t>Cyril Jouhanneau:</t>
        </r>
        <r>
          <rPr>
            <sz val="9"/>
            <color indexed="81"/>
            <rFont val="Tahoma"/>
            <family val="2"/>
          </rPr>
          <t xml:space="preserve">
This table is filled by VBA</t>
        </r>
      </text>
    </comment>
    <comment ref="D31" authorId="0" shapeId="0" xr:uid="{00000000-0006-0000-0200-000003000000}">
      <text>
        <r>
          <rPr>
            <b/>
            <sz val="9"/>
            <color indexed="81"/>
            <rFont val="Tahoma"/>
            <family val="2"/>
          </rPr>
          <t>Cyril Jouhanneau:</t>
        </r>
        <r>
          <rPr>
            <sz val="9"/>
            <color indexed="81"/>
            <rFont val="Tahoma"/>
            <family val="2"/>
          </rPr>
          <t xml:space="preserve">
This column is filled by formula, not by VBA macros</t>
        </r>
      </text>
    </comment>
    <comment ref="D40" authorId="0" shapeId="0" xr:uid="{00000000-0006-0000-0200-000004000000}">
      <text>
        <r>
          <rPr>
            <b/>
            <sz val="9"/>
            <color indexed="81"/>
            <rFont val="Tahoma"/>
            <family val="2"/>
          </rPr>
          <t>Cyril Jouhanneau:</t>
        </r>
        <r>
          <rPr>
            <sz val="9"/>
            <color indexed="81"/>
            <rFont val="Tahoma"/>
            <family val="2"/>
          </rPr>
          <t xml:space="preserve">
This column is filled by formula, not by VBA macros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Cyril Jouhanneau</author>
    <author>Vicentiu Barbu</author>
  </authors>
  <commentList>
    <comment ref="A2" authorId="0" shapeId="0" xr:uid="{A8D01F4E-2D50-4956-A583-39A2DDA0A8B2}">
      <text>
        <r>
          <rPr>
            <sz val="9"/>
            <color indexed="81"/>
            <rFont val="Tahoma"/>
            <family val="2"/>
          </rPr>
          <t>Put in here the version of the document and delete it from the checklist in order not to have a lot of versions in the checklist. The history of the work product reviewed it will be saved in the CM system</t>
        </r>
      </text>
    </comment>
    <comment ref="B2" authorId="0" shapeId="0" xr:uid="{2ED071B9-CCD9-434B-8CF0-FF39DB85AD61}">
      <text>
        <r>
          <rPr>
            <b/>
            <sz val="9"/>
            <color indexed="81"/>
            <rFont val="Tahoma"/>
            <family val="2"/>
          </rPr>
          <t xml:space="preserve">Please see </t>
        </r>
        <r>
          <rPr>
            <b/>
            <sz val="9"/>
            <color indexed="36"/>
            <rFont val="Tahoma"/>
            <family val="2"/>
          </rPr>
          <t xml:space="preserve">PRO483 - Review.docx </t>
        </r>
        <r>
          <rPr>
            <b/>
            <sz val="9"/>
            <color indexed="81"/>
            <rFont val="Tahoma"/>
            <family val="2"/>
          </rPr>
          <t>for more details</t>
        </r>
      </text>
    </comment>
    <comment ref="D2" authorId="1" shapeId="0" xr:uid="{C923EA1C-6BFB-4412-9097-B9CB51BDE04B}">
      <text>
        <r>
          <rPr>
            <sz val="9"/>
            <color indexed="81"/>
            <rFont val="Tahoma"/>
            <family val="2"/>
          </rPr>
          <t>If current version not aplicable justify why, who aproved, how the risk is mitigated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Cyril Jouhanneau</author>
    <author>jean-marc.lambert</author>
    <author>marion.rakotonoelina</author>
    <author>LPE</author>
    <author>Marion Rakotonoelina</author>
  </authors>
  <commentList>
    <comment ref="X1" authorId="0" shapeId="0" xr:uid="{00000000-0006-0000-0300-000001000000}">
      <text>
        <r>
          <rPr>
            <sz val="9"/>
            <color indexed="81"/>
            <rFont val="Tahoma"/>
            <family val="2"/>
          </rPr>
          <t>Detection of :
o Open issues
o To be fixed issues
o Rejected issues</t>
        </r>
      </text>
    </comment>
    <comment ref="L2" authorId="0" shapeId="0" xr:uid="{00000000-0006-0000-0300-000002000000}">
      <text>
        <r>
          <rPr>
            <b/>
            <sz val="9"/>
            <color indexed="81"/>
            <rFont val="Tahoma"/>
            <family val="2"/>
          </rPr>
          <t>Nb of issue to treat:
o Not evalutated (empty status)
o Open
o To be fixed</t>
        </r>
        <r>
          <rPr>
            <sz val="9"/>
            <color indexed="81"/>
            <rFont val="Tahoma"/>
            <family val="2"/>
          </rPr>
          <t xml:space="preserve">
</t>
        </r>
      </text>
    </comment>
    <comment ref="N2" authorId="0" shapeId="0" xr:uid="{00000000-0006-0000-0300-000003000000}">
      <text>
        <r>
          <rPr>
            <b/>
            <sz val="9"/>
            <color indexed="81"/>
            <rFont val="Tahoma"/>
            <family val="2"/>
          </rPr>
          <t>Issues not yet approved</t>
        </r>
        <r>
          <rPr>
            <sz val="9"/>
            <color indexed="81"/>
            <rFont val="Tahoma"/>
            <family val="2"/>
          </rPr>
          <t xml:space="preserve">
</t>
        </r>
      </text>
    </comment>
    <comment ref="A3" authorId="0" shapeId="0" xr:uid="{00000000-0006-0000-0300-000004000000}">
      <text>
        <r>
          <rPr>
            <b/>
            <sz val="9"/>
            <color indexed="81"/>
            <rFont val="Tahoma"/>
            <family val="2"/>
          </rPr>
          <t xml:space="preserve">Status of the review
</t>
        </r>
        <r>
          <rPr>
            <sz val="9"/>
            <color indexed="81"/>
            <rFont val="Tahoma"/>
            <family val="2"/>
          </rPr>
          <t xml:space="preserve"> o Green : all points treated and approved
 o Blue : all points treated and approved, warning because some points are postponed
 o Orange : all points treated, some are not yet approved
 o Red : some points are not treated (to be fixed, open, rejected or no status)
</t>
        </r>
      </text>
    </comment>
    <comment ref="A4" authorId="1" shapeId="0" xr:uid="{00000000-0006-0000-0300-000005000000}">
      <text>
        <r>
          <rPr>
            <b/>
            <sz val="12"/>
            <color indexed="10"/>
            <rFont val="Tahoma"/>
            <family val="2"/>
          </rPr>
          <t>Mandatory</t>
        </r>
        <r>
          <rPr>
            <b/>
            <sz val="12"/>
            <color indexed="81"/>
            <rFont val="Tahoma"/>
            <family val="2"/>
          </rPr>
          <t>,
automatically filled by VBA macros.
Open Issue Number
Do not modify it</t>
        </r>
      </text>
    </comment>
    <comment ref="B4" authorId="2" shapeId="0" xr:uid="{00000000-0006-0000-0300-000006000000}">
      <text>
        <r>
          <rPr>
            <b/>
            <sz val="12"/>
            <color indexed="10"/>
            <rFont val="Tahoma"/>
            <family val="2"/>
          </rPr>
          <t>Mandatory</t>
        </r>
        <r>
          <rPr>
            <b/>
            <sz val="12"/>
            <color indexed="81"/>
            <rFont val="Tahoma"/>
            <family val="2"/>
          </rPr>
          <t>,
filled in by the reviewer.
Document reference (doc id + version)</t>
        </r>
        <r>
          <rPr>
            <sz val="8"/>
            <color indexed="81"/>
            <rFont val="Tahoma"/>
            <family val="2"/>
          </rPr>
          <t xml:space="preserve">
</t>
        </r>
      </text>
    </comment>
    <comment ref="C4" authorId="3" shapeId="0" xr:uid="{00000000-0006-0000-0300-000007000000}">
      <text>
        <r>
          <rPr>
            <b/>
            <sz val="12"/>
            <color indexed="10"/>
            <rFont val="Tahoma"/>
            <family val="2"/>
          </rPr>
          <t>Mandatory</t>
        </r>
        <r>
          <rPr>
            <b/>
            <sz val="12"/>
            <color indexed="81"/>
            <rFont val="Tahoma"/>
            <family val="2"/>
          </rPr>
          <t>,
filled in by the reviewer.
Identify where the problem is located in the document  (chapter, paragraph, line number …).</t>
        </r>
      </text>
    </comment>
    <comment ref="D4" authorId="0" shapeId="0" xr:uid="{00000000-0006-0000-0300-000008000000}">
      <text>
        <r>
          <rPr>
            <b/>
            <sz val="12"/>
            <color indexed="10"/>
            <rFont val="Tahoma"/>
            <family val="2"/>
          </rPr>
          <t>Mandatory</t>
        </r>
        <r>
          <rPr>
            <b/>
            <sz val="12"/>
            <color indexed="81"/>
            <rFont val="Tahoma"/>
            <family val="2"/>
          </rPr>
          <t xml:space="preserve">,
filled in by the reviewer
</t>
        </r>
        <r>
          <rPr>
            <sz val="12"/>
            <color indexed="81"/>
            <rFont val="Tahoma"/>
            <family val="2"/>
          </rPr>
          <t>Describe here the description of the issue.
The proposal of correction and some comments can be added.
If the functional impact of the problem is yes then a proposal of correction must be mentioned and a Change request must be created in SW issue management tool.</t>
        </r>
      </text>
    </comment>
    <comment ref="E4" authorId="3" shapeId="0" xr:uid="{00000000-0006-0000-0300-000009000000}">
      <text>
        <r>
          <rPr>
            <b/>
            <sz val="12"/>
            <color indexed="10"/>
            <rFont val="Tahoma"/>
            <family val="2"/>
          </rPr>
          <t>Mandatory</t>
        </r>
        <r>
          <rPr>
            <b/>
            <sz val="12"/>
            <color indexed="81"/>
            <rFont val="Tahoma"/>
            <family val="2"/>
          </rPr>
          <t>,
automatically filled by VBA macros
date of the remark creation</t>
        </r>
      </text>
    </comment>
    <comment ref="F4" authorId="1" shapeId="0" xr:uid="{00000000-0006-0000-0300-00000A000000}">
      <text>
        <r>
          <rPr>
            <b/>
            <sz val="12"/>
            <color indexed="10"/>
            <rFont val="Tahoma"/>
            <family val="2"/>
          </rPr>
          <t>Mandatory</t>
        </r>
        <r>
          <rPr>
            <b/>
            <sz val="12"/>
            <color indexed="81"/>
            <rFont val="Tahoma"/>
            <family val="2"/>
          </rPr>
          <t>,
automatically filled in by VBA macros
Identification of the reviewer</t>
        </r>
      </text>
    </comment>
    <comment ref="G4" authorId="2" shapeId="0" xr:uid="{00000000-0006-0000-0300-00000B000000}">
      <text>
        <r>
          <rPr>
            <b/>
            <sz val="12"/>
            <color indexed="10"/>
            <rFont val="Tahoma"/>
            <family val="2"/>
          </rPr>
          <t>Mandatory</t>
        </r>
        <r>
          <rPr>
            <b/>
            <sz val="12"/>
            <color indexed="81"/>
            <rFont val="Tahoma"/>
            <family val="2"/>
          </rPr>
          <t xml:space="preserve">,
filled in by the author or reviewer
o For issue to fix : description of the correction
o For issue to not fix : justification of this decision
</t>
        </r>
        <r>
          <rPr>
            <sz val="12"/>
            <color indexed="81"/>
            <rFont val="Tahoma"/>
            <family val="2"/>
          </rPr>
          <t>If there is functional impact then a proposal of correction must be mentioned and a Change Request must be created in SW issue management tool.</t>
        </r>
      </text>
    </comment>
    <comment ref="H4" authorId="2" shapeId="0" xr:uid="{00000000-0006-0000-0300-00000C000000}">
      <text>
        <r>
          <rPr>
            <b/>
            <sz val="12"/>
            <color indexed="81"/>
            <rFont val="Tahoma"/>
            <family val="2"/>
          </rPr>
          <t>For code review, filled in by the reviewer.
Author of the document creates Change Request or Working Issue
 when the functionality is complex or when the action is postponed.</t>
        </r>
        <r>
          <rPr>
            <sz val="8"/>
            <color indexed="81"/>
            <rFont val="Tahoma"/>
            <family val="2"/>
          </rPr>
          <t xml:space="preserve">
</t>
        </r>
      </text>
    </comment>
    <comment ref="I4" authorId="4" shapeId="0" xr:uid="{00000000-0006-0000-0300-00000D000000}">
      <text>
        <r>
          <rPr>
            <b/>
            <sz val="16"/>
            <color indexed="10"/>
            <rFont val="Tahoma"/>
            <family val="2"/>
          </rPr>
          <t>MANDATORY</t>
        </r>
        <r>
          <rPr>
            <b/>
            <sz val="16"/>
            <color indexed="81"/>
            <rFont val="Tahoma"/>
            <family val="2"/>
          </rPr>
          <t xml:space="preserve">
Reviewer</t>
        </r>
        <r>
          <rPr>
            <b/>
            <sz val="9"/>
            <color indexed="81"/>
            <rFont val="Tahoma"/>
            <family val="2"/>
          </rPr>
          <t xml:space="preserve"> shall fill in this column in order to have it before the target or not</t>
        </r>
      </text>
    </comment>
    <comment ref="J4" authorId="2" shapeId="0" xr:uid="{00000000-0006-0000-0300-00000F000000}">
      <text>
        <r>
          <rPr>
            <b/>
            <sz val="12"/>
            <color indexed="10"/>
            <rFont val="Tahoma"/>
            <family val="2"/>
          </rPr>
          <t>Mandatory</t>
        </r>
        <r>
          <rPr>
            <b/>
            <sz val="12"/>
            <color indexed="81"/>
            <rFont val="Tahoma"/>
            <family val="2"/>
          </rPr>
          <t>,
filled in by the reviewer.
Name of the person who is in charge of fixing the issue.</t>
        </r>
      </text>
    </comment>
    <comment ref="K4" authorId="2" shapeId="0" xr:uid="{00000000-0006-0000-0300-000010000000}">
      <text>
        <r>
          <rPr>
            <b/>
            <sz val="12"/>
            <color indexed="10"/>
            <rFont val="Tahoma"/>
            <family val="2"/>
          </rPr>
          <t>Mandatory</t>
        </r>
        <r>
          <rPr>
            <b/>
            <sz val="12"/>
            <color indexed="81"/>
            <rFont val="Tahoma"/>
            <family val="2"/>
          </rPr>
          <t>,
filled in by the reviewer
Due date or workproduct version or milestone to close the action</t>
        </r>
        <r>
          <rPr>
            <sz val="12"/>
            <color indexed="81"/>
            <rFont val="Tahoma"/>
            <family val="2"/>
          </rPr>
          <t xml:space="preserve">
</t>
        </r>
      </text>
    </comment>
    <comment ref="L4" authorId="2" shapeId="0" xr:uid="{00000000-0006-0000-0300-000011000000}">
      <text>
        <r>
          <rPr>
            <b/>
            <sz val="12"/>
            <color indexed="10"/>
            <rFont val="Tahoma"/>
            <family val="2"/>
          </rPr>
          <t>Mandatory</t>
        </r>
        <r>
          <rPr>
            <b/>
            <sz val="12"/>
            <color indexed="81"/>
            <rFont val="Tahoma"/>
            <family val="2"/>
          </rPr>
          <t xml:space="preserve">,
filled in by the review / author / actor
Status of the issue :
 o OPEN when the issue must be analysed
 o TO BE FIXED when a correction must be done
 o </t>
        </r>
        <r>
          <rPr>
            <b/>
            <sz val="12"/>
            <color indexed="56"/>
            <rFont val="Tahoma"/>
            <family val="2"/>
          </rPr>
          <t>FIXED</t>
        </r>
        <r>
          <rPr>
            <b/>
            <sz val="12"/>
            <color indexed="81"/>
            <rFont val="Tahoma"/>
            <family val="2"/>
          </rPr>
          <t xml:space="preserve"> when the correction is done
 o </t>
        </r>
        <r>
          <rPr>
            <b/>
            <sz val="12"/>
            <color indexed="56"/>
            <rFont val="Tahoma"/>
            <family val="2"/>
          </rPr>
          <t>POSTPONED</t>
        </r>
        <r>
          <rPr>
            <b/>
            <sz val="12"/>
            <color indexed="81"/>
            <rFont val="Tahoma"/>
            <family val="2"/>
          </rPr>
          <t xml:space="preserve"> when the analysis will be done later
 o </t>
        </r>
        <r>
          <rPr>
            <b/>
            <sz val="12"/>
            <color indexed="56"/>
            <rFont val="Tahoma"/>
            <family val="2"/>
          </rPr>
          <t>WILL_NOT_BE_FIXED</t>
        </r>
        <r>
          <rPr>
            <b/>
            <sz val="12"/>
            <color indexed="81"/>
            <rFont val="Tahoma"/>
            <family val="2"/>
          </rPr>
          <t xml:space="preserve">  when no correction is planned</t>
        </r>
      </text>
    </comment>
    <comment ref="M4" authorId="1" shapeId="0" xr:uid="{00000000-0006-0000-0300-000012000000}">
      <text>
        <r>
          <rPr>
            <b/>
            <sz val="14"/>
            <color indexed="10"/>
            <rFont val="Tahoma"/>
            <family val="2"/>
          </rPr>
          <t>Mandatory</t>
        </r>
        <r>
          <rPr>
            <b/>
            <sz val="14"/>
            <color indexed="81"/>
            <rFont val="Tahoma"/>
            <family val="2"/>
          </rPr>
          <t xml:space="preserve">,
filled in by the reviewer
 o </t>
        </r>
        <r>
          <rPr>
            <b/>
            <sz val="14"/>
            <color indexed="18"/>
            <rFont val="Tahoma"/>
            <family val="2"/>
          </rPr>
          <t>APPROVED</t>
        </r>
        <r>
          <rPr>
            <b/>
            <sz val="14"/>
            <color indexed="81"/>
            <rFont val="Tahoma"/>
            <family val="2"/>
          </rPr>
          <t xml:space="preserve"> after checking the "document" updated
 o </t>
        </r>
        <r>
          <rPr>
            <b/>
            <sz val="14"/>
            <color indexed="18"/>
            <rFont val="Tahoma"/>
            <family val="2"/>
          </rPr>
          <t>REJECTED</t>
        </r>
        <r>
          <rPr>
            <b/>
            <sz val="14"/>
            <color indexed="81"/>
            <rFont val="Tahoma"/>
            <family val="2"/>
          </rPr>
          <t xml:space="preserve"> if the reviewer disagrees with the author/actor decision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4314DF02-04B6-428E-84EF-31B79E5583DB}">
      <text>
        <r>
          <rPr>
            <b/>
            <sz val="9"/>
            <color indexed="81"/>
            <rFont val="Tahoma"/>
            <family val="2"/>
          </rPr>
          <t>Overview :</t>
        </r>
        <r>
          <rPr>
            <sz val="9"/>
            <color indexed="81"/>
            <rFont val="Tahoma"/>
            <family val="2"/>
          </rPr>
          <t xml:space="preserve">
Pourcentage of "yes" answers out of applicable answers</t>
        </r>
      </text>
    </comment>
    <comment ref="D3" authorId="0" shapeId="0" xr:uid="{92BEE61D-173D-4F8D-8A21-9A10E6255347}">
      <text>
        <r>
          <rPr>
            <b/>
            <sz val="9"/>
            <color indexed="81"/>
            <rFont val="Tahoma"/>
            <family val="2"/>
          </rPr>
          <t>Overview :</t>
        </r>
        <r>
          <rPr>
            <sz val="9"/>
            <color indexed="81"/>
            <rFont val="Tahoma"/>
            <family val="2"/>
          </rPr>
          <t xml:space="preserve">
Pourcentage of "yes" answers out of applicable answers</t>
        </r>
      </text>
    </comment>
    <comment ref="E3" authorId="0" shapeId="0" xr:uid="{73801928-5EFD-4B58-B287-E31123796B9A}">
      <text>
        <r>
          <rPr>
            <b/>
            <sz val="9"/>
            <color indexed="81"/>
            <rFont val="Tahoma"/>
            <family val="2"/>
          </rPr>
          <t>Overview :</t>
        </r>
        <r>
          <rPr>
            <sz val="9"/>
            <color indexed="81"/>
            <rFont val="Tahoma"/>
            <family val="2"/>
          </rPr>
          <t xml:space="preserve">
Pourcentage of "yes" answers out of applicable answers</t>
        </r>
      </text>
    </comment>
    <comment ref="B6" authorId="0" shapeId="0" xr:uid="{59DE57B2-D164-4770-8350-A8FB2978C850}">
      <text>
        <r>
          <rPr>
            <sz val="9"/>
            <color indexed="81"/>
            <rFont val="Tahoma"/>
            <family val="2"/>
          </rPr>
          <t>This row is mandatory to force the VBA script to generate the checklist</t>
        </r>
      </text>
    </comment>
    <comment ref="B33" authorId="0" shapeId="0" xr:uid="{ADF46240-A581-4C11-9E57-5A56C77AAB99}">
      <text>
        <r>
          <rPr>
            <b/>
            <sz val="9"/>
            <color indexed="81"/>
            <rFont val="Tahoma"/>
            <family val="2"/>
          </rPr>
          <t xml:space="preserve">Everything above this row is generated by Question Library (TEM486 - Master questions library.xlsm) </t>
        </r>
      </text>
    </comment>
    <comment ref="A35" authorId="0" shapeId="0" xr:uid="{5838F127-FFE2-45FF-9685-A48ED9A510B8}">
      <text>
        <r>
          <rPr>
            <b/>
            <sz val="9"/>
            <color indexed="81"/>
            <rFont val="Tahoma"/>
            <family val="2"/>
          </rPr>
          <t>This cell must be blank</t>
        </r>
      </text>
    </comment>
    <comment ref="C35" authorId="0" shapeId="0" xr:uid="{B34B2126-EEAB-44D0-9AF5-7CB793A8E787}">
      <text>
        <r>
          <rPr>
            <b/>
            <sz val="9"/>
            <color indexed="81"/>
            <rFont val="Tahoma"/>
            <family val="2"/>
          </rPr>
          <t>This cell must be blank</t>
        </r>
      </text>
    </comment>
    <comment ref="D35" authorId="0" shapeId="0" xr:uid="{51952EFD-5A6E-430C-AA97-10BEEE8F66FA}">
      <text>
        <r>
          <rPr>
            <b/>
            <sz val="9"/>
            <color indexed="81"/>
            <rFont val="Tahoma"/>
            <family val="2"/>
          </rPr>
          <t>This cell must be blank</t>
        </r>
      </text>
    </comment>
    <comment ref="E35" authorId="0" shapeId="0" xr:uid="{33FFCC5F-BC8A-4125-AA7B-5DC091097B18}">
      <text>
        <r>
          <rPr>
            <b/>
            <sz val="9"/>
            <color indexed="81"/>
            <rFont val="Tahoma"/>
            <family val="2"/>
          </rPr>
          <t>This cell must be blank</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5B0F749A-A476-4DC3-8D8D-DC38EB4AB33E}">
      <text>
        <r>
          <rPr>
            <b/>
            <sz val="9"/>
            <color indexed="81"/>
            <rFont val="Tahoma"/>
            <family val="2"/>
          </rPr>
          <t>Overview :</t>
        </r>
        <r>
          <rPr>
            <sz val="9"/>
            <color indexed="81"/>
            <rFont val="Tahoma"/>
            <family val="2"/>
          </rPr>
          <t xml:space="preserve">
Pourcentage of "yes" answers out of applicable answers</t>
        </r>
      </text>
    </comment>
    <comment ref="D3" authorId="0" shapeId="0" xr:uid="{2AC06862-53E7-42A3-ACED-36ADD13E522B}">
      <text>
        <r>
          <rPr>
            <b/>
            <sz val="9"/>
            <color indexed="81"/>
            <rFont val="Tahoma"/>
            <family val="2"/>
          </rPr>
          <t>Overview :</t>
        </r>
        <r>
          <rPr>
            <sz val="9"/>
            <color indexed="81"/>
            <rFont val="Tahoma"/>
            <family val="2"/>
          </rPr>
          <t xml:space="preserve">
Pourcentage of "yes" answers out of applicable answers</t>
        </r>
      </text>
    </comment>
    <comment ref="E3" authorId="0" shapeId="0" xr:uid="{6FCCE748-931B-45E3-83A6-BE8251C86793}">
      <text>
        <r>
          <rPr>
            <b/>
            <sz val="9"/>
            <color indexed="81"/>
            <rFont val="Tahoma"/>
            <family val="2"/>
          </rPr>
          <t>Overview :</t>
        </r>
        <r>
          <rPr>
            <sz val="9"/>
            <color indexed="81"/>
            <rFont val="Tahoma"/>
            <family val="2"/>
          </rPr>
          <t xml:space="preserve">
Pourcentage of "yes" answers out of applicable answers</t>
        </r>
      </text>
    </comment>
    <comment ref="F3" authorId="0" shapeId="0" xr:uid="{1845EB3E-1067-4099-A2F7-89555206D8AC}">
      <text>
        <r>
          <rPr>
            <b/>
            <sz val="9"/>
            <color indexed="81"/>
            <rFont val="Tahoma"/>
            <family val="2"/>
          </rPr>
          <t>Overview :</t>
        </r>
        <r>
          <rPr>
            <sz val="9"/>
            <color indexed="81"/>
            <rFont val="Tahoma"/>
            <family val="2"/>
          </rPr>
          <t xml:space="preserve">
Pourcentage of "yes" answers out of applicable answers</t>
        </r>
      </text>
    </comment>
    <comment ref="G3" authorId="0" shapeId="0" xr:uid="{48B1E289-41B0-42FA-B5D6-3BF3C1CB8839}">
      <text>
        <r>
          <rPr>
            <b/>
            <sz val="9"/>
            <color indexed="81"/>
            <rFont val="Tahoma"/>
            <family val="2"/>
          </rPr>
          <t>Overview :</t>
        </r>
        <r>
          <rPr>
            <sz val="9"/>
            <color indexed="81"/>
            <rFont val="Tahoma"/>
            <family val="2"/>
          </rPr>
          <t xml:space="preserve">
Pourcentage of "yes" answers out of applicable answers</t>
        </r>
      </text>
    </comment>
    <comment ref="H3" authorId="0" shapeId="0" xr:uid="{54149645-FCD3-4BD4-89BE-7E1C2EA9F789}">
      <text>
        <r>
          <rPr>
            <b/>
            <sz val="9"/>
            <color indexed="81"/>
            <rFont val="Tahoma"/>
            <family val="2"/>
          </rPr>
          <t>Overview :</t>
        </r>
        <r>
          <rPr>
            <sz val="9"/>
            <color indexed="81"/>
            <rFont val="Tahoma"/>
            <family val="2"/>
          </rPr>
          <t xml:space="preserve">
Pourcentage of "yes" answers out of applicable answers</t>
        </r>
      </text>
    </comment>
    <comment ref="I3" authorId="0" shapeId="0" xr:uid="{8370151C-B0A0-4B2C-B0F0-DB6E5F02ECE1}">
      <text>
        <r>
          <rPr>
            <b/>
            <sz val="9"/>
            <color indexed="81"/>
            <rFont val="Tahoma"/>
            <family val="2"/>
          </rPr>
          <t>Overview :</t>
        </r>
        <r>
          <rPr>
            <sz val="9"/>
            <color indexed="81"/>
            <rFont val="Tahoma"/>
            <family val="2"/>
          </rPr>
          <t xml:space="preserve">
Pourcentage of "yes" answers out of applicable answers</t>
        </r>
      </text>
    </comment>
    <comment ref="J3" authorId="0" shapeId="0" xr:uid="{354B473B-9FB0-4D4B-A5D7-7CF15288DC46}">
      <text>
        <r>
          <rPr>
            <b/>
            <sz val="9"/>
            <color indexed="81"/>
            <rFont val="Tahoma"/>
            <family val="2"/>
          </rPr>
          <t>Overview :</t>
        </r>
        <r>
          <rPr>
            <sz val="9"/>
            <color indexed="81"/>
            <rFont val="Tahoma"/>
            <family val="2"/>
          </rPr>
          <t xml:space="preserve">
Pourcentage of "yes" answers out of applicable answers</t>
        </r>
      </text>
    </comment>
    <comment ref="K3" authorId="0" shapeId="0" xr:uid="{44A6190F-F7C9-41CB-858B-2B7D5E020E7B}">
      <text>
        <r>
          <rPr>
            <b/>
            <sz val="9"/>
            <color indexed="81"/>
            <rFont val="Tahoma"/>
            <family val="2"/>
          </rPr>
          <t>Overview :</t>
        </r>
        <r>
          <rPr>
            <sz val="9"/>
            <color indexed="81"/>
            <rFont val="Tahoma"/>
            <family val="2"/>
          </rPr>
          <t xml:space="preserve">
Pourcentage of "yes" answers out of applicable answers</t>
        </r>
      </text>
    </comment>
    <comment ref="L3" authorId="0" shapeId="0" xr:uid="{9E2202B6-CDF2-4282-BE28-101A0FD4B0DC}">
      <text>
        <r>
          <rPr>
            <b/>
            <sz val="9"/>
            <color indexed="81"/>
            <rFont val="Tahoma"/>
            <family val="2"/>
          </rPr>
          <t>Overview :</t>
        </r>
        <r>
          <rPr>
            <sz val="9"/>
            <color indexed="81"/>
            <rFont val="Tahoma"/>
            <family val="2"/>
          </rPr>
          <t xml:space="preserve">
Pourcentage of "yes" answers out of applicable answers</t>
        </r>
      </text>
    </comment>
    <comment ref="M3" authorId="0" shapeId="0" xr:uid="{2D17D44C-EBEA-41C4-99C8-D0481A376169}">
      <text>
        <r>
          <rPr>
            <b/>
            <sz val="9"/>
            <color indexed="81"/>
            <rFont val="Tahoma"/>
            <family val="2"/>
          </rPr>
          <t>Overview :</t>
        </r>
        <r>
          <rPr>
            <sz val="9"/>
            <color indexed="81"/>
            <rFont val="Tahoma"/>
            <family val="2"/>
          </rPr>
          <t xml:space="preserve">
Pourcentage of "yes" answers out of applicable answers</t>
        </r>
      </text>
    </comment>
    <comment ref="N3" authorId="0" shapeId="0" xr:uid="{99CCECE5-1EE1-4995-A57C-AF5D5A0B7A0D}">
      <text>
        <r>
          <rPr>
            <b/>
            <sz val="9"/>
            <color indexed="81"/>
            <rFont val="Tahoma"/>
            <family val="2"/>
          </rPr>
          <t>Overview :</t>
        </r>
        <r>
          <rPr>
            <sz val="9"/>
            <color indexed="81"/>
            <rFont val="Tahoma"/>
            <family val="2"/>
          </rPr>
          <t xml:space="preserve">
Pourcentage of "yes" answers out of applicable answers</t>
        </r>
      </text>
    </comment>
    <comment ref="O3" authorId="0" shapeId="0" xr:uid="{9A1FA377-F024-4D10-A5F4-1FA72DA61F71}">
      <text>
        <r>
          <rPr>
            <b/>
            <sz val="9"/>
            <color indexed="81"/>
            <rFont val="Tahoma"/>
            <family val="2"/>
          </rPr>
          <t>Overview :</t>
        </r>
        <r>
          <rPr>
            <sz val="9"/>
            <color indexed="81"/>
            <rFont val="Tahoma"/>
            <family val="2"/>
          </rPr>
          <t xml:space="preserve">
Pourcentage of "yes" answers out of applicable answers</t>
        </r>
      </text>
    </comment>
    <comment ref="P3" authorId="0" shapeId="0" xr:uid="{104C1B20-BECE-4803-A522-1058BF9E0201}">
      <text>
        <r>
          <rPr>
            <b/>
            <sz val="9"/>
            <color indexed="81"/>
            <rFont val="Tahoma"/>
            <family val="2"/>
          </rPr>
          <t>Overview :</t>
        </r>
        <r>
          <rPr>
            <sz val="9"/>
            <color indexed="81"/>
            <rFont val="Tahoma"/>
            <family val="2"/>
          </rPr>
          <t xml:space="preserve">
Pourcentage of "yes" answers out of applicable answers</t>
        </r>
      </text>
    </comment>
    <comment ref="Q3" authorId="0" shapeId="0" xr:uid="{B8B44738-17AD-4BA3-99EF-9592779DEBE9}">
      <text>
        <r>
          <rPr>
            <b/>
            <sz val="9"/>
            <color indexed="81"/>
            <rFont val="Tahoma"/>
            <family val="2"/>
          </rPr>
          <t>Overview :</t>
        </r>
        <r>
          <rPr>
            <sz val="9"/>
            <color indexed="81"/>
            <rFont val="Tahoma"/>
            <family val="2"/>
          </rPr>
          <t xml:space="preserve">
Pourcentage of "yes" answers out of applicable answers</t>
        </r>
      </text>
    </comment>
    <comment ref="R3" authorId="0" shapeId="0" xr:uid="{EC5850CB-3E13-4EF7-80E7-FD00731498A9}">
      <text>
        <r>
          <rPr>
            <b/>
            <sz val="9"/>
            <color indexed="81"/>
            <rFont val="Tahoma"/>
            <family val="2"/>
          </rPr>
          <t>Overview :</t>
        </r>
        <r>
          <rPr>
            <sz val="9"/>
            <color indexed="81"/>
            <rFont val="Tahoma"/>
            <family val="2"/>
          </rPr>
          <t xml:space="preserve">
Pourcentage of "yes" answers out of applicable answers</t>
        </r>
      </text>
    </comment>
    <comment ref="S3" authorId="0" shapeId="0" xr:uid="{147367B8-08D3-45BB-A999-FFC96C0071B7}">
      <text>
        <r>
          <rPr>
            <b/>
            <sz val="9"/>
            <color indexed="81"/>
            <rFont val="Tahoma"/>
            <family val="2"/>
          </rPr>
          <t>Overview :</t>
        </r>
        <r>
          <rPr>
            <sz val="9"/>
            <color indexed="81"/>
            <rFont val="Tahoma"/>
            <family val="2"/>
          </rPr>
          <t xml:space="preserve">
Pourcentage of "yes" answers out of applicable answers</t>
        </r>
      </text>
    </comment>
    <comment ref="T3" authorId="0" shapeId="0" xr:uid="{27D91243-BA37-40BC-93D1-24CB3026D274}">
      <text>
        <r>
          <rPr>
            <b/>
            <sz val="9"/>
            <color indexed="81"/>
            <rFont val="Tahoma"/>
            <family val="2"/>
          </rPr>
          <t>Overview :</t>
        </r>
        <r>
          <rPr>
            <sz val="9"/>
            <color indexed="81"/>
            <rFont val="Tahoma"/>
            <family val="2"/>
          </rPr>
          <t xml:space="preserve">
Pourcentage of "yes" answers out of applicable answers</t>
        </r>
      </text>
    </comment>
    <comment ref="U3" authorId="0" shapeId="0" xr:uid="{C07AAAB6-E0E2-4F48-AE7B-CE272328D856}">
      <text>
        <r>
          <rPr>
            <b/>
            <sz val="9"/>
            <color indexed="81"/>
            <rFont val="Tahoma"/>
            <family val="2"/>
          </rPr>
          <t>Overview :</t>
        </r>
        <r>
          <rPr>
            <sz val="9"/>
            <color indexed="81"/>
            <rFont val="Tahoma"/>
            <family val="2"/>
          </rPr>
          <t xml:space="preserve">
Pourcentage of "yes" answers out of applicable answers</t>
        </r>
      </text>
    </comment>
    <comment ref="V3" authorId="0" shapeId="0" xr:uid="{CD7B2EFC-3071-45BF-A4A7-67BEA531ACF6}">
      <text>
        <r>
          <rPr>
            <b/>
            <sz val="9"/>
            <color indexed="81"/>
            <rFont val="Tahoma"/>
            <family val="2"/>
          </rPr>
          <t>Overview :</t>
        </r>
        <r>
          <rPr>
            <sz val="9"/>
            <color indexed="81"/>
            <rFont val="Tahoma"/>
            <family val="2"/>
          </rPr>
          <t xml:space="preserve">
Pourcentage of "yes" answers out of applicable answers</t>
        </r>
      </text>
    </comment>
    <comment ref="W3" authorId="0" shapeId="0" xr:uid="{6BD4C79C-B39F-4FCF-A44F-E160FB89475C}">
      <text>
        <r>
          <rPr>
            <b/>
            <sz val="9"/>
            <color indexed="81"/>
            <rFont val="Tahoma"/>
            <family val="2"/>
          </rPr>
          <t>Overview :</t>
        </r>
        <r>
          <rPr>
            <sz val="9"/>
            <color indexed="81"/>
            <rFont val="Tahoma"/>
            <family val="2"/>
          </rPr>
          <t xml:space="preserve">
Pourcentage of "yes" answers out of applicable answers</t>
        </r>
      </text>
    </comment>
    <comment ref="X3" authorId="0" shapeId="0" xr:uid="{C4CC00B3-9924-4F33-A1B9-4C5D6378FB99}">
      <text>
        <r>
          <rPr>
            <b/>
            <sz val="9"/>
            <color indexed="81"/>
            <rFont val="Tahoma"/>
            <family val="2"/>
          </rPr>
          <t>Overview :</t>
        </r>
        <r>
          <rPr>
            <sz val="9"/>
            <color indexed="81"/>
            <rFont val="Tahoma"/>
            <family val="2"/>
          </rPr>
          <t xml:space="preserve">
Pourcentage of "yes" answers out of applicable answers</t>
        </r>
      </text>
    </comment>
    <comment ref="Y3" authorId="0" shapeId="0" xr:uid="{3174C53B-0288-4B3E-AC16-BDECAB2A79B7}">
      <text>
        <r>
          <rPr>
            <b/>
            <sz val="9"/>
            <color indexed="81"/>
            <rFont val="Tahoma"/>
            <family val="2"/>
          </rPr>
          <t>Overview :</t>
        </r>
        <r>
          <rPr>
            <sz val="9"/>
            <color indexed="81"/>
            <rFont val="Tahoma"/>
            <family val="2"/>
          </rPr>
          <t xml:space="preserve">
Pourcentage of "yes" answers out of applicable answers</t>
        </r>
      </text>
    </comment>
    <comment ref="Z3" authorId="0" shapeId="0" xr:uid="{77B4A2FE-E1F6-42AA-8364-296B102C82D4}">
      <text>
        <r>
          <rPr>
            <b/>
            <sz val="9"/>
            <color indexed="81"/>
            <rFont val="Tahoma"/>
            <family val="2"/>
          </rPr>
          <t>Overview :</t>
        </r>
        <r>
          <rPr>
            <sz val="9"/>
            <color indexed="81"/>
            <rFont val="Tahoma"/>
            <family val="2"/>
          </rPr>
          <t xml:space="preserve">
Pourcentage of "yes" answers out of applicable answers</t>
        </r>
      </text>
    </comment>
    <comment ref="AA3" authorId="0" shapeId="0" xr:uid="{BFCDF7E3-D610-47A0-9A29-26F05613013A}">
      <text>
        <r>
          <rPr>
            <b/>
            <sz val="9"/>
            <color indexed="81"/>
            <rFont val="Tahoma"/>
            <family val="2"/>
          </rPr>
          <t>Overview :</t>
        </r>
        <r>
          <rPr>
            <sz val="9"/>
            <color indexed="81"/>
            <rFont val="Tahoma"/>
            <family val="2"/>
          </rPr>
          <t xml:space="preserve">
Pourcentage of "yes" answers out of applicable answers</t>
        </r>
      </text>
    </comment>
    <comment ref="AB3" authorId="0" shapeId="0" xr:uid="{75DBF746-94F3-4D8E-A5A6-DBC7566E9D4C}">
      <text>
        <r>
          <rPr>
            <b/>
            <sz val="9"/>
            <color indexed="81"/>
            <rFont val="Tahoma"/>
            <family val="2"/>
          </rPr>
          <t>Overview :</t>
        </r>
        <r>
          <rPr>
            <sz val="9"/>
            <color indexed="81"/>
            <rFont val="Tahoma"/>
            <family val="2"/>
          </rPr>
          <t xml:space="preserve">
Pourcentage of "yes" answers out of applicable answers</t>
        </r>
      </text>
    </comment>
    <comment ref="AC3" authorId="0" shapeId="0" xr:uid="{9281B453-A6A5-4678-B55E-3BE8D77A6962}">
      <text>
        <r>
          <rPr>
            <b/>
            <sz val="9"/>
            <color indexed="81"/>
            <rFont val="Tahoma"/>
            <family val="2"/>
          </rPr>
          <t>Overview :</t>
        </r>
        <r>
          <rPr>
            <sz val="9"/>
            <color indexed="81"/>
            <rFont val="Tahoma"/>
            <family val="2"/>
          </rPr>
          <t xml:space="preserve">
Pourcentage of "yes" answers out of applicable answers</t>
        </r>
      </text>
    </comment>
    <comment ref="AD3" authorId="0" shapeId="0" xr:uid="{E8FE1B7C-C25B-43D1-86FB-E7F589AD35EC}">
      <text>
        <r>
          <rPr>
            <b/>
            <sz val="9"/>
            <color indexed="81"/>
            <rFont val="Tahoma"/>
            <family val="2"/>
          </rPr>
          <t>Overview :</t>
        </r>
        <r>
          <rPr>
            <sz val="9"/>
            <color indexed="81"/>
            <rFont val="Tahoma"/>
            <family val="2"/>
          </rPr>
          <t xml:space="preserve">
Pourcentage of "yes" answers out of applicable answers</t>
        </r>
      </text>
    </comment>
    <comment ref="AE3" authorId="0" shapeId="0" xr:uid="{2C0A432B-AC96-4C06-9901-15E87748F80E}">
      <text>
        <r>
          <rPr>
            <b/>
            <sz val="9"/>
            <color indexed="81"/>
            <rFont val="Tahoma"/>
            <family val="2"/>
          </rPr>
          <t>Overview :</t>
        </r>
        <r>
          <rPr>
            <sz val="9"/>
            <color indexed="81"/>
            <rFont val="Tahoma"/>
            <family val="2"/>
          </rPr>
          <t xml:space="preserve">
Pourcentage of "yes" answers out of applicable answers</t>
        </r>
      </text>
    </comment>
    <comment ref="AF3" authorId="0" shapeId="0" xr:uid="{73A7B6E6-BBA6-41CD-8090-1F8381CB2F68}">
      <text>
        <r>
          <rPr>
            <b/>
            <sz val="9"/>
            <color indexed="81"/>
            <rFont val="Tahoma"/>
            <family val="2"/>
          </rPr>
          <t>Overview :</t>
        </r>
        <r>
          <rPr>
            <sz val="9"/>
            <color indexed="81"/>
            <rFont val="Tahoma"/>
            <family val="2"/>
          </rPr>
          <t xml:space="preserve">
Pourcentage of "yes" answers out of applicable answers</t>
        </r>
      </text>
    </comment>
    <comment ref="AG3" authorId="0" shapeId="0" xr:uid="{752D1D62-905A-4B70-8CEF-AE46E68D84E5}">
      <text>
        <r>
          <rPr>
            <b/>
            <sz val="9"/>
            <color indexed="81"/>
            <rFont val="Tahoma"/>
            <family val="2"/>
          </rPr>
          <t>Overview :</t>
        </r>
        <r>
          <rPr>
            <sz val="9"/>
            <color indexed="81"/>
            <rFont val="Tahoma"/>
            <family val="2"/>
          </rPr>
          <t xml:space="preserve">
Pourcentage of "yes" answers out of applicable answers</t>
        </r>
      </text>
    </comment>
    <comment ref="AH3" authorId="0" shapeId="0" xr:uid="{908ABF20-0922-4B85-A011-B72064192220}">
      <text>
        <r>
          <rPr>
            <b/>
            <sz val="9"/>
            <color indexed="81"/>
            <rFont val="Tahoma"/>
            <family val="2"/>
          </rPr>
          <t>Overview :</t>
        </r>
        <r>
          <rPr>
            <sz val="9"/>
            <color indexed="81"/>
            <rFont val="Tahoma"/>
            <family val="2"/>
          </rPr>
          <t xml:space="preserve">
Pourcentage of "yes" answers out of applicable answers</t>
        </r>
      </text>
    </comment>
    <comment ref="AI3" authorId="0" shapeId="0" xr:uid="{ED6EDD16-1977-4EE0-AB55-8DC2CA04EB36}">
      <text>
        <r>
          <rPr>
            <b/>
            <sz val="9"/>
            <color indexed="81"/>
            <rFont val="Tahoma"/>
            <family val="2"/>
          </rPr>
          <t>Overview :</t>
        </r>
        <r>
          <rPr>
            <sz val="9"/>
            <color indexed="81"/>
            <rFont val="Tahoma"/>
            <family val="2"/>
          </rPr>
          <t xml:space="preserve">
Pourcentage of "yes" answers out of applicable answers</t>
        </r>
      </text>
    </comment>
    <comment ref="AJ3" authorId="0" shapeId="0" xr:uid="{175F6A98-146C-46E6-83F6-5BC4792E87F7}">
      <text>
        <r>
          <rPr>
            <b/>
            <sz val="9"/>
            <color indexed="81"/>
            <rFont val="Tahoma"/>
            <family val="2"/>
          </rPr>
          <t>Overview :</t>
        </r>
        <r>
          <rPr>
            <sz val="9"/>
            <color indexed="81"/>
            <rFont val="Tahoma"/>
            <family val="2"/>
          </rPr>
          <t xml:space="preserve">
Pourcentage of "yes" answers out of applicable answers</t>
        </r>
      </text>
    </comment>
    <comment ref="AK3" authorId="0" shapeId="0" xr:uid="{1EB1C70A-6E94-47D9-9AE1-D24384835AF8}">
      <text>
        <r>
          <rPr>
            <b/>
            <sz val="9"/>
            <color indexed="81"/>
            <rFont val="Tahoma"/>
            <family val="2"/>
          </rPr>
          <t>Overview :</t>
        </r>
        <r>
          <rPr>
            <sz val="9"/>
            <color indexed="81"/>
            <rFont val="Tahoma"/>
            <family val="2"/>
          </rPr>
          <t xml:space="preserve">
Pourcentage of "yes" answers out of applicable answers</t>
        </r>
      </text>
    </comment>
    <comment ref="AL3" authorId="0" shapeId="0" xr:uid="{493C0D95-C754-4581-A649-B8A045B670C2}">
      <text>
        <r>
          <rPr>
            <b/>
            <sz val="9"/>
            <color indexed="81"/>
            <rFont val="Tahoma"/>
            <family val="2"/>
          </rPr>
          <t>Overview :</t>
        </r>
        <r>
          <rPr>
            <sz val="9"/>
            <color indexed="81"/>
            <rFont val="Tahoma"/>
            <family val="2"/>
          </rPr>
          <t xml:space="preserve">
Pourcentage of "yes" answers out of applicable answers</t>
        </r>
      </text>
    </comment>
    <comment ref="AM3" authorId="0" shapeId="0" xr:uid="{97B3E77A-8486-48D0-8820-7270363DBC1C}">
      <text>
        <r>
          <rPr>
            <b/>
            <sz val="9"/>
            <color indexed="81"/>
            <rFont val="Tahoma"/>
            <family val="2"/>
          </rPr>
          <t>Overview :</t>
        </r>
        <r>
          <rPr>
            <sz val="9"/>
            <color indexed="81"/>
            <rFont val="Tahoma"/>
            <family val="2"/>
          </rPr>
          <t xml:space="preserve">
Pourcentage of "yes" answers out of applicable answers</t>
        </r>
      </text>
    </comment>
    <comment ref="AN3" authorId="0" shapeId="0" xr:uid="{033E2047-E57B-41C1-85BD-A4066D393D94}">
      <text>
        <r>
          <rPr>
            <b/>
            <sz val="9"/>
            <color indexed="81"/>
            <rFont val="Tahoma"/>
            <family val="2"/>
          </rPr>
          <t>Overview :</t>
        </r>
        <r>
          <rPr>
            <sz val="9"/>
            <color indexed="81"/>
            <rFont val="Tahoma"/>
            <family val="2"/>
          </rPr>
          <t xml:space="preserve">
Pourcentage of "yes" answers out of applicable answers</t>
        </r>
      </text>
    </comment>
    <comment ref="AO3" authorId="0" shapeId="0" xr:uid="{C64A03E9-ECBA-48AD-807D-4D1E9A81A307}">
      <text>
        <r>
          <rPr>
            <b/>
            <sz val="9"/>
            <color indexed="81"/>
            <rFont val="Tahoma"/>
            <family val="2"/>
          </rPr>
          <t>Overview :</t>
        </r>
        <r>
          <rPr>
            <sz val="9"/>
            <color indexed="81"/>
            <rFont val="Tahoma"/>
            <family val="2"/>
          </rPr>
          <t xml:space="preserve">
Pourcentage of "yes" answers out of applicable answers</t>
        </r>
      </text>
    </comment>
    <comment ref="AP3" authorId="0" shapeId="0" xr:uid="{0A999D67-DC2B-4B2D-828B-14F9D577B580}">
      <text>
        <r>
          <rPr>
            <b/>
            <sz val="9"/>
            <color indexed="81"/>
            <rFont val="Tahoma"/>
            <family val="2"/>
          </rPr>
          <t>Overview :</t>
        </r>
        <r>
          <rPr>
            <sz val="9"/>
            <color indexed="81"/>
            <rFont val="Tahoma"/>
            <family val="2"/>
          </rPr>
          <t xml:space="preserve">
Pourcentage of "yes" answers out of applicable answers</t>
        </r>
      </text>
    </comment>
    <comment ref="AQ3" authorId="0" shapeId="0" xr:uid="{15601E5B-B19F-4351-8A73-381DFB0785D5}">
      <text>
        <r>
          <rPr>
            <b/>
            <sz val="9"/>
            <color indexed="81"/>
            <rFont val="Tahoma"/>
            <family val="2"/>
          </rPr>
          <t>Overview :</t>
        </r>
        <r>
          <rPr>
            <sz val="9"/>
            <color indexed="81"/>
            <rFont val="Tahoma"/>
            <family val="2"/>
          </rPr>
          <t xml:space="preserve">
Pourcentage of "yes" answers out of applicable answers</t>
        </r>
      </text>
    </comment>
    <comment ref="AR3" authorId="0" shapeId="0" xr:uid="{95FBE005-A4BF-4F77-BEE9-45C0653959BD}">
      <text>
        <r>
          <rPr>
            <b/>
            <sz val="9"/>
            <color indexed="81"/>
            <rFont val="Tahoma"/>
            <family val="2"/>
          </rPr>
          <t>Overview :</t>
        </r>
        <r>
          <rPr>
            <sz val="9"/>
            <color indexed="81"/>
            <rFont val="Tahoma"/>
            <family val="2"/>
          </rPr>
          <t xml:space="preserve">
Pourcentage of "yes" answers out of applicable answers</t>
        </r>
      </text>
    </comment>
    <comment ref="AS3" authorId="0" shapeId="0" xr:uid="{980510FE-59B6-43B6-AA90-0AE804B144CB}">
      <text>
        <r>
          <rPr>
            <b/>
            <sz val="9"/>
            <color indexed="81"/>
            <rFont val="Tahoma"/>
            <family val="2"/>
          </rPr>
          <t>Overview :</t>
        </r>
        <r>
          <rPr>
            <sz val="9"/>
            <color indexed="81"/>
            <rFont val="Tahoma"/>
            <family val="2"/>
          </rPr>
          <t xml:space="preserve">
Pourcentage of "yes" answers out of applicable answers</t>
        </r>
      </text>
    </comment>
    <comment ref="AT3" authorId="0" shapeId="0" xr:uid="{376A017D-BBD2-4C2B-A44E-D5EC66CDBA74}">
      <text>
        <r>
          <rPr>
            <b/>
            <sz val="9"/>
            <color indexed="81"/>
            <rFont val="Tahoma"/>
            <family val="2"/>
          </rPr>
          <t>Overview :</t>
        </r>
        <r>
          <rPr>
            <sz val="9"/>
            <color indexed="81"/>
            <rFont val="Tahoma"/>
            <family val="2"/>
          </rPr>
          <t xml:space="preserve">
Pourcentage of "yes" answers out of applicable answers</t>
        </r>
      </text>
    </comment>
    <comment ref="AU3" authorId="0" shapeId="0" xr:uid="{3BA24B43-6D15-49C0-9BD0-B93B17A82821}">
      <text>
        <r>
          <rPr>
            <b/>
            <sz val="9"/>
            <color indexed="81"/>
            <rFont val="Tahoma"/>
            <family val="2"/>
          </rPr>
          <t>Overview :</t>
        </r>
        <r>
          <rPr>
            <sz val="9"/>
            <color indexed="81"/>
            <rFont val="Tahoma"/>
            <family val="2"/>
          </rPr>
          <t xml:space="preserve">
Pourcentage of "yes" answers out of applicable answers</t>
        </r>
      </text>
    </comment>
    <comment ref="AV3" authorId="0" shapeId="0" xr:uid="{BFB5FE2D-8E17-4EA5-8DE3-B01D875E952D}">
      <text>
        <r>
          <rPr>
            <b/>
            <sz val="9"/>
            <color indexed="81"/>
            <rFont val="Tahoma"/>
            <family val="2"/>
          </rPr>
          <t>Overview :</t>
        </r>
        <r>
          <rPr>
            <sz val="9"/>
            <color indexed="81"/>
            <rFont val="Tahoma"/>
            <family val="2"/>
          </rPr>
          <t xml:space="preserve">
Pourcentage of "yes" answers out of applicable answers</t>
        </r>
      </text>
    </comment>
    <comment ref="AW3" authorId="0" shapeId="0" xr:uid="{3C663DD9-FF0C-4B8D-8F79-2DD35349B979}">
      <text>
        <r>
          <rPr>
            <b/>
            <sz val="9"/>
            <color indexed="81"/>
            <rFont val="Tahoma"/>
            <family val="2"/>
          </rPr>
          <t>Overview :</t>
        </r>
        <r>
          <rPr>
            <sz val="9"/>
            <color indexed="81"/>
            <rFont val="Tahoma"/>
            <family val="2"/>
          </rPr>
          <t xml:space="preserve">
Pourcentage of "yes" answers out of applicable answers</t>
        </r>
      </text>
    </comment>
    <comment ref="AX3" authorId="0" shapeId="0" xr:uid="{2E131072-9831-4791-AC44-D158B3B848AE}">
      <text>
        <r>
          <rPr>
            <b/>
            <sz val="9"/>
            <color indexed="81"/>
            <rFont val="Tahoma"/>
            <family val="2"/>
          </rPr>
          <t>Overview :</t>
        </r>
        <r>
          <rPr>
            <sz val="9"/>
            <color indexed="81"/>
            <rFont val="Tahoma"/>
            <family val="2"/>
          </rPr>
          <t xml:space="preserve">
Pourcentage of "yes" answers out of applicable answers</t>
        </r>
      </text>
    </comment>
    <comment ref="AY3" authorId="0" shapeId="0" xr:uid="{AD53F3CB-8E1B-4EBE-802E-774820F5672C}">
      <text>
        <r>
          <rPr>
            <b/>
            <sz val="9"/>
            <color indexed="81"/>
            <rFont val="Tahoma"/>
            <family val="2"/>
          </rPr>
          <t>Overview :</t>
        </r>
        <r>
          <rPr>
            <sz val="9"/>
            <color indexed="81"/>
            <rFont val="Tahoma"/>
            <family val="2"/>
          </rPr>
          <t xml:space="preserve">
Pourcentage of "yes" answers out of applicable answers</t>
        </r>
      </text>
    </comment>
    <comment ref="AZ3" authorId="0" shapeId="0" xr:uid="{1D9FC229-9207-44C5-86FE-84A0A4D6DCF7}">
      <text>
        <r>
          <rPr>
            <b/>
            <sz val="9"/>
            <color indexed="81"/>
            <rFont val="Tahoma"/>
            <family val="2"/>
          </rPr>
          <t>Overview :</t>
        </r>
        <r>
          <rPr>
            <sz val="9"/>
            <color indexed="81"/>
            <rFont val="Tahoma"/>
            <family val="2"/>
          </rPr>
          <t xml:space="preserve">
Pourcentage of "yes" answers out of applicable answers</t>
        </r>
      </text>
    </comment>
    <comment ref="BA3" authorId="0" shapeId="0" xr:uid="{DD2172D4-DDE4-4502-ACB5-6B82EBB0BD0D}">
      <text>
        <r>
          <rPr>
            <b/>
            <sz val="9"/>
            <color indexed="81"/>
            <rFont val="Tahoma"/>
            <family val="2"/>
          </rPr>
          <t>Overview :</t>
        </r>
        <r>
          <rPr>
            <sz val="9"/>
            <color indexed="81"/>
            <rFont val="Tahoma"/>
            <family val="2"/>
          </rPr>
          <t xml:space="preserve">
Pourcentage of "yes" answers out of applicable answers</t>
        </r>
      </text>
    </comment>
    <comment ref="BB3" authorId="0" shapeId="0" xr:uid="{67B9A2D4-4B0F-436F-A482-2EFDBF5C09C2}">
      <text>
        <r>
          <rPr>
            <b/>
            <sz val="9"/>
            <color indexed="81"/>
            <rFont val="Tahoma"/>
            <family val="2"/>
          </rPr>
          <t>Overview :</t>
        </r>
        <r>
          <rPr>
            <sz val="9"/>
            <color indexed="81"/>
            <rFont val="Tahoma"/>
            <family val="2"/>
          </rPr>
          <t xml:space="preserve">
Pourcentage of "yes" answers out of applicable answers</t>
        </r>
      </text>
    </comment>
    <comment ref="BC3" authorId="0" shapeId="0" xr:uid="{C4C09E78-F054-49CA-89AD-24081CE60D69}">
      <text>
        <r>
          <rPr>
            <b/>
            <sz val="9"/>
            <color indexed="81"/>
            <rFont val="Tahoma"/>
            <family val="2"/>
          </rPr>
          <t>Overview :</t>
        </r>
        <r>
          <rPr>
            <sz val="9"/>
            <color indexed="81"/>
            <rFont val="Tahoma"/>
            <family val="2"/>
          </rPr>
          <t xml:space="preserve">
Pourcentage of "yes" answers out of applicable answers</t>
        </r>
      </text>
    </comment>
    <comment ref="BD3" authorId="0" shapeId="0" xr:uid="{D46B2BCE-6295-4CCD-B5DF-50F71E4180AC}">
      <text>
        <r>
          <rPr>
            <b/>
            <sz val="9"/>
            <color indexed="81"/>
            <rFont val="Tahoma"/>
            <family val="2"/>
          </rPr>
          <t>Overview :</t>
        </r>
        <r>
          <rPr>
            <sz val="9"/>
            <color indexed="81"/>
            <rFont val="Tahoma"/>
            <family val="2"/>
          </rPr>
          <t xml:space="preserve">
Pourcentage of "yes" answers out of applicable answers</t>
        </r>
      </text>
    </comment>
    <comment ref="BE3" authorId="0" shapeId="0" xr:uid="{6EB264AB-3C65-4B82-B28B-98268292566E}">
      <text>
        <r>
          <rPr>
            <b/>
            <sz val="9"/>
            <color indexed="81"/>
            <rFont val="Tahoma"/>
            <family val="2"/>
          </rPr>
          <t>Overview :</t>
        </r>
        <r>
          <rPr>
            <sz val="9"/>
            <color indexed="81"/>
            <rFont val="Tahoma"/>
            <family val="2"/>
          </rPr>
          <t xml:space="preserve">
Pourcentage of "yes" answers out of applicable answers</t>
        </r>
      </text>
    </comment>
    <comment ref="BF3" authorId="0" shapeId="0" xr:uid="{1E5CDDC4-0607-40B9-A777-376CEB40CEDE}">
      <text>
        <r>
          <rPr>
            <b/>
            <sz val="9"/>
            <color indexed="81"/>
            <rFont val="Tahoma"/>
            <family val="2"/>
          </rPr>
          <t>Overview :</t>
        </r>
        <r>
          <rPr>
            <sz val="9"/>
            <color indexed="81"/>
            <rFont val="Tahoma"/>
            <family val="2"/>
          </rPr>
          <t xml:space="preserve">
Pourcentage of "yes" answers out of applicable answers</t>
        </r>
      </text>
    </comment>
    <comment ref="BG3" authorId="0" shapeId="0" xr:uid="{889DE3B2-7308-416C-9F9F-5F4EC743ACC5}">
      <text>
        <r>
          <rPr>
            <b/>
            <sz val="9"/>
            <color indexed="81"/>
            <rFont val="Tahoma"/>
            <family val="2"/>
          </rPr>
          <t>Overview :</t>
        </r>
        <r>
          <rPr>
            <sz val="9"/>
            <color indexed="81"/>
            <rFont val="Tahoma"/>
            <family val="2"/>
          </rPr>
          <t xml:space="preserve">
Pourcentage of "yes" answers out of applicable answers</t>
        </r>
      </text>
    </comment>
    <comment ref="BH3" authorId="0" shapeId="0" xr:uid="{0D68B5A1-2376-495F-97EF-2BC8853BF70C}">
      <text>
        <r>
          <rPr>
            <b/>
            <sz val="9"/>
            <color indexed="81"/>
            <rFont val="Tahoma"/>
            <family val="2"/>
          </rPr>
          <t>Overview :</t>
        </r>
        <r>
          <rPr>
            <sz val="9"/>
            <color indexed="81"/>
            <rFont val="Tahoma"/>
            <family val="2"/>
          </rPr>
          <t xml:space="preserve">
Pourcentage of "yes" answers out of applicable answers</t>
        </r>
      </text>
    </comment>
    <comment ref="BI3" authorId="0" shapeId="0" xr:uid="{53DE1647-5661-4DA7-BBCA-93AB6B0450FA}">
      <text>
        <r>
          <rPr>
            <b/>
            <sz val="9"/>
            <color indexed="81"/>
            <rFont val="Tahoma"/>
            <family val="2"/>
          </rPr>
          <t>Overview :</t>
        </r>
        <r>
          <rPr>
            <sz val="9"/>
            <color indexed="81"/>
            <rFont val="Tahoma"/>
            <family val="2"/>
          </rPr>
          <t xml:space="preserve">
Pourcentage of "yes" answers out of applicable answers</t>
        </r>
      </text>
    </comment>
    <comment ref="BJ3" authorId="0" shapeId="0" xr:uid="{181F6667-FE8F-406F-9F77-BBAE88E6B53D}">
      <text>
        <r>
          <rPr>
            <b/>
            <sz val="9"/>
            <color indexed="81"/>
            <rFont val="Tahoma"/>
            <family val="2"/>
          </rPr>
          <t>Overview :</t>
        </r>
        <r>
          <rPr>
            <sz val="9"/>
            <color indexed="81"/>
            <rFont val="Tahoma"/>
            <family val="2"/>
          </rPr>
          <t xml:space="preserve">
Pourcentage of "yes" answers out of applicable answers</t>
        </r>
      </text>
    </comment>
    <comment ref="BK3" authorId="0" shapeId="0" xr:uid="{E678DB69-CB7C-4A18-A8B7-E19A123B1E12}">
      <text>
        <r>
          <rPr>
            <b/>
            <sz val="9"/>
            <color indexed="81"/>
            <rFont val="Tahoma"/>
            <family val="2"/>
          </rPr>
          <t>Overview :</t>
        </r>
        <r>
          <rPr>
            <sz val="9"/>
            <color indexed="81"/>
            <rFont val="Tahoma"/>
            <family val="2"/>
          </rPr>
          <t xml:space="preserve">
Pourcentage of "yes" answers out of applicable answers</t>
        </r>
      </text>
    </comment>
    <comment ref="BL3" authorId="0" shapeId="0" xr:uid="{6D9E1DF1-F79D-4664-BF43-25A9C8873D12}">
      <text>
        <r>
          <rPr>
            <b/>
            <sz val="9"/>
            <color indexed="81"/>
            <rFont val="Tahoma"/>
            <family val="2"/>
          </rPr>
          <t>Overview :</t>
        </r>
        <r>
          <rPr>
            <sz val="9"/>
            <color indexed="81"/>
            <rFont val="Tahoma"/>
            <family val="2"/>
          </rPr>
          <t xml:space="preserve">
Pourcentage of "yes" answers out of applicable answers</t>
        </r>
      </text>
    </comment>
    <comment ref="BM3" authorId="0" shapeId="0" xr:uid="{62649054-4EE4-48BD-B642-A959E0A79541}">
      <text>
        <r>
          <rPr>
            <b/>
            <sz val="9"/>
            <color indexed="81"/>
            <rFont val="Tahoma"/>
            <family val="2"/>
          </rPr>
          <t>Overview :</t>
        </r>
        <r>
          <rPr>
            <sz val="9"/>
            <color indexed="81"/>
            <rFont val="Tahoma"/>
            <family val="2"/>
          </rPr>
          <t xml:space="preserve">
Pourcentage of "yes" answers out of applicable answers</t>
        </r>
      </text>
    </comment>
    <comment ref="BN3" authorId="0" shapeId="0" xr:uid="{ADD4F681-3AB6-47BD-8A7F-DED5F65A8213}">
      <text>
        <r>
          <rPr>
            <b/>
            <sz val="9"/>
            <color indexed="81"/>
            <rFont val="Tahoma"/>
            <family val="2"/>
          </rPr>
          <t>Overview :</t>
        </r>
        <r>
          <rPr>
            <sz val="9"/>
            <color indexed="81"/>
            <rFont val="Tahoma"/>
            <family val="2"/>
          </rPr>
          <t xml:space="preserve">
Pourcentage of "yes" answers out of applicable answers</t>
        </r>
      </text>
    </comment>
    <comment ref="BO3" authorId="0" shapeId="0" xr:uid="{637FD5E2-3B1E-41A7-AD5C-6EEC2155625C}">
      <text>
        <r>
          <rPr>
            <b/>
            <sz val="9"/>
            <color indexed="81"/>
            <rFont val="Tahoma"/>
            <family val="2"/>
          </rPr>
          <t>Overview :</t>
        </r>
        <r>
          <rPr>
            <sz val="9"/>
            <color indexed="81"/>
            <rFont val="Tahoma"/>
            <family val="2"/>
          </rPr>
          <t xml:space="preserve">
Pourcentage of "yes" answers out of applicable answers</t>
        </r>
      </text>
    </comment>
    <comment ref="CJ3" authorId="0" shapeId="0" xr:uid="{9478D357-542C-4CA6-B211-7F9E1E35219B}">
      <text>
        <r>
          <rPr>
            <b/>
            <sz val="9"/>
            <color indexed="81"/>
            <rFont val="Tahoma"/>
            <family val="2"/>
          </rPr>
          <t>Overview :</t>
        </r>
        <r>
          <rPr>
            <sz val="9"/>
            <color indexed="81"/>
            <rFont val="Tahoma"/>
            <family val="2"/>
          </rPr>
          <t xml:space="preserve">
Pourcentage of "yes" answers out of applicable answers</t>
        </r>
      </text>
    </comment>
    <comment ref="CV3" authorId="0" shapeId="0" xr:uid="{2D75F317-C112-455D-9381-4E38147F46C7}">
      <text>
        <r>
          <rPr>
            <b/>
            <sz val="9"/>
            <color indexed="81"/>
            <rFont val="Tahoma"/>
            <family val="2"/>
          </rPr>
          <t>Overview :</t>
        </r>
        <r>
          <rPr>
            <sz val="9"/>
            <color indexed="81"/>
            <rFont val="Tahoma"/>
            <family val="2"/>
          </rPr>
          <t xml:space="preserve">
Pourcentage of "yes" answers out of applicable answers</t>
        </r>
      </text>
    </comment>
    <comment ref="CW3" authorId="0" shapeId="0" xr:uid="{B19301AB-45D5-4BD7-BECC-52080DE95D96}">
      <text>
        <r>
          <rPr>
            <b/>
            <sz val="9"/>
            <color indexed="81"/>
            <rFont val="Tahoma"/>
            <family val="2"/>
          </rPr>
          <t>Overview :</t>
        </r>
        <r>
          <rPr>
            <sz val="9"/>
            <color indexed="81"/>
            <rFont val="Tahoma"/>
            <family val="2"/>
          </rPr>
          <t xml:space="preserve">
Pourcentage of "yes" answers out of applicable answers</t>
        </r>
      </text>
    </comment>
    <comment ref="DD3" authorId="0" shapeId="0" xr:uid="{95847790-33A3-4774-B863-2B42F90D1EEE}">
      <text>
        <r>
          <rPr>
            <b/>
            <sz val="9"/>
            <color indexed="81"/>
            <rFont val="Tahoma"/>
            <family val="2"/>
          </rPr>
          <t>Overview :</t>
        </r>
        <r>
          <rPr>
            <sz val="9"/>
            <color indexed="81"/>
            <rFont val="Tahoma"/>
            <family val="2"/>
          </rPr>
          <t xml:space="preserve">
Pourcentage of "yes" answers out of applicable answers</t>
        </r>
      </text>
    </comment>
    <comment ref="DK3" authorId="0" shapeId="0" xr:uid="{2DA05BC0-60CB-4EF7-B443-024CF41A544B}">
      <text>
        <r>
          <rPr>
            <b/>
            <sz val="9"/>
            <color indexed="81"/>
            <rFont val="Tahoma"/>
            <family val="2"/>
          </rPr>
          <t>Overview :</t>
        </r>
        <r>
          <rPr>
            <sz val="9"/>
            <color indexed="81"/>
            <rFont val="Tahoma"/>
            <family val="2"/>
          </rPr>
          <t xml:space="preserve">
Pourcentage of "yes" answers out of applicable answers</t>
        </r>
      </text>
    </comment>
    <comment ref="B34" authorId="0" shapeId="0" xr:uid="{E80F25DC-13AB-424A-9F88-AE0B58252AC9}">
      <text>
        <r>
          <rPr>
            <b/>
            <sz val="9"/>
            <color indexed="81"/>
            <rFont val="Tahoma"/>
            <family val="2"/>
          </rPr>
          <t xml:space="preserve">Everything above this row is generated by Question Library (TEM486 - Master questions library.xlsm) </t>
        </r>
      </text>
    </comment>
    <comment ref="A36" authorId="0" shapeId="0" xr:uid="{348311A7-B571-4509-9B02-A478835A59E9}">
      <text>
        <r>
          <rPr>
            <b/>
            <sz val="9"/>
            <color indexed="81"/>
            <rFont val="Tahoma"/>
            <family val="2"/>
          </rPr>
          <t>This cell must be blank</t>
        </r>
      </text>
    </comment>
    <comment ref="C36" authorId="0" shapeId="0" xr:uid="{BDD12655-998A-4E5F-AAC6-9CB904DF79AA}">
      <text>
        <r>
          <rPr>
            <b/>
            <sz val="9"/>
            <color indexed="81"/>
            <rFont val="Tahoma"/>
            <family val="2"/>
          </rPr>
          <t>This cell must be blank</t>
        </r>
      </text>
    </comment>
    <comment ref="D36" authorId="0" shapeId="0" xr:uid="{FE6A6266-8E90-4526-91A4-74845BD0A2F2}">
      <text>
        <r>
          <rPr>
            <b/>
            <sz val="9"/>
            <color indexed="81"/>
            <rFont val="Tahoma"/>
            <family val="2"/>
          </rPr>
          <t>This cell must be blank</t>
        </r>
      </text>
    </comment>
    <comment ref="E36" authorId="0" shapeId="0" xr:uid="{DA19C72C-8D57-4EC7-9882-42BEFF02108D}">
      <text>
        <r>
          <rPr>
            <b/>
            <sz val="9"/>
            <color indexed="81"/>
            <rFont val="Tahoma"/>
            <family val="2"/>
          </rPr>
          <t>This cell must be blank</t>
        </r>
      </text>
    </comment>
    <comment ref="F36" authorId="0" shapeId="0" xr:uid="{CD143EA6-D01F-4D0E-88CF-C4C6E0635B4B}">
      <text>
        <r>
          <rPr>
            <b/>
            <sz val="9"/>
            <color indexed="81"/>
            <rFont val="Tahoma"/>
            <family val="2"/>
          </rPr>
          <t>This cell must be blank</t>
        </r>
      </text>
    </comment>
    <comment ref="G36" authorId="0" shapeId="0" xr:uid="{CC17EE89-4D36-4B2D-83FB-7D877C740052}">
      <text>
        <r>
          <rPr>
            <b/>
            <sz val="9"/>
            <color indexed="81"/>
            <rFont val="Tahoma"/>
            <family val="2"/>
          </rPr>
          <t>This cell must be blank</t>
        </r>
      </text>
    </comment>
    <comment ref="H36" authorId="0" shapeId="0" xr:uid="{3099B904-AE37-41F9-8E3F-9D0A6AB32FFC}">
      <text>
        <r>
          <rPr>
            <b/>
            <sz val="9"/>
            <color indexed="81"/>
            <rFont val="Tahoma"/>
            <family val="2"/>
          </rPr>
          <t>This cell must be blank</t>
        </r>
      </text>
    </comment>
    <comment ref="I36" authorId="0" shapeId="0" xr:uid="{5762FCF7-8405-4462-BD3E-E6AC627CE6AF}">
      <text>
        <r>
          <rPr>
            <b/>
            <sz val="9"/>
            <color indexed="81"/>
            <rFont val="Tahoma"/>
            <family val="2"/>
          </rPr>
          <t>This cell must be blank</t>
        </r>
      </text>
    </comment>
    <comment ref="J36" authorId="0" shapeId="0" xr:uid="{D09F1526-DFDF-4703-A6F5-44286846F36E}">
      <text>
        <r>
          <rPr>
            <b/>
            <sz val="9"/>
            <color indexed="81"/>
            <rFont val="Tahoma"/>
            <family val="2"/>
          </rPr>
          <t>This cell must be blank</t>
        </r>
      </text>
    </comment>
    <comment ref="K36" authorId="0" shapeId="0" xr:uid="{1BA1E2A3-AC2C-44BC-93AB-E2CC9EB6F614}">
      <text>
        <r>
          <rPr>
            <b/>
            <sz val="9"/>
            <color indexed="81"/>
            <rFont val="Tahoma"/>
            <family val="2"/>
          </rPr>
          <t>This cell must be blank</t>
        </r>
      </text>
    </comment>
    <comment ref="L36" authorId="0" shapeId="0" xr:uid="{8483CFE4-979A-431E-829C-BA9310C9BCCB}">
      <text>
        <r>
          <rPr>
            <b/>
            <sz val="9"/>
            <color indexed="81"/>
            <rFont val="Tahoma"/>
            <family val="2"/>
          </rPr>
          <t>This cell must be blank</t>
        </r>
      </text>
    </comment>
    <comment ref="M36" authorId="0" shapeId="0" xr:uid="{CE6A149D-33FF-44B2-A6B5-8E7D06991AB2}">
      <text>
        <r>
          <rPr>
            <b/>
            <sz val="9"/>
            <color indexed="81"/>
            <rFont val="Tahoma"/>
            <family val="2"/>
          </rPr>
          <t>This cell must be blank</t>
        </r>
      </text>
    </comment>
    <comment ref="O36" authorId="0" shapeId="0" xr:uid="{4A361EF5-1EC8-41E9-8BF9-C2F10A9AD305}">
      <text>
        <r>
          <rPr>
            <b/>
            <sz val="9"/>
            <color indexed="81"/>
            <rFont val="Tahoma"/>
            <family val="2"/>
          </rPr>
          <t>This cell must be blank</t>
        </r>
      </text>
    </comment>
    <comment ref="P36" authorId="0" shapeId="0" xr:uid="{08ECED82-373C-4575-9AD9-C53EF95638EE}">
      <text>
        <r>
          <rPr>
            <b/>
            <sz val="9"/>
            <color indexed="81"/>
            <rFont val="Tahoma"/>
            <family val="2"/>
          </rPr>
          <t>This cell must be blank</t>
        </r>
      </text>
    </comment>
    <comment ref="Q36" authorId="0" shapeId="0" xr:uid="{E7DC79D1-99F9-42FD-8563-D14B693744FA}">
      <text>
        <r>
          <rPr>
            <b/>
            <sz val="9"/>
            <color indexed="81"/>
            <rFont val="Tahoma"/>
            <family val="2"/>
          </rPr>
          <t>This cell must be blank</t>
        </r>
      </text>
    </comment>
    <comment ref="R36" authorId="0" shapeId="0" xr:uid="{8AACF053-A5BA-498C-ACBF-8FDE3A11FA81}">
      <text>
        <r>
          <rPr>
            <b/>
            <sz val="9"/>
            <color indexed="81"/>
            <rFont val="Tahoma"/>
            <family val="2"/>
          </rPr>
          <t>This cell must be blank</t>
        </r>
      </text>
    </comment>
    <comment ref="S36" authorId="0" shapeId="0" xr:uid="{BF98279B-E0A7-42D7-B7C7-D97E2C96709D}">
      <text>
        <r>
          <rPr>
            <b/>
            <sz val="9"/>
            <color indexed="81"/>
            <rFont val="Tahoma"/>
            <family val="2"/>
          </rPr>
          <t>This cell must be blank</t>
        </r>
      </text>
    </comment>
    <comment ref="T36" authorId="0" shapeId="0" xr:uid="{32BADC4E-4185-4874-A148-0FF4767EC362}">
      <text>
        <r>
          <rPr>
            <b/>
            <sz val="9"/>
            <color indexed="81"/>
            <rFont val="Tahoma"/>
            <family val="2"/>
          </rPr>
          <t>This cell must be blank</t>
        </r>
      </text>
    </comment>
    <comment ref="U36" authorId="0" shapeId="0" xr:uid="{247DC38D-D76D-4245-A470-09B232D2F75A}">
      <text>
        <r>
          <rPr>
            <b/>
            <sz val="9"/>
            <color indexed="81"/>
            <rFont val="Tahoma"/>
            <family val="2"/>
          </rPr>
          <t>This cell must be blank</t>
        </r>
      </text>
    </comment>
    <comment ref="V36" authorId="0" shapeId="0" xr:uid="{2B9746A6-7F12-4742-B6F4-5B698B97963E}">
      <text>
        <r>
          <rPr>
            <b/>
            <sz val="9"/>
            <color indexed="81"/>
            <rFont val="Tahoma"/>
            <family val="2"/>
          </rPr>
          <t>This cell must be blank</t>
        </r>
      </text>
    </comment>
    <comment ref="W36" authorId="0" shapeId="0" xr:uid="{70C7AF06-A991-4119-9B51-62701044BCA9}">
      <text>
        <r>
          <rPr>
            <b/>
            <sz val="9"/>
            <color indexed="81"/>
            <rFont val="Tahoma"/>
            <family val="2"/>
          </rPr>
          <t>This cell must be blank</t>
        </r>
      </text>
    </comment>
    <comment ref="X36" authorId="0" shapeId="0" xr:uid="{4823CD53-1A1E-4B22-9F01-C4E2DBA8162C}">
      <text>
        <r>
          <rPr>
            <b/>
            <sz val="9"/>
            <color indexed="81"/>
            <rFont val="Tahoma"/>
            <family val="2"/>
          </rPr>
          <t>This cell must be blank</t>
        </r>
      </text>
    </comment>
    <comment ref="Y36" authorId="0" shapeId="0" xr:uid="{9F7AF634-C883-4E9C-AE6B-BEFD9CF139A6}">
      <text>
        <r>
          <rPr>
            <b/>
            <sz val="9"/>
            <color indexed="81"/>
            <rFont val="Tahoma"/>
            <family val="2"/>
          </rPr>
          <t>This cell must be blank</t>
        </r>
      </text>
    </comment>
    <comment ref="Z36" authorId="0" shapeId="0" xr:uid="{F8D38A4D-F2EB-4DB1-9C00-AF3D373B8A8E}">
      <text>
        <r>
          <rPr>
            <b/>
            <sz val="9"/>
            <color indexed="81"/>
            <rFont val="Tahoma"/>
            <family val="2"/>
          </rPr>
          <t>This cell must be blank</t>
        </r>
      </text>
    </comment>
    <comment ref="AA36" authorId="0" shapeId="0" xr:uid="{9D94BE5D-A3C9-45B2-87F7-0BEBA94FC9E7}">
      <text>
        <r>
          <rPr>
            <b/>
            <sz val="9"/>
            <color indexed="81"/>
            <rFont val="Tahoma"/>
            <family val="2"/>
          </rPr>
          <t>This cell must be blank</t>
        </r>
      </text>
    </comment>
    <comment ref="AB36" authorId="0" shapeId="0" xr:uid="{6560AB63-76D0-40EE-B7D6-25D2053F340C}">
      <text>
        <r>
          <rPr>
            <b/>
            <sz val="9"/>
            <color indexed="81"/>
            <rFont val="Tahoma"/>
            <family val="2"/>
          </rPr>
          <t>This cell must be blank</t>
        </r>
      </text>
    </comment>
    <comment ref="AC36" authorId="0" shapeId="0" xr:uid="{EB2343B2-4D90-4CBE-B912-25DCCECDA902}">
      <text>
        <r>
          <rPr>
            <b/>
            <sz val="9"/>
            <color indexed="81"/>
            <rFont val="Tahoma"/>
            <family val="2"/>
          </rPr>
          <t>This cell must be blank</t>
        </r>
      </text>
    </comment>
    <comment ref="AD36" authorId="0" shapeId="0" xr:uid="{82B3821C-59A5-46ED-B3F3-128DF8A57A89}">
      <text>
        <r>
          <rPr>
            <b/>
            <sz val="9"/>
            <color indexed="81"/>
            <rFont val="Tahoma"/>
            <family val="2"/>
          </rPr>
          <t>This cell must be blank</t>
        </r>
      </text>
    </comment>
    <comment ref="AE36" authorId="0" shapeId="0" xr:uid="{2FE56049-B5DD-40E5-8298-7BA99D1263ED}">
      <text>
        <r>
          <rPr>
            <b/>
            <sz val="9"/>
            <color indexed="81"/>
            <rFont val="Tahoma"/>
            <family val="2"/>
          </rPr>
          <t>This cell must be blank</t>
        </r>
      </text>
    </comment>
    <comment ref="AF36" authorId="0" shapeId="0" xr:uid="{B4B9953B-F862-4F95-873D-EDA4A47F765A}">
      <text>
        <r>
          <rPr>
            <b/>
            <sz val="9"/>
            <color indexed="81"/>
            <rFont val="Tahoma"/>
            <family val="2"/>
          </rPr>
          <t>This cell must be blank</t>
        </r>
      </text>
    </comment>
    <comment ref="AG36" authorId="0" shapeId="0" xr:uid="{734A0AA9-B371-4145-B657-ABF5F55A331D}">
      <text>
        <r>
          <rPr>
            <b/>
            <sz val="9"/>
            <color indexed="81"/>
            <rFont val="Tahoma"/>
            <family val="2"/>
          </rPr>
          <t>This cell must be blank</t>
        </r>
      </text>
    </comment>
    <comment ref="AH36" authorId="0" shapeId="0" xr:uid="{DDAB6B50-A77E-4DD5-8323-1A10D90EF0CD}">
      <text>
        <r>
          <rPr>
            <b/>
            <sz val="9"/>
            <color indexed="81"/>
            <rFont val="Tahoma"/>
            <family val="2"/>
          </rPr>
          <t>This cell must be blank</t>
        </r>
      </text>
    </comment>
    <comment ref="AI36" authorId="0" shapeId="0" xr:uid="{11A96C56-3A86-453A-8D18-8739B2BAA792}">
      <text>
        <r>
          <rPr>
            <b/>
            <sz val="9"/>
            <color indexed="81"/>
            <rFont val="Tahoma"/>
            <family val="2"/>
          </rPr>
          <t>This cell must be blank</t>
        </r>
      </text>
    </comment>
    <comment ref="AJ36" authorId="0" shapeId="0" xr:uid="{9D4E8640-4EC5-4419-B027-BFEC937F6214}">
      <text>
        <r>
          <rPr>
            <b/>
            <sz val="9"/>
            <color indexed="81"/>
            <rFont val="Tahoma"/>
            <family val="2"/>
          </rPr>
          <t>This cell must be blank</t>
        </r>
      </text>
    </comment>
    <comment ref="AK36" authorId="0" shapeId="0" xr:uid="{F0903757-DF0B-4637-BCB3-F227877534AA}">
      <text>
        <r>
          <rPr>
            <b/>
            <sz val="9"/>
            <color indexed="81"/>
            <rFont val="Tahoma"/>
            <family val="2"/>
          </rPr>
          <t>This cell must be blank</t>
        </r>
      </text>
    </comment>
    <comment ref="AL36" authorId="0" shapeId="0" xr:uid="{95AAEBAE-0750-4F8A-96FF-205FC0610BA3}">
      <text>
        <r>
          <rPr>
            <b/>
            <sz val="9"/>
            <color indexed="81"/>
            <rFont val="Tahoma"/>
            <family val="2"/>
          </rPr>
          <t>This cell must be blank</t>
        </r>
      </text>
    </comment>
    <comment ref="AM36" authorId="0" shapeId="0" xr:uid="{B6DADCAD-E671-40AB-BE9D-F12ABF44E6A8}">
      <text>
        <r>
          <rPr>
            <b/>
            <sz val="9"/>
            <color indexed="81"/>
            <rFont val="Tahoma"/>
            <family val="2"/>
          </rPr>
          <t>This cell must be blank</t>
        </r>
      </text>
    </comment>
    <comment ref="AN36" authorId="0" shapeId="0" xr:uid="{EE9B7997-6366-4713-AAC3-793D97741243}">
      <text>
        <r>
          <rPr>
            <b/>
            <sz val="9"/>
            <color indexed="81"/>
            <rFont val="Tahoma"/>
            <family val="2"/>
          </rPr>
          <t>This cell must be blank</t>
        </r>
      </text>
    </comment>
    <comment ref="AO36" authorId="0" shapeId="0" xr:uid="{AB3EC7D2-6B74-408C-A2F9-970A3E40F842}">
      <text>
        <r>
          <rPr>
            <b/>
            <sz val="9"/>
            <color indexed="81"/>
            <rFont val="Tahoma"/>
            <family val="2"/>
          </rPr>
          <t>This cell must be blank</t>
        </r>
      </text>
    </comment>
    <comment ref="AP36" authorId="0" shapeId="0" xr:uid="{AC6E9292-1BA1-452A-AECE-D0A8A7A01B4A}">
      <text>
        <r>
          <rPr>
            <b/>
            <sz val="9"/>
            <color indexed="81"/>
            <rFont val="Tahoma"/>
            <family val="2"/>
          </rPr>
          <t>This cell must be blank</t>
        </r>
      </text>
    </comment>
    <comment ref="AQ36" authorId="0" shapeId="0" xr:uid="{56B133E1-FF75-404C-98A9-5577B4A04129}">
      <text>
        <r>
          <rPr>
            <b/>
            <sz val="9"/>
            <color indexed="81"/>
            <rFont val="Tahoma"/>
            <family val="2"/>
          </rPr>
          <t>This cell must be blank</t>
        </r>
      </text>
    </comment>
    <comment ref="AR36" authorId="0" shapeId="0" xr:uid="{1411A47B-657E-4F52-A2BF-19C94EAA18A8}">
      <text>
        <r>
          <rPr>
            <b/>
            <sz val="9"/>
            <color indexed="81"/>
            <rFont val="Tahoma"/>
            <family val="2"/>
          </rPr>
          <t>This cell must be blank</t>
        </r>
      </text>
    </comment>
    <comment ref="AT36" authorId="0" shapeId="0" xr:uid="{61BAC492-73C2-4350-9BA9-ED86CCEFDC2D}">
      <text>
        <r>
          <rPr>
            <b/>
            <sz val="9"/>
            <color indexed="81"/>
            <rFont val="Tahoma"/>
            <family val="2"/>
          </rPr>
          <t>This cell must be blank</t>
        </r>
      </text>
    </comment>
    <comment ref="AU36" authorId="0" shapeId="0" xr:uid="{A3ECF560-FD05-4F9D-8316-4760EA62F4FE}">
      <text>
        <r>
          <rPr>
            <b/>
            <sz val="9"/>
            <color indexed="81"/>
            <rFont val="Tahoma"/>
            <family val="2"/>
          </rPr>
          <t>This cell must be blank</t>
        </r>
      </text>
    </comment>
    <comment ref="AV36" authorId="0" shapeId="0" xr:uid="{DA2B7614-2D0B-4719-9FBC-115EE8D1DB5B}">
      <text>
        <r>
          <rPr>
            <b/>
            <sz val="9"/>
            <color indexed="81"/>
            <rFont val="Tahoma"/>
            <family val="2"/>
          </rPr>
          <t>This cell must be blank</t>
        </r>
      </text>
    </comment>
    <comment ref="AW36" authorId="0" shapeId="0" xr:uid="{837C4309-6BA7-4D2C-B5D6-0D8476B33C95}">
      <text>
        <r>
          <rPr>
            <b/>
            <sz val="9"/>
            <color indexed="81"/>
            <rFont val="Tahoma"/>
            <family val="2"/>
          </rPr>
          <t>This cell must be blank</t>
        </r>
      </text>
    </comment>
    <comment ref="AX36" authorId="0" shapeId="0" xr:uid="{CB520740-DB9B-4F21-8337-613BDFB89257}">
      <text>
        <r>
          <rPr>
            <b/>
            <sz val="9"/>
            <color indexed="81"/>
            <rFont val="Tahoma"/>
            <family val="2"/>
          </rPr>
          <t>This cell must be blank</t>
        </r>
      </text>
    </comment>
    <comment ref="AY36" authorId="0" shapeId="0" xr:uid="{C02E9656-8BF5-4279-8B91-EE89D2C7CD81}">
      <text>
        <r>
          <rPr>
            <b/>
            <sz val="9"/>
            <color indexed="81"/>
            <rFont val="Tahoma"/>
            <family val="2"/>
          </rPr>
          <t>This cell must be blank</t>
        </r>
      </text>
    </comment>
    <comment ref="AZ36" authorId="0" shapeId="0" xr:uid="{28C52790-4BE5-4D6A-A4F1-753DB01507E8}">
      <text>
        <r>
          <rPr>
            <b/>
            <sz val="9"/>
            <color indexed="81"/>
            <rFont val="Tahoma"/>
            <family val="2"/>
          </rPr>
          <t>This cell must be blank</t>
        </r>
      </text>
    </comment>
    <comment ref="BA36" authorId="0" shapeId="0" xr:uid="{67868167-2D61-4526-8AB2-D291E22C9EE8}">
      <text>
        <r>
          <rPr>
            <b/>
            <sz val="9"/>
            <color indexed="81"/>
            <rFont val="Tahoma"/>
            <family val="2"/>
          </rPr>
          <t>This cell must be blank</t>
        </r>
      </text>
    </comment>
    <comment ref="BB36" authorId="0" shapeId="0" xr:uid="{1DC0E1AF-50A2-4BDA-A8B5-442313F47776}">
      <text>
        <r>
          <rPr>
            <b/>
            <sz val="9"/>
            <color indexed="81"/>
            <rFont val="Tahoma"/>
            <family val="2"/>
          </rPr>
          <t>This cell must be blank</t>
        </r>
      </text>
    </comment>
    <comment ref="BC36" authorId="0" shapeId="0" xr:uid="{634D5858-A4B8-4BDE-BC5E-42FAB9C9B4C9}">
      <text>
        <r>
          <rPr>
            <b/>
            <sz val="9"/>
            <color indexed="81"/>
            <rFont val="Tahoma"/>
            <family val="2"/>
          </rPr>
          <t>This cell must be blank</t>
        </r>
      </text>
    </comment>
    <comment ref="BD36" authorId="0" shapeId="0" xr:uid="{FA72AE63-50C0-45EF-8752-175881D633C9}">
      <text>
        <r>
          <rPr>
            <b/>
            <sz val="9"/>
            <color indexed="81"/>
            <rFont val="Tahoma"/>
            <family val="2"/>
          </rPr>
          <t>This cell must be blank</t>
        </r>
      </text>
    </comment>
    <comment ref="BE36" authorId="0" shapeId="0" xr:uid="{F8B147A7-3CE3-4A32-AD14-AC26E7950886}">
      <text>
        <r>
          <rPr>
            <b/>
            <sz val="9"/>
            <color indexed="81"/>
            <rFont val="Tahoma"/>
            <family val="2"/>
          </rPr>
          <t>This cell must be blank</t>
        </r>
      </text>
    </comment>
    <comment ref="BF36" authorId="0" shapeId="0" xr:uid="{F5F85F3A-E944-4B63-9878-DD1F2E125CB4}">
      <text>
        <r>
          <rPr>
            <b/>
            <sz val="9"/>
            <color indexed="81"/>
            <rFont val="Tahoma"/>
            <family val="2"/>
          </rPr>
          <t>This cell must be blank</t>
        </r>
      </text>
    </comment>
    <comment ref="BG36" authorId="0" shapeId="0" xr:uid="{3305935B-D7BE-4EAE-99AF-50B0E7FAF3E6}">
      <text>
        <r>
          <rPr>
            <b/>
            <sz val="9"/>
            <color indexed="81"/>
            <rFont val="Tahoma"/>
            <family val="2"/>
          </rPr>
          <t>This cell must be blank</t>
        </r>
      </text>
    </comment>
    <comment ref="BH36" authorId="0" shapeId="0" xr:uid="{78EE8607-A5F4-479B-8F5B-6AD31F0F2F64}">
      <text>
        <r>
          <rPr>
            <b/>
            <sz val="9"/>
            <color indexed="81"/>
            <rFont val="Tahoma"/>
            <family val="2"/>
          </rPr>
          <t>This cell must be blank</t>
        </r>
      </text>
    </comment>
    <comment ref="BI36" authorId="0" shapeId="0" xr:uid="{4ECC2EB0-EA3D-42A1-A3EA-7D6EAD253EE0}">
      <text>
        <r>
          <rPr>
            <b/>
            <sz val="9"/>
            <color indexed="81"/>
            <rFont val="Tahoma"/>
            <family val="2"/>
          </rPr>
          <t>This cell must be blank</t>
        </r>
      </text>
    </comment>
    <comment ref="BJ36" authorId="0" shapeId="0" xr:uid="{B851F923-CCF7-45F9-B46B-C6F54481CA35}">
      <text>
        <r>
          <rPr>
            <b/>
            <sz val="9"/>
            <color indexed="81"/>
            <rFont val="Tahoma"/>
            <family val="2"/>
          </rPr>
          <t>This cell must be blank</t>
        </r>
      </text>
    </comment>
    <comment ref="BK36" authorId="0" shapeId="0" xr:uid="{736EF9EB-9CA5-47C9-AD67-B76DA284D403}">
      <text>
        <r>
          <rPr>
            <b/>
            <sz val="9"/>
            <color indexed="81"/>
            <rFont val="Tahoma"/>
            <family val="2"/>
          </rPr>
          <t>This cell must be blank</t>
        </r>
      </text>
    </comment>
    <comment ref="BL36" authorId="0" shapeId="0" xr:uid="{357A609B-539E-41A3-A5BA-C3A5180F1C60}">
      <text>
        <r>
          <rPr>
            <b/>
            <sz val="9"/>
            <color indexed="81"/>
            <rFont val="Tahoma"/>
            <family val="2"/>
          </rPr>
          <t>This cell must be blank</t>
        </r>
      </text>
    </comment>
    <comment ref="BM36" authorId="0" shapeId="0" xr:uid="{D04D6935-BCD0-4EDD-91CF-0FC425856373}">
      <text>
        <r>
          <rPr>
            <b/>
            <sz val="9"/>
            <color indexed="81"/>
            <rFont val="Tahoma"/>
            <family val="2"/>
          </rPr>
          <t>This cell must be blank</t>
        </r>
      </text>
    </comment>
    <comment ref="BN36" authorId="0" shapeId="0" xr:uid="{DDB27A01-FB64-4C4B-AE6F-96300A658710}">
      <text>
        <r>
          <rPr>
            <b/>
            <sz val="9"/>
            <color indexed="81"/>
            <rFont val="Tahoma"/>
            <family val="2"/>
          </rPr>
          <t>This cell must be blank</t>
        </r>
      </text>
    </comment>
    <comment ref="BO36" authorId="0" shapeId="0" xr:uid="{27260839-69F9-452C-8CDF-087C8E450DBD}">
      <text>
        <r>
          <rPr>
            <b/>
            <sz val="9"/>
            <color indexed="81"/>
            <rFont val="Tahoma"/>
            <family val="2"/>
          </rPr>
          <t>This cell must be blank</t>
        </r>
      </text>
    </comment>
    <comment ref="CJ36" authorId="0" shapeId="0" xr:uid="{E70BF37F-E504-4E4C-BD5E-9BA1E4AA3E8C}">
      <text>
        <r>
          <rPr>
            <b/>
            <sz val="9"/>
            <color indexed="81"/>
            <rFont val="Tahoma"/>
            <family val="2"/>
          </rPr>
          <t>This cell must be blank</t>
        </r>
      </text>
    </comment>
    <comment ref="CV36" authorId="0" shapeId="0" xr:uid="{38109041-CE8F-40A4-A7DC-8C2EF98E8C81}">
      <text>
        <r>
          <rPr>
            <b/>
            <sz val="9"/>
            <color indexed="81"/>
            <rFont val="Tahoma"/>
            <family val="2"/>
          </rPr>
          <t>This cell must be blank</t>
        </r>
      </text>
    </comment>
    <comment ref="CW36" authorId="0" shapeId="0" xr:uid="{6883DD2C-019F-41AC-8205-2F0F14783EB4}">
      <text>
        <r>
          <rPr>
            <b/>
            <sz val="9"/>
            <color indexed="81"/>
            <rFont val="Tahoma"/>
            <family val="2"/>
          </rPr>
          <t>This cell must be blank</t>
        </r>
      </text>
    </comment>
    <comment ref="DD36" authorId="0" shapeId="0" xr:uid="{46CAE04C-5E35-47B2-93E9-337F32B4243F}">
      <text>
        <r>
          <rPr>
            <b/>
            <sz val="9"/>
            <color indexed="81"/>
            <rFont val="Tahoma"/>
            <family val="2"/>
          </rPr>
          <t>This cell must be blank</t>
        </r>
      </text>
    </comment>
    <comment ref="DK36" authorId="0" shapeId="0" xr:uid="{51D59418-5A1F-4D10-A21F-CC4F8158D95D}">
      <text>
        <r>
          <rPr>
            <b/>
            <sz val="9"/>
            <color indexed="81"/>
            <rFont val="Tahoma"/>
            <family val="2"/>
          </rPr>
          <t>This cell must be blank</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33037A5D-27B3-4D96-86CF-3222C5B23ACA}">
      <text>
        <r>
          <rPr>
            <b/>
            <sz val="9"/>
            <color indexed="81"/>
            <rFont val="Tahoma"/>
            <family val="2"/>
          </rPr>
          <t>Overview :</t>
        </r>
        <r>
          <rPr>
            <sz val="9"/>
            <color indexed="81"/>
            <rFont val="Tahoma"/>
            <family val="2"/>
          </rPr>
          <t xml:space="preserve">
Pourcentage of "yes" answers out of applicable answers</t>
        </r>
      </text>
    </comment>
    <comment ref="D3" authorId="0" shapeId="0" xr:uid="{FFEFE027-CE0C-4A44-A67F-FFE34C45DC66}">
      <text>
        <r>
          <rPr>
            <b/>
            <sz val="9"/>
            <color indexed="81"/>
            <rFont val="Tahoma"/>
            <family val="2"/>
          </rPr>
          <t>Overview :</t>
        </r>
        <r>
          <rPr>
            <sz val="9"/>
            <color indexed="81"/>
            <rFont val="Tahoma"/>
            <family val="2"/>
          </rPr>
          <t xml:space="preserve">
Pourcentage of "yes" answers out of applicable answers</t>
        </r>
      </text>
    </comment>
    <comment ref="E3" authorId="0" shapeId="0" xr:uid="{AAD39D0A-F16C-4FDF-A895-F69A6B5DD1B3}">
      <text>
        <r>
          <rPr>
            <b/>
            <sz val="9"/>
            <color indexed="81"/>
            <rFont val="Tahoma"/>
            <family val="2"/>
          </rPr>
          <t>Overview :</t>
        </r>
        <r>
          <rPr>
            <sz val="9"/>
            <color indexed="81"/>
            <rFont val="Tahoma"/>
            <family val="2"/>
          </rPr>
          <t xml:space="preserve">
Pourcentage of "yes" answers out of applicable answers</t>
        </r>
      </text>
    </comment>
    <comment ref="B31" authorId="0" shapeId="0" xr:uid="{3E9A716C-93BC-44CB-BDB2-F57E6D35FCC6}">
      <text>
        <r>
          <rPr>
            <b/>
            <sz val="9"/>
            <color indexed="81"/>
            <rFont val="Tahoma"/>
            <family val="2"/>
          </rPr>
          <t xml:space="preserve">Everything above this row is generated by Question Library (TEM486 - Master questions library.xlsm) </t>
        </r>
      </text>
    </comment>
    <comment ref="A33" authorId="0" shapeId="0" xr:uid="{3C38B77C-65FD-4341-AEB1-BA97F2ED764C}">
      <text>
        <r>
          <rPr>
            <b/>
            <sz val="9"/>
            <color indexed="81"/>
            <rFont val="Tahoma"/>
            <family val="2"/>
          </rPr>
          <t>This cell must be blank</t>
        </r>
      </text>
    </comment>
    <comment ref="C33" authorId="0" shapeId="0" xr:uid="{ECB1B75C-7D97-4901-9DBD-D3751384D90A}">
      <text>
        <r>
          <rPr>
            <b/>
            <sz val="9"/>
            <color indexed="81"/>
            <rFont val="Tahoma"/>
            <family val="2"/>
          </rPr>
          <t>This cell must be blank</t>
        </r>
      </text>
    </comment>
    <comment ref="D33" authorId="0" shapeId="0" xr:uid="{87196AB0-4AC7-4539-98AB-DA5AFA1A8F83}">
      <text>
        <r>
          <rPr>
            <b/>
            <sz val="9"/>
            <color indexed="81"/>
            <rFont val="Tahoma"/>
            <family val="2"/>
          </rPr>
          <t>This cell must be blank</t>
        </r>
      </text>
    </comment>
    <comment ref="E33" authorId="0" shapeId="0" xr:uid="{89DEEC71-11F4-45E7-B751-4D0B4A1FCD50}">
      <text>
        <r>
          <rPr>
            <b/>
            <sz val="9"/>
            <color indexed="81"/>
            <rFont val="Tahoma"/>
            <family val="2"/>
          </rPr>
          <t>This cell must be blank</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Cyril Jouhanneau</author>
    <author>Author</author>
  </authors>
  <commentList>
    <comment ref="C3" authorId="0" shapeId="0" xr:uid="{53E80E94-C22D-4BB7-BD0A-CAE35E8B9A8D}">
      <text>
        <r>
          <rPr>
            <b/>
            <sz val="9"/>
            <color indexed="81"/>
            <rFont val="Tahoma"/>
            <family val="2"/>
          </rPr>
          <t>Overview :</t>
        </r>
        <r>
          <rPr>
            <sz val="9"/>
            <color indexed="81"/>
            <rFont val="Tahoma"/>
            <family val="2"/>
          </rPr>
          <t xml:space="preserve">
Pourcentage of "yes" answers out of applicable answers</t>
        </r>
      </text>
    </comment>
    <comment ref="B10" authorId="1" shapeId="0" xr:uid="{CC1B5C50-75D2-4FF6-9A8C-8B773EF3924B}">
      <text>
        <r>
          <rPr>
            <b/>
            <sz val="8"/>
            <color indexed="81"/>
            <rFont val="Tahoma"/>
            <family val="2"/>
            <charset val="238"/>
          </rPr>
          <t>Author:</t>
        </r>
        <r>
          <rPr>
            <sz val="8"/>
            <color indexed="81"/>
            <rFont val="Tahoma"/>
            <family val="2"/>
            <charset val="238"/>
          </rPr>
          <t xml:space="preserve">
Test environment is defined at start-up,…</t>
        </r>
      </text>
    </comment>
    <comment ref="B29" authorId="0" shapeId="0" xr:uid="{9F408017-581C-4686-9548-BABC849DE4CD}">
      <text>
        <r>
          <rPr>
            <b/>
            <sz val="9"/>
            <color indexed="81"/>
            <rFont val="Tahoma"/>
            <family val="2"/>
          </rPr>
          <t xml:space="preserve">Everything above this row is generated by Question Library (TEM486 - Master questions library.xlsm) </t>
        </r>
      </text>
    </comment>
    <comment ref="A31" authorId="0" shapeId="0" xr:uid="{479186D9-1818-45A3-A250-EB614A06799A}">
      <text>
        <r>
          <rPr>
            <b/>
            <sz val="9"/>
            <color indexed="81"/>
            <rFont val="Tahoma"/>
            <family val="2"/>
          </rPr>
          <t>This cell must be blank</t>
        </r>
      </text>
    </comment>
    <comment ref="C31" authorId="0" shapeId="0" xr:uid="{F6BC7A21-D2AD-4158-B668-2277BE9A2876}">
      <text>
        <r>
          <rPr>
            <b/>
            <sz val="9"/>
            <color indexed="81"/>
            <rFont val="Tahoma"/>
            <family val="2"/>
          </rPr>
          <t>This cell must be blank</t>
        </r>
      </text>
    </comment>
  </commentList>
</comments>
</file>

<file path=xl/sharedStrings.xml><?xml version="1.0" encoding="utf-8"?>
<sst xmlns="http://schemas.openxmlformats.org/spreadsheetml/2006/main" count="6304" uniqueCount="1032">
  <si>
    <t>DIA - Peer Review Workbook.xlsm</t>
  </si>
  <si>
    <t>Project Number &amp; Name</t>
  </si>
  <si>
    <t>Review</t>
  </si>
  <si>
    <t>Document state</t>
  </si>
  <si>
    <t>Date of release</t>
  </si>
  <si>
    <t>272502 VW VWA VN 41S1_NAR EL SB</t>
  </si>
  <si>
    <t>PRWB</t>
  </si>
  <si>
    <t>Released</t>
  </si>
  <si>
    <t>2022-11</t>
  </si>
  <si>
    <t>Document id</t>
  </si>
  <si>
    <t>Document title</t>
  </si>
  <si>
    <t>Template</t>
  </si>
  <si>
    <t>Revision</t>
  </si>
  <si>
    <t>Version</t>
  </si>
  <si>
    <t>AEF1007</t>
  </si>
  <si>
    <t>DIA - Peer Review Workbook (PRWB)</t>
  </si>
  <si>
    <t>Author</t>
  </si>
  <si>
    <t>Approval</t>
  </si>
  <si>
    <t>Title:</t>
  </si>
  <si>
    <t>Ioan Repede</t>
  </si>
  <si>
    <r>
      <t xml:space="preserve">See </t>
    </r>
    <r>
      <rPr>
        <sz val="8"/>
        <color rgb="FF7030A0"/>
        <rFont val="Arial"/>
        <family val="2"/>
      </rPr>
      <t>Project Master Document</t>
    </r>
    <r>
      <rPr>
        <sz val="8"/>
        <rFont val="Arial"/>
        <family val="2"/>
      </rPr>
      <t xml:space="preserve"> for the roles and </t>
    </r>
    <r>
      <rPr>
        <sz val="8"/>
        <color rgb="FF7030A0"/>
        <rFont val="Arial"/>
        <family val="2"/>
      </rPr>
      <t xml:space="preserve">Project Members List </t>
    </r>
    <r>
      <rPr>
        <sz val="8"/>
        <rFont val="Arial"/>
        <family val="2"/>
      </rPr>
      <t>for the name of people</t>
    </r>
  </si>
  <si>
    <r>
      <t xml:space="preserve">Distribution </t>
    </r>
    <r>
      <rPr>
        <b/>
        <sz val="8"/>
        <color theme="5"/>
        <rFont val="Arial"/>
        <family val="2"/>
      </rPr>
      <t>*</t>
    </r>
  </si>
  <si>
    <r>
      <t xml:space="preserve">See </t>
    </r>
    <r>
      <rPr>
        <sz val="10"/>
        <color rgb="FF7030A0"/>
        <rFont val="Arial"/>
        <family val="2"/>
      </rPr>
      <t>Project Master Document</t>
    </r>
    <r>
      <rPr>
        <sz val="10"/>
        <rFont val="Arial"/>
        <family val="2"/>
      </rPr>
      <t xml:space="preserve"> for the roles and </t>
    </r>
    <r>
      <rPr>
        <sz val="10"/>
        <color rgb="FF7030A0"/>
        <rFont val="Arial"/>
        <family val="2"/>
      </rPr>
      <t>Project Members List</t>
    </r>
    <r>
      <rPr>
        <sz val="10"/>
        <rFont val="Arial"/>
        <family val="2"/>
      </rPr>
      <t xml:space="preserve"> for the name of people</t>
    </r>
  </si>
  <si>
    <t>Executive summary</t>
  </si>
  <si>
    <t>Selected checklist</t>
  </si>
  <si>
    <t>All checklists</t>
  </si>
  <si>
    <t>Project Name and Number</t>
  </si>
  <si>
    <t>YYYY-MM-DD</t>
  </si>
  <si>
    <t>Exxxxxx</t>
  </si>
  <si>
    <t>Generic Excel template</t>
  </si>
  <si>
    <t>xxx</t>
  </si>
  <si>
    <t>Tab Name</t>
  </si>
  <si>
    <t>TAB - General Information</t>
  </si>
  <si>
    <t>1. General Information</t>
  </si>
  <si>
    <t>1.1. Table of content</t>
  </si>
  <si>
    <t>Tab</t>
  </si>
  <si>
    <t>Description/comment</t>
  </si>
  <si>
    <t>FrontPage</t>
  </si>
  <si>
    <t xml:space="preserve">The front page contains information about the document.
Note :
o the blue cells are automatically filled by PLM and/or formula
</t>
  </si>
  <si>
    <t>General info</t>
  </si>
  <si>
    <t>This sheet : contains history, reference, purpose, scope, definition and guide</t>
  </si>
  <si>
    <t>Help</t>
  </si>
  <si>
    <t>&lt;Please describe this sheet&gt;</t>
  </si>
  <si>
    <t>Synthesis Charts</t>
  </si>
  <si>
    <t>Review sheets</t>
  </si>
  <si>
    <t>QT Second level review</t>
  </si>
  <si>
    <t>Sheet used for the second level review for Qualication tests. This is used as a peer-to-peer review tool</t>
  </si>
  <si>
    <t>QT Import for PTC</t>
  </si>
  <si>
    <t>Sheet is used as a support sheet for QT Second level review. It is used to copy paste the test information of a module from PTC</t>
  </si>
  <si>
    <t>QT First level review</t>
  </si>
  <si>
    <t>Sheet used to automatically generate the first level review of all qualification tests from PTC</t>
  </si>
  <si>
    <t>Checklist sheets</t>
  </si>
  <si>
    <t>&lt;Please describe this sheet&gt;
Usually, the checklists are automatically generated by Question Library (TEM486 - Master questions library.xlsm)</t>
  </si>
  <si>
    <t>1.2. Revision History *</t>
  </si>
  <si>
    <t>Date</t>
  </si>
  <si>
    <t>Author(s)</t>
  </si>
  <si>
    <t>Description/Comment</t>
  </si>
  <si>
    <t>A</t>
  </si>
  <si>
    <t>?</t>
  </si>
  <si>
    <t>Creation, first release</t>
  </si>
  <si>
    <t>F</t>
  </si>
  <si>
    <t>Cyril Jouhanneau</t>
  </si>
  <si>
    <t>Use the standard template AEF 1126
Fix some errors
See details in PRWB of this document</t>
  </si>
  <si>
    <t>G</t>
  </si>
  <si>
    <t>o Remove many columns to simplify the document
   Old fields (removed from AEF 1007 G) were: 
   - Workload estimation (For the workload estimation of a bug, a MKS issue is referenced and must contain this information)
   - Functional impact (This field was filled in for code review. This information is now located in the MKS issue)
   - Occurence (This field was filled in for code review. This information is now located in the MKS issue)
   - AEE Recommendation (This field was partially redondant with the status of the review issue. This information is now included in the Status field)
   - Complexity (This field was filled in for code review. This information is now located in the MKS issue)
   -Estimated Workload (M.D) (This field was filled in for code review. This information is now located in the MKS issue)
o See the PRWB for more information</t>
  </si>
  <si>
    <t>H</t>
  </si>
  <si>
    <t>Dina.Randriamarolahy</t>
  </si>
  <si>
    <t>Safety verification part added in Architecture checklist sheet to be compliant with ISO26262</t>
  </si>
  <si>
    <t>Francine Chambin</t>
  </si>
  <si>
    <t>The checklists of SDP, SVP, SVS, Architecture, Design, AAU Test, Integration Test take into account the Verification Criteria for review provided by ALE 2.10.
Add SV Summary Report checklist (provided by ALE 2.10).
SWPF is extended to System.
The other updates correspond to OIN listed in PRWB of AEF 1007.</t>
  </si>
  <si>
    <t>I</t>
  </si>
  <si>
    <t>Marion Rakotonoelina</t>
  </si>
  <si>
    <t>The MBD check list added and the priority about action added
Following the Gap-analysis the column priority has been added
Following the ISO 26262 the column type of review has been added
Integration tests  plan has been separated from the SDP</t>
  </si>
  <si>
    <t>AEM_PROCESS_1.03.00</t>
  </si>
  <si>
    <t>Process Improvement team</t>
  </si>
  <si>
    <t>Light clean-up</t>
  </si>
  <si>
    <t>AEM_PROCESS_1.11.00</t>
  </si>
  <si>
    <t>Full review of all review checklists</t>
  </si>
  <si>
    <t>AEM_PROCESS_1.12.00</t>
  </si>
  <si>
    <t>Bug fix : the drop down menu for the review checklist evaluation has been fixed</t>
  </si>
  <si>
    <t>AEM_PROCESS_1.13.00</t>
  </si>
  <si>
    <t>QT Seccond level review sheet - for peer to peer review for qualification tests
QT Import for PTC - support sheet to put all tests from PTC and information like revision...
QT First level review - used for first level of the qualification tests review</t>
  </si>
  <si>
    <t>AEM_PROCESS_1.14.00</t>
  </si>
  <si>
    <t>Review and update safety question for the following - all the question from safety point of view are now in the master library :
 o System Architecture
 o Software Architecture
 o Software Detail Design
 o Code Checklist
 o Integration Test Specification
 o Unit test specification
 o Move the MDB Checklist to Master Library
 o Delete and open a user echo task for some question from ITSR:https://autoliv.userecho.com/en/communities/1/topics/150-update-integration-test-strategy
Add that a person cannot review its own documents</t>
  </si>
  <si>
    <t>AEM_PROCESS_1.16.00</t>
  </si>
  <si>
    <t>In FrontPage, add a drop down menu to select the wished checklist</t>
  </si>
  <si>
    <t>AEM_PROCESS_1.20.01</t>
  </si>
  <si>
    <t>Fix 2 minor questions mistakes (discipline issue and spelling)
Add SW-R-COD_0995 and SW-R-COD_0996 in regards to over/under flow detection</t>
  </si>
  <si>
    <t>* Template history is found in the CM tool used for templates</t>
  </si>
  <si>
    <t>1.3. References</t>
  </si>
  <si>
    <t>1.3.1. Referenced documents</t>
  </si>
  <si>
    <t>ID</t>
  </si>
  <si>
    <t>Title</t>
  </si>
  <si>
    <t>Reference &amp; revision</t>
  </si>
  <si>
    <t>1.3.2. Applicable documents</t>
  </si>
  <si>
    <t>1.5. Terminology and definitions</t>
  </si>
  <si>
    <t>Terminology</t>
  </si>
  <si>
    <t>Generic terminology</t>
  </si>
  <si>
    <t>See acronyms in AEM process wiki</t>
  </si>
  <si>
    <t>2. Guide (help)</t>
  </si>
  <si>
    <t>2.1 Rules for the checklist</t>
  </si>
  <si>
    <t>R1</t>
  </si>
  <si>
    <r>
      <t xml:space="preserve">This document is a </t>
    </r>
    <r>
      <rPr>
        <b/>
        <sz val="10"/>
        <rFont val="Comic Sans MS"/>
        <family val="4"/>
      </rPr>
      <t>template</t>
    </r>
    <r>
      <rPr>
        <sz val="10"/>
        <rFont val="Comic Sans MS"/>
        <family val="4"/>
      </rPr>
      <t xml:space="preserve"> :
o The presentation of the document can be updated for improvement only.
o The content of this document must not be modified.</t>
    </r>
  </si>
  <si>
    <t>R2</t>
  </si>
  <si>
    <r>
      <t xml:space="preserve">The word </t>
    </r>
    <r>
      <rPr>
        <b/>
        <sz val="10"/>
        <rFont val="Comic Sans MS"/>
        <family val="4"/>
      </rPr>
      <t>reviewed</t>
    </r>
    <r>
      <rPr>
        <sz val="10"/>
        <rFont val="Comic Sans MS"/>
        <family val="4"/>
      </rPr>
      <t xml:space="preserve"> means
o all points are recorded and get the </t>
    </r>
    <r>
      <rPr>
        <sz val="10"/>
        <color indexed="18"/>
        <rFont val="Comic Sans MS"/>
        <family val="4"/>
      </rPr>
      <t>approval</t>
    </r>
    <r>
      <rPr>
        <sz val="10"/>
        <rFont val="Comic Sans MS"/>
        <family val="4"/>
      </rPr>
      <t xml:space="preserve"> of the reviewer. That means that an </t>
    </r>
    <r>
      <rPr>
        <b/>
        <sz val="10"/>
        <rFont val="Comic Sans MS"/>
        <family val="4"/>
      </rPr>
      <t xml:space="preserve">agreement </t>
    </r>
    <r>
      <rPr>
        <sz val="10"/>
        <rFont val="Comic Sans MS"/>
        <family val="4"/>
      </rPr>
      <t>is reached between the author and reviewers
o all mandatory reviewers (defined in the SIP or equivalent) have recordered comments on peer review report
o the related verification criteria checklist (if it exists) has been filled</t>
    </r>
  </si>
  <si>
    <t>R3</t>
  </si>
  <si>
    <r>
      <t xml:space="preserve">An document </t>
    </r>
    <r>
      <rPr>
        <b/>
        <sz val="10"/>
        <rFont val="Comic Sans MS"/>
        <family val="4"/>
      </rPr>
      <t xml:space="preserve">approval </t>
    </r>
    <r>
      <rPr>
        <sz val="10"/>
        <rFont val="Comic Sans MS"/>
        <family val="4"/>
      </rPr>
      <t>means that :
 o the item has been reviewed (see R2)
 o approvers (defined in the SIP or equivalent) have signed</t>
    </r>
  </si>
  <si>
    <t>R4</t>
  </si>
  <si>
    <r>
      <t xml:space="preserve">If an </t>
    </r>
    <r>
      <rPr>
        <b/>
        <sz val="10"/>
        <rFont val="Comic Sans MS"/>
        <family val="4"/>
      </rPr>
      <t>question is misunderstood</t>
    </r>
    <r>
      <rPr>
        <sz val="10"/>
        <rFont val="Comic Sans MS"/>
        <family val="4"/>
      </rPr>
      <t>, it will be clarified by SQAE during the meeting. It shall not be interpreted by the project members.</t>
    </r>
  </si>
  <si>
    <t>R5</t>
  </si>
  <si>
    <r>
      <t xml:space="preserve">There must be an </t>
    </r>
    <r>
      <rPr>
        <b/>
        <sz val="10"/>
        <rFont val="Comic Sans MS"/>
        <family val="4"/>
      </rPr>
      <t>evidence</t>
    </r>
    <r>
      <rPr>
        <sz val="10"/>
        <rFont val="Comic Sans MS"/>
        <family val="4"/>
      </rPr>
      <t xml:space="preserve"> 
E.g.:
o A review is checked with a review report (e.g. Peer review workbook, comments or status in Doors, ...)</t>
    </r>
  </si>
  <si>
    <t>R6</t>
  </si>
  <si>
    <r>
      <t xml:space="preserve">All questions are linked to the </t>
    </r>
    <r>
      <rPr>
        <b/>
        <sz val="10"/>
        <rFont val="Comic Sans MS"/>
        <family val="4"/>
      </rPr>
      <t>scope of the project</t>
    </r>
    <r>
      <rPr>
        <sz val="10"/>
        <rFont val="Comic Sans MS"/>
        <family val="4"/>
      </rPr>
      <t xml:space="preserve">. The scope of the project is defined in the plans.
In other words, the question "all requirements are reviewed" means "all requirements are reviewed </t>
    </r>
    <r>
      <rPr>
        <b/>
        <sz val="10"/>
        <rFont val="Comic Sans MS"/>
        <family val="4"/>
      </rPr>
      <t>according to the plans</t>
    </r>
    <r>
      <rPr>
        <sz val="10"/>
        <rFont val="Comic Sans MS"/>
        <family val="4"/>
      </rPr>
      <t xml:space="preserve">"
</t>
    </r>
    <r>
      <rPr>
        <b/>
        <sz val="10"/>
        <rFont val="Comic Sans MS"/>
        <family val="4"/>
      </rPr>
      <t xml:space="preserve">according to the plans </t>
    </r>
    <r>
      <rPr>
        <sz val="10"/>
        <rFont val="Comic Sans MS"/>
        <family val="4"/>
      </rPr>
      <t>is an implicit statement for all questions.</t>
    </r>
  </si>
  <si>
    <t>3. Parameters / database</t>
  </si>
  <si>
    <t>&lt;If you have some generic parameters / database, please add them here&gt;</t>
  </si>
  <si>
    <t>Checklists sheet name list</t>
  </si>
  <si>
    <t>Yes</t>
  </si>
  <si>
    <t>SDP checklist</t>
  </si>
  <si>
    <t>No</t>
  </si>
  <si>
    <t>QAP checklist</t>
  </si>
  <si>
    <t>NA</t>
  </si>
  <si>
    <t>PDP checklist</t>
  </si>
  <si>
    <t>CMP checklist</t>
  </si>
  <si>
    <t>QP checklist</t>
  </si>
  <si>
    <t>ITP checklist</t>
  </si>
  <si>
    <t>REQ checklist</t>
  </si>
  <si>
    <t>SyAD checklist</t>
  </si>
  <si>
    <t>SAD checklist</t>
  </si>
  <si>
    <t>Reuse checklist</t>
  </si>
  <si>
    <t>PS - DS - SPS - QS checklist</t>
  </si>
  <si>
    <t>OTH checklist</t>
  </si>
  <si>
    <t>MBD checklist</t>
  </si>
  <si>
    <t>SDD checklist</t>
  </si>
  <si>
    <t>CODE checklist</t>
  </si>
  <si>
    <t>ITSR checklist</t>
  </si>
  <si>
    <t>UTSR checklist</t>
  </si>
  <si>
    <t>QSR checklist</t>
  </si>
  <si>
    <t>SWPF checklist</t>
  </si>
  <si>
    <t>PA checklist</t>
  </si>
  <si>
    <t>Abbreviations list</t>
  </si>
  <si>
    <t>AAU</t>
  </si>
  <si>
    <t>Atomic Architectural Unit</t>
  </si>
  <si>
    <t>CR</t>
  </si>
  <si>
    <t>Change Request</t>
  </si>
  <si>
    <t>SCMP</t>
  </si>
  <si>
    <t>Software Configuration Management Plan</t>
  </si>
  <si>
    <t>SDP</t>
  </si>
  <si>
    <t>Software Development Plan</t>
  </si>
  <si>
    <t>SW</t>
  </si>
  <si>
    <t>Software</t>
  </si>
  <si>
    <t>VBA</t>
  </si>
  <si>
    <t>Visual Basic for Application</t>
  </si>
  <si>
    <t>WI</t>
  </si>
  <si>
    <t>Working Issue</t>
  </si>
  <si>
    <t>Review Definition =&gt; more details in : PRO483 Review</t>
  </si>
  <si>
    <t>Desk check</t>
  </si>
  <si>
    <t>The review is done individually and asynchronously : each reviewers work in its desk</t>
  </si>
  <si>
    <t>Walk-throughs</t>
  </si>
  <si>
    <t>The author present the document in a review meeting (synchrone review)</t>
  </si>
  <si>
    <t>Inspection</t>
  </si>
  <si>
    <t>3 roles are defined :
o Moderator organizes the review
o The author presents the work-product
o The scribe write the comments</t>
  </si>
  <si>
    <t>NEW REQUIREMENTS FROM KGAS, THAT ARE MISSING FROM PRWB</t>
  </si>
  <si>
    <t>General rules</t>
  </si>
  <si>
    <t>New Software Specification checklist to be included according with KGAS requirements</t>
  </si>
  <si>
    <t>configuration management</t>
  </si>
  <si>
    <t>This document shall respect the configuration management locale instruction about the peer review workflow.
The goal of this excel workbook is to log findings during the review on the software project workproducts. 
This workbook could be used in 3 ways :</t>
  </si>
  <si>
    <t>to nclude consumed effort and duration of the review</t>
  </si>
  <si>
    <t>to define the roles in the review meeting and the roles in the project</t>
  </si>
  <si>
    <t>1/ Creating a unique workbook for project system: a worksheet is created per feature, and will gather all findings of all the workproducts related to this feature</t>
  </si>
  <si>
    <t>2/ Creating a workbook per step of the development cycle: a worksheet is created per feature, and will gather all the inspection aspects of the workproduct related to this step</t>
  </si>
  <si>
    <t>3/ Creating a workbook per feature: a worksheet is created per workproduct related to this feature</t>
  </si>
  <si>
    <t>Guide</t>
  </si>
  <si>
    <r>
      <t xml:space="preserve">The following rules shall be respected to garantee tuieuiehe </t>
    </r>
    <r>
      <rPr>
        <sz val="10"/>
        <color indexed="17"/>
        <rFont val="Arial"/>
        <family val="2"/>
      </rPr>
      <t xml:space="preserve">Synthesis Charts </t>
    </r>
    <r>
      <rPr>
        <sz val="10"/>
        <rFont val="Arial"/>
        <family val="2"/>
      </rPr>
      <t>accuracy:</t>
    </r>
  </si>
  <si>
    <t>3/ If you don't use a specific column in the feature worksheet, don't delete it. Instead, hide it if you don't want to have it appear</t>
  </si>
  <si>
    <t>5/ CR/WI Reference field should only be filled in when the decision is made as : To be fixed or To be postponed</t>
  </si>
  <si>
    <t>Review sheet</t>
  </si>
  <si>
    <t>Overview</t>
  </si>
  <si>
    <t>This sheet contains the content of a review. You can rename and duplicate this sheet as much as you want. For instance, you can have 1 sheet by document to review.</t>
  </si>
  <si>
    <t>Review strategy</t>
  </si>
  <si>
    <t>ê</t>
  </si>
  <si>
    <r>
      <t>If one</t>
    </r>
    <r>
      <rPr>
        <b/>
        <sz val="12"/>
        <color rgb="FFFF0000"/>
        <rFont val="Times New Roman"/>
        <family val="1"/>
      </rPr>
      <t xml:space="preserve"> person cumulates</t>
    </r>
    <r>
      <rPr>
        <sz val="12"/>
        <color rgb="FFFF0000"/>
        <rFont val="Times New Roman"/>
        <family val="1"/>
      </rPr>
      <t xml:space="preserve"> the roles of the </t>
    </r>
    <r>
      <rPr>
        <b/>
        <sz val="12"/>
        <color rgb="FFFF0000"/>
        <rFont val="Times New Roman"/>
        <family val="1"/>
      </rPr>
      <t>author and reviewer</t>
    </r>
    <r>
      <rPr>
        <sz val="12"/>
        <color rgb="FFFF0000"/>
        <rFont val="Times New Roman"/>
        <family val="1"/>
      </rPr>
      <t>, then he</t>
    </r>
    <r>
      <rPr>
        <b/>
        <sz val="12"/>
        <color rgb="FFFF0000"/>
        <rFont val="Times New Roman"/>
        <family val="1"/>
      </rPr>
      <t xml:space="preserve"> cannot review his own work</t>
    </r>
    <r>
      <rPr>
        <sz val="12"/>
        <color rgb="FFFF0000"/>
        <rFont val="Times New Roman"/>
        <family val="1"/>
      </rPr>
      <t>.
In this particular case, he has to delegate to his manager or if not possible to another person with the same role</t>
    </r>
  </si>
  <si>
    <t>Legend</t>
  </si>
  <si>
    <t>Reviewer</t>
  </si>
  <si>
    <t>Actor</t>
  </si>
  <si>
    <t>Cells automatically filled in by formula or VBA macro (please enable VBA macros)</t>
  </si>
  <si>
    <t>Issue workflow (status)</t>
  </si>
  <si>
    <t>Synthesis Chart sheet</t>
  </si>
  <si>
    <t>This sheet contains metrics which are computed and updated automatically by macro (when the sheet is opened).</t>
  </si>
  <si>
    <t>This sheet can also be manually updated by the following button :</t>
  </si>
  <si>
    <t>all checklists sheet</t>
  </si>
  <si>
    <t>Each check-list defines acceptance criteria for the review. At each new feature, the appropriate check list to the work product shall be applied by the author and/or the reviewer to ensure any oversight. All check-lists listed below are mandatory:</t>
  </si>
  <si>
    <t>o</t>
  </si>
  <si>
    <t xml:space="preserve">Reuse strategy </t>
  </si>
  <si>
    <t xml:space="preserve">Source Code </t>
  </si>
  <si>
    <t xml:space="preserve">Architecture </t>
  </si>
  <si>
    <t xml:space="preserve">Design </t>
  </si>
  <si>
    <t xml:space="preserve">Tests &amp; Report </t>
  </si>
  <si>
    <t>Model Based developement</t>
  </si>
  <si>
    <t>AAU test</t>
  </si>
  <si>
    <t>Integration test</t>
  </si>
  <si>
    <t>System Project Follow-up</t>
  </si>
  <si>
    <t>SV Summary report</t>
  </si>
  <si>
    <t xml:space="preserve">Software development plan </t>
  </si>
  <si>
    <t xml:space="preserve">Configuration management plan </t>
  </si>
  <si>
    <t xml:space="preserve">Software project schedule </t>
  </si>
  <si>
    <t xml:space="preserve">Software  verification  schedule </t>
  </si>
  <si>
    <t xml:space="preserve">Software verification plan </t>
  </si>
  <si>
    <t>Quality Assurance plan</t>
  </si>
  <si>
    <t>Software Integration test plan</t>
  </si>
  <si>
    <t>Template column for format of checklist sheets</t>
  </si>
  <si>
    <t>Checklist status</t>
  </si>
  <si>
    <t>Total</t>
  </si>
  <si>
    <t>Conformities</t>
  </si>
  <si>
    <t>Non conformities</t>
  </si>
  <si>
    <t>TOTAL</t>
  </si>
  <si>
    <t>Template column for format of review sheets</t>
  </si>
  <si>
    <t>Status</t>
  </si>
  <si>
    <t>Open</t>
  </si>
  <si>
    <t>To be fixed</t>
  </si>
  <si>
    <t>Fixed</t>
  </si>
  <si>
    <t>Postponed</t>
  </si>
  <si>
    <t>Will not fixed (or invalid)</t>
  </si>
  <si>
    <t>Approval status</t>
  </si>
  <si>
    <t>Approved (closed)</t>
  </si>
  <si>
    <t>Postponed and approved</t>
  </si>
  <si>
    <t>Not approved</t>
  </si>
  <si>
    <t>Review duration</t>
  </si>
  <si>
    <t>For</t>
  </si>
  <si>
    <t>future</t>
  </si>
  <si>
    <t>use</t>
  </si>
  <si>
    <t>Review organization</t>
  </si>
  <si>
    <r>
      <t xml:space="preserve">Time spent by reviewers </t>
    </r>
    <r>
      <rPr>
        <sz val="16"/>
        <color theme="0"/>
        <rFont val="Calibri"/>
        <family val="2"/>
        <scheme val="minor"/>
      </rPr>
      <t>(in mn)</t>
    </r>
  </si>
  <si>
    <t>Work-product(s)</t>
  </si>
  <si>
    <t>Review type</t>
  </si>
  <si>
    <t>Starting date</t>
  </si>
  <si>
    <t>Due date</t>
  </si>
  <si>
    <r>
      <t xml:space="preserve">Effort </t>
    </r>
    <r>
      <rPr>
        <sz val="14"/>
        <color theme="1"/>
        <rFont val="Calibri"/>
        <family val="2"/>
        <scheme val="minor"/>
      </rPr>
      <t>(in mn)</t>
    </r>
  </si>
  <si>
    <t>Gabriel Brasoveanu</t>
  </si>
  <si>
    <t>Andrei Anca</t>
  </si>
  <si>
    <t>David Puscasu</t>
  </si>
  <si>
    <t>Reviewer 10</t>
  </si>
  <si>
    <t>DIA.h v1.1</t>
  </si>
  <si>
    <t>01.11.2022</t>
  </si>
  <si>
    <t>DIA.c v1.1</t>
  </si>
  <si>
    <t>DIA_ClearAllDTC.h v1.1</t>
  </si>
  <si>
    <t>02.11.2022</t>
  </si>
  <si>
    <t>DIA_ECUReset.h v1.1</t>
  </si>
  <si>
    <t>DIA_ECUReset.c v1.1</t>
  </si>
  <si>
    <t>DIA_SessionControl.h v1.1</t>
  </si>
  <si>
    <t>DIA_SessionControl.c v1.1</t>
  </si>
  <si>
    <t>DIA_SecurityAccess.h v1.1</t>
  </si>
  <si>
    <t>04.11.2022</t>
  </si>
  <si>
    <t>DIA_SecurityAccess.c v1.1</t>
  </si>
  <si>
    <t>DIA_ReadDataByIdentifier.h v1.1</t>
  </si>
  <si>
    <t>DIA_ReadDataByIdentifier.c v1.1</t>
  </si>
  <si>
    <t>07.11.2022</t>
  </si>
  <si>
    <t>DIA_WriteDataByIdentifier.h v1.1</t>
  </si>
  <si>
    <t>DIA_WriteDataByIdentifier.c v1.1</t>
  </si>
  <si>
    <t>08.11.2022</t>
  </si>
  <si>
    <t>DIA_RoutineControl.h v1.1</t>
  </si>
  <si>
    <t>10.11.2022</t>
  </si>
  <si>
    <t>DIA_RoutineControl.c v1.1</t>
  </si>
  <si>
    <t>DIA_cfg.h v1.1</t>
  </si>
  <si>
    <t>DIA.h v1.1.12.4</t>
  </si>
  <si>
    <t>10.01.2023</t>
  </si>
  <si>
    <t>DIA.c v1.1.12.4</t>
  </si>
  <si>
    <t>11.01.2023</t>
  </si>
  <si>
    <t>DIA_SessionControl.c v1.1.11.4</t>
  </si>
  <si>
    <t>DIA_SecurityAccess.c - 1.1.6.4</t>
  </si>
  <si>
    <t>12.01.2023</t>
  </si>
  <si>
    <t>DIA_ReadDataByIdentifier.c v1.4.2.6</t>
  </si>
  <si>
    <t>DIA_WriteDataByIdentifier.c v1.3.11.4</t>
  </si>
  <si>
    <t>DIA_RoutineControl.c v1.10.2.4</t>
  </si>
  <si>
    <t>DIA_ReadDataByIdentifier.c v1.4.2.7</t>
  </si>
  <si>
    <t>13.01.2023</t>
  </si>
  <si>
    <t>DIA_WriteDataByIdentifier.c v1.3.11.5</t>
  </si>
  <si>
    <t>DIA_WriteDataByIdentifier.c v1.3.11.6</t>
  </si>
  <si>
    <t>DO NOT DELETE THIS ROW =&gt; there are some lists on the right</t>
  </si>
  <si>
    <t>Issues to treat</t>
  </si>
  <si>
    <t>Rejected issue</t>
  </si>
  <si>
    <t>Issue not approved</t>
  </si>
  <si>
    <t>Issues with postponement approved</t>
  </si>
  <si>
    <t>Will not be fixed</t>
  </si>
  <si>
    <t>Issue to treat</t>
  </si>
  <si>
    <t>Issues to approve</t>
  </si>
  <si>
    <t xml:space="preserve">Issues postponed </t>
  </si>
  <si>
    <t>Status OK</t>
  </si>
  <si>
    <t>Approved</t>
  </si>
  <si>
    <t>Rejected</t>
  </si>
  <si>
    <t>Approved / postponed</t>
  </si>
  <si>
    <t>Low</t>
  </si>
  <si>
    <t>High</t>
  </si>
  <si>
    <t>Medium</t>
  </si>
  <si>
    <t>DO NOT DELETE THIS ROW USED FOR THE VBA CALCULATION</t>
  </si>
  <si>
    <t>Workproduct identification :</t>
  </si>
  <si>
    <t>To fill with workproduct identification</t>
  </si>
  <si>
    <t>OIN</t>
  </si>
  <si>
    <t>Issue's
location</t>
  </si>
  <si>
    <t>Comments</t>
  </si>
  <si>
    <t>Open
date</t>
  </si>
  <si>
    <t>Reviewer Name</t>
  </si>
  <si>
    <t>Answer</t>
  </si>
  <si>
    <t>CR/WI reference</t>
  </si>
  <si>
    <t>Priority</t>
  </si>
  <si>
    <t>Actor Name</t>
  </si>
  <si>
    <t>Target</t>
  </si>
  <si>
    <t>Agreement
(reviewer)</t>
  </si>
  <si>
    <t>all</t>
  </si>
  <si>
    <t>Template version not according to the process</t>
  </si>
  <si>
    <t>template updated in all files</t>
  </si>
  <si>
    <t>Catalin Ghibirsina</t>
  </si>
  <si>
    <t>DIA.h</t>
  </si>
  <si>
    <t>Delete all unuserd/duplicate include headers (Common.h, Config.h, Fls_cfg.h)</t>
  </si>
  <si>
    <t>deleted</t>
  </si>
  <si>
    <t>Move include of Dem_Cfg.h to DIA_ReadDataByIdentifier.c</t>
  </si>
  <si>
    <t>moved to DIA_ReadDataByIdentifier.c</t>
  </si>
  <si>
    <t>Move includes of BswM_Callouts.h, EcuM_BSW.h to DIA_SessionControl.c</t>
  </si>
  <si>
    <t>includes not used, deleted</t>
  </si>
  <si>
    <t>Move include of Rte_AdcIf_Type.h to DIA_ReadDataByIdentifier.c</t>
  </si>
  <si>
    <t>Analyze/Optimize the inlcludes.</t>
  </si>
  <si>
    <t>includes optimized</t>
  </si>
  <si>
    <t>Move header Nvp_Cfg.h to the specific source files</t>
  </si>
  <si>
    <t>moved to DIA.c</t>
  </si>
  <si>
    <t>Delete unused defines</t>
  </si>
  <si>
    <t xml:space="preserve">Move datatype *pfEndOfTransmission and variable declaration pfPendingCallBack to DIA.c </t>
  </si>
  <si>
    <t>Move structure tNoInitShareVar to DIA.c and update the name of the parameters according to the naming convention.</t>
  </si>
  <si>
    <t>moved to DIA.c and renamed                             DF: Sructure tNoInitShareVar need to be define in DIA.h to resolve severity 7 QAC warning.</t>
  </si>
  <si>
    <t>Rename the variables according to the naming convention</t>
  </si>
  <si>
    <t>renamed</t>
  </si>
  <si>
    <t>Move variable dia_u8CurrentSession to DIA.c.</t>
  </si>
  <si>
    <t>Reorder the header components (includes to includes, macros to macros, variables to variables, etc.)</t>
  </si>
  <si>
    <t>fixed</t>
  </si>
  <si>
    <t>Move local define to specific sorece files.</t>
  </si>
  <si>
    <t>moved</t>
  </si>
  <si>
    <t>Rename the defines to respect the naming convention (Also, to be written with capital letters)</t>
  </si>
  <si>
    <t>Delete unused function DIA_runGetTxNotification</t>
  </si>
  <si>
    <t>Move local defines to specific source files.</t>
  </si>
  <si>
    <t>DIA.c</t>
  </si>
  <si>
    <t>Remove unused headers (Nvp_Cfg.h)</t>
  </si>
  <si>
    <t>removed</t>
  </si>
  <si>
    <t>The pfPendingCallBack variable needs to be updated according to naming convention and location. Also, need to be moved to DECLARATION OF LOCAL FUNCTION section.</t>
  </si>
  <si>
    <t>moved and renamed</t>
  </si>
  <si>
    <t>The initialization of variable dia_u8SessionChangeFlag should be more explicit (Use a different define than KU8_ZERO)</t>
  </si>
  <si>
    <t>DIA_KU8_JUMP_TO_BOOT_FLAG_CLEAR</t>
  </si>
  <si>
    <t>Move exported variables to corresponding section.</t>
  </si>
  <si>
    <t>Arithmetic pointers there shall not be used.</t>
  </si>
  <si>
    <t>Arithmetic pointers need to be used for current implementation</t>
  </si>
  <si>
    <t>Rename the function parameters according to the coding guidelines (ex. const param should contain k in the name)</t>
  </si>
  <si>
    <t>parameters renamed                           DF: The functions parameters was renamed.</t>
  </si>
  <si>
    <t>Update the file indentation and whitespace formatting (space instead tabs)</t>
  </si>
  <si>
    <t>indentation updated</t>
  </si>
  <si>
    <t>Add overflow protection mechanism in function DIA_SwapBigEndianWordIntoLittleEndian</t>
  </si>
  <si>
    <t>overflow protection added</t>
  </si>
  <si>
    <t>Set the return type of the DIA_runServiceRequestConfirmation function to be complient with the coding guideline. (EXPORTED …)</t>
  </si>
  <si>
    <t>type set</t>
  </si>
  <si>
    <t>In function DIA_runServiceRequestConfirmation respect the naming of the input parameters according to coding guideline.</t>
  </si>
  <si>
    <t>Parameters naming inherited from AUTOSAR</t>
  </si>
  <si>
    <t>Set the return type of the DIA_runServiceRequestIndication function to be compliant with the coding guideline. (EXPORTED …)</t>
  </si>
  <si>
    <t xml:space="preserve"> The brief description is incomplete. (parameters type needs to be more specific)</t>
  </si>
  <si>
    <t>added specific parameter type
DF: Fixed.</t>
  </si>
  <si>
    <t>Replace magic numbers.</t>
  </si>
  <si>
    <t>magic number replaced</t>
  </si>
  <si>
    <t>Replace If conditions to have Constants on the left side of "==" operand.</t>
  </si>
  <si>
    <t>In function DIA_runServiceRequestIndication, the return variable is not handled correctly.</t>
  </si>
  <si>
    <t>fixed
DF: Return type same as function type.</t>
  </si>
  <si>
    <t>The brief descriptions of the DIA_runRte_Call_Dcm_CallBackDCMRequestServices_CBReqServInd_1_StopProtocol and DIA_runCallBackDCMRequestServices_CBReqServInd_1_StartProtocol functions are not consistent.</t>
  </si>
  <si>
    <t>Descriptions updated</t>
  </si>
  <si>
    <t>DIA_ClearAllDTC.h</t>
  </si>
  <si>
    <t>template updated</t>
  </si>
  <si>
    <t>The file is empty and needs to be analyzed.</t>
  </si>
  <si>
    <t xml:space="preserve">File was deleted. </t>
  </si>
  <si>
    <t>Denis Folea</t>
  </si>
  <si>
    <t>DIA_ECUReset.h</t>
  </si>
  <si>
    <t>DIA_ECUReset.c</t>
  </si>
  <si>
    <t>DIA_SessionControl.h</t>
  </si>
  <si>
    <t>DIA_SessionControl.c</t>
  </si>
  <si>
    <t>template updated
Ioan Re: The brief of the source file missing</t>
  </si>
  <si>
    <t>The function DIA_runSessionChangeIndication is empty and needs to be analyzed.</t>
  </si>
  <si>
    <t>Function is not currently in use, full implementantion will be done in future release.</t>
  </si>
  <si>
    <t>Add DIA_SessionControl_JumpToBootloader function type for (EXPORTED)</t>
  </si>
  <si>
    <t>EXPORTED type added</t>
  </si>
  <si>
    <t>DIA_SecurityAccess.h</t>
  </si>
  <si>
    <t>template updated
Ioan Re: The file was deleted.</t>
  </si>
  <si>
    <t>DIA_SecurityAccess.c</t>
  </si>
  <si>
    <t>template updated
Ioan Re: The brief of the source file missing
DF: The brief has been added.</t>
  </si>
  <si>
    <t>Add brief for defines</t>
  </si>
  <si>
    <t>Cata: Done  
Ioan Re: Move the defines to the specific section and add brief descriptions
DF: The defines was moved in the specific section.</t>
  </si>
  <si>
    <t>Use the correct format for comments.</t>
  </si>
  <si>
    <t>Fixed.
Ioan Re: Check function DIA_runSecurityAccessCompareKey, comment for line bCaughtInvalidKey = B_TRUE;
DF:The comment has been modified.</t>
  </si>
  <si>
    <t>Rename the variables according to according to coding rules.</t>
  </si>
  <si>
    <t>Cata: Done 
dia_u8NumAttAlvSecLevel was according to coding rules.</t>
  </si>
  <si>
    <t>Move defines to the specific section in source file.</t>
  </si>
  <si>
    <t>Cata: Done  
DF: The define has been moved.</t>
  </si>
  <si>
    <t>Rename the defines according to coding rules.</t>
  </si>
  <si>
    <t>Remove redundancy casts.</t>
  </si>
  <si>
    <t xml:space="preserve">Cata: Done  </t>
  </si>
  <si>
    <t>In function DIA_runSecurityAccessCompareKey remove 'break' from for loop.</t>
  </si>
  <si>
    <t>A flag has been added to the DIA_runSecurityAccessCompareKey function to replace the break functionality .</t>
  </si>
  <si>
    <t>u32SystemTime variable from function DIA_runSecurityAccessGetSeed risks exposure to overflow. Need to be analyzed.</t>
  </si>
  <si>
    <t xml:space="preserve">Overflow will be reached after 497 days, the security key will repeate sometime. This do not have a major inpact on the software and diagnostics side. </t>
  </si>
  <si>
    <t>Set the return type of the Rte_DcmSecGetNumAtt function to be complient with the coding guideline. (EXPORTED …)</t>
  </si>
  <si>
    <t>In theRte_DcmSecGetNumAtt function,the input parameter is not used.</t>
  </si>
  <si>
    <t>Set the return type of the Rte_DcmSecSetNumAtt function to be complient with the coding guideline. (EXPORTED …)</t>
  </si>
  <si>
    <t>In the Rte_DcmSecSetNumAtt function, there are two input parameters, but just one is used.</t>
  </si>
  <si>
    <t>DIA_ReadDataByIdentifier.h</t>
  </si>
  <si>
    <t>Rename th defines accordig to coding rules.</t>
  </si>
  <si>
    <t>Defines renamed</t>
  </si>
  <si>
    <t>Move local defines to the specific source file.</t>
  </si>
  <si>
    <t>defines moved to specific source file</t>
  </si>
  <si>
    <t>DIA_ReadDataByIdentifier.c</t>
  </si>
  <si>
    <t>Move local constatn to specific section of the file.</t>
  </si>
  <si>
    <t>local const moved</t>
  </si>
  <si>
    <t>Rename the constatn variable according to coding rules.</t>
  </si>
  <si>
    <t>const variable renamed
CG:dia_kau8SWVersion</t>
  </si>
  <si>
    <t>There are multiple functions with multiple input parameters but not all are used inside the functions. Need to be analyzed.</t>
  </si>
  <si>
    <t>Add descripon for inputparams in brief of the functions.</t>
  </si>
  <si>
    <t>Description was added.</t>
  </si>
  <si>
    <t>In function, DIA_runDidFD01_SWVersionRead ensures that all casts are made correctly.</t>
  </si>
  <si>
    <t>Fixed.</t>
  </si>
  <si>
    <t>In function DIA_runDidFEFF_MeasurementFramesConfRead te second parameter of the function call DIA_CopyData need to be a reference(&amp;)</t>
  </si>
  <si>
    <t>Added a reference for second parameter of the function call DIA_CopyData.</t>
  </si>
  <si>
    <t>Check and modify brief description of the functions in order to have the same data types for the input/output parameters ( ex. Delete const if the var is not a constatnt)</t>
  </si>
  <si>
    <t>In function DIA_runDid4024_SWSystemTimeRead, for a safer approach, replace the index variable with constant values.</t>
  </si>
  <si>
    <t>index replaced with constant values</t>
  </si>
  <si>
    <t>Replace magical numbers.</t>
  </si>
  <si>
    <t>Replace tabs with 3 spaces as indentation.</t>
  </si>
  <si>
    <t>tabs replaced with 3 spaces as identation</t>
  </si>
  <si>
    <t>In function x the incrementation of the pointing address is wrong (should be incremented with 4 (the size of uint32)) Analyse needed.</t>
  </si>
  <si>
    <t>Fixed.
Ioan Re: the function was DIA_runDidFD09_LastWarmResetParamRead</t>
  </si>
  <si>
    <t>In funcion DIA_runDidFD08_ResetCauseRead, missing a break for last case of the switch case.</t>
  </si>
  <si>
    <t>break added for last case</t>
  </si>
  <si>
    <t>The DIA_runDidFE00_AllEventStatusesRead function need to be analyzed.</t>
  </si>
  <si>
    <t>Function was analyzed and the purpose of this function is to read three bytes in an efficient way. First byte is the event, and the next two are the event status.</t>
  </si>
  <si>
    <t>In function local variables shold be named according to coding guidelines.</t>
  </si>
  <si>
    <t>local variable renamed
CG:u16MCUTemperatureInput</t>
  </si>
  <si>
    <t>In function DIA_runDidFDE0_EcsVariantRead, the output parameter is uint8 and the saved data is uint32. Tresos configuration for this did need to be modified.</t>
  </si>
  <si>
    <t>For function DIA_runDidFDE1_EcsParametersRead,need to analyze  the length of the read data (NVP config tool vs Tresos config)</t>
  </si>
  <si>
    <t>Tresos configuration has been updated.</t>
  </si>
  <si>
    <t>For function DIA_runDidFDE3_EcsProfilesRead,need to analyze  the length of the read data (NVP config tool vs Tresos config)</t>
  </si>
  <si>
    <t>DIA_WriteDataByIdentifier.h</t>
  </si>
  <si>
    <t>Delete unused includes</t>
  </si>
  <si>
    <t>unused includes deleted</t>
  </si>
  <si>
    <t>DIA_WriteDataByIdentifier.c</t>
  </si>
  <si>
    <t>Write local variables according to coding rules.</t>
  </si>
  <si>
    <t>variable renamed</t>
  </si>
  <si>
    <t>data types modified in description</t>
  </si>
  <si>
    <t>IF statement needs to have as the first parameter the constant.</t>
  </si>
  <si>
    <t>In function DIA_runDidFD00_HWVersionWrite, the variable NVP_au8HWPartNumber shall point to the virst element.</t>
  </si>
  <si>
    <t>For loops and If conditions shall start the open brace '{'  at new line.</t>
  </si>
  <si>
    <t>In function DIA_runDidFDFF_MeasurementFrameRamConfWrite the writing procedure is not handled correctly.</t>
  </si>
  <si>
    <t>flag was added</t>
  </si>
  <si>
    <t>In function DIA_runDidFEFF_MeasurementFramesConfWrite the writing procedure is not handled correctly.</t>
  </si>
  <si>
    <t>In function DIA_runDidFDE1_EcsParametersWrite the writing procedure is handled correctly.</t>
  </si>
  <si>
    <t>In function DIA_runDidFDE2_EcsAccOffsetsWrite swapping bytes needs to be analyzed.</t>
  </si>
  <si>
    <t>Remove magic numbers</t>
  </si>
  <si>
    <t>In function DIA_runDidFDE2_EcsAccOffsetsWrite empty else need to be deleted.</t>
  </si>
  <si>
    <t>else deleted</t>
  </si>
  <si>
    <t>In function DIA_runDidFDE5_EcsAccLowPassWrite empty else need to be deleted.</t>
  </si>
  <si>
    <t>In function
DIA_runDidFDEA_EcsSensitivityOptWrite
remove parameter u16BlockSize and his attribution. (not used)</t>
  </si>
  <si>
    <r>
      <rPr>
        <sz val="10"/>
        <color rgb="FF000000"/>
        <rFont val="Arial"/>
        <family val="2"/>
      </rPr>
      <t>u16BlockSize is used here:</t>
    </r>
    <r>
      <rPr>
        <i/>
        <sz val="10"/>
        <color rgb="FF000000"/>
        <rFont val="Arial"/>
        <family val="2"/>
      </rPr>
      <t xml:space="preserve"> Rte_Call_pclNvmIfServices_GetNvmBlockLength(ECS_SENSITIVITY_OPT, &amp;u16BlockSize);
</t>
    </r>
    <r>
      <rPr>
        <sz val="10"/>
        <color rgb="FF000000"/>
        <rFont val="Arial"/>
        <family val="2"/>
      </rPr>
      <t>Ioan Re: Variable u16BlockSize is not used in code.
CG: fixed</t>
    </r>
  </si>
  <si>
    <t>DIA_RoutineControl.c</t>
  </si>
  <si>
    <t>Solve the compiler errors.</t>
  </si>
  <si>
    <t>Rename defines according to the coding guidelines.</t>
  </si>
  <si>
    <t>Rename Local vars according to the coding guidelines, and move them to the specific file section.</t>
  </si>
  <si>
    <t>Update the brief of echa function.</t>
  </si>
  <si>
    <t>Fixed.
Ioan Re: output parameter is define in brief as inputparam.
DF:Each brief has been updated.</t>
  </si>
  <si>
    <t>Functions have the output parameters OpStatus and ErrorCode but is not used. Need to be analyzed.</t>
  </si>
  <si>
    <t>Functions are callbacks linked in the autosar builder, and parameters are needed to keep the consistency/definition of the function.</t>
  </si>
  <si>
    <t>Fixed.
Ioan Re: Check function DIA_runRidF781_EcuUnlockStop
DF: Name of local variable has been updated.</t>
  </si>
  <si>
    <t>In function DIA_runRidF793_ProcessModeRequestRes delet unused variables.</t>
  </si>
  <si>
    <t>In function, DIA_runRidF794_AccCalibStart declares each variable on a new line.</t>
  </si>
  <si>
    <t>Remve magic numbers.</t>
  </si>
  <si>
    <t>IF statement needs to have as the first parameter the constant value.</t>
  </si>
  <si>
    <t>Fixed.
DF: Fixed.</t>
  </si>
  <si>
    <t>In function, DIA_runRidF794_AccCalibStart cast to corect type each variable of the arithmetic operations.</t>
  </si>
  <si>
    <t>In function DIA_runRidF796_EcuTempCalibration, casts are needed.</t>
  </si>
  <si>
    <t>Updated DIA_runRidF796_EcuTempCalibration function.</t>
  </si>
  <si>
    <t>Add brief for function DIA_runRidF797_AccAngleOffsetCalibrationStart</t>
  </si>
  <si>
    <t>A brief has been added for the function.</t>
  </si>
  <si>
    <t>DIA_cfg.h</t>
  </si>
  <si>
    <t>Delete unused data types.</t>
  </si>
  <si>
    <t>Unused data types deleted</t>
  </si>
  <si>
    <t>Unused defines deleted</t>
  </si>
  <si>
    <t>1.1.12.1</t>
  </si>
  <si>
    <t>Review of this version is covered by 1.1.12.4</t>
  </si>
  <si>
    <t>1.1.12.2</t>
  </si>
  <si>
    <t>1.1.12.3</t>
  </si>
  <si>
    <t>1.1.11.1</t>
  </si>
  <si>
    <t>Review of this version is covered by 1.1.11.4</t>
  </si>
  <si>
    <t>1.1.11.2</t>
  </si>
  <si>
    <t>1.1.11.3</t>
  </si>
  <si>
    <t>1.1.6.1</t>
  </si>
  <si>
    <t>Review of this version is covered by 1.1.6.4</t>
  </si>
  <si>
    <t>1.1.6.2</t>
  </si>
  <si>
    <t>1.1.6.3</t>
  </si>
  <si>
    <t>1.4.2.1</t>
  </si>
  <si>
    <t>Review of this version is covered by 1.4.2.6</t>
  </si>
  <si>
    <t>1.4.2.2</t>
  </si>
  <si>
    <t>1.4.2.3</t>
  </si>
  <si>
    <t>1.4.2.4</t>
  </si>
  <si>
    <t>1.4.2.5</t>
  </si>
  <si>
    <t>1.3.11.1</t>
  </si>
  <si>
    <t>Review of this version is covered by 1.3.11.4</t>
  </si>
  <si>
    <t>1.3.11.2</t>
  </si>
  <si>
    <t>1.3.11.3</t>
  </si>
  <si>
    <t>1.10.2.1</t>
  </si>
  <si>
    <t>Review of this version is covered by 1.10.2.4</t>
  </si>
  <si>
    <t>1.10.2.2</t>
  </si>
  <si>
    <t>1.10.2.3</t>
  </si>
  <si>
    <t>1.1.12.4</t>
  </si>
  <si>
    <t>Move defines to the specific section in header file.</t>
  </si>
  <si>
    <t>DF: Fixed.</t>
  </si>
  <si>
    <t>Delete duplicate declaration of external function (if the function is genereted by autosar builder, it will be declared in the RTE_&lt;module name&gt;.h)</t>
  </si>
  <si>
    <t>DF: The DIA_Init() function declaration has been removed from the DIA.h header file.</t>
  </si>
  <si>
    <t>Delete unused function DIA_runGetTxNotification. 
Also, delete the local variable dia_pfPendingCallBack and the pfEndOfTransmission data type</t>
  </si>
  <si>
    <t>DF: DIA_runGetTxNotification function, local variable dia_pfPendingCallBack and the pfEndOfTransmission data type have been deleted.</t>
  </si>
  <si>
    <t>In functionDIA_CopyDataSwap the arithmetic operation should be done with the same data type variables: u16Index+=KU8_TWO)</t>
  </si>
  <si>
    <t xml:space="preserve">The DIA_CopyDataSwap function is not declared but it is used in multiple functions </t>
  </si>
  <si>
    <t>DF: The DIA_CopyDataSwap function prototype was created in the DIA.h header file.</t>
  </si>
  <si>
    <t>In function DIA_ManageNVPBlockWriting, use the corect naming for the input data type (const UInt8* kpu8Data)</t>
  </si>
  <si>
    <t>In function DIA_SwapBigEndianWordIntoLittleEndian, arithmetic operations must be done with the same type of data (u16LoopIdx += KU8_TWO;)</t>
  </si>
  <si>
    <t>Rename defines according to the coding guidelines (&lt;DATATYPE&gt;_&lt;MODULE NAME&gt;_NAME)</t>
  </si>
  <si>
    <t>1.1.11.4</t>
  </si>
  <si>
    <t>Move KU8_DIA_ENABLE_RUN_SESSION_CHANGE_INDICATION to the Module defines section</t>
  </si>
  <si>
    <t>DF:Fixed.</t>
  </si>
  <si>
    <t>1.1.6.4</t>
  </si>
  <si>
    <t>In function DIA_runSecurityAccessCompareKey, put the constant variable first befor '=='.</t>
  </si>
  <si>
    <t xml:space="preserve">CG: fixed </t>
  </si>
  <si>
    <t>1.4.2.6</t>
  </si>
  <si>
    <t>The brief of the source file missing</t>
  </si>
  <si>
    <t>1.3.11.4</t>
  </si>
  <si>
    <t>CG: fixed</t>
  </si>
  <si>
    <t>Delete commented code</t>
  </si>
  <si>
    <t>put the initialize global variables to the coresponding section (example DIA_STOP_SEC_VAR_INIT_8)</t>
  </si>
  <si>
    <t>1.10.2.4</t>
  </si>
  <si>
    <t>In function DIA_runRidF794_AccCalibStart the static variabels should be created as global.</t>
  </si>
  <si>
    <t>DF: The static variables have been modified.</t>
  </si>
  <si>
    <t>1.3.11.5</t>
  </si>
  <si>
    <t>No findings</t>
  </si>
  <si>
    <t>1.3.11.6</t>
  </si>
  <si>
    <t>1.4.2.7</t>
  </si>
  <si>
    <t>Question
reference</t>
  </si>
  <si>
    <t>Review criteria for
Software detailed design (SDD)</t>
  </si>
  <si>
    <r>
      <t xml:space="preserve">Justification
</t>
    </r>
    <r>
      <rPr>
        <sz val="10"/>
        <color theme="0"/>
        <rFont val="Arial"/>
        <family val="2"/>
      </rPr>
      <t>(if not OK)</t>
    </r>
  </si>
  <si>
    <t>What to check</t>
  </si>
  <si>
    <t>How to rate the question</t>
  </si>
  <si>
    <t>Questions generated by questions library tool</t>
  </si>
  <si>
    <t>Specific question for this checklist</t>
  </si>
  <si>
    <t>XX-R-REV-0579</t>
  </si>
  <si>
    <r>
      <rPr>
        <b/>
        <sz val="10"/>
        <rFont val="Arial"/>
        <family val="2"/>
      </rPr>
      <t>NA</t>
    </r>
    <r>
      <rPr>
        <sz val="10"/>
        <rFont val="Arial"/>
        <family val="2"/>
      </rPr>
      <t xml:space="preserve">
No specific question for this checklist
(this question is usefull for the Question Library VBA script only)</t>
    </r>
  </si>
  <si>
    <t>Technical</t>
  </si>
  <si>
    <t>SW-R-DSG-0767</t>
  </si>
  <si>
    <r>
      <rPr>
        <b/>
        <sz val="10"/>
        <rFont val="Arial"/>
        <family val="2"/>
      </rPr>
      <t>Diagram</t>
    </r>
    <r>
      <rPr>
        <sz val="10"/>
        <rFont val="Arial"/>
        <family val="2"/>
      </rPr>
      <t xml:space="preserve">
Is there a clear description (diagram/sequence/text) to explain each AAU functions role</t>
    </r>
  </si>
  <si>
    <t>SW-R-DSG-0768</t>
  </si>
  <si>
    <r>
      <rPr>
        <b/>
        <sz val="10"/>
        <rFont val="Arial"/>
        <family val="2"/>
      </rPr>
      <t>Diagram</t>
    </r>
    <r>
      <rPr>
        <sz val="10"/>
        <rFont val="Arial"/>
        <family val="2"/>
      </rPr>
      <t xml:space="preserve">
Is created a function/sequence diagram for each function?</t>
    </r>
  </si>
  <si>
    <t>SW-R-DSG-0769</t>
  </si>
  <si>
    <r>
      <rPr>
        <b/>
        <sz val="10"/>
        <rFont val="Arial"/>
        <family val="2"/>
      </rPr>
      <t>Interfaces</t>
    </r>
    <r>
      <rPr>
        <sz val="10"/>
        <rFont val="Arial"/>
        <family val="2"/>
      </rPr>
      <t xml:space="preserve">
Does the SW AAU design conform to the SW architecture (interfaces, naming, constraints)?</t>
    </r>
  </si>
  <si>
    <t>SW-R-DSG-0770</t>
  </si>
  <si>
    <r>
      <rPr>
        <b/>
        <sz val="10"/>
        <rFont val="Arial"/>
        <family val="2"/>
      </rPr>
      <t>Design</t>
    </r>
    <r>
      <rPr>
        <sz val="10"/>
        <rFont val="Arial"/>
        <family val="2"/>
      </rPr>
      <t xml:space="preserve">
Does the SW AAU design conform to the SW requirements?</t>
    </r>
  </si>
  <si>
    <t>SW-R-DSG-0771</t>
  </si>
  <si>
    <r>
      <rPr>
        <b/>
        <sz val="10"/>
        <rFont val="Arial"/>
        <family val="2"/>
      </rPr>
      <t>Measurement</t>
    </r>
    <r>
      <rPr>
        <sz val="10"/>
        <rFont val="Arial"/>
        <family val="2"/>
      </rPr>
      <t xml:space="preserve">
Is the AAU design compliant with the HSIS when relevant (execution sequence, electrical stabilization time before measurement, retry strategy, periodicity …)?</t>
    </r>
  </si>
  <si>
    <t>SW-R-DSG-0772</t>
  </si>
  <si>
    <r>
      <rPr>
        <b/>
        <sz val="10"/>
        <rFont val="Arial"/>
        <family val="2"/>
      </rPr>
      <t>Coding standard</t>
    </r>
    <r>
      <rPr>
        <sz val="10"/>
        <rFont val="Arial"/>
        <family val="2"/>
      </rPr>
      <t xml:space="preserve">
Does the SW AAU design conform to the SW coding standard ?</t>
    </r>
  </si>
  <si>
    <t>SW-R-DSG-0773</t>
  </si>
  <si>
    <r>
      <rPr>
        <b/>
        <sz val="10"/>
        <rFont val="Arial"/>
        <family val="2"/>
      </rPr>
      <t>Testability</t>
    </r>
    <r>
      <rPr>
        <sz val="10"/>
        <rFont val="Arial"/>
        <family val="2"/>
      </rPr>
      <t xml:space="preserve">
Are software design requirements testable?</t>
    </r>
  </si>
  <si>
    <t>SW-R-DSG-0774</t>
  </si>
  <si>
    <r>
      <rPr>
        <b/>
        <sz val="10"/>
        <rFont val="Arial"/>
        <family val="2"/>
      </rPr>
      <t>Traceability</t>
    </r>
    <r>
      <rPr>
        <sz val="10"/>
        <rFont val="Arial"/>
        <family val="2"/>
      </rPr>
      <t xml:space="preserve">
Do SW design requirements cover SW functional requirements using indirect and/or direct traceability ?</t>
    </r>
  </si>
  <si>
    <t>SW-R-DSG-0775</t>
  </si>
  <si>
    <r>
      <rPr>
        <b/>
        <sz val="10"/>
        <rFont val="Arial"/>
        <family val="2"/>
      </rPr>
      <t>Consistency</t>
    </r>
    <r>
      <rPr>
        <sz val="10"/>
        <rFont val="Arial"/>
        <family val="2"/>
      </rPr>
      <t xml:space="preserve">
Is consistency of the traceability checked ?</t>
    </r>
  </si>
  <si>
    <t>SW-R-DSG-0776</t>
  </si>
  <si>
    <r>
      <rPr>
        <b/>
        <sz val="10"/>
        <rFont val="Arial"/>
        <family val="2"/>
      </rPr>
      <t>Data structure</t>
    </r>
    <r>
      <rPr>
        <sz val="10"/>
        <rFont val="Arial"/>
        <family val="2"/>
      </rPr>
      <t xml:space="preserve">
Is the data structure organization clearly defined in the AAU design including the memory location (ROM, RAM, RAM_NO_INIT, NVM ...)?</t>
    </r>
  </si>
  <si>
    <t>SW-R-DSG-0777</t>
  </si>
  <si>
    <r>
      <rPr>
        <b/>
        <sz val="10"/>
        <rFont val="Arial"/>
        <family val="2"/>
      </rPr>
      <t>Variables</t>
    </r>
    <r>
      <rPr>
        <sz val="10"/>
        <rFont val="Arial"/>
        <family val="2"/>
      </rPr>
      <t xml:space="preserve">
Are shared variables protected with expected mechanisms (including initialization)?</t>
    </r>
  </si>
  <si>
    <t>SW-R-DSG-0778</t>
  </si>
  <si>
    <r>
      <rPr>
        <b/>
        <sz val="10"/>
        <rFont val="Arial"/>
        <family val="2"/>
      </rPr>
      <t>Critical sections</t>
    </r>
    <r>
      <rPr>
        <sz val="10"/>
        <rFont val="Arial"/>
        <family val="2"/>
      </rPr>
      <t xml:space="preserve">
Are critical sections protected with expected mechanisms?</t>
    </r>
  </si>
  <si>
    <t>SW-R-DSG-0779</t>
  </si>
  <si>
    <r>
      <rPr>
        <b/>
        <sz val="10"/>
        <rFont val="Arial"/>
        <family val="2"/>
      </rPr>
      <t>Critical data</t>
    </r>
    <r>
      <rPr>
        <sz val="10"/>
        <rFont val="Arial"/>
        <family val="2"/>
      </rPr>
      <t xml:space="preserve">
Are critical data protected with expected mechanisms?</t>
    </r>
  </si>
  <si>
    <t>SW-R-DSG-0780</t>
  </si>
  <si>
    <r>
      <rPr>
        <b/>
        <sz val="10"/>
        <rFont val="Arial"/>
        <family val="2"/>
      </rPr>
      <t>MCU constraints</t>
    </r>
    <r>
      <rPr>
        <sz val="10"/>
        <rFont val="Arial"/>
        <family val="2"/>
      </rPr>
      <t xml:space="preserve">
Does the SW AAU design take into account the MCU resources constraints?</t>
    </r>
  </si>
  <si>
    <t>SW-R-DSG-0781</t>
  </si>
  <si>
    <r>
      <rPr>
        <b/>
        <sz val="10"/>
        <rFont val="Arial"/>
        <family val="2"/>
      </rPr>
      <t>Dynamic behavior</t>
    </r>
    <r>
      <rPr>
        <sz val="10"/>
        <rFont val="Arial"/>
        <family val="2"/>
      </rPr>
      <t xml:space="preserve">
Is the behavior of the AAU properly described in each System phase (start-up, shutdown, limp mode)?</t>
    </r>
  </si>
  <si>
    <t>Common document rules</t>
  </si>
  <si>
    <t>SW-R-CM-0396</t>
  </si>
  <si>
    <r>
      <rPr>
        <b/>
        <sz val="10"/>
        <rFont val="Arial"/>
        <family val="2"/>
      </rPr>
      <t>Template version</t>
    </r>
    <r>
      <rPr>
        <sz val="10"/>
        <rFont val="Arial"/>
        <family val="2"/>
      </rPr>
      <t xml:space="preserve">
Has the project used the applicable version of the template according with the approved PMD of the project?</t>
    </r>
  </si>
  <si>
    <t>SW-R-PM-0397</t>
  </si>
  <si>
    <r>
      <rPr>
        <b/>
        <sz val="10"/>
        <rFont val="Arial"/>
        <family val="2"/>
      </rPr>
      <t xml:space="preserve">Roles
</t>
    </r>
    <r>
      <rPr>
        <sz val="10"/>
        <rFont val="Arial"/>
        <family val="2"/>
      </rPr>
      <t>Are the name in the distribution list consistent with the roles PMD ?</t>
    </r>
  </si>
  <si>
    <t>SW-R-PM-0398</t>
  </si>
  <si>
    <r>
      <rPr>
        <b/>
        <sz val="10"/>
        <rFont val="Arial"/>
        <family val="2"/>
      </rPr>
      <t>Names</t>
    </r>
    <r>
      <rPr>
        <sz val="10"/>
        <rFont val="Arial"/>
        <family val="2"/>
      </rPr>
      <t xml:space="preserve">
Are the names of author, reviewer and approver consistent with the PMD ?</t>
    </r>
  </si>
  <si>
    <t>SW-R-CM-0399</t>
  </si>
  <si>
    <r>
      <rPr>
        <b/>
        <sz val="10"/>
        <rFont val="Arial"/>
        <family val="2"/>
      </rPr>
      <t>Automatic fields</t>
    </r>
    <r>
      <rPr>
        <sz val="10"/>
        <rFont val="Arial"/>
        <family val="2"/>
      </rPr>
      <t xml:space="preserve">
Are the automatic fields updated (Filename, Dates, Nb of pages, table of contents…) ?</t>
    </r>
  </si>
  <si>
    <t>Common review process check</t>
  </si>
  <si>
    <t>SW-R-REV-0400</t>
  </si>
  <si>
    <r>
      <rPr>
        <b/>
        <sz val="10"/>
        <rFont val="Arial"/>
        <family val="2"/>
      </rPr>
      <t>Mandatory reviewers</t>
    </r>
    <r>
      <rPr>
        <sz val="10"/>
        <rFont val="Arial"/>
        <family val="2"/>
      </rPr>
      <t xml:space="preserve">
Are there proofs that all mandatory reviewers have made the review ? (Is the PRWB filled in by all reviewers?)</t>
    </r>
  </si>
  <si>
    <t>SW-R-REV-0401</t>
  </si>
  <si>
    <r>
      <rPr>
        <b/>
        <sz val="10"/>
        <color rgb="FF00B050"/>
        <rFont val="Arial"/>
        <family val="2"/>
      </rPr>
      <t>Comments agreements</t>
    </r>
    <r>
      <rPr>
        <sz val="10"/>
        <color rgb="FF00B050"/>
        <rFont val="Arial"/>
        <family val="2"/>
      </rPr>
      <t xml:space="preserve">
Do we have an agreement between the reviewers and the author of the work product for all identified comments ?</t>
    </r>
  </si>
  <si>
    <t>Project specific questions</t>
  </si>
  <si>
    <t>XX-X-ALL-0029</t>
  </si>
  <si>
    <r>
      <rPr>
        <b/>
        <sz val="10"/>
        <rFont val="Arial"/>
        <family val="2"/>
      </rPr>
      <t>Additionnal questions specific to this project :</t>
    </r>
    <r>
      <rPr>
        <sz val="10"/>
        <rFont val="Arial"/>
        <family val="2"/>
      </rPr>
      <t xml:space="preserve">
o If you have additionnal questions which helps the project, please replace this questions and feel free to add additionnal questions below in the green cells</t>
    </r>
  </si>
  <si>
    <t>Questions out of questions library</t>
  </si>
  <si>
    <t>End of the table</t>
  </si>
  <si>
    <t>Review criteria for
Code (CODE)</t>
  </si>
  <si>
    <t>DIA.h - 1.1</t>
  </si>
  <si>
    <t>DIA.c - 1.1</t>
  </si>
  <si>
    <t>DIA_ClearAllDTC.h - 1.1</t>
  </si>
  <si>
    <t>DIA_ECUReset.h - 1.1</t>
  </si>
  <si>
    <t>DIA_ECUReset.c - 1.1</t>
  </si>
  <si>
    <t>DIA_SessionControl.h - 1.1</t>
  </si>
  <si>
    <t>DIA_SessionControl.c - 1.1</t>
  </si>
  <si>
    <t>DIA_SecurityAccess.h - 1.1</t>
  </si>
  <si>
    <t>DIA_SecurityAccess.c - 1.1</t>
  </si>
  <si>
    <t>DIA_ReadDataByIdentifier.h - 1.1</t>
  </si>
  <si>
    <t>DIA_ReadDataByIdentifier.c - 1.1</t>
  </si>
  <si>
    <t>DIA_WriteDataByIdentifier.h - 1.1</t>
  </si>
  <si>
    <t>DIA_WriteDataByIdentifier.c - 1.1</t>
  </si>
  <si>
    <t>DIA_RoutineControl.c - 1.1</t>
  </si>
  <si>
    <t>DIA_cfg.h - 1.1</t>
  </si>
  <si>
    <t>DIA.h - 1.1.12.1</t>
  </si>
  <si>
    <t>DIA.h - 1.1.12.2</t>
  </si>
  <si>
    <t>DIA.h - 1.1.12.3</t>
  </si>
  <si>
    <t>DIA.h - 1.1.12.4</t>
  </si>
  <si>
    <t>DIA.c - 1.1.12.1</t>
  </si>
  <si>
    <t>DIA.c - 1.1.12.2</t>
  </si>
  <si>
    <t>DIA.c - 1.1.12.3</t>
  </si>
  <si>
    <t>DIA.c - 1.1.12.4</t>
  </si>
  <si>
    <t>DIA_SessionControl.c - 1.1.11.1</t>
  </si>
  <si>
    <t>DIA_SessionControl.c - 1.1.11.2</t>
  </si>
  <si>
    <t>DIA_SessionControl.c - 1.1.11.3</t>
  </si>
  <si>
    <t>DIA_SessionControl.c - 1.1.11.4</t>
  </si>
  <si>
    <t>DIA_SecurityAccess.c - 1.1.6.1</t>
  </si>
  <si>
    <t>DIA_SecurityAccess.c - 1.1.6.2</t>
  </si>
  <si>
    <t>DIA_SecurityAccess.c - 1.1.6.3</t>
  </si>
  <si>
    <t>DIA_ReadDataByIdentifier.c - 1.4.2.1</t>
  </si>
  <si>
    <t>DIA_ReadDataByIdentifier.c - 1.4.2.2</t>
  </si>
  <si>
    <t>DIA_ReadDataByIdentifier.c - 1.4.2.3</t>
  </si>
  <si>
    <t>DIA_ReadDataByIdentifier.c - 1.4.2.4</t>
  </si>
  <si>
    <t>DIA_ReadDataByIdentifier.c - 1.4.2.5</t>
  </si>
  <si>
    <t>DIA_ReadDataByIdentifier.c - 1.4.2.6</t>
  </si>
  <si>
    <t>DIA_WriteDataByIdentifier.c - 1.3.11.1</t>
  </si>
  <si>
    <t>DIA_WriteDataByIdentifier.c - 1.3.11.2</t>
  </si>
  <si>
    <t>DIA_WriteDataByIdentifier.c - 1.3.11.3</t>
  </si>
  <si>
    <t>DIA_WriteDataByIdentifier.c - 1.3.11.4</t>
  </si>
  <si>
    <t>DIA_RoutineControl.c - 1.10.2.1</t>
  </si>
  <si>
    <t>DIA_RoutineControl.c - 1.10.2.2</t>
  </si>
  <si>
    <t>DIA_RoutineControl.c - 1.10.2.3</t>
  </si>
  <si>
    <t>DIA_RoutineControl.c - 1.10.2.4</t>
  </si>
  <si>
    <t>DIA_ReadDataByIdentifier.c - 1.4.2.7</t>
  </si>
  <si>
    <t>DIA_WriteDataByIdentifier.c - 1.3.11.5</t>
  </si>
  <si>
    <t>DIA_WriteDataByIdentifier.c - 1.3.11.6</t>
  </si>
  <si>
    <t>Content</t>
  </si>
  <si>
    <t>SW-R-COD-0587</t>
  </si>
  <si>
    <r>
      <rPr>
        <b/>
        <sz val="10"/>
        <rFont val="Arial"/>
        <family val="2"/>
      </rPr>
      <t xml:space="preserve">Traceability
</t>
    </r>
    <r>
      <rPr>
        <sz val="10"/>
        <rFont val="Arial"/>
        <family val="2"/>
      </rPr>
      <t>Is the traceability done with module design and/or software specification?</t>
    </r>
  </si>
  <si>
    <t>SW-R-COD-0588</t>
  </si>
  <si>
    <r>
      <rPr>
        <b/>
        <sz val="10"/>
        <rFont val="Arial"/>
        <family val="2"/>
      </rPr>
      <t xml:space="preserve">Consistency
</t>
    </r>
    <r>
      <rPr>
        <sz val="10"/>
        <rFont val="Arial"/>
        <family val="2"/>
      </rPr>
      <t>Is the AAU consistent with the module design or software specification?</t>
    </r>
  </si>
  <si>
    <t>SW-R-COD-0782</t>
  </si>
  <si>
    <r>
      <rPr>
        <b/>
        <sz val="10"/>
        <rFont val="Arial"/>
        <family val="2"/>
      </rPr>
      <t>Coding standard</t>
    </r>
    <r>
      <rPr>
        <sz val="10"/>
        <rFont val="Arial"/>
        <family val="2"/>
      </rPr>
      <t xml:space="preserve">
Does the SW AAU Code conform to the SW coding standard ?</t>
    </r>
  </si>
  <si>
    <t>SW-R-COD-0783</t>
  </si>
  <si>
    <r>
      <rPr>
        <b/>
        <sz val="10"/>
        <rFont val="Arial"/>
        <family val="2"/>
      </rPr>
      <t>Static analysis</t>
    </r>
    <r>
      <rPr>
        <sz val="10"/>
        <rFont val="Arial"/>
        <family val="2"/>
      </rPr>
      <t xml:space="preserve">
Is static analysis performed and warnings corrected or justified?</t>
    </r>
  </si>
  <si>
    <t>SW-R-COD-0784</t>
  </si>
  <si>
    <r>
      <rPr>
        <b/>
        <sz val="10"/>
        <rFont val="Arial"/>
        <family val="2"/>
      </rPr>
      <t>Design</t>
    </r>
    <r>
      <rPr>
        <sz val="10"/>
        <rFont val="Arial"/>
        <family val="2"/>
      </rPr>
      <t xml:space="preserve">
Is the SW Code compliant with design (naming, functions, variables, logic, …) ?</t>
    </r>
  </si>
  <si>
    <t>SW-R-COD-0995</t>
  </si>
  <si>
    <r>
      <rPr>
        <b/>
        <sz val="10"/>
        <rFont val="Arial"/>
        <family val="2"/>
      </rPr>
      <t>Operations overflows</t>
    </r>
    <r>
      <rPr>
        <sz val="10"/>
        <rFont val="Arial"/>
        <family val="2"/>
      </rPr>
      <t xml:space="preserve">
Does the SW code ensures that no overflow can occur while performing any + or * operation, either by design, either by a check performed before the operation ?
</t>
    </r>
    <r>
      <rPr>
        <i/>
        <sz val="10"/>
        <rFont val="Arial"/>
        <family val="2"/>
      </rPr>
      <t>COVERS: DES_015 from SW03OTH003 document</t>
    </r>
  </si>
  <si>
    <t>SW-R-COD-0996</t>
  </si>
  <si>
    <r>
      <rPr>
        <b/>
        <sz val="10"/>
        <rFont val="Arial"/>
        <family val="2"/>
      </rPr>
      <t>Operations underflows</t>
    </r>
    <r>
      <rPr>
        <sz val="10"/>
        <rFont val="Arial"/>
        <family val="2"/>
      </rPr>
      <t xml:space="preserve">
Does the SW code ensures that no underflow can occur while performing any - operation ? Either by using signed data or adding a check before if  unsigned data used ?
COVERS: DES_016, DES_017 from SW03OTH003 document</t>
    </r>
  </si>
  <si>
    <t>SW-R-COD-0785</t>
  </si>
  <si>
    <r>
      <rPr>
        <b/>
        <sz val="10"/>
        <rFont val="Arial"/>
        <family val="2"/>
      </rPr>
      <t>Data structure</t>
    </r>
    <r>
      <rPr>
        <sz val="10"/>
        <rFont val="Arial"/>
        <family val="2"/>
      </rPr>
      <t xml:space="preserve">
Is Data structure organized in RAM (alignment, padding,..) verified?</t>
    </r>
  </si>
  <si>
    <t>SW-R-COD-0786</t>
  </si>
  <si>
    <r>
      <rPr>
        <b/>
        <sz val="10"/>
        <rFont val="Arial"/>
        <family val="2"/>
      </rPr>
      <t>Comments</t>
    </r>
    <r>
      <rPr>
        <sz val="10"/>
        <rFont val="Arial"/>
        <family val="2"/>
      </rPr>
      <t xml:space="preserve">
Are the comments sufficient for comprehensibility?</t>
    </r>
  </si>
  <si>
    <t>SW-R-COD-0787</t>
  </si>
  <si>
    <r>
      <rPr>
        <b/>
        <sz val="10"/>
        <rFont val="Arial"/>
        <family val="2"/>
      </rPr>
      <t>Execution</t>
    </r>
    <r>
      <rPr>
        <sz val="10"/>
        <rFont val="Arial"/>
        <family val="2"/>
      </rPr>
      <t xml:space="preserve">
Are SW loops (for, while) protected against infinite execution?</t>
    </r>
  </si>
  <si>
    <t>SW-R-COD-0788</t>
  </si>
  <si>
    <r>
      <rPr>
        <b/>
        <sz val="10"/>
        <rFont val="Arial"/>
        <family val="2"/>
      </rPr>
      <t>Complier warnings</t>
    </r>
    <r>
      <rPr>
        <sz val="10"/>
        <rFont val="Arial"/>
        <family val="2"/>
      </rPr>
      <t xml:space="preserve">
All code shall be compiled with all compiler warnings enabled at the highest warning level available.  Are all Compiler warnings resolved?  If not possible a justification must be documented.</t>
    </r>
  </si>
  <si>
    <t>SW-R-COD-0789</t>
  </si>
  <si>
    <r>
      <rPr>
        <b/>
        <sz val="10"/>
        <rFont val="Arial"/>
        <family val="2"/>
      </rPr>
      <t>Called functions</t>
    </r>
    <r>
      <rPr>
        <sz val="10"/>
        <rFont val="Arial"/>
        <family val="2"/>
      </rPr>
      <t xml:space="preserve">
Is it verified that functions called by this AAU cannot cause reentrancy issues, or that reentrancy is allowed for called functions?</t>
    </r>
  </si>
  <si>
    <t>SW-R-COD-0790</t>
  </si>
  <si>
    <r>
      <rPr>
        <b/>
        <sz val="10"/>
        <rFont val="Arial"/>
        <family val="2"/>
      </rPr>
      <t>Shared data objects</t>
    </r>
    <r>
      <rPr>
        <sz val="10"/>
        <rFont val="Arial"/>
        <family val="2"/>
      </rPr>
      <t xml:space="preserve">
If data objects are shared between several functions, is it ensured that they are called from a single task/IT context, or that they are protected against concurrent access ?</t>
    </r>
  </si>
  <si>
    <t>SW-R-COD-0791</t>
  </si>
  <si>
    <r>
      <rPr>
        <b/>
        <sz val="10"/>
        <rFont val="Arial"/>
        <family val="2"/>
      </rPr>
      <t>Critical sections</t>
    </r>
    <r>
      <rPr>
        <sz val="10"/>
        <rFont val="Arial"/>
        <family val="2"/>
      </rPr>
      <t xml:space="preserve">
Is it verified that critical sections are opened and closed in the same function call context ? If not, is the strategy justified ?</t>
    </r>
  </si>
  <si>
    <t>SW-R-COD-0792</t>
  </si>
  <si>
    <r>
      <rPr>
        <b/>
        <sz val="10"/>
        <rFont val="Arial"/>
        <family val="2"/>
      </rPr>
      <t>Stack</t>
    </r>
    <r>
      <rPr>
        <sz val="10"/>
        <rFont val="Arial"/>
        <family val="2"/>
      </rPr>
      <t xml:space="preserve">
Are the impacts on stack size been considered ?</t>
    </r>
  </si>
  <si>
    <t>SW-R-COD-0916</t>
  </si>
  <si>
    <r>
      <rPr>
        <b/>
        <sz val="10"/>
        <rFont val="Arial"/>
        <family val="2"/>
      </rPr>
      <t>Critical code</t>
    </r>
    <r>
      <rPr>
        <sz val="10"/>
        <rFont val="Arial"/>
        <family val="2"/>
      </rPr>
      <t xml:space="preserve">
Are the critical code sections optimized regarding CPU load budget (for example jitter that can be introduced by interrupt routine)?</t>
    </r>
  </si>
  <si>
    <t>SW-R-COD-0917</t>
  </si>
  <si>
    <r>
      <rPr>
        <b/>
        <sz val="10"/>
        <rFont val="Arial"/>
        <family val="2"/>
      </rPr>
      <t xml:space="preserve">Shared data </t>
    </r>
    <r>
      <rPr>
        <sz val="10"/>
        <rFont val="Arial"/>
        <family val="2"/>
      </rPr>
      <t xml:space="preserve">
Is the use of semaphores or locks to access shared data justified?</t>
    </r>
  </si>
  <si>
    <t>NA: No questions.</t>
  </si>
  <si>
    <t>1.1.12.5</t>
  </si>
  <si>
    <t>Rename defines according to the coding guideline.</t>
  </si>
  <si>
    <t>renamed
Ioan Re: This finding will be solved in version 1.1.12.5.</t>
  </si>
  <si>
    <t>DIA.h - v1.1.12.5</t>
  </si>
  <si>
    <t>DIA.h v1.1.12.5</t>
  </si>
  <si>
    <t>23.01.2023</t>
  </si>
  <si>
    <t>Ioan Re: The rule of naming defines is not defined yet. It will be postponed.</t>
  </si>
  <si>
    <t>DIA.c - v1.1.12.5</t>
  </si>
  <si>
    <t>DIA.c v1.1.12.5</t>
  </si>
  <si>
    <t>1.1.11.5</t>
  </si>
  <si>
    <t>DIA_SessionControl.c - v1.1.11.5</t>
  </si>
  <si>
    <t>DIA_SessionControl.c v1.1.11.5</t>
  </si>
  <si>
    <t>DIA_SecurityAccess.c - v1.1.6.5</t>
  </si>
  <si>
    <t>Fix done</t>
  </si>
  <si>
    <t>1.4.2.8</t>
  </si>
  <si>
    <t>DIA_ReadDataByIdentifier.c v1.4.2.8</t>
  </si>
  <si>
    <t>DIA_ReadDataByIdentifier.c - v1.4.2.8</t>
  </si>
  <si>
    <t>fixed
Will be fixed at 1.3.11.8</t>
  </si>
  <si>
    <t>1.3.11.7</t>
  </si>
  <si>
    <t>DIA_WriteDataByIdentifier.c - v1.3.11.7</t>
  </si>
  <si>
    <t>1.10.2.5</t>
  </si>
  <si>
    <t xml:space="preserve">Add memory section for int32 global variables </t>
  </si>
  <si>
    <t>DIA_RoutineControl.c - v1.10.2.5</t>
  </si>
  <si>
    <t>DIA_RoutineControl.c v1.10.2.5</t>
  </si>
  <si>
    <t>DIA_WriteDataByIdentifier.c v1.3.11.7</t>
  </si>
  <si>
    <t>DIA_SecurityAccess.c v1.1.6.5</t>
  </si>
  <si>
    <t>DF: Open brace "{" has been moved to a new line.</t>
  </si>
  <si>
    <t>DF: Memory section for int32 and int16 was added.</t>
  </si>
  <si>
    <t>Both defines was renamed according to the coding rules.</t>
  </si>
  <si>
    <t>Solve the compiler warning.</t>
  </si>
  <si>
    <t>Warning generated by a shared variable between application and bootloader, variable is used but not recognized by compiler.</t>
  </si>
  <si>
    <t>1.1.12.6</t>
  </si>
  <si>
    <t>25.01.2023</t>
  </si>
  <si>
    <t>DIA.h v1.1.12.6</t>
  </si>
  <si>
    <t>DIA.h - v1.1.12.6</t>
  </si>
  <si>
    <t>DIA.c - v1.1.12.6</t>
  </si>
  <si>
    <t>DIA.c v1.1.12.6</t>
  </si>
  <si>
    <t>1.3.11.8</t>
  </si>
  <si>
    <t>DIA_WriteDataByIdentifier.c - v1.3.11.8</t>
  </si>
  <si>
    <t>DIA_WriteDataByIdentifier.c v1.3.11.8</t>
  </si>
  <si>
    <t>DIA_RoutineControl.c - v1.10.2.6</t>
  </si>
  <si>
    <t>Dan Dustinta</t>
  </si>
  <si>
    <t>no findings between revisions 1.1.12.6 and 1.1.12.8</t>
  </si>
  <si>
    <t>1.1.12.8</t>
  </si>
  <si>
    <t>1.1.12.9</t>
  </si>
  <si>
    <t>no findings between revisions 1.1.12.6 and 1.1.12.9</t>
  </si>
  <si>
    <t>1.4.2.9</t>
  </si>
  <si>
    <t>no findings</t>
  </si>
  <si>
    <t>1.1.6.5</t>
  </si>
  <si>
    <t>1.1.11.7</t>
  </si>
  <si>
    <t>no findings between revisions 1.1.11.5 and 1.1.11.7</t>
  </si>
  <si>
    <t>1.3.11.9</t>
  </si>
  <si>
    <t>Andreea Suiu</t>
  </si>
  <si>
    <t>DIA.h - v1.1.12.8</t>
  </si>
  <si>
    <t>DIA.c - v1.1.12.9</t>
  </si>
  <si>
    <t>DIA_ReadDataByIdentifier.c - v1.4.2.9</t>
  </si>
  <si>
    <t>DIA_SessionControl.c - v1.1.11.7</t>
  </si>
  <si>
    <t>DIA_WriteDataByIdentifier.c - v1.3.11.9</t>
  </si>
  <si>
    <t>1.10.2.10</t>
  </si>
  <si>
    <t>DIA_RoutineControl.c - v1.10.2.10</t>
  </si>
  <si>
    <t>DIA_RoutineControl.c - v1.10.2.11</t>
  </si>
  <si>
    <t>DIA_SessionControl.c - v1.1.11.8</t>
  </si>
  <si>
    <t>DIA_SecurityAccess.c v1.1.6.6</t>
  </si>
  <si>
    <t>DIA_WriteDataByIdentifier.c - v1.3.11.10</t>
  </si>
  <si>
    <t>DIA.c - v1.1.12.10</t>
  </si>
  <si>
    <t>DIA_ReadDataByIdentifier.c v1.4.2.11</t>
  </si>
  <si>
    <t xml:space="preserve">DIA_SecurityAccess.c </t>
  </si>
  <si>
    <t xml:space="preserve">DIA_ReadDataByIdentifier.c </t>
  </si>
  <si>
    <t>1.4.2.11</t>
  </si>
  <si>
    <t>1.1.12.10</t>
  </si>
  <si>
    <t>1.3.11.10</t>
  </si>
  <si>
    <t>1.1.6.6</t>
  </si>
  <si>
    <t>1.1.11.8</t>
  </si>
  <si>
    <t>1.10.2.11</t>
  </si>
  <si>
    <t xml:space="preserve">DIA_SessionControl.c </t>
  </si>
  <si>
    <t xml:space="preserve">DIA_WriteDataByIdentifier.c </t>
  </si>
  <si>
    <t>DIA_SecurityAccess.c - v1.1.6.6</t>
  </si>
  <si>
    <t>DIA_ReadDataByIdentifier.c V1.4.2.11</t>
  </si>
  <si>
    <t>eCS_MCC.DIA.tmb</t>
  </si>
  <si>
    <t>no traceability</t>
  </si>
  <si>
    <t>no 100% C0 and C1 coverage</t>
  </si>
  <si>
    <t>Popina Victor</t>
  </si>
  <si>
    <t>Vlad Chioveanu</t>
  </si>
  <si>
    <t>medium</t>
  </si>
  <si>
    <t>Review criteria for
Unit Test specifications and report (UTSR)</t>
  </si>
  <si>
    <t>Tests preparation</t>
  </si>
  <si>
    <t>SW-R-XX-0592</t>
  </si>
  <si>
    <r>
      <rPr>
        <b/>
        <sz val="10"/>
        <rFont val="Arial"/>
        <family val="2"/>
      </rPr>
      <t xml:space="preserve">Purpose
</t>
    </r>
    <r>
      <rPr>
        <sz val="10"/>
        <rFont val="Arial"/>
        <family val="2"/>
      </rPr>
      <t>For each test, is the purpose clearly stated ?</t>
    </r>
  </si>
  <si>
    <t>SW-R-XX-0586</t>
  </si>
  <si>
    <r>
      <rPr>
        <b/>
        <sz val="10"/>
        <rFont val="Arial"/>
        <family val="2"/>
      </rPr>
      <t xml:space="preserve">Specification
</t>
    </r>
    <r>
      <rPr>
        <sz val="10"/>
        <rFont val="Arial"/>
        <family val="2"/>
      </rPr>
      <t>Is the test specification created according to the test strategy defined in the plan (maybe we have to use equivalence partitioning etc).</t>
    </r>
  </si>
  <si>
    <t>SW-R-XX-0593</t>
  </si>
  <si>
    <r>
      <rPr>
        <b/>
        <sz val="10"/>
        <rFont val="Arial"/>
        <family val="2"/>
      </rPr>
      <t xml:space="preserve">Tests vs purpose
</t>
    </r>
    <r>
      <rPr>
        <sz val="10"/>
        <rFont val="Arial"/>
        <family val="2"/>
      </rPr>
      <t>For each test, are all test steps aligned with the test purpose?</t>
    </r>
  </si>
  <si>
    <t>SW-R-XX-0583</t>
  </si>
  <si>
    <r>
      <rPr>
        <b/>
        <sz val="10"/>
        <rFont val="Arial"/>
        <family val="2"/>
      </rPr>
      <t xml:space="preserve">Test id
</t>
    </r>
    <r>
      <rPr>
        <sz val="10"/>
        <rFont val="Arial"/>
        <family val="2"/>
      </rPr>
      <t>Is each test uniquely identified?</t>
    </r>
  </si>
  <si>
    <t>SW-R-XX-0611</t>
  </si>
  <si>
    <r>
      <rPr>
        <b/>
        <sz val="10"/>
        <rFont val="Arial"/>
        <family val="2"/>
      </rPr>
      <t xml:space="preserve">Equipment
</t>
    </r>
    <r>
      <rPr>
        <sz val="10"/>
        <rFont val="Arial"/>
        <family val="2"/>
      </rPr>
      <t>Are all equipement listed individually for every test bench with assigned owner?</t>
    </r>
  </si>
  <si>
    <t>Traceability</t>
  </si>
  <si>
    <t>SW-R-UV-0796</t>
  </si>
  <si>
    <r>
      <rPr>
        <b/>
        <sz val="10"/>
        <rFont val="Arial"/>
        <family val="2"/>
      </rPr>
      <t>Traceability</t>
    </r>
    <r>
      <rPr>
        <sz val="10"/>
        <rFont val="Arial"/>
        <family val="2"/>
      </rPr>
      <t xml:space="preserve">
Are all software design requirements covered by the SW unit test cases according with the plan?</t>
    </r>
  </si>
  <si>
    <t>SW-R-UV-0797</t>
  </si>
  <si>
    <r>
      <rPr>
        <b/>
        <sz val="10"/>
        <rFont val="Arial"/>
        <family val="2"/>
      </rPr>
      <t>Traceability</t>
    </r>
    <r>
      <rPr>
        <sz val="10"/>
        <rFont val="Arial"/>
        <family val="2"/>
      </rPr>
      <t xml:space="preserve">
Do the software unit test cases demonstrate:
               - 100% test coverage,
               - mapping to the requirements,
               - expected results?
(we could state that there is not any unintended functionality)</t>
    </r>
  </si>
  <si>
    <t>SW-R-UV-0798</t>
  </si>
  <si>
    <r>
      <rPr>
        <b/>
        <sz val="10"/>
        <rFont val="Arial"/>
        <family val="2"/>
      </rPr>
      <t>Minimum stabilization time</t>
    </r>
    <r>
      <rPr>
        <sz val="10"/>
        <rFont val="Arial"/>
        <family val="2"/>
      </rPr>
      <t xml:space="preserve">
Is the minimum stabilization time required in HSIS tested by unit test cases?
(at AAU level "in product environment, on target board")</t>
    </r>
  </si>
  <si>
    <t>SW-R-UV-0799</t>
  </si>
  <si>
    <r>
      <rPr>
        <b/>
        <sz val="10"/>
        <rFont val="Arial"/>
        <family val="2"/>
      </rPr>
      <t>RAM, ROM consumption</t>
    </r>
    <r>
      <rPr>
        <sz val="10"/>
        <rFont val="Arial"/>
        <family val="2"/>
      </rPr>
      <t xml:space="preserve">
Is the RAM and ROM consumption measured and conform to the budgets?
(at AAU level "in product environment, on target board")</t>
    </r>
  </si>
  <si>
    <t>SW-R-UV-0800</t>
  </si>
  <si>
    <r>
      <rPr>
        <b/>
        <sz val="10"/>
        <rFont val="Arial"/>
        <family val="2"/>
      </rPr>
      <t>Shared variables</t>
    </r>
    <r>
      <rPr>
        <sz val="10"/>
        <rFont val="Arial"/>
        <family val="2"/>
      </rPr>
      <t xml:space="preserve">
Are shared variables (existing in AAU scope only) and critical sections tested?
(at AAU level "in product environment, on target board")</t>
    </r>
  </si>
  <si>
    <t>SW-R-UV-0801</t>
  </si>
  <si>
    <r>
      <rPr>
        <b/>
        <sz val="10"/>
        <rFont val="Arial"/>
        <family val="2"/>
      </rPr>
      <t>Out of bounds</t>
    </r>
    <r>
      <rPr>
        <sz val="10"/>
        <rFont val="Arial"/>
        <family val="2"/>
      </rPr>
      <t xml:space="preserve">
Are out of bounds access (array, pointer) tested?</t>
    </r>
  </si>
  <si>
    <t>SW-R-UV-0802</t>
  </si>
  <si>
    <r>
      <rPr>
        <b/>
        <sz val="10"/>
        <rFont val="Arial"/>
        <family val="2"/>
      </rPr>
      <t>Alternate escape mechanism</t>
    </r>
    <r>
      <rPr>
        <sz val="10"/>
        <rFont val="Arial"/>
        <family val="2"/>
      </rPr>
      <t xml:space="preserve">
Is an alternate escape mechanism other than the watchdog timer reset tested for all loops waiting an event?
(at AAU level "in product environment, on target board")</t>
    </r>
  </si>
  <si>
    <t>SW-R-UV-0803</t>
  </si>
  <si>
    <r>
      <rPr>
        <b/>
        <sz val="10"/>
        <rFont val="Arial"/>
        <family val="2"/>
      </rPr>
      <t>Structural coverage</t>
    </r>
    <r>
      <rPr>
        <sz val="10"/>
        <rFont val="Arial"/>
        <family val="2"/>
      </rPr>
      <t xml:space="preserve">
Are the structural coverage targets respected?</t>
    </r>
  </si>
  <si>
    <t>Cornel Albu</t>
  </si>
  <si>
    <t>Ecs_MCC.DIA.tmb 1.1</t>
  </si>
  <si>
    <t>Review criteria for
Integration tests specifications and report (ITSR)</t>
  </si>
  <si>
    <t>SW-R-INT-0589</t>
  </si>
  <si>
    <r>
      <rPr>
        <b/>
        <sz val="10"/>
        <rFont val="Arial"/>
        <family val="2"/>
      </rPr>
      <t xml:space="preserve">Architecture tests
</t>
    </r>
    <r>
      <rPr>
        <sz val="10"/>
        <rFont val="Arial"/>
        <family val="2"/>
      </rPr>
      <t>Are all applicable SW Architecture specifications (mentioned in the test header) covered 100% by the test case ?</t>
    </r>
  </si>
  <si>
    <t>SW-R-INT-0590</t>
  </si>
  <si>
    <r>
      <rPr>
        <b/>
        <sz val="10"/>
        <rFont val="Arial"/>
        <family val="2"/>
      </rPr>
      <t xml:space="preserve">Traceability : integration tests vs architecture elements
</t>
    </r>
    <r>
      <rPr>
        <sz val="10"/>
        <rFont val="Arial"/>
        <family val="2"/>
      </rPr>
      <t>For each test, is traceability with the SW Architecture specification(s)  correctly established ?</t>
    </r>
  </si>
  <si>
    <t>SW-R-XX-0591</t>
  </si>
  <si>
    <r>
      <rPr>
        <b/>
        <sz val="10"/>
        <rFont val="Arial"/>
        <family val="2"/>
      </rPr>
      <t xml:space="preserve">Initial conditions
</t>
    </r>
    <r>
      <rPr>
        <sz val="10"/>
        <rFont val="Arial"/>
        <family val="2"/>
      </rPr>
      <t xml:space="preserve">Are the initial conditions for testing correctly defined ? </t>
    </r>
  </si>
  <si>
    <t>SW-R-INT-0594</t>
  </si>
  <si>
    <r>
      <rPr>
        <b/>
        <sz val="10"/>
        <rFont val="Arial"/>
        <family val="2"/>
      </rPr>
      <t xml:space="preserve">Tests types
</t>
    </r>
    <r>
      <rPr>
        <sz val="10"/>
        <rFont val="Arial"/>
        <family val="2"/>
      </rPr>
      <t>Are all defined test types used in test cases ?
Note: Nominal, Endurance, Robustness, Qualification…</t>
    </r>
  </si>
  <si>
    <t>XX-R-INT-0793</t>
  </si>
  <si>
    <r>
      <rPr>
        <b/>
        <sz val="10"/>
        <rFont val="Arial"/>
        <family val="2"/>
      </rPr>
      <t>Critical tasks</t>
    </r>
    <r>
      <rPr>
        <sz val="10"/>
        <rFont val="Arial"/>
        <family val="2"/>
      </rPr>
      <t xml:space="preserve">
Is the maximum execution time of functions  called in critical tasks or interrupts tested  and compliant with the SW architecture document?</t>
    </r>
  </si>
  <si>
    <t>XX-R-INT-0794</t>
  </si>
  <si>
    <r>
      <rPr>
        <b/>
        <sz val="10"/>
        <rFont val="Arial"/>
        <family val="2"/>
      </rPr>
      <t>Execution time</t>
    </r>
    <r>
      <rPr>
        <sz val="10"/>
        <rFont val="Arial"/>
        <family val="2"/>
      </rPr>
      <t xml:space="preserve">
Is the maximum execution time of functions called during initialization (before nominal OS execution) tested?</t>
    </r>
  </si>
  <si>
    <t>XX-R-INT-0795</t>
  </si>
  <si>
    <t>Sw_Int_DIA_pseRoutineControl_ProcessModeRoutine_01.txt</t>
  </si>
  <si>
    <t>Sw_Int_DIA_pseRoutineControl_ProcessModeRoutine_02.txt</t>
  </si>
  <si>
    <t>Victor Popina</t>
  </si>
  <si>
    <t>Sw_Int_DIA_pseRoutineControl_ProcessModeRoutine_01.txt -v1.1</t>
  </si>
  <si>
    <t>Sw_Int_DIA_pseRoutineControl_ProcessModeRoutine_02.txt -v1.1</t>
  </si>
  <si>
    <t>OpenProject Issue: 1049710</t>
  </si>
  <si>
    <t>NA: no additional comments</t>
  </si>
  <si>
    <t>1.1.12.11</t>
  </si>
  <si>
    <t>1.1.12.13</t>
  </si>
  <si>
    <t>1.4.2.15</t>
  </si>
  <si>
    <t>1.10.2.14</t>
  </si>
  <si>
    <t>1.1.6.9</t>
  </si>
  <si>
    <t>1.1.11.10</t>
  </si>
  <si>
    <t>1.3.11.13</t>
  </si>
  <si>
    <t>Septimiu Vintila</t>
  </si>
  <si>
    <t>DIA.h - v1.1.12.11</t>
  </si>
  <si>
    <t>DIA.c - v1.1.12.13</t>
  </si>
  <si>
    <t>DIA_ReadDataByIdentifier.c - v1.4.2.15</t>
  </si>
  <si>
    <t>DIA_RoutineControl.c - v1.10.2.14</t>
  </si>
  <si>
    <t>DIA_SecurityAccess.c - v1.1.6.9</t>
  </si>
  <si>
    <t>DIA_SessionControl.c - v1.1.11.10</t>
  </si>
  <si>
    <t>DIA_WriteDataByIdentifier.c - v1.3.11.13</t>
  </si>
  <si>
    <t>1.1.12.12</t>
  </si>
  <si>
    <t>DIA.h - v1.1.12.12</t>
  </si>
  <si>
    <t>1.1.12.14</t>
  </si>
  <si>
    <t>DIA.c - v1.1.12.14</t>
  </si>
  <si>
    <t>1.4.2.16</t>
  </si>
  <si>
    <t>Review of this version is covered by 1.4.2.18</t>
  </si>
  <si>
    <t>1.4.2.17</t>
  </si>
  <si>
    <t>1.4.2.18</t>
  </si>
  <si>
    <t>Rename members of the structures Dia_stSegmentListType, Dia_stNVMBlockDataType,
Dia_stNVMBootloaderDataType
acording to the coding guideline</t>
  </si>
  <si>
    <t>Add EXPORTED define to exported variables</t>
  </si>
  <si>
    <t>Update return type of the functions according to the coding guideline</t>
  </si>
  <si>
    <t>Make sure in the 'if' condition, constant data is the first argument.</t>
  </si>
  <si>
    <t>DIA_ReadDataByIdentifier.c - v1.4.2.18</t>
  </si>
  <si>
    <t>1.10.2.15</t>
  </si>
  <si>
    <t>DIA_RoutineControl.c - v1.10.2.15</t>
  </si>
  <si>
    <t>1.1.6.10</t>
  </si>
  <si>
    <t>DIA_SecurityAccess.c - v1.1.6.10</t>
  </si>
  <si>
    <t>1.3.11.14</t>
  </si>
  <si>
    <t>Review of this version is covered by 1.3.11.17</t>
  </si>
  <si>
    <t>1.3.11.15</t>
  </si>
  <si>
    <t>1.3.11.16</t>
  </si>
  <si>
    <t>1.3.11.17</t>
  </si>
  <si>
    <t>DIA_WriteDataByIdentifier.c - v1.3.11.17</t>
  </si>
  <si>
    <t>Robert Hadadea</t>
  </si>
  <si>
    <t>Ecs_MCC.DIA.tmb 1.2</t>
  </si>
  <si>
    <t>No: Issue OpenProject: 1048949</t>
  </si>
  <si>
    <t>See Software Unit Verification Plan</t>
  </si>
  <si>
    <t xml:space="preserve">All members of the structures were renamed according to the coding rules. </t>
  </si>
  <si>
    <t xml:space="preserve">There are no more exported variables. </t>
  </si>
  <si>
    <t>The 'if' conditions have been changed so that the constant data is the first argument.</t>
  </si>
  <si>
    <t xml:space="preserve">Cast return to 'Std_ReturnType' type was made for the all functions. </t>
  </si>
  <si>
    <t>There are no more compiler warnings.</t>
  </si>
  <si>
    <t>Review of this version is covered by 1.4.2.28</t>
  </si>
  <si>
    <t>1.4.2.19</t>
  </si>
  <si>
    <t>1.4.2.20</t>
  </si>
  <si>
    <t>1.4.2.21</t>
  </si>
  <si>
    <t>1.4.2.22</t>
  </si>
  <si>
    <t>1.4.2.23</t>
  </si>
  <si>
    <t>1.4.2.24</t>
  </si>
  <si>
    <t>1.4.2.25</t>
  </si>
  <si>
    <t>1.4.2.26</t>
  </si>
  <si>
    <t>1.4.2.27</t>
  </si>
  <si>
    <t>1.4.2.28</t>
  </si>
  <si>
    <t>Add memmory section for exported variables</t>
  </si>
  <si>
    <t>For function DIA_runDidFD09_LastWarmResetParamRead, analyze the case when NVP_u32WarmResetCounter == KU32_MAX. What value should be returnd?</t>
  </si>
  <si>
    <t xml:space="preserve">In function DIA_runDidF15B_FingerprintAndProgrammingDateOfLogicalSoftwareBlocksRead, the else if((KU8_NINETEEN &lt; u8BufferIndex) &amp;&amp; (KU8_DIA_TWENTYNINE &gt; u8BufferIndex)) case should be analyzed. Always save the u8DataIndex = 0 </t>
  </si>
  <si>
    <t>DIA_ReadDataByIdentifier.c - v1.4.2.28</t>
  </si>
  <si>
    <t>Review of this version is covered by 1.10.2.21</t>
  </si>
  <si>
    <t>1.10.2.16</t>
  </si>
  <si>
    <t>1.10.2.17</t>
  </si>
  <si>
    <t>1.10.2.18</t>
  </si>
  <si>
    <t>1.10.2.19</t>
  </si>
  <si>
    <t>1.10.2.20</t>
  </si>
  <si>
    <t>1.10.2.21</t>
  </si>
  <si>
    <t xml:space="preserve">Update the value for define KS8_DIA_SIGN_CHANGE (shoud be -1 or 0xFF) </t>
  </si>
  <si>
    <t>DIA_RoutineControl.c - v1.10.2.21</t>
  </si>
  <si>
    <t>1.3.11.25</t>
  </si>
  <si>
    <t>1.3.11.18</t>
  </si>
  <si>
    <t>1.3.11.19</t>
  </si>
  <si>
    <t>1.3.11.20</t>
  </si>
  <si>
    <t>1.3.11.21</t>
  </si>
  <si>
    <t>1.3.11.22</t>
  </si>
  <si>
    <t>1.3.11.23</t>
  </si>
  <si>
    <t>1.3.11.24</t>
  </si>
  <si>
    <t>Rename Local function according to the coding guideline</t>
  </si>
  <si>
    <t xml:space="preserve">Include the local function description inside the START/STOP_SEC_CODE section </t>
  </si>
  <si>
    <t xml:space="preserve">Update brief description for function dia_ubIsAsciiCharAllowedAUDI (range, data types, ARCH tags and aspect calller) </t>
  </si>
  <si>
    <t>Rename local variables according to the coding guideline</t>
  </si>
  <si>
    <t>Replace the defien B_TRUE (uint8) with Boolena value</t>
  </si>
  <si>
    <t>Delete unused function DIA_WriteDataByIdentifier_Init</t>
  </si>
  <si>
    <t>In function DIA_runDidFDE1_EcsParametersWrite remove duplicate if statemnet if(u8Counter &lt; sizeof(NVP_au16Angle2_Idx)). Already verified in for loop</t>
  </si>
  <si>
    <t>Review of this version is covered by 1.1.12.17</t>
  </si>
  <si>
    <t>1.1.12.15</t>
  </si>
  <si>
    <t>1.1.12.16</t>
  </si>
  <si>
    <t>1.1.12.17</t>
  </si>
  <si>
    <t>DIA.c - v1.1.12.17</t>
  </si>
  <si>
    <t>1.1.6.11</t>
  </si>
  <si>
    <t>DIA_SecurityAccess.c - v1.1.6.11</t>
  </si>
  <si>
    <t>1.1.11.11</t>
  </si>
  <si>
    <t>Delete unused function DIA_runSessionChangeIndication</t>
  </si>
  <si>
    <t>DIA_SessionControl.c - v1.1.11.11</t>
  </si>
  <si>
    <t>Review of this version is covered by 1.1.12.13</t>
  </si>
  <si>
    <t>Delete unused external variable DIA_u8SessionChangeFlag</t>
  </si>
  <si>
    <t>Delete unused function DIA_SwapBigEndianWordIntoLittleEndian</t>
  </si>
  <si>
    <t>Delete unused function DIA_SessionControl_JumpToBootloader</t>
  </si>
  <si>
    <t>DIA.h - v1.1.12.14</t>
  </si>
  <si>
    <t>DIA_WriteDataByIdentifier.c - v1.3.11.26</t>
  </si>
  <si>
    <t>Review of this version is covered by 1.3.11.26</t>
  </si>
  <si>
    <t>The local function has been renamed according to the coding guideline.</t>
  </si>
  <si>
    <t>The memory section has been added for exported variables.</t>
  </si>
  <si>
    <t>The u8DataIndex has been incremented.</t>
  </si>
  <si>
    <t>The value for define  KS8_DIA_SIGN_CHANGE has been updated.</t>
  </si>
  <si>
    <t>The local function has been included in START/STOP_SEC_CODE section.</t>
  </si>
  <si>
    <t>The brief description for dia_ubIsAsciiCharAllowedAUDI has been updated.</t>
  </si>
  <si>
    <t xml:space="preserve">The function local variables have been renamed according to the coding guideline. </t>
  </si>
  <si>
    <t xml:space="preserve">The define B_TRUE value has been replace with KB_TRUE (boolean) value </t>
  </si>
  <si>
    <t>The tabs have been replaced with 3 spaces.</t>
  </si>
  <si>
    <t>The if condition has been removed.</t>
  </si>
  <si>
    <t>The function DIA_WriteDataByIdentifier_Init has been removed.</t>
  </si>
  <si>
    <t>The function DIA_SwapBigEndianWordIntoLittleEndian has been deleted.</t>
  </si>
  <si>
    <t>The function DIA_SessionControl_JumpToBootloader has been deleted.</t>
  </si>
  <si>
    <t>The external variable DIA_u8SessionChangeFlag has been deleted.</t>
  </si>
  <si>
    <t>The function will not be deleted because it will be implemented in the future.</t>
  </si>
  <si>
    <t xml:space="preserve">The condition in the DID has been removed. The returned value ramains the one from the RCM autotest. </t>
  </si>
  <si>
    <t>1.1.12.18</t>
  </si>
  <si>
    <t>Code review on all versions between 1.1.12.14 and 1.1.12.18 are covered by this version</t>
  </si>
  <si>
    <t>Assure that all defines are defined according with coding guidelines</t>
  </si>
  <si>
    <t>1.4.2.41</t>
  </si>
  <si>
    <t>Code review on all versions between 1.4.2.28 and 1.4.2.41 are covered by this version</t>
  </si>
  <si>
    <t xml:space="preserve">Verify if __Flash_AEE_TRACEABILITY_ADDR variable is correctly declared </t>
  </si>
  <si>
    <t>In runDidFD03 remove magic numbers</t>
  </si>
  <si>
    <t>Assure that the constant is first in all IF comparisons</t>
  </si>
  <si>
    <t>1.3.11.38</t>
  </si>
  <si>
    <t>Code review on all versions between 1.3.11.25 and 1.3.11.38 are covered by this version</t>
  </si>
  <si>
    <t>Add brief description to SEC_VAR_INIT_8 defined variables</t>
  </si>
  <si>
    <t>Remove DIA_u8ManageNVPBlockWritingStatus from NOT_OK case because is redundant.</t>
  </si>
  <si>
    <t>Remove sizeof from FDE1 DID and assure that DID is working properly</t>
  </si>
  <si>
    <t>Remove sizeof from FD03 and assure that all comparisons are made between the same data type (check for condition)</t>
  </si>
  <si>
    <t>Remove unused variables from FD03 DID</t>
  </si>
  <si>
    <t>1.1.6.13</t>
  </si>
  <si>
    <t>Code review on all versions between 1.1.6.11 and 1.1.6.13 are covered by this version</t>
  </si>
  <si>
    <t>1.1.11.12</t>
  </si>
  <si>
    <t>1.1.12.21</t>
  </si>
  <si>
    <t>Code review on all versions between 1.1.12.17 and 1.1.12.21 are covered by this version</t>
  </si>
  <si>
    <t>Code review on all versions between 1.10.2.21 and 1.10.2.28 are covered by this version</t>
  </si>
  <si>
    <t>1.10.2.28</t>
  </si>
  <si>
    <t>Assure that all variables perfom operations with the same data type (F794 Routine)</t>
  </si>
  <si>
    <t>DIA.h - v1.1.12.18</t>
  </si>
  <si>
    <t>DIA_ReadDataByIdentifier.c - v1.4.2.41</t>
  </si>
  <si>
    <t>DIA_WriteDataByIdentifier.c - v1.3.11.38</t>
  </si>
  <si>
    <t>DIA_SecurityAccess.c - v1.1.6.13</t>
  </si>
  <si>
    <t>DIA.c - v1.1.12.21</t>
  </si>
  <si>
    <t>DIA_RoutineControl.c - v1.10.2.28</t>
  </si>
  <si>
    <t>DIA_SessionControl.c - v1.1.11.12</t>
  </si>
  <si>
    <t>The defines have been renamed according to the coding guideline.</t>
  </si>
  <si>
    <t>The __Flash_AEE_TRACEABILITY_ADDR variable is not declared in a memory section because it is defined in the linker file.</t>
  </si>
  <si>
    <t>The magic numbers have been removed.</t>
  </si>
  <si>
    <t>The brief description for the SEC_VAR_INIT_8 has been added.</t>
  </si>
  <si>
    <t>The DIA_u8ManageNVPBlockWritingStatus has been removed.</t>
  </si>
  <si>
    <t>The sizeof function has been removed.</t>
  </si>
  <si>
    <t>The unused variable has been removed.</t>
  </si>
  <si>
    <t>The correct data type value has been added to the variables.</t>
  </si>
  <si>
    <t>1.1.12.19</t>
  </si>
  <si>
    <t>1.4.2.43</t>
  </si>
  <si>
    <t>Code review on 1.4.2.42 is covered by this version</t>
  </si>
  <si>
    <t>1.1.6.14</t>
  </si>
  <si>
    <t>1.1.12.22</t>
  </si>
  <si>
    <t>1.10.2.30</t>
  </si>
  <si>
    <t>Code review on 1.10.2.29 is covered by this version</t>
  </si>
  <si>
    <t>1.1.11.13</t>
  </si>
  <si>
    <t>1.3.11.43</t>
  </si>
  <si>
    <t>Code review between 1.3.11.38 and 1.3.11.43 is covered by this version</t>
  </si>
  <si>
    <t>DIA.h - v1.1.12.19</t>
  </si>
  <si>
    <t>DIA_ReadDataByIdentifier.c - v1.4.2.43</t>
  </si>
  <si>
    <t>DIA_RoutineControl.c - v1.10.2.30</t>
  </si>
  <si>
    <t>DIA_SecurityAccess.c - v1.1.6.14</t>
  </si>
  <si>
    <t>DIA_SessionControl.c - v1.1.11.13</t>
  </si>
  <si>
    <t>DIA_WriteDataByIdentifier.c - v1.3.11.43</t>
  </si>
  <si>
    <t>DIA.c - v1.1.12.22</t>
  </si>
  <si>
    <t>1.1.12.20</t>
  </si>
  <si>
    <t>DIA.h - v1.1.12.20</t>
  </si>
  <si>
    <t>1.4.2.46</t>
  </si>
  <si>
    <t>No findings between 1.4.2.43 and this version</t>
  </si>
  <si>
    <t>DIA_ReadDataByIdentifier.c - v1.4.2.46</t>
  </si>
  <si>
    <t>1.10.2.32</t>
  </si>
  <si>
    <t>No findings between 1.10.2.30 and this version</t>
  </si>
  <si>
    <t>DIA_RoutineControl.c - v1.10.2.32</t>
  </si>
  <si>
    <t>1.1.6.15</t>
  </si>
  <si>
    <t>DIA_SecurityAccess.c - v1.1.6.15</t>
  </si>
  <si>
    <t>1.1.11.14</t>
  </si>
  <si>
    <t>DIA_SessionControl.c - v1.1.11.14</t>
  </si>
  <si>
    <t>1.3.11.47</t>
  </si>
  <si>
    <t>No findings between 1.3.11.43 and this version</t>
  </si>
  <si>
    <t>DIA_WriteDataByIdentifier.c - v1.3.11.47</t>
  </si>
  <si>
    <t>1.1.12.24</t>
  </si>
  <si>
    <t>No findings between 1.1.12.22 and this version</t>
  </si>
  <si>
    <t>DIA.c - v1.1.12.24</t>
  </si>
  <si>
    <t>1.4.2.47</t>
  </si>
  <si>
    <t>1.10.2.33</t>
  </si>
  <si>
    <t>1.1.6.16</t>
  </si>
  <si>
    <t>1.1.11.15</t>
  </si>
  <si>
    <t>DIA_ReadDataByIdentifier.c - v1.4.2.47</t>
  </si>
  <si>
    <t>DIA_RoutineControl.c - v1.10.2.33</t>
  </si>
  <si>
    <t>DIA_SecurityAccess.c - v1.1.6.16</t>
  </si>
  <si>
    <t>DIA_SessionControl.c - v1.1.11.15</t>
  </si>
  <si>
    <t>1.3.1.1.1.24</t>
  </si>
  <si>
    <t>eCS_SW_Arhitecture.eapx</t>
  </si>
  <si>
    <t>Lucian Ardeleanu</t>
  </si>
  <si>
    <t>Mihai Motoc</t>
  </si>
  <si>
    <t>eCS_SW_Arhitecture.eapx - v1.3.1.1.1.24</t>
  </si>
  <si>
    <t>Ecs_MCC.DIA.tmb 1.4</t>
  </si>
  <si>
    <t>Alexandru Nastase</t>
  </si>
  <si>
    <t>eCS_MCC.DIA.tmb - v1.4</t>
  </si>
  <si>
    <t>eCS_SW_Arhitecture.eapx - v1.3.1.1.1.26</t>
  </si>
  <si>
    <t>1.3.1.1.1.25</t>
  </si>
  <si>
    <t>1.3.1.1.1.26</t>
  </si>
  <si>
    <t>eCS_SW_Arhitecture.eapx - v1.3.1.1.1.25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</si>
</sst>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yy;@"/>
  </numFmts>
  <fonts count="119">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0"/>
      <name val="Arial"/>
      <family val="2"/>
    </font>
    <font>
      <sz val="8"/>
      <name val="Arial"/>
      <family val="2"/>
    </font>
    <font>
      <b/>
      <sz val="12"/>
      <name val="Arial"/>
      <family val="2"/>
    </font>
    <font>
      <sz val="10"/>
      <color indexed="12"/>
      <name val="Arial"/>
      <family val="2"/>
    </font>
    <font>
      <i/>
      <sz val="8"/>
      <name val="Arial"/>
      <family val="2"/>
    </font>
    <font>
      <sz val="10"/>
      <name val="Comic Sans MS"/>
      <family val="4"/>
    </font>
    <font>
      <sz val="12"/>
      <name val="Comic Sans MS"/>
      <family val="4"/>
    </font>
    <font>
      <b/>
      <i/>
      <sz val="14"/>
      <name val="Arial"/>
      <family val="2"/>
    </font>
    <font>
      <b/>
      <sz val="11"/>
      <name val="Arial"/>
      <family val="2"/>
    </font>
    <font>
      <b/>
      <sz val="14"/>
      <color indexed="81"/>
      <name val="Tahoma"/>
      <family val="2"/>
    </font>
    <font>
      <b/>
      <sz val="12"/>
      <color indexed="81"/>
      <name val="Tahoma"/>
      <family val="2"/>
    </font>
    <font>
      <sz val="12"/>
      <color indexed="81"/>
      <name val="Tahoma"/>
      <family val="2"/>
    </font>
    <font>
      <sz val="8"/>
      <color indexed="81"/>
      <name val="Tahoma"/>
      <family val="2"/>
    </font>
    <font>
      <b/>
      <sz val="12"/>
      <color indexed="10"/>
      <name val="Tahoma"/>
      <family val="2"/>
    </font>
    <font>
      <b/>
      <sz val="14"/>
      <color indexed="10"/>
      <name val="Tahoma"/>
      <family val="2"/>
    </font>
    <font>
      <b/>
      <sz val="12"/>
      <color indexed="56"/>
      <name val="Tahoma"/>
      <family val="2"/>
    </font>
    <font>
      <b/>
      <sz val="14"/>
      <color indexed="18"/>
      <name val="Tahoma"/>
      <family val="2"/>
    </font>
    <font>
      <b/>
      <sz val="10"/>
      <color indexed="9"/>
      <name val="Arial"/>
      <family val="2"/>
    </font>
    <font>
      <sz val="9"/>
      <color indexed="81"/>
      <name val="Tahoma"/>
      <family val="2"/>
    </font>
    <font>
      <b/>
      <sz val="9"/>
      <color indexed="81"/>
      <name val="Tahoma"/>
      <family val="2"/>
    </font>
    <font>
      <b/>
      <sz val="14"/>
      <name val="Arial"/>
      <family val="2"/>
    </font>
    <font>
      <sz val="10"/>
      <color indexed="17"/>
      <name val="Arial"/>
      <family val="2"/>
    </font>
    <font>
      <sz val="12"/>
      <name val="Arial"/>
      <family val="2"/>
    </font>
    <font>
      <sz val="10"/>
      <name val="Arial"/>
      <family val="2"/>
      <charset val="238"/>
    </font>
    <font>
      <b/>
      <sz val="16"/>
      <color indexed="81"/>
      <name val="Tahoma"/>
      <family val="2"/>
    </font>
    <font>
      <b/>
      <sz val="16"/>
      <color indexed="10"/>
      <name val="Tahoma"/>
      <family val="2"/>
    </font>
    <font>
      <i/>
      <sz val="10"/>
      <name val="Arial"/>
      <family val="2"/>
    </font>
    <font>
      <sz val="11"/>
      <color theme="1"/>
      <name val="Calibri"/>
      <family val="2"/>
      <scheme val="minor"/>
    </font>
    <font>
      <b/>
      <sz val="11"/>
      <color rgb="FFFA7D00"/>
      <name val="Calibri"/>
      <family val="2"/>
      <scheme val="minor"/>
    </font>
    <font>
      <u/>
      <sz val="10"/>
      <color theme="10"/>
      <name val="Arial"/>
      <family val="2"/>
    </font>
    <font>
      <b/>
      <sz val="11"/>
      <color rgb="FF3F3F3F"/>
      <name val="Calibri"/>
      <family val="2"/>
      <scheme val="minor"/>
    </font>
    <font>
      <sz val="10"/>
      <color theme="0"/>
      <name val="Arial"/>
      <family val="2"/>
    </font>
    <font>
      <sz val="11"/>
      <color rgb="FF3F3F3F"/>
      <name val="Calibri"/>
      <family val="2"/>
      <scheme val="minor"/>
    </font>
    <font>
      <i/>
      <sz val="8"/>
      <color rgb="FF000080"/>
      <name val="Arial"/>
      <family val="2"/>
    </font>
    <font>
      <b/>
      <i/>
      <sz val="10"/>
      <color rgb="FF000080"/>
      <name val="Arial"/>
      <family val="2"/>
    </font>
    <font>
      <b/>
      <i/>
      <sz val="10"/>
      <name val="Arial"/>
      <family val="2"/>
    </font>
    <font>
      <b/>
      <sz val="8"/>
      <color theme="0"/>
      <name val="Arial"/>
      <family val="2"/>
    </font>
    <font>
      <sz val="10"/>
      <color rgb="FF000080"/>
      <name val="Arial"/>
      <family val="2"/>
    </font>
    <font>
      <sz val="8"/>
      <color rgb="FF7030A0"/>
      <name val="Arial"/>
      <family val="2"/>
    </font>
    <font>
      <b/>
      <sz val="8"/>
      <name val="Arial"/>
      <family val="2"/>
    </font>
    <font>
      <sz val="10"/>
      <color rgb="FFC00000"/>
      <name val="Arial"/>
      <family val="2"/>
    </font>
    <font>
      <b/>
      <sz val="10"/>
      <color rgb="FFC00000"/>
      <name val="Arial"/>
      <family val="2"/>
    </font>
    <font>
      <b/>
      <sz val="8"/>
      <color theme="5"/>
      <name val="Arial"/>
      <family val="2"/>
    </font>
    <font>
      <sz val="10"/>
      <color rgb="FF7030A0"/>
      <name val="Arial"/>
      <family val="2"/>
    </font>
    <font>
      <sz val="8"/>
      <color theme="5"/>
      <name val="Arial"/>
      <family val="2"/>
    </font>
    <font>
      <b/>
      <i/>
      <sz val="20"/>
      <name val="Arial"/>
      <family val="2"/>
    </font>
    <font>
      <i/>
      <sz val="8"/>
      <color rgb="FF0070C0"/>
      <name val="Arial"/>
      <family val="2"/>
    </font>
    <font>
      <b/>
      <sz val="20"/>
      <color rgb="FF000080"/>
      <name val="Arial"/>
      <family val="2"/>
    </font>
    <font>
      <b/>
      <i/>
      <sz val="16"/>
      <name val="Arial"/>
      <family val="2"/>
    </font>
    <font>
      <i/>
      <sz val="8"/>
      <name val="Times New Roman"/>
      <family val="1"/>
    </font>
    <font>
      <i/>
      <sz val="14"/>
      <name val="Arial"/>
      <family val="2"/>
    </font>
    <font>
      <b/>
      <sz val="10"/>
      <color theme="0"/>
      <name val="Arial"/>
      <family val="2"/>
    </font>
    <font>
      <sz val="9"/>
      <name val="宋体"/>
      <family val="3"/>
      <charset val="134"/>
    </font>
    <font>
      <sz val="10"/>
      <color rgb="FF00B050"/>
      <name val="Arial"/>
      <family val="2"/>
    </font>
    <font>
      <b/>
      <sz val="10"/>
      <color rgb="FF00B050"/>
      <name val="Arial"/>
      <family val="2"/>
    </font>
    <font>
      <sz val="11"/>
      <color rgb="FF3F3F76"/>
      <name val="Calibri"/>
      <family val="2"/>
      <scheme val="minor"/>
    </font>
    <font>
      <sz val="11"/>
      <color theme="0"/>
      <name val="Calibri"/>
      <family val="2"/>
      <scheme val="minor"/>
    </font>
    <font>
      <b/>
      <sz val="12"/>
      <color indexed="63"/>
      <name val="Arial"/>
      <family val="2"/>
    </font>
    <font>
      <b/>
      <sz val="16"/>
      <color theme="0"/>
      <name val="Calibri"/>
      <family val="2"/>
      <scheme val="minor"/>
    </font>
    <font>
      <b/>
      <sz val="14"/>
      <color theme="1"/>
      <name val="Calibri"/>
      <family val="2"/>
      <scheme val="minor"/>
    </font>
    <font>
      <sz val="14"/>
      <color theme="1"/>
      <name val="Calibri"/>
      <family val="2"/>
      <scheme val="minor"/>
    </font>
    <font>
      <sz val="16"/>
      <color theme="0"/>
      <name val="Calibri"/>
      <family val="2"/>
      <scheme val="minor"/>
    </font>
    <font>
      <b/>
      <sz val="9"/>
      <color indexed="36"/>
      <name val="Tahoma"/>
      <family val="2"/>
    </font>
    <font>
      <b/>
      <sz val="18"/>
      <color theme="0"/>
      <name val="Arial"/>
      <family val="2"/>
    </font>
    <font>
      <b/>
      <sz val="11"/>
      <color theme="0"/>
      <name val="Arial"/>
      <family val="2"/>
    </font>
    <font>
      <b/>
      <sz val="9"/>
      <color theme="0"/>
      <name val="Arial"/>
      <family val="2"/>
    </font>
    <font>
      <sz val="8"/>
      <color theme="0" tint="-0.499984740745262"/>
      <name val="Arial"/>
      <family val="2"/>
    </font>
    <font>
      <b/>
      <sz val="14"/>
      <color theme="0"/>
      <name val="Arial"/>
      <family val="2"/>
    </font>
    <font>
      <b/>
      <sz val="12"/>
      <name val="Comic Sans MS"/>
      <family val="4"/>
    </font>
    <font>
      <b/>
      <sz val="10"/>
      <name val="Comic Sans MS"/>
      <family val="4"/>
    </font>
    <font>
      <sz val="10"/>
      <color indexed="18"/>
      <name val="Comic Sans MS"/>
      <family val="4"/>
    </font>
    <font>
      <b/>
      <sz val="28"/>
      <color rgb="FFFF0000"/>
      <name val="Webdings"/>
      <family val="1"/>
      <charset val="2"/>
    </font>
    <font>
      <b/>
      <sz val="12"/>
      <color rgb="FFFF0000"/>
      <name val="Times New Roman"/>
      <family val="1"/>
    </font>
    <font>
      <sz val="12"/>
      <color rgb="FFFF0000"/>
      <name val="Times New Roman"/>
      <family val="1"/>
    </font>
    <font>
      <sz val="18"/>
      <color theme="3"/>
      <name val="Cambria"/>
      <family val="2"/>
      <scheme val="major"/>
    </font>
    <font>
      <b/>
      <sz val="12"/>
      <color rgb="FFFA7D00"/>
      <name val="Calibri"/>
      <family val="2"/>
      <scheme val="minor"/>
    </font>
    <font>
      <b/>
      <sz val="5"/>
      <color theme="0"/>
      <name val="Arial"/>
      <family val="2"/>
    </font>
    <font>
      <sz val="8"/>
      <name val="Arial"/>
      <family val="2"/>
    </font>
    <font>
      <sz val="10"/>
      <color rgb="FF000000"/>
      <name val="Arial"/>
      <family val="2"/>
    </font>
    <font>
      <i/>
      <sz val="10"/>
      <color rgb="FF000000"/>
      <name val="Arial"/>
      <family val="2"/>
    </font>
    <font>
      <b/>
      <sz val="8"/>
      <color indexed="81"/>
      <name val="Tahoma"/>
      <family val="2"/>
      <charset val="238"/>
    </font>
    <font>
      <sz val="8"/>
      <color indexed="81"/>
      <name val="Tahoma"/>
      <family val="2"/>
      <charset val="238"/>
    </font>
    <font>
      <sz val="11"/>
      <color rgb="FF000000"/>
      <name val="Calibri"/>
      <family val="2"/>
    </font>
  </fonts>
  <fills count="37">
    <fill>
      <patternFill patternType="none"/>
    </fill>
    <fill>
      <patternFill patternType="gray125"/>
    </fill>
    <fill>
      <patternFill patternType="solid">
        <fgColor indexed="9"/>
        <bgColor indexed="64"/>
      </patternFill>
    </fill>
    <fill>
      <patternFill patternType="solid">
        <fgColor indexed="41"/>
        <bgColor indexed="64"/>
      </patternFill>
    </fill>
    <fill>
      <patternFill patternType="solid">
        <fgColor indexed="42"/>
        <bgColor indexed="64"/>
      </patternFill>
    </fill>
    <fill>
      <patternFill patternType="solid">
        <fgColor indexed="65"/>
        <bgColor indexed="64"/>
      </patternFill>
    </fill>
    <fill>
      <patternFill patternType="solid">
        <fgColor rgb="FFF2F2F2"/>
      </patternFill>
    </fill>
    <fill>
      <patternFill patternType="solid">
        <fgColor theme="1"/>
        <bgColor indexed="64"/>
      </patternFill>
    </fill>
    <fill>
      <patternFill patternType="solid">
        <fgColor theme="0"/>
        <bgColor indexed="64"/>
      </patternFill>
    </fill>
    <fill>
      <patternFill patternType="solid">
        <fgColor theme="6" tint="0.79998168889431442"/>
        <bgColor indexed="64"/>
      </patternFill>
    </fill>
    <fill>
      <patternFill patternType="solid">
        <fgColor theme="6" tint="0.39997558519241921"/>
        <bgColor indexed="64"/>
      </patternFill>
    </fill>
    <fill>
      <patternFill patternType="solid">
        <fgColor theme="9" tint="0.59999389629810485"/>
        <bgColor indexed="64"/>
      </patternFill>
    </fill>
    <fill>
      <patternFill patternType="solid">
        <fgColor theme="8" tint="0.39997558519241921"/>
        <bgColor indexed="64"/>
      </patternFill>
    </fill>
    <fill>
      <patternFill patternType="solid">
        <fgColor theme="0" tint="-0.249977111117893"/>
        <bgColor indexed="64"/>
      </patternFill>
    </fill>
    <fill>
      <patternFill patternType="solid">
        <fgColor theme="6" tint="0.59999389629810485"/>
        <bgColor indexed="64"/>
      </patternFill>
    </fill>
    <fill>
      <patternFill patternType="solid">
        <fgColor theme="9" tint="0.39997558519241921"/>
        <bgColor indexed="64"/>
      </patternFill>
    </fill>
    <fill>
      <patternFill patternType="solid">
        <fgColor theme="0" tint="-0.499984740745262"/>
        <bgColor indexed="64"/>
      </patternFill>
    </fill>
    <fill>
      <patternFill patternType="solid">
        <fgColor indexed="65"/>
        <bgColor indexed="10"/>
      </patternFill>
    </fill>
    <fill>
      <patternFill patternType="solid">
        <fgColor indexed="18"/>
        <bgColor indexed="64"/>
      </patternFill>
    </fill>
    <fill>
      <patternFill patternType="solid">
        <fgColor theme="9" tint="0.79998168889431442"/>
        <bgColor indexed="64"/>
      </patternFill>
    </fill>
    <fill>
      <patternFill patternType="solid">
        <fgColor rgb="FF000080"/>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00B050"/>
        <bgColor indexed="64"/>
      </patternFill>
    </fill>
    <fill>
      <patternFill patternType="solid">
        <fgColor rgb="FF7030A0"/>
        <bgColor indexed="64"/>
      </patternFill>
    </fill>
    <fill>
      <patternFill patternType="solid">
        <fgColor rgb="FFFFCC99"/>
      </patternFill>
    </fill>
    <fill>
      <patternFill patternType="solid">
        <fgColor theme="8"/>
      </patternFill>
    </fill>
    <fill>
      <patternFill patternType="solid">
        <fgColor theme="8" tint="0.59999389629810485"/>
        <bgColor indexed="65"/>
      </patternFill>
    </fill>
    <fill>
      <patternFill patternType="solid">
        <fgColor theme="8"/>
        <bgColor indexed="64"/>
      </patternFill>
    </fill>
    <fill>
      <patternFill patternType="solid">
        <fgColor theme="8" tint="0.59999389629810485"/>
        <bgColor indexed="64"/>
      </patternFill>
    </fill>
    <fill>
      <patternFill patternType="solid">
        <fgColor theme="7" tint="0.39997558519241921"/>
        <bgColor indexed="64"/>
      </patternFill>
    </fill>
    <fill>
      <patternFill patternType="solid">
        <fgColor rgb="FFFFFFCC"/>
        <bgColor indexed="64"/>
      </patternFill>
    </fill>
    <fill>
      <patternFill patternType="solid">
        <fgColor theme="6" tint="-0.249977111117893"/>
        <bgColor indexed="64"/>
      </patternFill>
    </fill>
    <fill>
      <patternFill patternType="solid">
        <fgColor theme="7"/>
        <bgColor indexed="64"/>
      </patternFill>
    </fill>
    <fill>
      <patternFill patternType="solid">
        <fgColor theme="9"/>
        <bgColor indexed="64"/>
      </patternFill>
    </fill>
    <fill>
      <patternFill patternType="solid">
        <fgColor rgb="FFC0C0C0"/>
        <bgColor rgb="FF000000"/>
      </patternFill>
    </fill>
    <fill>
      <patternFill patternType="solid">
        <fgColor rgb="FF00FF00"/>
        <bgColor rgb="FF000000"/>
      </patternFill>
    </fill>
  </fills>
  <borders count="21">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rgb="FF000000"/>
      </left>
      <right style="thin">
        <color rgb="FF000000"/>
      </right>
      <top style="thin">
        <color rgb="FF000000"/>
      </top>
      <bottom style="thin">
        <color rgb="FF000000"/>
      </bottom>
      <diagonal/>
    </border>
    <border>
      <left style="thin">
        <color rgb="FF3F3F3F"/>
      </left>
      <right style="thin">
        <color rgb="FF3F3F3F"/>
      </right>
      <top style="thin">
        <color rgb="FF3F3F3F"/>
      </top>
      <bottom/>
      <diagonal/>
    </border>
    <border>
      <left/>
      <right/>
      <top/>
      <bottom style="thin">
        <color rgb="FF000080"/>
      </bottom>
      <diagonal/>
    </border>
    <border>
      <left/>
      <right/>
      <top style="thin">
        <color indexed="64"/>
      </top>
      <bottom style="thin">
        <color indexed="64"/>
      </bottom>
      <diagonal/>
    </border>
    <border>
      <left style="thin">
        <color indexed="64"/>
      </left>
      <right style="thin">
        <color indexed="64"/>
      </right>
      <top/>
      <bottom style="thin">
        <color indexed="64"/>
      </bottom>
      <diagonal/>
    </border>
  </borders>
  <cellStyleXfs count="37">
    <xf numFmtId="0" fontId="0" fillId="0" borderId="0"/>
    <xf numFmtId="0" fontId="64" fillId="6" borderId="14" applyNumberFormat="0" applyAlignment="0" applyProtection="0"/>
    <xf numFmtId="0" fontId="65" fillId="0" borderId="0" applyNumberFormat="0" applyFill="0" applyBorder="0" applyAlignment="0" applyProtection="0"/>
    <xf numFmtId="0" fontId="35" fillId="0" borderId="0"/>
    <xf numFmtId="0" fontId="59" fillId="0" borderId="0"/>
    <xf numFmtId="0" fontId="63" fillId="0" borderId="0"/>
    <xf numFmtId="0" fontId="35" fillId="0" borderId="0"/>
    <xf numFmtId="0" fontId="41" fillId="0" borderId="0"/>
    <xf numFmtId="0" fontId="66" fillId="6" borderId="15" applyNumberFormat="0" applyAlignment="0" applyProtection="0"/>
    <xf numFmtId="0" fontId="34" fillId="0" borderId="0"/>
    <xf numFmtId="0" fontId="33" fillId="0" borderId="0"/>
    <xf numFmtId="0" fontId="32" fillId="0" borderId="0"/>
    <xf numFmtId="0" fontId="91" fillId="25" borderId="14" applyNumberFormat="0" applyAlignment="0" applyProtection="0"/>
    <xf numFmtId="0" fontId="92" fillId="26" borderId="0" applyNumberFormat="0" applyBorder="0" applyAlignment="0" applyProtection="0"/>
    <xf numFmtId="0" fontId="31" fillId="27" borderId="0" applyNumberFormat="0" applyBorder="0" applyAlignment="0" applyProtection="0"/>
    <xf numFmtId="0" fontId="35" fillId="0" borderId="0"/>
    <xf numFmtId="0" fontId="30" fillId="27" borderId="0" applyNumberFormat="0" applyBorder="0" applyAlignment="0" applyProtection="0"/>
    <xf numFmtId="0" fontId="29" fillId="27" borderId="0" applyNumberFormat="0" applyBorder="0" applyAlignment="0" applyProtection="0"/>
    <xf numFmtId="0" fontId="28" fillId="27" borderId="0" applyNumberFormat="0" applyBorder="0" applyAlignment="0" applyProtection="0"/>
    <xf numFmtId="0" fontId="27" fillId="27" borderId="0" applyNumberFormat="0" applyBorder="0" applyAlignment="0" applyProtection="0"/>
    <xf numFmtId="0" fontId="26" fillId="27" borderId="0" applyNumberFormat="0" applyBorder="0" applyAlignment="0" applyProtection="0"/>
    <xf numFmtId="0" fontId="25" fillId="27" borderId="0" applyNumberFormat="0" applyBorder="0" applyAlignment="0" applyProtection="0"/>
    <xf numFmtId="0" fontId="24" fillId="27" borderId="0" applyNumberFormat="0" applyBorder="0" applyAlignment="0" applyProtection="0"/>
    <xf numFmtId="0" fontId="23" fillId="27" borderId="0" applyNumberFormat="0" applyBorder="0" applyAlignment="0" applyProtection="0"/>
    <xf numFmtId="0" fontId="22" fillId="27" borderId="0" applyNumberFormat="0" applyBorder="0" applyAlignment="0" applyProtection="0"/>
    <xf numFmtId="0" fontId="21" fillId="27" borderId="0" applyNumberFormat="0" applyBorder="0" applyAlignment="0" applyProtection="0"/>
    <xf numFmtId="0" fontId="20" fillId="27" borderId="0" applyNumberFormat="0" applyBorder="0" applyAlignment="0" applyProtection="0"/>
    <xf numFmtId="0" fontId="19" fillId="0" borderId="0"/>
    <xf numFmtId="0" fontId="18" fillId="27" borderId="0" applyNumberFormat="0" applyBorder="0" applyAlignment="0" applyProtection="0"/>
    <xf numFmtId="0" fontId="17" fillId="27" borderId="0" applyNumberFormat="0" applyBorder="0" applyAlignment="0" applyProtection="0"/>
    <xf numFmtId="0" fontId="110" fillId="0" borderId="0" applyNumberFormat="0" applyFill="0" applyBorder="0" applyAlignment="0" applyProtection="0"/>
    <xf numFmtId="0" fontId="16" fillId="27" borderId="0" applyNumberFormat="0" applyBorder="0" applyAlignment="0" applyProtection="0"/>
    <xf numFmtId="0" fontId="15" fillId="27" borderId="0" applyNumberFormat="0" applyBorder="0" applyAlignment="0" applyProtection="0"/>
    <xf numFmtId="0" fontId="14" fillId="27" borderId="0" applyNumberFormat="0" applyBorder="0" applyAlignment="0" applyProtection="0"/>
    <xf numFmtId="0" fontId="13" fillId="27" borderId="0" applyNumberFormat="0" applyBorder="0" applyAlignment="0" applyProtection="0"/>
    <xf numFmtId="0" fontId="11" fillId="27" borderId="0" applyNumberFormat="0" applyBorder="0" applyAlignment="0" applyProtection="0"/>
    <xf numFmtId="0" fontId="10" fillId="27" borderId="0" applyNumberFormat="0" applyBorder="0" applyAlignment="0" applyProtection="0"/>
  </cellStyleXfs>
  <cellXfs count="355">
    <xf numFmtId="0" fontId="0" fillId="0" borderId="0" xfId="0"/>
    <xf numFmtId="0" fontId="0" fillId="2" borderId="0" xfId="0" applyFill="1"/>
    <xf numFmtId="0" fontId="0" fillId="2" borderId="2" xfId="0" applyFill="1" applyBorder="1"/>
    <xf numFmtId="0" fontId="0" fillId="2" borderId="3" xfId="0" applyFill="1" applyBorder="1"/>
    <xf numFmtId="0" fontId="0" fillId="2" borderId="4" xfId="0" applyFill="1" applyBorder="1"/>
    <xf numFmtId="0" fontId="0" fillId="2" borderId="5" xfId="0" applyFill="1" applyBorder="1"/>
    <xf numFmtId="0" fontId="0" fillId="2" borderId="6" xfId="0" applyFill="1" applyBorder="1"/>
    <xf numFmtId="0" fontId="0" fillId="2" borderId="7" xfId="0" applyFill="1" applyBorder="1"/>
    <xf numFmtId="0" fontId="0" fillId="2" borderId="8" xfId="0" applyFill="1" applyBorder="1"/>
    <xf numFmtId="0" fontId="0" fillId="2" borderId="9" xfId="0" applyFill="1" applyBorder="1"/>
    <xf numFmtId="0" fontId="0" fillId="2" borderId="1" xfId="0" applyFill="1" applyBorder="1"/>
    <xf numFmtId="0" fontId="0" fillId="2" borderId="10" xfId="0" applyFill="1" applyBorder="1"/>
    <xf numFmtId="0" fontId="0" fillId="2" borderId="11" xfId="0" applyFill="1" applyBorder="1"/>
    <xf numFmtId="0" fontId="36" fillId="3" borderId="12" xfId="0" applyFont="1" applyFill="1" applyBorder="1" applyAlignment="1">
      <alignment horizontal="center" wrapText="1"/>
    </xf>
    <xf numFmtId="0" fontId="0" fillId="2" borderId="0" xfId="0" applyFill="1" applyAlignment="1">
      <alignment horizontal="center"/>
    </xf>
    <xf numFmtId="0" fontId="36" fillId="2" borderId="0" xfId="0" applyFont="1" applyFill="1" applyAlignment="1">
      <alignment horizontal="center"/>
    </xf>
    <xf numFmtId="0" fontId="0" fillId="0" borderId="1" xfId="0" applyBorder="1" applyAlignment="1">
      <alignment vertical="center" wrapText="1"/>
    </xf>
    <xf numFmtId="0" fontId="0" fillId="3" borderId="1" xfId="0" applyFill="1" applyBorder="1" applyAlignment="1">
      <alignment horizontal="center" vertical="center" wrapText="1"/>
    </xf>
    <xf numFmtId="0" fontId="0" fillId="4" borderId="1" xfId="0" applyFill="1" applyBorder="1" applyAlignment="1">
      <alignment horizontal="center" vertical="center" wrapText="1"/>
    </xf>
    <xf numFmtId="0" fontId="0" fillId="0" borderId="1" xfId="0" applyBorder="1" applyAlignment="1">
      <alignment horizontal="center" vertical="center" wrapText="1"/>
    </xf>
    <xf numFmtId="0" fontId="0" fillId="0" borderId="1" xfId="0" applyBorder="1" applyAlignment="1">
      <alignment horizontal="center" vertical="center"/>
    </xf>
    <xf numFmtId="14" fontId="0" fillId="0" borderId="1" xfId="0" applyNumberFormat="1" applyBorder="1" applyAlignment="1">
      <alignment horizontal="center" vertical="center" wrapText="1"/>
    </xf>
    <xf numFmtId="0" fontId="0" fillId="0" borderId="0" xfId="0" applyAlignment="1">
      <alignment horizontal="center" vertical="center"/>
    </xf>
    <xf numFmtId="0" fontId="0" fillId="0" borderId="0" xfId="0" applyAlignment="1">
      <alignment vertical="center"/>
    </xf>
    <xf numFmtId="0" fontId="0" fillId="2" borderId="0" xfId="0" applyFill="1" applyAlignment="1">
      <alignment wrapText="1"/>
    </xf>
    <xf numFmtId="0" fontId="35" fillId="0" borderId="1" xfId="0" applyFont="1" applyBorder="1" applyAlignment="1">
      <alignment vertical="center" wrapText="1"/>
    </xf>
    <xf numFmtId="0" fontId="35" fillId="3" borderId="1" xfId="0" applyFont="1" applyFill="1" applyBorder="1" applyAlignment="1">
      <alignment horizontal="center" vertical="center" wrapText="1"/>
    </xf>
    <xf numFmtId="0" fontId="35" fillId="2" borderId="0" xfId="0" applyFont="1" applyFill="1" applyAlignment="1">
      <alignment wrapText="1"/>
    </xf>
    <xf numFmtId="0" fontId="67" fillId="7" borderId="0" xfId="0" applyFont="1" applyFill="1" applyAlignment="1">
      <alignment horizontal="center" vertical="center" wrapText="1"/>
    </xf>
    <xf numFmtId="0" fontId="67" fillId="0" borderId="0" xfId="0" applyFont="1" applyAlignment="1">
      <alignment horizontal="center" vertical="center" wrapText="1"/>
    </xf>
    <xf numFmtId="0" fontId="67" fillId="0" borderId="0" xfId="0" applyFont="1" applyAlignment="1">
      <alignment vertical="center"/>
    </xf>
    <xf numFmtId="0" fontId="67" fillId="0" borderId="0" xfId="0" applyFont="1" applyAlignment="1">
      <alignment vertical="center" wrapText="1"/>
    </xf>
    <xf numFmtId="0" fontId="56" fillId="2" borderId="2" xfId="0" applyFont="1" applyFill="1" applyBorder="1"/>
    <xf numFmtId="0" fontId="35" fillId="2" borderId="0" xfId="0" applyFont="1" applyFill="1" applyAlignment="1">
      <alignment horizontal="center"/>
    </xf>
    <xf numFmtId="0" fontId="0" fillId="8" borderId="0" xfId="0" applyFill="1" applyAlignment="1">
      <alignment horizontal="center"/>
    </xf>
    <xf numFmtId="0" fontId="35" fillId="2" borderId="1" xfId="0" applyFont="1" applyFill="1" applyBorder="1" applyAlignment="1">
      <alignment horizontal="center" wrapText="1"/>
    </xf>
    <xf numFmtId="0" fontId="35" fillId="2" borderId="1" xfId="0" applyFont="1" applyFill="1" applyBorder="1" applyAlignment="1">
      <alignment horizontal="center" vertical="center" wrapText="1"/>
    </xf>
    <xf numFmtId="0" fontId="35" fillId="0" borderId="1" xfId="0" applyFont="1" applyBorder="1" applyAlignment="1">
      <alignment horizontal="center" vertical="center" wrapText="1"/>
    </xf>
    <xf numFmtId="0" fontId="0" fillId="2" borderId="5" xfId="0" applyFill="1" applyBorder="1" applyAlignment="1">
      <alignment wrapText="1"/>
    </xf>
    <xf numFmtId="0" fontId="35" fillId="2" borderId="0" xfId="0" applyFont="1" applyFill="1"/>
    <xf numFmtId="0" fontId="36" fillId="9" borderId="1" xfId="0" applyFont="1" applyFill="1" applyBorder="1" applyAlignment="1">
      <alignment horizontal="center" vertical="center" wrapText="1"/>
    </xf>
    <xf numFmtId="0" fontId="35" fillId="2" borderId="10" xfId="0" applyFont="1" applyFill="1" applyBorder="1"/>
    <xf numFmtId="0" fontId="67" fillId="7" borderId="0" xfId="0" applyFont="1" applyFill="1" applyAlignment="1">
      <alignment horizontal="center" vertical="center"/>
    </xf>
    <xf numFmtId="0" fontId="0" fillId="0" borderId="0" xfId="0" applyAlignment="1">
      <alignment horizontal="center" wrapText="1"/>
    </xf>
    <xf numFmtId="0" fontId="0" fillId="0" borderId="0" xfId="0" applyAlignment="1">
      <alignment wrapText="1"/>
    </xf>
    <xf numFmtId="14" fontId="0" fillId="0" borderId="0" xfId="0" applyNumberFormat="1" applyAlignment="1">
      <alignment horizontal="center" wrapText="1"/>
    </xf>
    <xf numFmtId="0" fontId="0" fillId="0" borderId="0" xfId="0" applyAlignment="1">
      <alignment horizontal="center"/>
    </xf>
    <xf numFmtId="0" fontId="35" fillId="8" borderId="0" xfId="0" applyFont="1" applyFill="1" applyAlignment="1">
      <alignment horizontal="center" vertical="center"/>
    </xf>
    <xf numFmtId="0" fontId="35" fillId="8" borderId="1" xfId="0" applyFont="1" applyFill="1" applyBorder="1" applyAlignment="1">
      <alignment horizontal="center" vertical="center"/>
    </xf>
    <xf numFmtId="0" fontId="35" fillId="13" borderId="1" xfId="0" applyFont="1" applyFill="1" applyBorder="1" applyAlignment="1">
      <alignment horizontal="center" vertical="center" wrapText="1"/>
    </xf>
    <xf numFmtId="0" fontId="0" fillId="8" borderId="1" xfId="0" applyFill="1" applyBorder="1" applyAlignment="1">
      <alignment horizontal="center" vertical="center" wrapText="1"/>
    </xf>
    <xf numFmtId="0" fontId="0" fillId="8" borderId="0" xfId="0" applyFill="1" applyAlignment="1">
      <alignment horizontal="center" vertical="center" wrapText="1"/>
    </xf>
    <xf numFmtId="0" fontId="0" fillId="8" borderId="0" xfId="0" applyFill="1" applyAlignment="1">
      <alignment horizontal="center" vertical="center"/>
    </xf>
    <xf numFmtId="0" fontId="67" fillId="8" borderId="0" xfId="0" applyFont="1" applyFill="1" applyAlignment="1">
      <alignment horizontal="center" vertical="center" wrapText="1"/>
    </xf>
    <xf numFmtId="0" fontId="67" fillId="8" borderId="0" xfId="0" applyFont="1" applyFill="1" applyAlignment="1">
      <alignment vertical="center"/>
    </xf>
    <xf numFmtId="0" fontId="0" fillId="8" borderId="0" xfId="0" applyFill="1" applyAlignment="1">
      <alignment vertical="center"/>
    </xf>
    <xf numFmtId="0" fontId="0" fillId="8" borderId="0" xfId="0" applyFill="1"/>
    <xf numFmtId="0" fontId="38" fillId="14" borderId="1" xfId="0" applyFont="1" applyFill="1" applyBorder="1" applyAlignment="1">
      <alignment horizontal="center" vertical="center" wrapText="1"/>
    </xf>
    <xf numFmtId="0" fontId="67" fillId="0" borderId="0" xfId="0" applyFont="1" applyAlignment="1">
      <alignment horizontal="center" vertical="center"/>
    </xf>
    <xf numFmtId="14" fontId="0" fillId="13" borderId="1" xfId="0" applyNumberFormat="1" applyFill="1" applyBorder="1" applyAlignment="1">
      <alignment horizontal="center" vertical="center" wrapText="1"/>
    </xf>
    <xf numFmtId="0" fontId="35" fillId="13" borderId="1" xfId="0" applyFont="1" applyFill="1" applyBorder="1" applyAlignment="1">
      <alignment horizontal="center" vertical="center"/>
    </xf>
    <xf numFmtId="0" fontId="0" fillId="13" borderId="1" xfId="0" applyFill="1" applyBorder="1" applyAlignment="1">
      <alignment horizontal="center" vertical="center"/>
    </xf>
    <xf numFmtId="0" fontId="35" fillId="2" borderId="5" xfId="0" applyFont="1" applyFill="1" applyBorder="1" applyAlignment="1">
      <alignment wrapText="1"/>
    </xf>
    <xf numFmtId="0" fontId="35" fillId="10" borderId="0" xfId="0" applyFont="1" applyFill="1" applyAlignment="1">
      <alignment horizontal="left" vertical="center"/>
    </xf>
    <xf numFmtId="0" fontId="35" fillId="12" borderId="0" xfId="0" applyFont="1" applyFill="1" applyAlignment="1">
      <alignment horizontal="left" vertical="center"/>
    </xf>
    <xf numFmtId="0" fontId="35" fillId="15" borderId="0" xfId="0" applyFont="1" applyFill="1" applyAlignment="1">
      <alignment horizontal="left" vertical="center"/>
    </xf>
    <xf numFmtId="0" fontId="35" fillId="13" borderId="0" xfId="0" applyFont="1" applyFill="1" applyAlignment="1">
      <alignment horizontal="left" vertical="center"/>
    </xf>
    <xf numFmtId="0" fontId="35" fillId="2" borderId="1" xfId="0" applyFont="1" applyFill="1" applyBorder="1"/>
    <xf numFmtId="0" fontId="35" fillId="0" borderId="1" xfId="0" applyFont="1" applyBorder="1" applyAlignment="1">
      <alignment horizontal="center" vertical="center"/>
    </xf>
    <xf numFmtId="14" fontId="35" fillId="0" borderId="1" xfId="0" applyNumberFormat="1" applyFont="1" applyBorder="1" applyAlignment="1">
      <alignment horizontal="center" vertical="center" wrapText="1"/>
    </xf>
    <xf numFmtId="0" fontId="0" fillId="2" borderId="0" xfId="0" applyFill="1" applyAlignment="1">
      <alignment horizontal="center" wrapText="1"/>
    </xf>
    <xf numFmtId="0" fontId="35" fillId="3" borderId="12" xfId="0" applyFont="1" applyFill="1" applyBorder="1" applyAlignment="1">
      <alignment horizontal="center" vertical="center" wrapText="1"/>
    </xf>
    <xf numFmtId="0" fontId="64" fillId="6" borderId="1" xfId="1" applyBorder="1" applyAlignment="1">
      <alignment horizontal="center"/>
    </xf>
    <xf numFmtId="0" fontId="68" fillId="6" borderId="15" xfId="8" applyFont="1" applyAlignment="1">
      <alignment horizontal="center"/>
    </xf>
    <xf numFmtId="0" fontId="68" fillId="6" borderId="17" xfId="8" applyFont="1" applyBorder="1" applyAlignment="1">
      <alignment horizontal="center"/>
    </xf>
    <xf numFmtId="0" fontId="64" fillId="6" borderId="1" xfId="1" applyBorder="1" applyAlignment="1">
      <alignment horizontal="center" vertical="center"/>
    </xf>
    <xf numFmtId="0" fontId="35" fillId="2" borderId="1" xfId="0" applyFont="1" applyFill="1" applyBorder="1" applyAlignment="1">
      <alignment horizontal="center"/>
    </xf>
    <xf numFmtId="0" fontId="0" fillId="2" borderId="0" xfId="0" applyFill="1" applyAlignment="1">
      <alignment wrapText="1" shrinkToFit="1"/>
    </xf>
    <xf numFmtId="0" fontId="0" fillId="2" borderId="0" xfId="0" applyFill="1" applyAlignment="1">
      <alignment vertical="top"/>
    </xf>
    <xf numFmtId="0" fontId="0" fillId="2" borderId="3" xfId="0" applyFill="1" applyBorder="1" applyAlignment="1">
      <alignment vertical="top"/>
    </xf>
    <xf numFmtId="0" fontId="35" fillId="2" borderId="8" xfId="0" applyFont="1" applyFill="1" applyBorder="1" applyAlignment="1">
      <alignment wrapText="1" shrinkToFit="1"/>
    </xf>
    <xf numFmtId="0" fontId="35" fillId="2" borderId="0" xfId="0" applyFont="1" applyFill="1" applyAlignment="1">
      <alignment vertical="top"/>
    </xf>
    <xf numFmtId="0" fontId="35" fillId="0" borderId="0" xfId="3" applyAlignment="1">
      <alignment vertical="center"/>
    </xf>
    <xf numFmtId="0" fontId="39" fillId="0" borderId="0" xfId="3" applyFont="1" applyAlignment="1">
      <alignment vertical="center" wrapText="1"/>
    </xf>
    <xf numFmtId="164" fontId="39" fillId="0" borderId="0" xfId="3" applyNumberFormat="1" applyFont="1" applyAlignment="1">
      <alignment horizontal="center" vertical="center" wrapText="1"/>
    </xf>
    <xf numFmtId="20" fontId="39" fillId="0" borderId="0" xfId="3" applyNumberFormat="1" applyFont="1" applyAlignment="1">
      <alignment vertical="center" wrapText="1"/>
    </xf>
    <xf numFmtId="0" fontId="39" fillId="0" borderId="0" xfId="3" applyFont="1" applyAlignment="1">
      <alignment horizontal="left" vertical="center" wrapText="1"/>
    </xf>
    <xf numFmtId="0" fontId="69" fillId="0" borderId="0" xfId="3" quotePrefix="1" applyFont="1" applyAlignment="1">
      <alignment horizontal="right" vertical="center"/>
    </xf>
    <xf numFmtId="0" fontId="40" fillId="0" borderId="0" xfId="3" applyFont="1" applyAlignment="1">
      <alignment horizontal="left" vertical="center" wrapText="1"/>
    </xf>
    <xf numFmtId="0" fontId="35" fillId="0" borderId="0" xfId="3" applyAlignment="1">
      <alignment vertical="center" shrinkToFit="1"/>
    </xf>
    <xf numFmtId="0" fontId="71" fillId="0" borderId="0" xfId="3" applyFont="1" applyAlignment="1">
      <alignment horizontal="left" vertical="center" shrinkToFit="1"/>
    </xf>
    <xf numFmtId="0" fontId="36" fillId="0" borderId="0" xfId="3" applyFont="1" applyAlignment="1">
      <alignment horizontal="left" vertical="center" shrinkToFit="1"/>
    </xf>
    <xf numFmtId="0" fontId="35" fillId="0" borderId="0" xfId="3" applyAlignment="1" applyProtection="1">
      <alignment vertical="center"/>
      <protection locked="0"/>
    </xf>
    <xf numFmtId="0" fontId="35" fillId="0" borderId="0" xfId="3" applyAlignment="1" applyProtection="1">
      <alignment vertical="center" shrinkToFit="1"/>
      <protection locked="0"/>
    </xf>
    <xf numFmtId="0" fontId="76" fillId="0" borderId="2" xfId="3" applyFont="1" applyBorder="1" applyAlignment="1" applyProtection="1">
      <alignment horizontal="left" vertical="center" wrapText="1" shrinkToFit="1"/>
      <protection locked="0"/>
    </xf>
    <xf numFmtId="0" fontId="77" fillId="0" borderId="0" xfId="3" applyFont="1" applyAlignment="1" applyProtection="1">
      <alignment horizontal="left" vertical="center" shrinkToFit="1"/>
      <protection locked="0"/>
    </xf>
    <xf numFmtId="0" fontId="76" fillId="0" borderId="0" xfId="3" applyFont="1" applyAlignment="1" applyProtection="1">
      <alignment horizontal="left" vertical="center" wrapText="1" shrinkToFit="1"/>
      <protection locked="0"/>
    </xf>
    <xf numFmtId="0" fontId="77" fillId="0" borderId="3" xfId="3" applyFont="1" applyBorder="1" applyAlignment="1" applyProtection="1">
      <alignment horizontal="left" vertical="center" shrinkToFit="1"/>
      <protection locked="0"/>
    </xf>
    <xf numFmtId="0" fontId="80" fillId="0" borderId="0" xfId="3" applyFont="1" applyAlignment="1" applyProtection="1">
      <alignment vertical="center"/>
      <protection locked="0"/>
    </xf>
    <xf numFmtId="0" fontId="81" fillId="0" borderId="0" xfId="3" applyFont="1" applyAlignment="1" applyProtection="1">
      <alignment horizontal="center" vertical="center"/>
      <protection locked="0"/>
    </xf>
    <xf numFmtId="0" fontId="34" fillId="8" borderId="0" xfId="9" applyFill="1"/>
    <xf numFmtId="0" fontId="82" fillId="0" borderId="0" xfId="3" applyFont="1" applyAlignment="1">
      <alignment horizontal="right" vertical="center"/>
    </xf>
    <xf numFmtId="0" fontId="83" fillId="0" borderId="18" xfId="3" applyFont="1" applyBorder="1" applyAlignment="1" applyProtection="1">
      <alignment vertical="center"/>
      <protection locked="0"/>
    </xf>
    <xf numFmtId="0" fontId="35" fillId="0" borderId="18" xfId="3" applyBorder="1" applyAlignment="1" applyProtection="1">
      <alignment vertical="center"/>
      <protection locked="0"/>
    </xf>
    <xf numFmtId="0" fontId="84" fillId="0" borderId="0" xfId="3" applyFont="1" applyAlignment="1" applyProtection="1">
      <alignment horizontal="left" vertical="center"/>
      <protection locked="0"/>
    </xf>
    <xf numFmtId="0" fontId="43" fillId="0" borderId="0" xfId="3" applyFont="1" applyAlignment="1" applyProtection="1">
      <alignment horizontal="left" vertical="center"/>
      <protection locked="0"/>
    </xf>
    <xf numFmtId="0" fontId="62" fillId="0" borderId="0" xfId="3" applyFont="1" applyAlignment="1" applyProtection="1">
      <alignment vertical="center"/>
      <protection locked="0"/>
    </xf>
    <xf numFmtId="0" fontId="36" fillId="0" borderId="0" xfId="3" applyFont="1" applyAlignment="1" applyProtection="1">
      <alignment vertical="center"/>
      <protection locked="0"/>
    </xf>
    <xf numFmtId="49" fontId="85" fillId="0" borderId="0" xfId="3" applyNumberFormat="1" applyFont="1" applyAlignment="1" applyProtection="1">
      <alignment horizontal="left" vertical="center"/>
      <protection locked="0"/>
    </xf>
    <xf numFmtId="49" fontId="35" fillId="0" borderId="0" xfId="3" applyNumberFormat="1" applyAlignment="1">
      <alignment horizontal="center" vertical="center" wrapText="1"/>
    </xf>
    <xf numFmtId="49" fontId="35" fillId="0" borderId="0" xfId="3" applyNumberFormat="1" applyAlignment="1" applyProtection="1">
      <alignment horizontal="left" vertical="center" wrapText="1"/>
      <protection locked="0"/>
    </xf>
    <xf numFmtId="49" fontId="35" fillId="0" borderId="0" xfId="3" applyNumberFormat="1" applyAlignment="1">
      <alignment horizontal="left" vertical="center" wrapText="1"/>
    </xf>
    <xf numFmtId="14" fontId="35" fillId="0" borderId="0" xfId="3" applyNumberFormat="1" applyAlignment="1" applyProtection="1">
      <alignment vertical="center"/>
      <protection locked="0"/>
    </xf>
    <xf numFmtId="0" fontId="86" fillId="0" borderId="0" xfId="3" applyFont="1" applyAlignment="1" applyProtection="1">
      <alignment horizontal="left" vertical="center"/>
      <protection locked="0"/>
    </xf>
    <xf numFmtId="0" fontId="35" fillId="0" borderId="0" xfId="3" applyAlignment="1">
      <alignment horizontal="left" vertical="center" wrapText="1"/>
    </xf>
    <xf numFmtId="0" fontId="83" fillId="0" borderId="5" xfId="3" applyFont="1" applyBorder="1" applyAlignment="1" applyProtection="1">
      <alignment vertical="center"/>
      <protection locked="0"/>
    </xf>
    <xf numFmtId="49" fontId="35" fillId="0" borderId="5" xfId="3" applyNumberFormat="1" applyBorder="1" applyAlignment="1" applyProtection="1">
      <alignment horizontal="left" vertical="center" wrapText="1"/>
      <protection locked="0"/>
    </xf>
    <xf numFmtId="0" fontId="35" fillId="0" borderId="5" xfId="3" applyBorder="1" applyAlignment="1">
      <alignment horizontal="left" vertical="center" wrapText="1"/>
    </xf>
    <xf numFmtId="0" fontId="83" fillId="0" borderId="0" xfId="3" applyFont="1" applyAlignment="1" applyProtection="1">
      <alignment vertical="center"/>
      <protection locked="0"/>
    </xf>
    <xf numFmtId="49" fontId="35" fillId="0" borderId="0" xfId="3" applyNumberFormat="1" applyAlignment="1" applyProtection="1">
      <alignment horizontal="left" vertical="center"/>
      <protection locked="0"/>
    </xf>
    <xf numFmtId="0" fontId="35" fillId="0" borderId="0" xfId="3" applyAlignment="1">
      <alignment horizontal="left" vertical="center"/>
    </xf>
    <xf numFmtId="0" fontId="36" fillId="2" borderId="1" xfId="0" applyFont="1" applyFill="1" applyBorder="1" applyAlignment="1">
      <alignment horizontal="center" vertical="center"/>
    </xf>
    <xf numFmtId="0" fontId="35" fillId="21" borderId="0" xfId="0" applyFont="1" applyFill="1" applyAlignment="1">
      <alignment horizontal="left" vertical="top" wrapText="1"/>
    </xf>
    <xf numFmtId="0" fontId="35" fillId="21" borderId="0" xfId="0" applyFont="1" applyFill="1" applyAlignment="1">
      <alignment wrapText="1"/>
    </xf>
    <xf numFmtId="0" fontId="0" fillId="21" borderId="0" xfId="0" applyFill="1" applyAlignment="1">
      <alignment wrapText="1"/>
    </xf>
    <xf numFmtId="0" fontId="35" fillId="9" borderId="0" xfId="0" applyFont="1" applyFill="1" applyAlignment="1">
      <alignment wrapText="1"/>
    </xf>
    <xf numFmtId="0" fontId="0" fillId="9" borderId="0" xfId="0" applyFill="1" applyAlignment="1">
      <alignment wrapText="1"/>
    </xf>
    <xf numFmtId="0" fontId="35" fillId="2" borderId="2" xfId="0" applyFont="1" applyFill="1" applyBorder="1" applyAlignment="1">
      <alignment horizontal="right"/>
    </xf>
    <xf numFmtId="0" fontId="0" fillId="2" borderId="4" xfId="0" applyFill="1" applyBorder="1" applyAlignment="1">
      <alignment horizontal="right"/>
    </xf>
    <xf numFmtId="0" fontId="32" fillId="0" borderId="0" xfId="11"/>
    <xf numFmtId="0" fontId="38" fillId="10" borderId="1" xfId="0" applyFont="1" applyFill="1" applyBorder="1" applyAlignment="1">
      <alignment horizontal="center" vertical="center" wrapText="1"/>
    </xf>
    <xf numFmtId="0" fontId="93" fillId="12" borderId="1" xfId="0" applyFont="1" applyFill="1" applyBorder="1" applyAlignment="1">
      <alignment horizontal="center" vertical="center" wrapText="1"/>
    </xf>
    <xf numFmtId="0" fontId="38" fillId="11" borderId="1" xfId="0" applyFont="1" applyFill="1" applyBorder="1" applyAlignment="1">
      <alignment horizontal="center" vertical="center" wrapText="1"/>
    </xf>
    <xf numFmtId="14" fontId="38" fillId="11" borderId="1" xfId="0" applyNumberFormat="1" applyFont="1" applyFill="1" applyBorder="1" applyAlignment="1">
      <alignment horizontal="center" vertical="center" wrapText="1"/>
    </xf>
    <xf numFmtId="0" fontId="58" fillId="8" borderId="0" xfId="0" applyFont="1" applyFill="1" applyAlignment="1">
      <alignment horizontal="center" vertical="center"/>
    </xf>
    <xf numFmtId="0" fontId="58" fillId="8" borderId="0" xfId="0" applyFont="1" applyFill="1" applyAlignment="1">
      <alignment vertical="center"/>
    </xf>
    <xf numFmtId="0" fontId="58" fillId="0" borderId="0" xfId="0" applyFont="1" applyAlignment="1">
      <alignment vertical="center"/>
    </xf>
    <xf numFmtId="0" fontId="38" fillId="0" borderId="0" xfId="0" applyFont="1" applyAlignment="1">
      <alignment vertical="center"/>
    </xf>
    <xf numFmtId="0" fontId="95" fillId="29" borderId="20" xfId="14" applyFont="1" applyFill="1" applyBorder="1" applyAlignment="1" applyProtection="1">
      <alignment horizontal="center" vertical="center" wrapText="1"/>
      <protection locked="0"/>
    </xf>
    <xf numFmtId="0" fontId="96" fillId="13" borderId="20" xfId="14" applyFont="1" applyFill="1" applyBorder="1" applyAlignment="1" applyProtection="1">
      <alignment horizontal="center" vertical="center" wrapText="1"/>
    </xf>
    <xf numFmtId="0" fontId="95" fillId="7" borderId="1" xfId="14" applyFont="1" applyFill="1" applyBorder="1" applyAlignment="1">
      <alignment horizontal="left" vertical="center"/>
    </xf>
    <xf numFmtId="0" fontId="91" fillId="25" borderId="14" xfId="12" applyAlignment="1">
      <alignment horizontal="center" vertical="center"/>
    </xf>
    <xf numFmtId="0" fontId="95" fillId="7" borderId="1" xfId="14" applyFont="1" applyFill="1" applyBorder="1" applyAlignment="1">
      <alignment horizontal="center" vertical="center"/>
    </xf>
    <xf numFmtId="0" fontId="35" fillId="5" borderId="0" xfId="15" applyFill="1" applyAlignment="1">
      <alignment vertical="center"/>
    </xf>
    <xf numFmtId="0" fontId="35" fillId="5" borderId="0" xfId="15" applyFill="1" applyAlignment="1">
      <alignment vertical="center" wrapText="1"/>
    </xf>
    <xf numFmtId="0" fontId="37" fillId="5" borderId="0" xfId="15" applyFont="1" applyFill="1" applyAlignment="1">
      <alignment vertical="center"/>
    </xf>
    <xf numFmtId="0" fontId="72" fillId="30" borderId="10" xfId="15" applyFont="1" applyFill="1" applyBorder="1" applyAlignment="1">
      <alignment vertical="center"/>
    </xf>
    <xf numFmtId="0" fontId="101" fillId="30" borderId="19" xfId="15" applyFont="1" applyFill="1" applyBorder="1" applyAlignment="1">
      <alignment vertical="center" wrapText="1"/>
    </xf>
    <xf numFmtId="0" fontId="35" fillId="5" borderId="1" xfId="15" applyFill="1" applyBorder="1" applyAlignment="1">
      <alignment vertical="center"/>
    </xf>
    <xf numFmtId="0" fontId="102" fillId="5" borderId="1" xfId="15" applyFont="1" applyFill="1" applyBorder="1" applyAlignment="1">
      <alignment horizontal="center" vertical="center"/>
    </xf>
    <xf numFmtId="0" fontId="72" fillId="31" borderId="10" xfId="15" applyFont="1" applyFill="1" applyBorder="1" applyAlignment="1">
      <alignment vertical="center"/>
    </xf>
    <xf numFmtId="0" fontId="44" fillId="31" borderId="8" xfId="15" applyFont="1" applyFill="1" applyBorder="1" applyAlignment="1">
      <alignment horizontal="center" vertical="center" wrapText="1"/>
    </xf>
    <xf numFmtId="0" fontId="101" fillId="31" borderId="19" xfId="15" applyFont="1" applyFill="1" applyBorder="1" applyAlignment="1">
      <alignment vertical="center" wrapText="1"/>
    </xf>
    <xf numFmtId="0" fontId="101" fillId="31" borderId="11" xfId="15" applyFont="1" applyFill="1" applyBorder="1" applyAlignment="1">
      <alignment vertical="center" wrapText="1"/>
    </xf>
    <xf numFmtId="0" fontId="44" fillId="30" borderId="19" xfId="15" applyFont="1" applyFill="1" applyBorder="1" applyAlignment="1">
      <alignment vertical="center" wrapText="1"/>
    </xf>
    <xf numFmtId="0" fontId="0" fillId="0" borderId="0" xfId="0" applyAlignment="1" applyProtection="1">
      <alignment vertical="center"/>
      <protection locked="0"/>
    </xf>
    <xf numFmtId="0" fontId="84" fillId="0" borderId="0" xfId="0" applyFont="1" applyAlignment="1" applyProtection="1">
      <alignment horizontal="left" vertical="center"/>
      <protection locked="0"/>
    </xf>
    <xf numFmtId="0" fontId="35" fillId="0" borderId="1" xfId="15" applyBorder="1" applyAlignment="1">
      <alignment vertical="center" wrapText="1"/>
    </xf>
    <xf numFmtId="0" fontId="107" fillId="0" borderId="2" xfId="0" applyFont="1" applyBorder="1" applyAlignment="1">
      <alignment horizontal="right" vertical="center"/>
    </xf>
    <xf numFmtId="0" fontId="109" fillId="0" borderId="0" xfId="0" applyFont="1" applyAlignment="1">
      <alignment wrapText="1"/>
    </xf>
    <xf numFmtId="0" fontId="92" fillId="7" borderId="1" xfId="14" applyFont="1" applyFill="1" applyBorder="1" applyAlignment="1">
      <alignment horizontal="center" vertical="center"/>
    </xf>
    <xf numFmtId="0" fontId="110" fillId="8" borderId="0" xfId="30" applyFill="1" applyAlignment="1">
      <alignment horizontal="center" wrapText="1"/>
    </xf>
    <xf numFmtId="0" fontId="38" fillId="3" borderId="12" xfId="0" applyFont="1" applyFill="1" applyBorder="1" applyAlignment="1">
      <alignment horizontal="center" vertical="center" wrapText="1"/>
    </xf>
    <xf numFmtId="0" fontId="38" fillId="3" borderId="16" xfId="0" applyFont="1" applyFill="1" applyBorder="1" applyAlignment="1">
      <alignment horizontal="center" vertical="center" wrapText="1"/>
    </xf>
    <xf numFmtId="0" fontId="38" fillId="3" borderId="1" xfId="0" applyFont="1" applyFill="1" applyBorder="1" applyAlignment="1">
      <alignment horizontal="center" vertical="center" wrapText="1"/>
    </xf>
    <xf numFmtId="0" fontId="64" fillId="6" borderId="16" xfId="1" applyBorder="1" applyAlignment="1">
      <alignment horizontal="center" vertical="center"/>
    </xf>
    <xf numFmtId="0" fontId="36" fillId="2" borderId="1" xfId="0" applyFont="1" applyFill="1" applyBorder="1" applyAlignment="1">
      <alignment horizontal="center"/>
    </xf>
    <xf numFmtId="0" fontId="72" fillId="33" borderId="12" xfId="15" applyFont="1" applyFill="1" applyBorder="1" applyAlignment="1">
      <alignment horizontal="center" vertical="center" textRotation="45" wrapText="1"/>
    </xf>
    <xf numFmtId="0" fontId="99" fillId="33" borderId="12" xfId="15" applyFont="1" applyFill="1" applyBorder="1" applyAlignment="1">
      <alignment horizontal="center" vertical="center" wrapText="1"/>
    </xf>
    <xf numFmtId="0" fontId="87" fillId="33" borderId="1" xfId="15" applyFont="1" applyFill="1" applyBorder="1" applyAlignment="1">
      <alignment horizontal="center" vertical="center" textRotation="45" wrapText="1"/>
    </xf>
    <xf numFmtId="0" fontId="87" fillId="33" borderId="1" xfId="15" applyFont="1" applyFill="1" applyBorder="1" applyAlignment="1">
      <alignment horizontal="center" vertical="center" wrapText="1"/>
    </xf>
    <xf numFmtId="0" fontId="72" fillId="33" borderId="13" xfId="15" applyFont="1" applyFill="1" applyBorder="1" applyAlignment="1">
      <alignment horizontal="center" vertical="center"/>
    </xf>
    <xf numFmtId="0" fontId="100" fillId="33" borderId="13" xfId="15" applyFont="1" applyFill="1" applyBorder="1" applyAlignment="1">
      <alignment horizontal="center" vertical="center" wrapText="1"/>
    </xf>
    <xf numFmtId="9" fontId="111" fillId="6" borderId="14" xfId="1" applyNumberFormat="1" applyFont="1" applyAlignment="1">
      <alignment horizontal="center" vertical="center" wrapText="1"/>
    </xf>
    <xf numFmtId="0" fontId="72" fillId="33" borderId="7" xfId="15" applyFont="1" applyFill="1" applyBorder="1" applyAlignment="1">
      <alignment horizontal="center" vertical="center"/>
    </xf>
    <xf numFmtId="0" fontId="103" fillId="33" borderId="8" xfId="15" applyFont="1" applyFill="1" applyBorder="1" applyAlignment="1">
      <alignment horizontal="center" vertical="center" wrapText="1"/>
    </xf>
    <xf numFmtId="0" fontId="100" fillId="33" borderId="8" xfId="15" applyFont="1" applyFill="1" applyBorder="1" applyAlignment="1">
      <alignment horizontal="center" vertical="center" wrapText="1"/>
    </xf>
    <xf numFmtId="0" fontId="100" fillId="33" borderId="9" xfId="15" applyFont="1" applyFill="1" applyBorder="1" applyAlignment="1">
      <alignment horizontal="center" vertical="center" wrapText="1"/>
    </xf>
    <xf numFmtId="0" fontId="0" fillId="0" borderId="12" xfId="0" applyBorder="1" applyAlignment="1">
      <alignment vertical="center"/>
    </xf>
    <xf numFmtId="0" fontId="0" fillId="0" borderId="7" xfId="0" applyBorder="1" applyAlignment="1">
      <alignment vertical="center"/>
    </xf>
    <xf numFmtId="0" fontId="0" fillId="34" borderId="1" xfId="0" applyFill="1" applyBorder="1" applyAlignment="1">
      <alignment horizontal="center" vertical="center"/>
    </xf>
    <xf numFmtId="0" fontId="0" fillId="0" borderId="1" xfId="0" applyBorder="1" applyAlignment="1">
      <alignment vertical="center"/>
    </xf>
    <xf numFmtId="0" fontId="44" fillId="15" borderId="0" xfId="0" applyFont="1" applyFill="1" applyAlignment="1">
      <alignment horizontal="center" wrapText="1"/>
    </xf>
    <xf numFmtId="0" fontId="56" fillId="15" borderId="0" xfId="0" applyFont="1" applyFill="1" applyAlignment="1">
      <alignment horizontal="center" wrapText="1"/>
    </xf>
    <xf numFmtId="0" fontId="44" fillId="7" borderId="0" xfId="0" applyFont="1" applyFill="1" applyAlignment="1">
      <alignment horizontal="center" wrapText="1"/>
    </xf>
    <xf numFmtId="0" fontId="112" fillId="7" borderId="0" xfId="0" applyFont="1" applyFill="1" applyAlignment="1">
      <alignment horizontal="center" vertical="center" wrapText="1"/>
    </xf>
    <xf numFmtId="0" fontId="95" fillId="29" borderId="12" xfId="34" applyFont="1" applyFill="1" applyBorder="1" applyAlignment="1">
      <alignment horizontal="center" vertical="center" wrapText="1"/>
    </xf>
    <xf numFmtId="0" fontId="44" fillId="7" borderId="0" xfId="3" applyFont="1" applyFill="1" applyAlignment="1">
      <alignment horizontal="center" wrapText="1"/>
    </xf>
    <xf numFmtId="0" fontId="112" fillId="7" borderId="0" xfId="3" applyFont="1" applyFill="1" applyAlignment="1">
      <alignment horizontal="center" vertical="center" wrapText="1"/>
    </xf>
    <xf numFmtId="0" fontId="35" fillId="13" borderId="1" xfId="3" applyFill="1" applyBorder="1" applyAlignment="1">
      <alignment horizontal="center" vertical="center"/>
    </xf>
    <xf numFmtId="0" fontId="35" fillId="0" borderId="1" xfId="3" applyBorder="1" applyAlignment="1">
      <alignment horizontal="center" vertical="center"/>
    </xf>
    <xf numFmtId="14" fontId="35" fillId="13" borderId="1" xfId="3" applyNumberFormat="1" applyFill="1" applyBorder="1" applyAlignment="1">
      <alignment horizontal="center" vertical="center" wrapText="1"/>
    </xf>
    <xf numFmtId="14" fontId="35" fillId="0" borderId="1" xfId="3" applyNumberFormat="1" applyBorder="1" applyAlignment="1">
      <alignment horizontal="center" vertical="center" wrapText="1"/>
    </xf>
    <xf numFmtId="0" fontId="35" fillId="8" borderId="0" xfId="3" applyFill="1" applyAlignment="1">
      <alignment horizontal="center"/>
    </xf>
    <xf numFmtId="0" fontId="35" fillId="8" borderId="0" xfId="3" applyFill="1"/>
    <xf numFmtId="0" fontId="35" fillId="0" borderId="0" xfId="3"/>
    <xf numFmtId="0" fontId="114" fillId="0" borderId="1" xfId="0" applyFont="1" applyBorder="1" applyAlignment="1">
      <alignment vertical="center" wrapText="1"/>
    </xf>
    <xf numFmtId="0" fontId="0" fillId="13" borderId="1" xfId="0" applyFill="1" applyBorder="1" applyAlignment="1">
      <alignment horizontal="center" vertical="center" wrapText="1"/>
    </xf>
    <xf numFmtId="0" fontId="35" fillId="13" borderId="1" xfId="0" applyFont="1" applyFill="1" applyBorder="1" applyAlignment="1">
      <alignment vertical="center" wrapText="1"/>
    </xf>
    <xf numFmtId="0" fontId="0" fillId="13" borderId="1" xfId="0" applyFill="1" applyBorder="1" applyAlignment="1">
      <alignment vertical="center" wrapText="1"/>
    </xf>
    <xf numFmtId="0" fontId="12" fillId="0" borderId="1" xfId="11" applyFont="1" applyBorder="1"/>
    <xf numFmtId="0" fontId="32" fillId="0" borderId="1" xfId="11" applyBorder="1"/>
    <xf numFmtId="0" fontId="0" fillId="6" borderId="1" xfId="1" applyFont="1" applyBorder="1"/>
    <xf numFmtId="0" fontId="35" fillId="0" borderId="12" xfId="3" applyBorder="1" applyAlignment="1">
      <alignment vertical="center"/>
    </xf>
    <xf numFmtId="0" fontId="95" fillId="29" borderId="12" xfId="35" applyFont="1" applyFill="1" applyBorder="1" applyAlignment="1">
      <alignment horizontal="center" vertical="center" wrapText="1"/>
    </xf>
    <xf numFmtId="0" fontId="35" fillId="0" borderId="7" xfId="3" applyBorder="1" applyAlignment="1">
      <alignment vertical="center"/>
    </xf>
    <xf numFmtId="0" fontId="35" fillId="34" borderId="1" xfId="3" applyFill="1" applyBorder="1" applyAlignment="1">
      <alignment horizontal="center" vertical="center"/>
    </xf>
    <xf numFmtId="0" fontId="35" fillId="0" borderId="1" xfId="3" applyBorder="1" applyAlignment="1">
      <alignment vertical="center"/>
    </xf>
    <xf numFmtId="0" fontId="35" fillId="5" borderId="1" xfId="15" applyFill="1" applyBorder="1" applyAlignment="1">
      <alignment vertical="center" wrapText="1"/>
    </xf>
    <xf numFmtId="0" fontId="44" fillId="15" borderId="0" xfId="3" applyFont="1" applyFill="1" applyAlignment="1">
      <alignment horizontal="center" wrapText="1"/>
    </xf>
    <xf numFmtId="0" fontId="56" fillId="15" borderId="0" xfId="3" applyFont="1" applyFill="1" applyAlignment="1">
      <alignment horizontal="center" wrapText="1"/>
    </xf>
    <xf numFmtId="0" fontId="95" fillId="29" borderId="12" xfId="36" applyFont="1" applyFill="1" applyBorder="1" applyAlignment="1">
      <alignment horizontal="center" vertical="center" wrapText="1"/>
    </xf>
    <xf numFmtId="0" fontId="87" fillId="33" borderId="1" xfId="15" applyFont="1" applyFill="1" applyBorder="1" applyAlignment="1">
      <alignment horizontal="left" vertical="center" textRotation="45"/>
    </xf>
    <xf numFmtId="0" fontId="32" fillId="0" borderId="1" xfId="11" applyFill="1" applyBorder="1"/>
    <xf numFmtId="0" fontId="64" fillId="6" borderId="1" xfId="1" applyBorder="1"/>
    <xf numFmtId="0" fontId="32" fillId="0" borderId="12" xfId="11" applyFill="1" applyBorder="1"/>
    <xf numFmtId="0" fontId="64" fillId="6" borderId="12" xfId="1" applyBorder="1"/>
    <xf numFmtId="0" fontId="32" fillId="0" borderId="1" xfId="11" applyFill="1" applyBorder="1" applyAlignment="1">
      <alignment horizontal="left"/>
    </xf>
    <xf numFmtId="14" fontId="32" fillId="0" borderId="1" xfId="11" applyNumberFormat="1" applyFill="1" applyBorder="1" applyAlignment="1">
      <alignment horizontal="left"/>
    </xf>
    <xf numFmtId="0" fontId="9" fillId="0" borderId="1" xfId="11" applyFont="1" applyFill="1" applyBorder="1"/>
    <xf numFmtId="0" fontId="8" fillId="0" borderId="1" xfId="11" applyFont="1" applyFill="1" applyBorder="1"/>
    <xf numFmtId="0" fontId="35" fillId="0" borderId="1" xfId="3" applyBorder="1" applyAlignment="1">
      <alignment horizontal="center" vertical="center" wrapText="1"/>
    </xf>
    <xf numFmtId="0" fontId="7" fillId="0" borderId="1" xfId="11" applyFont="1" applyFill="1" applyBorder="1"/>
    <xf numFmtId="0" fontId="7" fillId="0" borderId="12" xfId="11" applyFont="1" applyFill="1" applyBorder="1"/>
    <xf numFmtId="0" fontId="6" fillId="0" borderId="1" xfId="11" applyFont="1" applyFill="1" applyBorder="1"/>
    <xf numFmtId="0" fontId="6" fillId="0" borderId="12" xfId="11" applyFont="1" applyFill="1" applyBorder="1"/>
    <xf numFmtId="0" fontId="35" fillId="13" borderId="1" xfId="3" applyFill="1" applyBorder="1" applyAlignment="1">
      <alignment horizontal="center" vertical="center" wrapText="1"/>
    </xf>
    <xf numFmtId="0" fontId="35" fillId="13" borderId="1" xfId="3" applyFill="1" applyBorder="1" applyAlignment="1">
      <alignment vertical="center" wrapText="1"/>
    </xf>
    <xf numFmtId="0" fontId="35" fillId="8" borderId="1" xfId="0" applyFont="1" applyFill="1" applyBorder="1" applyAlignment="1">
      <alignment horizontal="center" vertical="center" wrapText="1"/>
    </xf>
    <xf numFmtId="0" fontId="35" fillId="0" borderId="1" xfId="3" applyBorder="1" applyAlignment="1">
      <alignment horizontal="left" vertical="center" wrapText="1"/>
    </xf>
    <xf numFmtId="0" fontId="35" fillId="13" borderId="1" xfId="3" applyFill="1" applyBorder="1" applyAlignment="1">
      <alignment horizontal="left" vertical="center" wrapText="1"/>
    </xf>
    <xf numFmtId="0" fontId="35" fillId="0" borderId="1" xfId="0" applyFont="1" applyBorder="1" applyAlignment="1">
      <alignment horizontal="left" vertical="center" wrapText="1"/>
    </xf>
    <xf numFmtId="0" fontId="5" fillId="0" borderId="12" xfId="11" applyFont="1" applyFill="1" applyBorder="1"/>
    <xf numFmtId="0" fontId="5" fillId="0" borderId="1" xfId="11" applyFont="1" applyFill="1" applyBorder="1"/>
    <xf numFmtId="0" fontId="4" fillId="0" borderId="1" xfId="11" applyFont="1" applyFill="1" applyBorder="1"/>
    <xf numFmtId="0" fontId="4" fillId="0" borderId="12" xfId="11" applyFont="1" applyFill="1" applyBorder="1"/>
    <xf numFmtId="0" fontId="3" fillId="0" borderId="12" xfId="11" applyFont="1" applyFill="1" applyBorder="1"/>
    <xf numFmtId="0" fontId="3" fillId="0" borderId="1" xfId="11" applyFont="1" applyFill="1" applyBorder="1"/>
    <xf numFmtId="0" fontId="2" fillId="0" borderId="1" xfId="11" applyFont="1" applyFill="1" applyBorder="1"/>
    <xf numFmtId="0" fontId="2" fillId="0" borderId="12" xfId="11" applyFont="1" applyFill="1" applyBorder="1"/>
    <xf numFmtId="0" fontId="35" fillId="35" borderId="1" xfId="0" applyFont="1" applyFill="1" applyBorder="1" applyAlignment="1">
      <alignment horizontal="center" vertical="center" wrapText="1"/>
    </xf>
    <xf numFmtId="0" fontId="35" fillId="35" borderId="11" xfId="0" applyFont="1" applyFill="1" applyBorder="1" applyAlignment="1">
      <alignment horizontal="center" vertical="center" wrapText="1"/>
    </xf>
    <xf numFmtId="0" fontId="35" fillId="35" borderId="11" xfId="0" applyFont="1" applyFill="1" applyBorder="1" applyAlignment="1">
      <alignment vertical="center" wrapText="1"/>
    </xf>
    <xf numFmtId="14" fontId="35" fillId="35" borderId="11" xfId="0" applyNumberFormat="1" applyFont="1" applyFill="1" applyBorder="1" applyAlignment="1">
      <alignment horizontal="center" vertical="center" wrapText="1"/>
    </xf>
    <xf numFmtId="0" fontId="35" fillId="35" borderId="11" xfId="0" applyFont="1" applyFill="1" applyBorder="1" applyAlignment="1">
      <alignment horizontal="center" vertical="center"/>
    </xf>
    <xf numFmtId="0" fontId="35" fillId="0" borderId="11" xfId="0" applyFont="1" applyBorder="1" applyAlignment="1">
      <alignment horizontal="center" vertical="center"/>
    </xf>
    <xf numFmtId="0" fontId="35" fillId="36" borderId="11" xfId="0" applyFont="1" applyFill="1" applyBorder="1" applyAlignment="1">
      <alignment horizontal="center" vertical="center"/>
    </xf>
    <xf numFmtId="14" fontId="32" fillId="0" borderId="12" xfId="11" applyNumberFormat="1" applyFill="1" applyBorder="1" applyAlignment="1">
      <alignment horizontal="left"/>
    </xf>
    <xf numFmtId="0" fontId="118" fillId="0" borderId="1" xfId="0" applyFont="1" applyBorder="1"/>
    <xf numFmtId="14" fontId="118" fillId="0" borderId="1" xfId="0" applyNumberFormat="1" applyFont="1" applyBorder="1" applyAlignment="1">
      <alignment horizontal="left"/>
    </xf>
    <xf numFmtId="0" fontId="1" fillId="0" borderId="1" xfId="11" applyFont="1" applyFill="1" applyBorder="1"/>
    <xf numFmtId="0" fontId="81" fillId="0" borderId="0" xfId="3" applyFont="1" applyAlignment="1" applyProtection="1">
      <alignment horizontal="center" vertical="center" wrapText="1"/>
      <protection locked="0"/>
    </xf>
    <xf numFmtId="0" fontId="35" fillId="0" borderId="0" xfId="3" applyAlignment="1">
      <alignment vertical="center" wrapText="1"/>
    </xf>
    <xf numFmtId="0" fontId="72" fillId="16" borderId="2" xfId="3" applyFont="1" applyFill="1" applyBorder="1" applyAlignment="1" applyProtection="1">
      <alignment horizontal="center" vertical="center" shrinkToFit="1"/>
      <protection locked="0"/>
    </xf>
    <xf numFmtId="0" fontId="72" fillId="16" borderId="0" xfId="3" applyFont="1" applyFill="1" applyAlignment="1" applyProtection="1">
      <alignment horizontal="center" vertical="center" shrinkToFit="1"/>
      <protection locked="0"/>
    </xf>
    <xf numFmtId="0" fontId="72" fillId="16" borderId="3" xfId="3" applyFont="1" applyFill="1" applyBorder="1" applyAlignment="1" applyProtection="1">
      <alignment horizontal="center" vertical="center" shrinkToFit="1"/>
      <protection locked="0"/>
    </xf>
    <xf numFmtId="0" fontId="35" fillId="0" borderId="4" xfId="3" applyBorder="1" applyAlignment="1" applyProtection="1">
      <alignment horizontal="right" vertical="top" wrapText="1" shrinkToFit="1"/>
      <protection locked="0"/>
    </xf>
    <xf numFmtId="0" fontId="35" fillId="0" borderId="5" xfId="3" applyBorder="1" applyAlignment="1" applyProtection="1">
      <alignment horizontal="right" vertical="top" wrapText="1" shrinkToFit="1"/>
      <protection locked="0"/>
    </xf>
    <xf numFmtId="0" fontId="73" fillId="0" borderId="5" xfId="0" applyFont="1" applyBorder="1" applyAlignment="1" applyProtection="1">
      <alignment horizontal="left" vertical="top" wrapText="1" shrinkToFit="1"/>
      <protection locked="0"/>
    </xf>
    <xf numFmtId="0" fontId="73" fillId="0" borderId="6" xfId="0" applyFont="1" applyBorder="1" applyAlignment="1" applyProtection="1">
      <alignment horizontal="left" vertical="top" wrapText="1" shrinkToFit="1"/>
      <protection locked="0"/>
    </xf>
    <xf numFmtId="0" fontId="37" fillId="0" borderId="5" xfId="3" applyFont="1" applyBorder="1" applyAlignment="1" applyProtection="1">
      <alignment horizontal="left" vertical="top" wrapText="1" shrinkToFit="1"/>
      <protection locked="0"/>
    </xf>
    <xf numFmtId="0" fontId="75" fillId="0" borderId="5" xfId="3" applyFont="1" applyBorder="1" applyAlignment="1" applyProtection="1">
      <alignment horizontal="left" vertical="top" shrinkToFit="1"/>
      <protection locked="0"/>
    </xf>
    <xf numFmtId="0" fontId="75" fillId="0" borderId="6" xfId="3" applyFont="1" applyBorder="1" applyAlignment="1" applyProtection="1">
      <alignment horizontal="left" vertical="top" shrinkToFit="1"/>
      <protection locked="0"/>
    </xf>
    <xf numFmtId="0" fontId="72" fillId="16" borderId="7" xfId="3" applyFont="1" applyFill="1" applyBorder="1" applyAlignment="1" applyProtection="1">
      <alignment horizontal="center" vertical="center" shrinkToFit="1"/>
      <protection locked="0"/>
    </xf>
    <xf numFmtId="0" fontId="72" fillId="16" borderId="8" xfId="3" applyFont="1" applyFill="1" applyBorder="1" applyAlignment="1" applyProtection="1">
      <alignment horizontal="center" vertical="center" shrinkToFit="1"/>
      <protection locked="0"/>
    </xf>
    <xf numFmtId="0" fontId="72" fillId="16" borderId="9" xfId="3" applyFont="1" applyFill="1" applyBorder="1" applyAlignment="1" applyProtection="1">
      <alignment horizontal="center" vertical="center" shrinkToFit="1"/>
      <protection locked="0"/>
    </xf>
    <xf numFmtId="0" fontId="35" fillId="0" borderId="4" xfId="3" applyBorder="1" applyAlignment="1" applyProtection="1">
      <alignment horizontal="center" vertical="top" wrapText="1" shrinkToFit="1"/>
      <protection locked="0"/>
    </xf>
    <xf numFmtId="0" fontId="35" fillId="0" borderId="5" xfId="3" applyBorder="1" applyAlignment="1" applyProtection="1">
      <alignment horizontal="center" vertical="top" wrapText="1" shrinkToFit="1"/>
      <protection locked="0"/>
    </xf>
    <xf numFmtId="0" fontId="35" fillId="0" borderId="6" xfId="3" applyBorder="1" applyAlignment="1" applyProtection="1">
      <alignment horizontal="center" vertical="top" wrapText="1" shrinkToFit="1"/>
      <protection locked="0"/>
    </xf>
    <xf numFmtId="0" fontId="72" fillId="16" borderId="8" xfId="3" applyFont="1" applyFill="1" applyBorder="1" applyAlignment="1" applyProtection="1">
      <alignment horizontal="center" vertical="center" wrapText="1"/>
      <protection locked="0"/>
    </xf>
    <xf numFmtId="0" fontId="72" fillId="16" borderId="0" xfId="3" applyFont="1" applyFill="1" applyAlignment="1" applyProtection="1">
      <alignment horizontal="center" vertical="center" wrapText="1"/>
      <protection locked="0"/>
    </xf>
    <xf numFmtId="0" fontId="35" fillId="0" borderId="7" xfId="3" applyBorder="1" applyAlignment="1" applyProtection="1">
      <alignment horizontal="left" vertical="top"/>
      <protection locked="0"/>
    </xf>
    <xf numFmtId="0" fontId="35" fillId="0" borderId="8" xfId="3" applyBorder="1" applyAlignment="1" applyProtection="1">
      <alignment horizontal="left" vertical="top"/>
      <protection locked="0"/>
    </xf>
    <xf numFmtId="0" fontId="35" fillId="0" borderId="9" xfId="3" applyBorder="1" applyAlignment="1" applyProtection="1">
      <alignment horizontal="left" vertical="top"/>
      <protection locked="0"/>
    </xf>
    <xf numFmtId="0" fontId="35" fillId="0" borderId="4" xfId="3" applyBorder="1" applyAlignment="1" applyProtection="1">
      <alignment horizontal="left" vertical="top"/>
      <protection locked="0"/>
    </xf>
    <xf numFmtId="0" fontId="35" fillId="0" borderId="5" xfId="3" applyBorder="1" applyAlignment="1" applyProtection="1">
      <alignment horizontal="left" vertical="top"/>
      <protection locked="0"/>
    </xf>
    <xf numFmtId="0" fontId="35" fillId="0" borderId="6" xfId="3" applyBorder="1" applyAlignment="1" applyProtection="1">
      <alignment horizontal="left" vertical="top"/>
      <protection locked="0"/>
    </xf>
    <xf numFmtId="0" fontId="72" fillId="16" borderId="2" xfId="3" applyFont="1" applyFill="1" applyBorder="1" applyAlignment="1" applyProtection="1">
      <alignment horizontal="center" vertical="center" wrapText="1" shrinkToFit="1"/>
      <protection locked="0"/>
    </xf>
    <xf numFmtId="0" fontId="72" fillId="16" borderId="0" xfId="3" applyFont="1" applyFill="1" applyAlignment="1" applyProtection="1">
      <alignment horizontal="center" vertical="center" wrapText="1" shrinkToFit="1"/>
      <protection locked="0"/>
    </xf>
    <xf numFmtId="0" fontId="91" fillId="25" borderId="14" xfId="12" applyAlignment="1" applyProtection="1">
      <alignment horizontal="center" vertical="center"/>
      <protection locked="0"/>
    </xf>
    <xf numFmtId="0" fontId="40" fillId="0" borderId="7" xfId="3" applyFont="1" applyBorder="1" applyAlignment="1">
      <alignment horizontal="left" vertical="center" wrapText="1"/>
    </xf>
    <xf numFmtId="0" fontId="40" fillId="0" borderId="8" xfId="3" applyFont="1" applyBorder="1" applyAlignment="1">
      <alignment horizontal="left" vertical="center" wrapText="1"/>
    </xf>
    <xf numFmtId="0" fontId="40" fillId="0" borderId="9" xfId="3" applyFont="1" applyBorder="1" applyAlignment="1">
      <alignment horizontal="left" vertical="center" wrapText="1"/>
    </xf>
    <xf numFmtId="0" fontId="40" fillId="0" borderId="7" xfId="3" applyFont="1" applyBorder="1" applyAlignment="1">
      <alignment horizontal="left" vertical="center" shrinkToFit="1"/>
    </xf>
    <xf numFmtId="0" fontId="40" fillId="0" borderId="8" xfId="3" applyFont="1" applyBorder="1" applyAlignment="1">
      <alignment horizontal="left" vertical="center" shrinkToFit="1"/>
    </xf>
    <xf numFmtId="0" fontId="40" fillId="0" borderId="9" xfId="3" applyFont="1" applyBorder="1" applyAlignment="1">
      <alignment horizontal="left" vertical="center" shrinkToFit="1"/>
    </xf>
    <xf numFmtId="0" fontId="70" fillId="0" borderId="4" xfId="0" applyFont="1" applyBorder="1" applyAlignment="1">
      <alignment horizontal="left" vertical="center" shrinkToFit="1"/>
    </xf>
    <xf numFmtId="0" fontId="70" fillId="0" borderId="5" xfId="0" applyFont="1" applyBorder="1" applyAlignment="1">
      <alignment horizontal="left" vertical="center" shrinkToFit="1"/>
    </xf>
    <xf numFmtId="0" fontId="70" fillId="0" borderId="6" xfId="0" applyFont="1" applyBorder="1" applyAlignment="1">
      <alignment horizontal="left" vertical="center" shrinkToFit="1"/>
    </xf>
    <xf numFmtId="0" fontId="70" fillId="0" borderId="4" xfId="3" applyFont="1" applyBorder="1" applyAlignment="1">
      <alignment horizontal="left" vertical="center" shrinkToFit="1"/>
    </xf>
    <xf numFmtId="0" fontId="70" fillId="0" borderId="5" xfId="3" applyFont="1" applyBorder="1" applyAlignment="1">
      <alignment horizontal="left" vertical="center" shrinkToFit="1"/>
    </xf>
    <xf numFmtId="0" fontId="70" fillId="0" borderId="6" xfId="3" applyFont="1" applyBorder="1" applyAlignment="1">
      <alignment horizontal="left" vertical="center" shrinkToFit="1"/>
    </xf>
    <xf numFmtId="49" fontId="35" fillId="0" borderId="10" xfId="3" applyNumberFormat="1" applyBorder="1" applyAlignment="1" applyProtection="1">
      <alignment horizontal="center" vertical="center" wrapText="1"/>
      <protection locked="0"/>
    </xf>
    <xf numFmtId="49" fontId="35" fillId="0" borderId="19" xfId="3" applyNumberFormat="1" applyBorder="1" applyAlignment="1" applyProtection="1">
      <alignment horizontal="center" vertical="center" wrapText="1"/>
      <protection locked="0"/>
    </xf>
    <xf numFmtId="49" fontId="35" fillId="0" borderId="11" xfId="3" applyNumberFormat="1" applyBorder="1" applyAlignment="1" applyProtection="1">
      <alignment horizontal="center" vertical="center" wrapText="1"/>
      <protection locked="0"/>
    </xf>
    <xf numFmtId="0" fontId="35" fillId="0" borderId="10" xfId="3" applyBorder="1" applyAlignment="1">
      <alignment horizontal="left" vertical="center" wrapText="1"/>
    </xf>
    <xf numFmtId="0" fontId="35" fillId="0" borderId="19" xfId="3" applyBorder="1" applyAlignment="1">
      <alignment horizontal="left" vertical="center" wrapText="1"/>
    </xf>
    <xf numFmtId="0" fontId="35" fillId="0" borderId="11" xfId="3" applyBorder="1" applyAlignment="1">
      <alignment horizontal="left" vertical="center" wrapText="1"/>
    </xf>
    <xf numFmtId="0" fontId="65" fillId="0" borderId="10" xfId="2" applyBorder="1" applyAlignment="1">
      <alignment horizontal="left" vertical="center" wrapText="1"/>
    </xf>
    <xf numFmtId="49" fontId="35" fillId="0" borderId="1" xfId="3" applyNumberFormat="1" applyBorder="1" applyAlignment="1" applyProtection="1">
      <alignment horizontal="left" vertical="center" wrapText="1"/>
      <protection locked="0"/>
    </xf>
    <xf numFmtId="0" fontId="35" fillId="0" borderId="1" xfId="3" applyBorder="1" applyAlignment="1">
      <alignment horizontal="left" vertical="center" wrapText="1"/>
    </xf>
    <xf numFmtId="49" fontId="35" fillId="0" borderId="1" xfId="3" applyNumberFormat="1" applyBorder="1" applyAlignment="1" applyProtection="1">
      <alignment vertical="center" wrapText="1"/>
      <protection locked="0"/>
    </xf>
    <xf numFmtId="0" fontId="53" fillId="18" borderId="1" xfId="3" applyFont="1" applyFill="1" applyBorder="1" applyAlignment="1" applyProtection="1">
      <alignment horizontal="center" vertical="center" wrapText="1"/>
      <protection locked="0"/>
    </xf>
    <xf numFmtId="0" fontId="87" fillId="20" borderId="1" xfId="3" applyFont="1" applyFill="1" applyBorder="1" applyAlignment="1">
      <alignment horizontal="center" vertical="center" wrapText="1"/>
    </xf>
    <xf numFmtId="0" fontId="35" fillId="0" borderId="1" xfId="3" applyBorder="1" applyAlignment="1">
      <alignment horizontal="center" vertical="center" wrapText="1"/>
    </xf>
    <xf numFmtId="14" fontId="35" fillId="0" borderId="10" xfId="3" applyNumberFormat="1" applyBorder="1" applyAlignment="1" applyProtection="1">
      <alignment horizontal="left" vertical="center" wrapText="1"/>
      <protection locked="0"/>
    </xf>
    <xf numFmtId="14" fontId="35" fillId="0" borderId="19" xfId="3" applyNumberFormat="1" applyBorder="1" applyAlignment="1" applyProtection="1">
      <alignment horizontal="left" vertical="center" wrapText="1"/>
      <protection locked="0"/>
    </xf>
    <xf numFmtId="14" fontId="35" fillId="0" borderId="11" xfId="3" applyNumberFormat="1" applyBorder="1" applyAlignment="1" applyProtection="1">
      <alignment horizontal="left" vertical="center" wrapText="1"/>
      <protection locked="0"/>
    </xf>
    <xf numFmtId="49" fontId="35" fillId="0" borderId="1" xfId="3" applyNumberFormat="1" applyBorder="1" applyAlignment="1">
      <alignment horizontal="left" vertical="center" wrapText="1"/>
    </xf>
    <xf numFmtId="49" fontId="35" fillId="0" borderId="1" xfId="3" applyNumberFormat="1" applyBorder="1" applyAlignment="1" applyProtection="1">
      <alignment horizontal="center" vertical="center" wrapText="1"/>
      <protection locked="0"/>
    </xf>
    <xf numFmtId="49" fontId="35" fillId="0" borderId="1" xfId="3" applyNumberFormat="1" applyBorder="1" applyAlignment="1">
      <alignment horizontal="center" vertical="center" wrapText="1"/>
    </xf>
    <xf numFmtId="49" fontId="35" fillId="22" borderId="1" xfId="3" applyNumberFormat="1" applyFill="1" applyBorder="1" applyAlignment="1" applyProtection="1">
      <alignment horizontal="center" vertical="center" wrapText="1"/>
      <protection locked="0"/>
    </xf>
    <xf numFmtId="49" fontId="35" fillId="32" borderId="1" xfId="3" applyNumberFormat="1" applyFill="1" applyBorder="1" applyAlignment="1" applyProtection="1">
      <alignment horizontal="center" vertical="center" wrapText="1"/>
      <protection locked="0"/>
    </xf>
    <xf numFmtId="49" fontId="67" fillId="24" borderId="1" xfId="3" applyNumberFormat="1" applyFont="1" applyFill="1" applyBorder="1" applyAlignment="1" applyProtection="1">
      <alignment horizontal="center" vertical="center" wrapText="1"/>
      <protection locked="0"/>
    </xf>
    <xf numFmtId="0" fontId="40" fillId="17" borderId="7" xfId="3" applyFont="1" applyFill="1" applyBorder="1" applyAlignment="1">
      <alignment horizontal="left" vertical="center" shrinkToFit="1"/>
    </xf>
    <xf numFmtId="0" fontId="40" fillId="17" borderId="8" xfId="3" applyFont="1" applyFill="1" applyBorder="1" applyAlignment="1">
      <alignment horizontal="left" vertical="center" shrinkToFit="1"/>
    </xf>
    <xf numFmtId="0" fontId="40" fillId="17" borderId="9" xfId="3" applyFont="1" applyFill="1" applyBorder="1" applyAlignment="1">
      <alignment horizontal="left" vertical="center" shrinkToFit="1"/>
    </xf>
    <xf numFmtId="0" fontId="71" fillId="17" borderId="4" xfId="3" applyFont="1" applyFill="1" applyBorder="1" applyAlignment="1">
      <alignment horizontal="left" vertical="center" shrinkToFit="1"/>
    </xf>
    <xf numFmtId="0" fontId="71" fillId="17" borderId="5" xfId="3" applyFont="1" applyFill="1" applyBorder="1" applyAlignment="1">
      <alignment horizontal="left" vertical="center" shrinkToFit="1"/>
    </xf>
    <xf numFmtId="0" fontId="71" fillId="17" borderId="6" xfId="3" applyFont="1" applyFill="1" applyBorder="1" applyAlignment="1">
      <alignment horizontal="left" vertical="center" shrinkToFit="1"/>
    </xf>
    <xf numFmtId="0" fontId="35" fillId="18" borderId="1" xfId="3" applyFill="1" applyBorder="1" applyAlignment="1" applyProtection="1">
      <alignment horizontal="center" vertical="center" wrapText="1"/>
      <protection locked="0"/>
    </xf>
    <xf numFmtId="49" fontId="35" fillId="19" borderId="1" xfId="3" applyNumberFormat="1" applyFill="1" applyBorder="1" applyAlignment="1" applyProtection="1">
      <alignment horizontal="center" vertical="center" wrapText="1"/>
      <protection locked="0"/>
    </xf>
    <xf numFmtId="0" fontId="40" fillId="17" borderId="7" xfId="3" applyFont="1" applyFill="1" applyBorder="1" applyAlignment="1">
      <alignment horizontal="left" vertical="center" wrapText="1"/>
    </xf>
    <xf numFmtId="0" fontId="40" fillId="17" borderId="8" xfId="3" applyFont="1" applyFill="1" applyBorder="1" applyAlignment="1">
      <alignment horizontal="left" vertical="center" wrapText="1"/>
    </xf>
    <xf numFmtId="0" fontId="40" fillId="17" borderId="9" xfId="3" applyFont="1" applyFill="1" applyBorder="1" applyAlignment="1">
      <alignment horizontal="left" vertical="center" wrapText="1"/>
    </xf>
    <xf numFmtId="0" fontId="70" fillId="17" borderId="4" xfId="3" applyFont="1" applyFill="1" applyBorder="1" applyAlignment="1">
      <alignment horizontal="left" vertical="center" shrinkToFit="1"/>
    </xf>
    <xf numFmtId="0" fontId="70" fillId="17" borderId="5" xfId="3" applyFont="1" applyFill="1" applyBorder="1" applyAlignment="1">
      <alignment horizontal="left" vertical="center" shrinkToFit="1"/>
    </xf>
    <xf numFmtId="0" fontId="70" fillId="17" borderId="6" xfId="3" applyFont="1" applyFill="1" applyBorder="1" applyAlignment="1">
      <alignment horizontal="left" vertical="center" shrinkToFit="1"/>
    </xf>
    <xf numFmtId="49" fontId="35" fillId="23" borderId="1" xfId="3" applyNumberFormat="1" applyFill="1" applyBorder="1" applyAlignment="1" applyProtection="1">
      <alignment horizontal="center" vertical="center" wrapText="1"/>
      <protection locked="0"/>
    </xf>
    <xf numFmtId="0" fontId="104" fillId="2" borderId="10" xfId="7" applyFont="1" applyFill="1" applyBorder="1" applyAlignment="1">
      <alignment horizontal="center" vertical="center"/>
    </xf>
    <xf numFmtId="0" fontId="104" fillId="2" borderId="19" xfId="7" applyFont="1" applyFill="1" applyBorder="1" applyAlignment="1">
      <alignment horizontal="center" vertical="center"/>
    </xf>
    <xf numFmtId="0" fontId="104" fillId="2" borderId="11" xfId="7" applyFont="1" applyFill="1" applyBorder="1" applyAlignment="1">
      <alignment horizontal="center" vertical="center"/>
    </xf>
    <xf numFmtId="0" fontId="41" fillId="2" borderId="10" xfId="7" applyFill="1" applyBorder="1" applyAlignment="1">
      <alignment horizontal="justify" vertical="center" wrapText="1"/>
    </xf>
    <xf numFmtId="0" fontId="41" fillId="2" borderId="19" xfId="7" applyFill="1" applyBorder="1" applyAlignment="1">
      <alignment horizontal="justify" vertical="center" wrapText="1"/>
    </xf>
    <xf numFmtId="0" fontId="41" fillId="2" borderId="11" xfId="7" applyFill="1" applyBorder="1" applyAlignment="1">
      <alignment horizontal="justify" vertical="center" wrapText="1"/>
    </xf>
    <xf numFmtId="0" fontId="36" fillId="21" borderId="2" xfId="0" applyFont="1" applyFill="1" applyBorder="1" applyAlignment="1">
      <alignment horizontal="center" vertical="top" textRotation="45"/>
    </xf>
    <xf numFmtId="0" fontId="36" fillId="9" borderId="2" xfId="0" applyFont="1" applyFill="1" applyBorder="1" applyAlignment="1">
      <alignment horizontal="center" vertical="center" textRotation="45"/>
    </xf>
    <xf numFmtId="0" fontId="42" fillId="3" borderId="7" xfId="7" applyFont="1" applyFill="1" applyBorder="1" applyAlignment="1">
      <alignment horizontal="center" vertical="distributed"/>
    </xf>
    <xf numFmtId="0" fontId="42" fillId="3" borderId="8" xfId="7" applyFont="1" applyFill="1" applyBorder="1" applyAlignment="1">
      <alignment horizontal="center" vertical="distributed"/>
    </xf>
    <xf numFmtId="0" fontId="42" fillId="3" borderId="9" xfId="7" applyFont="1" applyFill="1" applyBorder="1" applyAlignment="1">
      <alignment horizontal="center" vertical="distributed"/>
    </xf>
    <xf numFmtId="0" fontId="36" fillId="3" borderId="7" xfId="0" applyFont="1" applyFill="1" applyBorder="1" applyAlignment="1">
      <alignment horizontal="center" wrapText="1"/>
    </xf>
    <xf numFmtId="0" fontId="36" fillId="3" borderId="8" xfId="0" applyFont="1" applyFill="1" applyBorder="1" applyAlignment="1">
      <alignment horizontal="center" wrapText="1"/>
    </xf>
    <xf numFmtId="0" fontId="36" fillId="3" borderId="9" xfId="0" applyFont="1" applyFill="1" applyBorder="1" applyAlignment="1">
      <alignment horizontal="center" wrapText="1"/>
    </xf>
    <xf numFmtId="0" fontId="35" fillId="2" borderId="10" xfId="0" applyFont="1" applyFill="1" applyBorder="1" applyAlignment="1">
      <alignment horizontal="left" vertical="center" wrapText="1" shrinkToFit="1"/>
    </xf>
    <xf numFmtId="0" fontId="35" fillId="2" borderId="11" xfId="0" applyFont="1" applyFill="1" applyBorder="1" applyAlignment="1">
      <alignment horizontal="left" vertical="center" wrapText="1" shrinkToFit="1"/>
    </xf>
    <xf numFmtId="0" fontId="94" fillId="28" borderId="4" xfId="13" applyFont="1" applyFill="1" applyBorder="1" applyAlignment="1" applyProtection="1">
      <alignment horizontal="center" vertical="center" wrapText="1"/>
      <protection locked="0"/>
    </xf>
    <xf numFmtId="0" fontId="94" fillId="28" borderId="5" xfId="13" applyFont="1" applyFill="1" applyBorder="1" applyAlignment="1" applyProtection="1">
      <alignment horizontal="center" vertical="center" wrapText="1"/>
      <protection locked="0"/>
    </xf>
    <xf numFmtId="0" fontId="94" fillId="28" borderId="6" xfId="13" applyFont="1" applyFill="1" applyBorder="1" applyAlignment="1" applyProtection="1">
      <alignment horizontal="center" vertical="center" wrapText="1"/>
      <protection locked="0"/>
    </xf>
    <xf numFmtId="0" fontId="94" fillId="16" borderId="4" xfId="13" applyFont="1" applyFill="1" applyBorder="1" applyAlignment="1" applyProtection="1">
      <alignment horizontal="center" vertical="center" wrapText="1"/>
    </xf>
    <xf numFmtId="0" fontId="94" fillId="16" borderId="5" xfId="13" applyFont="1" applyFill="1" applyBorder="1" applyAlignment="1" applyProtection="1">
      <alignment horizontal="center" vertical="center" wrapText="1"/>
    </xf>
    <xf numFmtId="0" fontId="91" fillId="25" borderId="14" xfId="12" applyAlignment="1">
      <alignment horizontal="left" vertical="center"/>
    </xf>
    <xf numFmtId="0" fontId="44" fillId="8" borderId="5" xfId="0" applyFont="1" applyFill="1" applyBorder="1" applyAlignment="1">
      <alignment horizontal="center" vertical="center"/>
    </xf>
    <xf numFmtId="0" fontId="44" fillId="8" borderId="6" xfId="0" applyFont="1" applyFill="1" applyBorder="1" applyAlignment="1">
      <alignment horizontal="center" vertical="center"/>
    </xf>
    <xf numFmtId="0" fontId="99" fillId="28" borderId="10" xfId="2" applyFont="1" applyFill="1" applyBorder="1" applyAlignment="1" applyProtection="1">
      <alignment horizontal="center" vertical="center" wrapText="1"/>
      <protection locked="0"/>
    </xf>
    <xf numFmtId="0" fontId="99" fillId="28" borderId="11" xfId="2" applyFont="1" applyFill="1" applyBorder="1" applyAlignment="1" applyProtection="1">
      <alignment horizontal="center" vertical="center" wrapText="1"/>
      <protection locked="0"/>
    </xf>
  </cellXfs>
  <cellStyles count="37">
    <cellStyle name="40% - Accent5" xfId="14" builtinId="47"/>
    <cellStyle name="40% - Accent5 10" xfId="24" xr:uid="{71FE0213-9191-4153-A5D2-33B8E56BD405}"/>
    <cellStyle name="40% - Accent5 11" xfId="25" xr:uid="{F369736D-7287-4981-8DF2-BA2D29733ACB}"/>
    <cellStyle name="40% - Accent5 12" xfId="26" xr:uid="{489C2876-813A-48F8-96C1-6D03DD0506F8}"/>
    <cellStyle name="40% - Accent5 13" xfId="28" xr:uid="{EA2CC223-53D7-4809-B657-51EE9B011B78}"/>
    <cellStyle name="40% - Accent5 14" xfId="29" xr:uid="{8B88F9F9-74D1-48B7-BDB3-89F9CBB24CBE}"/>
    <cellStyle name="40% - Accent5 15" xfId="31" xr:uid="{C5D1F1AF-68CA-44BB-AB3D-316AC0451B5A}"/>
    <cellStyle name="40% - Accent5 16" xfId="32" xr:uid="{4916647B-0F3E-4C24-B0D2-6AA1A457DEA6}"/>
    <cellStyle name="40% - Accent5 17" xfId="33" xr:uid="{85D57254-7C8E-4F6B-BD70-ECBC9D53E427}"/>
    <cellStyle name="40% - Accent5 18" xfId="34" xr:uid="{57165348-EDD8-4AD1-9ACE-3306CF237454}"/>
    <cellStyle name="40% - Accent5 18 2" xfId="35" xr:uid="{3EC34E98-29CB-458E-B474-AF1150B6233D}"/>
    <cellStyle name="40% - Accent5 18 3" xfId="36" xr:uid="{38056A61-D853-45E0-9346-319C345F5D9D}"/>
    <cellStyle name="40% - Accent5 2" xfId="16" xr:uid="{E02BD580-0412-40C4-AFB1-B8E78FEEA965}"/>
    <cellStyle name="40% - Accent5 3" xfId="17" xr:uid="{CD09EDFE-0A90-4BBD-A61A-76527B03F746}"/>
    <cellStyle name="40% - Accent5 4" xfId="18" xr:uid="{11F07AEA-9B6E-47DA-8798-70CCEDB37012}"/>
    <cellStyle name="40% - Accent5 5" xfId="19" xr:uid="{3D42A060-751E-49BE-AB77-50870AEEF818}"/>
    <cellStyle name="40% - Accent5 6" xfId="20" xr:uid="{D7C1948A-9FF2-41D0-8C88-E40F62306856}"/>
    <cellStyle name="40% - Accent5 7" xfId="21" xr:uid="{D7852DCF-5584-44C4-A0CC-F2B2052A96D6}"/>
    <cellStyle name="40% - Accent5 8" xfId="22" xr:uid="{A894F195-D861-4AA9-8383-6A31E5FE71A5}"/>
    <cellStyle name="40% - Accent5 9" xfId="23" xr:uid="{D11E9EA3-7956-4AEF-AEC6-ACE93170BD8C}"/>
    <cellStyle name="Accent5" xfId="13" builtinId="45"/>
    <cellStyle name="Calculation" xfId="1" builtinId="22"/>
    <cellStyle name="Hyperlink" xfId="2" builtinId="8"/>
    <cellStyle name="Input" xfId="12" builtinId="20"/>
    <cellStyle name="Normal" xfId="0" builtinId="0"/>
    <cellStyle name="Normal 2" xfId="3" xr:uid="{00000000-0005-0000-0000-000003000000}"/>
    <cellStyle name="Normal 2 2" xfId="4" xr:uid="{00000000-0005-0000-0000-000004000000}"/>
    <cellStyle name="Normal 2 2 2" xfId="15" xr:uid="{E055202A-6D3D-413F-9F54-8925A63EF0CB}"/>
    <cellStyle name="Normal 2 3" xfId="9" xr:uid="{D4190D66-FBB4-495A-B63D-24107AA25138}"/>
    <cellStyle name="Normal 3" xfId="5" xr:uid="{00000000-0005-0000-0000-000005000000}"/>
    <cellStyle name="Normal 3 2" xfId="6" xr:uid="{00000000-0005-0000-0000-000006000000}"/>
    <cellStyle name="Normal 3 3" xfId="10" xr:uid="{2D8F856E-DEBA-4A4D-A0B8-A8833DC84CF2}"/>
    <cellStyle name="Normal 4" xfId="11" xr:uid="{FA03DA3C-6890-48A9-8E15-AF189BAA96E6}"/>
    <cellStyle name="Normal 5" xfId="27" xr:uid="{26A5E151-93E7-4FA5-8CB5-3BFAC1804680}"/>
    <cellStyle name="Normal_AEF 0XXX M - MA Process Evaluation Form - v2 - draft" xfId="7" xr:uid="{00000000-0005-0000-0000-000007000000}"/>
    <cellStyle name="Output" xfId="8" builtinId="21"/>
    <cellStyle name="Title" xfId="30" builtinId="15"/>
  </cellStyles>
  <dxfs count="7845">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ont>
        <color rgb="FF0070C0"/>
      </font>
    </dxf>
    <dxf>
      <fill>
        <patternFill>
          <bgColor indexed="22"/>
        </patternFill>
      </fill>
    </dxf>
    <dxf>
      <fill>
        <patternFill>
          <bgColor indexed="22"/>
        </patternFill>
      </fill>
    </dxf>
    <dxf>
      <fill>
        <patternFill>
          <bgColor indexed="22"/>
        </patternFill>
      </fill>
    </dxf>
    <dxf>
      <fill>
        <patternFill>
          <bgColor indexed="22"/>
        </patternFill>
      </fill>
    </dxf>
    <dxf>
      <font>
        <color rgb="FF0070C0"/>
      </font>
    </dxf>
    <dxf>
      <fill>
        <patternFill>
          <bgColor indexed="22"/>
        </patternFill>
      </fill>
    </dxf>
    <dxf>
      <fill>
        <patternFill>
          <bgColor indexed="22"/>
        </patternFill>
      </fill>
    </dxf>
    <dxf>
      <fill>
        <patternFill>
          <bgColor indexed="22"/>
        </patternFill>
      </fill>
    </dxf>
    <dxf>
      <fill>
        <patternFill>
          <bgColor indexed="22"/>
        </patternFill>
      </fill>
    </dxf>
    <dxf>
      <font>
        <color rgb="FF0070C0"/>
      </font>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ont>
        <color rgb="FF0070C0"/>
      </font>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ont>
        <color rgb="FF0070C0"/>
      </font>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22"/>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22"/>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ont>
        <color rgb="FF0070C0"/>
      </font>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gradientFill degree="90">
          <stop position="0">
            <color theme="3" tint="0.80001220740379042"/>
          </stop>
          <stop position="1">
            <color theme="4"/>
          </stop>
        </gradientFill>
      </fill>
    </dxf>
    <dxf>
      <fill>
        <gradientFill degree="90">
          <stop position="0">
            <color theme="6" tint="0.80001220740379042"/>
          </stop>
          <stop position="1">
            <color rgb="FF00B050"/>
          </stop>
        </gradientFill>
      </fill>
    </dxf>
    <dxf>
      <fill>
        <gradientFill degree="90">
          <stop position="0">
            <color rgb="FFFFFF00"/>
          </stop>
          <stop position="1">
            <color rgb="FFFFC000"/>
          </stop>
        </gradientFill>
      </fill>
    </dxf>
    <dxf>
      <fill>
        <gradientFill degree="90">
          <stop position="0">
            <color theme="9" tint="0.59999389629810485"/>
          </stop>
          <stop position="1">
            <color rgb="FFFF0000"/>
          </stop>
        </gradient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11"/>
        </patternFill>
      </fill>
    </dxf>
    <dxf>
      <fill>
        <patternFill>
          <bgColor indexed="10"/>
        </patternFill>
      </fill>
    </dxf>
    <dxf>
      <fill>
        <patternFill>
          <bgColor indexed="10"/>
        </patternFill>
      </fill>
    </dxf>
    <dxf>
      <fill>
        <patternFill>
          <bgColor indexed="11"/>
        </patternFill>
      </fill>
    </dxf>
    <dxf>
      <fill>
        <patternFill>
          <bgColor indexed="22"/>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rder>
    </dxf>
    <dxf>
      <border outline="0">
        <bottom style="thin">
          <color indexed="64"/>
        </bottom>
      </border>
    </dxf>
    <dxf>
      <font>
        <b val="0"/>
        <i val="0"/>
        <strike val="0"/>
        <condense val="0"/>
        <extend val="0"/>
        <outline val="0"/>
        <shadow val="0"/>
        <u val="none"/>
        <vertAlign val="baseline"/>
        <sz val="14"/>
        <color theme="1"/>
        <name val="Calibri"/>
        <family val="2"/>
        <scheme val="minor"/>
      </font>
      <fill>
        <patternFill patternType="solid">
          <fgColor indexed="64"/>
          <bgColor theme="0" tint="-0.249977111117893"/>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0"/>
    </dxf>
  </dxfs>
  <tableStyles count="0" defaultTableStyle="TableStyleMedium2"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externalLink" Target="externalLinks/externalLink2.xml"/><Relationship Id="rId17" Type="http://schemas.openxmlformats.org/officeDocument/2006/relationships/styles" Target="styles.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24" Type="http://schemas.openxmlformats.org/officeDocument/2006/relationships/customXml" Target="../customXml/item5.xml"/><Relationship Id="rId5" Type="http://schemas.openxmlformats.org/officeDocument/2006/relationships/worksheet" Target="worksheets/sheet5.xml"/><Relationship Id="rId15" Type="http://schemas.openxmlformats.org/officeDocument/2006/relationships/externalLink" Target="externalLinks/externalLink5.xml"/><Relationship Id="rId23"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4.xml"/><Relationship Id="rId22" Type="http://schemas.openxmlformats.org/officeDocument/2006/relationships/customXml" Target="../customXml/item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Checklist conformity</a:t>
            </a:r>
          </a:p>
        </c:rich>
      </c:tx>
      <c:layout>
        <c:manualLayout>
          <c:xMode val="edge"/>
          <c:yMode val="edge"/>
          <c:x val="0.20698970321017565"/>
          <c:y val="5.2483050926054736E-2"/>
        </c:manualLayout>
      </c:layout>
      <c:overlay val="0"/>
    </c:title>
    <c:autoTitleDeleted val="0"/>
    <c:plotArea>
      <c:layout>
        <c:manualLayout>
          <c:layoutTarget val="inner"/>
          <c:xMode val="edge"/>
          <c:yMode val="edge"/>
          <c:x val="6.8000000000000005E-2"/>
          <c:y val="0.22393864611985348"/>
          <c:w val="0.88342154791626659"/>
          <c:h val="0.60617874897960333"/>
        </c:manualLayout>
      </c:layout>
      <c:barChart>
        <c:barDir val="col"/>
        <c:grouping val="clustered"/>
        <c:varyColors val="0"/>
        <c:ser>
          <c:idx val="0"/>
          <c:order val="0"/>
          <c:spPr>
            <a:solidFill>
              <a:srgbClr val="00B050"/>
            </a:solidFill>
          </c:spPr>
          <c:invertIfNegative val="0"/>
          <c:dPt>
            <c:idx val="1"/>
            <c:invertIfNegative val="0"/>
            <c:bubble3D val="0"/>
            <c:spPr>
              <a:solidFill>
                <a:srgbClr val="FF0000"/>
              </a:solidFill>
            </c:spPr>
            <c:extLst>
              <c:ext xmlns:c16="http://schemas.microsoft.com/office/drawing/2014/chart" uri="{C3380CC4-5D6E-409C-BE32-E72D297353CC}">
                <c16:uniqueId val="{00000000-BE50-4460-9773-B36FA58A0FA9}"/>
              </c:ext>
            </c:extLst>
          </c:dPt>
          <c:dLbls>
            <c:spPr>
              <a:noFill/>
              <a:ln>
                <a:noFill/>
              </a:ln>
              <a:effectLst/>
            </c:spPr>
            <c:txPr>
              <a:bodyPr wrap="square" lIns="38100" tIns="19050" rIns="38100" bIns="19050" anchor="ctr">
                <a:spAutoFit/>
              </a:bodyPr>
              <a:lstStyle/>
              <a:p>
                <a:pPr>
                  <a:defRPr sz="200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Metrics!$C$25:$C$26</c:f>
              <c:strCache>
                <c:ptCount val="2"/>
                <c:pt idx="0">
                  <c:v>Conformities</c:v>
                </c:pt>
                <c:pt idx="1">
                  <c:v>Non conformities</c:v>
                </c:pt>
              </c:strCache>
            </c:strRef>
          </c:cat>
          <c:val>
            <c:numRef>
              <c:f>Metrics!$D$25:$D$26</c:f>
              <c:numCache>
                <c:formatCode>General</c:formatCode>
                <c:ptCount val="2"/>
                <c:pt idx="0">
                  <c:v>55</c:v>
                </c:pt>
                <c:pt idx="1">
                  <c:v>6</c:v>
                </c:pt>
              </c:numCache>
            </c:numRef>
          </c:val>
          <c:extLst>
            <c:ext xmlns:c16="http://schemas.microsoft.com/office/drawing/2014/chart" uri="{C3380CC4-5D6E-409C-BE32-E72D297353CC}">
              <c16:uniqueId val="{00000001-BE50-4460-9773-B36FA58A0FA9}"/>
            </c:ext>
          </c:extLst>
        </c:ser>
        <c:dLbls>
          <c:showLegendKey val="0"/>
          <c:showVal val="0"/>
          <c:showCatName val="0"/>
          <c:showSerName val="0"/>
          <c:showPercent val="0"/>
          <c:showBubbleSize val="0"/>
        </c:dLbls>
        <c:gapWidth val="150"/>
        <c:axId val="647719336"/>
        <c:axId val="1"/>
      </c:barChart>
      <c:catAx>
        <c:axId val="647719336"/>
        <c:scaling>
          <c:orientation val="minMax"/>
        </c:scaling>
        <c:delete val="0"/>
        <c:axPos val="b"/>
        <c:numFmt formatCode="General" sourceLinked="1"/>
        <c:majorTickMark val="out"/>
        <c:minorTickMark val="none"/>
        <c:tickLblPos val="nextTo"/>
        <c:txPr>
          <a:bodyPr rot="0" vert="horz"/>
          <a:lstStyle/>
          <a:p>
            <a:pPr>
              <a:defRPr sz="1100" b="0" i="0" u="none" strike="noStrike" baseline="0">
                <a:solidFill>
                  <a:srgbClr val="000000"/>
                </a:solidFill>
                <a:latin typeface="Calibri"/>
                <a:ea typeface="Calibri"/>
                <a:cs typeface="Calibri"/>
              </a:defRPr>
            </a:pPr>
            <a:endParaRPr lang="en-US"/>
          </a:p>
        </c:txPr>
        <c:crossAx val="1"/>
        <c:crosses val="autoZero"/>
        <c:auto val="1"/>
        <c:lblAlgn val="ctr"/>
        <c:lblOffset val="100"/>
        <c:tickLblSkip val="1"/>
        <c:tickMarkSkip val="1"/>
        <c:noMultiLvlLbl val="0"/>
      </c:catAx>
      <c:valAx>
        <c:axId val="1"/>
        <c:scaling>
          <c:orientation val="minMax"/>
        </c:scaling>
        <c:delete val="0"/>
        <c:axPos val="l"/>
        <c:majorGridlines/>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647719336"/>
        <c:crosses val="autoZero"/>
        <c:crossBetween val="between"/>
        <c:minorUnit val="1"/>
      </c:valAx>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alignWithMargins="0"/>
    <c:pageMargins b="1" l="0.75" r="0.75" t="1" header="0.4921259845" footer="0.492125984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Status</a:t>
            </a:r>
          </a:p>
        </c:rich>
      </c:tx>
      <c:overlay val="0"/>
    </c:title>
    <c:autoTitleDeleted val="0"/>
    <c:view3D>
      <c:rotX val="75"/>
      <c:rotY val="0"/>
      <c:rAngAx val="0"/>
      <c:perspective val="0"/>
    </c:view3D>
    <c:floor>
      <c:thickness val="0"/>
    </c:floor>
    <c:sideWall>
      <c:thickness val="0"/>
    </c:sideWall>
    <c:backWall>
      <c:thickness val="0"/>
    </c:backWall>
    <c:plotArea>
      <c:layout/>
      <c:pie3DChart>
        <c:varyColors val="1"/>
        <c:ser>
          <c:idx val="0"/>
          <c:order val="0"/>
          <c:tx>
            <c:strRef>
              <c:f>Metrics!$D$31</c:f>
              <c:strCache>
                <c:ptCount val="1"/>
                <c:pt idx="0">
                  <c:v>Total</c:v>
                </c:pt>
              </c:strCache>
            </c:strRef>
          </c:tx>
          <c:dPt>
            <c:idx val="0"/>
            <c:bubble3D val="0"/>
            <c:spPr>
              <a:solidFill>
                <a:srgbClr val="FF0000"/>
              </a:solidFill>
            </c:spPr>
            <c:extLst>
              <c:ext xmlns:c16="http://schemas.microsoft.com/office/drawing/2014/chart" uri="{C3380CC4-5D6E-409C-BE32-E72D297353CC}">
                <c16:uniqueId val="{00000000-0394-4E67-8269-0406A5D098FB}"/>
              </c:ext>
            </c:extLst>
          </c:dPt>
          <c:dPt>
            <c:idx val="1"/>
            <c:bubble3D val="0"/>
            <c:spPr>
              <a:solidFill>
                <a:srgbClr val="FFC000"/>
              </a:solidFill>
            </c:spPr>
            <c:extLst>
              <c:ext xmlns:c16="http://schemas.microsoft.com/office/drawing/2014/chart" uri="{C3380CC4-5D6E-409C-BE32-E72D297353CC}">
                <c16:uniqueId val="{00000001-0394-4E67-8269-0406A5D098FB}"/>
              </c:ext>
            </c:extLst>
          </c:dPt>
          <c:dPt>
            <c:idx val="2"/>
            <c:bubble3D val="0"/>
            <c:spPr>
              <a:solidFill>
                <a:srgbClr val="00B050"/>
              </a:solidFill>
            </c:spPr>
            <c:extLst>
              <c:ext xmlns:c16="http://schemas.microsoft.com/office/drawing/2014/chart" uri="{C3380CC4-5D6E-409C-BE32-E72D297353CC}">
                <c16:uniqueId val="{00000002-0394-4E67-8269-0406A5D098FB}"/>
              </c:ext>
            </c:extLst>
          </c:dPt>
          <c:dPt>
            <c:idx val="3"/>
            <c:bubble3D val="0"/>
            <c:spPr>
              <a:solidFill>
                <a:srgbClr val="FFFF00"/>
              </a:solidFill>
            </c:spPr>
            <c:extLst>
              <c:ext xmlns:c16="http://schemas.microsoft.com/office/drawing/2014/chart" uri="{C3380CC4-5D6E-409C-BE32-E72D297353CC}">
                <c16:uniqueId val="{00000003-0394-4E67-8269-0406A5D098FB}"/>
              </c:ext>
            </c:extLst>
          </c:dPt>
          <c:dPt>
            <c:idx val="4"/>
            <c:bubble3D val="0"/>
            <c:extLst>
              <c:ext xmlns:c16="http://schemas.microsoft.com/office/drawing/2014/chart" uri="{C3380CC4-5D6E-409C-BE32-E72D297353CC}">
                <c16:uniqueId val="{00000004-0394-4E67-8269-0406A5D098FB}"/>
              </c:ext>
            </c:extLst>
          </c:dPt>
          <c:dLbls>
            <c:spPr>
              <a:noFill/>
              <a:ln w="25400">
                <a:noFill/>
              </a:ln>
            </c:spPr>
            <c:txPr>
              <a:bodyPr wrap="square" lIns="38100" tIns="19050" rIns="38100" bIns="19050" anchor="ctr">
                <a:spAutoFit/>
              </a:bodyPr>
              <a:lstStyle/>
              <a:p>
                <a:pPr>
                  <a:defRPr sz="1100" b="1"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1"/>
            <c:extLst>
              <c:ext xmlns:c15="http://schemas.microsoft.com/office/drawing/2012/chart" uri="{CE6537A1-D6FC-4f65-9D91-7224C49458BB}"/>
            </c:extLst>
          </c:dLbls>
          <c:cat>
            <c:strRef>
              <c:f>Metrics!$C$32:$C$36</c:f>
              <c:strCache>
                <c:ptCount val="5"/>
                <c:pt idx="0">
                  <c:v>Open</c:v>
                </c:pt>
                <c:pt idx="1">
                  <c:v>To be fixed</c:v>
                </c:pt>
                <c:pt idx="2">
                  <c:v>Fixed</c:v>
                </c:pt>
                <c:pt idx="3">
                  <c:v>Postponed</c:v>
                </c:pt>
                <c:pt idx="4">
                  <c:v>Will not fixed (or invalid)</c:v>
                </c:pt>
              </c:strCache>
            </c:strRef>
          </c:cat>
          <c:val>
            <c:numRef>
              <c:f>Metrics!$D$32:$D$36</c:f>
              <c:numCache>
                <c:formatCode>General</c:formatCode>
                <c:ptCount val="5"/>
                <c:pt idx="0">
                  <c:v>18</c:v>
                </c:pt>
                <c:pt idx="1">
                  <c:v>0</c:v>
                </c:pt>
                <c:pt idx="2">
                  <c:v>128</c:v>
                </c:pt>
                <c:pt idx="3">
                  <c:v>2</c:v>
                </c:pt>
                <c:pt idx="4">
                  <c:v>98</c:v>
                </c:pt>
              </c:numCache>
            </c:numRef>
          </c:val>
          <c:extLst>
            <c:ext xmlns:c16="http://schemas.microsoft.com/office/drawing/2014/chart" uri="{C3380CC4-5D6E-409C-BE32-E72D297353CC}">
              <c16:uniqueId val="{00000005-0394-4E67-8269-0406A5D098FB}"/>
            </c:ext>
          </c:extLst>
        </c:ser>
        <c:dLbls>
          <c:showLegendKey val="0"/>
          <c:showVal val="0"/>
          <c:showCatName val="0"/>
          <c:showSerName val="0"/>
          <c:showPercent val="0"/>
          <c:showBubbleSize val="0"/>
          <c:showLeaderLines val="1"/>
        </c:dLbls>
      </c:pie3DChart>
    </c:plotArea>
    <c:legend>
      <c:legendPos val="r"/>
      <c:overlay val="0"/>
      <c:txPr>
        <a:bodyPr/>
        <a:lstStyle/>
        <a:p>
          <a:pPr>
            <a:defRPr sz="85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Approval status</a:t>
            </a:r>
          </a:p>
        </c:rich>
      </c:tx>
      <c:overlay val="0"/>
    </c:title>
    <c:autoTitleDeleted val="0"/>
    <c:view3D>
      <c:rotX val="75"/>
      <c:rotY val="0"/>
      <c:rAngAx val="0"/>
      <c:perspective val="0"/>
    </c:view3D>
    <c:floor>
      <c:thickness val="0"/>
    </c:floor>
    <c:sideWall>
      <c:thickness val="0"/>
    </c:sideWall>
    <c:backWall>
      <c:thickness val="0"/>
    </c:backWall>
    <c:plotArea>
      <c:layout/>
      <c:pie3DChart>
        <c:varyColors val="1"/>
        <c:ser>
          <c:idx val="0"/>
          <c:order val="0"/>
          <c:tx>
            <c:strRef>
              <c:f>Metrics!$D$40</c:f>
              <c:strCache>
                <c:ptCount val="1"/>
                <c:pt idx="0">
                  <c:v>Total</c:v>
                </c:pt>
              </c:strCache>
            </c:strRef>
          </c:tx>
          <c:dPt>
            <c:idx val="0"/>
            <c:bubble3D val="0"/>
            <c:spPr>
              <a:solidFill>
                <a:srgbClr val="00B050"/>
              </a:solidFill>
            </c:spPr>
            <c:extLst>
              <c:ext xmlns:c16="http://schemas.microsoft.com/office/drawing/2014/chart" uri="{C3380CC4-5D6E-409C-BE32-E72D297353CC}">
                <c16:uniqueId val="{00000000-77C7-4B8A-B4C3-7458033946D6}"/>
              </c:ext>
            </c:extLst>
          </c:dPt>
          <c:dPt>
            <c:idx val="1"/>
            <c:bubble3D val="0"/>
            <c:spPr>
              <a:solidFill>
                <a:srgbClr val="FFC000"/>
              </a:solidFill>
            </c:spPr>
            <c:extLst>
              <c:ext xmlns:c16="http://schemas.microsoft.com/office/drawing/2014/chart" uri="{C3380CC4-5D6E-409C-BE32-E72D297353CC}">
                <c16:uniqueId val="{00000001-77C7-4B8A-B4C3-7458033946D6}"/>
              </c:ext>
            </c:extLst>
          </c:dPt>
          <c:dPt>
            <c:idx val="2"/>
            <c:bubble3D val="0"/>
            <c:spPr>
              <a:solidFill>
                <a:srgbClr val="FF0000"/>
              </a:solidFill>
            </c:spPr>
            <c:extLst>
              <c:ext xmlns:c16="http://schemas.microsoft.com/office/drawing/2014/chart" uri="{C3380CC4-5D6E-409C-BE32-E72D297353CC}">
                <c16:uniqueId val="{00000002-77C7-4B8A-B4C3-7458033946D6}"/>
              </c:ext>
            </c:extLst>
          </c:dPt>
          <c:dLbls>
            <c:spPr>
              <a:noFill/>
              <a:ln w="25400">
                <a:noFill/>
              </a:ln>
            </c:spPr>
            <c:txPr>
              <a:bodyPr wrap="square" lIns="38100" tIns="19050" rIns="38100" bIns="19050" anchor="ctr">
                <a:spAutoFit/>
              </a:bodyPr>
              <a:lstStyle/>
              <a:p>
                <a:pPr>
                  <a:defRPr sz="1100" b="1"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1"/>
            <c:extLst>
              <c:ext xmlns:c15="http://schemas.microsoft.com/office/drawing/2012/chart" uri="{CE6537A1-D6FC-4f65-9D91-7224C49458BB}"/>
            </c:extLst>
          </c:dLbls>
          <c:cat>
            <c:strRef>
              <c:f>Metrics!$C$41:$C$43</c:f>
              <c:strCache>
                <c:ptCount val="3"/>
                <c:pt idx="0">
                  <c:v>Approved (closed)</c:v>
                </c:pt>
                <c:pt idx="1">
                  <c:v>Postponed and approved</c:v>
                </c:pt>
                <c:pt idx="2">
                  <c:v>Not approved</c:v>
                </c:pt>
              </c:strCache>
            </c:strRef>
          </c:cat>
          <c:val>
            <c:numRef>
              <c:f>Metrics!$D$41:$D$43</c:f>
              <c:numCache>
                <c:formatCode>General</c:formatCode>
                <c:ptCount val="3"/>
                <c:pt idx="0">
                  <c:v>226</c:v>
                </c:pt>
                <c:pt idx="1">
                  <c:v>2</c:v>
                </c:pt>
                <c:pt idx="2">
                  <c:v>18</c:v>
                </c:pt>
              </c:numCache>
            </c:numRef>
          </c:val>
          <c:extLst>
            <c:ext xmlns:c16="http://schemas.microsoft.com/office/drawing/2014/chart" uri="{C3380CC4-5D6E-409C-BE32-E72D297353CC}">
              <c16:uniqueId val="{00000003-77C7-4B8A-B4C3-7458033946D6}"/>
            </c:ext>
          </c:extLst>
        </c:ser>
        <c:dLbls>
          <c:showLegendKey val="0"/>
          <c:showVal val="0"/>
          <c:showCatName val="0"/>
          <c:showSerName val="0"/>
          <c:showPercent val="0"/>
          <c:showBubbleSize val="0"/>
          <c:showLeaderLines val="1"/>
        </c:dLbls>
      </c:pie3DChart>
      <c:spPr>
        <a:noFill/>
        <a:ln w="25400">
          <a:noFill/>
        </a:ln>
      </c:spPr>
    </c:plotArea>
    <c:legend>
      <c:legendPos val="r"/>
      <c:overlay val="0"/>
      <c:txPr>
        <a:bodyPr/>
        <a:lstStyle/>
        <a:p>
          <a:pPr>
            <a:defRPr sz="85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editAs="oneCell">
    <xdr:from>
      <xdr:col>0</xdr:col>
      <xdr:colOff>19050</xdr:colOff>
      <xdr:row>0</xdr:row>
      <xdr:rowOff>0</xdr:rowOff>
    </xdr:from>
    <xdr:to>
      <xdr:col>5</xdr:col>
      <xdr:colOff>18317</xdr:colOff>
      <xdr:row>3</xdr:row>
      <xdr:rowOff>2395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9050" y="0"/>
          <a:ext cx="981075" cy="478645"/>
        </a:xfrm>
        <a:prstGeom prst="rect">
          <a:avLst/>
        </a:prstGeom>
      </xdr:spPr>
    </xdr:pic>
    <xdr:clientData/>
  </xdr:twoCellAnchor>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18" name="ButtonUpdateFrontpage" hidden="1">
              <a:extLst>
                <a:ext uri="{63B3BB69-23CF-44E3-9099-C40C66FF867C}">
                  <a14:compatExt spid="_x0000_s2679818"/>
                </a:ext>
                <a:ext uri="{FF2B5EF4-FFF2-40B4-BE49-F238E27FC236}">
                  <a16:creationId xmlns:a16="http://schemas.microsoft.com/office/drawing/2014/main" id="{00000000-0008-0000-0000-00000A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19" name="ButtonUpdateFrontpage" hidden="1">
              <a:extLst>
                <a:ext uri="{63B3BB69-23CF-44E3-9099-C40C66FF867C}">
                  <a14:compatExt spid="_x0000_s2679819"/>
                </a:ext>
                <a:ext uri="{FF2B5EF4-FFF2-40B4-BE49-F238E27FC236}">
                  <a16:creationId xmlns:a16="http://schemas.microsoft.com/office/drawing/2014/main" id="{00000000-0008-0000-0000-00000B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0" name="ButtonUpdateFrontpage" hidden="1">
              <a:extLst>
                <a:ext uri="{63B3BB69-23CF-44E3-9099-C40C66FF867C}">
                  <a14:compatExt spid="_x0000_s2679820"/>
                </a:ext>
                <a:ext uri="{FF2B5EF4-FFF2-40B4-BE49-F238E27FC236}">
                  <a16:creationId xmlns:a16="http://schemas.microsoft.com/office/drawing/2014/main" id="{00000000-0008-0000-0000-00000C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1" name="ButtonUpdateFrontpage" hidden="1">
              <a:extLst>
                <a:ext uri="{63B3BB69-23CF-44E3-9099-C40C66FF867C}">
                  <a14:compatExt spid="_x0000_s2679821"/>
                </a:ext>
                <a:ext uri="{FF2B5EF4-FFF2-40B4-BE49-F238E27FC236}">
                  <a16:creationId xmlns:a16="http://schemas.microsoft.com/office/drawing/2014/main" id="{00000000-0008-0000-0000-00000D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2" name="ButtonUpdateFrontpage" hidden="1">
              <a:extLst>
                <a:ext uri="{63B3BB69-23CF-44E3-9099-C40C66FF867C}">
                  <a14:compatExt spid="_x0000_s2679822"/>
                </a:ext>
                <a:ext uri="{FF2B5EF4-FFF2-40B4-BE49-F238E27FC236}">
                  <a16:creationId xmlns:a16="http://schemas.microsoft.com/office/drawing/2014/main" id="{00000000-0008-0000-0000-00000E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8" name="ButtonUpdateFrontpage" hidden="1">
              <a:extLst>
                <a:ext uri="{63B3BB69-23CF-44E3-9099-C40C66FF867C}">
                  <a14:compatExt spid="_x0000_s2679828"/>
                </a:ext>
                <a:ext uri="{FF2B5EF4-FFF2-40B4-BE49-F238E27FC236}">
                  <a16:creationId xmlns:a16="http://schemas.microsoft.com/office/drawing/2014/main" id="{00000000-0008-0000-0000-000014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31" name="ButtonUpdateFrontpage" hidden="1">
              <a:extLst>
                <a:ext uri="{63B3BB69-23CF-44E3-9099-C40C66FF867C}">
                  <a14:compatExt spid="_x0000_s2679831"/>
                </a:ext>
                <a:ext uri="{FF2B5EF4-FFF2-40B4-BE49-F238E27FC236}">
                  <a16:creationId xmlns:a16="http://schemas.microsoft.com/office/drawing/2014/main" id="{00000000-0008-0000-0000-000017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40" name="ButtonUpdateFrontpage" hidden="1">
              <a:extLst>
                <a:ext uri="{63B3BB69-23CF-44E3-9099-C40C66FF867C}">
                  <a14:compatExt spid="_x0000_s2679840"/>
                </a:ext>
                <a:ext uri="{FF2B5EF4-FFF2-40B4-BE49-F238E27FC236}">
                  <a16:creationId xmlns:a16="http://schemas.microsoft.com/office/drawing/2014/main" id="{00000000-0008-0000-0000-000020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0</xdr:col>
      <xdr:colOff>0</xdr:colOff>
      <xdr:row>0</xdr:row>
      <xdr:rowOff>0</xdr:rowOff>
    </xdr:from>
    <xdr:ext cx="981075" cy="478645"/>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981075" cy="478645"/>
        </a:xfrm>
        <a:prstGeom prst="rect">
          <a:avLst/>
        </a:prstGeom>
      </xdr:spPr>
    </xdr:pic>
    <xdr:clientData/>
  </xdr:oneCellAnchor>
</xdr:wsDr>
</file>

<file path=xl/drawings/drawing3.xml><?xml version="1.0" encoding="utf-8"?>
<xdr:wsDr xmlns:xdr="http://schemas.openxmlformats.org/drawingml/2006/spreadsheetDrawing" xmlns:a="http://schemas.openxmlformats.org/drawingml/2006/main">
  <xdr:twoCellAnchor>
    <xdr:from>
      <xdr:col>2</xdr:col>
      <xdr:colOff>5410200</xdr:colOff>
      <xdr:row>44</xdr:row>
      <xdr:rowOff>0</xdr:rowOff>
    </xdr:from>
    <xdr:to>
      <xdr:col>3</xdr:col>
      <xdr:colOff>114300</xdr:colOff>
      <xdr:row>47</xdr:row>
      <xdr:rowOff>123825</xdr:rowOff>
    </xdr:to>
    <xdr:sp macro="" textlink="">
      <xdr:nvSpPr>
        <xdr:cNvPr id="41" name="TextBox 40">
          <a:extLst>
            <a:ext uri="{FF2B5EF4-FFF2-40B4-BE49-F238E27FC236}">
              <a16:creationId xmlns:a16="http://schemas.microsoft.com/office/drawing/2014/main" id="{00000000-0008-0000-0200-000029000000}"/>
            </a:ext>
          </a:extLst>
        </xdr:cNvPr>
        <xdr:cNvSpPr txBox="1"/>
      </xdr:nvSpPr>
      <xdr:spPr>
        <a:xfrm>
          <a:off x="6953250" y="11820525"/>
          <a:ext cx="1419225" cy="609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Whatever the status (fixed, plan to not fix or postponed)</a:t>
          </a:r>
        </a:p>
      </xdr:txBody>
    </xdr:sp>
    <xdr:clientData/>
  </xdr:twoCellAnchor>
  <xdr:twoCellAnchor>
    <xdr:from>
      <xdr:col>2</xdr:col>
      <xdr:colOff>2990849</xdr:colOff>
      <xdr:row>65</xdr:row>
      <xdr:rowOff>9525</xdr:rowOff>
    </xdr:from>
    <xdr:to>
      <xdr:col>2</xdr:col>
      <xdr:colOff>4410074</xdr:colOff>
      <xdr:row>66</xdr:row>
      <xdr:rowOff>123825</xdr:rowOff>
    </xdr:to>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4533899" y="11401425"/>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open</a:t>
          </a:r>
        </a:p>
      </xdr:txBody>
    </xdr:sp>
    <xdr:clientData/>
  </xdr:twoCellAnchor>
  <xdr:twoCellAnchor>
    <xdr:from>
      <xdr:col>2</xdr:col>
      <xdr:colOff>2190750</xdr:colOff>
      <xdr:row>61</xdr:row>
      <xdr:rowOff>47625</xdr:rowOff>
    </xdr:from>
    <xdr:to>
      <xdr:col>2</xdr:col>
      <xdr:colOff>3648075</xdr:colOff>
      <xdr:row>65</xdr:row>
      <xdr:rowOff>28575</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3733800" y="14106525"/>
          <a:ext cx="1457325" cy="6286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A reviewer submits an </a:t>
          </a:r>
          <a:r>
            <a:rPr lang="fr-FR" sz="1100">
              <a:solidFill>
                <a:schemeClr val="dk1"/>
              </a:solidFill>
              <a:effectLst/>
              <a:latin typeface="+mn-lt"/>
              <a:ea typeface="+mn-ea"/>
              <a:cs typeface="+mn-cs"/>
            </a:rPr>
            <a:t>OIN </a:t>
          </a:r>
          <a:r>
            <a:rPr lang="fr-FR" sz="800">
              <a:solidFill>
                <a:schemeClr val="dk1"/>
              </a:solidFill>
              <a:effectLst/>
              <a:latin typeface="+mn-lt"/>
              <a:ea typeface="+mn-ea"/>
              <a:cs typeface="+mn-cs"/>
            </a:rPr>
            <a:t>(Open Issue Number)</a:t>
          </a:r>
          <a:endParaRPr lang="fr-FR" sz="800"/>
        </a:p>
      </xdr:txBody>
    </xdr:sp>
    <xdr:clientData/>
  </xdr:twoCellAnchor>
  <xdr:twoCellAnchor>
    <xdr:from>
      <xdr:col>2</xdr:col>
      <xdr:colOff>3371849</xdr:colOff>
      <xdr:row>73</xdr:row>
      <xdr:rowOff>114300</xdr:rowOff>
    </xdr:from>
    <xdr:to>
      <xdr:col>2</xdr:col>
      <xdr:colOff>4791074</xdr:colOff>
      <xdr:row>75</xdr:row>
      <xdr:rowOff>66675</xdr:rowOff>
    </xdr:to>
    <xdr:sp macro="" textlink="">
      <xdr:nvSpPr>
        <xdr:cNvPr id="5" name="TextBox 4">
          <a:extLst>
            <a:ext uri="{FF2B5EF4-FFF2-40B4-BE49-F238E27FC236}">
              <a16:creationId xmlns:a16="http://schemas.microsoft.com/office/drawing/2014/main" id="{00000000-0008-0000-0200-000005000000}"/>
            </a:ext>
          </a:extLst>
        </xdr:cNvPr>
        <xdr:cNvSpPr txBox="1"/>
      </xdr:nvSpPr>
      <xdr:spPr>
        <a:xfrm>
          <a:off x="4914899" y="12801600"/>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open</a:t>
          </a:r>
        </a:p>
      </xdr:txBody>
    </xdr:sp>
    <xdr:clientData/>
  </xdr:twoCellAnchor>
  <xdr:twoCellAnchor>
    <xdr:from>
      <xdr:col>2</xdr:col>
      <xdr:colOff>2181225</xdr:colOff>
      <xdr:row>69</xdr:row>
      <xdr:rowOff>133350</xdr:rowOff>
    </xdr:from>
    <xdr:to>
      <xdr:col>2</xdr:col>
      <xdr:colOff>3638550</xdr:colOff>
      <xdr:row>74</xdr:row>
      <xdr:rowOff>0</xdr:rowOff>
    </xdr:to>
    <xdr:sp macro="" textlink="">
      <xdr:nvSpPr>
        <xdr:cNvPr id="6" name="TextBox 5">
          <a:extLst>
            <a:ext uri="{FF2B5EF4-FFF2-40B4-BE49-F238E27FC236}">
              <a16:creationId xmlns:a16="http://schemas.microsoft.com/office/drawing/2014/main" id="{00000000-0008-0000-0200-000006000000}"/>
            </a:ext>
          </a:extLst>
        </xdr:cNvPr>
        <xdr:cNvSpPr txBox="1"/>
      </xdr:nvSpPr>
      <xdr:spPr>
        <a:xfrm>
          <a:off x="3724275" y="12172950"/>
          <a:ext cx="1457325" cy="67627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analyses the OIN</a:t>
          </a:r>
        </a:p>
      </xdr:txBody>
    </xdr:sp>
    <xdr:clientData/>
  </xdr:twoCellAnchor>
  <xdr:twoCellAnchor>
    <xdr:from>
      <xdr:col>2</xdr:col>
      <xdr:colOff>571499</xdr:colOff>
      <xdr:row>82</xdr:row>
      <xdr:rowOff>19050</xdr:rowOff>
    </xdr:from>
    <xdr:to>
      <xdr:col>2</xdr:col>
      <xdr:colOff>1990724</xdr:colOff>
      <xdr:row>83</xdr:row>
      <xdr:rowOff>133350</xdr:rowOff>
    </xdr:to>
    <xdr:sp macro="" textlink="">
      <xdr:nvSpPr>
        <xdr:cNvPr id="7" name="TextBox 6">
          <a:extLst>
            <a:ext uri="{FF2B5EF4-FFF2-40B4-BE49-F238E27FC236}">
              <a16:creationId xmlns:a16="http://schemas.microsoft.com/office/drawing/2014/main" id="{00000000-0008-0000-0200-000007000000}"/>
            </a:ext>
          </a:extLst>
        </xdr:cNvPr>
        <xdr:cNvSpPr txBox="1"/>
      </xdr:nvSpPr>
      <xdr:spPr>
        <a:xfrm>
          <a:off x="2114549" y="14163675"/>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to be fixed</a:t>
          </a:r>
        </a:p>
      </xdr:txBody>
    </xdr:sp>
    <xdr:clientData/>
  </xdr:twoCellAnchor>
  <xdr:twoCellAnchor>
    <xdr:from>
      <xdr:col>1</xdr:col>
      <xdr:colOff>962025</xdr:colOff>
      <xdr:row>78</xdr:row>
      <xdr:rowOff>0</xdr:rowOff>
    </xdr:from>
    <xdr:to>
      <xdr:col>2</xdr:col>
      <xdr:colOff>1123950</xdr:colOff>
      <xdr:row>82</xdr:row>
      <xdr:rowOff>57150</xdr:rowOff>
    </xdr:to>
    <xdr:sp macro="" textlink="">
      <xdr:nvSpPr>
        <xdr:cNvPr id="8" name="TextBox 7">
          <a:extLst>
            <a:ext uri="{FF2B5EF4-FFF2-40B4-BE49-F238E27FC236}">
              <a16:creationId xmlns:a16="http://schemas.microsoft.com/office/drawing/2014/main" id="{00000000-0008-0000-0200-000008000000}"/>
            </a:ext>
          </a:extLst>
        </xdr:cNvPr>
        <xdr:cNvSpPr txBox="1"/>
      </xdr:nvSpPr>
      <xdr:spPr>
        <a:xfrm>
          <a:off x="1209675" y="13496925"/>
          <a:ext cx="1457325" cy="70485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decides to fix the OIN</a:t>
          </a:r>
        </a:p>
      </xdr:txBody>
    </xdr:sp>
    <xdr:clientData/>
  </xdr:twoCellAnchor>
  <xdr:twoCellAnchor>
    <xdr:from>
      <xdr:col>2</xdr:col>
      <xdr:colOff>590549</xdr:colOff>
      <xdr:row>92</xdr:row>
      <xdr:rowOff>104775</xdr:rowOff>
    </xdr:from>
    <xdr:to>
      <xdr:col>2</xdr:col>
      <xdr:colOff>2009774</xdr:colOff>
      <xdr:row>94</xdr:row>
      <xdr:rowOff>57150</xdr:rowOff>
    </xdr:to>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2133599" y="15868650"/>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fixed</a:t>
          </a:r>
        </a:p>
      </xdr:txBody>
    </xdr:sp>
    <xdr:clientData/>
  </xdr:twoCellAnchor>
  <xdr:twoCellAnchor>
    <xdr:from>
      <xdr:col>1</xdr:col>
      <xdr:colOff>914400</xdr:colOff>
      <xdr:row>88</xdr:row>
      <xdr:rowOff>76200</xdr:rowOff>
    </xdr:from>
    <xdr:to>
      <xdr:col>2</xdr:col>
      <xdr:colOff>1076325</xdr:colOff>
      <xdr:row>92</xdr:row>
      <xdr:rowOff>133350</xdr:rowOff>
    </xdr:to>
    <xdr:sp macro="" textlink="">
      <xdr:nvSpPr>
        <xdr:cNvPr id="10" name="TextBox 9">
          <a:extLst>
            <a:ext uri="{FF2B5EF4-FFF2-40B4-BE49-F238E27FC236}">
              <a16:creationId xmlns:a16="http://schemas.microsoft.com/office/drawing/2014/main" id="{00000000-0008-0000-0200-00000A000000}"/>
            </a:ext>
          </a:extLst>
        </xdr:cNvPr>
        <xdr:cNvSpPr txBox="1"/>
      </xdr:nvSpPr>
      <xdr:spPr>
        <a:xfrm>
          <a:off x="1162050" y="15192375"/>
          <a:ext cx="1457325" cy="704850"/>
        </a:xfrm>
        <a:prstGeom prst="rect">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ctr"/>
        <a:lstStyle/>
        <a:p>
          <a:pPr algn="ctr"/>
          <a:r>
            <a:rPr lang="fr-FR" sz="1200"/>
            <a:t>The actor has fixed</a:t>
          </a:r>
          <a:r>
            <a:rPr lang="fr-FR" sz="1200" baseline="0"/>
            <a:t> the </a:t>
          </a:r>
          <a:r>
            <a:rPr lang="fr-FR" sz="1100">
              <a:solidFill>
                <a:schemeClr val="dk1"/>
              </a:solidFill>
              <a:effectLst/>
              <a:latin typeface="+mn-lt"/>
              <a:ea typeface="+mn-ea"/>
              <a:cs typeface="+mn-cs"/>
            </a:rPr>
            <a:t>OIN</a:t>
          </a:r>
          <a:endParaRPr lang="fr-FR" sz="1200"/>
        </a:p>
      </xdr:txBody>
    </xdr:sp>
    <xdr:clientData/>
  </xdr:twoCellAnchor>
  <xdr:twoCellAnchor>
    <xdr:from>
      <xdr:col>2</xdr:col>
      <xdr:colOff>3162299</xdr:colOff>
      <xdr:row>82</xdr:row>
      <xdr:rowOff>28575</xdr:rowOff>
    </xdr:from>
    <xdr:to>
      <xdr:col>2</xdr:col>
      <xdr:colOff>4762500</xdr:colOff>
      <xdr:row>83</xdr:row>
      <xdr:rowOff>142875</xdr:rowOff>
    </xdr:to>
    <xdr:sp macro="" textlink="">
      <xdr:nvSpPr>
        <xdr:cNvPr id="11" name="TextBox 10">
          <a:extLst>
            <a:ext uri="{FF2B5EF4-FFF2-40B4-BE49-F238E27FC236}">
              <a16:creationId xmlns:a16="http://schemas.microsoft.com/office/drawing/2014/main" id="{00000000-0008-0000-0200-00000B000000}"/>
            </a:ext>
          </a:extLst>
        </xdr:cNvPr>
        <xdr:cNvSpPr txBox="1"/>
      </xdr:nvSpPr>
      <xdr:spPr>
        <a:xfrm>
          <a:off x="4705349" y="14173200"/>
          <a:ext cx="1600201"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will not be fixed</a:t>
          </a:r>
        </a:p>
      </xdr:txBody>
    </xdr:sp>
    <xdr:clientData/>
  </xdr:twoCellAnchor>
  <xdr:twoCellAnchor>
    <xdr:from>
      <xdr:col>2</xdr:col>
      <xdr:colOff>2162175</xdr:colOff>
      <xdr:row>78</xdr:row>
      <xdr:rowOff>38100</xdr:rowOff>
    </xdr:from>
    <xdr:to>
      <xdr:col>2</xdr:col>
      <xdr:colOff>3619500</xdr:colOff>
      <xdr:row>82</xdr:row>
      <xdr:rowOff>76200</xdr:rowOff>
    </xdr:to>
    <xdr:sp macro="" textlink="">
      <xdr:nvSpPr>
        <xdr:cNvPr id="12" name="TextBox 11">
          <a:extLst>
            <a:ext uri="{FF2B5EF4-FFF2-40B4-BE49-F238E27FC236}">
              <a16:creationId xmlns:a16="http://schemas.microsoft.com/office/drawing/2014/main" id="{00000000-0008-0000-0200-00000C000000}"/>
            </a:ext>
          </a:extLst>
        </xdr:cNvPr>
        <xdr:cNvSpPr txBox="1"/>
      </xdr:nvSpPr>
      <xdr:spPr>
        <a:xfrm>
          <a:off x="3705225" y="13535025"/>
          <a:ext cx="1457325" cy="68580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decides to not fix the OIN</a:t>
          </a:r>
        </a:p>
      </xdr:txBody>
    </xdr:sp>
    <xdr:clientData/>
  </xdr:twoCellAnchor>
  <xdr:twoCellAnchor>
    <xdr:from>
      <xdr:col>2</xdr:col>
      <xdr:colOff>6048374</xdr:colOff>
      <xdr:row>82</xdr:row>
      <xdr:rowOff>28575</xdr:rowOff>
    </xdr:from>
    <xdr:to>
      <xdr:col>4</xdr:col>
      <xdr:colOff>428625</xdr:colOff>
      <xdr:row>83</xdr:row>
      <xdr:rowOff>142875</xdr:rowOff>
    </xdr:to>
    <xdr:sp macro="" textlink="">
      <xdr:nvSpPr>
        <xdr:cNvPr id="13" name="TextBox 12">
          <a:extLst>
            <a:ext uri="{FF2B5EF4-FFF2-40B4-BE49-F238E27FC236}">
              <a16:creationId xmlns:a16="http://schemas.microsoft.com/office/drawing/2014/main" id="{00000000-0008-0000-0200-00000D000000}"/>
            </a:ext>
          </a:extLst>
        </xdr:cNvPr>
        <xdr:cNvSpPr txBox="1"/>
      </xdr:nvSpPr>
      <xdr:spPr>
        <a:xfrm>
          <a:off x="7591424" y="17973675"/>
          <a:ext cx="1704976"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postponed</a:t>
          </a:r>
        </a:p>
      </xdr:txBody>
    </xdr:sp>
    <xdr:clientData/>
  </xdr:twoCellAnchor>
  <xdr:twoCellAnchor>
    <xdr:from>
      <xdr:col>2</xdr:col>
      <xdr:colOff>5248275</xdr:colOff>
      <xdr:row>78</xdr:row>
      <xdr:rowOff>9525</xdr:rowOff>
    </xdr:from>
    <xdr:to>
      <xdr:col>2</xdr:col>
      <xdr:colOff>6705600</xdr:colOff>
      <xdr:row>82</xdr:row>
      <xdr:rowOff>57150</xdr:rowOff>
    </xdr:to>
    <xdr:sp macro="" textlink="">
      <xdr:nvSpPr>
        <xdr:cNvPr id="14" name="TextBox 13">
          <a:extLst>
            <a:ext uri="{FF2B5EF4-FFF2-40B4-BE49-F238E27FC236}">
              <a16:creationId xmlns:a16="http://schemas.microsoft.com/office/drawing/2014/main" id="{00000000-0008-0000-0200-00000E000000}"/>
            </a:ext>
          </a:extLst>
        </xdr:cNvPr>
        <xdr:cNvSpPr txBox="1"/>
      </xdr:nvSpPr>
      <xdr:spPr>
        <a:xfrm>
          <a:off x="6791325" y="13506450"/>
          <a:ext cx="1457325" cy="69532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will treat the OIN later</a:t>
          </a:r>
        </a:p>
      </xdr:txBody>
    </xdr:sp>
    <xdr:clientData/>
  </xdr:twoCellAnchor>
  <xdr:twoCellAnchor>
    <xdr:from>
      <xdr:col>2</xdr:col>
      <xdr:colOff>6038849</xdr:colOff>
      <xdr:row>93</xdr:row>
      <xdr:rowOff>142875</xdr:rowOff>
    </xdr:from>
    <xdr:to>
      <xdr:col>3</xdr:col>
      <xdr:colOff>590549</xdr:colOff>
      <xdr:row>96</xdr:row>
      <xdr:rowOff>133350</xdr:rowOff>
    </xdr:to>
    <xdr:sp macro="" textlink="">
      <xdr:nvSpPr>
        <xdr:cNvPr id="15" name="TextBox 14">
          <a:extLst>
            <a:ext uri="{FF2B5EF4-FFF2-40B4-BE49-F238E27FC236}">
              <a16:creationId xmlns:a16="http://schemas.microsoft.com/office/drawing/2014/main" id="{00000000-0008-0000-0200-00000F000000}"/>
            </a:ext>
          </a:extLst>
        </xdr:cNvPr>
        <xdr:cNvSpPr txBox="1"/>
      </xdr:nvSpPr>
      <xdr:spPr>
        <a:xfrm>
          <a:off x="7581899" y="16068675"/>
          <a:ext cx="1419225" cy="476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rejected</a:t>
          </a:r>
        </a:p>
      </xdr:txBody>
    </xdr:sp>
    <xdr:clientData/>
  </xdr:twoCellAnchor>
  <xdr:twoCellAnchor>
    <xdr:from>
      <xdr:col>2</xdr:col>
      <xdr:colOff>5238750</xdr:colOff>
      <xdr:row>89</xdr:row>
      <xdr:rowOff>85725</xdr:rowOff>
    </xdr:from>
    <xdr:to>
      <xdr:col>2</xdr:col>
      <xdr:colOff>6696075</xdr:colOff>
      <xdr:row>93</xdr:row>
      <xdr:rowOff>152400</xdr:rowOff>
    </xdr:to>
    <xdr:sp macro="" textlink="">
      <xdr:nvSpPr>
        <xdr:cNvPr id="16" name="TextBox 15">
          <a:extLst>
            <a:ext uri="{FF2B5EF4-FFF2-40B4-BE49-F238E27FC236}">
              <a16:creationId xmlns:a16="http://schemas.microsoft.com/office/drawing/2014/main" id="{00000000-0008-0000-0200-000010000000}"/>
            </a:ext>
          </a:extLst>
        </xdr:cNvPr>
        <xdr:cNvSpPr txBox="1"/>
      </xdr:nvSpPr>
      <xdr:spPr>
        <a:xfrm>
          <a:off x="6781800" y="16173450"/>
          <a:ext cx="1457325" cy="71437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The reviewer does not accept the author decision</a:t>
          </a:r>
        </a:p>
      </xdr:txBody>
    </xdr:sp>
    <xdr:clientData/>
  </xdr:twoCellAnchor>
  <xdr:twoCellAnchor>
    <xdr:from>
      <xdr:col>2</xdr:col>
      <xdr:colOff>2990849</xdr:colOff>
      <xdr:row>105</xdr:row>
      <xdr:rowOff>57150</xdr:rowOff>
    </xdr:from>
    <xdr:to>
      <xdr:col>2</xdr:col>
      <xdr:colOff>4410074</xdr:colOff>
      <xdr:row>106</xdr:row>
      <xdr:rowOff>152400</xdr:rowOff>
    </xdr:to>
    <xdr:sp macro="" textlink="">
      <xdr:nvSpPr>
        <xdr:cNvPr id="17" name="TextBox 16">
          <a:extLst>
            <a:ext uri="{FF2B5EF4-FFF2-40B4-BE49-F238E27FC236}">
              <a16:creationId xmlns:a16="http://schemas.microsoft.com/office/drawing/2014/main" id="{00000000-0008-0000-0200-000011000000}"/>
            </a:ext>
          </a:extLst>
        </xdr:cNvPr>
        <xdr:cNvSpPr txBox="1"/>
      </xdr:nvSpPr>
      <xdr:spPr>
        <a:xfrm>
          <a:off x="4533899" y="19126200"/>
          <a:ext cx="1419225" cy="257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Approved</a:t>
          </a:r>
        </a:p>
      </xdr:txBody>
    </xdr:sp>
    <xdr:clientData/>
  </xdr:twoCellAnchor>
  <xdr:twoCellAnchor>
    <xdr:from>
      <xdr:col>2</xdr:col>
      <xdr:colOff>2190750</xdr:colOff>
      <xdr:row>100</xdr:row>
      <xdr:rowOff>0</xdr:rowOff>
    </xdr:from>
    <xdr:to>
      <xdr:col>2</xdr:col>
      <xdr:colOff>3648075</xdr:colOff>
      <xdr:row>105</xdr:row>
      <xdr:rowOff>85725</xdr:rowOff>
    </xdr:to>
    <xdr:sp macro="" textlink="">
      <xdr:nvSpPr>
        <xdr:cNvPr id="18" name="TextBox 17">
          <a:extLst>
            <a:ext uri="{FF2B5EF4-FFF2-40B4-BE49-F238E27FC236}">
              <a16:creationId xmlns:a16="http://schemas.microsoft.com/office/drawing/2014/main" id="{00000000-0008-0000-0200-000012000000}"/>
            </a:ext>
          </a:extLst>
        </xdr:cNvPr>
        <xdr:cNvSpPr txBox="1"/>
      </xdr:nvSpPr>
      <xdr:spPr>
        <a:xfrm>
          <a:off x="3733800" y="17868900"/>
          <a:ext cx="1457325" cy="8953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lnSpc>
              <a:spcPts val="1100"/>
            </a:lnSpc>
          </a:pPr>
          <a:r>
            <a:rPr lang="fr-FR" sz="1200"/>
            <a:t>The reviewer accepts the decision and /or</a:t>
          </a:r>
          <a:r>
            <a:rPr lang="fr-FR" sz="1200" baseline="0"/>
            <a:t> the correction</a:t>
          </a:r>
          <a:endParaRPr lang="fr-FR" sz="1200"/>
        </a:p>
      </xdr:txBody>
    </xdr:sp>
    <xdr:clientData/>
  </xdr:twoCellAnchor>
  <xdr:twoCellAnchor>
    <xdr:from>
      <xdr:col>2</xdr:col>
      <xdr:colOff>390524</xdr:colOff>
      <xdr:row>100</xdr:row>
      <xdr:rowOff>142875</xdr:rowOff>
    </xdr:from>
    <xdr:to>
      <xdr:col>2</xdr:col>
      <xdr:colOff>1809749</xdr:colOff>
      <xdr:row>103</xdr:row>
      <xdr:rowOff>133350</xdr:rowOff>
    </xdr:to>
    <xdr:sp macro="" textlink="">
      <xdr:nvSpPr>
        <xdr:cNvPr id="19" name="TextBox 18">
          <a:extLst>
            <a:ext uri="{FF2B5EF4-FFF2-40B4-BE49-F238E27FC236}">
              <a16:creationId xmlns:a16="http://schemas.microsoft.com/office/drawing/2014/main" id="{00000000-0008-0000-0200-000013000000}"/>
            </a:ext>
          </a:extLst>
        </xdr:cNvPr>
        <xdr:cNvSpPr txBox="1"/>
      </xdr:nvSpPr>
      <xdr:spPr>
        <a:xfrm>
          <a:off x="1933574" y="18011775"/>
          <a:ext cx="1419225" cy="476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to be fixed and rejected</a:t>
          </a:r>
        </a:p>
      </xdr:txBody>
    </xdr:sp>
    <xdr:clientData/>
  </xdr:twoCellAnchor>
  <xdr:twoCellAnchor>
    <xdr:from>
      <xdr:col>1</xdr:col>
      <xdr:colOff>885825</xdr:colOff>
      <xdr:row>96</xdr:row>
      <xdr:rowOff>152400</xdr:rowOff>
    </xdr:from>
    <xdr:to>
      <xdr:col>2</xdr:col>
      <xdr:colOff>1047750</xdr:colOff>
      <xdr:row>101</xdr:row>
      <xdr:rowOff>57150</xdr:rowOff>
    </xdr:to>
    <xdr:sp macro="" textlink="">
      <xdr:nvSpPr>
        <xdr:cNvPr id="20" name="TextBox 19">
          <a:extLst>
            <a:ext uri="{FF2B5EF4-FFF2-40B4-BE49-F238E27FC236}">
              <a16:creationId xmlns:a16="http://schemas.microsoft.com/office/drawing/2014/main" id="{00000000-0008-0000-0200-000014000000}"/>
            </a:ext>
          </a:extLst>
        </xdr:cNvPr>
        <xdr:cNvSpPr txBox="1"/>
      </xdr:nvSpPr>
      <xdr:spPr>
        <a:xfrm>
          <a:off x="1133475" y="16563975"/>
          <a:ext cx="1457325" cy="71437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The reviewer does not accept the correction</a:t>
          </a:r>
        </a:p>
      </xdr:txBody>
    </xdr:sp>
    <xdr:clientData/>
  </xdr:twoCellAnchor>
  <xdr:twoCellAnchor>
    <xdr:from>
      <xdr:col>2</xdr:col>
      <xdr:colOff>2909888</xdr:colOff>
      <xdr:row>65</xdr:row>
      <xdr:rowOff>28575</xdr:rowOff>
    </xdr:from>
    <xdr:to>
      <xdr:col>2</xdr:col>
      <xdr:colOff>2919413</xdr:colOff>
      <xdr:row>69</xdr:row>
      <xdr:rowOff>133350</xdr:rowOff>
    </xdr:to>
    <xdr:cxnSp macro="">
      <xdr:nvCxnSpPr>
        <xdr:cNvPr id="28" name="Straight Arrow Connector 27">
          <a:extLst>
            <a:ext uri="{FF2B5EF4-FFF2-40B4-BE49-F238E27FC236}">
              <a16:creationId xmlns:a16="http://schemas.microsoft.com/office/drawing/2014/main" id="{00000000-0008-0000-0200-00001C000000}"/>
            </a:ext>
          </a:extLst>
        </xdr:cNvPr>
        <xdr:cNvCxnSpPr>
          <a:stCxn id="2" idx="2"/>
          <a:endCxn id="6" idx="0"/>
        </xdr:cNvCxnSpPr>
      </xdr:nvCxnSpPr>
      <xdr:spPr>
        <a:xfrm flipH="1">
          <a:off x="4452938" y="11420475"/>
          <a:ext cx="9525" cy="752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395288</xdr:colOff>
      <xdr:row>74</xdr:row>
      <xdr:rowOff>0</xdr:rowOff>
    </xdr:from>
    <xdr:to>
      <xdr:col>2</xdr:col>
      <xdr:colOff>2909888</xdr:colOff>
      <xdr:row>78</xdr:row>
      <xdr:rowOff>0</xdr:rowOff>
    </xdr:to>
    <xdr:cxnSp macro="">
      <xdr:nvCxnSpPr>
        <xdr:cNvPr id="30" name="Straight Arrow Connector 29">
          <a:extLst>
            <a:ext uri="{FF2B5EF4-FFF2-40B4-BE49-F238E27FC236}">
              <a16:creationId xmlns:a16="http://schemas.microsoft.com/office/drawing/2014/main" id="{00000000-0008-0000-0200-00001E000000}"/>
            </a:ext>
          </a:extLst>
        </xdr:cNvPr>
        <xdr:cNvCxnSpPr>
          <a:stCxn id="6" idx="2"/>
          <a:endCxn id="8" idx="0"/>
        </xdr:cNvCxnSpPr>
      </xdr:nvCxnSpPr>
      <xdr:spPr>
        <a:xfrm flipH="1">
          <a:off x="1938338" y="12849225"/>
          <a:ext cx="2514600" cy="6477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74</xdr:row>
      <xdr:rowOff>0</xdr:rowOff>
    </xdr:from>
    <xdr:to>
      <xdr:col>2</xdr:col>
      <xdr:colOff>2909888</xdr:colOff>
      <xdr:row>78</xdr:row>
      <xdr:rowOff>38100</xdr:rowOff>
    </xdr:to>
    <xdr:cxnSp macro="">
      <xdr:nvCxnSpPr>
        <xdr:cNvPr id="24576" name="Straight Arrow Connector 24575">
          <a:extLst>
            <a:ext uri="{FF2B5EF4-FFF2-40B4-BE49-F238E27FC236}">
              <a16:creationId xmlns:a16="http://schemas.microsoft.com/office/drawing/2014/main" id="{00000000-0008-0000-0200-000000600000}"/>
            </a:ext>
          </a:extLst>
        </xdr:cNvPr>
        <xdr:cNvCxnSpPr>
          <a:stCxn id="6" idx="2"/>
          <a:endCxn id="12" idx="0"/>
        </xdr:cNvCxnSpPr>
      </xdr:nvCxnSpPr>
      <xdr:spPr>
        <a:xfrm flipH="1">
          <a:off x="4433888" y="12849225"/>
          <a:ext cx="19050" cy="6858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2909888</xdr:colOff>
      <xdr:row>74</xdr:row>
      <xdr:rowOff>0</xdr:rowOff>
    </xdr:from>
    <xdr:to>
      <xdr:col>2</xdr:col>
      <xdr:colOff>5976938</xdr:colOff>
      <xdr:row>78</xdr:row>
      <xdr:rowOff>9525</xdr:rowOff>
    </xdr:to>
    <xdr:cxnSp macro="">
      <xdr:nvCxnSpPr>
        <xdr:cNvPr id="24578" name="Straight Arrow Connector 24577">
          <a:extLst>
            <a:ext uri="{FF2B5EF4-FFF2-40B4-BE49-F238E27FC236}">
              <a16:creationId xmlns:a16="http://schemas.microsoft.com/office/drawing/2014/main" id="{00000000-0008-0000-0200-000002600000}"/>
            </a:ext>
          </a:extLst>
        </xdr:cNvPr>
        <xdr:cNvCxnSpPr>
          <a:stCxn id="6" idx="2"/>
          <a:endCxn id="14" idx="0"/>
        </xdr:cNvCxnSpPr>
      </xdr:nvCxnSpPr>
      <xdr:spPr>
        <a:xfrm>
          <a:off x="4452938" y="12849225"/>
          <a:ext cx="3067050" cy="657225"/>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347663</xdr:colOff>
      <xdr:row>82</xdr:row>
      <xdr:rowOff>57150</xdr:rowOff>
    </xdr:from>
    <xdr:to>
      <xdr:col>2</xdr:col>
      <xdr:colOff>395288</xdr:colOff>
      <xdr:row>88</xdr:row>
      <xdr:rowOff>76200</xdr:rowOff>
    </xdr:to>
    <xdr:cxnSp macro="">
      <xdr:nvCxnSpPr>
        <xdr:cNvPr id="24581" name="Straight Arrow Connector 24580">
          <a:extLst>
            <a:ext uri="{FF2B5EF4-FFF2-40B4-BE49-F238E27FC236}">
              <a16:creationId xmlns:a16="http://schemas.microsoft.com/office/drawing/2014/main" id="{00000000-0008-0000-0200-000005600000}"/>
            </a:ext>
          </a:extLst>
        </xdr:cNvPr>
        <xdr:cNvCxnSpPr>
          <a:stCxn id="8" idx="2"/>
          <a:endCxn id="10" idx="0"/>
        </xdr:cNvCxnSpPr>
      </xdr:nvCxnSpPr>
      <xdr:spPr>
        <a:xfrm flipH="1">
          <a:off x="1890713" y="14201775"/>
          <a:ext cx="47625" cy="9906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82</xdr:row>
      <xdr:rowOff>76200</xdr:rowOff>
    </xdr:from>
    <xdr:to>
      <xdr:col>2</xdr:col>
      <xdr:colOff>2919413</xdr:colOff>
      <xdr:row>100</xdr:row>
      <xdr:rowOff>0</xdr:rowOff>
    </xdr:to>
    <xdr:cxnSp macro="">
      <xdr:nvCxnSpPr>
        <xdr:cNvPr id="24583" name="Straight Arrow Connector 24582">
          <a:extLst>
            <a:ext uri="{FF2B5EF4-FFF2-40B4-BE49-F238E27FC236}">
              <a16:creationId xmlns:a16="http://schemas.microsoft.com/office/drawing/2014/main" id="{00000000-0008-0000-0200-000007600000}"/>
            </a:ext>
          </a:extLst>
        </xdr:cNvPr>
        <xdr:cNvCxnSpPr>
          <a:stCxn id="12" idx="2"/>
          <a:endCxn id="18" idx="0"/>
        </xdr:cNvCxnSpPr>
      </xdr:nvCxnSpPr>
      <xdr:spPr>
        <a:xfrm>
          <a:off x="4433888" y="14220825"/>
          <a:ext cx="28575" cy="28384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82</xdr:row>
      <xdr:rowOff>76200</xdr:rowOff>
    </xdr:from>
    <xdr:to>
      <xdr:col>2</xdr:col>
      <xdr:colOff>5967413</xdr:colOff>
      <xdr:row>89</xdr:row>
      <xdr:rowOff>85725</xdr:rowOff>
    </xdr:to>
    <xdr:cxnSp macro="">
      <xdr:nvCxnSpPr>
        <xdr:cNvPr id="24585" name="Straight Arrow Connector 24584">
          <a:extLst>
            <a:ext uri="{FF2B5EF4-FFF2-40B4-BE49-F238E27FC236}">
              <a16:creationId xmlns:a16="http://schemas.microsoft.com/office/drawing/2014/main" id="{00000000-0008-0000-0200-000009600000}"/>
            </a:ext>
          </a:extLst>
        </xdr:cNvPr>
        <xdr:cNvCxnSpPr>
          <a:stCxn id="12" idx="2"/>
          <a:endCxn id="16" idx="0"/>
        </xdr:cNvCxnSpPr>
      </xdr:nvCxnSpPr>
      <xdr:spPr>
        <a:xfrm>
          <a:off x="4433888" y="14220825"/>
          <a:ext cx="3076575" cy="11430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5967413</xdr:colOff>
      <xdr:row>82</xdr:row>
      <xdr:rowOff>57150</xdr:rowOff>
    </xdr:from>
    <xdr:to>
      <xdr:col>2</xdr:col>
      <xdr:colOff>5976938</xdr:colOff>
      <xdr:row>89</xdr:row>
      <xdr:rowOff>85725</xdr:rowOff>
    </xdr:to>
    <xdr:cxnSp macro="">
      <xdr:nvCxnSpPr>
        <xdr:cNvPr id="24587" name="Straight Arrow Connector 24586">
          <a:extLst>
            <a:ext uri="{FF2B5EF4-FFF2-40B4-BE49-F238E27FC236}">
              <a16:creationId xmlns:a16="http://schemas.microsoft.com/office/drawing/2014/main" id="{00000000-0008-0000-0200-00000B600000}"/>
            </a:ext>
          </a:extLst>
        </xdr:cNvPr>
        <xdr:cNvCxnSpPr>
          <a:stCxn id="14" idx="2"/>
          <a:endCxn id="16" idx="0"/>
        </xdr:cNvCxnSpPr>
      </xdr:nvCxnSpPr>
      <xdr:spPr>
        <a:xfrm flipH="1">
          <a:off x="7510463" y="14201775"/>
          <a:ext cx="9525" cy="11620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2919413</xdr:colOff>
      <xdr:row>82</xdr:row>
      <xdr:rowOff>57150</xdr:rowOff>
    </xdr:from>
    <xdr:to>
      <xdr:col>2</xdr:col>
      <xdr:colOff>5976938</xdr:colOff>
      <xdr:row>100</xdr:row>
      <xdr:rowOff>0</xdr:rowOff>
    </xdr:to>
    <xdr:cxnSp macro="">
      <xdr:nvCxnSpPr>
        <xdr:cNvPr id="24589" name="Straight Arrow Connector 24588">
          <a:extLst>
            <a:ext uri="{FF2B5EF4-FFF2-40B4-BE49-F238E27FC236}">
              <a16:creationId xmlns:a16="http://schemas.microsoft.com/office/drawing/2014/main" id="{00000000-0008-0000-0200-00000D600000}"/>
            </a:ext>
          </a:extLst>
        </xdr:cNvPr>
        <xdr:cNvCxnSpPr>
          <a:stCxn id="14" idx="2"/>
          <a:endCxn id="18" idx="0"/>
        </xdr:cNvCxnSpPr>
      </xdr:nvCxnSpPr>
      <xdr:spPr>
        <a:xfrm flipH="1">
          <a:off x="4462463" y="14201775"/>
          <a:ext cx="3057525" cy="28575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347663</xdr:colOff>
      <xdr:row>92</xdr:row>
      <xdr:rowOff>133350</xdr:rowOff>
    </xdr:from>
    <xdr:to>
      <xdr:col>2</xdr:col>
      <xdr:colOff>2919413</xdr:colOff>
      <xdr:row>100</xdr:row>
      <xdr:rowOff>0</xdr:rowOff>
    </xdr:to>
    <xdr:cxnSp macro="">
      <xdr:nvCxnSpPr>
        <xdr:cNvPr id="24591" name="Straight Arrow Connector 24590">
          <a:extLst>
            <a:ext uri="{FF2B5EF4-FFF2-40B4-BE49-F238E27FC236}">
              <a16:creationId xmlns:a16="http://schemas.microsoft.com/office/drawing/2014/main" id="{00000000-0008-0000-0200-00000F600000}"/>
            </a:ext>
          </a:extLst>
        </xdr:cNvPr>
        <xdr:cNvCxnSpPr>
          <a:stCxn id="10" idx="2"/>
          <a:endCxn id="18" idx="0"/>
        </xdr:cNvCxnSpPr>
      </xdr:nvCxnSpPr>
      <xdr:spPr>
        <a:xfrm>
          <a:off x="1890713" y="15897225"/>
          <a:ext cx="2571750" cy="11620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319088</xdr:colOff>
      <xdr:row>92</xdr:row>
      <xdr:rowOff>133350</xdr:rowOff>
    </xdr:from>
    <xdr:to>
      <xdr:col>2</xdr:col>
      <xdr:colOff>347663</xdr:colOff>
      <xdr:row>96</xdr:row>
      <xdr:rowOff>152400</xdr:rowOff>
    </xdr:to>
    <xdr:cxnSp macro="">
      <xdr:nvCxnSpPr>
        <xdr:cNvPr id="24593" name="Straight Arrow Connector 24592">
          <a:extLst>
            <a:ext uri="{FF2B5EF4-FFF2-40B4-BE49-F238E27FC236}">
              <a16:creationId xmlns:a16="http://schemas.microsoft.com/office/drawing/2014/main" id="{00000000-0008-0000-0200-000011600000}"/>
            </a:ext>
          </a:extLst>
        </xdr:cNvPr>
        <xdr:cNvCxnSpPr>
          <a:stCxn id="10" idx="2"/>
          <a:endCxn id="20" idx="0"/>
        </xdr:cNvCxnSpPr>
      </xdr:nvCxnSpPr>
      <xdr:spPr>
        <a:xfrm flipH="1">
          <a:off x="1862138" y="15897225"/>
          <a:ext cx="28575" cy="6667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885825</xdr:colOff>
      <xdr:row>80</xdr:row>
      <xdr:rowOff>28576</xdr:rowOff>
    </xdr:from>
    <xdr:to>
      <xdr:col>1</xdr:col>
      <xdr:colOff>962025</xdr:colOff>
      <xdr:row>99</xdr:row>
      <xdr:rowOff>23814</xdr:rowOff>
    </xdr:to>
    <xdr:cxnSp macro="">
      <xdr:nvCxnSpPr>
        <xdr:cNvPr id="24595" name="Elbow Connector 24594">
          <a:extLst>
            <a:ext uri="{FF2B5EF4-FFF2-40B4-BE49-F238E27FC236}">
              <a16:creationId xmlns:a16="http://schemas.microsoft.com/office/drawing/2014/main" id="{00000000-0008-0000-0200-000013600000}"/>
            </a:ext>
          </a:extLst>
        </xdr:cNvPr>
        <xdr:cNvCxnSpPr>
          <a:stCxn id="20" idx="1"/>
          <a:endCxn id="8" idx="1"/>
        </xdr:cNvCxnSpPr>
      </xdr:nvCxnSpPr>
      <xdr:spPr>
        <a:xfrm rot="10800000" flipH="1">
          <a:off x="1133475" y="13849351"/>
          <a:ext cx="76200" cy="3071813"/>
        </a:xfrm>
        <a:prstGeom prst="bentConnector3">
          <a:avLst>
            <a:gd name="adj1" fmla="val -3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3638550</xdr:colOff>
      <xdr:row>71</xdr:row>
      <xdr:rowOff>147638</xdr:rowOff>
    </xdr:from>
    <xdr:to>
      <xdr:col>2</xdr:col>
      <xdr:colOff>6696075</xdr:colOff>
      <xdr:row>91</xdr:row>
      <xdr:rowOff>119063</xdr:rowOff>
    </xdr:to>
    <xdr:cxnSp macro="">
      <xdr:nvCxnSpPr>
        <xdr:cNvPr id="24597" name="Elbow Connector 24596">
          <a:extLst>
            <a:ext uri="{FF2B5EF4-FFF2-40B4-BE49-F238E27FC236}">
              <a16:creationId xmlns:a16="http://schemas.microsoft.com/office/drawing/2014/main" id="{00000000-0008-0000-0200-000015600000}"/>
            </a:ext>
          </a:extLst>
        </xdr:cNvPr>
        <xdr:cNvCxnSpPr>
          <a:stCxn id="16" idx="3"/>
          <a:endCxn id="6" idx="3"/>
        </xdr:cNvCxnSpPr>
      </xdr:nvCxnSpPr>
      <xdr:spPr>
        <a:xfrm flipH="1" flipV="1">
          <a:off x="5181600" y="12511088"/>
          <a:ext cx="3057525" cy="3209925"/>
        </a:xfrm>
        <a:prstGeom prst="bentConnector3">
          <a:avLst>
            <a:gd name="adj1" fmla="val -7477"/>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2</xdr:col>
          <xdr:colOff>4638675</xdr:colOff>
          <xdr:row>115</xdr:row>
          <xdr:rowOff>104775</xdr:rowOff>
        </xdr:from>
        <xdr:to>
          <xdr:col>2</xdr:col>
          <xdr:colOff>6524625</xdr:colOff>
          <xdr:row>117</xdr:row>
          <xdr:rowOff>47625</xdr:rowOff>
        </xdr:to>
        <xdr:sp macro="" textlink="">
          <xdr:nvSpPr>
            <xdr:cNvPr id="24659" name="Button 83" hidden="1">
              <a:extLst>
                <a:ext uri="{63B3BB69-23CF-44E3-9099-C40C66FF867C}">
                  <a14:compatExt spid="_x0000_s24659"/>
                </a:ext>
                <a:ext uri="{FF2B5EF4-FFF2-40B4-BE49-F238E27FC236}">
                  <a16:creationId xmlns:a16="http://schemas.microsoft.com/office/drawing/2014/main" id="{00000000-0008-0000-0200-0000536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metrics and charts </a:t>
              </a:r>
            </a:p>
          </xdr:txBody>
        </xdr:sp>
        <xdr:clientData fPrintsWithSheet="0"/>
      </xdr:twoCellAnchor>
    </mc:Choice>
    <mc:Fallback/>
  </mc:AlternateContent>
  <xdr:twoCellAnchor>
    <xdr:from>
      <xdr:col>1</xdr:col>
      <xdr:colOff>552450</xdr:colOff>
      <xdr:row>40</xdr:row>
      <xdr:rowOff>142875</xdr:rowOff>
    </xdr:from>
    <xdr:to>
      <xdr:col>2</xdr:col>
      <xdr:colOff>714375</xdr:colOff>
      <xdr:row>43</xdr:row>
      <xdr:rowOff>152400</xdr:rowOff>
    </xdr:to>
    <xdr:sp macro="" textlink="">
      <xdr:nvSpPr>
        <xdr:cNvPr id="35" name="TextBox 34">
          <a:extLst>
            <a:ext uri="{FF2B5EF4-FFF2-40B4-BE49-F238E27FC236}">
              <a16:creationId xmlns:a16="http://schemas.microsoft.com/office/drawing/2014/main" id="{00000000-0008-0000-0200-000023000000}"/>
            </a:ext>
          </a:extLst>
        </xdr:cNvPr>
        <xdr:cNvSpPr txBox="1"/>
      </xdr:nvSpPr>
      <xdr:spPr>
        <a:xfrm>
          <a:off x="800100" y="11182350"/>
          <a:ext cx="1457325" cy="6286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A reviewer submits an OIN </a:t>
          </a:r>
          <a:r>
            <a:rPr lang="fr-FR" sz="900"/>
            <a:t>(Open Issue Number)</a:t>
          </a:r>
        </a:p>
      </xdr:txBody>
    </xdr:sp>
    <xdr:clientData/>
  </xdr:twoCellAnchor>
  <xdr:twoCellAnchor>
    <xdr:from>
      <xdr:col>2</xdr:col>
      <xdr:colOff>2114550</xdr:colOff>
      <xdr:row>40</xdr:row>
      <xdr:rowOff>114300</xdr:rowOff>
    </xdr:from>
    <xdr:to>
      <xdr:col>2</xdr:col>
      <xdr:colOff>3571875</xdr:colOff>
      <xdr:row>44</xdr:row>
      <xdr:rowOff>9525</xdr:rowOff>
    </xdr:to>
    <xdr:sp macro="" textlink="">
      <xdr:nvSpPr>
        <xdr:cNvPr id="37" name="TextBox 36">
          <a:extLst>
            <a:ext uri="{FF2B5EF4-FFF2-40B4-BE49-F238E27FC236}">
              <a16:creationId xmlns:a16="http://schemas.microsoft.com/office/drawing/2014/main" id="{00000000-0008-0000-0200-000025000000}"/>
            </a:ext>
          </a:extLst>
        </xdr:cNvPr>
        <xdr:cNvSpPr txBox="1"/>
      </xdr:nvSpPr>
      <xdr:spPr>
        <a:xfrm>
          <a:off x="3657600" y="11153775"/>
          <a:ext cx="1457325" cy="67627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treats the </a:t>
          </a:r>
          <a:r>
            <a:rPr lang="fr-FR" sz="1100">
              <a:solidFill>
                <a:schemeClr val="dk1"/>
              </a:solidFill>
              <a:effectLst/>
              <a:latin typeface="+mn-lt"/>
              <a:ea typeface="+mn-ea"/>
              <a:cs typeface="+mn-cs"/>
            </a:rPr>
            <a:t>OIN </a:t>
          </a:r>
          <a:endParaRPr lang="fr-FR" sz="1200"/>
        </a:p>
      </xdr:txBody>
    </xdr:sp>
    <xdr:clientData/>
  </xdr:twoCellAnchor>
  <xdr:twoCellAnchor>
    <xdr:from>
      <xdr:col>2</xdr:col>
      <xdr:colOff>5095875</xdr:colOff>
      <xdr:row>40</xdr:row>
      <xdr:rowOff>104774</xdr:rowOff>
    </xdr:from>
    <xdr:to>
      <xdr:col>3</xdr:col>
      <xdr:colOff>533400</xdr:colOff>
      <xdr:row>44</xdr:row>
      <xdr:rowOff>19049</xdr:rowOff>
    </xdr:to>
    <xdr:sp macro="" textlink="">
      <xdr:nvSpPr>
        <xdr:cNvPr id="40" name="TextBox 39">
          <a:extLst>
            <a:ext uri="{FF2B5EF4-FFF2-40B4-BE49-F238E27FC236}">
              <a16:creationId xmlns:a16="http://schemas.microsoft.com/office/drawing/2014/main" id="{00000000-0008-0000-0200-000028000000}"/>
            </a:ext>
          </a:extLst>
        </xdr:cNvPr>
        <xdr:cNvSpPr txBox="1"/>
      </xdr:nvSpPr>
      <xdr:spPr>
        <a:xfrm>
          <a:off x="6638925" y="11144249"/>
          <a:ext cx="2152650" cy="69532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lnSpc>
              <a:spcPts val="800"/>
            </a:lnSpc>
          </a:pPr>
          <a:r>
            <a:rPr lang="fr-FR" sz="1200"/>
            <a:t>The reviewer approves</a:t>
          </a:r>
          <a:r>
            <a:rPr lang="fr-FR" sz="1200" baseline="0"/>
            <a:t> </a:t>
          </a:r>
          <a:r>
            <a:rPr lang="fr-FR" sz="1200"/>
            <a:t>the </a:t>
          </a:r>
          <a:r>
            <a:rPr lang="fr-FR" sz="1100">
              <a:solidFill>
                <a:schemeClr val="dk1"/>
              </a:solidFill>
              <a:effectLst/>
              <a:latin typeface="+mn-lt"/>
              <a:ea typeface="+mn-ea"/>
              <a:cs typeface="+mn-cs"/>
            </a:rPr>
            <a:t>OIN </a:t>
          </a:r>
          <a:endParaRPr lang="fr-FR" sz="1200"/>
        </a:p>
        <a:p>
          <a:pPr algn="ctr">
            <a:lnSpc>
              <a:spcPts val="1000"/>
            </a:lnSpc>
          </a:pPr>
          <a:r>
            <a:rPr lang="fr-FR" sz="1000"/>
            <a:t>(agreement between author/approver)</a:t>
          </a:r>
        </a:p>
      </xdr:txBody>
    </xdr:sp>
    <xdr:clientData/>
  </xdr:twoCellAnchor>
  <xdr:twoCellAnchor>
    <xdr:from>
      <xdr:col>2</xdr:col>
      <xdr:colOff>2124075</xdr:colOff>
      <xdr:row>36</xdr:row>
      <xdr:rowOff>114300</xdr:rowOff>
    </xdr:from>
    <xdr:to>
      <xdr:col>2</xdr:col>
      <xdr:colOff>3581400</xdr:colOff>
      <xdr:row>39</xdr:row>
      <xdr:rowOff>200025</xdr:rowOff>
    </xdr:to>
    <xdr:sp macro="" textlink="">
      <xdr:nvSpPr>
        <xdr:cNvPr id="43" name="TextBox 42">
          <a:extLst>
            <a:ext uri="{FF2B5EF4-FFF2-40B4-BE49-F238E27FC236}">
              <a16:creationId xmlns:a16="http://schemas.microsoft.com/office/drawing/2014/main" id="{00000000-0008-0000-0200-00002B000000}"/>
            </a:ext>
          </a:extLst>
        </xdr:cNvPr>
        <xdr:cNvSpPr txBox="1"/>
      </xdr:nvSpPr>
      <xdr:spPr>
        <a:xfrm>
          <a:off x="3667125" y="10306050"/>
          <a:ext cx="1457325" cy="704850"/>
        </a:xfrm>
        <a:prstGeom prst="rect">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ctr"/>
        <a:lstStyle/>
        <a:p>
          <a:pPr algn="ctr"/>
          <a:r>
            <a:rPr lang="fr-FR" sz="1200"/>
            <a:t>The reviewer rejects the treatment of the </a:t>
          </a:r>
          <a:r>
            <a:rPr lang="fr-FR" sz="1100">
              <a:solidFill>
                <a:schemeClr val="dk1"/>
              </a:solidFill>
              <a:effectLst/>
              <a:latin typeface="+mn-lt"/>
              <a:ea typeface="+mn-ea"/>
              <a:cs typeface="+mn-cs"/>
            </a:rPr>
            <a:t>OIN </a:t>
          </a:r>
          <a:endParaRPr lang="fr-FR" sz="1200"/>
        </a:p>
      </xdr:txBody>
    </xdr:sp>
    <xdr:clientData/>
  </xdr:twoCellAnchor>
  <xdr:twoCellAnchor>
    <xdr:from>
      <xdr:col>2</xdr:col>
      <xdr:colOff>714375</xdr:colOff>
      <xdr:row>41</xdr:row>
      <xdr:rowOff>223838</xdr:rowOff>
    </xdr:from>
    <xdr:to>
      <xdr:col>2</xdr:col>
      <xdr:colOff>2114550</xdr:colOff>
      <xdr:row>42</xdr:row>
      <xdr:rowOff>0</xdr:rowOff>
    </xdr:to>
    <xdr:cxnSp macro="">
      <xdr:nvCxnSpPr>
        <xdr:cNvPr id="22" name="Straight Arrow Connector 21">
          <a:extLst>
            <a:ext uri="{FF2B5EF4-FFF2-40B4-BE49-F238E27FC236}">
              <a16:creationId xmlns:a16="http://schemas.microsoft.com/office/drawing/2014/main" id="{00000000-0008-0000-0200-000016000000}"/>
            </a:ext>
          </a:extLst>
        </xdr:cNvPr>
        <xdr:cNvCxnSpPr>
          <a:stCxn id="35" idx="3"/>
          <a:endCxn id="37" idx="1"/>
        </xdr:cNvCxnSpPr>
      </xdr:nvCxnSpPr>
      <xdr:spPr>
        <a:xfrm flipV="1">
          <a:off x="2257425" y="11491913"/>
          <a:ext cx="1400175" cy="4762"/>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3571875</xdr:colOff>
      <xdr:row>41</xdr:row>
      <xdr:rowOff>223837</xdr:rowOff>
    </xdr:from>
    <xdr:to>
      <xdr:col>2</xdr:col>
      <xdr:colOff>5095875</xdr:colOff>
      <xdr:row>41</xdr:row>
      <xdr:rowOff>223838</xdr:rowOff>
    </xdr:to>
    <xdr:cxnSp macro="">
      <xdr:nvCxnSpPr>
        <xdr:cNvPr id="24" name="Straight Arrow Connector 23">
          <a:extLst>
            <a:ext uri="{FF2B5EF4-FFF2-40B4-BE49-F238E27FC236}">
              <a16:creationId xmlns:a16="http://schemas.microsoft.com/office/drawing/2014/main" id="{00000000-0008-0000-0200-000018000000}"/>
            </a:ext>
          </a:extLst>
        </xdr:cNvPr>
        <xdr:cNvCxnSpPr>
          <a:stCxn id="37" idx="3"/>
          <a:endCxn id="40" idx="1"/>
        </xdr:cNvCxnSpPr>
      </xdr:nvCxnSpPr>
      <xdr:spPr>
        <a:xfrm flipV="1">
          <a:off x="5114925" y="11491912"/>
          <a:ext cx="1524000" cy="1"/>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3571875</xdr:colOff>
      <xdr:row>38</xdr:row>
      <xdr:rowOff>76200</xdr:rowOff>
    </xdr:from>
    <xdr:to>
      <xdr:col>2</xdr:col>
      <xdr:colOff>3581400</xdr:colOff>
      <xdr:row>41</xdr:row>
      <xdr:rowOff>223838</xdr:rowOff>
    </xdr:to>
    <xdr:cxnSp macro="">
      <xdr:nvCxnSpPr>
        <xdr:cNvPr id="29" name="Elbow Connector 28">
          <a:extLst>
            <a:ext uri="{FF2B5EF4-FFF2-40B4-BE49-F238E27FC236}">
              <a16:creationId xmlns:a16="http://schemas.microsoft.com/office/drawing/2014/main" id="{00000000-0008-0000-0200-00001D000000}"/>
            </a:ext>
          </a:extLst>
        </xdr:cNvPr>
        <xdr:cNvCxnSpPr>
          <a:stCxn id="37" idx="3"/>
          <a:endCxn id="43" idx="3"/>
        </xdr:cNvCxnSpPr>
      </xdr:nvCxnSpPr>
      <xdr:spPr>
        <a:xfrm flipV="1">
          <a:off x="5114925" y="10658475"/>
          <a:ext cx="9525" cy="833438"/>
        </a:xfrm>
        <a:prstGeom prst="bentConnector3">
          <a:avLst>
            <a:gd name="adj1" fmla="val 76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2114551</xdr:colOff>
      <xdr:row>38</xdr:row>
      <xdr:rowOff>76200</xdr:rowOff>
    </xdr:from>
    <xdr:to>
      <xdr:col>2</xdr:col>
      <xdr:colOff>2124076</xdr:colOff>
      <xdr:row>41</xdr:row>
      <xdr:rowOff>223838</xdr:rowOff>
    </xdr:to>
    <xdr:cxnSp macro="">
      <xdr:nvCxnSpPr>
        <xdr:cNvPr id="24641" name="Elbow Connector 24640">
          <a:extLst>
            <a:ext uri="{FF2B5EF4-FFF2-40B4-BE49-F238E27FC236}">
              <a16:creationId xmlns:a16="http://schemas.microsoft.com/office/drawing/2014/main" id="{00000000-0008-0000-0200-000041600000}"/>
            </a:ext>
          </a:extLst>
        </xdr:cNvPr>
        <xdr:cNvCxnSpPr>
          <a:stCxn id="43" idx="1"/>
          <a:endCxn id="37" idx="1"/>
        </xdr:cNvCxnSpPr>
      </xdr:nvCxnSpPr>
      <xdr:spPr>
        <a:xfrm rot="10800000" flipV="1">
          <a:off x="3657601" y="10658475"/>
          <a:ext cx="9525" cy="833438"/>
        </a:xfrm>
        <a:prstGeom prst="bentConnector3">
          <a:avLst>
            <a:gd name="adj1" fmla="val 61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oneCell">
    <xdr:from>
      <xdr:col>3</xdr:col>
      <xdr:colOff>175260</xdr:colOff>
      <xdr:row>0</xdr:row>
      <xdr:rowOff>60960</xdr:rowOff>
    </xdr:from>
    <xdr:to>
      <xdr:col>7</xdr:col>
      <xdr:colOff>129540</xdr:colOff>
      <xdr:row>2</xdr:row>
      <xdr:rowOff>99060</xdr:rowOff>
    </xdr:to>
    <xdr:sp macro="" textlink="">
      <xdr:nvSpPr>
        <xdr:cNvPr id="14337" name="ComputeSynthesis" hidden="1">
          <a:extLst>
            <a:ext uri="{63B3BB69-23CF-44E3-9099-C40C66FF867C}">
              <a14:compatExt xmlns:a14="http://schemas.microsoft.com/office/drawing/2010/main" spid="_x0000_s14337"/>
            </a:ext>
            <a:ext uri="{FF2B5EF4-FFF2-40B4-BE49-F238E27FC236}">
              <a16:creationId xmlns:a16="http://schemas.microsoft.com/office/drawing/2014/main" id="{00000000-0008-0000-0300-0000013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11</xdr:col>
      <xdr:colOff>47625</xdr:colOff>
      <xdr:row>4</xdr:row>
      <xdr:rowOff>9525</xdr:rowOff>
    </xdr:from>
    <xdr:to>
      <xdr:col>15</xdr:col>
      <xdr:colOff>561975</xdr:colOff>
      <xdr:row>20</xdr:row>
      <xdr:rowOff>114300</xdr:rowOff>
    </xdr:to>
    <xdr:graphicFrame macro="">
      <xdr:nvGraphicFramePr>
        <xdr:cNvPr id="2578561" name="Chart 11">
          <a:extLst>
            <a:ext uri="{FF2B5EF4-FFF2-40B4-BE49-F238E27FC236}">
              <a16:creationId xmlns:a16="http://schemas.microsoft.com/office/drawing/2014/main" id="{00000000-0008-0000-0300-000081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476250</xdr:colOff>
      <xdr:row>4</xdr:row>
      <xdr:rowOff>9525</xdr:rowOff>
    </xdr:from>
    <xdr:to>
      <xdr:col>5</xdr:col>
      <xdr:colOff>714375</xdr:colOff>
      <xdr:row>20</xdr:row>
      <xdr:rowOff>114300</xdr:rowOff>
    </xdr:to>
    <xdr:graphicFrame macro="">
      <xdr:nvGraphicFramePr>
        <xdr:cNvPr id="2578562" name="Chart 1">
          <a:extLst>
            <a:ext uri="{FF2B5EF4-FFF2-40B4-BE49-F238E27FC236}">
              <a16:creationId xmlns:a16="http://schemas.microsoft.com/office/drawing/2014/main" id="{00000000-0008-0000-0300-000082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19050</xdr:colOff>
      <xdr:row>4</xdr:row>
      <xdr:rowOff>19050</xdr:rowOff>
    </xdr:from>
    <xdr:to>
      <xdr:col>10</xdr:col>
      <xdr:colOff>361950</xdr:colOff>
      <xdr:row>20</xdr:row>
      <xdr:rowOff>123825</xdr:rowOff>
    </xdr:to>
    <xdr:graphicFrame macro="">
      <xdr:nvGraphicFramePr>
        <xdr:cNvPr id="2578563" name="Chart 1">
          <a:extLst>
            <a:ext uri="{FF2B5EF4-FFF2-40B4-BE49-F238E27FC236}">
              <a16:creationId xmlns:a16="http://schemas.microsoft.com/office/drawing/2014/main" id="{00000000-0008-0000-0300-000083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175260</xdr:colOff>
      <xdr:row>0</xdr:row>
      <xdr:rowOff>60960</xdr:rowOff>
    </xdr:from>
    <xdr:to>
      <xdr:col>7</xdr:col>
      <xdr:colOff>129540</xdr:colOff>
      <xdr:row>2</xdr:row>
      <xdr:rowOff>99060</xdr:rowOff>
    </xdr:to>
    <xdr:pic macro="[0]!Feuil3.ComputeSynthesis_Click">
      <xdr:nvPicPr>
        <xdr:cNvPr id="2" name="ComputeSynthesis">
          <a:extLst>
            <a:ext uri="{FF2B5EF4-FFF2-40B4-BE49-F238E27FC236}">
              <a16:creationId xmlns:a16="http://schemas.microsoft.com/office/drawing/2014/main" id="{00000000-0008-0000-0300-00000200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446020" y="60960"/>
          <a:ext cx="3078480" cy="37338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alvteams.alv.autoliv.int/sites/aeuaeequalityassurance/Documents/QA/TEM486%20-%20Master%20questions%20library.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vlad.chioveanu\Downloads\AEF1007%20-%20Peer%20Review%20Workbook%20(PRWB).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victor.popina\Downloads\AEF1007%20-%20Peer%20Review%20Workbook%20(PRWB).xlsm" TargetMode="External"/></Relationships>
</file>

<file path=xl/externalLinks/_rels/externalLink4.xml.rels><?xml version="1.0" encoding="UTF-8" standalone="yes"?>
<Relationships xmlns="http://schemas.openxmlformats.org/package/2006/relationships"><Relationship Id="rId1" Type="http://schemas.microsoft.com/office/2006/relationships/xlExternalLinkPath/xlStartup" Target="TOL494%20-%20AEM%20Process%20Toolbox.xla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C:\Users\david.puscasu\AppData\Roaming\Microsoft\AddIns\alvDocProp.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rontPage"/>
      <sheetName val="General info"/>
      <sheetName val="General info.Milestone"/>
      <sheetName val="Generate checklists"/>
      <sheetName val="LIBRARY"/>
      <sheetName val="Library (old)"/>
      <sheetName val="Guideline"/>
      <sheetName val="Sections"/>
      <sheetName val="template.Milestone"/>
      <sheetName val="Template.Audit"/>
      <sheetName val="Template.Review"/>
      <sheetName val="Quality criteria"/>
      <sheetName val="TEM486 - Master questions libra"/>
      <sheetName val="template.MilestoneOld"/>
    </sheetNames>
    <sheetDataSet>
      <sheetData sheetId="0">
        <row r="3">
          <cell r="AD3" t="str">
            <v>AEF1007 - Peer Review Workbook.xlsm</v>
          </cell>
        </row>
      </sheetData>
      <sheetData sheetId="1">
        <row r="62">
          <cell r="V62">
            <v>1</v>
          </cell>
        </row>
        <row r="63">
          <cell r="V63">
            <v>0.7</v>
          </cell>
        </row>
        <row r="64">
          <cell r="V64">
            <v>0.4</v>
          </cell>
        </row>
        <row r="65">
          <cell r="V65">
            <v>0</v>
          </cell>
        </row>
        <row r="73">
          <cell r="B73" t="str">
            <v>Next Id</v>
          </cell>
          <cell r="AJ73" t="str">
            <v>Acronyms</v>
          </cell>
          <cell r="AM73" t="str">
            <v>Acronyms</v>
          </cell>
          <cell r="AO73" t="str">
            <v>Milestone name</v>
          </cell>
          <cell r="AR73" t="str">
            <v>Process</v>
          </cell>
          <cell r="AS73" t="str">
            <v>Acronyms</v>
          </cell>
          <cell r="AU73" t="str">
            <v>Review / work-product</v>
          </cell>
        </row>
        <row r="74">
          <cell r="AI74" t="str">
            <v>Hardware</v>
          </cell>
          <cell r="AJ74" t="str">
            <v>HW</v>
          </cell>
          <cell r="AL74" t="str">
            <v>Audit</v>
          </cell>
          <cell r="AM74" t="str">
            <v>A</v>
          </cell>
          <cell r="AO74" t="str">
            <v>All milestones</v>
          </cell>
          <cell r="AR74" t="str">
            <v>All</v>
          </cell>
          <cell r="AS74" t="str">
            <v>ALL</v>
          </cell>
          <cell r="AU74" t="str">
            <v>Configuration Management Plan</v>
          </cell>
          <cell r="BA74" t="str">
            <v>High</v>
          </cell>
          <cell r="BJ74" t="str">
            <v>Draft</v>
          </cell>
        </row>
        <row r="75">
          <cell r="AI75" t="str">
            <v>All</v>
          </cell>
          <cell r="AJ75" t="str">
            <v>ALL</v>
          </cell>
          <cell r="AL75" t="str">
            <v>Audit</v>
          </cell>
          <cell r="AM75" t="str">
            <v>A</v>
          </cell>
          <cell r="AO75" t="str">
            <v>All milestones</v>
          </cell>
          <cell r="AR75" t="str">
            <v>All</v>
          </cell>
          <cell r="AS75" t="str">
            <v>ALL</v>
          </cell>
          <cell r="AU75" t="str">
            <v>Configuration Management Plan</v>
          </cell>
          <cell r="BA75" t="str">
            <v>High</v>
          </cell>
          <cell r="BJ75" t="str">
            <v>Draft</v>
          </cell>
          <cell r="BM75" t="str">
            <v>AEF1128 - MM Checklists.xlsm</v>
          </cell>
          <cell r="BO75" t="str">
            <v>delete this row</v>
          </cell>
        </row>
        <row r="76">
          <cell r="AI76" t="str">
            <v>All</v>
          </cell>
          <cell r="AJ76" t="str">
            <v>ALL</v>
          </cell>
          <cell r="AL76" t="str">
            <v>Work-Product audit</v>
          </cell>
          <cell r="AM76" t="str">
            <v>W</v>
          </cell>
          <cell r="AO76" t="str">
            <v>swM0 - Planning</v>
          </cell>
          <cell r="AR76" t="str">
            <v>Architecture</v>
          </cell>
          <cell r="AS76" t="str">
            <v>ARC</v>
          </cell>
          <cell r="AU76" t="str">
            <v>Code</v>
          </cell>
          <cell r="BA76" t="str">
            <v>Medium</v>
          </cell>
          <cell r="BJ76" t="str">
            <v>Released</v>
          </cell>
          <cell r="BM76" t="str">
            <v>AEF1128 - Major Milestones (MM) checklists.xlsm</v>
          </cell>
          <cell r="BO76" t="str">
            <v>MM</v>
          </cell>
        </row>
        <row r="77">
          <cell r="AI77" t="str">
            <v xml:space="preserve">Cyber Security </v>
          </cell>
          <cell r="AJ77" t="str">
            <v>CS</v>
          </cell>
          <cell r="AL77" t="str">
            <v>Milestone</v>
          </cell>
          <cell r="AM77" t="str">
            <v>M</v>
          </cell>
          <cell r="AO77" t="str">
            <v>swM1 - Qualification preparation</v>
          </cell>
          <cell r="AR77" t="str">
            <v>Configuration management</v>
          </cell>
          <cell r="AS77" t="str">
            <v>CM</v>
          </cell>
          <cell r="AU77" t="str">
            <v>Schedules (PS, DS, SPS, QS)</v>
          </cell>
          <cell r="BA77" t="str">
            <v>Low</v>
          </cell>
          <cell r="BM77" t="str">
            <v>TEM479 - System and software milestones checklist.xlsm</v>
          </cell>
          <cell r="BO77" t="str">
            <v>sysM</v>
          </cell>
        </row>
        <row r="78">
          <cell r="AI78" t="str">
            <v>Functional safety</v>
          </cell>
          <cell r="AJ78" t="str">
            <v>SA</v>
          </cell>
          <cell r="AO78" t="str">
            <v>swM2 - Qualification execution</v>
          </cell>
          <cell r="AR78" t="str">
            <v>Construction</v>
          </cell>
          <cell r="AS78" t="str">
            <v>COD</v>
          </cell>
          <cell r="AU78" t="str">
            <v>Integration test plan (SW/SYS)</v>
          </cell>
          <cell r="BO78" t="str">
            <v>swM</v>
          </cell>
        </row>
        <row r="79">
          <cell r="AI79" t="str">
            <v>Mechanical</v>
          </cell>
          <cell r="AJ79" t="str">
            <v>ME</v>
          </cell>
          <cell r="AO79" t="str">
            <v>swM3 - End of release</v>
          </cell>
          <cell r="AR79" t="str">
            <v>Delivery and release</v>
          </cell>
          <cell r="AS79" t="str">
            <v>DLV</v>
          </cell>
          <cell r="AU79" t="str">
            <v>Integration tests specifications and report</v>
          </cell>
          <cell r="BO79" t="str">
            <v>saM</v>
          </cell>
        </row>
        <row r="80">
          <cell r="AI80" t="str">
            <v>Product</v>
          </cell>
          <cell r="AJ80" t="str">
            <v>PD</v>
          </cell>
          <cell r="AO80" t="str">
            <v>sysMD - Delivery</v>
          </cell>
          <cell r="AR80" t="str">
            <v>Design</v>
          </cell>
          <cell r="AS80" t="str">
            <v>DSG</v>
          </cell>
          <cell r="AU80" t="str">
            <v>Model-Based Design</v>
          </cell>
        </row>
        <row r="81">
          <cell r="AI81" t="str">
            <v>Project</v>
          </cell>
          <cell r="AJ81" t="str">
            <v>PJ</v>
          </cell>
          <cell r="AO81" t="str">
            <v>sysMD - Delivery</v>
          </cell>
          <cell r="AR81" t="str">
            <v>Functional Safety</v>
          </cell>
          <cell r="AS81" t="str">
            <v>FUSA</v>
          </cell>
          <cell r="AU81" t="str">
            <v>Project Development Plan</v>
          </cell>
        </row>
        <row r="82">
          <cell r="AI82" t="str">
            <v>Quality assurance</v>
          </cell>
          <cell r="AJ82" t="str">
            <v>QA</v>
          </cell>
          <cell r="AO82" t="str">
            <v>sysMP - Planning</v>
          </cell>
          <cell r="AR82" t="str">
            <v>Integration tests</v>
          </cell>
          <cell r="AS82" t="str">
            <v>INT</v>
          </cell>
          <cell r="AU82" t="str">
            <v>Qualification plan (SW/SYS)</v>
          </cell>
        </row>
        <row r="83">
          <cell r="AI83" t="str">
            <v>Software</v>
          </cell>
          <cell r="AJ83" t="str">
            <v>SW</v>
          </cell>
          <cell r="AO83" t="str">
            <v>sysMR - End of release</v>
          </cell>
          <cell r="AR83" t="str">
            <v>Project management</v>
          </cell>
          <cell r="AS83" t="str">
            <v>PM</v>
          </cell>
          <cell r="AU83" t="str">
            <v>Qualification Specification and Report</v>
          </cell>
        </row>
        <row r="84">
          <cell r="AO84" t="str">
            <v>Major milestone 1.1</v>
          </cell>
          <cell r="AR84" t="str">
            <v>Qualification</v>
          </cell>
          <cell r="AS84" t="str">
            <v>QAF</v>
          </cell>
          <cell r="AU84" t="str">
            <v>Quality assurance plan</v>
          </cell>
        </row>
        <row r="85">
          <cell r="AO85" t="str">
            <v>Major milestone 1.1</v>
          </cell>
          <cell r="AR85" t="str">
            <v>Quality assurance</v>
          </cell>
          <cell r="AS85" t="str">
            <v>QA</v>
          </cell>
          <cell r="AU85" t="str">
            <v>Requirements</v>
          </cell>
        </row>
        <row r="86">
          <cell r="AI86" t="str">
            <v>Software</v>
          </cell>
          <cell r="AO86" t="str">
            <v>Major milestone 1.2</v>
          </cell>
          <cell r="AR86" t="str">
            <v>Requirement management</v>
          </cell>
          <cell r="AS86" t="str">
            <v>RQM</v>
          </cell>
          <cell r="AU86" t="str">
            <v>Reuse strategy definition / reuse plan</v>
          </cell>
        </row>
        <row r="87">
          <cell r="AO87" t="str">
            <v>Major milestone 2.1</v>
          </cell>
          <cell r="AR87" t="str">
            <v>ReUse</v>
          </cell>
          <cell r="AS87" t="str">
            <v>REU</v>
          </cell>
          <cell r="AU87" t="str">
            <v>Software detailed design</v>
          </cell>
        </row>
        <row r="88">
          <cell r="AO88" t="str">
            <v>Major milestone 2.2</v>
          </cell>
          <cell r="AR88" t="str">
            <v>Review</v>
          </cell>
          <cell r="AS88" t="str">
            <v>REV</v>
          </cell>
          <cell r="AU88" t="str">
            <v>Software architecture</v>
          </cell>
        </row>
        <row r="89">
          <cell r="AO89" t="str">
            <v>Major milestone 3.1</v>
          </cell>
          <cell r="AR89" t="str">
            <v>Risk Management</v>
          </cell>
          <cell r="AS89" t="str">
            <v>RSK</v>
          </cell>
          <cell r="AU89" t="str">
            <v>Software development plan</v>
          </cell>
        </row>
        <row r="90">
          <cell r="AO90" t="str">
            <v>Major milestone 3.2</v>
          </cell>
          <cell r="AR90" t="str">
            <v>Supplier Management</v>
          </cell>
          <cell r="AS90" t="str">
            <v>SM</v>
          </cell>
          <cell r="AU90" t="str">
            <v>Software work-product follow-up</v>
          </cell>
        </row>
        <row r="91">
          <cell r="AO91" t="str">
            <v>FUSA - Safety Milestone for TG1</v>
          </cell>
          <cell r="AR91" t="str">
            <v>Unit verification</v>
          </cell>
          <cell r="AS91" t="str">
            <v>UV</v>
          </cell>
          <cell r="AU91" t="str">
            <v>System architecture</v>
          </cell>
        </row>
        <row r="92">
          <cell r="AO92" t="str">
            <v>FuSa milestone for TG1</v>
          </cell>
          <cell r="AU92" t="str">
            <v>Unit Test specifications and report</v>
          </cell>
        </row>
        <row r="93">
          <cell r="AO93" t="str">
            <v>FuSa milestone for MM2.1</v>
          </cell>
        </row>
        <row r="94">
          <cell r="AO94" t="str">
            <v>FuSa milestone for TG2</v>
          </cell>
          <cell r="AU94" t="str">
            <v>Process assets (procedure, method and template)</v>
          </cell>
        </row>
        <row r="95">
          <cell r="AU95" t="str">
            <v>Process assets (procedure, method and template)</v>
          </cell>
        </row>
        <row r="96">
          <cell r="AU96" t="str">
            <v>Process assets (procedure, method and template)</v>
          </cell>
        </row>
        <row r="97">
          <cell r="AO97" t="str">
            <v>Current milestone</v>
          </cell>
          <cell r="AU97" t="str">
            <v>Other documents (when no specific checklist exists)</v>
          </cell>
        </row>
        <row r="98">
          <cell r="AO98" t="str">
            <v>Current milestone</v>
          </cell>
        </row>
        <row r="100">
          <cell r="AU100" t="str">
            <v>Current review</v>
          </cell>
        </row>
        <row r="101">
          <cell r="AU101" t="str">
            <v>Current review</v>
          </cell>
        </row>
      </sheetData>
      <sheetData sheetId="2">
        <row r="184">
          <cell r="C184" t="str">
            <v>OK</v>
          </cell>
        </row>
        <row r="185">
          <cell r="C185" t="str">
            <v>NOK</v>
          </cell>
        </row>
        <row r="186">
          <cell r="C186" t="str">
            <v>No response</v>
          </cell>
        </row>
        <row r="204">
          <cell r="C204" t="str">
            <v>Seatbelt - SBE</v>
          </cell>
        </row>
        <row r="205">
          <cell r="C205" t="str">
            <v>Steering - SWE</v>
          </cell>
        </row>
        <row r="210">
          <cell r="C210" t="str">
            <v>For prototype usage</v>
          </cell>
        </row>
        <row r="211">
          <cell r="C211" t="str">
            <v>For production</v>
          </cell>
        </row>
      </sheetData>
      <sheetData sheetId="3">
        <row r="23">
          <cell r="C23" t="str">
            <v>TEM479 - System and software milestones checklist.xlsm</v>
          </cell>
          <cell r="J23" t="str">
            <v>TEM482 - Process audits.xlsm</v>
          </cell>
          <cell r="Q23" t="str">
            <v>AEF1007 - Peer Review Workbook (PRWB).xlsm</v>
          </cell>
        </row>
      </sheetData>
      <sheetData sheetId="4"/>
      <sheetData sheetId="5" refreshError="1"/>
      <sheetData sheetId="6">
        <row r="6">
          <cell r="H6" t="str">
            <v xml:space="preserve">Check :
o There are review evidence (list of comments with date and reviewers names)
o If the list of reviewers is consistent with the Project Master Document (PMD) 
o If there is an agreement on all comments between reviews and author (Meaning all comments are "treated")
o if the checklist it is properly completed
o if the "N/A" or "NO" answers are justified in the checklist
o if the correct version of the document is reviewed
</v>
          </cell>
        </row>
      </sheetData>
      <sheetData sheetId="7" refreshError="1"/>
      <sheetData sheetId="8">
        <row r="98">
          <cell r="L98" t="str">
            <v>Request deviation (in the next 3 days)</v>
          </cell>
        </row>
        <row r="99">
          <cell r="L99" t="str">
            <v>Request a new milestone (see milestone date bellow)</v>
          </cell>
        </row>
        <row r="100">
          <cell r="L100" t="str">
            <v>NA (milestone is accepted)</v>
          </cell>
        </row>
      </sheetData>
      <sheetData sheetId="9"/>
      <sheetData sheetId="10"/>
      <sheetData sheetId="11" refreshError="1"/>
      <sheetData sheetId="12" refreshError="1"/>
      <sheetData sheetId="13"/>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rontPage"/>
      <sheetName val="General info"/>
      <sheetName val="Help"/>
      <sheetName val="Metrics"/>
      <sheetName val="Overview"/>
      <sheetName val="Review"/>
      <sheetName val="QT First level review"/>
      <sheetName val="QT Second level review"/>
      <sheetName val="QT Import for PTC"/>
      <sheetName val="SDP checklist"/>
      <sheetName val="QAP checklist"/>
      <sheetName val="PDP checklist"/>
      <sheetName val="CMP checklist"/>
      <sheetName val="QP checklist"/>
      <sheetName val="ITP checklist"/>
      <sheetName val="REQ checklist"/>
      <sheetName val="SyAD checklist"/>
      <sheetName val="SAD checklist"/>
      <sheetName val="Reuse checklist"/>
      <sheetName val="PS - DS - SPS - QS checklist"/>
      <sheetName val="OTH checklist"/>
      <sheetName val="MBD checklist"/>
      <sheetName val="SDD checklist"/>
      <sheetName val="CODE checklist"/>
      <sheetName val="ITSR checklist"/>
      <sheetName val="UTSR checklist"/>
      <sheetName val="QSR checklist"/>
      <sheetName val="SWPF checklist"/>
      <sheetName val="PA checklist"/>
    </sheetNames>
    <sheetDataSet>
      <sheetData sheetId="0">
        <row r="3">
          <cell r="AD3" t="str">
            <v>AEF1007 - Peer Review Workbook (PRWB).xlsm</v>
          </cell>
        </row>
        <row r="7">
          <cell r="E7" t="str">
            <v>Peer Review Workbook (PRWB)</v>
          </cell>
          <cell r="W7" t="str">
            <v>AEF1007</v>
          </cell>
        </row>
      </sheetData>
      <sheetData sheetId="1">
        <row r="84">
          <cell r="AJ84" t="str">
            <v>All checklists</v>
          </cell>
        </row>
        <row r="85">
          <cell r="AI85" t="str">
            <v>Yes</v>
          </cell>
          <cell r="AJ85" t="str">
            <v>SDP checklist</v>
          </cell>
        </row>
        <row r="86">
          <cell r="AI86" t="str">
            <v>No</v>
          </cell>
          <cell r="AJ86" t="str">
            <v>QAP checklist</v>
          </cell>
        </row>
        <row r="87">
          <cell r="AI87" t="str">
            <v>NA</v>
          </cell>
          <cell r="AJ87" t="str">
            <v>PDP checklist</v>
          </cell>
        </row>
        <row r="88">
          <cell r="AJ88" t="str">
            <v>CMP checklist</v>
          </cell>
        </row>
        <row r="89">
          <cell r="AJ89" t="str">
            <v>QP checklist</v>
          </cell>
        </row>
        <row r="90">
          <cell r="AJ90" t="str">
            <v>ITP checklist</v>
          </cell>
        </row>
        <row r="91">
          <cell r="AJ91" t="str">
            <v>REQ checklist</v>
          </cell>
        </row>
        <row r="92">
          <cell r="AJ92" t="str">
            <v>SyAD checklist</v>
          </cell>
        </row>
        <row r="93">
          <cell r="AJ93" t="str">
            <v>SAD checklist</v>
          </cell>
        </row>
        <row r="94">
          <cell r="AJ94" t="str">
            <v>Reuse checklist</v>
          </cell>
        </row>
        <row r="95">
          <cell r="AJ95" t="str">
            <v>PS - DS - SPS - QS checklist</v>
          </cell>
        </row>
        <row r="96">
          <cell r="AJ96" t="str">
            <v>OTH checklist</v>
          </cell>
        </row>
        <row r="97">
          <cell r="AJ97" t="str">
            <v>MBD checklist</v>
          </cell>
        </row>
        <row r="98">
          <cell r="AJ98" t="str">
            <v>SDD checklist</v>
          </cell>
        </row>
        <row r="99">
          <cell r="AJ99" t="str">
            <v>CODE checklist</v>
          </cell>
        </row>
        <row r="100">
          <cell r="AJ100" t="str">
            <v>ITSR checklist</v>
          </cell>
        </row>
        <row r="101">
          <cell r="AJ101" t="str">
            <v>UTSR checklist</v>
          </cell>
        </row>
        <row r="102">
          <cell r="AJ102" t="str">
            <v>QSR checklist</v>
          </cell>
        </row>
        <row r="103">
          <cell r="AJ103" t="str">
            <v>SWPF checklist</v>
          </cell>
        </row>
        <row r="104">
          <cell r="AJ104" t="str">
            <v>PA checklist</v>
          </cell>
        </row>
        <row r="105">
          <cell r="AJ105" t="str">
            <v>CODE checklist</v>
          </cell>
        </row>
      </sheetData>
      <sheetData sheetId="2"/>
      <sheetData sheetId="3"/>
      <sheetData sheetId="4"/>
      <sheetData sheetId="5">
        <row r="2">
          <cell r="L2">
            <v>12</v>
          </cell>
          <cell r="M2">
            <v>0</v>
          </cell>
        </row>
      </sheetData>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rontPage"/>
      <sheetName val="General info"/>
      <sheetName val="Help"/>
      <sheetName val="Metrics"/>
      <sheetName val="Overview"/>
      <sheetName val="Review"/>
      <sheetName val="QT First level review"/>
      <sheetName val="QT Second level review"/>
      <sheetName val="QT Import for PTC"/>
      <sheetName val="SDP checklist"/>
      <sheetName val="QAP checklist"/>
      <sheetName val="PDP checklist"/>
      <sheetName val="CMP checklist"/>
      <sheetName val="QP checklist"/>
      <sheetName val="ITP checklist"/>
      <sheetName val="REQ checklist"/>
      <sheetName val="SyAD checklist"/>
      <sheetName val="SAD checklist"/>
      <sheetName val="Reuse checklist"/>
      <sheetName val="PS - DS - SPS - QS checklist"/>
      <sheetName val="OTH checklist"/>
      <sheetName val="MBD checklist"/>
      <sheetName val="SDD checklist"/>
      <sheetName val="CODE checklist"/>
      <sheetName val="ITSR checklist"/>
      <sheetName val="UTSR checklist"/>
      <sheetName val="QSR checklist"/>
      <sheetName val="SWPF checklist"/>
      <sheetName val="PA checklist"/>
    </sheetNames>
    <sheetDataSet>
      <sheetData sheetId="0">
        <row r="3">
          <cell r="AD3" t="str">
            <v>AEF1007 - Peer Review Workbook (PRWB).xlsm</v>
          </cell>
        </row>
        <row r="7">
          <cell r="E7" t="str">
            <v>Peer Review Workbook (PRWB)</v>
          </cell>
          <cell r="W7" t="str">
            <v>AEF1007</v>
          </cell>
        </row>
      </sheetData>
      <sheetData sheetId="1">
        <row r="84">
          <cell r="AJ84" t="str">
            <v>All checklists</v>
          </cell>
        </row>
        <row r="85">
          <cell r="AI85" t="str">
            <v>Yes</v>
          </cell>
          <cell r="AJ85" t="str">
            <v>SDP checklist</v>
          </cell>
        </row>
        <row r="86">
          <cell r="AI86" t="str">
            <v>No</v>
          </cell>
          <cell r="AJ86" t="str">
            <v>QAP checklist</v>
          </cell>
        </row>
        <row r="87">
          <cell r="AI87" t="str">
            <v>NA</v>
          </cell>
          <cell r="AJ87" t="str">
            <v>PDP checklist</v>
          </cell>
        </row>
        <row r="88">
          <cell r="AJ88" t="str">
            <v>CMP checklist</v>
          </cell>
        </row>
        <row r="89">
          <cell r="AJ89" t="str">
            <v>QP checklist</v>
          </cell>
        </row>
        <row r="90">
          <cell r="AJ90" t="str">
            <v>ITP checklist</v>
          </cell>
        </row>
        <row r="91">
          <cell r="AJ91" t="str">
            <v>REQ checklist</v>
          </cell>
        </row>
        <row r="92">
          <cell r="AJ92" t="str">
            <v>SyAD checklist</v>
          </cell>
        </row>
        <row r="93">
          <cell r="AJ93" t="str">
            <v>SAD checklist</v>
          </cell>
        </row>
        <row r="94">
          <cell r="AJ94" t="str">
            <v>Reuse checklist</v>
          </cell>
        </row>
        <row r="95">
          <cell r="AJ95" t="str">
            <v>PS - DS - SPS - QS checklist</v>
          </cell>
        </row>
        <row r="96">
          <cell r="AJ96" t="str">
            <v>OTH checklist</v>
          </cell>
        </row>
        <row r="97">
          <cell r="AJ97" t="str">
            <v>MBD checklist</v>
          </cell>
        </row>
        <row r="98">
          <cell r="AJ98" t="str">
            <v>SDD checklist</v>
          </cell>
        </row>
        <row r="99">
          <cell r="AJ99" t="str">
            <v>CODE checklist</v>
          </cell>
        </row>
        <row r="100">
          <cell r="AJ100" t="str">
            <v>ITSR checklist</v>
          </cell>
        </row>
        <row r="101">
          <cell r="AJ101" t="str">
            <v>UTSR checklist</v>
          </cell>
        </row>
        <row r="102">
          <cell r="AJ102" t="str">
            <v>QSR checklist</v>
          </cell>
        </row>
        <row r="103">
          <cell r="AJ103" t="str">
            <v>SWPF checklist</v>
          </cell>
        </row>
        <row r="104">
          <cell r="AJ104" t="str">
            <v>PA checklist</v>
          </cell>
        </row>
        <row r="105">
          <cell r="AJ105" t="str">
            <v>CODE checklist</v>
          </cell>
        </row>
      </sheetData>
      <sheetData sheetId="2"/>
      <sheetData sheetId="3"/>
      <sheetData sheetId="4"/>
      <sheetData sheetId="5">
        <row r="2">
          <cell r="L2">
            <v>12</v>
          </cell>
          <cell r="M2">
            <v>0</v>
          </cell>
        </row>
      </sheetData>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Sheet3"/>
      <sheetName val="TOL494 - AEM Process Toolbox"/>
    </sheetNames>
    <definedNames>
      <definedName name="autofillFrontPage"/>
    </definedNames>
    <sheetDataSet>
      <sheetData sheetId="0"/>
      <sheetData sheetId="1"/>
      <sheetData sheetId="2"/>
      <sheetData sheetId="3"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ersionInfo"/>
    </sheetNames>
    <definedNames>
      <definedName name="alvDocProperty"/>
    </definedNames>
    <sheetDataSet>
      <sheetData sheetId="0"/>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C7FAD57-8BDA-4B8C-9A52-0229E8580684}" name="Table1" displayName="Table1" ref="A2:O75" totalsRowShown="0" headerRowDxfId="7844" headerRowBorderDxfId="7843" tableBorderDxfId="7842" headerRowCellStyle="40% - Accent5" dataCellStyle="Normal 4">
  <autoFilter ref="A2:O75" xr:uid="{55CAA4EB-488C-4F32-9F6A-6870B577A4DE}"/>
  <tableColumns count="15">
    <tableColumn id="1" xr3:uid="{FEEDD6BA-8576-4483-B3A7-B40672627BC2}" name="Work-product(s)" dataDxfId="7841" dataCellStyle="Normal 4"/>
    <tableColumn id="2" xr3:uid="{0C995001-8C07-4D73-A1A0-A5E13B326418}" name="Review type" dataDxfId="7840" dataCellStyle="Normal 4"/>
    <tableColumn id="3" xr3:uid="{D964FAA7-465B-48F7-B997-F16421BB3246}" name="Starting date" dataDxfId="7839" dataCellStyle="Normal 4"/>
    <tableColumn id="4" xr3:uid="{7CAB5B69-9FD6-4BE7-A3E1-3148F51E8C55}" name="Due date" dataDxfId="7838" dataCellStyle="Normal 4"/>
    <tableColumn id="5" xr3:uid="{A7E8DB5D-2E5B-4D50-802A-7373C2649DB9}" name="Effort (in mn)" dataDxfId="7837" dataCellStyle="Calculation">
      <calculatedColumnFormula>SUM(F3:O3)</calculatedColumnFormula>
    </tableColumn>
    <tableColumn id="6" xr3:uid="{DD9655BE-E53F-4CA5-885B-7FC10F8D2395}" name="Ioan Repede" dataDxfId="7836" dataCellStyle="Normal 4"/>
    <tableColumn id="7" xr3:uid="{525D8884-0C8A-4478-BF05-7E1372CD45F9}" name="Gabriel Brasoveanu" dataDxfId="7835" dataCellStyle="Normal 4"/>
    <tableColumn id="8" xr3:uid="{967B83B5-4BDD-455D-9479-4517937966AE}" name="Andrei Anca" dataDxfId="7834" dataCellStyle="Normal 4"/>
    <tableColumn id="9" xr3:uid="{B1B837F4-0787-4CAA-BD5D-A6B2F7E9368A}" name="David Puscasu" dataDxfId="7833" dataCellStyle="Normal 4"/>
    <tableColumn id="10" xr3:uid="{4B029EAF-CE65-4128-A016-A786C51E5D01}" name="Dan Dustinta" dataDxfId="7832" dataCellStyle="Normal 4"/>
    <tableColumn id="11" xr3:uid="{5B3D026C-0D6F-4D5D-949A-921EED9750D8}" name="Popina Victor" dataDxfId="7831" dataCellStyle="Normal 4"/>
    <tableColumn id="12" xr3:uid="{F47E4945-FC46-4596-99F8-6868803682F5}" name="Cornel Albu" dataDxfId="7830" dataCellStyle="Normal 4"/>
    <tableColumn id="13" xr3:uid="{5139BD5E-7132-4168-905C-F6084CD7F3D0}" name="Vlad Chioveanu" dataDxfId="7829" dataCellStyle="Normal 4"/>
    <tableColumn id="14" xr3:uid="{209C6056-7295-438E-8AAC-53D245A1A566}" name="Lucian Ardeleanu" dataDxfId="7828" dataCellStyle="Normal 4"/>
    <tableColumn id="15" xr3:uid="{44523813-F64C-4FE7-A45B-D7EB2E82E7C4}" name="Reviewer 10" dataDxfId="7827" dataCellStyle="Normal 4"/>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GIT_Projects/eCS_Platform_Git/Components/Application/Autoliv/DIA/Quality_Assurance/AEM%20Process%20wiki/acronyms.aspx" TargetMode="External"/><Relationship Id="rId6" Type="http://schemas.openxmlformats.org/officeDocument/2006/relationships/comments" Target="../comments2.xml"/><Relationship Id="rId5" Type="http://schemas.openxmlformats.org/officeDocument/2006/relationships/vmlDrawing" Target="../drawings/vmlDrawing3.v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9.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vmlDrawing" Target="../drawings/vmlDrawing6.vml"/><Relationship Id="rId1" Type="http://schemas.openxmlformats.org/officeDocument/2006/relationships/printerSettings" Target="../printerSettings/printerSettings5.bin"/><Relationship Id="rId5" Type="http://schemas.openxmlformats.org/officeDocument/2006/relationships/comments" Target="../comments4.xml"/><Relationship Id="rId4"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487ECB-5433-4EA7-B21D-A5B255C41A81}">
  <sheetPr codeName="FrontPage">
    <tabColor theme="9" tint="0.59999389629810485"/>
  </sheetPr>
  <dimension ref="A1:BH26"/>
  <sheetViews>
    <sheetView showGridLines="0" topLeftCell="A4" zoomScale="130" zoomScaleNormal="130" workbookViewId="0">
      <selection activeCell="E18" sqref="E18:P18"/>
    </sheetView>
  </sheetViews>
  <sheetFormatPr defaultColWidth="0" defaultRowHeight="12.75" customHeight="1" zeroHeight="1"/>
  <cols>
    <col min="1" max="3" width="2.85546875" style="92" customWidth="1"/>
    <col min="4" max="4" width="3.28515625" style="92" customWidth="1"/>
    <col min="5" max="33" width="2.85546875" style="92" customWidth="1"/>
    <col min="34" max="34" width="1.28515625" style="92" customWidth="1"/>
    <col min="35" max="60" width="3.28515625" style="92" hidden="1" customWidth="1"/>
    <col min="61" max="16384" width="0" style="92" hidden="1"/>
  </cols>
  <sheetData>
    <row r="1" spans="1:37" s="82" customFormat="1">
      <c r="C1" s="83"/>
      <c r="D1" s="83"/>
      <c r="E1" s="83"/>
      <c r="F1" s="83"/>
      <c r="G1" s="84"/>
      <c r="H1" s="85"/>
      <c r="I1" s="85"/>
      <c r="J1" s="85"/>
      <c r="K1" s="85"/>
      <c r="L1" s="85"/>
      <c r="M1" s="85"/>
      <c r="N1" s="85"/>
      <c r="O1" s="85"/>
      <c r="P1" s="86"/>
      <c r="Q1" s="86"/>
      <c r="R1" s="86"/>
      <c r="S1" s="86"/>
      <c r="T1" s="86"/>
      <c r="U1" s="86"/>
      <c r="V1" s="86"/>
      <c r="W1" s="86"/>
      <c r="X1" s="86"/>
      <c r="Y1" s="86"/>
      <c r="Z1" s="86"/>
      <c r="AA1" s="86"/>
      <c r="AB1" s="86"/>
      <c r="AC1" s="86"/>
      <c r="AD1" s="86"/>
      <c r="AE1" s="86"/>
      <c r="AF1" s="86"/>
      <c r="AG1" s="86"/>
      <c r="AH1" s="86"/>
      <c r="AI1" s="86"/>
      <c r="AJ1" s="86"/>
      <c r="AK1" s="86"/>
    </row>
    <row r="2" spans="1:37" s="82" customFormat="1"/>
    <row r="3" spans="1:37" s="82" customFormat="1">
      <c r="AD3" s="87" t="s">
        <v>0</v>
      </c>
    </row>
    <row r="4" spans="1:37" s="82" customFormat="1" ht="11.1" customHeight="1">
      <c r="A4" s="283" t="s">
        <v>1</v>
      </c>
      <c r="B4" s="284"/>
      <c r="C4" s="284"/>
      <c r="D4" s="284"/>
      <c r="E4" s="284"/>
      <c r="F4" s="284"/>
      <c r="G4" s="284"/>
      <c r="H4" s="284"/>
      <c r="I4" s="284"/>
      <c r="J4" s="284"/>
      <c r="K4" s="284"/>
      <c r="L4" s="284"/>
      <c r="M4" s="284"/>
      <c r="N4" s="284"/>
      <c r="O4" s="284"/>
      <c r="P4" s="284"/>
      <c r="Q4" s="285"/>
      <c r="R4" s="280" t="s">
        <v>2</v>
      </c>
      <c r="S4" s="281"/>
      <c r="T4" s="281"/>
      <c r="U4" s="281"/>
      <c r="V4" s="282"/>
      <c r="W4" s="280" t="s">
        <v>3</v>
      </c>
      <c r="X4" s="281"/>
      <c r="Y4" s="281"/>
      <c r="Z4" s="281"/>
      <c r="AA4" s="282"/>
      <c r="AB4" s="283" t="s">
        <v>4</v>
      </c>
      <c r="AC4" s="284"/>
      <c r="AD4" s="284"/>
      <c r="AE4" s="284"/>
      <c r="AF4" s="284"/>
      <c r="AG4" s="285"/>
      <c r="AH4" s="88"/>
      <c r="AI4" s="88"/>
      <c r="AJ4" s="88"/>
    </row>
    <row r="5" spans="1:37" s="89" customFormat="1" ht="12.75" customHeight="1">
      <c r="A5" s="286" t="s">
        <v>5</v>
      </c>
      <c r="B5" s="287"/>
      <c r="C5" s="287"/>
      <c r="D5" s="287"/>
      <c r="E5" s="287"/>
      <c r="F5" s="287"/>
      <c r="G5" s="287"/>
      <c r="H5" s="287"/>
      <c r="I5" s="287"/>
      <c r="J5" s="287"/>
      <c r="K5" s="287"/>
      <c r="L5" s="287"/>
      <c r="M5" s="287"/>
      <c r="N5" s="287"/>
      <c r="O5" s="287"/>
      <c r="P5" s="287"/>
      <c r="Q5" s="288"/>
      <c r="R5" s="286" t="s">
        <v>6</v>
      </c>
      <c r="S5" s="287"/>
      <c r="T5" s="287"/>
      <c r="U5" s="287"/>
      <c r="V5" s="288"/>
      <c r="W5" s="286" t="s">
        <v>7</v>
      </c>
      <c r="X5" s="287"/>
      <c r="Y5" s="287"/>
      <c r="Z5" s="287"/>
      <c r="AA5" s="288"/>
      <c r="AB5" s="286" t="s">
        <v>8</v>
      </c>
      <c r="AC5" s="287"/>
      <c r="AD5" s="287"/>
      <c r="AE5" s="287"/>
      <c r="AF5" s="287"/>
      <c r="AG5" s="288"/>
    </row>
    <row r="6" spans="1:37" s="82" customFormat="1" ht="11.1" customHeight="1">
      <c r="A6" s="280" t="s">
        <v>9</v>
      </c>
      <c r="B6" s="281"/>
      <c r="C6" s="281"/>
      <c r="D6" s="282"/>
      <c r="E6" s="280" t="s">
        <v>10</v>
      </c>
      <c r="F6" s="281"/>
      <c r="G6" s="281"/>
      <c r="H6" s="281"/>
      <c r="I6" s="281"/>
      <c r="J6" s="281"/>
      <c r="K6" s="281"/>
      <c r="L6" s="281"/>
      <c r="M6" s="281"/>
      <c r="N6" s="281"/>
      <c r="O6" s="281"/>
      <c r="P6" s="281"/>
      <c r="Q6" s="281"/>
      <c r="R6" s="281"/>
      <c r="S6" s="281"/>
      <c r="T6" s="281"/>
      <c r="U6" s="281"/>
      <c r="V6" s="282"/>
      <c r="W6" s="283" t="s">
        <v>11</v>
      </c>
      <c r="X6" s="284"/>
      <c r="Y6" s="284"/>
      <c r="Z6" s="284"/>
      <c r="AA6" s="285"/>
      <c r="AB6" s="280" t="s">
        <v>12</v>
      </c>
      <c r="AC6" s="281"/>
      <c r="AD6" s="282"/>
      <c r="AE6" s="280" t="s">
        <v>13</v>
      </c>
      <c r="AF6" s="281"/>
      <c r="AG6" s="282"/>
    </row>
    <row r="7" spans="1:37" s="89" customFormat="1" ht="12.75" customHeight="1">
      <c r="A7" s="286" t="s">
        <v>14</v>
      </c>
      <c r="B7" s="287"/>
      <c r="C7" s="287"/>
      <c r="D7" s="288"/>
      <c r="E7" s="286" t="s">
        <v>15</v>
      </c>
      <c r="F7" s="287"/>
      <c r="G7" s="287"/>
      <c r="H7" s="287"/>
      <c r="I7" s="287"/>
      <c r="J7" s="287"/>
      <c r="K7" s="287"/>
      <c r="L7" s="287"/>
      <c r="M7" s="287"/>
      <c r="N7" s="287"/>
      <c r="O7" s="287"/>
      <c r="P7" s="287"/>
      <c r="Q7" s="287"/>
      <c r="R7" s="287"/>
      <c r="S7" s="287"/>
      <c r="T7" s="287"/>
      <c r="U7" s="287"/>
      <c r="V7" s="288"/>
      <c r="W7" s="289" t="str">
        <f ca="1" xml:space="preserve"> IFERROR(IF([5]!alvDocProperty("MXDocTemplate_Name")="","AEF1007",[5]!alvDocProperty("MXDocTemplate_Name")),"AEF1007")</f>
        <v>AEF1007</v>
      </c>
      <c r="X7" s="290"/>
      <c r="Y7" s="290"/>
      <c r="Z7" s="290"/>
      <c r="AA7" s="291"/>
      <c r="AB7" s="286">
        <v>1.1000000000000001</v>
      </c>
      <c r="AC7" s="287"/>
      <c r="AD7" s="288"/>
      <c r="AE7" s="286" t="str">
        <f ca="1" xml:space="preserve"> IFERROR(IF([5]!alvDocProperty("MXVersion")="","TBD",[5]!alvDocProperty("MXVersion")),"TBD")</f>
        <v>TBD</v>
      </c>
      <c r="AF7" s="287"/>
      <c r="AG7" s="288"/>
    </row>
    <row r="8" spans="1:37" s="89" customFormat="1">
      <c r="A8" s="90"/>
      <c r="B8" s="90"/>
      <c r="C8" s="90"/>
      <c r="D8" s="90"/>
      <c r="E8" s="90"/>
      <c r="F8" s="90"/>
      <c r="G8" s="90"/>
      <c r="H8" s="90"/>
      <c r="I8" s="90"/>
      <c r="J8" s="90"/>
      <c r="K8" s="90"/>
      <c r="L8" s="90"/>
      <c r="M8" s="90"/>
      <c r="N8" s="90"/>
      <c r="O8" s="90"/>
      <c r="P8" s="90"/>
      <c r="Q8" s="90"/>
      <c r="R8" s="90"/>
      <c r="S8" s="90"/>
      <c r="T8" s="90"/>
      <c r="U8" s="90"/>
      <c r="V8" s="90"/>
      <c r="W8" s="91"/>
      <c r="X8" s="91"/>
      <c r="Y8" s="91"/>
      <c r="Z8" s="91"/>
      <c r="AA8" s="91"/>
      <c r="AB8" s="90"/>
      <c r="AC8" s="90"/>
      <c r="AD8" s="90"/>
      <c r="AE8" s="90"/>
      <c r="AF8" s="90"/>
      <c r="AG8" s="90"/>
    </row>
    <row r="9" spans="1:37" ht="11.1" customHeight="1">
      <c r="A9" s="253" t="s">
        <v>16</v>
      </c>
      <c r="B9" s="254"/>
      <c r="C9" s="254"/>
      <c r="D9" s="254"/>
      <c r="E9" s="254"/>
      <c r="F9" s="254"/>
      <c r="G9" s="254"/>
      <c r="H9" s="254"/>
      <c r="I9" s="254"/>
      <c r="J9" s="254"/>
      <c r="K9" s="255"/>
      <c r="L9" s="253" t="s">
        <v>2</v>
      </c>
      <c r="M9" s="254"/>
      <c r="N9" s="254"/>
      <c r="O9" s="254"/>
      <c r="P9" s="254"/>
      <c r="Q9" s="254"/>
      <c r="R9" s="254"/>
      <c r="S9" s="254"/>
      <c r="T9" s="254"/>
      <c r="U9" s="254"/>
      <c r="V9" s="255"/>
      <c r="W9" s="253" t="s">
        <v>17</v>
      </c>
      <c r="X9" s="254"/>
      <c r="Y9" s="254"/>
      <c r="Z9" s="254"/>
      <c r="AA9" s="254"/>
      <c r="AB9" s="254"/>
      <c r="AC9" s="254"/>
      <c r="AD9" s="254"/>
      <c r="AE9" s="254"/>
      <c r="AF9" s="254"/>
      <c r="AG9" s="255"/>
    </row>
    <row r="10" spans="1:37" s="93" customFormat="1" ht="39" customHeight="1">
      <c r="A10" s="256" t="s">
        <v>18</v>
      </c>
      <c r="B10" s="257"/>
      <c r="C10" s="257"/>
      <c r="D10" s="257"/>
      <c r="E10" s="257"/>
      <c r="F10" s="258" t="s">
        <v>19</v>
      </c>
      <c r="G10" s="258"/>
      <c r="H10" s="258"/>
      <c r="I10" s="258"/>
      <c r="J10" s="258"/>
      <c r="K10" s="259"/>
      <c r="L10" s="260" t="s">
        <v>20</v>
      </c>
      <c r="M10" s="261"/>
      <c r="N10" s="261"/>
      <c r="O10" s="261"/>
      <c r="P10" s="261"/>
      <c r="Q10" s="261"/>
      <c r="R10" s="261"/>
      <c r="S10" s="261"/>
      <c r="T10" s="261"/>
      <c r="U10" s="261"/>
      <c r="V10" s="262"/>
      <c r="W10" s="260" t="s">
        <v>20</v>
      </c>
      <c r="X10" s="261"/>
      <c r="Y10" s="261"/>
      <c r="Z10" s="261"/>
      <c r="AA10" s="261"/>
      <c r="AB10" s="261"/>
      <c r="AC10" s="261"/>
      <c r="AD10" s="261"/>
      <c r="AE10" s="261"/>
      <c r="AF10" s="261"/>
      <c r="AG10" s="262"/>
    </row>
    <row r="11" spans="1:37" s="93" customFormat="1" ht="4.5" customHeight="1">
      <c r="A11" s="94"/>
      <c r="B11" s="95"/>
      <c r="C11" s="95"/>
      <c r="D11" s="95"/>
      <c r="E11" s="95"/>
      <c r="F11" s="95"/>
      <c r="G11" s="95"/>
      <c r="H11" s="95"/>
      <c r="I11" s="95"/>
      <c r="J11" s="95"/>
      <c r="K11" s="95"/>
      <c r="L11" s="96"/>
      <c r="M11" s="95"/>
      <c r="N11" s="95"/>
      <c r="O11" s="95"/>
      <c r="P11" s="95"/>
      <c r="Q11" s="95"/>
      <c r="R11" s="95"/>
      <c r="S11" s="95"/>
      <c r="T11" s="95"/>
      <c r="U11" s="95"/>
      <c r="V11" s="95"/>
      <c r="W11" s="96"/>
      <c r="X11" s="95"/>
      <c r="Y11" s="95"/>
      <c r="Z11" s="95"/>
      <c r="AA11" s="95"/>
      <c r="AB11" s="95"/>
      <c r="AC11" s="95"/>
      <c r="AD11" s="95"/>
      <c r="AE11" s="95"/>
      <c r="AF11" s="95"/>
      <c r="AG11" s="97"/>
    </row>
    <row r="12" spans="1:37" ht="11.1" customHeight="1">
      <c r="A12" s="263" t="s">
        <v>21</v>
      </c>
      <c r="B12" s="264"/>
      <c r="C12" s="264"/>
      <c r="D12" s="264"/>
      <c r="E12" s="264"/>
      <c r="F12" s="264"/>
      <c r="G12" s="264"/>
      <c r="H12" s="264"/>
      <c r="I12" s="264"/>
      <c r="J12" s="264"/>
      <c r="K12" s="264"/>
      <c r="L12" s="264"/>
      <c r="M12" s="264"/>
      <c r="N12" s="264"/>
      <c r="O12" s="264"/>
      <c r="P12" s="264"/>
      <c r="Q12" s="264"/>
      <c r="R12" s="264"/>
      <c r="S12" s="264"/>
      <c r="T12" s="264"/>
      <c r="U12" s="264"/>
      <c r="V12" s="264"/>
      <c r="W12" s="264"/>
      <c r="X12" s="264"/>
      <c r="Y12" s="264"/>
      <c r="Z12" s="264"/>
      <c r="AA12" s="264"/>
      <c r="AB12" s="264"/>
      <c r="AC12" s="264"/>
      <c r="AD12" s="264"/>
      <c r="AE12" s="264"/>
      <c r="AF12" s="264"/>
      <c r="AG12" s="265"/>
    </row>
    <row r="13" spans="1:37" s="93" customFormat="1" ht="28.5" customHeight="1">
      <c r="A13" s="266" t="s">
        <v>22</v>
      </c>
      <c r="B13" s="267"/>
      <c r="C13" s="267"/>
      <c r="D13" s="267"/>
      <c r="E13" s="267"/>
      <c r="F13" s="267"/>
      <c r="G13" s="267"/>
      <c r="H13" s="267"/>
      <c r="I13" s="267"/>
      <c r="J13" s="267"/>
      <c r="K13" s="267"/>
      <c r="L13" s="267"/>
      <c r="M13" s="267"/>
      <c r="N13" s="267"/>
      <c r="O13" s="267"/>
      <c r="P13" s="267"/>
      <c r="Q13" s="267"/>
      <c r="R13" s="267"/>
      <c r="S13" s="267"/>
      <c r="T13" s="267"/>
      <c r="U13" s="267"/>
      <c r="V13" s="267"/>
      <c r="W13" s="267"/>
      <c r="X13" s="267"/>
      <c r="Y13" s="267"/>
      <c r="Z13" s="267"/>
      <c r="AA13" s="267"/>
      <c r="AB13" s="267"/>
      <c r="AC13" s="267"/>
      <c r="AD13" s="267"/>
      <c r="AE13" s="267"/>
      <c r="AF13" s="267"/>
      <c r="AG13" s="268"/>
    </row>
    <row r="14" spans="1:37" s="93" customFormat="1" ht="4.5" customHeight="1">
      <c r="A14" s="96"/>
      <c r="B14" s="95"/>
      <c r="C14" s="95"/>
      <c r="D14" s="95"/>
      <c r="E14" s="95"/>
      <c r="F14" s="95"/>
      <c r="G14" s="95"/>
      <c r="H14" s="95"/>
      <c r="I14" s="95"/>
      <c r="J14" s="95"/>
      <c r="K14" s="95"/>
      <c r="L14" s="96"/>
      <c r="M14" s="95"/>
      <c r="N14" s="95"/>
      <c r="O14" s="95"/>
      <c r="P14" s="95"/>
      <c r="Q14" s="95"/>
      <c r="R14" s="95"/>
      <c r="S14" s="95"/>
      <c r="T14" s="95"/>
      <c r="U14" s="95"/>
      <c r="V14" s="95"/>
      <c r="W14" s="96"/>
      <c r="X14" s="95"/>
      <c r="Y14" s="95"/>
      <c r="Z14" s="95"/>
      <c r="AA14" s="95"/>
      <c r="AB14" s="95"/>
      <c r="AC14" s="95"/>
      <c r="AD14" s="95"/>
      <c r="AE14" s="95"/>
      <c r="AF14" s="95"/>
      <c r="AG14" s="95"/>
    </row>
    <row r="15" spans="1:37" ht="37.5" customHeight="1">
      <c r="A15" s="269" t="s">
        <v>23</v>
      </c>
      <c r="B15" s="269"/>
      <c r="C15" s="269"/>
      <c r="D15" s="269"/>
      <c r="E15" s="271"/>
      <c r="F15" s="272"/>
      <c r="G15" s="272"/>
      <c r="H15" s="272"/>
      <c r="I15" s="272"/>
      <c r="J15" s="272"/>
      <c r="K15" s="272"/>
      <c r="L15" s="272"/>
      <c r="M15" s="272"/>
      <c r="N15" s="272"/>
      <c r="O15" s="272"/>
      <c r="P15" s="272"/>
      <c r="Q15" s="272"/>
      <c r="R15" s="272"/>
      <c r="S15" s="272"/>
      <c r="T15" s="272"/>
      <c r="U15" s="272"/>
      <c r="V15" s="272"/>
      <c r="W15" s="272"/>
      <c r="X15" s="272"/>
      <c r="Y15" s="272"/>
      <c r="Z15" s="272"/>
      <c r="AA15" s="272"/>
      <c r="AB15" s="272"/>
      <c r="AC15" s="272"/>
      <c r="AD15" s="272"/>
      <c r="AE15" s="272"/>
      <c r="AF15" s="272"/>
      <c r="AG15" s="273"/>
    </row>
    <row r="16" spans="1:37" ht="37.5" customHeight="1">
      <c r="A16" s="270"/>
      <c r="B16" s="270"/>
      <c r="C16" s="270"/>
      <c r="D16" s="270"/>
      <c r="E16" s="274"/>
      <c r="F16" s="275"/>
      <c r="G16" s="275"/>
      <c r="H16" s="275"/>
      <c r="I16" s="275"/>
      <c r="J16" s="275"/>
      <c r="K16" s="275"/>
      <c r="L16" s="275"/>
      <c r="M16" s="275"/>
      <c r="N16" s="275"/>
      <c r="O16" s="275"/>
      <c r="P16" s="275"/>
      <c r="Q16" s="275"/>
      <c r="R16" s="275"/>
      <c r="S16" s="275"/>
      <c r="T16" s="275"/>
      <c r="U16" s="275"/>
      <c r="V16" s="275"/>
      <c r="W16" s="275"/>
      <c r="X16" s="275"/>
      <c r="Y16" s="275"/>
      <c r="Z16" s="275"/>
      <c r="AA16" s="275"/>
      <c r="AB16" s="275"/>
      <c r="AC16" s="275"/>
      <c r="AD16" s="275"/>
      <c r="AE16" s="275"/>
      <c r="AF16" s="275"/>
      <c r="AG16" s="276"/>
    </row>
    <row r="17" spans="1:33">
      <c r="A17" s="98"/>
    </row>
    <row r="18" spans="1:33" ht="26.25" customHeight="1">
      <c r="A18" s="277" t="s">
        <v>24</v>
      </c>
      <c r="B18" s="278"/>
      <c r="C18" s="278"/>
      <c r="D18" s="278"/>
      <c r="E18" s="279" t="s">
        <v>25</v>
      </c>
      <c r="F18" s="279"/>
      <c r="G18" s="279"/>
      <c r="H18" s="279"/>
      <c r="I18" s="279"/>
      <c r="J18" s="279"/>
      <c r="K18" s="279"/>
      <c r="L18" s="279"/>
      <c r="M18" s="279"/>
      <c r="N18" s="279"/>
      <c r="O18" s="279"/>
      <c r="P18" s="279"/>
    </row>
    <row r="19" spans="1:33"/>
    <row r="20" spans="1:33"/>
    <row r="21" spans="1:33" ht="15.75" customHeight="1">
      <c r="Q21" s="99"/>
    </row>
    <row r="22" spans="1:33" ht="12" customHeight="1">
      <c r="Q22" s="99"/>
    </row>
    <row r="23" spans="1:33" ht="60" customHeight="1">
      <c r="A23" s="251" t="str">
        <f>MXTitle</f>
        <v>DIA - Peer Review Workbook (PRWB)</v>
      </c>
      <c r="B23" s="252"/>
      <c r="C23" s="252"/>
      <c r="D23" s="252"/>
      <c r="E23" s="252"/>
      <c r="F23" s="252"/>
      <c r="G23" s="252"/>
      <c r="H23" s="252"/>
      <c r="I23" s="252"/>
      <c r="J23" s="252"/>
      <c r="K23" s="252"/>
      <c r="L23" s="252"/>
      <c r="M23" s="252"/>
      <c r="N23" s="252"/>
      <c r="O23" s="252"/>
      <c r="P23" s="252"/>
      <c r="Q23" s="252"/>
      <c r="R23" s="252"/>
      <c r="S23" s="252"/>
      <c r="T23" s="252"/>
      <c r="U23" s="252"/>
      <c r="V23" s="252"/>
      <c r="W23" s="252"/>
      <c r="X23" s="252"/>
      <c r="Y23" s="252"/>
      <c r="Z23" s="252"/>
      <c r="AA23" s="252"/>
      <c r="AB23" s="252"/>
      <c r="AC23" s="252"/>
      <c r="AD23" s="252"/>
      <c r="AE23" s="252"/>
      <c r="AF23" s="252"/>
      <c r="AG23" s="252"/>
    </row>
    <row r="24" spans="1:33" ht="25.5">
      <c r="Q24" s="99"/>
    </row>
    <row r="25" spans="1:33"/>
    <row r="26" spans="1:33"/>
  </sheetData>
  <sheetProtection formatCells="0" formatRows="0" insertColumns="0" insertRows="0" insertHyperlinks="0" deleteRows="0" selectLockedCells="1" sort="0" autoFilter="0" pivotTables="0"/>
  <dataConsolidate/>
  <mergeCells count="33">
    <mergeCell ref="A4:Q4"/>
    <mergeCell ref="R4:V4"/>
    <mergeCell ref="W4:AA4"/>
    <mergeCell ref="AB4:AG4"/>
    <mergeCell ref="A5:Q5"/>
    <mergeCell ref="R5:V5"/>
    <mergeCell ref="W5:AA5"/>
    <mergeCell ref="AB5:AG5"/>
    <mergeCell ref="A7:D7"/>
    <mergeCell ref="E7:V7"/>
    <mergeCell ref="W7:AA7"/>
    <mergeCell ref="AB7:AD7"/>
    <mergeCell ref="AE7:AG7"/>
    <mergeCell ref="A6:D6"/>
    <mergeCell ref="E6:V6"/>
    <mergeCell ref="W6:AA6"/>
    <mergeCell ref="AB6:AD6"/>
    <mergeCell ref="AE6:AG6"/>
    <mergeCell ref="A23:AG23"/>
    <mergeCell ref="A9:K9"/>
    <mergeCell ref="L9:V9"/>
    <mergeCell ref="W9:AG9"/>
    <mergeCell ref="A10:E10"/>
    <mergeCell ref="F10:K10"/>
    <mergeCell ref="L10:V10"/>
    <mergeCell ref="W10:AG10"/>
    <mergeCell ref="A12:AG12"/>
    <mergeCell ref="A13:AG13"/>
    <mergeCell ref="A15:D16"/>
    <mergeCell ref="E15:AG15"/>
    <mergeCell ref="E16:AG16"/>
    <mergeCell ref="A18:D18"/>
    <mergeCell ref="E18:P18"/>
  </mergeCells>
  <phoneticPr fontId="88" type="noConversion"/>
  <conditionalFormatting sqref="W5">
    <cfRule type="cellIs" dxfId="7826" priority="23" operator="equal">
      <formula>"draft"</formula>
    </cfRule>
  </conditionalFormatting>
  <conditionalFormatting sqref="W5:AA5">
    <cfRule type="cellIs" dxfId="7825" priority="1" operator="equal">
      <formula>"In-Work"</formula>
    </cfRule>
    <cfRule type="cellIs" dxfId="7824" priority="2" stopIfTrue="1" operator="equal">
      <formula>"draft"</formula>
    </cfRule>
    <cfRule type="cellIs" dxfId="7823" priority="3" operator="equal">
      <formula>"In-Work"</formula>
    </cfRule>
    <cfRule type="cellIs" dxfId="7822" priority="4" stopIfTrue="1" operator="equal">
      <formula>"draft"</formula>
    </cfRule>
    <cfRule type="cellIs" dxfId="7821" priority="5" operator="equal">
      <formula>"In-Work"</formula>
    </cfRule>
    <cfRule type="cellIs" dxfId="7820" priority="6" stopIfTrue="1" operator="equal">
      <formula>"draft"</formula>
    </cfRule>
    <cfRule type="cellIs" dxfId="7819" priority="7" operator="equal">
      <formula>"In-Work"</formula>
    </cfRule>
    <cfRule type="cellIs" dxfId="7818" priority="8" stopIfTrue="1" operator="equal">
      <formula>"draft"</formula>
    </cfRule>
    <cfRule type="cellIs" dxfId="7817" priority="9" operator="equal">
      <formula>"In-Work"</formula>
    </cfRule>
    <cfRule type="cellIs" dxfId="7816" priority="10" stopIfTrue="1" operator="equal">
      <formula>"draft"</formula>
    </cfRule>
    <cfRule type="cellIs" dxfId="7815" priority="11" operator="equal">
      <formula>"In-Work"</formula>
    </cfRule>
    <cfRule type="cellIs" dxfId="7814" priority="12" stopIfTrue="1" operator="equal">
      <formula>"draft"</formula>
    </cfRule>
    <cfRule type="cellIs" dxfId="7813" priority="13" operator="equal">
      <formula>"In-Work"</formula>
    </cfRule>
    <cfRule type="cellIs" dxfId="7812" priority="14" stopIfTrue="1" operator="equal">
      <formula>"draft"</formula>
    </cfRule>
    <cfRule type="cellIs" dxfId="7811" priority="15" operator="equal">
      <formula>"In-Work"</formula>
    </cfRule>
    <cfRule type="cellIs" dxfId="7810" priority="16" stopIfTrue="1" operator="equal">
      <formula>"draft"</formula>
    </cfRule>
    <cfRule type="cellIs" dxfId="7809" priority="17" operator="equal">
      <formula>"In-Work"</formula>
    </cfRule>
    <cfRule type="cellIs" dxfId="7808" priority="18" stopIfTrue="1" operator="equal">
      <formula>"draft"</formula>
    </cfRule>
    <cfRule type="cellIs" dxfId="7807" priority="19" operator="equal">
      <formula>"In-Work"</formula>
    </cfRule>
    <cfRule type="cellIs" dxfId="7806" priority="20" stopIfTrue="1" operator="equal">
      <formula>"draft"</formula>
    </cfRule>
    <cfRule type="cellIs" dxfId="7805" priority="21" operator="equal">
      <formula>"In-Work"</formula>
    </cfRule>
    <cfRule type="cellIs" dxfId="7804" priority="22" stopIfTrue="1" operator="equal">
      <formula>"draft"</formula>
    </cfRule>
  </conditionalFormatting>
  <dataValidations count="1">
    <dataValidation type="list" allowBlank="1" showInputMessage="1" showErrorMessage="1" sqref="E18:P18" xr:uid="{77868581-5143-49F8-85D4-ADEB2DA28229}">
      <formula1>ChecklistsSheetNameList</formula1>
    </dataValidation>
  </dataValidation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Reserved&amp;LExxxxxx rev xxx ver xxx&amp;R&amp;P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679818" r:id="rId4" name="ButtonUpdateFrontpage">
              <controlPr defaultSize="0" print="0" autoFill="0" autoPict="0" macro="[4]!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19" r:id="rId5" name="ButtonUpdateFrontpage">
              <controlPr defaultSize="0" print="0" autoFill="0" autoPict="0" macro="[4]!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0" r:id="rId6" name="ButtonUpdateFrontpage">
              <controlPr defaultSize="0" print="0" autoFill="0" autoPict="0" macro="[4]!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1" r:id="rId7" name="ButtonUpdateFrontpage">
              <controlPr defaultSize="0" print="0" autoFill="0" autoPict="0" macro="[4]!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2" r:id="rId8" name="ButtonUpdateFrontpage">
              <controlPr defaultSize="0" print="0" autoFill="0" autoPict="0" macro="[4]!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8" r:id="rId9" name="ButtonUpdateFrontpage">
              <controlPr defaultSize="0" print="0" autoFill="0" autoPict="0" macro="[4]!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31" r:id="rId10" name="ButtonUpdateFrontpage">
              <controlPr defaultSize="0" print="0" autoFill="0" autoPict="0" macro="[4]!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40" r:id="rId11" name="ButtonUpdateFrontpage">
              <controlPr defaultSize="0" print="0" autoFill="0" autoPict="0" macro="[4]!autofillFrontPage">
                <anchor moveWithCells="1" sizeWithCells="1">
                  <from>
                    <xdr:col>9</xdr:col>
                    <xdr:colOff>0</xdr:colOff>
                    <xdr:row>0</xdr:row>
                    <xdr:rowOff>0</xdr:rowOff>
                  </from>
                  <to>
                    <xdr:col>20</xdr:col>
                    <xdr:colOff>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E4549C-5E36-4A4E-99FB-92B1F79D8B92}">
  <sheetPr codeName="GeneralInfo">
    <tabColor theme="9" tint="0.59999389629810485"/>
    <pageSetUpPr fitToPage="1"/>
  </sheetPr>
  <dimension ref="A1:AJ105"/>
  <sheetViews>
    <sheetView showGridLines="0" zoomScaleNormal="100" workbookViewId="0"/>
  </sheetViews>
  <sheetFormatPr defaultColWidth="9.140625" defaultRowHeight="15"/>
  <cols>
    <col min="1" max="34" width="2.85546875" style="100" customWidth="1"/>
    <col min="35" max="35" width="9.140625" style="100"/>
    <col min="36" max="36" width="22" style="100" customWidth="1"/>
    <col min="37" max="16384" width="9.140625" style="100"/>
  </cols>
  <sheetData>
    <row r="1" spans="1:34">
      <c r="A1" s="82"/>
      <c r="B1" s="82"/>
      <c r="C1" s="83"/>
      <c r="D1" s="83"/>
      <c r="E1" s="83"/>
      <c r="F1" s="83"/>
      <c r="G1" s="84"/>
      <c r="H1" s="85"/>
      <c r="I1" s="85"/>
      <c r="J1" s="85"/>
      <c r="K1" s="85"/>
      <c r="L1" s="85"/>
      <c r="M1" s="85"/>
      <c r="N1" s="85"/>
      <c r="O1" s="85"/>
      <c r="P1" s="86"/>
      <c r="Q1" s="86"/>
      <c r="R1" s="86"/>
      <c r="S1" s="86"/>
      <c r="T1" s="86"/>
      <c r="U1" s="86"/>
      <c r="V1" s="86"/>
      <c r="W1" s="86"/>
      <c r="X1" s="86"/>
      <c r="Y1" s="86"/>
      <c r="Z1" s="86"/>
      <c r="AA1" s="86"/>
      <c r="AB1" s="86"/>
      <c r="AC1" s="86"/>
      <c r="AD1" s="86"/>
      <c r="AE1" s="86"/>
      <c r="AF1" s="86"/>
      <c r="AG1" s="86"/>
      <c r="AH1" s="86"/>
    </row>
    <row r="2" spans="1:34">
      <c r="A2" s="82"/>
      <c r="B2" s="82"/>
      <c r="C2" s="82"/>
      <c r="D2" s="82"/>
      <c r="E2" s="82"/>
      <c r="F2" s="82"/>
      <c r="G2" s="82"/>
      <c r="H2" s="82"/>
      <c r="I2" s="82"/>
      <c r="J2" s="82"/>
      <c r="K2" s="82"/>
      <c r="L2" s="82"/>
      <c r="M2" s="82"/>
      <c r="N2" s="82"/>
      <c r="O2" s="82"/>
      <c r="P2" s="82"/>
      <c r="Q2" s="82"/>
      <c r="R2" s="82"/>
      <c r="S2" s="82"/>
      <c r="T2" s="82"/>
      <c r="U2" s="82"/>
      <c r="V2" s="82"/>
      <c r="W2" s="82"/>
      <c r="X2" s="82"/>
      <c r="Y2" s="82"/>
      <c r="Z2" s="82"/>
      <c r="AA2" s="82"/>
      <c r="AB2" s="82"/>
      <c r="AC2" s="82"/>
      <c r="AD2" s="82"/>
      <c r="AE2" s="82"/>
      <c r="AF2" s="82"/>
      <c r="AG2" s="82"/>
      <c r="AH2" s="82"/>
    </row>
    <row r="3" spans="1:34">
      <c r="A3" s="82"/>
      <c r="B3" s="82"/>
      <c r="C3" s="82"/>
      <c r="D3" s="82"/>
      <c r="E3" s="82"/>
      <c r="F3" s="82"/>
      <c r="G3" s="82"/>
      <c r="H3" s="82"/>
      <c r="I3" s="82"/>
      <c r="J3" s="82"/>
      <c r="K3" s="82"/>
      <c r="L3" s="82"/>
      <c r="M3" s="82"/>
      <c r="N3" s="82"/>
      <c r="O3" s="82"/>
      <c r="P3" s="82"/>
      <c r="Q3" s="82"/>
      <c r="R3" s="82"/>
      <c r="S3" s="82"/>
      <c r="T3" s="82"/>
      <c r="U3" s="82"/>
      <c r="V3" s="82"/>
      <c r="W3" s="82"/>
      <c r="X3" s="82"/>
      <c r="Y3" s="82"/>
      <c r="Z3" s="82"/>
      <c r="AA3" s="82"/>
      <c r="AB3" s="82"/>
      <c r="AC3" s="82"/>
      <c r="AD3" s="101" t="str">
        <f>FileName</f>
        <v>DIA - Peer Review Workbook.xlsm</v>
      </c>
      <c r="AE3" s="82"/>
      <c r="AF3" s="82"/>
      <c r="AG3" s="82"/>
      <c r="AH3" s="82"/>
    </row>
    <row r="4" spans="1:34">
      <c r="A4" s="283" t="s">
        <v>1</v>
      </c>
      <c r="B4" s="284"/>
      <c r="C4" s="284"/>
      <c r="D4" s="284"/>
      <c r="E4" s="284"/>
      <c r="F4" s="284"/>
      <c r="G4" s="284"/>
      <c r="H4" s="284"/>
      <c r="I4" s="284"/>
      <c r="J4" s="284"/>
      <c r="K4" s="284"/>
      <c r="L4" s="284"/>
      <c r="M4" s="284"/>
      <c r="N4" s="284"/>
      <c r="O4" s="284"/>
      <c r="P4" s="284"/>
      <c r="Q4" s="284"/>
      <c r="R4" s="284"/>
      <c r="S4" s="284"/>
      <c r="T4" s="284"/>
      <c r="U4" s="284"/>
      <c r="V4" s="285"/>
      <c r="W4" s="322" t="s">
        <v>3</v>
      </c>
      <c r="X4" s="323"/>
      <c r="Y4" s="323"/>
      <c r="Z4" s="323"/>
      <c r="AA4" s="324"/>
      <c r="AB4" s="283" t="s">
        <v>4</v>
      </c>
      <c r="AC4" s="284"/>
      <c r="AD4" s="284"/>
      <c r="AE4" s="284"/>
      <c r="AF4" s="284"/>
      <c r="AG4" s="285"/>
      <c r="AH4" s="88"/>
    </row>
    <row r="5" spans="1:34">
      <c r="A5" s="289" t="s">
        <v>26</v>
      </c>
      <c r="B5" s="290"/>
      <c r="C5" s="290"/>
      <c r="D5" s="290"/>
      <c r="E5" s="290"/>
      <c r="F5" s="290"/>
      <c r="G5" s="290"/>
      <c r="H5" s="290"/>
      <c r="I5" s="290"/>
      <c r="J5" s="290"/>
      <c r="K5" s="290"/>
      <c r="L5" s="290"/>
      <c r="M5" s="290"/>
      <c r="N5" s="290"/>
      <c r="O5" s="290"/>
      <c r="P5" s="290"/>
      <c r="Q5" s="290"/>
      <c r="R5" s="290"/>
      <c r="S5" s="290"/>
      <c r="T5" s="290"/>
      <c r="U5" s="290"/>
      <c r="V5" s="291"/>
      <c r="W5" s="325" t="s">
        <v>7</v>
      </c>
      <c r="X5" s="326"/>
      <c r="Y5" s="326"/>
      <c r="Z5" s="326"/>
      <c r="AA5" s="327"/>
      <c r="AB5" s="289" t="s">
        <v>27</v>
      </c>
      <c r="AC5" s="290"/>
      <c r="AD5" s="290"/>
      <c r="AE5" s="290"/>
      <c r="AF5" s="290"/>
      <c r="AG5" s="291"/>
      <c r="AH5" s="89"/>
    </row>
    <row r="6" spans="1:34">
      <c r="A6" s="314" t="s">
        <v>9</v>
      </c>
      <c r="B6" s="315"/>
      <c r="C6" s="315"/>
      <c r="D6" s="316"/>
      <c r="E6" s="314" t="s">
        <v>10</v>
      </c>
      <c r="F6" s="315"/>
      <c r="G6" s="315"/>
      <c r="H6" s="315"/>
      <c r="I6" s="315"/>
      <c r="J6" s="315"/>
      <c r="K6" s="315"/>
      <c r="L6" s="315"/>
      <c r="M6" s="315"/>
      <c r="N6" s="315"/>
      <c r="O6" s="315"/>
      <c r="P6" s="315"/>
      <c r="Q6" s="315"/>
      <c r="R6" s="315"/>
      <c r="S6" s="315"/>
      <c r="T6" s="315"/>
      <c r="U6" s="315"/>
      <c r="V6" s="316"/>
      <c r="W6" s="283" t="s">
        <v>11</v>
      </c>
      <c r="X6" s="284"/>
      <c r="Y6" s="284"/>
      <c r="Z6" s="284"/>
      <c r="AA6" s="285"/>
      <c r="AB6" s="322" t="s">
        <v>12</v>
      </c>
      <c r="AC6" s="323"/>
      <c r="AD6" s="324"/>
      <c r="AE6" s="322" t="s">
        <v>13</v>
      </c>
      <c r="AF6" s="323"/>
      <c r="AG6" s="324"/>
      <c r="AH6" s="82"/>
    </row>
    <row r="7" spans="1:34">
      <c r="A7" s="325" t="s">
        <v>28</v>
      </c>
      <c r="B7" s="326"/>
      <c r="C7" s="326"/>
      <c r="D7" s="327"/>
      <c r="E7" s="325" t="s">
        <v>29</v>
      </c>
      <c r="F7" s="326"/>
      <c r="G7" s="326"/>
      <c r="H7" s="326"/>
      <c r="I7" s="326"/>
      <c r="J7" s="326"/>
      <c r="K7" s="326"/>
      <c r="L7" s="326"/>
      <c r="M7" s="326"/>
      <c r="N7" s="326"/>
      <c r="O7" s="326"/>
      <c r="P7" s="326"/>
      <c r="Q7" s="326"/>
      <c r="R7" s="326"/>
      <c r="S7" s="326"/>
      <c r="T7" s="326"/>
      <c r="U7" s="326"/>
      <c r="V7" s="327"/>
      <c r="W7" s="325" t="str">
        <f ca="1">TemplateRef</f>
        <v>AEF1007</v>
      </c>
      <c r="X7" s="326"/>
      <c r="Y7" s="326"/>
      <c r="Z7" s="326"/>
      <c r="AA7" s="327"/>
      <c r="AB7" s="325" t="s">
        <v>30</v>
      </c>
      <c r="AC7" s="326"/>
      <c r="AD7" s="327"/>
      <c r="AE7" s="325" t="s">
        <v>30</v>
      </c>
      <c r="AF7" s="326"/>
      <c r="AG7" s="327"/>
      <c r="AH7" s="89"/>
    </row>
    <row r="8" spans="1:34">
      <c r="A8" s="314" t="s">
        <v>31</v>
      </c>
      <c r="B8" s="315"/>
      <c r="C8" s="315"/>
      <c r="D8" s="315"/>
      <c r="E8" s="315"/>
      <c r="F8" s="315"/>
      <c r="G8" s="315"/>
      <c r="H8" s="315"/>
      <c r="I8" s="315"/>
      <c r="J8" s="315"/>
      <c r="K8" s="315"/>
      <c r="L8" s="315"/>
      <c r="M8" s="315"/>
      <c r="N8" s="315"/>
      <c r="O8" s="315"/>
      <c r="P8" s="315"/>
      <c r="Q8" s="315"/>
      <c r="R8" s="315"/>
      <c r="S8" s="315"/>
      <c r="T8" s="315"/>
      <c r="U8" s="315"/>
      <c r="V8" s="315"/>
      <c r="W8" s="315"/>
      <c r="X8" s="315"/>
      <c r="Y8" s="315"/>
      <c r="Z8" s="315"/>
      <c r="AA8" s="315"/>
      <c r="AB8" s="315"/>
      <c r="AC8" s="315"/>
      <c r="AD8" s="315"/>
      <c r="AE8" s="315"/>
      <c r="AF8" s="315"/>
      <c r="AG8" s="316"/>
      <c r="AH8" s="92"/>
    </row>
    <row r="9" spans="1:34">
      <c r="A9" s="317" t="s">
        <v>32</v>
      </c>
      <c r="B9" s="318"/>
      <c r="C9" s="318"/>
      <c r="D9" s="318"/>
      <c r="E9" s="318"/>
      <c r="F9" s="318"/>
      <c r="G9" s="318"/>
      <c r="H9" s="318"/>
      <c r="I9" s="318"/>
      <c r="J9" s="318"/>
      <c r="K9" s="318"/>
      <c r="L9" s="318"/>
      <c r="M9" s="318"/>
      <c r="N9" s="318"/>
      <c r="O9" s="318"/>
      <c r="P9" s="318"/>
      <c r="Q9" s="318"/>
      <c r="R9" s="318"/>
      <c r="S9" s="318"/>
      <c r="T9" s="318"/>
      <c r="U9" s="318"/>
      <c r="V9" s="318"/>
      <c r="W9" s="318"/>
      <c r="X9" s="318"/>
      <c r="Y9" s="318"/>
      <c r="Z9" s="318"/>
      <c r="AA9" s="318"/>
      <c r="AB9" s="318"/>
      <c r="AC9" s="318"/>
      <c r="AD9" s="318"/>
      <c r="AE9" s="318"/>
      <c r="AF9" s="318"/>
      <c r="AG9" s="319"/>
      <c r="AH9" s="92"/>
    </row>
    <row r="10" spans="1:34">
      <c r="A10" s="92"/>
      <c r="B10" s="92"/>
      <c r="C10" s="92"/>
      <c r="D10" s="92"/>
      <c r="E10" s="92"/>
      <c r="F10" s="92"/>
      <c r="G10" s="92"/>
      <c r="H10" s="92"/>
      <c r="I10" s="92"/>
      <c r="J10" s="92"/>
      <c r="K10" s="92"/>
      <c r="L10" s="92"/>
      <c r="M10" s="92"/>
      <c r="N10" s="92"/>
      <c r="O10" s="92"/>
      <c r="P10" s="92"/>
      <c r="Q10" s="92"/>
      <c r="R10" s="92"/>
      <c r="S10" s="92"/>
      <c r="T10" s="92"/>
      <c r="U10" s="92"/>
      <c r="V10" s="92"/>
      <c r="W10" s="92"/>
      <c r="X10" s="92"/>
      <c r="Y10" s="92"/>
      <c r="Z10" s="92"/>
      <c r="AA10" s="92"/>
      <c r="AB10" s="92"/>
      <c r="AC10" s="92"/>
      <c r="AD10" s="92"/>
      <c r="AE10" s="92"/>
      <c r="AF10" s="92"/>
      <c r="AG10" s="92"/>
      <c r="AH10" s="92"/>
    </row>
    <row r="11" spans="1:34">
      <c r="A11" s="92"/>
      <c r="B11" s="92"/>
      <c r="C11" s="92"/>
      <c r="D11" s="92"/>
      <c r="E11" s="92"/>
      <c r="F11" s="92"/>
      <c r="G11" s="92"/>
      <c r="H11" s="92"/>
      <c r="I11" s="92"/>
      <c r="J11" s="92"/>
      <c r="K11" s="92"/>
      <c r="L11" s="92"/>
      <c r="M11" s="92"/>
      <c r="N11" s="92"/>
      <c r="O11" s="92"/>
      <c r="P11" s="92"/>
      <c r="Q11" s="92"/>
      <c r="R11" s="92"/>
      <c r="S11" s="92"/>
      <c r="T11" s="92"/>
      <c r="U11" s="92"/>
      <c r="V11" s="92"/>
      <c r="W11" s="92"/>
      <c r="X11" s="92"/>
      <c r="Y11" s="92"/>
      <c r="Z11" s="92"/>
      <c r="AA11" s="92"/>
      <c r="AB11" s="92"/>
      <c r="AC11" s="92"/>
      <c r="AD11" s="92"/>
      <c r="AE11" s="92"/>
      <c r="AF11" s="92"/>
      <c r="AG11" s="92"/>
      <c r="AH11" s="92"/>
    </row>
    <row r="12" spans="1:34" ht="26.25">
      <c r="A12" s="92"/>
      <c r="B12" s="102" t="s">
        <v>33</v>
      </c>
      <c r="C12" s="103"/>
      <c r="D12" s="103"/>
      <c r="E12" s="103"/>
      <c r="F12" s="103"/>
      <c r="G12" s="103"/>
      <c r="H12" s="103"/>
      <c r="I12" s="103"/>
      <c r="J12" s="103"/>
      <c r="K12" s="103"/>
      <c r="L12" s="103"/>
      <c r="M12" s="103"/>
      <c r="N12" s="103"/>
      <c r="O12" s="103"/>
      <c r="P12" s="103"/>
      <c r="Q12" s="103"/>
      <c r="R12" s="103"/>
      <c r="S12" s="103"/>
      <c r="T12" s="103"/>
      <c r="U12" s="103"/>
      <c r="V12" s="103"/>
      <c r="W12" s="103"/>
      <c r="X12" s="103"/>
      <c r="Y12" s="103"/>
      <c r="Z12" s="103"/>
      <c r="AA12" s="103"/>
      <c r="AB12" s="103"/>
      <c r="AC12" s="103"/>
      <c r="AD12" s="103"/>
      <c r="AE12" s="103"/>
      <c r="AF12" s="103"/>
      <c r="AG12" s="92"/>
      <c r="AH12" s="92"/>
    </row>
    <row r="13" spans="1:34">
      <c r="A13" s="92"/>
      <c r="B13" s="92"/>
      <c r="C13" s="92"/>
      <c r="D13" s="92"/>
      <c r="E13" s="92"/>
      <c r="F13" s="92"/>
      <c r="G13" s="92"/>
      <c r="H13" s="92"/>
      <c r="I13" s="92"/>
      <c r="J13" s="92"/>
      <c r="K13" s="92"/>
      <c r="L13" s="92"/>
      <c r="M13" s="92"/>
      <c r="N13" s="92"/>
      <c r="O13" s="92"/>
      <c r="P13" s="92"/>
      <c r="Q13" s="92"/>
      <c r="R13" s="92"/>
      <c r="S13" s="92"/>
      <c r="T13" s="92"/>
      <c r="U13" s="92"/>
      <c r="V13" s="92"/>
      <c r="W13" s="92"/>
      <c r="X13" s="92"/>
      <c r="Y13" s="92"/>
      <c r="Z13" s="92"/>
      <c r="AA13" s="92"/>
      <c r="AB13" s="92"/>
      <c r="AC13" s="92"/>
      <c r="AD13" s="92"/>
      <c r="AE13" s="92"/>
      <c r="AF13" s="92"/>
      <c r="AG13" s="92"/>
      <c r="AH13" s="92"/>
    </row>
    <row r="14" spans="1:34" ht="20.25">
      <c r="A14" s="92"/>
      <c r="B14" s="104" t="s">
        <v>34</v>
      </c>
      <c r="C14" s="105"/>
      <c r="D14" s="92"/>
      <c r="E14" s="92"/>
      <c r="F14" s="92"/>
      <c r="G14" s="92"/>
      <c r="H14" s="92"/>
      <c r="I14" s="92"/>
      <c r="J14" s="92"/>
      <c r="K14" s="92"/>
      <c r="L14" s="92"/>
      <c r="M14" s="92"/>
      <c r="N14" s="92"/>
      <c r="O14" s="92"/>
      <c r="P14" s="92"/>
      <c r="Q14" s="92"/>
      <c r="R14" s="92"/>
      <c r="S14" s="92"/>
      <c r="T14" s="92"/>
      <c r="U14" s="92"/>
      <c r="V14" s="92"/>
      <c r="W14" s="92"/>
      <c r="X14" s="92"/>
      <c r="Y14" s="92"/>
      <c r="Z14" s="92"/>
      <c r="AA14" s="92"/>
      <c r="AB14" s="92"/>
      <c r="AC14" s="92"/>
      <c r="AD14" s="92"/>
      <c r="AE14" s="92"/>
      <c r="AF14" s="92"/>
      <c r="AG14" s="92"/>
      <c r="AH14" s="92"/>
    </row>
    <row r="15" spans="1:34">
      <c r="A15" s="92"/>
      <c r="B15" s="302" t="s">
        <v>35</v>
      </c>
      <c r="C15" s="320"/>
      <c r="D15" s="320"/>
      <c r="E15" s="320"/>
      <c r="F15" s="320"/>
      <c r="G15" s="302" t="s">
        <v>36</v>
      </c>
      <c r="H15" s="302"/>
      <c r="I15" s="302"/>
      <c r="J15" s="302"/>
      <c r="K15" s="302"/>
      <c r="L15" s="302"/>
      <c r="M15" s="302"/>
      <c r="N15" s="302"/>
      <c r="O15" s="302"/>
      <c r="P15" s="302"/>
      <c r="Q15" s="302"/>
      <c r="R15" s="302"/>
      <c r="S15" s="302"/>
      <c r="T15" s="302"/>
      <c r="U15" s="302"/>
      <c r="V15" s="302"/>
      <c r="W15" s="302"/>
      <c r="X15" s="302"/>
      <c r="Y15" s="302"/>
      <c r="Z15" s="302"/>
      <c r="AA15" s="302"/>
      <c r="AB15" s="302"/>
      <c r="AC15" s="302"/>
      <c r="AD15" s="302"/>
      <c r="AE15" s="302"/>
      <c r="AF15" s="302"/>
      <c r="AG15" s="92"/>
      <c r="AH15" s="92"/>
    </row>
    <row r="16" spans="1:34" ht="55.5" customHeight="1">
      <c r="A16" s="92"/>
      <c r="B16" s="321" t="s">
        <v>37</v>
      </c>
      <c r="C16" s="321"/>
      <c r="D16" s="321"/>
      <c r="E16" s="321"/>
      <c r="F16" s="321"/>
      <c r="G16" s="299" t="s">
        <v>38</v>
      </c>
      <c r="H16" s="299"/>
      <c r="I16" s="299"/>
      <c r="J16" s="299"/>
      <c r="K16" s="299"/>
      <c r="L16" s="299"/>
      <c r="M16" s="299"/>
      <c r="N16" s="299"/>
      <c r="O16" s="299"/>
      <c r="P16" s="299"/>
      <c r="Q16" s="299"/>
      <c r="R16" s="299"/>
      <c r="S16" s="299"/>
      <c r="T16" s="299"/>
      <c r="U16" s="299"/>
      <c r="V16" s="299"/>
      <c r="W16" s="299"/>
      <c r="X16" s="299"/>
      <c r="Y16" s="299"/>
      <c r="Z16" s="299"/>
      <c r="AA16" s="299"/>
      <c r="AB16" s="299"/>
      <c r="AC16" s="299"/>
      <c r="AD16" s="299"/>
      <c r="AE16" s="299"/>
      <c r="AF16" s="299"/>
      <c r="AG16" s="92"/>
      <c r="AH16" s="92"/>
    </row>
    <row r="17" spans="1:34">
      <c r="A17" s="92"/>
      <c r="B17" s="321" t="s">
        <v>39</v>
      </c>
      <c r="C17" s="321"/>
      <c r="D17" s="321"/>
      <c r="E17" s="321"/>
      <c r="F17" s="321"/>
      <c r="G17" s="299" t="s">
        <v>40</v>
      </c>
      <c r="H17" s="299"/>
      <c r="I17" s="299"/>
      <c r="J17" s="299"/>
      <c r="K17" s="299"/>
      <c r="L17" s="299"/>
      <c r="M17" s="299"/>
      <c r="N17" s="299"/>
      <c r="O17" s="299"/>
      <c r="P17" s="299"/>
      <c r="Q17" s="299"/>
      <c r="R17" s="299"/>
      <c r="S17" s="299"/>
      <c r="T17" s="299"/>
      <c r="U17" s="299"/>
      <c r="V17" s="299"/>
      <c r="W17" s="299"/>
      <c r="X17" s="299"/>
      <c r="Y17" s="299"/>
      <c r="Z17" s="299"/>
      <c r="AA17" s="299"/>
      <c r="AB17" s="299"/>
      <c r="AC17" s="299"/>
      <c r="AD17" s="299"/>
      <c r="AE17" s="299"/>
      <c r="AF17" s="299"/>
      <c r="AG17" s="92"/>
      <c r="AH17" s="92"/>
    </row>
    <row r="18" spans="1:34" ht="15" customHeight="1">
      <c r="A18" s="92"/>
      <c r="B18" s="321" t="s">
        <v>41</v>
      </c>
      <c r="C18" s="321"/>
      <c r="D18" s="321"/>
      <c r="E18" s="321"/>
      <c r="F18" s="321"/>
      <c r="G18" s="299" t="s">
        <v>42</v>
      </c>
      <c r="H18" s="299"/>
      <c r="I18" s="299"/>
      <c r="J18" s="299"/>
      <c r="K18" s="299"/>
      <c r="L18" s="299"/>
      <c r="M18" s="299"/>
      <c r="N18" s="299"/>
      <c r="O18" s="299"/>
      <c r="P18" s="299"/>
      <c r="Q18" s="299"/>
      <c r="R18" s="299"/>
      <c r="S18" s="299"/>
      <c r="T18" s="299"/>
      <c r="U18" s="299"/>
      <c r="V18" s="299"/>
      <c r="W18" s="299"/>
      <c r="X18" s="299"/>
      <c r="Y18" s="299"/>
      <c r="Z18" s="299"/>
      <c r="AA18" s="299"/>
      <c r="AB18" s="299"/>
      <c r="AC18" s="299"/>
      <c r="AD18" s="299"/>
      <c r="AE18" s="299"/>
      <c r="AF18" s="299"/>
      <c r="AG18" s="92"/>
      <c r="AH18" s="92"/>
    </row>
    <row r="19" spans="1:34" ht="24" customHeight="1">
      <c r="A19" s="92"/>
      <c r="B19" s="311" t="s">
        <v>43</v>
      </c>
      <c r="C19" s="311"/>
      <c r="D19" s="311"/>
      <c r="E19" s="311"/>
      <c r="F19" s="311"/>
      <c r="G19" s="299" t="s">
        <v>42</v>
      </c>
      <c r="H19" s="299"/>
      <c r="I19" s="299"/>
      <c r="J19" s="299"/>
      <c r="K19" s="299"/>
      <c r="L19" s="299"/>
      <c r="M19" s="299"/>
      <c r="N19" s="299"/>
      <c r="O19" s="299"/>
      <c r="P19" s="299"/>
      <c r="Q19" s="299"/>
      <c r="R19" s="299"/>
      <c r="S19" s="299"/>
      <c r="T19" s="299"/>
      <c r="U19" s="299"/>
      <c r="V19" s="299"/>
      <c r="W19" s="299"/>
      <c r="X19" s="299"/>
      <c r="Y19" s="299"/>
      <c r="Z19" s="299"/>
      <c r="AA19" s="299"/>
      <c r="AB19" s="299"/>
      <c r="AC19" s="299"/>
      <c r="AD19" s="299"/>
      <c r="AE19" s="299"/>
      <c r="AF19" s="299"/>
      <c r="AG19" s="92"/>
      <c r="AH19" s="92"/>
    </row>
    <row r="20" spans="1:34">
      <c r="A20" s="92"/>
      <c r="B20" s="328" t="s">
        <v>44</v>
      </c>
      <c r="C20" s="328"/>
      <c r="D20" s="328"/>
      <c r="E20" s="328"/>
      <c r="F20" s="328"/>
      <c r="G20" s="299" t="s">
        <v>42</v>
      </c>
      <c r="H20" s="299"/>
      <c r="I20" s="299"/>
      <c r="J20" s="299"/>
      <c r="K20" s="299"/>
      <c r="L20" s="299"/>
      <c r="M20" s="299"/>
      <c r="N20" s="299"/>
      <c r="O20" s="299"/>
      <c r="P20" s="299"/>
      <c r="Q20" s="299"/>
      <c r="R20" s="299"/>
      <c r="S20" s="299"/>
      <c r="T20" s="299"/>
      <c r="U20" s="299"/>
      <c r="V20" s="299"/>
      <c r="W20" s="299"/>
      <c r="X20" s="299"/>
      <c r="Y20" s="299"/>
      <c r="Z20" s="299"/>
      <c r="AA20" s="299"/>
      <c r="AB20" s="299"/>
      <c r="AC20" s="299"/>
      <c r="AD20" s="299"/>
      <c r="AE20" s="299"/>
      <c r="AF20" s="299"/>
      <c r="AG20" s="92"/>
      <c r="AH20" s="92"/>
    </row>
    <row r="21" spans="1:34" ht="35.25" customHeight="1">
      <c r="A21" s="92"/>
      <c r="B21" s="312" t="s">
        <v>45</v>
      </c>
      <c r="C21" s="312"/>
      <c r="D21" s="312"/>
      <c r="E21" s="312"/>
      <c r="F21" s="312"/>
      <c r="G21" s="299" t="s">
        <v>46</v>
      </c>
      <c r="H21" s="299"/>
      <c r="I21" s="299"/>
      <c r="J21" s="299"/>
      <c r="K21" s="299"/>
      <c r="L21" s="299"/>
      <c r="M21" s="299"/>
      <c r="N21" s="299"/>
      <c r="O21" s="299"/>
      <c r="P21" s="299"/>
      <c r="Q21" s="299"/>
      <c r="R21" s="299"/>
      <c r="S21" s="299"/>
      <c r="T21" s="299"/>
      <c r="U21" s="299"/>
      <c r="V21" s="299"/>
      <c r="W21" s="299"/>
      <c r="X21" s="299"/>
      <c r="Y21" s="299"/>
      <c r="Z21" s="299"/>
      <c r="AA21" s="299"/>
      <c r="AB21" s="299"/>
      <c r="AC21" s="299"/>
      <c r="AD21" s="299"/>
      <c r="AE21" s="299"/>
      <c r="AF21" s="299"/>
      <c r="AG21" s="92"/>
      <c r="AH21" s="92"/>
    </row>
    <row r="22" spans="1:34" ht="28.5" customHeight="1">
      <c r="A22" s="92"/>
      <c r="B22" s="312" t="s">
        <v>47</v>
      </c>
      <c r="C22" s="312"/>
      <c r="D22" s="312"/>
      <c r="E22" s="312"/>
      <c r="F22" s="312"/>
      <c r="G22" s="299" t="s">
        <v>48</v>
      </c>
      <c r="H22" s="299"/>
      <c r="I22" s="299"/>
      <c r="J22" s="299"/>
      <c r="K22" s="299"/>
      <c r="L22" s="299"/>
      <c r="M22" s="299"/>
      <c r="N22" s="299"/>
      <c r="O22" s="299"/>
      <c r="P22" s="299"/>
      <c r="Q22" s="299"/>
      <c r="R22" s="299"/>
      <c r="S22" s="299"/>
      <c r="T22" s="299"/>
      <c r="U22" s="299"/>
      <c r="V22" s="299"/>
      <c r="W22" s="299"/>
      <c r="X22" s="299"/>
      <c r="Y22" s="299"/>
      <c r="Z22" s="299"/>
      <c r="AA22" s="299"/>
      <c r="AB22" s="299"/>
      <c r="AC22" s="299"/>
      <c r="AD22" s="299"/>
      <c r="AE22" s="299"/>
      <c r="AF22" s="299"/>
      <c r="AG22" s="92"/>
      <c r="AH22" s="92"/>
    </row>
    <row r="23" spans="1:34" ht="22.5" customHeight="1">
      <c r="A23" s="92"/>
      <c r="B23" s="312" t="s">
        <v>49</v>
      </c>
      <c r="C23" s="312"/>
      <c r="D23" s="312"/>
      <c r="E23" s="312"/>
      <c r="F23" s="312"/>
      <c r="G23" s="299" t="s">
        <v>50</v>
      </c>
      <c r="H23" s="299"/>
      <c r="I23" s="299"/>
      <c r="J23" s="299"/>
      <c r="K23" s="299"/>
      <c r="L23" s="299"/>
      <c r="M23" s="299"/>
      <c r="N23" s="299"/>
      <c r="O23" s="299"/>
      <c r="P23" s="299"/>
      <c r="Q23" s="299"/>
      <c r="R23" s="299"/>
      <c r="S23" s="299"/>
      <c r="T23" s="299"/>
      <c r="U23" s="299"/>
      <c r="V23" s="299"/>
      <c r="W23" s="299"/>
      <c r="X23" s="299"/>
      <c r="Y23" s="299"/>
      <c r="Z23" s="299"/>
      <c r="AA23" s="299"/>
      <c r="AB23" s="299"/>
      <c r="AC23" s="299"/>
      <c r="AD23" s="299"/>
      <c r="AE23" s="299"/>
      <c r="AF23" s="299"/>
      <c r="AG23" s="92"/>
      <c r="AH23" s="92"/>
    </row>
    <row r="24" spans="1:34" ht="45" customHeight="1">
      <c r="A24" s="92"/>
      <c r="B24" s="313" t="s">
        <v>51</v>
      </c>
      <c r="C24" s="313"/>
      <c r="D24" s="313"/>
      <c r="E24" s="313"/>
      <c r="F24" s="313"/>
      <c r="G24" s="299" t="s">
        <v>52</v>
      </c>
      <c r="H24" s="299"/>
      <c r="I24" s="299"/>
      <c r="J24" s="299"/>
      <c r="K24" s="299"/>
      <c r="L24" s="299"/>
      <c r="M24" s="299"/>
      <c r="N24" s="299"/>
      <c r="O24" s="299"/>
      <c r="P24" s="299"/>
      <c r="Q24" s="299"/>
      <c r="R24" s="299"/>
      <c r="S24" s="299"/>
      <c r="T24" s="299"/>
      <c r="U24" s="299"/>
      <c r="V24" s="299"/>
      <c r="W24" s="299"/>
      <c r="X24" s="299"/>
      <c r="Y24" s="299"/>
      <c r="Z24" s="299"/>
      <c r="AA24" s="299"/>
      <c r="AB24" s="299"/>
      <c r="AC24" s="299"/>
      <c r="AD24" s="299"/>
      <c r="AE24" s="299"/>
      <c r="AF24" s="299"/>
      <c r="AG24" s="92"/>
      <c r="AH24" s="92"/>
    </row>
    <row r="25" spans="1:34">
      <c r="A25" s="92"/>
      <c r="B25" s="92"/>
      <c r="C25" s="106"/>
      <c r="D25" s="92"/>
      <c r="E25" s="92"/>
      <c r="F25" s="92"/>
      <c r="G25" s="92"/>
      <c r="H25" s="92"/>
      <c r="I25" s="107"/>
      <c r="J25" s="92"/>
      <c r="K25" s="92"/>
      <c r="L25" s="92"/>
      <c r="M25" s="92"/>
      <c r="N25" s="92"/>
      <c r="O25" s="92"/>
      <c r="P25" s="92"/>
      <c r="Q25" s="92"/>
      <c r="R25" s="92"/>
      <c r="S25" s="92"/>
      <c r="T25" s="92"/>
      <c r="U25" s="92"/>
      <c r="V25" s="92"/>
      <c r="W25" s="92"/>
      <c r="X25" s="92"/>
      <c r="Y25" s="92"/>
      <c r="Z25" s="92"/>
      <c r="AA25" s="92"/>
      <c r="AB25" s="92"/>
      <c r="AC25" s="92"/>
      <c r="AD25" s="92"/>
      <c r="AE25" s="92"/>
      <c r="AF25" s="92"/>
      <c r="AG25" s="92"/>
      <c r="AH25" s="92"/>
    </row>
    <row r="26" spans="1:34" ht="20.25">
      <c r="A26" s="104"/>
      <c r="B26" s="104" t="s">
        <v>53</v>
      </c>
      <c r="C26" s="106"/>
      <c r="D26" s="92"/>
      <c r="E26" s="92"/>
      <c r="F26" s="92"/>
      <c r="G26" s="92"/>
      <c r="H26" s="92"/>
      <c r="I26" s="107"/>
      <c r="J26" s="92"/>
      <c r="K26" s="92"/>
      <c r="L26" s="92"/>
      <c r="M26" s="92"/>
      <c r="N26" s="92"/>
      <c r="O26" s="92"/>
      <c r="P26" s="92"/>
      <c r="Q26" s="92"/>
      <c r="R26" s="92"/>
      <c r="S26" s="92"/>
      <c r="T26" s="92"/>
      <c r="U26" s="92"/>
      <c r="V26" s="92"/>
      <c r="W26" s="92"/>
      <c r="X26" s="92"/>
      <c r="Y26" s="92"/>
      <c r="Z26" s="92"/>
      <c r="AA26" s="92"/>
      <c r="AB26" s="92"/>
      <c r="AC26" s="92"/>
      <c r="AD26" s="92"/>
      <c r="AE26" s="92"/>
      <c r="AF26" s="92"/>
      <c r="AG26" s="92"/>
      <c r="AH26" s="92"/>
    </row>
    <row r="27" spans="1:34">
      <c r="A27" s="92"/>
      <c r="B27" s="302" t="s">
        <v>12</v>
      </c>
      <c r="C27" s="304"/>
      <c r="D27" s="304"/>
      <c r="E27" s="302" t="s">
        <v>54</v>
      </c>
      <c r="F27" s="302"/>
      <c r="G27" s="302"/>
      <c r="H27" s="302"/>
      <c r="I27" s="302" t="s">
        <v>55</v>
      </c>
      <c r="J27" s="304"/>
      <c r="K27" s="304"/>
      <c r="L27" s="304"/>
      <c r="M27" s="304"/>
      <c r="N27" s="304"/>
      <c r="O27" s="304"/>
      <c r="P27" s="304"/>
      <c r="Q27" s="304"/>
      <c r="R27" s="302" t="s">
        <v>56</v>
      </c>
      <c r="S27" s="302"/>
      <c r="T27" s="302"/>
      <c r="U27" s="302"/>
      <c r="V27" s="302"/>
      <c r="W27" s="302"/>
      <c r="X27" s="302"/>
      <c r="Y27" s="302"/>
      <c r="Z27" s="302"/>
      <c r="AA27" s="302"/>
      <c r="AB27" s="302"/>
      <c r="AC27" s="302"/>
      <c r="AD27" s="302"/>
      <c r="AE27" s="302"/>
      <c r="AF27" s="302"/>
      <c r="AG27" s="92"/>
      <c r="AH27" s="92"/>
    </row>
    <row r="28" spans="1:34" ht="40.5" customHeight="1">
      <c r="A28" s="92"/>
      <c r="B28" s="292" t="s">
        <v>57</v>
      </c>
      <c r="C28" s="293" t="s">
        <v>58</v>
      </c>
      <c r="D28" s="294" t="s">
        <v>58</v>
      </c>
      <c r="E28" s="305"/>
      <c r="F28" s="306"/>
      <c r="G28" s="306"/>
      <c r="H28" s="307"/>
      <c r="I28" s="299"/>
      <c r="J28" s="308"/>
      <c r="K28" s="308"/>
      <c r="L28" s="308"/>
      <c r="M28" s="308"/>
      <c r="N28" s="308"/>
      <c r="O28" s="308"/>
      <c r="P28" s="308"/>
      <c r="Q28" s="308"/>
      <c r="R28" s="299" t="s">
        <v>59</v>
      </c>
      <c r="S28" s="299" t="s">
        <v>59</v>
      </c>
      <c r="T28" s="299" t="s">
        <v>59</v>
      </c>
      <c r="U28" s="299" t="s">
        <v>59</v>
      </c>
      <c r="V28" s="299" t="s">
        <v>59</v>
      </c>
      <c r="W28" s="299" t="s">
        <v>59</v>
      </c>
      <c r="X28" s="299" t="s">
        <v>59</v>
      </c>
      <c r="Y28" s="299" t="s">
        <v>59</v>
      </c>
      <c r="Z28" s="299" t="s">
        <v>59</v>
      </c>
      <c r="AA28" s="299" t="s">
        <v>59</v>
      </c>
      <c r="AB28" s="299" t="s">
        <v>59</v>
      </c>
      <c r="AC28" s="299" t="s">
        <v>59</v>
      </c>
      <c r="AD28" s="299" t="s">
        <v>59</v>
      </c>
      <c r="AE28" s="299" t="s">
        <v>59</v>
      </c>
      <c r="AF28" s="299" t="s">
        <v>59</v>
      </c>
      <c r="AG28" s="92"/>
      <c r="AH28" s="92"/>
    </row>
    <row r="29" spans="1:34" ht="60" customHeight="1">
      <c r="A29" s="92"/>
      <c r="B29" s="292" t="s">
        <v>60</v>
      </c>
      <c r="C29" s="293" t="s">
        <v>60</v>
      </c>
      <c r="D29" s="294" t="s">
        <v>60</v>
      </c>
      <c r="E29" s="305">
        <v>40591.490486111114</v>
      </c>
      <c r="F29" s="306">
        <v>40591.490486111114</v>
      </c>
      <c r="G29" s="306">
        <v>40591.490486111114</v>
      </c>
      <c r="H29" s="307">
        <v>40591.490486111114</v>
      </c>
      <c r="I29" s="299" t="s">
        <v>61</v>
      </c>
      <c r="J29" s="308" t="s">
        <v>61</v>
      </c>
      <c r="K29" s="308" t="s">
        <v>61</v>
      </c>
      <c r="L29" s="308" t="s">
        <v>61</v>
      </c>
      <c r="M29" s="308" t="s">
        <v>61</v>
      </c>
      <c r="N29" s="308" t="s">
        <v>61</v>
      </c>
      <c r="O29" s="308" t="s">
        <v>61</v>
      </c>
      <c r="P29" s="308" t="s">
        <v>61</v>
      </c>
      <c r="Q29" s="308" t="s">
        <v>61</v>
      </c>
      <c r="R29" s="299" t="s">
        <v>62</v>
      </c>
      <c r="S29" s="299" t="s">
        <v>62</v>
      </c>
      <c r="T29" s="299" t="s">
        <v>62</v>
      </c>
      <c r="U29" s="299" t="s">
        <v>62</v>
      </c>
      <c r="V29" s="299" t="s">
        <v>62</v>
      </c>
      <c r="W29" s="299" t="s">
        <v>62</v>
      </c>
      <c r="X29" s="299" t="s">
        <v>62</v>
      </c>
      <c r="Y29" s="299" t="s">
        <v>62</v>
      </c>
      <c r="Z29" s="299" t="s">
        <v>62</v>
      </c>
      <c r="AA29" s="299" t="s">
        <v>62</v>
      </c>
      <c r="AB29" s="299" t="s">
        <v>62</v>
      </c>
      <c r="AC29" s="299" t="s">
        <v>62</v>
      </c>
      <c r="AD29" s="299" t="s">
        <v>62</v>
      </c>
      <c r="AE29" s="299" t="s">
        <v>62</v>
      </c>
      <c r="AF29" s="299" t="s">
        <v>62</v>
      </c>
      <c r="AG29" s="92"/>
      <c r="AH29" s="92"/>
    </row>
    <row r="30" spans="1:34" ht="291" customHeight="1">
      <c r="A30" s="92"/>
      <c r="B30" s="292" t="s">
        <v>63</v>
      </c>
      <c r="C30" s="293" t="s">
        <v>63</v>
      </c>
      <c r="D30" s="294" t="s">
        <v>63</v>
      </c>
      <c r="E30" s="305">
        <v>41071.656145833331</v>
      </c>
      <c r="F30" s="306">
        <v>41071.656145833331</v>
      </c>
      <c r="G30" s="306">
        <v>41071.656145833331</v>
      </c>
      <c r="H30" s="307">
        <v>41071.656145833331</v>
      </c>
      <c r="I30" s="299" t="s">
        <v>61</v>
      </c>
      <c r="J30" s="308" t="s">
        <v>61</v>
      </c>
      <c r="K30" s="308" t="s">
        <v>61</v>
      </c>
      <c r="L30" s="308" t="s">
        <v>61</v>
      </c>
      <c r="M30" s="308" t="s">
        <v>61</v>
      </c>
      <c r="N30" s="308" t="s">
        <v>61</v>
      </c>
      <c r="O30" s="308" t="s">
        <v>61</v>
      </c>
      <c r="P30" s="308" t="s">
        <v>61</v>
      </c>
      <c r="Q30" s="308" t="s">
        <v>61</v>
      </c>
      <c r="R30" s="299" t="s">
        <v>64</v>
      </c>
      <c r="S30" s="299" t="s">
        <v>64</v>
      </c>
      <c r="T30" s="299" t="s">
        <v>64</v>
      </c>
      <c r="U30" s="299" t="s">
        <v>64</v>
      </c>
      <c r="V30" s="299" t="s">
        <v>64</v>
      </c>
      <c r="W30" s="299" t="s">
        <v>64</v>
      </c>
      <c r="X30" s="299" t="s">
        <v>64</v>
      </c>
      <c r="Y30" s="299" t="s">
        <v>64</v>
      </c>
      <c r="Z30" s="299" t="s">
        <v>64</v>
      </c>
      <c r="AA30" s="299" t="s">
        <v>64</v>
      </c>
      <c r="AB30" s="299" t="s">
        <v>64</v>
      </c>
      <c r="AC30" s="299" t="s">
        <v>64</v>
      </c>
      <c r="AD30" s="299" t="s">
        <v>64</v>
      </c>
      <c r="AE30" s="299" t="s">
        <v>64</v>
      </c>
      <c r="AF30" s="299" t="s">
        <v>64</v>
      </c>
      <c r="AG30" s="92"/>
      <c r="AH30" s="92"/>
    </row>
    <row r="31" spans="1:34" ht="40.5" customHeight="1">
      <c r="A31" s="92"/>
      <c r="B31" s="292" t="s">
        <v>65</v>
      </c>
      <c r="C31" s="293" t="s">
        <v>65</v>
      </c>
      <c r="D31" s="294" t="s">
        <v>65</v>
      </c>
      <c r="E31" s="305">
        <v>41071.656145833331</v>
      </c>
      <c r="F31" s="306">
        <v>41071.656145833331</v>
      </c>
      <c r="G31" s="306">
        <v>41071.656145833331</v>
      </c>
      <c r="H31" s="307">
        <v>41071.656145833331</v>
      </c>
      <c r="I31" s="299" t="s">
        <v>66</v>
      </c>
      <c r="J31" s="308" t="s">
        <v>66</v>
      </c>
      <c r="K31" s="308" t="s">
        <v>66</v>
      </c>
      <c r="L31" s="308" t="s">
        <v>66</v>
      </c>
      <c r="M31" s="308" t="s">
        <v>66</v>
      </c>
      <c r="N31" s="308" t="s">
        <v>66</v>
      </c>
      <c r="O31" s="308" t="s">
        <v>66</v>
      </c>
      <c r="P31" s="308" t="s">
        <v>66</v>
      </c>
      <c r="Q31" s="308" t="s">
        <v>66</v>
      </c>
      <c r="R31" s="299" t="s">
        <v>67</v>
      </c>
      <c r="S31" s="299" t="s">
        <v>67</v>
      </c>
      <c r="T31" s="299" t="s">
        <v>67</v>
      </c>
      <c r="U31" s="299" t="s">
        <v>67</v>
      </c>
      <c r="V31" s="299" t="s">
        <v>67</v>
      </c>
      <c r="W31" s="299" t="s">
        <v>67</v>
      </c>
      <c r="X31" s="299" t="s">
        <v>67</v>
      </c>
      <c r="Y31" s="299" t="s">
        <v>67</v>
      </c>
      <c r="Z31" s="299" t="s">
        <v>67</v>
      </c>
      <c r="AA31" s="299" t="s">
        <v>67</v>
      </c>
      <c r="AB31" s="299" t="s">
        <v>67</v>
      </c>
      <c r="AC31" s="299" t="s">
        <v>67</v>
      </c>
      <c r="AD31" s="299" t="s">
        <v>67</v>
      </c>
      <c r="AE31" s="299" t="s">
        <v>67</v>
      </c>
      <c r="AF31" s="299" t="s">
        <v>67</v>
      </c>
      <c r="AG31" s="92"/>
      <c r="AH31" s="92"/>
    </row>
    <row r="32" spans="1:34" ht="121.5" customHeight="1">
      <c r="A32" s="92"/>
      <c r="B32" s="292"/>
      <c r="C32" s="293"/>
      <c r="D32" s="294"/>
      <c r="E32" s="305">
        <v>42195</v>
      </c>
      <c r="F32" s="306">
        <v>42195</v>
      </c>
      <c r="G32" s="306">
        <v>42195</v>
      </c>
      <c r="H32" s="307">
        <v>42195</v>
      </c>
      <c r="I32" s="299" t="s">
        <v>68</v>
      </c>
      <c r="J32" s="308" t="s">
        <v>68</v>
      </c>
      <c r="K32" s="308" t="s">
        <v>68</v>
      </c>
      <c r="L32" s="308" t="s">
        <v>68</v>
      </c>
      <c r="M32" s="308" t="s">
        <v>68</v>
      </c>
      <c r="N32" s="308" t="s">
        <v>68</v>
      </c>
      <c r="O32" s="308" t="s">
        <v>68</v>
      </c>
      <c r="P32" s="308" t="s">
        <v>68</v>
      </c>
      <c r="Q32" s="308" t="s">
        <v>68</v>
      </c>
      <c r="R32" s="299" t="s">
        <v>69</v>
      </c>
      <c r="S32" s="299" t="s">
        <v>69</v>
      </c>
      <c r="T32" s="299" t="s">
        <v>69</v>
      </c>
      <c r="U32" s="299" t="s">
        <v>69</v>
      </c>
      <c r="V32" s="299" t="s">
        <v>69</v>
      </c>
      <c r="W32" s="299" t="s">
        <v>69</v>
      </c>
      <c r="X32" s="299" t="s">
        <v>69</v>
      </c>
      <c r="Y32" s="299" t="s">
        <v>69</v>
      </c>
      <c r="Z32" s="299" t="s">
        <v>69</v>
      </c>
      <c r="AA32" s="299" t="s">
        <v>69</v>
      </c>
      <c r="AB32" s="299" t="s">
        <v>69</v>
      </c>
      <c r="AC32" s="299" t="s">
        <v>69</v>
      </c>
      <c r="AD32" s="299" t="s">
        <v>69</v>
      </c>
      <c r="AE32" s="299" t="s">
        <v>69</v>
      </c>
      <c r="AF32" s="299" t="s">
        <v>69</v>
      </c>
      <c r="AG32" s="92"/>
      <c r="AH32" s="92"/>
    </row>
    <row r="33" spans="1:34" ht="114" customHeight="1">
      <c r="A33" s="92"/>
      <c r="B33" s="292" t="s">
        <v>70</v>
      </c>
      <c r="C33" s="293" t="s">
        <v>70</v>
      </c>
      <c r="D33" s="294" t="s">
        <v>70</v>
      </c>
      <c r="E33" s="305">
        <v>42391.634837962964</v>
      </c>
      <c r="F33" s="306">
        <v>42391.634837962964</v>
      </c>
      <c r="G33" s="306">
        <v>42391.634837962964</v>
      </c>
      <c r="H33" s="307">
        <v>42391.634837962964</v>
      </c>
      <c r="I33" s="299" t="s">
        <v>71</v>
      </c>
      <c r="J33" s="308" t="s">
        <v>71</v>
      </c>
      <c r="K33" s="308" t="s">
        <v>71</v>
      </c>
      <c r="L33" s="308" t="s">
        <v>71</v>
      </c>
      <c r="M33" s="308" t="s">
        <v>71</v>
      </c>
      <c r="N33" s="308" t="s">
        <v>71</v>
      </c>
      <c r="O33" s="308" t="s">
        <v>71</v>
      </c>
      <c r="P33" s="308" t="s">
        <v>71</v>
      </c>
      <c r="Q33" s="308" t="s">
        <v>71</v>
      </c>
      <c r="R33" s="299" t="s">
        <v>72</v>
      </c>
      <c r="S33" s="299" t="s">
        <v>72</v>
      </c>
      <c r="T33" s="299" t="s">
        <v>72</v>
      </c>
      <c r="U33" s="299" t="s">
        <v>72</v>
      </c>
      <c r="V33" s="299" t="s">
        <v>72</v>
      </c>
      <c r="W33" s="299" t="s">
        <v>72</v>
      </c>
      <c r="X33" s="299" t="s">
        <v>72</v>
      </c>
      <c r="Y33" s="299" t="s">
        <v>72</v>
      </c>
      <c r="Z33" s="299" t="s">
        <v>72</v>
      </c>
      <c r="AA33" s="299" t="s">
        <v>72</v>
      </c>
      <c r="AB33" s="299" t="s">
        <v>72</v>
      </c>
      <c r="AC33" s="299" t="s">
        <v>72</v>
      </c>
      <c r="AD33" s="299" t="s">
        <v>72</v>
      </c>
      <c r="AE33" s="299" t="s">
        <v>72</v>
      </c>
      <c r="AF33" s="299" t="s">
        <v>72</v>
      </c>
      <c r="AG33" s="92"/>
      <c r="AH33" s="92"/>
    </row>
    <row r="34" spans="1:34" ht="40.5" customHeight="1">
      <c r="A34" s="92"/>
      <c r="B34" s="309" t="s">
        <v>73</v>
      </c>
      <c r="C34" s="310"/>
      <c r="D34" s="310"/>
      <c r="E34" s="305"/>
      <c r="F34" s="306"/>
      <c r="G34" s="306"/>
      <c r="H34" s="307"/>
      <c r="I34" s="299" t="s">
        <v>74</v>
      </c>
      <c r="J34" s="308"/>
      <c r="K34" s="308"/>
      <c r="L34" s="308"/>
      <c r="M34" s="308"/>
      <c r="N34" s="308"/>
      <c r="O34" s="308"/>
      <c r="P34" s="308"/>
      <c r="Q34" s="308"/>
      <c r="R34" s="299" t="s">
        <v>75</v>
      </c>
      <c r="S34" s="299"/>
      <c r="T34" s="299"/>
      <c r="U34" s="299"/>
      <c r="V34" s="299"/>
      <c r="W34" s="299"/>
      <c r="X34" s="299"/>
      <c r="Y34" s="299"/>
      <c r="Z34" s="299"/>
      <c r="AA34" s="299"/>
      <c r="AB34" s="299"/>
      <c r="AC34" s="299"/>
      <c r="AD34" s="299"/>
      <c r="AE34" s="299"/>
      <c r="AF34" s="299"/>
      <c r="AG34" s="92"/>
      <c r="AH34" s="92"/>
    </row>
    <row r="35" spans="1:34" ht="40.5" customHeight="1">
      <c r="A35" s="92"/>
      <c r="B35" s="309" t="s">
        <v>76</v>
      </c>
      <c r="C35" s="310"/>
      <c r="D35" s="310"/>
      <c r="E35" s="305"/>
      <c r="F35" s="306"/>
      <c r="G35" s="306"/>
      <c r="H35" s="307"/>
      <c r="I35" s="299" t="s">
        <v>74</v>
      </c>
      <c r="J35" s="308"/>
      <c r="K35" s="308"/>
      <c r="L35" s="308"/>
      <c r="M35" s="308"/>
      <c r="N35" s="308"/>
      <c r="O35" s="308"/>
      <c r="P35" s="308"/>
      <c r="Q35" s="308"/>
      <c r="R35" s="299" t="s">
        <v>77</v>
      </c>
      <c r="S35" s="299"/>
      <c r="T35" s="299"/>
      <c r="U35" s="299"/>
      <c r="V35" s="299"/>
      <c r="W35" s="299"/>
      <c r="X35" s="299"/>
      <c r="Y35" s="299"/>
      <c r="Z35" s="299"/>
      <c r="AA35" s="299"/>
      <c r="AB35" s="299"/>
      <c r="AC35" s="299"/>
      <c r="AD35" s="299"/>
      <c r="AE35" s="299"/>
      <c r="AF35" s="299"/>
      <c r="AG35" s="92"/>
      <c r="AH35" s="92"/>
    </row>
    <row r="36" spans="1:34" ht="40.5" customHeight="1">
      <c r="A36" s="92"/>
      <c r="B36" s="309" t="s">
        <v>78</v>
      </c>
      <c r="C36" s="310"/>
      <c r="D36" s="310"/>
      <c r="E36" s="305"/>
      <c r="F36" s="306"/>
      <c r="G36" s="306"/>
      <c r="H36" s="307"/>
      <c r="I36" s="299" t="s">
        <v>74</v>
      </c>
      <c r="J36" s="308"/>
      <c r="K36" s="308"/>
      <c r="L36" s="308"/>
      <c r="M36" s="308"/>
      <c r="N36" s="308"/>
      <c r="O36" s="308"/>
      <c r="P36" s="308"/>
      <c r="Q36" s="308"/>
      <c r="R36" s="299" t="s">
        <v>79</v>
      </c>
      <c r="S36" s="299"/>
      <c r="T36" s="299"/>
      <c r="U36" s="299"/>
      <c r="V36" s="299"/>
      <c r="W36" s="299"/>
      <c r="X36" s="299"/>
      <c r="Y36" s="299"/>
      <c r="Z36" s="299"/>
      <c r="AA36" s="299"/>
      <c r="AB36" s="299"/>
      <c r="AC36" s="299"/>
      <c r="AD36" s="299"/>
      <c r="AE36" s="299"/>
      <c r="AF36" s="299"/>
      <c r="AG36" s="92"/>
      <c r="AH36" s="92"/>
    </row>
    <row r="37" spans="1:34" ht="102" customHeight="1">
      <c r="A37" s="92"/>
      <c r="B37" s="309" t="s">
        <v>80</v>
      </c>
      <c r="C37" s="310"/>
      <c r="D37" s="310"/>
      <c r="E37" s="305"/>
      <c r="F37" s="306"/>
      <c r="G37" s="306"/>
      <c r="H37" s="307"/>
      <c r="I37" s="299" t="s">
        <v>74</v>
      </c>
      <c r="J37" s="308"/>
      <c r="K37" s="308"/>
      <c r="L37" s="308"/>
      <c r="M37" s="308"/>
      <c r="N37" s="308"/>
      <c r="O37" s="308"/>
      <c r="P37" s="308"/>
      <c r="Q37" s="308"/>
      <c r="R37" s="299" t="s">
        <v>81</v>
      </c>
      <c r="S37" s="299"/>
      <c r="T37" s="299"/>
      <c r="U37" s="299"/>
      <c r="V37" s="299"/>
      <c r="W37" s="299"/>
      <c r="X37" s="299"/>
      <c r="Y37" s="299"/>
      <c r="Z37" s="299"/>
      <c r="AA37" s="299"/>
      <c r="AB37" s="299"/>
      <c r="AC37" s="299"/>
      <c r="AD37" s="299"/>
      <c r="AE37" s="299"/>
      <c r="AF37" s="299"/>
      <c r="AG37" s="92"/>
      <c r="AH37" s="92"/>
    </row>
    <row r="38" spans="1:34" ht="217.5" customHeight="1">
      <c r="A38" s="92"/>
      <c r="B38" s="309" t="s">
        <v>82</v>
      </c>
      <c r="C38" s="310"/>
      <c r="D38" s="310"/>
      <c r="E38" s="305"/>
      <c r="F38" s="306"/>
      <c r="G38" s="306"/>
      <c r="H38" s="307"/>
      <c r="I38" s="299" t="s">
        <v>74</v>
      </c>
      <c r="J38" s="308"/>
      <c r="K38" s="308"/>
      <c r="L38" s="308"/>
      <c r="M38" s="308"/>
      <c r="N38" s="308"/>
      <c r="O38" s="308"/>
      <c r="P38" s="308"/>
      <c r="Q38" s="308"/>
      <c r="R38" s="299" t="s">
        <v>83</v>
      </c>
      <c r="S38" s="299"/>
      <c r="T38" s="299"/>
      <c r="U38" s="299"/>
      <c r="V38" s="299"/>
      <c r="W38" s="299"/>
      <c r="X38" s="299"/>
      <c r="Y38" s="299"/>
      <c r="Z38" s="299"/>
      <c r="AA38" s="299"/>
      <c r="AB38" s="299"/>
      <c r="AC38" s="299"/>
      <c r="AD38" s="299"/>
      <c r="AE38" s="299"/>
      <c r="AF38" s="299"/>
      <c r="AG38" s="92"/>
      <c r="AH38" s="92"/>
    </row>
    <row r="39" spans="1:34" ht="40.5" customHeight="1">
      <c r="A39" s="92"/>
      <c r="B39" s="309" t="s">
        <v>84</v>
      </c>
      <c r="C39" s="310"/>
      <c r="D39" s="310"/>
      <c r="E39" s="305"/>
      <c r="F39" s="306"/>
      <c r="G39" s="306"/>
      <c r="H39" s="307"/>
      <c r="I39" s="299" t="s">
        <v>74</v>
      </c>
      <c r="J39" s="308"/>
      <c r="K39" s="308"/>
      <c r="L39" s="308"/>
      <c r="M39" s="308"/>
      <c r="N39" s="308"/>
      <c r="O39" s="308"/>
      <c r="P39" s="308"/>
      <c r="Q39" s="308"/>
      <c r="R39" s="299" t="s">
        <v>85</v>
      </c>
      <c r="S39" s="299"/>
      <c r="T39" s="299"/>
      <c r="U39" s="299"/>
      <c r="V39" s="299"/>
      <c r="W39" s="299"/>
      <c r="X39" s="299"/>
      <c r="Y39" s="299"/>
      <c r="Z39" s="299"/>
      <c r="AA39" s="299"/>
      <c r="AB39" s="299"/>
      <c r="AC39" s="299"/>
      <c r="AD39" s="299"/>
      <c r="AE39" s="299"/>
      <c r="AF39" s="299"/>
      <c r="AG39" s="92"/>
      <c r="AH39" s="92"/>
    </row>
    <row r="40" spans="1:34" ht="69" customHeight="1">
      <c r="A40" s="92"/>
      <c r="B40" s="309" t="s">
        <v>86</v>
      </c>
      <c r="C40" s="310"/>
      <c r="D40" s="310"/>
      <c r="E40" s="305">
        <v>44562</v>
      </c>
      <c r="F40" s="306"/>
      <c r="G40" s="306"/>
      <c r="H40" s="307"/>
      <c r="I40" s="299" t="s">
        <v>74</v>
      </c>
      <c r="J40" s="308"/>
      <c r="K40" s="308"/>
      <c r="L40" s="308"/>
      <c r="M40" s="308"/>
      <c r="N40" s="308"/>
      <c r="O40" s="308"/>
      <c r="P40" s="308"/>
      <c r="Q40" s="308"/>
      <c r="R40" s="299" t="s">
        <v>87</v>
      </c>
      <c r="S40" s="299"/>
      <c r="T40" s="299"/>
      <c r="U40" s="299"/>
      <c r="V40" s="299"/>
      <c r="W40" s="299"/>
      <c r="X40" s="299"/>
      <c r="Y40" s="299"/>
      <c r="Z40" s="299"/>
      <c r="AA40" s="299"/>
      <c r="AB40" s="299"/>
      <c r="AC40" s="299"/>
      <c r="AD40" s="299"/>
      <c r="AE40" s="299"/>
      <c r="AF40" s="299"/>
      <c r="AG40" s="92"/>
      <c r="AH40" s="92"/>
    </row>
    <row r="41" spans="1:34">
      <c r="A41" s="92"/>
      <c r="B41" s="108" t="s">
        <v>88</v>
      </c>
      <c r="C41" s="109"/>
      <c r="D41" s="109"/>
      <c r="E41" s="110"/>
      <c r="F41" s="110"/>
      <c r="G41" s="110"/>
      <c r="H41" s="110"/>
      <c r="I41" s="110"/>
      <c r="J41" s="111"/>
      <c r="K41" s="111"/>
      <c r="L41" s="111"/>
      <c r="M41" s="111"/>
      <c r="N41" s="111"/>
      <c r="O41" s="111"/>
      <c r="P41" s="111"/>
      <c r="Q41" s="111"/>
      <c r="R41" s="110"/>
      <c r="S41" s="110"/>
      <c r="T41" s="110"/>
      <c r="U41" s="110"/>
      <c r="V41" s="110"/>
      <c r="W41" s="110"/>
      <c r="X41" s="110"/>
      <c r="Y41" s="110"/>
      <c r="Z41" s="110"/>
      <c r="AA41" s="110"/>
      <c r="AB41" s="110"/>
      <c r="AC41" s="110"/>
      <c r="AD41" s="110"/>
      <c r="AE41" s="110"/>
      <c r="AF41" s="110"/>
      <c r="AG41" s="92"/>
      <c r="AH41" s="92"/>
    </row>
    <row r="42" spans="1:34">
      <c r="A42" s="92"/>
      <c r="B42" s="92"/>
      <c r="C42" s="106"/>
      <c r="D42" s="92"/>
      <c r="E42" s="92"/>
      <c r="F42" s="92"/>
      <c r="G42" s="92"/>
      <c r="H42" s="92"/>
      <c r="I42" s="107"/>
      <c r="J42" s="92"/>
      <c r="K42" s="92"/>
      <c r="L42" s="92"/>
      <c r="M42" s="92"/>
      <c r="N42" s="92"/>
      <c r="O42" s="92"/>
      <c r="P42" s="92"/>
      <c r="Q42" s="92"/>
      <c r="R42" s="92"/>
      <c r="S42" s="92"/>
      <c r="T42" s="92"/>
      <c r="U42" s="92"/>
      <c r="V42" s="92"/>
      <c r="W42" s="92"/>
      <c r="X42" s="92"/>
      <c r="Y42" s="92"/>
      <c r="Z42" s="92"/>
      <c r="AA42" s="92"/>
      <c r="AB42" s="92"/>
      <c r="AC42" s="92"/>
      <c r="AD42" s="92"/>
      <c r="AE42" s="92"/>
      <c r="AF42" s="92"/>
      <c r="AG42" s="92"/>
      <c r="AH42" s="92"/>
    </row>
    <row r="43" spans="1:34">
      <c r="A43" s="92"/>
      <c r="B43" s="92"/>
      <c r="C43" s="92"/>
      <c r="D43" s="92"/>
      <c r="E43" s="92"/>
      <c r="F43" s="92"/>
      <c r="G43" s="92"/>
      <c r="H43" s="92"/>
      <c r="I43" s="92"/>
      <c r="J43" s="112"/>
      <c r="K43" s="92"/>
      <c r="L43" s="92"/>
      <c r="M43" s="92"/>
      <c r="N43" s="92"/>
      <c r="O43" s="92"/>
      <c r="P43" s="92"/>
      <c r="Q43" s="92"/>
      <c r="R43" s="92"/>
      <c r="S43" s="92"/>
      <c r="T43" s="92"/>
      <c r="U43" s="92"/>
      <c r="V43" s="92"/>
      <c r="W43" s="92"/>
      <c r="X43" s="92"/>
      <c r="Y43" s="92"/>
      <c r="Z43" s="92"/>
      <c r="AA43" s="92"/>
      <c r="AB43" s="92"/>
      <c r="AC43" s="92"/>
      <c r="AD43" s="92"/>
      <c r="AE43" s="92"/>
      <c r="AF43" s="92"/>
      <c r="AG43" s="92"/>
      <c r="AH43" s="92"/>
    </row>
    <row r="44" spans="1:34" ht="20.25">
      <c r="A44" s="92"/>
      <c r="B44" s="104" t="s">
        <v>89</v>
      </c>
      <c r="C44" s="105"/>
      <c r="D44" s="92"/>
      <c r="E44" s="92"/>
      <c r="F44" s="92"/>
      <c r="G44" s="92"/>
      <c r="H44" s="92"/>
      <c r="I44" s="107"/>
      <c r="J44" s="92"/>
      <c r="K44" s="92"/>
      <c r="L44" s="92"/>
      <c r="M44" s="92"/>
      <c r="N44" s="92"/>
      <c r="O44" s="92"/>
      <c r="P44" s="92"/>
      <c r="Q44" s="92"/>
      <c r="R44" s="92"/>
      <c r="S44" s="92"/>
      <c r="T44" s="92"/>
      <c r="U44" s="92"/>
      <c r="V44" s="92"/>
      <c r="W44" s="92"/>
      <c r="X44" s="92"/>
      <c r="Y44" s="92"/>
      <c r="Z44" s="92"/>
      <c r="AA44" s="92"/>
      <c r="AB44" s="92"/>
      <c r="AC44" s="92"/>
      <c r="AD44" s="92"/>
      <c r="AE44" s="92"/>
      <c r="AF44" s="92"/>
      <c r="AG44" s="92"/>
      <c r="AH44" s="92"/>
    </row>
    <row r="45" spans="1:34" ht="18.75">
      <c r="A45" s="92"/>
      <c r="B45" s="113" t="s">
        <v>90</v>
      </c>
      <c r="C45" s="105"/>
      <c r="D45" s="92"/>
      <c r="E45" s="92"/>
      <c r="F45" s="92"/>
      <c r="G45" s="92"/>
      <c r="H45" s="92"/>
      <c r="I45" s="107"/>
      <c r="J45" s="92"/>
      <c r="K45" s="92"/>
      <c r="L45" s="92"/>
      <c r="M45" s="92"/>
      <c r="N45" s="92"/>
      <c r="O45" s="92"/>
      <c r="P45" s="92"/>
      <c r="Q45" s="92"/>
      <c r="R45" s="92"/>
      <c r="S45" s="92"/>
      <c r="T45" s="92"/>
      <c r="U45" s="92"/>
      <c r="V45" s="92"/>
      <c r="W45" s="92"/>
      <c r="X45" s="92"/>
      <c r="Y45" s="92"/>
      <c r="Z45" s="92"/>
      <c r="AA45" s="92"/>
      <c r="AB45" s="92"/>
      <c r="AC45" s="92"/>
      <c r="AD45" s="92"/>
      <c r="AE45" s="92"/>
      <c r="AF45" s="92"/>
      <c r="AG45" s="92"/>
      <c r="AH45" s="92"/>
    </row>
    <row r="46" spans="1:34">
      <c r="A46" s="92"/>
      <c r="B46" s="302" t="s">
        <v>91</v>
      </c>
      <c r="C46" s="302"/>
      <c r="D46" s="302"/>
      <c r="E46" s="302" t="s">
        <v>92</v>
      </c>
      <c r="F46" s="304"/>
      <c r="G46" s="304"/>
      <c r="H46" s="304"/>
      <c r="I46" s="304"/>
      <c r="J46" s="304"/>
      <c r="K46" s="304"/>
      <c r="L46" s="304"/>
      <c r="M46" s="304"/>
      <c r="N46" s="304"/>
      <c r="O46" s="304"/>
      <c r="P46" s="304"/>
      <c r="Q46" s="304"/>
      <c r="R46" s="304"/>
      <c r="S46" s="304"/>
      <c r="T46" s="304"/>
      <c r="U46" s="304"/>
      <c r="V46" s="304"/>
      <c r="W46" s="304"/>
      <c r="X46" s="304"/>
      <c r="Y46" s="302" t="s">
        <v>93</v>
      </c>
      <c r="Z46" s="302"/>
      <c r="AA46" s="302"/>
      <c r="AB46" s="302"/>
      <c r="AC46" s="302"/>
      <c r="AD46" s="302"/>
      <c r="AE46" s="302"/>
      <c r="AF46" s="302"/>
      <c r="AG46" s="92"/>
      <c r="AH46" s="92"/>
    </row>
    <row r="47" spans="1:34">
      <c r="A47" s="92"/>
      <c r="B47" s="301"/>
      <c r="C47" s="301"/>
      <c r="D47" s="301"/>
      <c r="E47" s="299"/>
      <c r="F47" s="300"/>
      <c r="G47" s="300"/>
      <c r="H47" s="300"/>
      <c r="I47" s="300"/>
      <c r="J47" s="300"/>
      <c r="K47" s="300"/>
      <c r="L47" s="300"/>
      <c r="M47" s="300"/>
      <c r="N47" s="300"/>
      <c r="O47" s="300"/>
      <c r="P47" s="300"/>
      <c r="Q47" s="300"/>
      <c r="R47" s="300"/>
      <c r="S47" s="300"/>
      <c r="T47" s="300"/>
      <c r="U47" s="300"/>
      <c r="V47" s="300"/>
      <c r="W47" s="300"/>
      <c r="X47" s="300"/>
      <c r="Y47" s="299"/>
      <c r="Z47" s="300"/>
      <c r="AA47" s="300"/>
      <c r="AB47" s="300"/>
      <c r="AC47" s="300"/>
      <c r="AD47" s="300"/>
      <c r="AE47" s="300"/>
      <c r="AF47" s="300"/>
      <c r="AG47" s="92"/>
      <c r="AH47" s="92"/>
    </row>
    <row r="48" spans="1:34">
      <c r="A48" s="92"/>
      <c r="B48" s="301"/>
      <c r="C48" s="301"/>
      <c r="D48" s="301"/>
      <c r="E48" s="299"/>
      <c r="F48" s="300"/>
      <c r="G48" s="300"/>
      <c r="H48" s="300"/>
      <c r="I48" s="300"/>
      <c r="J48" s="300"/>
      <c r="K48" s="300"/>
      <c r="L48" s="300"/>
      <c r="M48" s="300"/>
      <c r="N48" s="300"/>
      <c r="O48" s="300"/>
      <c r="P48" s="300"/>
      <c r="Q48" s="300"/>
      <c r="R48" s="300"/>
      <c r="S48" s="300"/>
      <c r="T48" s="300"/>
      <c r="U48" s="300"/>
      <c r="V48" s="300"/>
      <c r="W48" s="300"/>
      <c r="X48" s="300"/>
      <c r="Y48" s="299"/>
      <c r="Z48" s="300"/>
      <c r="AA48" s="300"/>
      <c r="AB48" s="300"/>
      <c r="AC48" s="300"/>
      <c r="AD48" s="300"/>
      <c r="AE48" s="300"/>
      <c r="AF48" s="300"/>
      <c r="AG48" s="92"/>
      <c r="AH48" s="92"/>
    </row>
    <row r="49" spans="1:34">
      <c r="A49" s="92"/>
      <c r="B49" s="301"/>
      <c r="C49" s="301"/>
      <c r="D49" s="301"/>
      <c r="E49" s="299"/>
      <c r="F49" s="300"/>
      <c r="G49" s="300"/>
      <c r="H49" s="300"/>
      <c r="I49" s="300"/>
      <c r="J49" s="300"/>
      <c r="K49" s="300"/>
      <c r="L49" s="300"/>
      <c r="M49" s="300"/>
      <c r="N49" s="300"/>
      <c r="O49" s="300"/>
      <c r="P49" s="300"/>
      <c r="Q49" s="300"/>
      <c r="R49" s="300"/>
      <c r="S49" s="300"/>
      <c r="T49" s="300"/>
      <c r="U49" s="300"/>
      <c r="V49" s="300"/>
      <c r="W49" s="300"/>
      <c r="X49" s="300"/>
      <c r="Y49" s="299"/>
      <c r="Z49" s="300"/>
      <c r="AA49" s="300"/>
      <c r="AB49" s="300"/>
      <c r="AC49" s="300"/>
      <c r="AD49" s="300"/>
      <c r="AE49" s="300"/>
      <c r="AF49" s="300"/>
      <c r="AG49" s="92"/>
      <c r="AH49" s="92"/>
    </row>
    <row r="50" spans="1:34">
      <c r="A50" s="92"/>
      <c r="B50" s="301"/>
      <c r="C50" s="301"/>
      <c r="D50" s="301"/>
      <c r="E50" s="299"/>
      <c r="F50" s="300"/>
      <c r="G50" s="300"/>
      <c r="H50" s="300"/>
      <c r="I50" s="300"/>
      <c r="J50" s="300"/>
      <c r="K50" s="300"/>
      <c r="L50" s="300"/>
      <c r="M50" s="300"/>
      <c r="N50" s="300"/>
      <c r="O50" s="300"/>
      <c r="P50" s="300"/>
      <c r="Q50" s="300"/>
      <c r="R50" s="300"/>
      <c r="S50" s="300"/>
      <c r="T50" s="300"/>
      <c r="U50" s="300"/>
      <c r="V50" s="300"/>
      <c r="W50" s="300"/>
      <c r="X50" s="300"/>
      <c r="Y50" s="299"/>
      <c r="Z50" s="300"/>
      <c r="AA50" s="300"/>
      <c r="AB50" s="300"/>
      <c r="AC50" s="300"/>
      <c r="AD50" s="300"/>
      <c r="AE50" s="300"/>
      <c r="AF50" s="300"/>
      <c r="AG50" s="92"/>
      <c r="AH50" s="92"/>
    </row>
    <row r="51" spans="1:34" ht="18.75">
      <c r="A51" s="92"/>
      <c r="B51" s="113" t="s">
        <v>94</v>
      </c>
      <c r="C51" s="105"/>
      <c r="D51" s="92"/>
      <c r="E51" s="92"/>
      <c r="F51" s="92"/>
      <c r="G51" s="92"/>
      <c r="H51" s="92"/>
      <c r="I51" s="107"/>
      <c r="J51" s="92"/>
      <c r="K51" s="92"/>
      <c r="L51" s="92"/>
      <c r="M51" s="92"/>
      <c r="N51" s="92"/>
      <c r="O51" s="92"/>
      <c r="P51" s="92"/>
      <c r="Q51" s="92"/>
      <c r="R51" s="92"/>
      <c r="S51" s="92"/>
      <c r="T51" s="92"/>
      <c r="U51" s="92"/>
      <c r="V51" s="92"/>
      <c r="W51" s="92"/>
      <c r="X51" s="92"/>
      <c r="Y51" s="92"/>
      <c r="Z51" s="92"/>
      <c r="AA51" s="92"/>
      <c r="AB51" s="92"/>
      <c r="AC51" s="92"/>
      <c r="AD51" s="92"/>
      <c r="AE51" s="92"/>
      <c r="AF51" s="92"/>
      <c r="AG51" s="92"/>
      <c r="AH51" s="92"/>
    </row>
    <row r="52" spans="1:34">
      <c r="A52" s="92"/>
      <c r="B52" s="302" t="s">
        <v>91</v>
      </c>
      <c r="C52" s="302"/>
      <c r="D52" s="302"/>
      <c r="E52" s="302" t="s">
        <v>92</v>
      </c>
      <c r="F52" s="304"/>
      <c r="G52" s="304"/>
      <c r="H52" s="304"/>
      <c r="I52" s="304"/>
      <c r="J52" s="304"/>
      <c r="K52" s="304"/>
      <c r="L52" s="304"/>
      <c r="M52" s="304"/>
      <c r="N52" s="304"/>
      <c r="O52" s="304"/>
      <c r="P52" s="304"/>
      <c r="Q52" s="304"/>
      <c r="R52" s="304"/>
      <c r="S52" s="304"/>
      <c r="T52" s="304"/>
      <c r="U52" s="304"/>
      <c r="V52" s="304"/>
      <c r="W52" s="304"/>
      <c r="X52" s="304"/>
      <c r="Y52" s="302" t="s">
        <v>93</v>
      </c>
      <c r="Z52" s="302"/>
      <c r="AA52" s="302"/>
      <c r="AB52" s="302"/>
      <c r="AC52" s="302"/>
      <c r="AD52" s="302"/>
      <c r="AE52" s="302"/>
      <c r="AF52" s="302"/>
      <c r="AG52" s="92"/>
      <c r="AH52" s="92"/>
    </row>
    <row r="53" spans="1:34">
      <c r="A53" s="92"/>
      <c r="B53" s="301"/>
      <c r="C53" s="301"/>
      <c r="D53" s="301"/>
      <c r="E53" s="299"/>
      <c r="F53" s="300"/>
      <c r="G53" s="300"/>
      <c r="H53" s="300"/>
      <c r="I53" s="300"/>
      <c r="J53" s="300"/>
      <c r="K53" s="300"/>
      <c r="L53" s="300"/>
      <c r="M53" s="300"/>
      <c r="N53" s="300"/>
      <c r="O53" s="300"/>
      <c r="P53" s="300"/>
      <c r="Q53" s="300"/>
      <c r="R53" s="300"/>
      <c r="S53" s="300"/>
      <c r="T53" s="300"/>
      <c r="U53" s="300"/>
      <c r="V53" s="300"/>
      <c r="W53" s="300"/>
      <c r="X53" s="300"/>
      <c r="Y53" s="299"/>
      <c r="Z53" s="300"/>
      <c r="AA53" s="300"/>
      <c r="AB53" s="300"/>
      <c r="AC53" s="300"/>
      <c r="AD53" s="300"/>
      <c r="AE53" s="300"/>
      <c r="AF53" s="300"/>
      <c r="AG53" s="92"/>
      <c r="AH53" s="92"/>
    </row>
    <row r="54" spans="1:34">
      <c r="A54" s="92"/>
      <c r="B54" s="301"/>
      <c r="C54" s="301"/>
      <c r="D54" s="301"/>
      <c r="E54" s="299"/>
      <c r="F54" s="300"/>
      <c r="G54" s="300"/>
      <c r="H54" s="300"/>
      <c r="I54" s="300"/>
      <c r="J54" s="300"/>
      <c r="K54" s="300"/>
      <c r="L54" s="300"/>
      <c r="M54" s="300"/>
      <c r="N54" s="300"/>
      <c r="O54" s="300"/>
      <c r="P54" s="300"/>
      <c r="Q54" s="300"/>
      <c r="R54" s="300"/>
      <c r="S54" s="300"/>
      <c r="T54" s="300"/>
      <c r="U54" s="300"/>
      <c r="V54" s="300"/>
      <c r="W54" s="300"/>
      <c r="X54" s="300"/>
      <c r="Y54" s="299"/>
      <c r="Z54" s="300"/>
      <c r="AA54" s="300"/>
      <c r="AB54" s="300"/>
      <c r="AC54" s="300"/>
      <c r="AD54" s="300"/>
      <c r="AE54" s="300"/>
      <c r="AF54" s="300"/>
      <c r="AG54" s="92"/>
      <c r="AH54" s="92"/>
    </row>
    <row r="55" spans="1:34">
      <c r="A55" s="92"/>
      <c r="B55" s="301"/>
      <c r="C55" s="301"/>
      <c r="D55" s="301"/>
      <c r="E55" s="299"/>
      <c r="F55" s="300"/>
      <c r="G55" s="300"/>
      <c r="H55" s="300"/>
      <c r="I55" s="300"/>
      <c r="J55" s="300"/>
      <c r="K55" s="300"/>
      <c r="L55" s="300"/>
      <c r="M55" s="300"/>
      <c r="N55" s="300"/>
      <c r="O55" s="300"/>
      <c r="P55" s="300"/>
      <c r="Q55" s="300"/>
      <c r="R55" s="300"/>
      <c r="S55" s="300"/>
      <c r="T55" s="300"/>
      <c r="U55" s="300"/>
      <c r="V55" s="300"/>
      <c r="W55" s="300"/>
      <c r="X55" s="300"/>
      <c r="Y55" s="299"/>
      <c r="Z55" s="300"/>
      <c r="AA55" s="300"/>
      <c r="AB55" s="300"/>
      <c r="AC55" s="300"/>
      <c r="AD55" s="300"/>
      <c r="AE55" s="300"/>
      <c r="AF55" s="300"/>
      <c r="AG55" s="92"/>
      <c r="AH55" s="92"/>
    </row>
    <row r="56" spans="1:34">
      <c r="A56" s="92"/>
      <c r="B56" s="301"/>
      <c r="C56" s="301"/>
      <c r="D56" s="301"/>
      <c r="E56" s="299"/>
      <c r="F56" s="300"/>
      <c r="G56" s="300"/>
      <c r="H56" s="300"/>
      <c r="I56" s="300"/>
      <c r="J56" s="300"/>
      <c r="K56" s="300"/>
      <c r="L56" s="300"/>
      <c r="M56" s="300"/>
      <c r="N56" s="300"/>
      <c r="O56" s="300"/>
      <c r="P56" s="300"/>
      <c r="Q56" s="300"/>
      <c r="R56" s="300"/>
      <c r="S56" s="300"/>
      <c r="T56" s="300"/>
      <c r="U56" s="300"/>
      <c r="V56" s="300"/>
      <c r="W56" s="300"/>
      <c r="X56" s="300"/>
      <c r="Y56" s="299"/>
      <c r="Z56" s="300"/>
      <c r="AA56" s="300"/>
      <c r="AB56" s="300"/>
      <c r="AC56" s="300"/>
      <c r="AD56" s="300"/>
      <c r="AE56" s="300"/>
      <c r="AF56" s="300"/>
      <c r="AG56" s="92"/>
      <c r="AH56" s="92"/>
    </row>
    <row r="57" spans="1:34">
      <c r="A57" s="92"/>
      <c r="B57" s="92"/>
      <c r="C57" s="106"/>
      <c r="D57" s="92"/>
      <c r="E57" s="92"/>
      <c r="F57" s="92"/>
      <c r="G57" s="92"/>
      <c r="H57" s="92"/>
      <c r="I57" s="107"/>
      <c r="J57" s="92"/>
      <c r="K57" s="92"/>
      <c r="L57" s="92"/>
      <c r="M57" s="92"/>
      <c r="N57" s="92"/>
      <c r="O57" s="92"/>
      <c r="P57" s="92"/>
      <c r="Q57" s="92"/>
      <c r="R57" s="92"/>
      <c r="S57" s="92"/>
      <c r="T57" s="92"/>
      <c r="U57" s="92"/>
      <c r="V57" s="92"/>
      <c r="W57" s="92"/>
      <c r="X57" s="92"/>
      <c r="Y57" s="92"/>
      <c r="Z57" s="92"/>
      <c r="AA57" s="92"/>
      <c r="AB57" s="92"/>
      <c r="AC57" s="92"/>
      <c r="AD57" s="92"/>
      <c r="AE57" s="92"/>
      <c r="AF57" s="92"/>
      <c r="AG57" s="92"/>
      <c r="AH57" s="92"/>
    </row>
    <row r="58" spans="1:34" ht="20.25">
      <c r="A58" s="92"/>
      <c r="B58" s="104" t="s">
        <v>95</v>
      </c>
      <c r="C58" s="105"/>
      <c r="D58" s="92"/>
      <c r="E58" s="92"/>
      <c r="F58" s="92"/>
      <c r="G58" s="92"/>
      <c r="H58" s="92"/>
      <c r="I58" s="107"/>
      <c r="J58" s="92"/>
      <c r="K58" s="92"/>
      <c r="L58" s="92"/>
      <c r="M58" s="92"/>
      <c r="N58" s="92"/>
      <c r="O58" s="92"/>
      <c r="P58" s="92"/>
      <c r="Q58" s="92"/>
      <c r="R58" s="92"/>
      <c r="S58" s="92"/>
      <c r="T58" s="92"/>
      <c r="U58" s="92"/>
      <c r="V58" s="92"/>
      <c r="W58" s="92"/>
      <c r="X58" s="92"/>
      <c r="Y58" s="92"/>
      <c r="Z58" s="92"/>
      <c r="AA58" s="92"/>
      <c r="AB58" s="92"/>
      <c r="AC58" s="92"/>
      <c r="AD58" s="92"/>
      <c r="AE58" s="92"/>
      <c r="AF58" s="92"/>
      <c r="AG58" s="92"/>
      <c r="AH58" s="92"/>
    </row>
    <row r="59" spans="1:34">
      <c r="A59" s="92"/>
      <c r="B59" s="302" t="s">
        <v>96</v>
      </c>
      <c r="C59" s="302"/>
      <c r="D59" s="302"/>
      <c r="E59" s="302"/>
      <c r="F59" s="302"/>
      <c r="G59" s="302"/>
      <c r="H59" s="303"/>
      <c r="I59" s="303"/>
      <c r="J59" s="303"/>
      <c r="K59" s="303"/>
      <c r="L59" s="303"/>
      <c r="M59" s="303"/>
      <c r="N59" s="303"/>
      <c r="O59" s="303"/>
      <c r="P59" s="303"/>
      <c r="Q59" s="303"/>
      <c r="R59" s="303"/>
      <c r="S59" s="303"/>
      <c r="T59" s="303"/>
      <c r="U59" s="303"/>
      <c r="V59" s="303"/>
      <c r="W59" s="303"/>
      <c r="X59" s="303"/>
      <c r="Y59" s="303"/>
      <c r="Z59" s="303"/>
      <c r="AA59" s="303"/>
      <c r="AB59" s="303"/>
      <c r="AC59" s="303"/>
      <c r="AD59" s="303"/>
      <c r="AE59" s="303"/>
      <c r="AF59" s="303"/>
      <c r="AG59" s="92"/>
      <c r="AH59" s="92"/>
    </row>
    <row r="60" spans="1:34" ht="27.75" customHeight="1">
      <c r="A60" s="92"/>
      <c r="B60" s="292" t="s">
        <v>97</v>
      </c>
      <c r="C60" s="293"/>
      <c r="D60" s="293"/>
      <c r="E60" s="293"/>
      <c r="F60" s="293"/>
      <c r="G60" s="294"/>
      <c r="H60" s="298" t="s">
        <v>98</v>
      </c>
      <c r="I60" s="296"/>
      <c r="J60" s="296"/>
      <c r="K60" s="296"/>
      <c r="L60" s="296"/>
      <c r="M60" s="296"/>
      <c r="N60" s="296"/>
      <c r="O60" s="296"/>
      <c r="P60" s="296"/>
      <c r="Q60" s="296"/>
      <c r="R60" s="296"/>
      <c r="S60" s="296"/>
      <c r="T60" s="296"/>
      <c r="U60" s="296"/>
      <c r="V60" s="296"/>
      <c r="W60" s="296"/>
      <c r="X60" s="296"/>
      <c r="Y60" s="296"/>
      <c r="Z60" s="296"/>
      <c r="AA60" s="296"/>
      <c r="AB60" s="296"/>
      <c r="AC60" s="296"/>
      <c r="AD60" s="296"/>
      <c r="AE60" s="296"/>
      <c r="AF60" s="297"/>
      <c r="AG60" s="92"/>
      <c r="AH60" s="92"/>
    </row>
    <row r="61" spans="1:34">
      <c r="A61" s="92"/>
      <c r="B61" s="292"/>
      <c r="C61" s="293"/>
      <c r="D61" s="293"/>
      <c r="E61" s="293"/>
      <c r="F61" s="293"/>
      <c r="G61" s="294"/>
      <c r="H61" s="295"/>
      <c r="I61" s="296"/>
      <c r="J61" s="296"/>
      <c r="K61" s="296"/>
      <c r="L61" s="296"/>
      <c r="M61" s="296"/>
      <c r="N61" s="296"/>
      <c r="O61" s="296"/>
      <c r="P61" s="296"/>
      <c r="Q61" s="296"/>
      <c r="R61" s="296"/>
      <c r="S61" s="296"/>
      <c r="T61" s="296"/>
      <c r="U61" s="296"/>
      <c r="V61" s="296"/>
      <c r="W61" s="296"/>
      <c r="X61" s="296"/>
      <c r="Y61" s="296"/>
      <c r="Z61" s="296"/>
      <c r="AA61" s="296"/>
      <c r="AB61" s="296"/>
      <c r="AC61" s="296"/>
      <c r="AD61" s="296"/>
      <c r="AE61" s="296"/>
      <c r="AF61" s="297"/>
      <c r="AG61" s="92"/>
      <c r="AH61" s="92"/>
    </row>
    <row r="62" spans="1:34">
      <c r="A62" s="92"/>
      <c r="B62" s="292"/>
      <c r="C62" s="293"/>
      <c r="D62" s="293"/>
      <c r="E62" s="293"/>
      <c r="F62" s="293"/>
      <c r="G62" s="294"/>
      <c r="H62" s="295"/>
      <c r="I62" s="296"/>
      <c r="J62" s="296"/>
      <c r="K62" s="296"/>
      <c r="L62" s="296"/>
      <c r="M62" s="296"/>
      <c r="N62" s="296"/>
      <c r="O62" s="296"/>
      <c r="P62" s="296"/>
      <c r="Q62" s="296"/>
      <c r="R62" s="296"/>
      <c r="S62" s="296"/>
      <c r="T62" s="296"/>
      <c r="U62" s="296"/>
      <c r="V62" s="296"/>
      <c r="W62" s="296"/>
      <c r="X62" s="296"/>
      <c r="Y62" s="296"/>
      <c r="Z62" s="296"/>
      <c r="AA62" s="296"/>
      <c r="AB62" s="296"/>
      <c r="AC62" s="296"/>
      <c r="AD62" s="296"/>
      <c r="AE62" s="296"/>
      <c r="AF62" s="297"/>
      <c r="AG62" s="92"/>
      <c r="AH62" s="92"/>
    </row>
    <row r="63" spans="1:34">
      <c r="A63" s="92"/>
      <c r="B63" s="292"/>
      <c r="C63" s="293"/>
      <c r="D63" s="293"/>
      <c r="E63" s="293"/>
      <c r="F63" s="293"/>
      <c r="G63" s="294"/>
      <c r="H63" s="295"/>
      <c r="I63" s="296"/>
      <c r="J63" s="296"/>
      <c r="K63" s="296"/>
      <c r="L63" s="296"/>
      <c r="M63" s="296"/>
      <c r="N63" s="296"/>
      <c r="O63" s="296"/>
      <c r="P63" s="296"/>
      <c r="Q63" s="296"/>
      <c r="R63" s="296"/>
      <c r="S63" s="296"/>
      <c r="T63" s="296"/>
      <c r="U63" s="296"/>
      <c r="V63" s="296"/>
      <c r="W63" s="296"/>
      <c r="X63" s="296"/>
      <c r="Y63" s="296"/>
      <c r="Z63" s="296"/>
      <c r="AA63" s="296"/>
      <c r="AB63" s="296"/>
      <c r="AC63" s="296"/>
      <c r="AD63" s="296"/>
      <c r="AE63" s="296"/>
      <c r="AF63" s="297"/>
      <c r="AG63" s="92"/>
      <c r="AH63" s="92"/>
    </row>
    <row r="64" spans="1:34">
      <c r="A64" s="92"/>
      <c r="B64" s="292"/>
      <c r="C64" s="293"/>
      <c r="D64" s="293"/>
      <c r="E64" s="293"/>
      <c r="F64" s="293"/>
      <c r="G64" s="294"/>
      <c r="H64" s="295"/>
      <c r="I64" s="296"/>
      <c r="J64" s="296"/>
      <c r="K64" s="296"/>
      <c r="L64" s="296"/>
      <c r="M64" s="296"/>
      <c r="N64" s="296"/>
      <c r="O64" s="296"/>
      <c r="P64" s="296"/>
      <c r="Q64" s="296"/>
      <c r="R64" s="296"/>
      <c r="S64" s="296"/>
      <c r="T64" s="296"/>
      <c r="U64" s="296"/>
      <c r="V64" s="296"/>
      <c r="W64" s="296"/>
      <c r="X64" s="296"/>
      <c r="Y64" s="296"/>
      <c r="Z64" s="296"/>
      <c r="AA64" s="296"/>
      <c r="AB64" s="296"/>
      <c r="AC64" s="296"/>
      <c r="AD64" s="296"/>
      <c r="AE64" s="296"/>
      <c r="AF64" s="297"/>
      <c r="AG64" s="92"/>
      <c r="AH64" s="92"/>
    </row>
    <row r="65" spans="1:34">
      <c r="A65" s="92"/>
      <c r="B65" s="110"/>
      <c r="C65" s="110"/>
      <c r="D65" s="110"/>
      <c r="E65" s="110"/>
      <c r="F65" s="110"/>
      <c r="G65" s="110"/>
      <c r="H65" s="114"/>
      <c r="I65" s="114"/>
      <c r="J65" s="114"/>
      <c r="K65" s="114"/>
      <c r="L65" s="114"/>
      <c r="M65" s="114"/>
      <c r="N65" s="114"/>
      <c r="O65" s="114"/>
      <c r="P65" s="114"/>
      <c r="Q65" s="114"/>
      <c r="R65" s="114"/>
      <c r="S65" s="114"/>
      <c r="T65" s="114"/>
      <c r="U65" s="114"/>
      <c r="V65" s="114"/>
      <c r="W65" s="114"/>
      <c r="X65" s="114"/>
      <c r="Y65" s="114"/>
      <c r="Z65" s="114"/>
      <c r="AA65" s="114"/>
      <c r="AB65" s="114"/>
      <c r="AC65" s="114"/>
      <c r="AD65" s="114"/>
      <c r="AE65" s="114"/>
      <c r="AF65" s="114"/>
      <c r="AG65" s="92"/>
      <c r="AH65" s="92"/>
    </row>
    <row r="66" spans="1:34">
      <c r="A66" s="92"/>
      <c r="B66" s="110"/>
      <c r="C66" s="110"/>
      <c r="D66" s="110"/>
      <c r="E66" s="110"/>
      <c r="F66" s="110"/>
      <c r="G66" s="110"/>
      <c r="H66" s="114"/>
      <c r="I66" s="114"/>
      <c r="J66" s="114"/>
      <c r="K66" s="114"/>
      <c r="L66" s="114"/>
      <c r="M66" s="114"/>
      <c r="N66" s="114"/>
      <c r="O66" s="114"/>
      <c r="P66" s="114"/>
      <c r="Q66" s="114"/>
      <c r="R66" s="114"/>
      <c r="S66" s="114"/>
      <c r="T66" s="114"/>
      <c r="U66" s="114"/>
      <c r="V66" s="114"/>
      <c r="W66" s="114"/>
      <c r="X66" s="114"/>
      <c r="Y66" s="114"/>
      <c r="Z66" s="114"/>
      <c r="AA66" s="114"/>
      <c r="AB66" s="114"/>
      <c r="AC66" s="114"/>
      <c r="AD66" s="114"/>
      <c r="AE66" s="114"/>
      <c r="AF66" s="114"/>
      <c r="AG66" s="92"/>
      <c r="AH66" s="92"/>
    </row>
    <row r="67" spans="1:34" ht="26.25">
      <c r="A67" s="92"/>
      <c r="B67" s="115" t="s">
        <v>99</v>
      </c>
      <c r="C67" s="116"/>
      <c r="D67" s="116"/>
      <c r="E67" s="116"/>
      <c r="F67" s="116"/>
      <c r="G67" s="116"/>
      <c r="H67" s="117"/>
      <c r="I67" s="117"/>
      <c r="J67" s="117"/>
      <c r="K67" s="117"/>
      <c r="L67" s="117"/>
      <c r="M67" s="117"/>
      <c r="N67" s="117"/>
      <c r="O67" s="117"/>
      <c r="P67" s="117"/>
      <c r="Q67" s="117"/>
      <c r="R67" s="117"/>
      <c r="S67" s="117"/>
      <c r="T67" s="117"/>
      <c r="U67" s="117"/>
      <c r="V67" s="117"/>
      <c r="W67" s="117"/>
      <c r="X67" s="117"/>
      <c r="Y67" s="117"/>
      <c r="Z67" s="117"/>
      <c r="AA67" s="117"/>
      <c r="AB67" s="117"/>
      <c r="AC67" s="117"/>
      <c r="AD67" s="117"/>
      <c r="AE67" s="117"/>
      <c r="AF67" s="117"/>
      <c r="AG67" s="92"/>
      <c r="AH67" s="92"/>
    </row>
    <row r="68" spans="1:34" ht="26.25">
      <c r="A68" s="92"/>
      <c r="B68" s="118"/>
      <c r="C68" s="110"/>
      <c r="D68" s="110"/>
      <c r="E68" s="110"/>
      <c r="F68" s="110"/>
      <c r="G68" s="110"/>
      <c r="H68" s="114"/>
      <c r="I68" s="114"/>
      <c r="J68" s="114"/>
      <c r="K68" s="114"/>
      <c r="L68" s="114"/>
      <c r="M68" s="114"/>
      <c r="N68" s="114"/>
      <c r="O68" s="114"/>
      <c r="P68" s="114"/>
      <c r="Q68" s="114"/>
      <c r="R68" s="114"/>
      <c r="S68" s="114"/>
      <c r="T68" s="114"/>
      <c r="U68" s="114"/>
      <c r="V68" s="114"/>
      <c r="W68" s="114"/>
      <c r="X68" s="114"/>
      <c r="Y68" s="114"/>
      <c r="Z68" s="114"/>
      <c r="AA68" s="114"/>
      <c r="AB68" s="114"/>
      <c r="AC68" s="114"/>
      <c r="AD68" s="114"/>
      <c r="AE68" s="114"/>
      <c r="AF68" s="114"/>
      <c r="AG68" s="92"/>
      <c r="AH68" s="92"/>
    </row>
    <row r="69" spans="1:34" s="155" customFormat="1" ht="20.25">
      <c r="B69" s="156" t="s">
        <v>100</v>
      </c>
    </row>
    <row r="70" spans="1:34">
      <c r="A70" s="92"/>
      <c r="B70" s="119"/>
      <c r="C70" s="119"/>
      <c r="D70" s="119"/>
      <c r="E70" s="119"/>
      <c r="F70" s="119"/>
      <c r="G70" s="119"/>
      <c r="H70" s="120"/>
      <c r="I70" s="120"/>
      <c r="J70" s="120"/>
      <c r="K70" s="120"/>
      <c r="L70" s="120"/>
      <c r="M70" s="120"/>
      <c r="N70" s="120"/>
      <c r="O70" s="120"/>
      <c r="P70" s="120"/>
      <c r="Q70" s="120"/>
      <c r="R70" s="120"/>
      <c r="S70" s="120"/>
      <c r="T70" s="120"/>
      <c r="U70" s="120"/>
      <c r="V70" s="120"/>
      <c r="W70" s="120"/>
      <c r="X70" s="120"/>
      <c r="Y70" s="120"/>
      <c r="Z70" s="120"/>
      <c r="AA70" s="120"/>
      <c r="AB70" s="120"/>
      <c r="AC70" s="120"/>
      <c r="AD70" s="120"/>
      <c r="AE70" s="120"/>
      <c r="AF70" s="120"/>
      <c r="AG70" s="92"/>
      <c r="AH70" s="92"/>
    </row>
    <row r="71" spans="1:34" ht="52.5" customHeight="1">
      <c r="A71" s="92"/>
      <c r="B71" s="329" t="s">
        <v>101</v>
      </c>
      <c r="C71" s="330"/>
      <c r="D71" s="330"/>
      <c r="E71" s="330"/>
      <c r="F71" s="330"/>
      <c r="G71" s="331"/>
      <c r="H71" s="332" t="s">
        <v>102</v>
      </c>
      <c r="I71" s="333"/>
      <c r="J71" s="333"/>
      <c r="K71" s="333"/>
      <c r="L71" s="333"/>
      <c r="M71" s="333"/>
      <c r="N71" s="333"/>
      <c r="O71" s="333"/>
      <c r="P71" s="333"/>
      <c r="Q71" s="333"/>
      <c r="R71" s="333"/>
      <c r="S71" s="333"/>
      <c r="T71" s="333"/>
      <c r="U71" s="333"/>
      <c r="V71" s="333"/>
      <c r="W71" s="333"/>
      <c r="X71" s="333"/>
      <c r="Y71" s="333"/>
      <c r="Z71" s="333"/>
      <c r="AA71" s="333"/>
      <c r="AB71" s="333"/>
      <c r="AC71" s="333"/>
      <c r="AD71" s="333"/>
      <c r="AE71" s="333"/>
      <c r="AF71" s="334"/>
      <c r="AG71" s="92"/>
      <c r="AH71" s="92"/>
    </row>
    <row r="72" spans="1:34" ht="111" customHeight="1">
      <c r="A72" s="92"/>
      <c r="B72" s="329" t="s">
        <v>103</v>
      </c>
      <c r="C72" s="330"/>
      <c r="D72" s="330"/>
      <c r="E72" s="330"/>
      <c r="F72" s="330"/>
      <c r="G72" s="331"/>
      <c r="H72" s="332" t="s">
        <v>104</v>
      </c>
      <c r="I72" s="333"/>
      <c r="J72" s="333"/>
      <c r="K72" s="333"/>
      <c r="L72" s="333"/>
      <c r="M72" s="333"/>
      <c r="N72" s="333"/>
      <c r="O72" s="333"/>
      <c r="P72" s="333"/>
      <c r="Q72" s="333"/>
      <c r="R72" s="333"/>
      <c r="S72" s="333"/>
      <c r="T72" s="333"/>
      <c r="U72" s="333"/>
      <c r="V72" s="333"/>
      <c r="W72" s="333"/>
      <c r="X72" s="333"/>
      <c r="Y72" s="333"/>
      <c r="Z72" s="333"/>
      <c r="AA72" s="333"/>
      <c r="AB72" s="333"/>
      <c r="AC72" s="333"/>
      <c r="AD72" s="333"/>
      <c r="AE72" s="333"/>
      <c r="AF72" s="334"/>
      <c r="AG72" s="92"/>
      <c r="AH72" s="92"/>
    </row>
    <row r="73" spans="1:34" ht="52.5" customHeight="1">
      <c r="A73" s="92"/>
      <c r="B73" s="329" t="s">
        <v>105</v>
      </c>
      <c r="C73" s="330"/>
      <c r="D73" s="330"/>
      <c r="E73" s="330"/>
      <c r="F73" s="330"/>
      <c r="G73" s="331"/>
      <c r="H73" s="332" t="s">
        <v>106</v>
      </c>
      <c r="I73" s="333"/>
      <c r="J73" s="333"/>
      <c r="K73" s="333"/>
      <c r="L73" s="333"/>
      <c r="M73" s="333"/>
      <c r="N73" s="333"/>
      <c r="O73" s="333"/>
      <c r="P73" s="333"/>
      <c r="Q73" s="333"/>
      <c r="R73" s="333"/>
      <c r="S73" s="333"/>
      <c r="T73" s="333"/>
      <c r="U73" s="333"/>
      <c r="V73" s="333"/>
      <c r="W73" s="333"/>
      <c r="X73" s="333"/>
      <c r="Y73" s="333"/>
      <c r="Z73" s="333"/>
      <c r="AA73" s="333"/>
      <c r="AB73" s="333"/>
      <c r="AC73" s="333"/>
      <c r="AD73" s="333"/>
      <c r="AE73" s="333"/>
      <c r="AF73" s="334"/>
      <c r="AG73" s="92"/>
      <c r="AH73" s="92"/>
    </row>
    <row r="74" spans="1:34" ht="52.5" customHeight="1">
      <c r="A74" s="92"/>
      <c r="B74" s="329" t="s">
        <v>107</v>
      </c>
      <c r="C74" s="330"/>
      <c r="D74" s="330"/>
      <c r="E74" s="330"/>
      <c r="F74" s="330"/>
      <c r="G74" s="331"/>
      <c r="H74" s="332" t="s">
        <v>108</v>
      </c>
      <c r="I74" s="333"/>
      <c r="J74" s="333"/>
      <c r="K74" s="333"/>
      <c r="L74" s="333"/>
      <c r="M74" s="333"/>
      <c r="N74" s="333"/>
      <c r="O74" s="333"/>
      <c r="P74" s="333"/>
      <c r="Q74" s="333"/>
      <c r="R74" s="333"/>
      <c r="S74" s="333"/>
      <c r="T74" s="333"/>
      <c r="U74" s="333"/>
      <c r="V74" s="333"/>
      <c r="W74" s="333"/>
      <c r="X74" s="333"/>
      <c r="Y74" s="333"/>
      <c r="Z74" s="333"/>
      <c r="AA74" s="333"/>
      <c r="AB74" s="333"/>
      <c r="AC74" s="333"/>
      <c r="AD74" s="333"/>
      <c r="AE74" s="333"/>
      <c r="AF74" s="334"/>
      <c r="AG74" s="92"/>
      <c r="AH74" s="92"/>
    </row>
    <row r="75" spans="1:34" ht="81" customHeight="1">
      <c r="A75" s="92"/>
      <c r="B75" s="329" t="s">
        <v>109</v>
      </c>
      <c r="C75" s="330"/>
      <c r="D75" s="330"/>
      <c r="E75" s="330"/>
      <c r="F75" s="330"/>
      <c r="G75" s="331"/>
      <c r="H75" s="332" t="s">
        <v>110</v>
      </c>
      <c r="I75" s="333"/>
      <c r="J75" s="333"/>
      <c r="K75" s="333"/>
      <c r="L75" s="333"/>
      <c r="M75" s="333"/>
      <c r="N75" s="333"/>
      <c r="O75" s="333"/>
      <c r="P75" s="333"/>
      <c r="Q75" s="333"/>
      <c r="R75" s="333"/>
      <c r="S75" s="333"/>
      <c r="T75" s="333"/>
      <c r="U75" s="333"/>
      <c r="V75" s="333"/>
      <c r="W75" s="333"/>
      <c r="X75" s="333"/>
      <c r="Y75" s="333"/>
      <c r="Z75" s="333"/>
      <c r="AA75" s="333"/>
      <c r="AB75" s="333"/>
      <c r="AC75" s="333"/>
      <c r="AD75" s="333"/>
      <c r="AE75" s="333"/>
      <c r="AF75" s="334"/>
      <c r="AG75" s="92"/>
      <c r="AH75" s="92"/>
    </row>
    <row r="76" spans="1:34" ht="97.5" customHeight="1">
      <c r="A76" s="92"/>
      <c r="B76" s="329" t="s">
        <v>111</v>
      </c>
      <c r="C76" s="330"/>
      <c r="D76" s="330"/>
      <c r="E76" s="330"/>
      <c r="F76" s="330"/>
      <c r="G76" s="331"/>
      <c r="H76" s="332" t="s">
        <v>112</v>
      </c>
      <c r="I76" s="333"/>
      <c r="J76" s="333"/>
      <c r="K76" s="333"/>
      <c r="L76" s="333"/>
      <c r="M76" s="333"/>
      <c r="N76" s="333"/>
      <c r="O76" s="333"/>
      <c r="P76" s="333"/>
      <c r="Q76" s="333"/>
      <c r="R76" s="333"/>
      <c r="S76" s="333"/>
      <c r="T76" s="333"/>
      <c r="U76" s="333"/>
      <c r="V76" s="333"/>
      <c r="W76" s="333"/>
      <c r="X76" s="333"/>
      <c r="Y76" s="333"/>
      <c r="Z76" s="333"/>
      <c r="AA76" s="333"/>
      <c r="AB76" s="333"/>
      <c r="AC76" s="333"/>
      <c r="AD76" s="333"/>
      <c r="AE76" s="333"/>
      <c r="AF76" s="334"/>
      <c r="AG76" s="92"/>
      <c r="AH76" s="92"/>
    </row>
    <row r="77" spans="1:34">
      <c r="A77" s="92"/>
      <c r="B77" s="119"/>
      <c r="C77" s="119"/>
      <c r="D77" s="119"/>
      <c r="E77" s="119"/>
      <c r="F77" s="119"/>
      <c r="G77" s="119"/>
      <c r="H77" s="120"/>
      <c r="I77" s="120"/>
      <c r="J77" s="120"/>
      <c r="K77" s="120"/>
      <c r="L77" s="120"/>
      <c r="M77" s="120"/>
      <c r="N77" s="120"/>
      <c r="O77" s="120"/>
      <c r="P77" s="120"/>
      <c r="Q77" s="120"/>
      <c r="R77" s="120"/>
      <c r="S77" s="120"/>
      <c r="T77" s="120"/>
      <c r="U77" s="120"/>
      <c r="V77" s="120"/>
      <c r="W77" s="120"/>
      <c r="X77" s="120"/>
      <c r="Y77" s="120"/>
      <c r="Z77" s="120"/>
      <c r="AA77" s="120"/>
      <c r="AB77" s="120"/>
      <c r="AC77" s="120"/>
      <c r="AD77" s="120"/>
      <c r="AE77" s="120"/>
      <c r="AF77" s="120"/>
      <c r="AG77" s="92"/>
      <c r="AH77" s="92"/>
    </row>
    <row r="78" spans="1:34">
      <c r="A78" s="92"/>
      <c r="B78" s="119"/>
      <c r="C78" s="119"/>
      <c r="D78" s="119"/>
      <c r="E78" s="119"/>
      <c r="F78" s="119"/>
      <c r="G78" s="119"/>
      <c r="H78" s="120"/>
      <c r="I78" s="120"/>
      <c r="J78" s="120"/>
      <c r="K78" s="120"/>
      <c r="L78" s="120"/>
      <c r="M78" s="120"/>
      <c r="N78" s="120"/>
      <c r="O78" s="120"/>
      <c r="P78" s="120"/>
      <c r="Q78" s="120"/>
      <c r="R78" s="120"/>
      <c r="S78" s="120"/>
      <c r="T78" s="120"/>
      <c r="U78" s="120"/>
      <c r="V78" s="120"/>
      <c r="W78" s="120"/>
      <c r="X78" s="120"/>
      <c r="Y78" s="120"/>
      <c r="Z78" s="120"/>
      <c r="AA78" s="120"/>
      <c r="AB78" s="120"/>
      <c r="AC78" s="120"/>
      <c r="AD78" s="120"/>
      <c r="AE78" s="120"/>
      <c r="AF78" s="120"/>
      <c r="AG78" s="92"/>
      <c r="AH78" s="92"/>
    </row>
    <row r="79" spans="1:34">
      <c r="A79" s="92"/>
      <c r="B79" s="119"/>
      <c r="C79" s="119"/>
      <c r="D79" s="119"/>
      <c r="E79" s="119"/>
      <c r="F79" s="119"/>
      <c r="G79" s="119"/>
      <c r="H79" s="120"/>
      <c r="I79" s="120"/>
      <c r="J79" s="120"/>
      <c r="K79" s="120"/>
      <c r="L79" s="120"/>
      <c r="M79" s="120"/>
      <c r="N79" s="120"/>
      <c r="O79" s="120"/>
      <c r="P79" s="120"/>
      <c r="Q79" s="120"/>
      <c r="R79" s="120"/>
      <c r="S79" s="120"/>
      <c r="T79" s="120"/>
      <c r="U79" s="120"/>
      <c r="V79" s="120"/>
      <c r="W79" s="120"/>
      <c r="X79" s="120"/>
      <c r="Y79" s="120"/>
      <c r="Z79" s="120"/>
      <c r="AA79" s="120"/>
      <c r="AB79" s="120"/>
      <c r="AC79" s="120"/>
      <c r="AD79" s="120"/>
      <c r="AE79" s="120"/>
      <c r="AF79" s="120"/>
      <c r="AG79" s="92"/>
      <c r="AH79" s="92"/>
    </row>
    <row r="80" spans="1:34" ht="26.25">
      <c r="A80" s="92"/>
      <c r="B80" s="115" t="s">
        <v>113</v>
      </c>
      <c r="C80" s="116"/>
      <c r="D80" s="116"/>
      <c r="E80" s="116"/>
      <c r="F80" s="116"/>
      <c r="G80" s="116"/>
      <c r="H80" s="117"/>
      <c r="I80" s="117"/>
      <c r="J80" s="117"/>
      <c r="K80" s="117"/>
      <c r="L80" s="117"/>
      <c r="M80" s="117"/>
      <c r="N80" s="117"/>
      <c r="O80" s="117"/>
      <c r="P80" s="117"/>
      <c r="Q80" s="117"/>
      <c r="R80" s="117"/>
      <c r="S80" s="117"/>
      <c r="T80" s="117"/>
      <c r="U80" s="117"/>
      <c r="V80" s="117"/>
      <c r="W80" s="117"/>
      <c r="X80" s="117"/>
      <c r="Y80" s="117"/>
      <c r="Z80" s="117"/>
      <c r="AA80" s="117"/>
      <c r="AB80" s="117"/>
      <c r="AC80" s="117"/>
      <c r="AD80" s="117"/>
      <c r="AE80" s="117"/>
      <c r="AF80" s="117"/>
      <c r="AG80" s="92"/>
      <c r="AH80" s="92"/>
    </row>
    <row r="81" spans="1:36">
      <c r="A81" s="92"/>
      <c r="B81" s="119"/>
      <c r="C81" s="119"/>
      <c r="D81" s="119"/>
      <c r="E81" s="119"/>
      <c r="F81" s="119"/>
      <c r="G81" s="119"/>
      <c r="H81" s="120"/>
      <c r="I81" s="120"/>
      <c r="J81" s="120"/>
      <c r="K81" s="120"/>
      <c r="L81" s="120"/>
      <c r="M81" s="120"/>
      <c r="N81" s="120"/>
      <c r="O81" s="120"/>
      <c r="P81" s="120"/>
      <c r="Q81" s="120"/>
      <c r="R81" s="120"/>
      <c r="S81" s="120"/>
      <c r="T81" s="120"/>
      <c r="U81" s="120"/>
      <c r="V81" s="120"/>
      <c r="W81" s="120"/>
      <c r="X81" s="120"/>
      <c r="Y81" s="120"/>
      <c r="Z81" s="120"/>
      <c r="AA81" s="120"/>
      <c r="AB81" s="120"/>
      <c r="AC81" s="120"/>
      <c r="AD81" s="120"/>
      <c r="AE81" s="120"/>
      <c r="AF81" s="120"/>
      <c r="AG81" s="92"/>
      <c r="AH81" s="92"/>
    </row>
    <row r="82" spans="1:36">
      <c r="A82" s="92"/>
      <c r="B82" s="119" t="s">
        <v>114</v>
      </c>
      <c r="C82" s="119"/>
      <c r="D82" s="119"/>
      <c r="E82" s="119"/>
      <c r="F82" s="119"/>
      <c r="G82" s="119"/>
      <c r="H82" s="120"/>
      <c r="I82" s="120"/>
      <c r="J82" s="120"/>
      <c r="K82" s="120"/>
      <c r="L82" s="120"/>
      <c r="M82" s="120"/>
      <c r="N82" s="120"/>
      <c r="O82" s="120"/>
      <c r="P82" s="120"/>
      <c r="Q82" s="120"/>
      <c r="R82" s="120"/>
      <c r="S82" s="120"/>
      <c r="T82" s="120"/>
      <c r="U82" s="120"/>
      <c r="V82" s="120"/>
      <c r="W82" s="120"/>
      <c r="X82" s="120"/>
      <c r="Y82" s="120"/>
      <c r="Z82" s="120"/>
      <c r="AA82" s="120"/>
      <c r="AB82" s="120"/>
      <c r="AC82" s="120"/>
      <c r="AD82" s="120"/>
      <c r="AE82" s="120"/>
      <c r="AF82" s="120"/>
      <c r="AG82" s="92"/>
      <c r="AH82" s="92"/>
    </row>
    <row r="83" spans="1:36" ht="67.5">
      <c r="A83" s="92"/>
      <c r="B83" s="119"/>
      <c r="C83" s="119"/>
      <c r="D83" s="119"/>
      <c r="E83" s="119"/>
      <c r="F83" s="119"/>
      <c r="G83" s="119"/>
      <c r="H83" s="120"/>
      <c r="I83" s="120"/>
      <c r="J83" s="120"/>
      <c r="K83" s="120"/>
      <c r="L83" s="120"/>
      <c r="M83" s="120"/>
      <c r="N83" s="120"/>
      <c r="O83" s="120"/>
      <c r="P83" s="120"/>
      <c r="Q83" s="120"/>
      <c r="R83" s="120"/>
      <c r="S83" s="120"/>
      <c r="T83" s="120"/>
      <c r="U83" s="120"/>
      <c r="V83" s="120"/>
      <c r="W83" s="120"/>
      <c r="X83" s="120"/>
      <c r="Y83" s="120"/>
      <c r="Z83" s="120"/>
      <c r="AA83" s="120"/>
      <c r="AB83" s="120"/>
      <c r="AC83" s="120"/>
      <c r="AD83" s="120"/>
      <c r="AE83" s="120"/>
      <c r="AF83" s="120"/>
      <c r="AG83" s="92"/>
      <c r="AH83" s="92"/>
      <c r="AJ83" s="161" t="s">
        <v>115</v>
      </c>
    </row>
    <row r="84" spans="1:36" ht="18.75">
      <c r="A84" s="92"/>
      <c r="C84" s="119"/>
      <c r="D84" s="119"/>
      <c r="E84" s="119"/>
      <c r="F84" s="119"/>
      <c r="G84" s="119"/>
      <c r="H84" s="120"/>
      <c r="I84" s="120"/>
      <c r="J84" s="120"/>
      <c r="K84" s="120"/>
      <c r="L84" s="120"/>
      <c r="M84" s="120"/>
      <c r="N84" s="120"/>
      <c r="O84" s="120"/>
      <c r="P84" s="120"/>
      <c r="Q84" s="120"/>
      <c r="R84" s="120"/>
      <c r="S84" s="120"/>
      <c r="T84" s="120"/>
      <c r="U84" s="120"/>
      <c r="V84" s="120"/>
      <c r="W84" s="120"/>
      <c r="X84" s="120"/>
      <c r="Y84" s="120"/>
      <c r="Z84" s="120"/>
      <c r="AA84" s="120"/>
      <c r="AB84" s="120"/>
      <c r="AC84" s="120"/>
      <c r="AD84" s="120"/>
      <c r="AE84" s="120"/>
      <c r="AF84" s="120"/>
      <c r="AG84" s="92"/>
      <c r="AH84" s="92"/>
      <c r="AI84" s="140"/>
      <c r="AJ84" s="160" t="s">
        <v>25</v>
      </c>
    </row>
    <row r="85" spans="1:36">
      <c r="A85" s="92"/>
      <c r="C85" s="119"/>
      <c r="D85" s="119"/>
      <c r="E85" s="119"/>
      <c r="F85" s="119"/>
      <c r="G85" s="119"/>
      <c r="H85" s="120"/>
      <c r="I85" s="120"/>
      <c r="J85" s="120"/>
      <c r="K85" s="120"/>
      <c r="L85" s="120"/>
      <c r="M85" s="120"/>
      <c r="N85" s="120"/>
      <c r="O85" s="120"/>
      <c r="P85" s="120"/>
      <c r="Q85" s="120"/>
      <c r="R85" s="120"/>
      <c r="S85" s="120"/>
      <c r="T85" s="120"/>
      <c r="U85" s="120"/>
      <c r="V85" s="120"/>
      <c r="W85" s="120"/>
      <c r="X85" s="120"/>
      <c r="Y85" s="120"/>
      <c r="Z85" s="120"/>
      <c r="AA85" s="120"/>
      <c r="AB85" s="120"/>
      <c r="AC85" s="120"/>
      <c r="AD85" s="120"/>
      <c r="AE85" s="120"/>
      <c r="AF85" s="120"/>
      <c r="AG85" s="92"/>
      <c r="AH85" s="92"/>
      <c r="AI85" s="141" t="s">
        <v>116</v>
      </c>
      <c r="AJ85" s="141" t="s">
        <v>117</v>
      </c>
    </row>
    <row r="86" spans="1:36">
      <c r="A86" s="92"/>
      <c r="C86" s="119"/>
      <c r="D86" s="119"/>
      <c r="E86" s="119"/>
      <c r="F86" s="119"/>
      <c r="G86" s="119"/>
      <c r="H86" s="120"/>
      <c r="I86" s="120"/>
      <c r="J86" s="120"/>
      <c r="K86" s="120"/>
      <c r="L86" s="120"/>
      <c r="M86" s="120"/>
      <c r="N86" s="120"/>
      <c r="O86" s="120"/>
      <c r="P86" s="120"/>
      <c r="Q86" s="120"/>
      <c r="R86" s="120"/>
      <c r="S86" s="120"/>
      <c r="T86" s="120"/>
      <c r="U86" s="120"/>
      <c r="V86" s="120"/>
      <c r="W86" s="120"/>
      <c r="X86" s="120"/>
      <c r="Y86" s="120"/>
      <c r="Z86" s="120"/>
      <c r="AA86" s="120"/>
      <c r="AB86" s="120"/>
      <c r="AC86" s="120"/>
      <c r="AD86" s="120"/>
      <c r="AE86" s="120"/>
      <c r="AF86" s="120"/>
      <c r="AG86" s="92"/>
      <c r="AH86" s="92"/>
      <c r="AI86" s="141" t="s">
        <v>118</v>
      </c>
      <c r="AJ86" s="141" t="s">
        <v>119</v>
      </c>
    </row>
    <row r="87" spans="1:36">
      <c r="A87" s="92"/>
      <c r="C87" s="119"/>
      <c r="D87" s="119"/>
      <c r="E87" s="119"/>
      <c r="F87" s="119"/>
      <c r="G87" s="119"/>
      <c r="H87" s="120"/>
      <c r="I87" s="120"/>
      <c r="J87" s="120"/>
      <c r="K87" s="120"/>
      <c r="L87" s="120"/>
      <c r="M87" s="120"/>
      <c r="N87" s="120"/>
      <c r="O87" s="120"/>
      <c r="P87" s="120"/>
      <c r="Q87" s="120"/>
      <c r="R87" s="120"/>
      <c r="S87" s="120"/>
      <c r="T87" s="120"/>
      <c r="U87" s="120"/>
      <c r="V87" s="120"/>
      <c r="W87" s="120"/>
      <c r="X87" s="120"/>
      <c r="Y87" s="120"/>
      <c r="Z87" s="120"/>
      <c r="AA87" s="120"/>
      <c r="AB87" s="120"/>
      <c r="AC87" s="120"/>
      <c r="AD87" s="120"/>
      <c r="AE87" s="120"/>
      <c r="AF87" s="120"/>
      <c r="AG87" s="92"/>
      <c r="AH87" s="92"/>
      <c r="AI87" s="141" t="s">
        <v>120</v>
      </c>
      <c r="AJ87" s="141" t="s">
        <v>121</v>
      </c>
    </row>
    <row r="88" spans="1:36" ht="18.75">
      <c r="A88" s="92"/>
      <c r="C88" s="119"/>
      <c r="D88" s="119"/>
      <c r="E88" s="119"/>
      <c r="F88" s="119"/>
      <c r="G88" s="119"/>
      <c r="H88" s="120"/>
      <c r="I88" s="120"/>
      <c r="J88" s="120"/>
      <c r="K88" s="120"/>
      <c r="L88" s="120"/>
      <c r="M88" s="120"/>
      <c r="N88" s="120"/>
      <c r="O88" s="120"/>
      <c r="P88" s="120"/>
      <c r="Q88" s="120"/>
      <c r="R88" s="120"/>
      <c r="S88" s="120"/>
      <c r="T88" s="120"/>
      <c r="U88" s="120"/>
      <c r="V88" s="120"/>
      <c r="W88" s="120"/>
      <c r="X88" s="120"/>
      <c r="Y88" s="120"/>
      <c r="Z88" s="120"/>
      <c r="AA88" s="120"/>
      <c r="AB88" s="120"/>
      <c r="AC88" s="120"/>
      <c r="AD88" s="120"/>
      <c r="AE88" s="120"/>
      <c r="AF88" s="120"/>
      <c r="AG88" s="92"/>
      <c r="AH88" s="92"/>
      <c r="AI88" s="142"/>
      <c r="AJ88" s="141" t="s">
        <v>122</v>
      </c>
    </row>
    <row r="89" spans="1:36">
      <c r="A89" s="92"/>
      <c r="B89" s="119"/>
      <c r="C89" s="119"/>
      <c r="D89" s="119"/>
      <c r="E89" s="119"/>
      <c r="F89" s="119"/>
      <c r="G89" s="119"/>
      <c r="H89" s="120"/>
      <c r="I89" s="120"/>
      <c r="J89" s="120"/>
      <c r="K89" s="120"/>
      <c r="L89" s="120"/>
      <c r="M89" s="120"/>
      <c r="N89" s="120"/>
      <c r="O89" s="120"/>
      <c r="P89" s="120"/>
      <c r="Q89" s="120"/>
      <c r="R89" s="120"/>
      <c r="S89" s="120"/>
      <c r="T89" s="120"/>
      <c r="U89" s="120"/>
      <c r="V89" s="120"/>
      <c r="W89" s="120"/>
      <c r="X89" s="120"/>
      <c r="Y89" s="120"/>
      <c r="Z89" s="120"/>
      <c r="AA89" s="120"/>
      <c r="AB89" s="120"/>
      <c r="AC89" s="120"/>
      <c r="AD89" s="120"/>
      <c r="AE89" s="120"/>
      <c r="AF89" s="120"/>
      <c r="AG89" s="92"/>
      <c r="AH89" s="92"/>
      <c r="AJ89" s="141" t="s">
        <v>123</v>
      </c>
    </row>
    <row r="90" spans="1:36">
      <c r="A90" s="92"/>
      <c r="B90" s="92"/>
      <c r="C90" s="92"/>
      <c r="D90" s="92"/>
      <c r="E90" s="92"/>
      <c r="F90" s="92"/>
      <c r="G90" s="92"/>
      <c r="H90" s="92"/>
      <c r="I90" s="92"/>
      <c r="J90" s="92"/>
      <c r="K90" s="92"/>
      <c r="L90" s="92"/>
      <c r="M90" s="92"/>
      <c r="N90" s="92"/>
      <c r="O90" s="92"/>
      <c r="P90" s="92"/>
      <c r="Q90" s="92"/>
      <c r="R90" s="92"/>
      <c r="S90" s="92"/>
      <c r="T90" s="92"/>
      <c r="U90" s="92"/>
      <c r="V90" s="92"/>
      <c r="W90" s="92"/>
      <c r="X90" s="92"/>
      <c r="Y90" s="92"/>
      <c r="Z90" s="92"/>
      <c r="AA90" s="92"/>
      <c r="AB90" s="92"/>
      <c r="AC90" s="92"/>
      <c r="AD90" s="92"/>
      <c r="AE90" s="92"/>
      <c r="AF90" s="92"/>
      <c r="AG90" s="92"/>
      <c r="AH90" s="92"/>
      <c r="AJ90" s="141" t="s">
        <v>124</v>
      </c>
    </row>
    <row r="91" spans="1:36">
      <c r="AJ91" s="141" t="s">
        <v>125</v>
      </c>
    </row>
    <row r="92" spans="1:36">
      <c r="AJ92" s="141" t="s">
        <v>126</v>
      </c>
    </row>
    <row r="93" spans="1:36">
      <c r="AJ93" s="141" t="s">
        <v>127</v>
      </c>
    </row>
    <row r="94" spans="1:36">
      <c r="AJ94" s="141" t="s">
        <v>128</v>
      </c>
    </row>
    <row r="95" spans="1:36">
      <c r="AJ95" s="141" t="s">
        <v>129</v>
      </c>
    </row>
    <row r="96" spans="1:36">
      <c r="AJ96" s="141" t="s">
        <v>130</v>
      </c>
    </row>
    <row r="97" spans="36:36">
      <c r="AJ97" s="141" t="s">
        <v>131</v>
      </c>
    </row>
    <row r="98" spans="36:36">
      <c r="AJ98" s="141" t="s">
        <v>132</v>
      </c>
    </row>
    <row r="99" spans="36:36">
      <c r="AJ99" s="141" t="s">
        <v>133</v>
      </c>
    </row>
    <row r="100" spans="36:36">
      <c r="AJ100" s="141" t="s">
        <v>134</v>
      </c>
    </row>
    <row r="101" spans="36:36">
      <c r="AJ101" s="141" t="s">
        <v>135</v>
      </c>
    </row>
    <row r="102" spans="36:36">
      <c r="AJ102" s="141" t="s">
        <v>136</v>
      </c>
    </row>
    <row r="103" spans="36:36">
      <c r="AJ103" s="141" t="s">
        <v>137</v>
      </c>
    </row>
    <row r="104" spans="36:36">
      <c r="AJ104" s="141" t="s">
        <v>138</v>
      </c>
    </row>
    <row r="105" spans="36:36" ht="18.75">
      <c r="AJ105" s="142" t="s">
        <v>133</v>
      </c>
    </row>
  </sheetData>
  <mergeCells count="148">
    <mergeCell ref="E38:H38"/>
    <mergeCell ref="I38:Q38"/>
    <mergeCell ref="R38:AF38"/>
    <mergeCell ref="B39:D39"/>
    <mergeCell ref="E39:H39"/>
    <mergeCell ref="I39:Q39"/>
    <mergeCell ref="R39:AF39"/>
    <mergeCell ref="B37:D37"/>
    <mergeCell ref="E37:H37"/>
    <mergeCell ref="I37:Q37"/>
    <mergeCell ref="R37:AF37"/>
    <mergeCell ref="B38:D38"/>
    <mergeCell ref="B40:D40"/>
    <mergeCell ref="E40:H40"/>
    <mergeCell ref="I40:Q40"/>
    <mergeCell ref="R40:AF40"/>
    <mergeCell ref="B76:G76"/>
    <mergeCell ref="H76:AF76"/>
    <mergeCell ref="B71:G71"/>
    <mergeCell ref="H71:AF71"/>
    <mergeCell ref="B72:G72"/>
    <mergeCell ref="H72:AF72"/>
    <mergeCell ref="B73:G73"/>
    <mergeCell ref="H73:AF73"/>
    <mergeCell ref="B74:G74"/>
    <mergeCell ref="H74:AF74"/>
    <mergeCell ref="B75:G75"/>
    <mergeCell ref="H75:AF75"/>
    <mergeCell ref="B46:D46"/>
    <mergeCell ref="E46:X46"/>
    <mergeCell ref="Y46:AF46"/>
    <mergeCell ref="B47:D47"/>
    <mergeCell ref="E47:X47"/>
    <mergeCell ref="Y47:AF47"/>
    <mergeCell ref="B48:D48"/>
    <mergeCell ref="E48:X48"/>
    <mergeCell ref="B32:D32"/>
    <mergeCell ref="E32:H32"/>
    <mergeCell ref="I32:Q32"/>
    <mergeCell ref="R32:AF32"/>
    <mergeCell ref="B20:F20"/>
    <mergeCell ref="G20:AF20"/>
    <mergeCell ref="B21:F21"/>
    <mergeCell ref="G21:AF21"/>
    <mergeCell ref="B29:D29"/>
    <mergeCell ref="E29:H29"/>
    <mergeCell ref="I29:Q29"/>
    <mergeCell ref="R29:AF29"/>
    <mergeCell ref="B30:D30"/>
    <mergeCell ref="E30:H30"/>
    <mergeCell ref="I30:Q30"/>
    <mergeCell ref="R30:AF30"/>
    <mergeCell ref="B31:D31"/>
    <mergeCell ref="E31:H31"/>
    <mergeCell ref="I31:Q31"/>
    <mergeCell ref="R31:AF31"/>
    <mergeCell ref="A4:V4"/>
    <mergeCell ref="W4:AA4"/>
    <mergeCell ref="AB4:AG4"/>
    <mergeCell ref="A5:V5"/>
    <mergeCell ref="W5:AA5"/>
    <mergeCell ref="AB5:AG5"/>
    <mergeCell ref="A7:D7"/>
    <mergeCell ref="E7:V7"/>
    <mergeCell ref="W7:AA7"/>
    <mergeCell ref="AB7:AD7"/>
    <mergeCell ref="AE7:AG7"/>
    <mergeCell ref="A6:D6"/>
    <mergeCell ref="E6:V6"/>
    <mergeCell ref="W6:AA6"/>
    <mergeCell ref="AB6:AD6"/>
    <mergeCell ref="AE6:AG6"/>
    <mergeCell ref="A8:AG8"/>
    <mergeCell ref="A9:AG9"/>
    <mergeCell ref="B15:F15"/>
    <mergeCell ref="G15:AF15"/>
    <mergeCell ref="B16:F16"/>
    <mergeCell ref="G16:AF16"/>
    <mergeCell ref="B17:F17"/>
    <mergeCell ref="G17:AF17"/>
    <mergeCell ref="B18:F18"/>
    <mergeCell ref="G18:AF18"/>
    <mergeCell ref="B19:F19"/>
    <mergeCell ref="G19:AF19"/>
    <mergeCell ref="B27:D27"/>
    <mergeCell ref="E27:H27"/>
    <mergeCell ref="I27:Q27"/>
    <mergeCell ref="R27:AF27"/>
    <mergeCell ref="B28:D28"/>
    <mergeCell ref="E28:H28"/>
    <mergeCell ref="I28:Q28"/>
    <mergeCell ref="R28:AF28"/>
    <mergeCell ref="B22:F22"/>
    <mergeCell ref="G22:AF22"/>
    <mergeCell ref="B23:F23"/>
    <mergeCell ref="G23:AF23"/>
    <mergeCell ref="B24:F24"/>
    <mergeCell ref="G24:AF24"/>
    <mergeCell ref="B33:D33"/>
    <mergeCell ref="E33:H33"/>
    <mergeCell ref="I33:Q33"/>
    <mergeCell ref="R33:AF33"/>
    <mergeCell ref="B34:D34"/>
    <mergeCell ref="E34:H34"/>
    <mergeCell ref="I34:Q34"/>
    <mergeCell ref="R34:AF34"/>
    <mergeCell ref="B36:D36"/>
    <mergeCell ref="E36:H36"/>
    <mergeCell ref="I36:Q36"/>
    <mergeCell ref="R36:AF36"/>
    <mergeCell ref="B35:D35"/>
    <mergeCell ref="E35:H35"/>
    <mergeCell ref="I35:Q35"/>
    <mergeCell ref="R35:AF35"/>
    <mergeCell ref="Y48:AF48"/>
    <mergeCell ref="B49:D49"/>
    <mergeCell ref="E49:X49"/>
    <mergeCell ref="Y49:AF49"/>
    <mergeCell ref="B59:G59"/>
    <mergeCell ref="H59:AF59"/>
    <mergeCell ref="B50:D50"/>
    <mergeCell ref="E50:X50"/>
    <mergeCell ref="Y50:AF50"/>
    <mergeCell ref="B52:D52"/>
    <mergeCell ref="E52:X52"/>
    <mergeCell ref="Y52:AF52"/>
    <mergeCell ref="B53:D53"/>
    <mergeCell ref="E53:X53"/>
    <mergeCell ref="Y53:AF53"/>
    <mergeCell ref="B54:D54"/>
    <mergeCell ref="E54:X54"/>
    <mergeCell ref="Y54:AF54"/>
    <mergeCell ref="B55:D55"/>
    <mergeCell ref="E55:X55"/>
    <mergeCell ref="Y55:AF55"/>
    <mergeCell ref="B56:D56"/>
    <mergeCell ref="E56:X56"/>
    <mergeCell ref="Y56:AF56"/>
    <mergeCell ref="B64:G64"/>
    <mergeCell ref="H64:AF64"/>
    <mergeCell ref="B61:G61"/>
    <mergeCell ref="H61:AF61"/>
    <mergeCell ref="B62:G62"/>
    <mergeCell ref="H62:AF62"/>
    <mergeCell ref="B63:G63"/>
    <mergeCell ref="H63:AF63"/>
    <mergeCell ref="B60:G60"/>
    <mergeCell ref="H60:AF60"/>
  </mergeCells>
  <phoneticPr fontId="88" type="noConversion"/>
  <hyperlinks>
    <hyperlink ref="H60" r:id="rId1" display="https://alvteams.alv.autoliv.int/sites/aeuaeequalityassurance/AEM%20Process%20wiki/acronyms.aspx" xr:uid="{F41053EA-BD92-4C32-BFE7-2CB8AFAD0005}"/>
  </hyperlinks>
  <pageMargins left="0.86614173228346458" right="0.47244094488188981" top="0.98425196850393704" bottom="0.98425196850393704" header="0.47244094488188981" footer="0.51181102362204722"/>
  <pageSetup paperSize="9" orientation="portrait" horizontalDpi="4294967295" verticalDpi="4294967295" r:id="rId2"/>
  <headerFooter>
    <oddHeader>&amp;R&amp;G</oddHeader>
  </headerFooter>
  <drawing r:id="rId3"/>
  <legacyDrawing r:id="rId4"/>
  <legacyDrawingHF r:id="rId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elp">
    <tabColor indexed="47"/>
  </sheetPr>
  <dimension ref="A1:H140"/>
  <sheetViews>
    <sheetView showGridLines="0" zoomScaleNormal="100" workbookViewId="0">
      <pane ySplit="1" topLeftCell="A2" activePane="bottomLeft" state="frozenSplit"/>
      <selection pane="bottomLeft" sqref="A1:D1"/>
    </sheetView>
  </sheetViews>
  <sheetFormatPr defaultColWidth="9.140625" defaultRowHeight="12.75"/>
  <cols>
    <col min="1" max="1" width="3.7109375" style="1" customWidth="1"/>
    <col min="2" max="2" width="19.42578125" style="1" customWidth="1"/>
    <col min="3" max="3" width="100.7109375" style="1" customWidth="1"/>
    <col min="4" max="16384" width="9.140625" style="1"/>
  </cols>
  <sheetData>
    <row r="1" spans="1:8" ht="19.5">
      <c r="A1" s="337" t="s">
        <v>41</v>
      </c>
      <c r="B1" s="338"/>
      <c r="C1" s="338"/>
      <c r="D1" s="339"/>
    </row>
    <row r="3" spans="1:8">
      <c r="B3" s="340" t="s">
        <v>139</v>
      </c>
      <c r="C3" s="341"/>
      <c r="D3" s="342"/>
    </row>
    <row r="4" spans="1:8">
      <c r="B4" s="67" t="s">
        <v>140</v>
      </c>
      <c r="C4" s="41" t="s">
        <v>141</v>
      </c>
      <c r="D4" s="12"/>
    </row>
    <row r="5" spans="1:8">
      <c r="B5" s="10" t="s">
        <v>142</v>
      </c>
      <c r="C5" s="11" t="s">
        <v>143</v>
      </c>
      <c r="D5" s="12"/>
    </row>
    <row r="6" spans="1:8">
      <c r="B6" s="10" t="s">
        <v>144</v>
      </c>
      <c r="C6" s="11" t="s">
        <v>145</v>
      </c>
      <c r="D6" s="12"/>
    </row>
    <row r="7" spans="1:8">
      <c r="B7" s="10" t="s">
        <v>146</v>
      </c>
      <c r="C7" s="11" t="s">
        <v>147</v>
      </c>
      <c r="D7" s="12"/>
    </row>
    <row r="8" spans="1:8">
      <c r="B8" s="10" t="s">
        <v>148</v>
      </c>
      <c r="C8" s="11" t="s">
        <v>149</v>
      </c>
      <c r="D8" s="12"/>
    </row>
    <row r="9" spans="1:8">
      <c r="B9" s="67" t="s">
        <v>150</v>
      </c>
      <c r="C9" s="41" t="s">
        <v>151</v>
      </c>
      <c r="D9" s="12"/>
    </row>
    <row r="10" spans="1:8">
      <c r="B10" s="67" t="s">
        <v>152</v>
      </c>
      <c r="C10" s="41" t="s">
        <v>153</v>
      </c>
      <c r="D10" s="12"/>
    </row>
    <row r="12" spans="1:8">
      <c r="B12" s="340" t="s">
        <v>154</v>
      </c>
      <c r="C12" s="341"/>
      <c r="D12" s="342"/>
    </row>
    <row r="13" spans="1:8" ht="24.75" customHeight="1">
      <c r="B13" s="121" t="s">
        <v>155</v>
      </c>
      <c r="C13" s="343" t="s">
        <v>156</v>
      </c>
      <c r="D13" s="344"/>
    </row>
    <row r="14" spans="1:8" ht="25.5" customHeight="1">
      <c r="B14" s="121" t="s">
        <v>157</v>
      </c>
      <c r="C14" s="343" t="s">
        <v>158</v>
      </c>
      <c r="D14" s="344"/>
      <c r="E14" s="77"/>
      <c r="F14" s="77"/>
      <c r="G14" s="77"/>
      <c r="H14" s="77"/>
    </row>
    <row r="15" spans="1:8" ht="49.5" customHeight="1">
      <c r="B15" s="121" t="s">
        <v>159</v>
      </c>
      <c r="C15" s="343" t="s">
        <v>160</v>
      </c>
      <c r="D15" s="344"/>
      <c r="F15" s="39" t="s">
        <v>161</v>
      </c>
    </row>
    <row r="17" spans="2:6">
      <c r="B17" s="340" t="s">
        <v>162</v>
      </c>
      <c r="C17" s="341"/>
      <c r="D17" s="342"/>
    </row>
    <row r="18" spans="2:6">
      <c r="B18" s="2"/>
      <c r="D18" s="3"/>
      <c r="F18" s="39" t="s">
        <v>163</v>
      </c>
    </row>
    <row r="19" spans="2:6" s="78" customFormat="1" ht="38.25">
      <c r="B19" s="335" t="s">
        <v>164</v>
      </c>
      <c r="C19" s="122" t="s">
        <v>165</v>
      </c>
      <c r="D19" s="79"/>
      <c r="F19" s="81" t="s">
        <v>166</v>
      </c>
    </row>
    <row r="20" spans="2:6">
      <c r="B20" s="335"/>
      <c r="C20" s="123"/>
      <c r="D20" s="3"/>
      <c r="F20" s="39" t="s">
        <v>167</v>
      </c>
    </row>
    <row r="21" spans="2:6" ht="25.5">
      <c r="B21" s="335"/>
      <c r="C21" s="124" t="s">
        <v>168</v>
      </c>
      <c r="D21" s="3"/>
    </row>
    <row r="22" spans="2:6" ht="25.5">
      <c r="B22" s="335"/>
      <c r="C22" s="124" t="s">
        <v>169</v>
      </c>
      <c r="D22" s="3"/>
    </row>
    <row r="23" spans="2:6">
      <c r="B23" s="335"/>
      <c r="C23" s="124" t="s">
        <v>170</v>
      </c>
      <c r="D23" s="3"/>
    </row>
    <row r="24" spans="2:6">
      <c r="B24" s="2"/>
      <c r="C24" s="24"/>
      <c r="D24" s="3"/>
    </row>
    <row r="25" spans="2:6">
      <c r="B25" s="336" t="s">
        <v>171</v>
      </c>
      <c r="C25" s="125" t="s">
        <v>172</v>
      </c>
      <c r="D25" s="3"/>
    </row>
    <row r="26" spans="2:6" ht="25.5">
      <c r="B26" s="336"/>
      <c r="C26" s="126" t="s">
        <v>173</v>
      </c>
      <c r="D26" s="3"/>
    </row>
    <row r="27" spans="2:6">
      <c r="B27" s="336"/>
      <c r="C27" s="125" t="s">
        <v>174</v>
      </c>
      <c r="D27" s="3"/>
    </row>
    <row r="28" spans="2:6">
      <c r="B28" s="2"/>
      <c r="C28" s="24"/>
      <c r="D28" s="3"/>
    </row>
    <row r="29" spans="2:6">
      <c r="B29" s="4"/>
      <c r="C29" s="5"/>
      <c r="D29" s="6"/>
    </row>
    <row r="32" spans="2:6">
      <c r="B32" s="13" t="s">
        <v>175</v>
      </c>
    </row>
    <row r="33" spans="2:4">
      <c r="B33" s="7"/>
      <c r="C33" s="8"/>
      <c r="D33" s="9"/>
    </row>
    <row r="34" spans="2:4" ht="18">
      <c r="B34" s="32" t="s">
        <v>176</v>
      </c>
      <c r="D34" s="3"/>
    </row>
    <row r="35" spans="2:4" ht="25.5">
      <c r="B35" s="2"/>
      <c r="C35" s="27" t="s">
        <v>177</v>
      </c>
      <c r="D35" s="3"/>
    </row>
    <row r="36" spans="2:4">
      <c r="B36" s="4"/>
      <c r="C36" s="62"/>
      <c r="D36" s="6"/>
    </row>
    <row r="37" spans="2:4">
      <c r="B37" s="2"/>
      <c r="C37" s="27"/>
      <c r="D37" s="3"/>
    </row>
    <row r="38" spans="2:4" ht="18">
      <c r="B38" s="32" t="s">
        <v>178</v>
      </c>
      <c r="C38" s="27"/>
      <c r="D38" s="3"/>
    </row>
    <row r="39" spans="2:4" ht="18">
      <c r="B39" s="32"/>
      <c r="C39" s="27"/>
      <c r="D39" s="3"/>
    </row>
    <row r="40" spans="2:4" ht="18">
      <c r="B40" s="32"/>
      <c r="C40" s="27"/>
      <c r="D40" s="3"/>
    </row>
    <row r="41" spans="2:4" ht="18">
      <c r="B41" s="32"/>
      <c r="C41" s="27"/>
      <c r="D41" s="3"/>
    </row>
    <row r="42" spans="2:4" ht="18">
      <c r="B42" s="32"/>
      <c r="C42" s="27"/>
      <c r="D42" s="3"/>
    </row>
    <row r="43" spans="2:4">
      <c r="B43" s="2"/>
      <c r="C43" s="27"/>
      <c r="D43" s="3"/>
    </row>
    <row r="44" spans="2:4">
      <c r="B44" s="2"/>
      <c r="C44" s="27"/>
      <c r="D44" s="3"/>
    </row>
    <row r="45" spans="2:4">
      <c r="B45" s="2"/>
      <c r="C45" s="27"/>
      <c r="D45" s="3"/>
    </row>
    <row r="46" spans="2:4">
      <c r="B46" s="2"/>
      <c r="C46" s="27"/>
      <c r="D46" s="3"/>
    </row>
    <row r="47" spans="2:4">
      <c r="B47" s="2"/>
      <c r="C47" s="27"/>
      <c r="D47" s="3"/>
    </row>
    <row r="48" spans="2:4">
      <c r="B48" s="2"/>
      <c r="C48" s="27"/>
      <c r="D48" s="3"/>
    </row>
    <row r="49" spans="2:4">
      <c r="B49" s="2"/>
      <c r="C49" s="27"/>
      <c r="D49" s="3"/>
    </row>
    <row r="50" spans="2:4" ht="34.5">
      <c r="B50" s="158" t="s">
        <v>179</v>
      </c>
      <c r="C50" s="159" t="s">
        <v>180</v>
      </c>
      <c r="D50" s="3"/>
    </row>
    <row r="51" spans="2:4">
      <c r="B51" s="4"/>
      <c r="C51" s="38"/>
      <c r="D51" s="6"/>
    </row>
    <row r="52" spans="2:4">
      <c r="B52" s="2"/>
      <c r="C52" s="27"/>
      <c r="D52" s="3"/>
    </row>
    <row r="53" spans="2:4" ht="18">
      <c r="B53" s="32" t="s">
        <v>181</v>
      </c>
      <c r="C53" s="27"/>
      <c r="D53" s="3"/>
    </row>
    <row r="54" spans="2:4">
      <c r="B54" s="2"/>
      <c r="C54" s="63" t="s">
        <v>182</v>
      </c>
      <c r="D54" s="3"/>
    </row>
    <row r="55" spans="2:4">
      <c r="B55" s="2"/>
      <c r="C55" s="64" t="s">
        <v>16</v>
      </c>
      <c r="D55" s="3"/>
    </row>
    <row r="56" spans="2:4">
      <c r="B56" s="2"/>
      <c r="C56" s="65" t="s">
        <v>183</v>
      </c>
      <c r="D56" s="3"/>
    </row>
    <row r="57" spans="2:4">
      <c r="B57" s="2"/>
      <c r="C57" s="66" t="s">
        <v>184</v>
      </c>
      <c r="D57" s="3"/>
    </row>
    <row r="58" spans="2:4">
      <c r="B58" s="4"/>
      <c r="C58" s="38"/>
      <c r="D58" s="6"/>
    </row>
    <row r="59" spans="2:4">
      <c r="B59" s="2"/>
      <c r="C59" s="24"/>
      <c r="D59" s="3"/>
    </row>
    <row r="60" spans="2:4" ht="18">
      <c r="B60" s="32" t="s">
        <v>185</v>
      </c>
      <c r="C60" s="24"/>
      <c r="D60" s="3"/>
    </row>
    <row r="61" spans="2:4">
      <c r="B61" s="2"/>
      <c r="C61" s="24"/>
      <c r="D61" s="3"/>
    </row>
    <row r="62" spans="2:4">
      <c r="B62" s="2"/>
      <c r="C62" s="24"/>
      <c r="D62" s="3"/>
    </row>
    <row r="63" spans="2:4">
      <c r="B63" s="2"/>
      <c r="C63" s="24"/>
      <c r="D63" s="3"/>
    </row>
    <row r="64" spans="2:4">
      <c r="B64" s="2"/>
      <c r="C64" s="24"/>
      <c r="D64" s="3"/>
    </row>
    <row r="65" spans="2:4">
      <c r="B65" s="2"/>
      <c r="C65" s="24"/>
      <c r="D65" s="3"/>
    </row>
    <row r="66" spans="2:4">
      <c r="B66" s="2"/>
      <c r="C66" s="24"/>
      <c r="D66" s="3"/>
    </row>
    <row r="67" spans="2:4">
      <c r="B67" s="2"/>
      <c r="C67" s="24"/>
      <c r="D67" s="3"/>
    </row>
    <row r="68" spans="2:4">
      <c r="B68" s="2"/>
      <c r="C68" s="24"/>
      <c r="D68" s="3"/>
    </row>
    <row r="69" spans="2:4">
      <c r="B69" s="2"/>
      <c r="C69" s="24"/>
      <c r="D69" s="3"/>
    </row>
    <row r="70" spans="2:4">
      <c r="B70" s="2"/>
      <c r="C70" s="24"/>
      <c r="D70" s="3"/>
    </row>
    <row r="71" spans="2:4">
      <c r="B71" s="2"/>
      <c r="C71" s="24"/>
      <c r="D71" s="3"/>
    </row>
    <row r="72" spans="2:4">
      <c r="B72" s="2"/>
      <c r="C72" s="24"/>
      <c r="D72" s="3"/>
    </row>
    <row r="73" spans="2:4">
      <c r="B73" s="2"/>
      <c r="C73" s="24"/>
      <c r="D73" s="3"/>
    </row>
    <row r="74" spans="2:4">
      <c r="B74" s="2"/>
      <c r="C74" s="24"/>
      <c r="D74" s="3"/>
    </row>
    <row r="75" spans="2:4">
      <c r="B75" s="2"/>
      <c r="C75" s="24"/>
      <c r="D75" s="3"/>
    </row>
    <row r="76" spans="2:4">
      <c r="B76" s="2"/>
      <c r="C76" s="24"/>
      <c r="D76" s="3"/>
    </row>
    <row r="77" spans="2:4">
      <c r="B77" s="2"/>
      <c r="C77" s="24"/>
      <c r="D77" s="3"/>
    </row>
    <row r="78" spans="2:4">
      <c r="B78" s="2"/>
      <c r="C78" s="24"/>
      <c r="D78" s="3"/>
    </row>
    <row r="79" spans="2:4">
      <c r="B79" s="2"/>
      <c r="C79" s="24"/>
      <c r="D79" s="3"/>
    </row>
    <row r="80" spans="2:4">
      <c r="B80" s="2"/>
      <c r="C80" s="24"/>
      <c r="D80" s="3"/>
    </row>
    <row r="81" spans="2:4">
      <c r="B81" s="2"/>
      <c r="C81" s="24"/>
      <c r="D81" s="3"/>
    </row>
    <row r="82" spans="2:4">
      <c r="B82" s="2"/>
      <c r="C82" s="24"/>
      <c r="D82" s="3"/>
    </row>
    <row r="83" spans="2:4">
      <c r="B83" s="2"/>
      <c r="C83" s="24"/>
      <c r="D83" s="3"/>
    </row>
    <row r="84" spans="2:4">
      <c r="B84" s="2"/>
      <c r="C84" s="24"/>
      <c r="D84" s="3"/>
    </row>
    <row r="85" spans="2:4">
      <c r="B85" s="2"/>
      <c r="C85" s="24"/>
      <c r="D85" s="3"/>
    </row>
    <row r="86" spans="2:4">
      <c r="B86" s="2"/>
      <c r="C86" s="24"/>
      <c r="D86" s="3"/>
    </row>
    <row r="87" spans="2:4">
      <c r="B87" s="2"/>
      <c r="C87" s="24"/>
      <c r="D87" s="3"/>
    </row>
    <row r="88" spans="2:4">
      <c r="B88" s="2"/>
      <c r="C88" s="24"/>
      <c r="D88" s="3"/>
    </row>
    <row r="89" spans="2:4">
      <c r="B89" s="2"/>
      <c r="C89" s="24"/>
      <c r="D89" s="3"/>
    </row>
    <row r="90" spans="2:4">
      <c r="B90" s="2"/>
      <c r="C90" s="24"/>
      <c r="D90" s="3"/>
    </row>
    <row r="91" spans="2:4">
      <c r="B91" s="2"/>
      <c r="C91" s="24"/>
      <c r="D91" s="3"/>
    </row>
    <row r="92" spans="2:4">
      <c r="B92" s="2"/>
      <c r="C92" s="24"/>
      <c r="D92" s="3"/>
    </row>
    <row r="93" spans="2:4">
      <c r="B93" s="2"/>
      <c r="C93" s="24"/>
      <c r="D93" s="3"/>
    </row>
    <row r="94" spans="2:4">
      <c r="B94" s="2"/>
      <c r="C94" s="24"/>
      <c r="D94" s="3"/>
    </row>
    <row r="95" spans="2:4">
      <c r="B95" s="2"/>
      <c r="C95" s="24"/>
      <c r="D95" s="3"/>
    </row>
    <row r="96" spans="2:4">
      <c r="B96" s="2"/>
      <c r="C96" s="24"/>
      <c r="D96" s="3"/>
    </row>
    <row r="97" spans="2:4">
      <c r="B97" s="2"/>
      <c r="C97" s="24"/>
      <c r="D97" s="3"/>
    </row>
    <row r="98" spans="2:4">
      <c r="B98" s="2"/>
      <c r="C98" s="24"/>
      <c r="D98" s="3"/>
    </row>
    <row r="99" spans="2:4">
      <c r="B99" s="2"/>
      <c r="C99" s="24"/>
      <c r="D99" s="3"/>
    </row>
    <row r="100" spans="2:4">
      <c r="B100" s="2"/>
      <c r="C100" s="24"/>
      <c r="D100" s="3"/>
    </row>
    <row r="101" spans="2:4">
      <c r="B101" s="2"/>
      <c r="C101" s="24"/>
      <c r="D101" s="3"/>
    </row>
    <row r="102" spans="2:4">
      <c r="B102" s="2"/>
      <c r="C102" s="24"/>
      <c r="D102" s="3"/>
    </row>
    <row r="103" spans="2:4">
      <c r="B103" s="2"/>
      <c r="C103" s="24"/>
      <c r="D103" s="3"/>
    </row>
    <row r="104" spans="2:4">
      <c r="B104" s="2"/>
      <c r="C104" s="24"/>
      <c r="D104" s="3"/>
    </row>
    <row r="105" spans="2:4">
      <c r="B105" s="2"/>
      <c r="C105" s="24"/>
      <c r="D105" s="3"/>
    </row>
    <row r="106" spans="2:4">
      <c r="B106" s="2"/>
      <c r="C106" s="24"/>
      <c r="D106" s="3"/>
    </row>
    <row r="107" spans="2:4">
      <c r="B107" s="2"/>
      <c r="C107" s="24"/>
      <c r="D107" s="3"/>
    </row>
    <row r="108" spans="2:4">
      <c r="B108" s="4"/>
      <c r="C108" s="38"/>
      <c r="D108" s="6"/>
    </row>
    <row r="111" spans="2:4" ht="25.5">
      <c r="B111" s="13" t="s">
        <v>186</v>
      </c>
    </row>
    <row r="112" spans="2:4">
      <c r="B112" s="7"/>
      <c r="C112" s="8"/>
      <c r="D112" s="9"/>
    </row>
    <row r="113" spans="2:4">
      <c r="B113" s="2"/>
      <c r="D113" s="3"/>
    </row>
    <row r="114" spans="2:4">
      <c r="B114" s="2"/>
      <c r="D114" s="3"/>
    </row>
    <row r="115" spans="2:4">
      <c r="B115" s="2"/>
      <c r="C115" s="39" t="s">
        <v>187</v>
      </c>
      <c r="D115" s="3"/>
    </row>
    <row r="116" spans="2:4">
      <c r="B116" s="2"/>
      <c r="D116" s="3"/>
    </row>
    <row r="117" spans="2:4" ht="12.75" customHeight="1">
      <c r="B117" s="2"/>
      <c r="C117" s="39" t="s">
        <v>188</v>
      </c>
      <c r="D117" s="3"/>
    </row>
    <row r="118" spans="2:4" ht="12.75" customHeight="1">
      <c r="B118" s="2"/>
      <c r="D118" s="3"/>
    </row>
    <row r="119" spans="2:4" ht="12.75" customHeight="1">
      <c r="B119" s="2"/>
      <c r="D119" s="3"/>
    </row>
    <row r="120" spans="2:4">
      <c r="B120" s="4"/>
      <c r="C120" s="5"/>
      <c r="D120" s="6"/>
    </row>
    <row r="122" spans="2:4">
      <c r="B122" s="13" t="s">
        <v>189</v>
      </c>
    </row>
    <row r="123" spans="2:4" ht="38.25">
      <c r="B123" s="7"/>
      <c r="C123" s="80" t="s">
        <v>190</v>
      </c>
      <c r="D123" s="9"/>
    </row>
    <row r="124" spans="2:4">
      <c r="B124" s="127" t="s">
        <v>191</v>
      </c>
      <c r="C124" s="1" t="s">
        <v>192</v>
      </c>
      <c r="D124" s="3"/>
    </row>
    <row r="125" spans="2:4">
      <c r="B125" s="127" t="s">
        <v>191</v>
      </c>
      <c r="C125" s="27" t="s">
        <v>193</v>
      </c>
      <c r="D125" s="3"/>
    </row>
    <row r="126" spans="2:4">
      <c r="B126" s="127" t="s">
        <v>191</v>
      </c>
      <c r="C126" s="24" t="s">
        <v>194</v>
      </c>
      <c r="D126" s="3"/>
    </row>
    <row r="127" spans="2:4">
      <c r="B127" s="127" t="s">
        <v>191</v>
      </c>
      <c r="C127" s="24" t="s">
        <v>195</v>
      </c>
      <c r="D127" s="3"/>
    </row>
    <row r="128" spans="2:4">
      <c r="B128" s="127" t="s">
        <v>191</v>
      </c>
      <c r="C128" s="24" t="s">
        <v>196</v>
      </c>
      <c r="D128" s="3"/>
    </row>
    <row r="129" spans="2:4">
      <c r="B129" s="127" t="s">
        <v>191</v>
      </c>
      <c r="C129" s="24" t="s">
        <v>197</v>
      </c>
      <c r="D129" s="3"/>
    </row>
    <row r="130" spans="2:4">
      <c r="B130" s="127" t="s">
        <v>191</v>
      </c>
      <c r="C130" s="24" t="s">
        <v>198</v>
      </c>
      <c r="D130" s="3"/>
    </row>
    <row r="131" spans="2:4">
      <c r="B131" s="127" t="s">
        <v>191</v>
      </c>
      <c r="C131" s="27" t="s">
        <v>199</v>
      </c>
      <c r="D131" s="3"/>
    </row>
    <row r="132" spans="2:4">
      <c r="B132" s="127" t="s">
        <v>191</v>
      </c>
      <c r="C132" s="27" t="s">
        <v>200</v>
      </c>
      <c r="D132" s="3"/>
    </row>
    <row r="133" spans="2:4">
      <c r="B133" s="127" t="s">
        <v>191</v>
      </c>
      <c r="C133" s="1" t="s">
        <v>201</v>
      </c>
      <c r="D133" s="3"/>
    </row>
    <row r="134" spans="2:4">
      <c r="B134" s="127" t="s">
        <v>191</v>
      </c>
      <c r="C134" s="24" t="s">
        <v>202</v>
      </c>
      <c r="D134" s="3"/>
    </row>
    <row r="135" spans="2:4">
      <c r="B135" s="127" t="s">
        <v>191</v>
      </c>
      <c r="C135" s="24" t="s">
        <v>203</v>
      </c>
      <c r="D135" s="3"/>
    </row>
    <row r="136" spans="2:4">
      <c r="B136" s="127" t="s">
        <v>191</v>
      </c>
      <c r="C136" s="27" t="s">
        <v>204</v>
      </c>
      <c r="D136" s="3"/>
    </row>
    <row r="137" spans="2:4">
      <c r="B137" s="127" t="s">
        <v>191</v>
      </c>
      <c r="C137" s="27" t="s">
        <v>205</v>
      </c>
      <c r="D137" s="3"/>
    </row>
    <row r="138" spans="2:4">
      <c r="B138" s="127" t="s">
        <v>191</v>
      </c>
      <c r="C138" s="27" t="s">
        <v>206</v>
      </c>
      <c r="D138" s="3"/>
    </row>
    <row r="139" spans="2:4">
      <c r="B139" s="127" t="s">
        <v>191</v>
      </c>
      <c r="C139" s="27" t="s">
        <v>207</v>
      </c>
      <c r="D139" s="3"/>
    </row>
    <row r="140" spans="2:4">
      <c r="B140" s="128" t="s">
        <v>191</v>
      </c>
      <c r="C140" s="5" t="s">
        <v>208</v>
      </c>
      <c r="D140" s="6"/>
    </row>
  </sheetData>
  <mergeCells count="9">
    <mergeCell ref="B19:B23"/>
    <mergeCell ref="B25:B27"/>
    <mergeCell ref="A1:D1"/>
    <mergeCell ref="B17:D17"/>
    <mergeCell ref="B3:D3"/>
    <mergeCell ref="B12:D12"/>
    <mergeCell ref="C14:D14"/>
    <mergeCell ref="C15:D15"/>
    <mergeCell ref="C13:D13"/>
  </mergeCells>
  <phoneticPr fontId="37" type="noConversion"/>
  <pageMargins left="0.75" right="0.75" top="1" bottom="1" header="0.4921259845" footer="0.492125984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4659" r:id="rId4" name="Button 83">
              <controlPr defaultSize="0" print="0" autoFill="0" autoPict="0" macro="[0]!Feuil3.ComputeSynthesis_Click">
                <anchor moveWithCells="1" sizeWithCells="1">
                  <from>
                    <xdr:col>2</xdr:col>
                    <xdr:colOff>4638675</xdr:colOff>
                    <xdr:row>115</xdr:row>
                    <xdr:rowOff>104775</xdr:rowOff>
                  </from>
                  <to>
                    <xdr:col>2</xdr:col>
                    <xdr:colOff>6524625</xdr:colOff>
                    <xdr:row>117</xdr:row>
                    <xdr:rowOff>47625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tabColor indexed="41"/>
    <outlinePr summaryBelow="0" summaryRight="0"/>
    <pageSetUpPr fitToPage="1"/>
  </sheetPr>
  <dimension ref="A4:AZ48"/>
  <sheetViews>
    <sheetView zoomScale="85" workbookViewId="0">
      <pane ySplit="3" topLeftCell="A4" activePane="bottomLeft" state="frozen"/>
      <selection pane="bottomLeft" activeCell="H24" sqref="H24:H27"/>
    </sheetView>
  </sheetViews>
  <sheetFormatPr defaultColWidth="9.140625" defaultRowHeight="12.75" outlineLevelCol="1"/>
  <cols>
    <col min="1" max="1" width="9.140625" style="14" collapsed="1"/>
    <col min="2" max="2" width="9.140625" style="14" hidden="1" customWidth="1" outlineLevel="1"/>
    <col min="3" max="3" width="24" style="14" bestFit="1" customWidth="1"/>
    <col min="4" max="4" width="14.85546875" style="14" customWidth="1"/>
    <col min="5" max="5" width="10.140625" style="14" customWidth="1"/>
    <col min="6" max="6" width="11.42578125" style="14" customWidth="1"/>
    <col min="7" max="7" width="9.140625" style="14" customWidth="1"/>
    <col min="8" max="8" width="10.5703125" style="14" customWidth="1"/>
    <col min="9" max="9" width="12.85546875" style="14" customWidth="1"/>
    <col min="10" max="10" width="13.5703125" style="14" customWidth="1"/>
    <col min="11" max="11" width="9.140625" style="14" customWidth="1"/>
    <col min="12" max="12" width="12.140625" style="14" customWidth="1"/>
    <col min="13" max="13" width="12.28515625" style="14" customWidth="1"/>
    <col min="14" max="14" width="10.5703125" style="14" customWidth="1"/>
    <col min="15" max="15" width="9.28515625" style="14" customWidth="1"/>
    <col min="16" max="16" width="10.140625" style="14" customWidth="1"/>
    <col min="17" max="18" width="10" style="14" bestFit="1" customWidth="1"/>
    <col min="19" max="19" width="11.140625" style="14" customWidth="1"/>
    <col min="20" max="16384" width="9.140625" style="14"/>
  </cols>
  <sheetData>
    <row r="4" spans="3:17">
      <c r="C4" s="34"/>
      <c r="D4" s="34"/>
      <c r="E4" s="34"/>
      <c r="F4" s="34"/>
      <c r="G4" s="34"/>
      <c r="H4" s="34"/>
      <c r="I4" s="34"/>
      <c r="J4" s="34"/>
      <c r="K4" s="34"/>
      <c r="L4" s="34"/>
      <c r="M4" s="34"/>
      <c r="N4" s="34"/>
      <c r="O4" s="34"/>
      <c r="P4" s="34"/>
      <c r="Q4" s="34"/>
    </row>
    <row r="5" spans="3:17">
      <c r="C5" s="34"/>
      <c r="D5" s="34"/>
      <c r="E5" s="34"/>
      <c r="F5" s="34"/>
      <c r="G5" s="34"/>
      <c r="H5" s="33"/>
      <c r="I5" s="34"/>
      <c r="J5" s="34"/>
      <c r="K5" s="34"/>
      <c r="L5" s="34"/>
      <c r="M5" s="34"/>
      <c r="N5" s="34"/>
      <c r="O5" s="34"/>
      <c r="P5" s="34"/>
      <c r="Q5" s="34"/>
    </row>
    <row r="6" spans="3:17">
      <c r="C6" s="34"/>
      <c r="D6" s="34"/>
      <c r="E6" s="34"/>
      <c r="F6" s="34"/>
      <c r="G6" s="34"/>
      <c r="H6" s="33"/>
      <c r="I6" s="34"/>
      <c r="J6" s="34"/>
      <c r="K6" s="34"/>
      <c r="L6" s="34"/>
      <c r="M6" s="34"/>
      <c r="N6" s="34"/>
      <c r="O6" s="34"/>
      <c r="P6" s="34"/>
      <c r="Q6" s="34"/>
    </row>
    <row r="7" spans="3:17">
      <c r="C7" s="34"/>
      <c r="D7" s="34"/>
      <c r="E7" s="34"/>
      <c r="F7" s="34"/>
      <c r="G7" s="34"/>
      <c r="H7" s="33"/>
      <c r="I7" s="34"/>
      <c r="J7" s="34"/>
      <c r="K7" s="34"/>
      <c r="L7" s="34"/>
      <c r="M7" s="34"/>
      <c r="N7" s="34"/>
      <c r="O7" s="34"/>
      <c r="P7" s="34"/>
      <c r="Q7" s="34"/>
    </row>
    <row r="8" spans="3:17">
      <c r="C8" s="34"/>
      <c r="D8" s="34"/>
      <c r="E8" s="34"/>
      <c r="F8" s="34"/>
      <c r="G8" s="34"/>
      <c r="H8" s="33"/>
      <c r="I8" s="34"/>
      <c r="J8" s="34"/>
      <c r="K8" s="34"/>
      <c r="L8" s="34"/>
      <c r="M8" s="34"/>
      <c r="N8" s="34"/>
      <c r="O8" s="34"/>
      <c r="P8" s="34"/>
      <c r="Q8" s="34"/>
    </row>
    <row r="9" spans="3:17">
      <c r="C9" s="34"/>
      <c r="D9" s="34"/>
      <c r="E9" s="34"/>
      <c r="F9" s="34"/>
      <c r="G9" s="34"/>
      <c r="H9" s="33"/>
      <c r="I9" s="34"/>
      <c r="J9" s="34"/>
      <c r="K9" s="34"/>
      <c r="L9" s="34"/>
      <c r="M9" s="34"/>
      <c r="N9" s="34"/>
      <c r="O9" s="34"/>
      <c r="P9" s="34"/>
      <c r="Q9" s="34"/>
    </row>
    <row r="10" spans="3:17">
      <c r="C10" s="34"/>
      <c r="D10" s="34"/>
      <c r="E10" s="34"/>
      <c r="F10" s="34"/>
      <c r="G10" s="34"/>
      <c r="H10" s="33"/>
      <c r="I10" s="34"/>
      <c r="J10" s="34"/>
      <c r="K10" s="34"/>
      <c r="L10" s="34"/>
      <c r="M10" s="34"/>
      <c r="N10" s="34"/>
      <c r="O10" s="34"/>
      <c r="P10" s="34"/>
      <c r="Q10" s="34"/>
    </row>
    <row r="11" spans="3:17">
      <c r="C11" s="34"/>
      <c r="D11" s="34"/>
      <c r="E11" s="34"/>
      <c r="F11" s="34"/>
      <c r="G11" s="34"/>
      <c r="H11" s="33"/>
      <c r="I11" s="34"/>
      <c r="J11" s="34"/>
      <c r="K11" s="34"/>
      <c r="L11" s="34"/>
      <c r="M11" s="34"/>
      <c r="N11" s="34"/>
      <c r="O11" s="34"/>
      <c r="P11" s="34"/>
      <c r="Q11" s="34"/>
    </row>
    <row r="12" spans="3:17">
      <c r="C12" s="34"/>
      <c r="D12" s="34"/>
      <c r="E12" s="34"/>
      <c r="F12" s="34"/>
      <c r="G12" s="34"/>
      <c r="H12" s="33"/>
      <c r="I12" s="34"/>
      <c r="J12" s="34"/>
      <c r="K12" s="34"/>
      <c r="L12" s="34"/>
      <c r="M12" s="34"/>
      <c r="N12" s="34"/>
      <c r="O12" s="34"/>
      <c r="P12" s="34"/>
      <c r="Q12" s="34"/>
    </row>
    <row r="13" spans="3:17">
      <c r="C13" s="34"/>
      <c r="D13" s="34"/>
      <c r="E13" s="34"/>
      <c r="F13" s="34"/>
      <c r="G13" s="34"/>
      <c r="H13" s="33"/>
      <c r="I13" s="34"/>
      <c r="J13" s="34"/>
      <c r="K13" s="34"/>
      <c r="L13" s="34"/>
      <c r="M13" s="34"/>
      <c r="N13" s="34"/>
      <c r="O13" s="34"/>
      <c r="P13" s="34"/>
      <c r="Q13" s="34"/>
    </row>
    <row r="14" spans="3:17">
      <c r="C14" s="34"/>
      <c r="D14" s="34"/>
      <c r="E14" s="34"/>
      <c r="F14" s="34"/>
      <c r="G14" s="34"/>
      <c r="H14" s="33"/>
      <c r="I14" s="34"/>
      <c r="J14" s="34"/>
      <c r="K14" s="34"/>
      <c r="L14" s="34"/>
      <c r="M14" s="34"/>
      <c r="N14" s="34"/>
      <c r="O14" s="34"/>
      <c r="P14" s="34"/>
      <c r="Q14" s="34"/>
    </row>
    <row r="15" spans="3:17">
      <c r="C15" s="34"/>
      <c r="D15" s="34"/>
      <c r="E15" s="34"/>
      <c r="F15" s="34"/>
      <c r="G15" s="34"/>
      <c r="H15" s="33"/>
      <c r="I15" s="34"/>
      <c r="J15" s="34"/>
      <c r="K15" s="34"/>
      <c r="L15" s="34"/>
      <c r="M15" s="34"/>
      <c r="N15" s="34"/>
      <c r="O15" s="34"/>
      <c r="P15" s="34"/>
      <c r="Q15" s="34"/>
    </row>
    <row r="16" spans="3:17">
      <c r="C16" s="34"/>
      <c r="D16" s="34"/>
      <c r="E16" s="34"/>
      <c r="F16" s="34"/>
      <c r="G16" s="34"/>
      <c r="H16" s="33"/>
      <c r="I16" s="34"/>
      <c r="J16" s="34"/>
      <c r="K16" s="34"/>
      <c r="L16" s="34"/>
      <c r="M16" s="34"/>
      <c r="N16" s="34"/>
      <c r="O16" s="34"/>
      <c r="P16" s="34"/>
      <c r="Q16" s="34"/>
    </row>
    <row r="17" spans="2:52">
      <c r="C17" s="34"/>
      <c r="H17" s="33"/>
    </row>
    <row r="18" spans="2:52">
      <c r="C18" s="34"/>
      <c r="H18" s="33"/>
    </row>
    <row r="19" spans="2:52">
      <c r="C19" s="34"/>
      <c r="H19" s="33"/>
    </row>
    <row r="20" spans="2:52">
      <c r="C20" s="34"/>
      <c r="H20" s="33"/>
    </row>
    <row r="21" spans="2:52">
      <c r="C21" s="34"/>
      <c r="H21" s="33"/>
    </row>
    <row r="22" spans="2:52">
      <c r="C22" s="34"/>
      <c r="H22" s="33"/>
    </row>
    <row r="23" spans="2:52">
      <c r="H23" s="33"/>
    </row>
    <row r="24" spans="2:52" s="70" customFormat="1" ht="76.5">
      <c r="B24" s="71" t="s">
        <v>209</v>
      </c>
      <c r="C24" s="162" t="s">
        <v>210</v>
      </c>
      <c r="D24" s="163" t="s">
        <v>211</v>
      </c>
      <c r="E24" s="71" t="s">
        <v>132</v>
      </c>
      <c r="F24" s="71" t="s">
        <v>133</v>
      </c>
      <c r="G24" s="71" t="s">
        <v>135</v>
      </c>
      <c r="H24" s="71" t="s">
        <v>134</v>
      </c>
      <c r="I24" s="14"/>
      <c r="J24" s="14"/>
      <c r="K24" s="14"/>
      <c r="L24" s="14"/>
      <c r="M24" s="14"/>
      <c r="N24" s="14"/>
      <c r="O24" s="14"/>
      <c r="P24" s="14"/>
      <c r="Q24" s="14"/>
      <c r="R24" s="14"/>
      <c r="S24" s="14"/>
      <c r="T24" s="14"/>
      <c r="U24" s="14"/>
      <c r="V24" s="14"/>
      <c r="W24" s="14"/>
      <c r="X24" s="14"/>
      <c r="Y24" s="14"/>
      <c r="Z24" s="14"/>
      <c r="AA24" s="14"/>
      <c r="AB24" s="14"/>
      <c r="AC24" s="14"/>
      <c r="AD24" s="14"/>
      <c r="AE24" s="14"/>
      <c r="AF24" s="14"/>
      <c r="AG24" s="14"/>
      <c r="AH24" s="14"/>
      <c r="AI24" s="14"/>
      <c r="AJ24" s="14"/>
      <c r="AK24" s="14"/>
      <c r="AL24" s="14"/>
      <c r="AM24" s="14"/>
      <c r="AN24" s="14"/>
      <c r="AO24" s="14"/>
      <c r="AP24" s="14"/>
      <c r="AQ24" s="14"/>
      <c r="AR24" s="14"/>
      <c r="AS24" s="14"/>
      <c r="AT24" s="14"/>
      <c r="AU24" s="14"/>
      <c r="AV24" s="14"/>
      <c r="AW24" s="14"/>
      <c r="AX24" s="14"/>
      <c r="AY24" s="14"/>
      <c r="AZ24" s="14"/>
    </row>
    <row r="25" spans="2:52" ht="15">
      <c r="B25" s="73"/>
      <c r="C25" s="35" t="s">
        <v>212</v>
      </c>
      <c r="D25" s="165">
        <f>SUM(E25:AA25)</f>
        <v>55</v>
      </c>
      <c r="E25" s="73">
        <v>0</v>
      </c>
      <c r="F25" s="73">
        <v>19</v>
      </c>
      <c r="G25" s="73">
        <v>19</v>
      </c>
      <c r="H25" s="73">
        <v>17</v>
      </c>
    </row>
    <row r="26" spans="2:52" ht="15">
      <c r="B26" s="74"/>
      <c r="C26" s="36" t="s">
        <v>213</v>
      </c>
      <c r="D26" s="165">
        <f>SUM(E26:AA26)</f>
        <v>6</v>
      </c>
      <c r="E26" s="74">
        <v>0</v>
      </c>
      <c r="F26" s="74">
        <v>4</v>
      </c>
      <c r="G26" s="74">
        <v>1</v>
      </c>
      <c r="H26" s="74">
        <v>1</v>
      </c>
    </row>
    <row r="27" spans="2:52" ht="15">
      <c r="B27" s="72">
        <f>B25+B26</f>
        <v>0</v>
      </c>
      <c r="C27" s="40" t="s">
        <v>214</v>
      </c>
      <c r="D27" s="72">
        <f t="shared" ref="D27" si="0">D25+D26</f>
        <v>61</v>
      </c>
      <c r="E27" s="72">
        <f>E25+E26</f>
        <v>0</v>
      </c>
      <c r="F27" s="72">
        <f>F25+F26</f>
        <v>23</v>
      </c>
      <c r="G27" s="72">
        <f>G25+G26</f>
        <v>20</v>
      </c>
      <c r="H27" s="72">
        <f>H25+H26</f>
        <v>18</v>
      </c>
    </row>
    <row r="28" spans="2:52">
      <c r="D28" s="15"/>
      <c r="H28" s="33"/>
    </row>
    <row r="29" spans="2:52">
      <c r="D29" s="15"/>
      <c r="H29" s="33"/>
    </row>
    <row r="30" spans="2:52">
      <c r="D30" s="15"/>
      <c r="H30" s="33"/>
    </row>
    <row r="31" spans="2:52" s="70" customFormat="1" ht="60" customHeight="1">
      <c r="B31" s="71" t="s">
        <v>215</v>
      </c>
      <c r="C31" s="162" t="s">
        <v>216</v>
      </c>
      <c r="D31" s="163" t="s">
        <v>211</v>
      </c>
      <c r="E31" s="71" t="s">
        <v>2</v>
      </c>
      <c r="F31" s="14"/>
      <c r="G31" s="14"/>
      <c r="H31" s="14"/>
      <c r="I31" s="14"/>
      <c r="J31" s="14"/>
      <c r="K31" s="14"/>
      <c r="L31" s="14"/>
      <c r="M31" s="14"/>
      <c r="N31" s="14"/>
      <c r="O31" s="14"/>
      <c r="P31" s="14"/>
      <c r="Q31" s="14"/>
      <c r="R31" s="14"/>
      <c r="S31" s="14"/>
      <c r="T31" s="14"/>
      <c r="U31" s="14"/>
      <c r="V31" s="14"/>
      <c r="W31" s="14"/>
      <c r="X31" s="14"/>
      <c r="Y31" s="14"/>
      <c r="Z31" s="14"/>
      <c r="AA31" s="14"/>
      <c r="AB31" s="14"/>
      <c r="AC31" s="14"/>
      <c r="AD31" s="14"/>
      <c r="AE31" s="14"/>
      <c r="AF31" s="14"/>
      <c r="AG31" s="14"/>
      <c r="AH31" s="14"/>
      <c r="AI31" s="14"/>
      <c r="AJ31" s="14"/>
      <c r="AK31" s="14"/>
      <c r="AL31" s="14"/>
      <c r="AM31" s="14"/>
      <c r="AN31" s="14"/>
      <c r="AO31" s="14"/>
      <c r="AP31" s="14"/>
      <c r="AQ31" s="14"/>
      <c r="AR31" s="14"/>
      <c r="AS31" s="14"/>
      <c r="AT31" s="14"/>
      <c r="AU31" s="14"/>
      <c r="AV31" s="14"/>
      <c r="AW31" s="14"/>
      <c r="AX31" s="14"/>
      <c r="AY31" s="14"/>
      <c r="AZ31" s="14"/>
    </row>
    <row r="32" spans="2:52" s="33" customFormat="1" ht="15">
      <c r="B32" s="73"/>
      <c r="C32" s="36" t="s">
        <v>217</v>
      </c>
      <c r="D32" s="165">
        <f>SUM(E32:AA32)</f>
        <v>18</v>
      </c>
      <c r="E32" s="73">
        <v>18</v>
      </c>
      <c r="F32" s="14"/>
      <c r="G32" s="14"/>
      <c r="H32" s="14"/>
      <c r="I32" s="14"/>
      <c r="J32" s="14"/>
      <c r="K32" s="14"/>
      <c r="L32" s="14"/>
      <c r="M32" s="14"/>
      <c r="N32" s="14"/>
      <c r="O32" s="14"/>
      <c r="P32" s="14"/>
      <c r="Q32" s="14"/>
      <c r="R32" s="14"/>
      <c r="S32" s="14"/>
      <c r="T32" s="14"/>
      <c r="U32" s="14"/>
      <c r="V32" s="14"/>
      <c r="W32" s="14"/>
      <c r="X32" s="14"/>
      <c r="Y32" s="14"/>
      <c r="Z32" s="14"/>
      <c r="AA32" s="14"/>
      <c r="AB32" s="14"/>
      <c r="AC32" s="14"/>
      <c r="AD32" s="14"/>
      <c r="AE32" s="14"/>
      <c r="AF32" s="14"/>
      <c r="AG32" s="14"/>
      <c r="AH32" s="14"/>
      <c r="AI32" s="14"/>
      <c r="AJ32" s="14"/>
      <c r="AK32" s="14"/>
      <c r="AL32" s="14"/>
      <c r="AM32" s="14"/>
      <c r="AN32" s="14"/>
      <c r="AO32" s="14"/>
      <c r="AP32" s="14"/>
      <c r="AQ32" s="14"/>
      <c r="AR32" s="14"/>
      <c r="AS32" s="14"/>
      <c r="AT32" s="14"/>
      <c r="AU32" s="14"/>
      <c r="AV32" s="14"/>
      <c r="AW32" s="14"/>
      <c r="AX32" s="14"/>
      <c r="AY32" s="14"/>
      <c r="AZ32" s="14"/>
    </row>
    <row r="33" spans="2:52" s="33" customFormat="1" ht="15">
      <c r="B33" s="74"/>
      <c r="C33" s="36" t="s">
        <v>218</v>
      </c>
      <c r="D33" s="165">
        <f>SUM(E33:AA33)</f>
        <v>0</v>
      </c>
      <c r="E33" s="74">
        <v>0</v>
      </c>
      <c r="F33" s="14"/>
      <c r="G33" s="14"/>
      <c r="H33" s="14"/>
      <c r="I33" s="14"/>
      <c r="J33" s="14"/>
      <c r="K33" s="14"/>
      <c r="L33" s="14"/>
      <c r="M33" s="14"/>
      <c r="N33" s="14"/>
      <c r="O33" s="14"/>
      <c r="P33" s="14"/>
      <c r="Q33" s="14"/>
      <c r="R33" s="14"/>
      <c r="S33" s="14"/>
      <c r="T33" s="14"/>
      <c r="U33" s="14"/>
      <c r="V33" s="14"/>
      <c r="W33" s="14"/>
      <c r="X33" s="14"/>
      <c r="Y33" s="14"/>
      <c r="Z33" s="14"/>
      <c r="AA33" s="14"/>
      <c r="AB33" s="14"/>
      <c r="AC33" s="14"/>
      <c r="AD33" s="14"/>
      <c r="AE33" s="14"/>
      <c r="AF33" s="14"/>
      <c r="AG33" s="14"/>
      <c r="AH33" s="14"/>
      <c r="AI33" s="14"/>
      <c r="AJ33" s="14"/>
      <c r="AK33" s="14"/>
      <c r="AL33" s="14"/>
      <c r="AM33" s="14"/>
      <c r="AN33" s="14"/>
      <c r="AO33" s="14"/>
      <c r="AP33" s="14"/>
      <c r="AQ33" s="14"/>
      <c r="AR33" s="14"/>
      <c r="AS33" s="14"/>
      <c r="AT33" s="14"/>
      <c r="AU33" s="14"/>
      <c r="AV33" s="14"/>
      <c r="AW33" s="14"/>
      <c r="AX33" s="14"/>
      <c r="AY33" s="14"/>
      <c r="AZ33" s="14"/>
    </row>
    <row r="34" spans="2:52" s="33" customFormat="1" ht="15">
      <c r="B34" s="74"/>
      <c r="C34" s="36" t="s">
        <v>219</v>
      </c>
      <c r="D34" s="165">
        <f>SUM(E34:AA34)</f>
        <v>128</v>
      </c>
      <c r="E34" s="74">
        <v>128</v>
      </c>
      <c r="F34" s="14"/>
      <c r="G34" s="14"/>
      <c r="H34" s="14"/>
      <c r="I34" s="14"/>
      <c r="J34" s="14"/>
      <c r="K34" s="14"/>
      <c r="L34" s="14"/>
      <c r="M34" s="14"/>
      <c r="N34" s="14"/>
      <c r="O34" s="14"/>
      <c r="P34" s="14"/>
      <c r="Q34" s="14"/>
      <c r="R34" s="14"/>
      <c r="S34" s="14"/>
      <c r="T34" s="14"/>
      <c r="U34" s="14"/>
      <c r="V34" s="14"/>
      <c r="W34" s="14"/>
      <c r="X34" s="14"/>
      <c r="Y34" s="14"/>
      <c r="Z34" s="14"/>
      <c r="AA34" s="14"/>
      <c r="AB34" s="14"/>
      <c r="AC34" s="14"/>
      <c r="AD34" s="14"/>
      <c r="AE34" s="14"/>
      <c r="AF34" s="14"/>
      <c r="AG34" s="14"/>
      <c r="AH34" s="14"/>
      <c r="AI34" s="14"/>
      <c r="AJ34" s="14"/>
      <c r="AK34" s="14"/>
      <c r="AL34" s="14"/>
      <c r="AM34" s="14"/>
      <c r="AN34" s="14"/>
      <c r="AO34" s="14"/>
      <c r="AP34" s="14"/>
      <c r="AQ34" s="14"/>
      <c r="AR34" s="14"/>
      <c r="AS34" s="14"/>
      <c r="AT34" s="14"/>
      <c r="AU34" s="14"/>
      <c r="AV34" s="14"/>
      <c r="AW34" s="14"/>
      <c r="AX34" s="14"/>
      <c r="AY34" s="14"/>
      <c r="AZ34" s="14"/>
    </row>
    <row r="35" spans="2:52" s="33" customFormat="1" ht="15">
      <c r="B35" s="74"/>
      <c r="C35" s="36" t="s">
        <v>220</v>
      </c>
      <c r="D35" s="165">
        <f>SUM(E35:AA35)</f>
        <v>2</v>
      </c>
      <c r="E35" s="74">
        <v>2</v>
      </c>
      <c r="F35" s="14"/>
      <c r="G35" s="14"/>
      <c r="H35" s="14"/>
      <c r="I35" s="14"/>
      <c r="J35" s="14"/>
      <c r="K35" s="14"/>
      <c r="L35" s="14"/>
      <c r="M35" s="14"/>
      <c r="N35" s="14"/>
      <c r="O35" s="14"/>
      <c r="P35" s="14"/>
      <c r="Q35" s="14"/>
      <c r="R35" s="14"/>
      <c r="S35" s="14"/>
      <c r="T35" s="14"/>
      <c r="U35" s="14"/>
      <c r="V35" s="14"/>
      <c r="W35" s="14"/>
      <c r="X35" s="14"/>
      <c r="Y35" s="14"/>
      <c r="Z35" s="14"/>
      <c r="AA35" s="14"/>
      <c r="AB35" s="14"/>
      <c r="AC35" s="14"/>
      <c r="AD35" s="14"/>
      <c r="AE35" s="14"/>
      <c r="AF35" s="14"/>
      <c r="AG35" s="14"/>
      <c r="AH35" s="14"/>
      <c r="AI35" s="14"/>
      <c r="AJ35" s="14"/>
      <c r="AK35" s="14"/>
      <c r="AL35" s="14"/>
      <c r="AM35" s="14"/>
      <c r="AN35" s="14"/>
      <c r="AO35" s="14"/>
      <c r="AP35" s="14"/>
      <c r="AQ35" s="14"/>
      <c r="AR35" s="14"/>
      <c r="AS35" s="14"/>
      <c r="AT35" s="14"/>
      <c r="AU35" s="14"/>
      <c r="AV35" s="14"/>
      <c r="AW35" s="14"/>
      <c r="AX35" s="14"/>
      <c r="AY35" s="14"/>
      <c r="AZ35" s="14"/>
    </row>
    <row r="36" spans="2:52" s="33" customFormat="1" ht="15">
      <c r="B36" s="74"/>
      <c r="C36" s="36" t="s">
        <v>221</v>
      </c>
      <c r="D36" s="165">
        <f>SUM(E36:AA36)</f>
        <v>98</v>
      </c>
      <c r="E36" s="74">
        <v>98</v>
      </c>
      <c r="F36" s="14"/>
      <c r="G36" s="14"/>
      <c r="H36" s="14"/>
      <c r="I36" s="14"/>
      <c r="J36" s="14"/>
      <c r="K36" s="14"/>
      <c r="L36" s="14"/>
      <c r="M36" s="14"/>
      <c r="N36" s="14"/>
      <c r="O36" s="14"/>
      <c r="P36" s="14"/>
      <c r="Q36" s="14"/>
      <c r="R36" s="14"/>
      <c r="S36" s="14"/>
      <c r="T36" s="14"/>
      <c r="U36" s="14"/>
      <c r="V36" s="14"/>
      <c r="W36" s="14"/>
      <c r="X36" s="14"/>
      <c r="Y36" s="14"/>
      <c r="Z36" s="14"/>
      <c r="AA36" s="14"/>
      <c r="AB36" s="14"/>
      <c r="AC36" s="14"/>
      <c r="AD36" s="14"/>
      <c r="AE36" s="14"/>
      <c r="AF36" s="14"/>
      <c r="AG36" s="14"/>
      <c r="AH36" s="14"/>
      <c r="AI36" s="14"/>
      <c r="AJ36" s="14"/>
      <c r="AK36" s="14"/>
      <c r="AL36" s="14"/>
      <c r="AM36" s="14"/>
      <c r="AN36" s="14"/>
      <c r="AO36" s="14"/>
      <c r="AP36" s="14"/>
      <c r="AQ36" s="14"/>
      <c r="AR36" s="14"/>
      <c r="AS36" s="14"/>
      <c r="AT36" s="14"/>
      <c r="AU36" s="14"/>
      <c r="AV36" s="14"/>
      <c r="AW36" s="14"/>
      <c r="AX36" s="14"/>
      <c r="AY36" s="14"/>
      <c r="AZ36" s="14"/>
    </row>
    <row r="37" spans="2:52" ht="15">
      <c r="B37" s="75">
        <f>SUM(B32:B36)</f>
        <v>0</v>
      </c>
      <c r="C37" s="40" t="s">
        <v>214</v>
      </c>
      <c r="D37" s="75">
        <f>SUM(D32:D36)</f>
        <v>246</v>
      </c>
      <c r="E37" s="75">
        <f>SUM(E32:E36)</f>
        <v>246</v>
      </c>
    </row>
    <row r="38" spans="2:52">
      <c r="D38" s="15"/>
      <c r="H38" s="33"/>
    </row>
    <row r="39" spans="2:52">
      <c r="D39" s="15"/>
      <c r="H39" s="33"/>
    </row>
    <row r="40" spans="2:52" s="70" customFormat="1" ht="63.75">
      <c r="B40" s="71" t="s">
        <v>215</v>
      </c>
      <c r="C40" s="162" t="s">
        <v>222</v>
      </c>
      <c r="D40" s="163" t="s">
        <v>211</v>
      </c>
      <c r="E40" s="71" t="s">
        <v>2</v>
      </c>
      <c r="F40" s="14"/>
      <c r="G40" s="14"/>
      <c r="H40" s="14"/>
      <c r="I40" s="14"/>
      <c r="J40" s="14"/>
      <c r="K40" s="14"/>
      <c r="L40" s="14"/>
      <c r="M40" s="14"/>
      <c r="N40" s="14"/>
      <c r="O40" s="14"/>
      <c r="P40" s="14"/>
      <c r="Q40" s="14"/>
      <c r="R40" s="14"/>
      <c r="S40" s="14"/>
      <c r="T40" s="14"/>
      <c r="U40" s="14"/>
      <c r="V40" s="14"/>
      <c r="W40" s="14"/>
      <c r="X40" s="14"/>
      <c r="Y40" s="14"/>
      <c r="Z40" s="14"/>
      <c r="AA40" s="14"/>
      <c r="AB40" s="14"/>
      <c r="AC40" s="14"/>
      <c r="AD40" s="14"/>
      <c r="AE40" s="14"/>
      <c r="AF40" s="14"/>
      <c r="AG40" s="14"/>
      <c r="AH40" s="14"/>
      <c r="AI40" s="14"/>
      <c r="AJ40" s="14"/>
      <c r="AK40" s="14"/>
      <c r="AL40" s="14"/>
      <c r="AM40" s="14"/>
      <c r="AN40" s="14"/>
      <c r="AO40" s="14"/>
      <c r="AP40" s="14"/>
      <c r="AQ40" s="14"/>
      <c r="AR40" s="14"/>
      <c r="AS40" s="14"/>
      <c r="AT40" s="14"/>
      <c r="AU40" s="14"/>
      <c r="AV40" s="14"/>
      <c r="AW40" s="14"/>
      <c r="AX40" s="14"/>
      <c r="AY40" s="14"/>
      <c r="AZ40" s="14"/>
    </row>
    <row r="41" spans="2:52" ht="15">
      <c r="B41" s="74"/>
      <c r="C41" s="36" t="s">
        <v>223</v>
      </c>
      <c r="D41" s="165">
        <f>SUM(E41:AA41)</f>
        <v>226</v>
      </c>
      <c r="E41" s="74">
        <v>226</v>
      </c>
    </row>
    <row r="42" spans="2:52" ht="15">
      <c r="B42" s="74"/>
      <c r="C42" s="36" t="s">
        <v>224</v>
      </c>
      <c r="D42" s="165">
        <f>SUM(E42:AA42)</f>
        <v>2</v>
      </c>
      <c r="E42" s="74">
        <v>2</v>
      </c>
    </row>
    <row r="43" spans="2:52" s="15" customFormat="1" ht="15">
      <c r="B43" s="74"/>
      <c r="C43" s="36" t="s">
        <v>225</v>
      </c>
      <c r="D43" s="165">
        <f>SUM(E43:AA43)</f>
        <v>18</v>
      </c>
      <c r="E43" s="74">
        <v>18</v>
      </c>
      <c r="F43" s="14"/>
      <c r="G43" s="14"/>
      <c r="H43" s="14"/>
      <c r="I43" s="14"/>
      <c r="J43" s="14"/>
      <c r="K43" s="14"/>
      <c r="L43" s="14"/>
      <c r="M43" s="14"/>
      <c r="N43" s="14"/>
      <c r="O43" s="14"/>
      <c r="P43" s="14"/>
      <c r="Q43" s="14"/>
      <c r="R43" s="14"/>
      <c r="S43" s="14"/>
      <c r="T43" s="14"/>
      <c r="U43" s="14"/>
      <c r="V43" s="14"/>
      <c r="W43" s="14"/>
      <c r="X43" s="14"/>
      <c r="Y43" s="14"/>
      <c r="Z43" s="14"/>
      <c r="AA43" s="14"/>
      <c r="AB43" s="14"/>
      <c r="AC43" s="14"/>
      <c r="AD43" s="14"/>
      <c r="AE43" s="14"/>
      <c r="AF43" s="14"/>
      <c r="AG43" s="14"/>
      <c r="AH43" s="14"/>
      <c r="AI43" s="14"/>
      <c r="AJ43" s="14"/>
      <c r="AK43" s="14"/>
      <c r="AL43" s="14"/>
      <c r="AM43" s="14"/>
      <c r="AN43" s="14"/>
      <c r="AO43" s="14"/>
      <c r="AP43" s="14"/>
      <c r="AQ43" s="14"/>
      <c r="AR43" s="14"/>
      <c r="AS43" s="14"/>
      <c r="AT43" s="14"/>
      <c r="AU43" s="14"/>
      <c r="AV43" s="14"/>
      <c r="AW43" s="14"/>
      <c r="AX43" s="14"/>
      <c r="AY43" s="14"/>
      <c r="AZ43" s="14"/>
    </row>
    <row r="44" spans="2:52" ht="15">
      <c r="B44" s="75">
        <f>SUM(B41:B43)</f>
        <v>0</v>
      </c>
      <c r="C44" s="40" t="s">
        <v>214</v>
      </c>
      <c r="D44" s="75">
        <f>SUM(D41:D43)</f>
        <v>246</v>
      </c>
      <c r="E44" s="75">
        <f>SUM(E41:E43)</f>
        <v>246</v>
      </c>
    </row>
    <row r="45" spans="2:52">
      <c r="D45" s="15"/>
    </row>
    <row r="46" spans="2:52">
      <c r="D46" s="15"/>
    </row>
    <row r="47" spans="2:52" ht="25.5">
      <c r="C47" s="164" t="s">
        <v>182</v>
      </c>
      <c r="D47" s="164" t="s">
        <v>54</v>
      </c>
      <c r="E47" s="26" t="s">
        <v>226</v>
      </c>
    </row>
    <row r="48" spans="2:52">
      <c r="C48" s="76" t="s">
        <v>227</v>
      </c>
      <c r="D48" s="166" t="s">
        <v>228</v>
      </c>
      <c r="E48" s="76" t="s">
        <v>229</v>
      </c>
    </row>
  </sheetData>
  <phoneticPr fontId="37" type="noConversion"/>
  <pageMargins left="0.75" right="0.75" top="1" bottom="1" header="0.4921259845" footer="0.4921259845"/>
  <pageSetup paperSize="9" scale="58" fitToHeight="0" orientation="portrait" r:id="rId1"/>
  <headerFooter alignWithMargins="0"/>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C1165D-8683-4B05-9BA4-36808F0B7B70}">
  <sheetPr codeName="Overview">
    <tabColor theme="5"/>
    <outlinePr summaryRight="0"/>
    <pageSetUpPr fitToPage="1"/>
  </sheetPr>
  <dimension ref="A1:O103"/>
  <sheetViews>
    <sheetView showGridLines="0" topLeftCell="A74" zoomScale="85" zoomScaleNormal="85" workbookViewId="0">
      <selection activeCell="A104" sqref="A104"/>
    </sheetView>
  </sheetViews>
  <sheetFormatPr defaultColWidth="8.85546875" defaultRowHeight="15" outlineLevelCol="1"/>
  <cols>
    <col min="1" max="1" width="39.28515625" style="129" customWidth="1"/>
    <col min="2" max="2" width="31.5703125" style="129" customWidth="1"/>
    <col min="3" max="3" width="43.28515625" style="129" customWidth="1"/>
    <col min="4" max="4" width="13.42578125" style="129" customWidth="1"/>
    <col min="5" max="5" width="18.140625" style="129" customWidth="1"/>
    <col min="6" max="14" width="15.28515625" style="129" customWidth="1" outlineLevel="1"/>
    <col min="15" max="15" width="16.7109375" style="129" customWidth="1" outlineLevel="1"/>
    <col min="16" max="16384" width="8.85546875" style="129"/>
  </cols>
  <sheetData>
    <row r="1" spans="1:15" ht="21" customHeight="1">
      <c r="A1" s="345" t="s">
        <v>230</v>
      </c>
      <c r="B1" s="346"/>
      <c r="C1" s="346"/>
      <c r="D1" s="346"/>
      <c r="E1" s="347"/>
      <c r="F1" s="348" t="s">
        <v>231</v>
      </c>
      <c r="G1" s="349"/>
      <c r="H1" s="349"/>
      <c r="I1" s="349"/>
      <c r="J1" s="349"/>
      <c r="K1" s="349"/>
      <c r="L1" s="349"/>
      <c r="M1" s="349"/>
      <c r="N1" s="349"/>
      <c r="O1" s="349"/>
    </row>
    <row r="2" spans="1:15" ht="37.5">
      <c r="A2" s="138" t="s">
        <v>232</v>
      </c>
      <c r="B2" s="138" t="s">
        <v>233</v>
      </c>
      <c r="C2" s="138" t="s">
        <v>234</v>
      </c>
      <c r="D2" s="138" t="s">
        <v>235</v>
      </c>
      <c r="E2" s="138" t="s">
        <v>236</v>
      </c>
      <c r="F2" s="139" t="s">
        <v>19</v>
      </c>
      <c r="G2" s="139" t="s">
        <v>237</v>
      </c>
      <c r="H2" s="139" t="s">
        <v>238</v>
      </c>
      <c r="I2" s="139" t="s">
        <v>239</v>
      </c>
      <c r="J2" s="139" t="s">
        <v>725</v>
      </c>
      <c r="K2" s="139" t="s">
        <v>765</v>
      </c>
      <c r="L2" s="139" t="s">
        <v>797</v>
      </c>
      <c r="M2" s="139" t="s">
        <v>766</v>
      </c>
      <c r="N2" s="139" t="s">
        <v>1022</v>
      </c>
      <c r="O2" s="139" t="s">
        <v>240</v>
      </c>
    </row>
    <row r="3" spans="1:15">
      <c r="A3" s="200" t="s">
        <v>241</v>
      </c>
      <c r="B3" s="201" t="s">
        <v>157</v>
      </c>
      <c r="C3" s="200" t="s">
        <v>242</v>
      </c>
      <c r="D3" s="200" t="s">
        <v>242</v>
      </c>
      <c r="E3" s="202">
        <f t="shared" ref="E3:E16" si="0">SUM(F3:O3)</f>
        <v>60</v>
      </c>
      <c r="F3" s="201">
        <v>20</v>
      </c>
      <c r="G3" s="201">
        <v>20</v>
      </c>
      <c r="H3" s="201">
        <v>20</v>
      </c>
      <c r="I3" s="201">
        <v>0</v>
      </c>
      <c r="J3" s="201"/>
      <c r="K3" s="201"/>
      <c r="L3" s="201"/>
      <c r="M3" s="201"/>
      <c r="N3" s="201"/>
      <c r="O3" s="201"/>
    </row>
    <row r="4" spans="1:15">
      <c r="A4" s="200" t="s">
        <v>243</v>
      </c>
      <c r="B4" s="201" t="s">
        <v>157</v>
      </c>
      <c r="C4" s="200" t="s">
        <v>242</v>
      </c>
      <c r="D4" s="200" t="s">
        <v>242</v>
      </c>
      <c r="E4" s="202">
        <f t="shared" si="0"/>
        <v>150</v>
      </c>
      <c r="F4" s="201">
        <v>60</v>
      </c>
      <c r="G4" s="201">
        <v>60</v>
      </c>
      <c r="H4" s="201">
        <v>30</v>
      </c>
      <c r="I4" s="201">
        <v>0</v>
      </c>
      <c r="J4" s="201"/>
      <c r="K4" s="201"/>
      <c r="L4" s="201"/>
      <c r="M4" s="201"/>
      <c r="N4" s="201"/>
      <c r="O4" s="201"/>
    </row>
    <row r="5" spans="1:15">
      <c r="A5" s="200" t="s">
        <v>244</v>
      </c>
      <c r="B5" s="201" t="s">
        <v>157</v>
      </c>
      <c r="C5" s="200" t="s">
        <v>245</v>
      </c>
      <c r="D5" s="200" t="s">
        <v>245</v>
      </c>
      <c r="E5" s="202">
        <f t="shared" si="0"/>
        <v>6</v>
      </c>
      <c r="F5" s="201">
        <v>2</v>
      </c>
      <c r="G5" s="201">
        <v>2</v>
      </c>
      <c r="H5" s="201">
        <v>2</v>
      </c>
      <c r="I5" s="201">
        <v>0</v>
      </c>
      <c r="J5" s="201"/>
      <c r="K5" s="201"/>
      <c r="L5" s="201"/>
      <c r="M5" s="201"/>
      <c r="N5" s="201"/>
      <c r="O5" s="201"/>
    </row>
    <row r="6" spans="1:15">
      <c r="A6" s="200" t="s">
        <v>246</v>
      </c>
      <c r="B6" s="201" t="s">
        <v>157</v>
      </c>
      <c r="C6" s="200" t="s">
        <v>245</v>
      </c>
      <c r="D6" s="200" t="s">
        <v>245</v>
      </c>
      <c r="E6" s="202">
        <f t="shared" si="0"/>
        <v>6</v>
      </c>
      <c r="F6" s="201">
        <v>2</v>
      </c>
      <c r="G6" s="201">
        <v>2</v>
      </c>
      <c r="H6" s="201">
        <v>2</v>
      </c>
      <c r="I6" s="201">
        <v>0</v>
      </c>
      <c r="J6" s="201"/>
      <c r="K6" s="201"/>
      <c r="L6" s="201"/>
      <c r="M6" s="201"/>
      <c r="N6" s="201"/>
      <c r="O6" s="201"/>
    </row>
    <row r="7" spans="1:15">
      <c r="A7" s="200" t="s">
        <v>247</v>
      </c>
      <c r="B7" s="201" t="s">
        <v>157</v>
      </c>
      <c r="C7" s="200" t="s">
        <v>245</v>
      </c>
      <c r="D7" s="200" t="s">
        <v>245</v>
      </c>
      <c r="E7" s="202">
        <f t="shared" si="0"/>
        <v>6</v>
      </c>
      <c r="F7" s="201">
        <v>2</v>
      </c>
      <c r="G7" s="201">
        <v>2</v>
      </c>
      <c r="H7" s="201">
        <v>2</v>
      </c>
      <c r="I7" s="201">
        <v>0</v>
      </c>
      <c r="J7" s="201"/>
      <c r="K7" s="201"/>
      <c r="L7" s="201"/>
      <c r="M7" s="201"/>
      <c r="N7" s="201"/>
      <c r="O7" s="201"/>
    </row>
    <row r="8" spans="1:15">
      <c r="A8" s="200" t="s">
        <v>248</v>
      </c>
      <c r="B8" s="201" t="s">
        <v>157</v>
      </c>
      <c r="C8" s="200" t="s">
        <v>245</v>
      </c>
      <c r="D8" s="200" t="s">
        <v>245</v>
      </c>
      <c r="E8" s="202">
        <f t="shared" si="0"/>
        <v>4</v>
      </c>
      <c r="F8" s="201">
        <v>2</v>
      </c>
      <c r="G8" s="201">
        <v>2</v>
      </c>
      <c r="H8" s="201">
        <v>0</v>
      </c>
      <c r="I8" s="201">
        <v>0</v>
      </c>
      <c r="J8" s="201"/>
      <c r="K8" s="201"/>
      <c r="L8" s="201"/>
      <c r="M8" s="201"/>
      <c r="N8" s="201"/>
      <c r="O8" s="201"/>
    </row>
    <row r="9" spans="1:15">
      <c r="A9" s="200" t="s">
        <v>249</v>
      </c>
      <c r="B9" s="201" t="s">
        <v>157</v>
      </c>
      <c r="C9" s="200" t="s">
        <v>245</v>
      </c>
      <c r="D9" s="200" t="s">
        <v>245</v>
      </c>
      <c r="E9" s="202">
        <f t="shared" si="0"/>
        <v>15</v>
      </c>
      <c r="F9" s="201">
        <v>8</v>
      </c>
      <c r="G9" s="201">
        <v>7</v>
      </c>
      <c r="H9" s="201">
        <v>0</v>
      </c>
      <c r="I9" s="201">
        <v>0</v>
      </c>
      <c r="J9" s="201"/>
      <c r="K9" s="201"/>
      <c r="L9" s="201"/>
      <c r="M9" s="201"/>
      <c r="N9" s="201"/>
      <c r="O9" s="201"/>
    </row>
    <row r="10" spans="1:15">
      <c r="A10" s="200" t="s">
        <v>250</v>
      </c>
      <c r="B10" s="201" t="s">
        <v>157</v>
      </c>
      <c r="C10" s="200" t="s">
        <v>251</v>
      </c>
      <c r="D10" s="200" t="s">
        <v>251</v>
      </c>
      <c r="E10" s="202">
        <f t="shared" si="0"/>
        <v>4</v>
      </c>
      <c r="F10" s="201">
        <v>2</v>
      </c>
      <c r="G10" s="201">
        <v>0</v>
      </c>
      <c r="H10" s="201">
        <v>0</v>
      </c>
      <c r="I10" s="201">
        <v>2</v>
      </c>
      <c r="J10" s="201"/>
      <c r="K10" s="201"/>
      <c r="L10" s="201"/>
      <c r="M10" s="201"/>
      <c r="N10" s="201"/>
      <c r="O10" s="201"/>
    </row>
    <row r="11" spans="1:15">
      <c r="A11" s="200" t="s">
        <v>252</v>
      </c>
      <c r="B11" s="201" t="s">
        <v>157</v>
      </c>
      <c r="C11" s="200" t="s">
        <v>251</v>
      </c>
      <c r="D11" s="200" t="s">
        <v>251</v>
      </c>
      <c r="E11" s="202">
        <f t="shared" si="0"/>
        <v>30</v>
      </c>
      <c r="F11" s="201">
        <v>15</v>
      </c>
      <c r="G11" s="201">
        <v>0</v>
      </c>
      <c r="H11" s="201">
        <v>0</v>
      </c>
      <c r="I11" s="201">
        <v>15</v>
      </c>
      <c r="J11" s="201"/>
      <c r="K11" s="201"/>
      <c r="L11" s="201"/>
      <c r="M11" s="201"/>
      <c r="N11" s="201"/>
      <c r="O11" s="201"/>
    </row>
    <row r="12" spans="1:15">
      <c r="A12" s="200" t="s">
        <v>253</v>
      </c>
      <c r="B12" s="201" t="s">
        <v>157</v>
      </c>
      <c r="C12" s="200" t="s">
        <v>251</v>
      </c>
      <c r="D12" s="200" t="s">
        <v>251</v>
      </c>
      <c r="E12" s="202">
        <f t="shared" si="0"/>
        <v>24</v>
      </c>
      <c r="F12" s="201">
        <v>8</v>
      </c>
      <c r="G12" s="201">
        <v>8</v>
      </c>
      <c r="H12" s="201">
        <v>8</v>
      </c>
      <c r="I12" s="201">
        <v>0</v>
      </c>
      <c r="J12" s="201"/>
      <c r="K12" s="201"/>
      <c r="L12" s="201"/>
      <c r="M12" s="201"/>
      <c r="N12" s="201"/>
      <c r="O12" s="201"/>
    </row>
    <row r="13" spans="1:15">
      <c r="A13" s="200" t="s">
        <v>254</v>
      </c>
      <c r="B13" s="201" t="s">
        <v>157</v>
      </c>
      <c r="C13" s="200" t="s">
        <v>251</v>
      </c>
      <c r="D13" s="200" t="s">
        <v>255</v>
      </c>
      <c r="E13" s="202">
        <f t="shared" si="0"/>
        <v>180</v>
      </c>
      <c r="F13" s="201">
        <v>60</v>
      </c>
      <c r="G13" s="201">
        <v>60</v>
      </c>
      <c r="H13" s="201">
        <v>60</v>
      </c>
      <c r="I13" s="201">
        <v>0</v>
      </c>
      <c r="J13" s="201"/>
      <c r="K13" s="201"/>
      <c r="L13" s="201"/>
      <c r="M13" s="201"/>
      <c r="N13" s="201"/>
      <c r="O13" s="201"/>
    </row>
    <row r="14" spans="1:15">
      <c r="A14" s="200" t="s">
        <v>256</v>
      </c>
      <c r="B14" s="201" t="s">
        <v>157</v>
      </c>
      <c r="C14" s="200" t="s">
        <v>255</v>
      </c>
      <c r="D14" s="200" t="s">
        <v>255</v>
      </c>
      <c r="E14" s="202">
        <f t="shared" si="0"/>
        <v>4</v>
      </c>
      <c r="F14" s="201">
        <v>2</v>
      </c>
      <c r="G14" s="201">
        <v>0</v>
      </c>
      <c r="H14" s="201">
        <v>0</v>
      </c>
      <c r="I14" s="201">
        <v>2</v>
      </c>
      <c r="J14" s="201"/>
      <c r="K14" s="201"/>
      <c r="L14" s="201"/>
      <c r="M14" s="201"/>
      <c r="N14" s="201"/>
      <c r="O14" s="201"/>
    </row>
    <row r="15" spans="1:15">
      <c r="A15" s="200" t="s">
        <v>257</v>
      </c>
      <c r="B15" s="201" t="s">
        <v>157</v>
      </c>
      <c r="C15" s="200" t="s">
        <v>255</v>
      </c>
      <c r="D15" s="200" t="s">
        <v>258</v>
      </c>
      <c r="E15" s="202">
        <f t="shared" si="0"/>
        <v>180</v>
      </c>
      <c r="F15" s="201">
        <v>90</v>
      </c>
      <c r="G15" s="201">
        <v>0</v>
      </c>
      <c r="H15" s="201">
        <v>0</v>
      </c>
      <c r="I15" s="201">
        <v>90</v>
      </c>
      <c r="J15" s="201"/>
      <c r="K15" s="201"/>
      <c r="L15" s="201"/>
      <c r="M15" s="201"/>
      <c r="N15" s="201"/>
      <c r="O15" s="201"/>
    </row>
    <row r="16" spans="1:15">
      <c r="A16" s="200" t="s">
        <v>259</v>
      </c>
      <c r="B16" s="201" t="s">
        <v>157</v>
      </c>
      <c r="C16" s="200" t="s">
        <v>260</v>
      </c>
      <c r="D16" s="200" t="s">
        <v>260</v>
      </c>
      <c r="E16" s="202">
        <f t="shared" si="0"/>
        <v>6</v>
      </c>
      <c r="F16" s="201">
        <v>3</v>
      </c>
      <c r="G16" s="201">
        <v>0</v>
      </c>
      <c r="H16" s="201">
        <v>0</v>
      </c>
      <c r="I16" s="201">
        <v>3</v>
      </c>
      <c r="J16" s="201"/>
      <c r="K16" s="201"/>
      <c r="L16" s="201"/>
      <c r="M16" s="201"/>
      <c r="N16" s="201"/>
      <c r="O16" s="201"/>
    </row>
    <row r="17" spans="1:15">
      <c r="A17" s="200" t="s">
        <v>261</v>
      </c>
      <c r="B17" s="201" t="s">
        <v>157</v>
      </c>
      <c r="C17" s="200" t="s">
        <v>260</v>
      </c>
      <c r="D17" s="200" t="s">
        <v>260</v>
      </c>
      <c r="E17" s="202">
        <f t="shared" ref="E17" si="1">SUM(F17:O17)</f>
        <v>110</v>
      </c>
      <c r="F17" s="201">
        <v>40</v>
      </c>
      <c r="G17" s="201">
        <v>40</v>
      </c>
      <c r="H17" s="201">
        <v>0</v>
      </c>
      <c r="I17" s="201">
        <v>30</v>
      </c>
      <c r="J17" s="201"/>
      <c r="K17" s="201"/>
      <c r="L17" s="201"/>
      <c r="M17" s="201"/>
      <c r="N17" s="201"/>
      <c r="O17" s="201"/>
    </row>
    <row r="18" spans="1:15">
      <c r="A18" s="200" t="s">
        <v>262</v>
      </c>
      <c r="B18" s="201" t="s">
        <v>157</v>
      </c>
      <c r="C18" s="200" t="s">
        <v>260</v>
      </c>
      <c r="D18" s="200" t="s">
        <v>260</v>
      </c>
      <c r="E18" s="202">
        <f>SUM(F18:O18)</f>
        <v>10</v>
      </c>
      <c r="F18" s="201">
        <v>5</v>
      </c>
      <c r="G18" s="201">
        <v>5</v>
      </c>
      <c r="H18" s="201">
        <v>0</v>
      </c>
      <c r="I18" s="201">
        <v>0</v>
      </c>
      <c r="J18" s="201"/>
      <c r="K18" s="201"/>
      <c r="L18" s="201"/>
      <c r="M18" s="201"/>
      <c r="N18" s="201"/>
      <c r="O18" s="201"/>
    </row>
    <row r="19" spans="1:15">
      <c r="A19" s="213" t="s">
        <v>263</v>
      </c>
      <c r="B19" s="213" t="s">
        <v>157</v>
      </c>
      <c r="C19" s="213" t="s">
        <v>264</v>
      </c>
      <c r="D19" s="213" t="s">
        <v>264</v>
      </c>
      <c r="E19" s="214">
        <f t="shared" ref="E19" si="2">SUM(F19:O19)</f>
        <v>60</v>
      </c>
      <c r="F19" s="213">
        <v>30</v>
      </c>
      <c r="G19" s="213">
        <v>30</v>
      </c>
      <c r="H19" s="213">
        <v>0</v>
      </c>
      <c r="I19" s="213">
        <v>0</v>
      </c>
      <c r="J19" s="213"/>
      <c r="K19" s="213"/>
      <c r="L19" s="213"/>
      <c r="M19" s="213"/>
      <c r="N19" s="213"/>
      <c r="O19" s="213"/>
    </row>
    <row r="20" spans="1:15">
      <c r="A20" s="213" t="s">
        <v>265</v>
      </c>
      <c r="B20" s="213" t="s">
        <v>157</v>
      </c>
      <c r="C20" s="213" t="s">
        <v>266</v>
      </c>
      <c r="D20" s="213" t="s">
        <v>266</v>
      </c>
      <c r="E20" s="214">
        <f t="shared" ref="E20:E21" si="3">SUM(F20:O20)</f>
        <v>80</v>
      </c>
      <c r="F20" s="213">
        <v>40</v>
      </c>
      <c r="G20" s="213">
        <v>40</v>
      </c>
      <c r="H20" s="213">
        <v>0</v>
      </c>
      <c r="I20" s="213">
        <v>0</v>
      </c>
      <c r="J20" s="213"/>
      <c r="K20" s="213"/>
      <c r="L20" s="213"/>
      <c r="M20" s="213"/>
      <c r="N20" s="213"/>
      <c r="O20" s="213"/>
    </row>
    <row r="21" spans="1:15">
      <c r="A21" s="213" t="s">
        <v>267</v>
      </c>
      <c r="B21" s="213" t="s">
        <v>157</v>
      </c>
      <c r="C21" s="213" t="s">
        <v>266</v>
      </c>
      <c r="D21" s="213" t="s">
        <v>266</v>
      </c>
      <c r="E21" s="214">
        <f t="shared" si="3"/>
        <v>40</v>
      </c>
      <c r="F21" s="213">
        <v>20</v>
      </c>
      <c r="G21" s="213">
        <v>20</v>
      </c>
      <c r="H21" s="213">
        <v>0</v>
      </c>
      <c r="I21" s="213">
        <v>0</v>
      </c>
      <c r="J21" s="213"/>
      <c r="K21" s="213"/>
      <c r="L21" s="213"/>
      <c r="M21" s="213"/>
      <c r="N21" s="213"/>
      <c r="O21" s="213"/>
    </row>
    <row r="22" spans="1:15">
      <c r="A22" s="213" t="s">
        <v>268</v>
      </c>
      <c r="B22" s="213" t="s">
        <v>157</v>
      </c>
      <c r="C22" s="213" t="s">
        <v>269</v>
      </c>
      <c r="D22" s="213" t="s">
        <v>269</v>
      </c>
      <c r="E22" s="214">
        <f t="shared" ref="E22" si="4">SUM(F22:O22)</f>
        <v>50</v>
      </c>
      <c r="F22" s="213">
        <v>25</v>
      </c>
      <c r="G22" s="213">
        <v>25</v>
      </c>
      <c r="H22" s="213">
        <v>0</v>
      </c>
      <c r="I22" s="213">
        <v>0</v>
      </c>
      <c r="J22" s="213"/>
      <c r="K22" s="213"/>
      <c r="L22" s="213"/>
      <c r="M22" s="213"/>
      <c r="N22" s="213"/>
      <c r="O22" s="213"/>
    </row>
    <row r="23" spans="1:15">
      <c r="A23" s="213" t="s">
        <v>270</v>
      </c>
      <c r="B23" s="213" t="s">
        <v>157</v>
      </c>
      <c r="C23" s="213" t="s">
        <v>269</v>
      </c>
      <c r="D23" s="213" t="s">
        <v>269</v>
      </c>
      <c r="E23" s="214">
        <f>SUM(F23:O23)</f>
        <v>62</v>
      </c>
      <c r="F23" s="213">
        <v>30</v>
      </c>
      <c r="G23" s="213">
        <v>30</v>
      </c>
      <c r="H23" s="213">
        <v>2</v>
      </c>
      <c r="I23" s="213">
        <v>0</v>
      </c>
      <c r="J23" s="213"/>
      <c r="K23" s="213"/>
      <c r="L23" s="213"/>
      <c r="M23" s="213"/>
      <c r="N23" s="213"/>
      <c r="O23" s="213"/>
    </row>
    <row r="24" spans="1:15">
      <c r="A24" s="213" t="s">
        <v>271</v>
      </c>
      <c r="B24" s="213" t="s">
        <v>157</v>
      </c>
      <c r="C24" s="213" t="s">
        <v>269</v>
      </c>
      <c r="D24" s="213" t="s">
        <v>269</v>
      </c>
      <c r="E24" s="214">
        <f t="shared" ref="E24:E25" si="5">SUM(F24:O24)</f>
        <v>100</v>
      </c>
      <c r="F24" s="213">
        <v>40</v>
      </c>
      <c r="G24" s="213">
        <v>20</v>
      </c>
      <c r="H24" s="213">
        <v>40</v>
      </c>
      <c r="I24" s="213">
        <v>0</v>
      </c>
      <c r="J24" s="213"/>
      <c r="K24" s="213"/>
      <c r="L24" s="213"/>
      <c r="M24" s="213"/>
      <c r="N24" s="213"/>
      <c r="O24" s="213"/>
    </row>
    <row r="25" spans="1:15">
      <c r="A25" s="213" t="s">
        <v>272</v>
      </c>
      <c r="B25" s="213" t="s">
        <v>157</v>
      </c>
      <c r="C25" s="213" t="s">
        <v>269</v>
      </c>
      <c r="D25" s="213" t="s">
        <v>269</v>
      </c>
      <c r="E25" s="214">
        <f t="shared" si="5"/>
        <v>100</v>
      </c>
      <c r="F25" s="213">
        <v>40</v>
      </c>
      <c r="G25" s="213">
        <v>20</v>
      </c>
      <c r="H25" s="213">
        <v>40</v>
      </c>
      <c r="I25" s="213">
        <v>0</v>
      </c>
      <c r="J25" s="213"/>
      <c r="K25" s="213"/>
      <c r="L25" s="213"/>
      <c r="M25" s="213"/>
      <c r="N25" s="213"/>
      <c r="O25" s="213"/>
    </row>
    <row r="26" spans="1:15">
      <c r="A26" s="213" t="s">
        <v>273</v>
      </c>
      <c r="B26" s="213" t="s">
        <v>157</v>
      </c>
      <c r="C26" s="213" t="s">
        <v>274</v>
      </c>
      <c r="D26" s="213" t="s">
        <v>274</v>
      </c>
      <c r="E26" s="214">
        <f>SUM(F26:O26)</f>
        <v>60</v>
      </c>
      <c r="F26" s="213">
        <v>0</v>
      </c>
      <c r="G26" s="213">
        <v>30</v>
      </c>
      <c r="H26" s="213">
        <v>30</v>
      </c>
      <c r="I26" s="213">
        <v>0</v>
      </c>
      <c r="J26" s="213"/>
      <c r="K26" s="213"/>
      <c r="L26" s="213"/>
      <c r="M26" s="213"/>
      <c r="N26" s="213"/>
      <c r="O26" s="213"/>
    </row>
    <row r="27" spans="1:15">
      <c r="A27" s="213" t="s">
        <v>275</v>
      </c>
      <c r="B27" s="213" t="s">
        <v>157</v>
      </c>
      <c r="C27" s="213" t="s">
        <v>274</v>
      </c>
      <c r="D27" s="213" t="s">
        <v>274</v>
      </c>
      <c r="E27" s="214">
        <f t="shared" ref="E27" si="6">SUM(F27:O27)</f>
        <v>40</v>
      </c>
      <c r="F27" s="213">
        <v>0</v>
      </c>
      <c r="G27" s="213">
        <v>20</v>
      </c>
      <c r="H27" s="213">
        <v>20</v>
      </c>
      <c r="I27" s="213">
        <v>0</v>
      </c>
      <c r="J27" s="213"/>
      <c r="K27" s="213"/>
      <c r="L27" s="213"/>
      <c r="M27" s="213"/>
      <c r="N27" s="213"/>
      <c r="O27" s="213"/>
    </row>
    <row r="28" spans="1:15">
      <c r="A28" s="213" t="s">
        <v>276</v>
      </c>
      <c r="B28" s="213" t="s">
        <v>157</v>
      </c>
      <c r="C28" s="213" t="s">
        <v>274</v>
      </c>
      <c r="D28" s="213" t="s">
        <v>274</v>
      </c>
      <c r="E28" s="214">
        <f t="shared" ref="E28:E29" si="7">SUM(F28:O28)</f>
        <v>40</v>
      </c>
      <c r="F28" s="213">
        <v>0</v>
      </c>
      <c r="G28" s="213">
        <v>20</v>
      </c>
      <c r="H28" s="213">
        <v>20</v>
      </c>
      <c r="I28" s="213">
        <v>0</v>
      </c>
      <c r="J28" s="213"/>
      <c r="K28" s="213"/>
      <c r="L28" s="213"/>
      <c r="M28" s="213"/>
      <c r="N28" s="213"/>
      <c r="O28" s="213"/>
    </row>
    <row r="29" spans="1:15">
      <c r="A29" s="213" t="s">
        <v>688</v>
      </c>
      <c r="B29" s="213" t="s">
        <v>157</v>
      </c>
      <c r="C29" s="213" t="s">
        <v>689</v>
      </c>
      <c r="D29" s="213" t="s">
        <v>689</v>
      </c>
      <c r="E29" s="214">
        <f t="shared" si="7"/>
        <v>20</v>
      </c>
      <c r="F29" s="213">
        <v>10</v>
      </c>
      <c r="G29" s="213">
        <v>0</v>
      </c>
      <c r="H29" s="213">
        <v>10</v>
      </c>
      <c r="I29" s="213">
        <v>0</v>
      </c>
      <c r="J29" s="213"/>
      <c r="K29" s="213"/>
      <c r="L29" s="213"/>
      <c r="M29" s="213"/>
      <c r="N29" s="213"/>
      <c r="O29" s="213"/>
    </row>
    <row r="30" spans="1:15">
      <c r="A30" s="213" t="s">
        <v>692</v>
      </c>
      <c r="B30" s="213" t="s">
        <v>157</v>
      </c>
      <c r="C30" s="213" t="s">
        <v>689</v>
      </c>
      <c r="D30" s="213" t="s">
        <v>689</v>
      </c>
      <c r="E30" s="214">
        <f t="shared" ref="E30" si="8">SUM(F30:O30)</f>
        <v>50</v>
      </c>
      <c r="F30" s="213">
        <v>25</v>
      </c>
      <c r="G30" s="213">
        <v>0</v>
      </c>
      <c r="H30" s="213">
        <v>25</v>
      </c>
      <c r="I30" s="213">
        <v>0</v>
      </c>
      <c r="J30" s="213"/>
      <c r="K30" s="213"/>
      <c r="L30" s="213"/>
      <c r="M30" s="213"/>
      <c r="N30" s="213"/>
      <c r="O30" s="213"/>
    </row>
    <row r="31" spans="1:15">
      <c r="A31" s="213" t="s">
        <v>695</v>
      </c>
      <c r="B31" s="213" t="s">
        <v>157</v>
      </c>
      <c r="C31" s="213" t="s">
        <v>689</v>
      </c>
      <c r="D31" s="213" t="s">
        <v>689</v>
      </c>
      <c r="E31" s="214">
        <f t="shared" ref="E31" si="9">SUM(F31:O31)</f>
        <v>20</v>
      </c>
      <c r="F31" s="213">
        <v>10</v>
      </c>
      <c r="G31" s="213">
        <v>0</v>
      </c>
      <c r="H31" s="213">
        <v>10</v>
      </c>
      <c r="I31" s="213">
        <v>0</v>
      </c>
      <c r="J31" s="213"/>
      <c r="K31" s="213"/>
      <c r="L31" s="213"/>
      <c r="M31" s="213"/>
      <c r="N31" s="213"/>
      <c r="O31" s="213"/>
    </row>
    <row r="32" spans="1:15">
      <c r="A32" s="213" t="s">
        <v>709</v>
      </c>
      <c r="B32" s="213" t="s">
        <v>157</v>
      </c>
      <c r="C32" s="213" t="s">
        <v>689</v>
      </c>
      <c r="D32" s="213" t="s">
        <v>689</v>
      </c>
      <c r="E32" s="214">
        <f t="shared" ref="E32:E34" si="10">SUM(F32:O32)</f>
        <v>80</v>
      </c>
      <c r="F32" s="213">
        <v>40</v>
      </c>
      <c r="G32" s="213">
        <v>0</v>
      </c>
      <c r="H32" s="213">
        <v>40</v>
      </c>
      <c r="I32" s="213">
        <v>0</v>
      </c>
      <c r="J32" s="213"/>
      <c r="K32" s="213"/>
      <c r="L32" s="213"/>
      <c r="M32" s="213"/>
      <c r="N32" s="213"/>
      <c r="O32" s="213"/>
    </row>
    <row r="33" spans="1:15">
      <c r="A33" s="213" t="s">
        <v>699</v>
      </c>
      <c r="B33" s="213" t="s">
        <v>157</v>
      </c>
      <c r="C33" s="213" t="s">
        <v>689</v>
      </c>
      <c r="D33" s="213" t="s">
        <v>689</v>
      </c>
      <c r="E33" s="214">
        <f t="shared" si="10"/>
        <v>20</v>
      </c>
      <c r="F33" s="213">
        <v>10</v>
      </c>
      <c r="G33" s="213">
        <v>0</v>
      </c>
      <c r="H33" s="213">
        <v>10</v>
      </c>
      <c r="I33" s="213">
        <v>0</v>
      </c>
      <c r="J33" s="213"/>
      <c r="K33" s="213"/>
      <c r="L33" s="213"/>
      <c r="M33" s="213"/>
      <c r="N33" s="213"/>
      <c r="O33" s="213"/>
    </row>
    <row r="34" spans="1:15">
      <c r="A34" s="213" t="s">
        <v>708</v>
      </c>
      <c r="B34" s="213" t="s">
        <v>157</v>
      </c>
      <c r="C34" s="213" t="s">
        <v>689</v>
      </c>
      <c r="D34" s="213" t="s">
        <v>689</v>
      </c>
      <c r="E34" s="214">
        <f t="shared" si="10"/>
        <v>20</v>
      </c>
      <c r="F34" s="213">
        <v>10</v>
      </c>
      <c r="G34" s="213">
        <v>0</v>
      </c>
      <c r="H34" s="213">
        <v>10</v>
      </c>
      <c r="I34" s="213">
        <v>0</v>
      </c>
      <c r="J34" s="213"/>
      <c r="K34" s="213"/>
      <c r="L34" s="213"/>
      <c r="M34" s="213"/>
      <c r="N34" s="213"/>
      <c r="O34" s="213"/>
    </row>
    <row r="35" spans="1:15">
      <c r="A35" s="213" t="s">
        <v>707</v>
      </c>
      <c r="B35" s="213" t="s">
        <v>157</v>
      </c>
      <c r="C35" s="213" t="s">
        <v>689</v>
      </c>
      <c r="D35" s="213" t="s">
        <v>689</v>
      </c>
      <c r="E35" s="214">
        <f t="shared" ref="E35:E36" si="11">SUM(F35:O35)</f>
        <v>30</v>
      </c>
      <c r="F35" s="213">
        <v>15</v>
      </c>
      <c r="G35" s="213">
        <v>0</v>
      </c>
      <c r="H35" s="213">
        <v>15</v>
      </c>
      <c r="I35" s="213">
        <v>0</v>
      </c>
      <c r="J35" s="213"/>
      <c r="K35" s="213"/>
      <c r="L35" s="213"/>
      <c r="M35" s="213"/>
      <c r="N35" s="213"/>
      <c r="O35" s="213"/>
    </row>
    <row r="36" spans="1:15">
      <c r="A36" s="213" t="s">
        <v>717</v>
      </c>
      <c r="B36" s="213" t="s">
        <v>157</v>
      </c>
      <c r="C36" s="213" t="s">
        <v>716</v>
      </c>
      <c r="D36" s="213" t="s">
        <v>716</v>
      </c>
      <c r="E36" s="214">
        <f t="shared" si="11"/>
        <v>30</v>
      </c>
      <c r="F36" s="213">
        <v>10</v>
      </c>
      <c r="G36" s="213">
        <v>10</v>
      </c>
      <c r="H36" s="213">
        <v>10</v>
      </c>
      <c r="I36" s="213">
        <v>0</v>
      </c>
      <c r="J36" s="213"/>
      <c r="K36" s="213"/>
      <c r="L36" s="213"/>
      <c r="M36" s="213"/>
      <c r="N36" s="213"/>
      <c r="O36" s="213"/>
    </row>
    <row r="37" spans="1:15">
      <c r="A37" s="213" t="s">
        <v>720</v>
      </c>
      <c r="B37" s="213" t="s">
        <v>157</v>
      </c>
      <c r="C37" s="213" t="s">
        <v>716</v>
      </c>
      <c r="D37" s="213" t="s">
        <v>716</v>
      </c>
      <c r="E37" s="214">
        <f t="shared" ref="E37:E52" si="12">SUM(F37:O37)</f>
        <v>30</v>
      </c>
      <c r="F37" s="213">
        <v>10</v>
      </c>
      <c r="G37" s="213">
        <v>10</v>
      </c>
      <c r="H37" s="213">
        <v>10</v>
      </c>
      <c r="I37" s="213">
        <v>0</v>
      </c>
      <c r="J37" s="213"/>
      <c r="K37" s="213"/>
      <c r="L37" s="213"/>
      <c r="M37" s="213"/>
      <c r="N37" s="213"/>
      <c r="O37" s="213"/>
    </row>
    <row r="38" spans="1:15">
      <c r="A38" s="213" t="s">
        <v>723</v>
      </c>
      <c r="B38" s="213" t="s">
        <v>157</v>
      </c>
      <c r="C38" s="213" t="s">
        <v>716</v>
      </c>
      <c r="D38" s="213" t="s">
        <v>716</v>
      </c>
      <c r="E38" s="214">
        <f t="shared" si="12"/>
        <v>30</v>
      </c>
      <c r="F38" s="213">
        <v>10</v>
      </c>
      <c r="G38" s="213">
        <v>10</v>
      </c>
      <c r="H38" s="213">
        <v>10</v>
      </c>
      <c r="I38" s="213">
        <v>0</v>
      </c>
      <c r="J38" s="213"/>
      <c r="K38" s="213"/>
      <c r="L38" s="213"/>
      <c r="M38" s="213"/>
      <c r="N38" s="213"/>
      <c r="O38" s="213"/>
    </row>
    <row r="39" spans="1:15">
      <c r="A39" s="213" t="s">
        <v>707</v>
      </c>
      <c r="B39" s="213" t="s">
        <v>157</v>
      </c>
      <c r="C39" s="217" t="s">
        <v>716</v>
      </c>
      <c r="D39" s="217" t="s">
        <v>716</v>
      </c>
      <c r="E39" s="214">
        <f t="shared" si="12"/>
        <v>30</v>
      </c>
      <c r="F39" s="213">
        <v>10</v>
      </c>
      <c r="G39" s="213">
        <v>10</v>
      </c>
      <c r="H39" s="213">
        <v>10</v>
      </c>
      <c r="I39" s="213">
        <v>0</v>
      </c>
      <c r="J39" s="213"/>
      <c r="K39" s="213"/>
      <c r="L39" s="213"/>
      <c r="M39" s="213"/>
      <c r="N39" s="213"/>
      <c r="O39" s="213"/>
    </row>
    <row r="40" spans="1:15">
      <c r="A40" s="213" t="s">
        <v>737</v>
      </c>
      <c r="B40" s="213" t="s">
        <v>157</v>
      </c>
      <c r="C40" s="218">
        <v>44984</v>
      </c>
      <c r="D40" s="218">
        <v>44984</v>
      </c>
      <c r="E40" s="214">
        <f t="shared" si="12"/>
        <v>15</v>
      </c>
      <c r="F40" s="213"/>
      <c r="G40" s="213"/>
      <c r="H40" s="213"/>
      <c r="I40" s="213"/>
      <c r="J40" s="213">
        <v>15</v>
      </c>
      <c r="K40" s="213"/>
      <c r="L40" s="213"/>
      <c r="M40" s="213"/>
      <c r="N40" s="213"/>
      <c r="O40" s="213"/>
    </row>
    <row r="41" spans="1:15">
      <c r="A41" s="213" t="s">
        <v>738</v>
      </c>
      <c r="B41" s="213" t="s">
        <v>157</v>
      </c>
      <c r="C41" s="218">
        <v>44984</v>
      </c>
      <c r="D41" s="218">
        <v>44984</v>
      </c>
      <c r="E41" s="214">
        <f t="shared" si="12"/>
        <v>15</v>
      </c>
      <c r="F41" s="213"/>
      <c r="G41" s="213"/>
      <c r="H41" s="213"/>
      <c r="I41" s="213"/>
      <c r="J41" s="213">
        <v>15</v>
      </c>
      <c r="K41" s="213"/>
      <c r="L41" s="213"/>
      <c r="M41" s="213"/>
      <c r="N41" s="213"/>
      <c r="O41" s="213"/>
    </row>
    <row r="42" spans="1:15">
      <c r="A42" s="213" t="s">
        <v>739</v>
      </c>
      <c r="B42" s="213" t="s">
        <v>157</v>
      </c>
      <c r="C42" s="218">
        <v>44984</v>
      </c>
      <c r="D42" s="218">
        <v>44984</v>
      </c>
      <c r="E42" s="214">
        <f t="shared" si="12"/>
        <v>15</v>
      </c>
      <c r="F42" s="213"/>
      <c r="G42" s="213"/>
      <c r="H42" s="213"/>
      <c r="I42" s="213"/>
      <c r="J42" s="213">
        <v>15</v>
      </c>
      <c r="K42" s="213"/>
      <c r="L42" s="213"/>
      <c r="M42" s="213"/>
      <c r="N42" s="213"/>
      <c r="O42" s="213"/>
    </row>
    <row r="43" spans="1:15">
      <c r="A43" s="213" t="s">
        <v>696</v>
      </c>
      <c r="B43" s="213" t="s">
        <v>157</v>
      </c>
      <c r="C43" s="218">
        <v>44984</v>
      </c>
      <c r="D43" s="218">
        <v>44984</v>
      </c>
      <c r="E43" s="214">
        <f t="shared" si="12"/>
        <v>15</v>
      </c>
      <c r="F43" s="213"/>
      <c r="G43" s="213"/>
      <c r="H43" s="213"/>
      <c r="I43" s="213"/>
      <c r="J43" s="213">
        <v>15</v>
      </c>
      <c r="K43" s="213"/>
      <c r="L43" s="213"/>
      <c r="M43" s="213"/>
      <c r="N43" s="213"/>
      <c r="O43" s="213"/>
    </row>
    <row r="44" spans="1:15">
      <c r="A44" s="213" t="s">
        <v>741</v>
      </c>
      <c r="B44" s="213" t="s">
        <v>157</v>
      </c>
      <c r="C44" s="218">
        <v>44984</v>
      </c>
      <c r="D44" s="218">
        <v>44984</v>
      </c>
      <c r="E44" s="214">
        <f t="shared" si="12"/>
        <v>15</v>
      </c>
      <c r="F44" s="213"/>
      <c r="G44" s="213"/>
      <c r="H44" s="213"/>
      <c r="I44" s="213"/>
      <c r="J44" s="213">
        <v>15</v>
      </c>
      <c r="K44" s="213"/>
      <c r="L44" s="213"/>
      <c r="M44" s="213"/>
      <c r="N44" s="213"/>
      <c r="O44" s="213"/>
    </row>
    <row r="45" spans="1:15">
      <c r="A45" s="213" t="s">
        <v>740</v>
      </c>
      <c r="B45" s="213" t="s">
        <v>157</v>
      </c>
      <c r="C45" s="218">
        <v>44984</v>
      </c>
      <c r="D45" s="218">
        <v>44984</v>
      </c>
      <c r="E45" s="214">
        <f t="shared" si="12"/>
        <v>15</v>
      </c>
      <c r="F45" s="213"/>
      <c r="G45" s="213"/>
      <c r="H45" s="213"/>
      <c r="I45" s="213"/>
      <c r="J45" s="213">
        <v>15</v>
      </c>
      <c r="K45" s="213"/>
      <c r="L45" s="213"/>
      <c r="M45" s="213"/>
      <c r="N45" s="213"/>
      <c r="O45" s="213"/>
    </row>
    <row r="46" spans="1:15">
      <c r="A46" s="213" t="s">
        <v>743</v>
      </c>
      <c r="B46" s="213" t="s">
        <v>157</v>
      </c>
      <c r="C46" s="218">
        <v>44984</v>
      </c>
      <c r="D46" s="218">
        <v>44984</v>
      </c>
      <c r="E46" s="214">
        <f t="shared" si="12"/>
        <v>15</v>
      </c>
      <c r="F46" s="213"/>
      <c r="G46" s="213"/>
      <c r="H46" s="213"/>
      <c r="I46" s="213"/>
      <c r="J46" s="213">
        <v>15</v>
      </c>
      <c r="K46" s="213"/>
      <c r="L46" s="213"/>
      <c r="M46" s="213"/>
      <c r="N46" s="213"/>
      <c r="O46" s="213"/>
    </row>
    <row r="47" spans="1:15">
      <c r="A47" s="213" t="s">
        <v>744</v>
      </c>
      <c r="B47" s="213" t="s">
        <v>157</v>
      </c>
      <c r="C47" s="218">
        <v>44984</v>
      </c>
      <c r="D47" s="218">
        <v>44984</v>
      </c>
      <c r="E47" s="214">
        <f t="shared" si="12"/>
        <v>15</v>
      </c>
      <c r="F47" s="213"/>
      <c r="G47" s="213"/>
      <c r="H47" s="213"/>
      <c r="I47" s="213"/>
      <c r="J47" s="213">
        <v>15</v>
      </c>
      <c r="K47" s="213"/>
      <c r="L47" s="213"/>
      <c r="M47" s="213"/>
      <c r="N47" s="213"/>
      <c r="O47" s="213"/>
    </row>
    <row r="48" spans="1:15">
      <c r="A48" s="213" t="s">
        <v>745</v>
      </c>
      <c r="B48" s="213" t="s">
        <v>157</v>
      </c>
      <c r="C48" s="218">
        <v>44984</v>
      </c>
      <c r="D48" s="218">
        <v>44984</v>
      </c>
      <c r="E48" s="214">
        <f t="shared" si="12"/>
        <v>15</v>
      </c>
      <c r="F48" s="213"/>
      <c r="G48" s="213"/>
      <c r="H48" s="213"/>
      <c r="I48" s="213"/>
      <c r="J48" s="213">
        <v>15</v>
      </c>
      <c r="K48" s="213"/>
      <c r="L48" s="213"/>
      <c r="M48" s="213"/>
      <c r="N48" s="213"/>
      <c r="O48" s="213"/>
    </row>
    <row r="49" spans="1:15">
      <c r="A49" s="213" t="s">
        <v>746</v>
      </c>
      <c r="B49" s="213" t="s">
        <v>157</v>
      </c>
      <c r="C49" s="218">
        <v>44984</v>
      </c>
      <c r="D49" s="218">
        <v>44984</v>
      </c>
      <c r="E49" s="214">
        <f t="shared" si="12"/>
        <v>15</v>
      </c>
      <c r="F49" s="213"/>
      <c r="G49" s="213"/>
      <c r="H49" s="213"/>
      <c r="I49" s="213"/>
      <c r="J49" s="213">
        <v>15</v>
      </c>
      <c r="K49" s="213"/>
      <c r="L49" s="213"/>
      <c r="M49" s="213"/>
      <c r="N49" s="213"/>
      <c r="O49" s="213"/>
    </row>
    <row r="50" spans="1:15">
      <c r="A50" s="213" t="s">
        <v>747</v>
      </c>
      <c r="B50" s="213" t="s">
        <v>157</v>
      </c>
      <c r="C50" s="218">
        <v>44984</v>
      </c>
      <c r="D50" s="218">
        <v>44984</v>
      </c>
      <c r="E50" s="214">
        <f t="shared" si="12"/>
        <v>15</v>
      </c>
      <c r="F50" s="213"/>
      <c r="G50" s="213"/>
      <c r="H50" s="213"/>
      <c r="I50" s="213"/>
      <c r="J50" s="213">
        <v>15</v>
      </c>
      <c r="K50" s="213"/>
      <c r="L50" s="213"/>
      <c r="M50" s="213"/>
      <c r="N50" s="213"/>
      <c r="O50" s="213"/>
    </row>
    <row r="51" spans="1:15">
      <c r="A51" s="213" t="s">
        <v>748</v>
      </c>
      <c r="B51" s="213" t="s">
        <v>157</v>
      </c>
      <c r="C51" s="218">
        <v>44984</v>
      </c>
      <c r="D51" s="218">
        <v>44984</v>
      </c>
      <c r="E51" s="214">
        <f t="shared" si="12"/>
        <v>15</v>
      </c>
      <c r="F51" s="213"/>
      <c r="G51" s="213"/>
      <c r="H51" s="213"/>
      <c r="I51" s="213"/>
      <c r="J51" s="213">
        <v>15</v>
      </c>
      <c r="K51" s="213"/>
      <c r="L51" s="213"/>
      <c r="M51" s="213"/>
      <c r="N51" s="213"/>
      <c r="O51" s="213"/>
    </row>
    <row r="52" spans="1:15">
      <c r="A52" s="213" t="s">
        <v>749</v>
      </c>
      <c r="B52" s="213" t="s">
        <v>157</v>
      </c>
      <c r="C52" s="218">
        <v>44984</v>
      </c>
      <c r="D52" s="218">
        <v>44984</v>
      </c>
      <c r="E52" s="214">
        <f t="shared" si="12"/>
        <v>15</v>
      </c>
      <c r="F52" s="213"/>
      <c r="G52" s="213"/>
      <c r="H52" s="213"/>
      <c r="I52" s="213"/>
      <c r="J52" s="213">
        <v>15</v>
      </c>
      <c r="K52" s="213"/>
      <c r="L52" s="213"/>
      <c r="M52" s="213"/>
      <c r="N52" s="213"/>
      <c r="O52" s="213"/>
    </row>
    <row r="53" spans="1:15">
      <c r="A53" s="213" t="s">
        <v>762</v>
      </c>
      <c r="B53" s="213" t="s">
        <v>157</v>
      </c>
      <c r="C53" s="218">
        <v>44984</v>
      </c>
      <c r="D53" s="218">
        <v>44984</v>
      </c>
      <c r="E53" s="214">
        <v>30</v>
      </c>
      <c r="F53" s="213"/>
      <c r="G53" s="213"/>
      <c r="H53" s="213"/>
      <c r="I53" s="213"/>
      <c r="J53" s="213"/>
      <c r="K53" s="213">
        <v>15</v>
      </c>
      <c r="L53" s="213">
        <v>15</v>
      </c>
      <c r="M53" s="213"/>
      <c r="N53" s="213"/>
      <c r="O53" s="213"/>
    </row>
    <row r="54" spans="1:15">
      <c r="A54" s="213" t="s">
        <v>816</v>
      </c>
      <c r="B54" s="213" t="s">
        <v>157</v>
      </c>
      <c r="C54" s="218">
        <v>44984</v>
      </c>
      <c r="D54" s="218">
        <v>44984</v>
      </c>
      <c r="E54" s="214">
        <v>30</v>
      </c>
      <c r="F54" s="213"/>
      <c r="G54" s="213"/>
      <c r="H54" s="213"/>
      <c r="I54" s="213"/>
      <c r="J54" s="213"/>
      <c r="K54" s="213">
        <v>15</v>
      </c>
      <c r="L54" s="213"/>
      <c r="M54" s="213">
        <v>15</v>
      </c>
      <c r="N54" s="213"/>
      <c r="O54" s="213"/>
    </row>
    <row r="55" spans="1:15">
      <c r="A55" s="213" t="s">
        <v>817</v>
      </c>
      <c r="B55" s="213" t="s">
        <v>157</v>
      </c>
      <c r="C55" s="218">
        <v>44984</v>
      </c>
      <c r="D55" s="218">
        <v>44984</v>
      </c>
      <c r="E55" s="214">
        <v>30</v>
      </c>
      <c r="F55" s="213"/>
      <c r="G55" s="213"/>
      <c r="H55" s="213"/>
      <c r="I55" s="213"/>
      <c r="J55" s="213"/>
      <c r="K55" s="213">
        <v>15</v>
      </c>
      <c r="L55" s="213"/>
      <c r="M55" s="213">
        <v>15</v>
      </c>
      <c r="N55" s="213"/>
      <c r="O55" s="213"/>
    </row>
    <row r="56" spans="1:15">
      <c r="A56" s="213" t="s">
        <v>828</v>
      </c>
      <c r="B56" s="213" t="s">
        <v>157</v>
      </c>
      <c r="C56" s="218">
        <v>44987</v>
      </c>
      <c r="D56" s="218">
        <v>44987</v>
      </c>
      <c r="E56" s="214">
        <f t="shared" ref="E56:E74" si="13">SUM(F56:O56)</f>
        <v>15</v>
      </c>
      <c r="F56" s="213"/>
      <c r="G56" s="213"/>
      <c r="H56" s="213"/>
      <c r="I56" s="213"/>
      <c r="J56" s="213">
        <v>15</v>
      </c>
      <c r="K56" s="213"/>
      <c r="L56" s="213"/>
      <c r="M56" s="213"/>
      <c r="N56" s="213"/>
      <c r="O56" s="213"/>
    </row>
    <row r="57" spans="1:15">
      <c r="A57" s="213" t="s">
        <v>829</v>
      </c>
      <c r="B57" s="213" t="s">
        <v>157</v>
      </c>
      <c r="C57" s="218">
        <v>44987</v>
      </c>
      <c r="D57" s="218">
        <v>44987</v>
      </c>
      <c r="E57" s="214">
        <f t="shared" si="13"/>
        <v>15</v>
      </c>
      <c r="F57" s="213"/>
      <c r="G57" s="213"/>
      <c r="H57" s="213"/>
      <c r="I57" s="213"/>
      <c r="J57" s="213">
        <v>15</v>
      </c>
      <c r="K57" s="213"/>
      <c r="L57" s="213"/>
      <c r="M57" s="213"/>
      <c r="N57" s="213"/>
      <c r="O57" s="213"/>
    </row>
    <row r="58" spans="1:15">
      <c r="A58" s="213" t="s">
        <v>830</v>
      </c>
      <c r="B58" s="213" t="s">
        <v>157</v>
      </c>
      <c r="C58" s="218">
        <v>44987</v>
      </c>
      <c r="D58" s="218">
        <v>44987</v>
      </c>
      <c r="E58" s="214">
        <f t="shared" si="13"/>
        <v>15</v>
      </c>
      <c r="F58" s="213"/>
      <c r="G58" s="213"/>
      <c r="H58" s="213"/>
      <c r="I58" s="213"/>
      <c r="J58" s="213">
        <v>15</v>
      </c>
      <c r="K58" s="213"/>
      <c r="L58" s="213"/>
      <c r="M58" s="213"/>
      <c r="N58" s="213"/>
      <c r="O58" s="213"/>
    </row>
    <row r="59" spans="1:15">
      <c r="A59" s="213" t="s">
        <v>831</v>
      </c>
      <c r="B59" s="213" t="s">
        <v>157</v>
      </c>
      <c r="C59" s="218">
        <v>44987</v>
      </c>
      <c r="D59" s="218">
        <v>44987</v>
      </c>
      <c r="E59" s="214">
        <f t="shared" si="13"/>
        <v>15</v>
      </c>
      <c r="F59" s="213"/>
      <c r="G59" s="213"/>
      <c r="H59" s="213"/>
      <c r="I59" s="213"/>
      <c r="J59" s="213">
        <v>15</v>
      </c>
      <c r="K59" s="213"/>
      <c r="L59" s="213"/>
      <c r="M59" s="213"/>
      <c r="N59" s="213"/>
      <c r="O59" s="213"/>
    </row>
    <row r="60" spans="1:15">
      <c r="A60" s="213" t="s">
        <v>832</v>
      </c>
      <c r="B60" s="213" t="s">
        <v>157</v>
      </c>
      <c r="C60" s="218">
        <v>44987</v>
      </c>
      <c r="D60" s="218">
        <v>44987</v>
      </c>
      <c r="E60" s="214">
        <f t="shared" si="13"/>
        <v>15</v>
      </c>
      <c r="F60" s="213"/>
      <c r="G60" s="213"/>
      <c r="H60" s="213"/>
      <c r="I60" s="213"/>
      <c r="J60" s="213">
        <v>15</v>
      </c>
      <c r="K60" s="213"/>
      <c r="L60" s="213"/>
      <c r="M60" s="213"/>
      <c r="N60" s="213"/>
      <c r="O60" s="213"/>
    </row>
    <row r="61" spans="1:15">
      <c r="A61" s="213" t="s">
        <v>833</v>
      </c>
      <c r="B61" s="213" t="s">
        <v>157</v>
      </c>
      <c r="C61" s="218">
        <v>44987</v>
      </c>
      <c r="D61" s="218">
        <v>44987</v>
      </c>
      <c r="E61" s="214">
        <f t="shared" si="13"/>
        <v>15</v>
      </c>
      <c r="F61" s="213"/>
      <c r="G61" s="213"/>
      <c r="H61" s="213"/>
      <c r="I61" s="213"/>
      <c r="J61" s="213">
        <v>15</v>
      </c>
      <c r="K61" s="213"/>
      <c r="L61" s="213"/>
      <c r="M61" s="213"/>
      <c r="N61" s="213"/>
      <c r="O61" s="213"/>
    </row>
    <row r="62" spans="1:15">
      <c r="A62" s="213" t="s">
        <v>834</v>
      </c>
      <c r="B62" s="213" t="s">
        <v>157</v>
      </c>
      <c r="C62" s="218">
        <v>44987</v>
      </c>
      <c r="D62" s="218">
        <v>44987</v>
      </c>
      <c r="E62" s="214">
        <f t="shared" si="13"/>
        <v>15</v>
      </c>
      <c r="F62" s="213"/>
      <c r="G62" s="213"/>
      <c r="H62" s="213"/>
      <c r="I62" s="213"/>
      <c r="J62" s="213">
        <v>15</v>
      </c>
      <c r="K62" s="213"/>
      <c r="L62" s="213"/>
      <c r="M62" s="213"/>
      <c r="N62" s="213"/>
      <c r="O62" s="213"/>
    </row>
    <row r="63" spans="1:15">
      <c r="A63" s="213" t="s">
        <v>828</v>
      </c>
      <c r="B63" s="213" t="s">
        <v>157</v>
      </c>
      <c r="C63" s="218">
        <v>45006</v>
      </c>
      <c r="D63" s="218">
        <v>45006</v>
      </c>
      <c r="E63" s="214">
        <f t="shared" si="13"/>
        <v>10</v>
      </c>
      <c r="F63" s="213">
        <v>10</v>
      </c>
      <c r="G63" s="213"/>
      <c r="H63" s="213"/>
      <c r="I63" s="213"/>
      <c r="J63" s="213"/>
      <c r="K63" s="213"/>
      <c r="L63" s="213"/>
      <c r="M63" s="213"/>
      <c r="N63" s="213"/>
      <c r="O63" s="213"/>
    </row>
    <row r="64" spans="1:15">
      <c r="A64" s="219" t="s">
        <v>838</v>
      </c>
      <c r="B64" s="213" t="s">
        <v>157</v>
      </c>
      <c r="C64" s="218">
        <v>45006</v>
      </c>
      <c r="D64" s="218">
        <v>45006</v>
      </c>
      <c r="E64" s="214">
        <f t="shared" si="13"/>
        <v>10</v>
      </c>
      <c r="F64" s="213">
        <v>10</v>
      </c>
      <c r="G64" s="213"/>
      <c r="H64" s="213"/>
      <c r="I64" s="213"/>
      <c r="J64" s="213"/>
      <c r="K64" s="213"/>
      <c r="L64" s="213"/>
      <c r="M64" s="213"/>
      <c r="N64" s="213"/>
      <c r="O64" s="213"/>
    </row>
    <row r="65" spans="1:15">
      <c r="A65" s="213" t="s">
        <v>847</v>
      </c>
      <c r="B65" s="213" t="s">
        <v>157</v>
      </c>
      <c r="C65" s="218">
        <v>45006</v>
      </c>
      <c r="D65" s="218">
        <v>45006</v>
      </c>
      <c r="E65" s="214">
        <f t="shared" si="13"/>
        <v>20</v>
      </c>
      <c r="F65" s="213">
        <v>20</v>
      </c>
      <c r="G65" s="213"/>
      <c r="H65" s="213"/>
      <c r="I65" s="213"/>
      <c r="J65" s="213"/>
      <c r="K65" s="213"/>
      <c r="L65" s="213"/>
      <c r="M65" s="213"/>
      <c r="N65" s="213"/>
      <c r="O65" s="213"/>
    </row>
    <row r="66" spans="1:15">
      <c r="A66" s="219" t="s">
        <v>849</v>
      </c>
      <c r="B66" s="213" t="s">
        <v>157</v>
      </c>
      <c r="C66" s="218">
        <v>45006</v>
      </c>
      <c r="D66" s="218">
        <v>45006</v>
      </c>
      <c r="E66" s="214">
        <f t="shared" ref="E66" si="14">SUM(F66:O66)</f>
        <v>20</v>
      </c>
      <c r="F66" s="213">
        <v>20</v>
      </c>
      <c r="G66" s="213"/>
      <c r="H66" s="213"/>
      <c r="I66" s="213"/>
      <c r="J66" s="213"/>
      <c r="K66" s="213"/>
      <c r="L66" s="213"/>
      <c r="M66" s="213"/>
      <c r="N66" s="213"/>
      <c r="O66" s="213"/>
    </row>
    <row r="67" spans="1:15">
      <c r="A67" s="213" t="s">
        <v>832</v>
      </c>
      <c r="B67" s="213" t="s">
        <v>157</v>
      </c>
      <c r="C67" s="218">
        <v>45006</v>
      </c>
      <c r="D67" s="218">
        <v>45006</v>
      </c>
      <c r="E67" s="214">
        <f t="shared" ref="E67" si="15">SUM(F67:O67)</f>
        <v>10</v>
      </c>
      <c r="F67" s="213">
        <v>10</v>
      </c>
      <c r="G67" s="213"/>
      <c r="H67" s="213"/>
      <c r="I67" s="213"/>
      <c r="J67" s="213"/>
      <c r="K67" s="213"/>
      <c r="L67" s="213"/>
      <c r="M67" s="213"/>
      <c r="N67" s="213"/>
      <c r="O67" s="213"/>
    </row>
    <row r="68" spans="1:15">
      <c r="A68" s="220" t="s">
        <v>857</v>
      </c>
      <c r="B68" s="213" t="s">
        <v>157</v>
      </c>
      <c r="C68" s="218">
        <v>45006</v>
      </c>
      <c r="D68" s="218">
        <v>45006</v>
      </c>
      <c r="E68" s="214">
        <f t="shared" si="13"/>
        <v>10</v>
      </c>
      <c r="F68" s="213">
        <v>10</v>
      </c>
      <c r="G68" s="213"/>
      <c r="H68" s="213"/>
      <c r="I68" s="213"/>
      <c r="J68" s="213"/>
      <c r="K68" s="213"/>
      <c r="L68" s="213"/>
      <c r="M68" s="213"/>
      <c r="N68" s="213"/>
      <c r="O68" s="213"/>
    </row>
    <row r="69" spans="1:15">
      <c r="A69" s="222" t="s">
        <v>881</v>
      </c>
      <c r="B69" s="213" t="s">
        <v>157</v>
      </c>
      <c r="C69" s="218">
        <v>45035</v>
      </c>
      <c r="D69" s="218">
        <v>45035</v>
      </c>
      <c r="E69" s="214">
        <f t="shared" si="13"/>
        <v>160</v>
      </c>
      <c r="F69" s="213">
        <v>80</v>
      </c>
      <c r="G69" s="213">
        <v>80</v>
      </c>
      <c r="H69" s="213"/>
      <c r="I69" s="213"/>
      <c r="J69" s="213"/>
      <c r="K69" s="213"/>
      <c r="L69" s="213"/>
      <c r="M69" s="213"/>
      <c r="N69" s="213"/>
      <c r="O69" s="213"/>
    </row>
    <row r="70" spans="1:15">
      <c r="A70" s="222" t="s">
        <v>890</v>
      </c>
      <c r="B70" s="213" t="s">
        <v>157</v>
      </c>
      <c r="C70" s="218">
        <v>45035</v>
      </c>
      <c r="D70" s="218">
        <v>45035</v>
      </c>
      <c r="E70" s="214">
        <f t="shared" si="13"/>
        <v>20</v>
      </c>
      <c r="F70" s="213">
        <v>10</v>
      </c>
      <c r="G70" s="213">
        <v>10</v>
      </c>
      <c r="H70" s="213"/>
      <c r="I70" s="213"/>
      <c r="J70" s="213"/>
      <c r="K70" s="213"/>
      <c r="L70" s="213"/>
      <c r="M70" s="213"/>
      <c r="N70" s="213"/>
      <c r="O70" s="213"/>
    </row>
    <row r="71" spans="1:15">
      <c r="A71" s="224" t="s">
        <v>921</v>
      </c>
      <c r="B71" s="213" t="s">
        <v>157</v>
      </c>
      <c r="C71" s="218">
        <v>45035</v>
      </c>
      <c r="D71" s="218">
        <v>45035</v>
      </c>
      <c r="E71" s="214">
        <f t="shared" si="13"/>
        <v>80</v>
      </c>
      <c r="F71" s="213">
        <v>40</v>
      </c>
      <c r="G71" s="213">
        <v>40</v>
      </c>
      <c r="H71" s="213"/>
      <c r="I71" s="213"/>
      <c r="J71" s="213"/>
      <c r="K71" s="213"/>
      <c r="L71" s="213"/>
      <c r="M71" s="213"/>
      <c r="N71" s="213"/>
      <c r="O71" s="213"/>
    </row>
    <row r="72" spans="1:15">
      <c r="A72" s="224" t="s">
        <v>910</v>
      </c>
      <c r="B72" s="213" t="s">
        <v>157</v>
      </c>
      <c r="C72" s="218">
        <v>45035</v>
      </c>
      <c r="D72" s="218">
        <v>45035</v>
      </c>
      <c r="E72" s="214">
        <f t="shared" si="13"/>
        <v>20</v>
      </c>
      <c r="F72" s="213">
        <v>10</v>
      </c>
      <c r="G72" s="213">
        <v>10</v>
      </c>
      <c r="H72" s="213"/>
      <c r="I72" s="213"/>
      <c r="J72" s="213"/>
      <c r="K72" s="213"/>
      <c r="L72" s="213"/>
      <c r="M72" s="213"/>
      <c r="N72" s="213"/>
      <c r="O72" s="213"/>
    </row>
    <row r="73" spans="1:15">
      <c r="A73" s="222" t="s">
        <v>912</v>
      </c>
      <c r="B73" s="213" t="s">
        <v>157</v>
      </c>
      <c r="C73" s="218">
        <v>45035</v>
      </c>
      <c r="D73" s="218">
        <v>45035</v>
      </c>
      <c r="E73" s="214">
        <f t="shared" si="13"/>
        <v>20</v>
      </c>
      <c r="F73" s="213">
        <v>10</v>
      </c>
      <c r="G73" s="213">
        <v>10</v>
      </c>
      <c r="H73" s="213"/>
      <c r="I73" s="213"/>
      <c r="J73" s="213"/>
      <c r="K73" s="213"/>
      <c r="L73" s="213"/>
      <c r="M73" s="213"/>
      <c r="N73" s="213"/>
      <c r="O73" s="213"/>
    </row>
    <row r="74" spans="1:15">
      <c r="A74" s="223" t="s">
        <v>915</v>
      </c>
      <c r="B74" s="213" t="s">
        <v>157</v>
      </c>
      <c r="C74" s="218">
        <v>45035</v>
      </c>
      <c r="D74" s="218">
        <v>45035</v>
      </c>
      <c r="E74" s="216">
        <f t="shared" si="13"/>
        <v>20</v>
      </c>
      <c r="F74" s="215">
        <v>10</v>
      </c>
      <c r="G74" s="215">
        <v>10</v>
      </c>
      <c r="H74" s="215"/>
      <c r="I74" s="215"/>
      <c r="J74" s="215"/>
      <c r="K74" s="215"/>
      <c r="L74" s="215"/>
      <c r="M74" s="215"/>
      <c r="N74" s="215"/>
      <c r="O74" s="215"/>
    </row>
    <row r="75" spans="1:15">
      <c r="A75" s="225" t="s">
        <v>920</v>
      </c>
      <c r="B75" s="213" t="s">
        <v>157</v>
      </c>
      <c r="C75" s="218">
        <v>45035</v>
      </c>
      <c r="D75" s="218">
        <v>45035</v>
      </c>
      <c r="E75" s="216">
        <f>SUM(F75:O75)</f>
        <v>20</v>
      </c>
      <c r="F75" s="215">
        <v>10</v>
      </c>
      <c r="G75" s="215">
        <v>10</v>
      </c>
      <c r="H75" s="215"/>
      <c r="I75" s="215"/>
      <c r="J75" s="215"/>
      <c r="K75" s="215"/>
      <c r="L75" s="215"/>
      <c r="M75" s="215"/>
      <c r="N75" s="215"/>
      <c r="O75" s="215"/>
    </row>
    <row r="76" spans="1:15">
      <c r="A76" s="232" t="s">
        <v>962</v>
      </c>
      <c r="B76" s="213" t="s">
        <v>157</v>
      </c>
      <c r="C76" s="218">
        <v>45099</v>
      </c>
      <c r="D76" s="218">
        <v>45099</v>
      </c>
      <c r="E76" s="216">
        <f>SUM(F76:O76)</f>
        <v>20</v>
      </c>
      <c r="F76" s="215">
        <v>10</v>
      </c>
      <c r="G76" s="215">
        <v>10</v>
      </c>
      <c r="H76" s="215"/>
      <c r="I76" s="215"/>
      <c r="J76" s="215"/>
      <c r="K76" s="215"/>
      <c r="L76" s="215"/>
      <c r="M76" s="215"/>
      <c r="N76" s="215"/>
      <c r="O76" s="215"/>
    </row>
    <row r="77" spans="1:15">
      <c r="A77" s="233" t="s">
        <v>963</v>
      </c>
      <c r="B77" s="213" t="s">
        <v>157</v>
      </c>
      <c r="C77" s="218">
        <v>45099</v>
      </c>
      <c r="D77" s="218">
        <v>45099</v>
      </c>
      <c r="E77" s="214">
        <f t="shared" ref="E77:E82" si="16">SUM(F77:O77)</f>
        <v>30</v>
      </c>
      <c r="F77" s="213">
        <v>15</v>
      </c>
      <c r="G77" s="213">
        <v>15</v>
      </c>
      <c r="H77" s="213"/>
      <c r="I77" s="213"/>
      <c r="J77" s="213"/>
      <c r="K77" s="213"/>
      <c r="L77" s="213"/>
      <c r="M77" s="213"/>
      <c r="N77" s="213"/>
      <c r="O77" s="213"/>
    </row>
    <row r="78" spans="1:15">
      <c r="A78" s="234" t="s">
        <v>964</v>
      </c>
      <c r="B78" s="213" t="s">
        <v>157</v>
      </c>
      <c r="C78" s="218">
        <v>45099</v>
      </c>
      <c r="D78" s="218">
        <v>45099</v>
      </c>
      <c r="E78" s="214">
        <f t="shared" si="16"/>
        <v>20</v>
      </c>
      <c r="F78" s="213">
        <v>10</v>
      </c>
      <c r="G78" s="213">
        <v>10</v>
      </c>
      <c r="H78" s="213"/>
      <c r="I78" s="213"/>
      <c r="J78" s="213"/>
      <c r="K78" s="213"/>
      <c r="L78" s="213"/>
      <c r="M78" s="213"/>
      <c r="N78" s="213"/>
      <c r="O78" s="213"/>
    </row>
    <row r="79" spans="1:15">
      <c r="A79" s="233" t="s">
        <v>965</v>
      </c>
      <c r="B79" s="213" t="s">
        <v>157</v>
      </c>
      <c r="C79" s="218">
        <v>45099</v>
      </c>
      <c r="D79" s="218">
        <v>45099</v>
      </c>
      <c r="E79" s="214">
        <f t="shared" si="16"/>
        <v>20</v>
      </c>
      <c r="F79" s="213">
        <v>10</v>
      </c>
      <c r="G79" s="213">
        <v>10</v>
      </c>
      <c r="H79" s="213"/>
      <c r="I79" s="213"/>
      <c r="J79" s="213"/>
      <c r="K79" s="213"/>
      <c r="L79" s="213"/>
      <c r="M79" s="213"/>
      <c r="N79" s="213"/>
      <c r="O79" s="213"/>
    </row>
    <row r="80" spans="1:15">
      <c r="A80" s="232" t="s">
        <v>968</v>
      </c>
      <c r="B80" s="213" t="s">
        <v>157</v>
      </c>
      <c r="C80" s="218">
        <v>45099</v>
      </c>
      <c r="D80" s="218">
        <v>45099</v>
      </c>
      <c r="E80" s="216">
        <f t="shared" si="16"/>
        <v>20</v>
      </c>
      <c r="F80" s="215">
        <v>10</v>
      </c>
      <c r="G80" s="215">
        <v>10</v>
      </c>
      <c r="H80" s="215"/>
      <c r="I80" s="215"/>
      <c r="J80" s="215"/>
      <c r="K80" s="215"/>
      <c r="L80" s="215"/>
      <c r="M80" s="215"/>
      <c r="N80" s="215"/>
      <c r="O80" s="215"/>
    </row>
    <row r="81" spans="1:15">
      <c r="A81" s="233" t="s">
        <v>966</v>
      </c>
      <c r="B81" s="213" t="s">
        <v>157</v>
      </c>
      <c r="C81" s="218">
        <v>45099</v>
      </c>
      <c r="D81" s="218">
        <v>45099</v>
      </c>
      <c r="E81" s="214">
        <f t="shared" si="16"/>
        <v>20</v>
      </c>
      <c r="F81" s="213">
        <v>10</v>
      </c>
      <c r="G81" s="213">
        <v>10</v>
      </c>
      <c r="H81" s="213"/>
      <c r="I81" s="213"/>
      <c r="J81" s="213"/>
      <c r="K81" s="213"/>
      <c r="L81" s="213"/>
      <c r="M81" s="213"/>
      <c r="N81" s="213"/>
      <c r="O81" s="213"/>
    </row>
    <row r="82" spans="1:15">
      <c r="A82" s="233" t="s">
        <v>967</v>
      </c>
      <c r="B82" s="213" t="s">
        <v>157</v>
      </c>
      <c r="C82" s="218">
        <v>45099</v>
      </c>
      <c r="D82" s="218">
        <v>45099</v>
      </c>
      <c r="E82" s="214">
        <f t="shared" si="16"/>
        <v>20</v>
      </c>
      <c r="F82" s="213">
        <v>10</v>
      </c>
      <c r="G82" s="213">
        <v>10</v>
      </c>
      <c r="H82" s="213"/>
      <c r="I82" s="213"/>
      <c r="J82" s="213"/>
      <c r="K82" s="213"/>
      <c r="L82" s="213"/>
      <c r="M82" s="213"/>
      <c r="N82" s="213"/>
      <c r="O82" s="213"/>
    </row>
    <row r="83" spans="1:15">
      <c r="A83" s="235" t="s">
        <v>987</v>
      </c>
      <c r="B83" s="213" t="s">
        <v>157</v>
      </c>
      <c r="C83" s="218">
        <v>45105</v>
      </c>
      <c r="D83" s="218">
        <v>45105</v>
      </c>
      <c r="E83" s="216">
        <f>SUM(F83:O83)</f>
        <v>20</v>
      </c>
      <c r="F83" s="215">
        <v>10</v>
      </c>
      <c r="G83" s="215">
        <v>10</v>
      </c>
      <c r="H83" s="215"/>
      <c r="I83" s="215"/>
      <c r="J83" s="215"/>
      <c r="K83" s="215"/>
      <c r="L83" s="215"/>
      <c r="M83" s="215"/>
      <c r="N83" s="215"/>
      <c r="O83" s="215"/>
    </row>
    <row r="84" spans="1:15">
      <c r="A84" s="234" t="s">
        <v>988</v>
      </c>
      <c r="B84" s="213" t="s">
        <v>157</v>
      </c>
      <c r="C84" s="218">
        <v>45105</v>
      </c>
      <c r="D84" s="218">
        <v>45105</v>
      </c>
      <c r="E84" s="214">
        <f t="shared" ref="E84:E89" si="17">SUM(F84:O84)</f>
        <v>30</v>
      </c>
      <c r="F84" s="213">
        <v>15</v>
      </c>
      <c r="G84" s="213">
        <v>15</v>
      </c>
      <c r="H84" s="213"/>
      <c r="I84" s="213"/>
      <c r="J84" s="213"/>
      <c r="K84" s="213"/>
      <c r="L84" s="213"/>
      <c r="M84" s="213"/>
      <c r="N84" s="213"/>
      <c r="O84" s="213"/>
    </row>
    <row r="85" spans="1:15">
      <c r="A85" s="234" t="s">
        <v>989</v>
      </c>
      <c r="B85" s="213" t="s">
        <v>157</v>
      </c>
      <c r="C85" s="218">
        <v>45105</v>
      </c>
      <c r="D85" s="218">
        <v>45105</v>
      </c>
      <c r="E85" s="214">
        <f t="shared" si="17"/>
        <v>20</v>
      </c>
      <c r="F85" s="213">
        <v>10</v>
      </c>
      <c r="G85" s="213">
        <v>10</v>
      </c>
      <c r="H85" s="213"/>
      <c r="I85" s="213"/>
      <c r="J85" s="213"/>
      <c r="K85" s="213"/>
      <c r="L85" s="213"/>
      <c r="M85" s="213"/>
      <c r="N85" s="213"/>
      <c r="O85" s="213"/>
    </row>
    <row r="86" spans="1:15">
      <c r="A86" s="234" t="s">
        <v>990</v>
      </c>
      <c r="B86" s="213" t="s">
        <v>157</v>
      </c>
      <c r="C86" s="218">
        <v>45105</v>
      </c>
      <c r="D86" s="218">
        <v>45105</v>
      </c>
      <c r="E86" s="214">
        <f t="shared" si="17"/>
        <v>20</v>
      </c>
      <c r="F86" s="213">
        <v>10</v>
      </c>
      <c r="G86" s="213">
        <v>10</v>
      </c>
      <c r="H86" s="213"/>
      <c r="I86" s="213"/>
      <c r="J86" s="213"/>
      <c r="K86" s="213"/>
      <c r="L86" s="213"/>
      <c r="M86" s="213"/>
      <c r="N86" s="213"/>
      <c r="O86" s="213"/>
    </row>
    <row r="87" spans="1:15">
      <c r="A87" s="235" t="s">
        <v>991</v>
      </c>
      <c r="B87" s="213" t="s">
        <v>157</v>
      </c>
      <c r="C87" s="218">
        <v>45105</v>
      </c>
      <c r="D87" s="218">
        <v>45105</v>
      </c>
      <c r="E87" s="216">
        <f t="shared" si="17"/>
        <v>20</v>
      </c>
      <c r="F87" s="215">
        <v>10</v>
      </c>
      <c r="G87" s="215">
        <v>10</v>
      </c>
      <c r="H87" s="215"/>
      <c r="I87" s="215"/>
      <c r="J87" s="215"/>
      <c r="K87" s="215"/>
      <c r="L87" s="215"/>
      <c r="M87" s="215"/>
      <c r="N87" s="215"/>
      <c r="O87" s="215"/>
    </row>
    <row r="88" spans="1:15">
      <c r="A88" s="234" t="s">
        <v>992</v>
      </c>
      <c r="B88" s="213" t="s">
        <v>157</v>
      </c>
      <c r="C88" s="218">
        <v>45105</v>
      </c>
      <c r="D88" s="218">
        <v>45105</v>
      </c>
      <c r="E88" s="214">
        <f t="shared" si="17"/>
        <v>20</v>
      </c>
      <c r="F88" s="213">
        <v>10</v>
      </c>
      <c r="G88" s="213">
        <v>10</v>
      </c>
      <c r="H88" s="213"/>
      <c r="I88" s="213"/>
      <c r="J88" s="213"/>
      <c r="K88" s="213"/>
      <c r="L88" s="213"/>
      <c r="M88" s="213"/>
      <c r="N88" s="213"/>
      <c r="O88" s="213"/>
    </row>
    <row r="89" spans="1:15">
      <c r="A89" s="234" t="s">
        <v>993</v>
      </c>
      <c r="B89" s="213" t="s">
        <v>157</v>
      </c>
      <c r="C89" s="218">
        <v>45105</v>
      </c>
      <c r="D89" s="218">
        <v>45105</v>
      </c>
      <c r="E89" s="214">
        <f t="shared" si="17"/>
        <v>20</v>
      </c>
      <c r="F89" s="213">
        <v>10</v>
      </c>
      <c r="G89" s="213">
        <v>10</v>
      </c>
      <c r="H89" s="213"/>
      <c r="I89" s="213"/>
      <c r="J89" s="213"/>
      <c r="K89" s="213"/>
      <c r="L89" s="213"/>
      <c r="M89" s="213"/>
      <c r="N89" s="213"/>
      <c r="O89" s="213"/>
    </row>
    <row r="90" spans="1:15">
      <c r="A90" s="236" t="s">
        <v>995</v>
      </c>
      <c r="B90" s="213" t="s">
        <v>157</v>
      </c>
      <c r="C90" s="218">
        <v>45124</v>
      </c>
      <c r="D90" s="218">
        <v>45124</v>
      </c>
      <c r="E90" s="216">
        <f>SUM(F90:O90)</f>
        <v>10</v>
      </c>
      <c r="F90" s="215">
        <v>5</v>
      </c>
      <c r="G90" s="215">
        <v>5</v>
      </c>
      <c r="H90" s="215"/>
      <c r="I90" s="215"/>
      <c r="J90" s="215"/>
      <c r="K90" s="215"/>
      <c r="L90" s="215"/>
      <c r="M90" s="215"/>
      <c r="N90" s="215"/>
      <c r="O90" s="215"/>
    </row>
    <row r="91" spans="1:15">
      <c r="A91" s="237" t="s">
        <v>998</v>
      </c>
      <c r="B91" s="213" t="s">
        <v>157</v>
      </c>
      <c r="C91" s="218">
        <v>45124</v>
      </c>
      <c r="D91" s="218">
        <v>45124</v>
      </c>
      <c r="E91" s="214">
        <f t="shared" ref="E91:E96" si="18">SUM(F91:O91)</f>
        <v>20</v>
      </c>
      <c r="F91" s="213">
        <v>10</v>
      </c>
      <c r="G91" s="213">
        <v>10</v>
      </c>
      <c r="H91" s="213"/>
      <c r="I91" s="213"/>
      <c r="J91" s="213"/>
      <c r="K91" s="213"/>
      <c r="L91" s="213"/>
      <c r="M91" s="213"/>
      <c r="N91" s="213"/>
      <c r="O91" s="213"/>
    </row>
    <row r="92" spans="1:15">
      <c r="A92" s="237" t="s">
        <v>1001</v>
      </c>
      <c r="B92" s="213" t="s">
        <v>157</v>
      </c>
      <c r="C92" s="218">
        <v>45124</v>
      </c>
      <c r="D92" s="218">
        <v>45124</v>
      </c>
      <c r="E92" s="214">
        <f t="shared" si="18"/>
        <v>20</v>
      </c>
      <c r="F92" s="213">
        <v>10</v>
      </c>
      <c r="G92" s="213">
        <v>10</v>
      </c>
      <c r="H92" s="213"/>
      <c r="I92" s="213"/>
      <c r="J92" s="213"/>
      <c r="K92" s="213"/>
      <c r="L92" s="213"/>
      <c r="M92" s="213"/>
      <c r="N92" s="213"/>
      <c r="O92" s="213"/>
    </row>
    <row r="93" spans="1:15">
      <c r="A93" s="237" t="s">
        <v>1003</v>
      </c>
      <c r="B93" s="213" t="s">
        <v>157</v>
      </c>
      <c r="C93" s="218">
        <v>45124</v>
      </c>
      <c r="D93" s="218">
        <v>45124</v>
      </c>
      <c r="E93" s="214">
        <f t="shared" si="18"/>
        <v>20</v>
      </c>
      <c r="F93" s="213">
        <v>10</v>
      </c>
      <c r="G93" s="213">
        <v>10</v>
      </c>
      <c r="H93" s="213"/>
      <c r="I93" s="213"/>
      <c r="J93" s="213"/>
      <c r="K93" s="213"/>
      <c r="L93" s="213"/>
      <c r="M93" s="213"/>
      <c r="N93" s="213"/>
      <c r="O93" s="213"/>
    </row>
    <row r="94" spans="1:15">
      <c r="A94" s="236" t="s">
        <v>1005</v>
      </c>
      <c r="B94" s="213" t="s">
        <v>157</v>
      </c>
      <c r="C94" s="218">
        <v>45124</v>
      </c>
      <c r="D94" s="218">
        <v>45124</v>
      </c>
      <c r="E94" s="216">
        <f t="shared" si="18"/>
        <v>20</v>
      </c>
      <c r="F94" s="215">
        <v>10</v>
      </c>
      <c r="G94" s="215">
        <v>10</v>
      </c>
      <c r="H94" s="215"/>
      <c r="I94" s="215"/>
      <c r="J94" s="215"/>
      <c r="K94" s="215"/>
      <c r="L94" s="215"/>
      <c r="M94" s="215"/>
      <c r="N94" s="215"/>
      <c r="O94" s="215"/>
    </row>
    <row r="95" spans="1:15">
      <c r="A95" s="237" t="s">
        <v>1008</v>
      </c>
      <c r="B95" s="213" t="s">
        <v>157</v>
      </c>
      <c r="C95" s="218">
        <v>45124</v>
      </c>
      <c r="D95" s="218">
        <v>45124</v>
      </c>
      <c r="E95" s="214">
        <f t="shared" si="18"/>
        <v>20</v>
      </c>
      <c r="F95" s="213">
        <v>10</v>
      </c>
      <c r="G95" s="213">
        <v>10</v>
      </c>
      <c r="H95" s="213"/>
      <c r="I95" s="213"/>
      <c r="J95" s="213"/>
      <c r="K95" s="213"/>
      <c r="L95" s="213"/>
      <c r="M95" s="213"/>
      <c r="N95" s="213"/>
      <c r="O95" s="213"/>
    </row>
    <row r="96" spans="1:15">
      <c r="A96" s="237" t="s">
        <v>1011</v>
      </c>
      <c r="B96" s="213" t="s">
        <v>157</v>
      </c>
      <c r="C96" s="218">
        <v>45124</v>
      </c>
      <c r="D96" s="218">
        <v>45124</v>
      </c>
      <c r="E96" s="214">
        <f t="shared" si="18"/>
        <v>20</v>
      </c>
      <c r="F96" s="213">
        <v>10</v>
      </c>
      <c r="G96" s="213">
        <v>10</v>
      </c>
      <c r="H96" s="213"/>
      <c r="I96" s="213"/>
      <c r="J96" s="213"/>
      <c r="K96" s="213"/>
      <c r="L96" s="213"/>
      <c r="M96" s="213"/>
      <c r="N96" s="213"/>
      <c r="O96" s="213"/>
    </row>
    <row r="97" spans="1:15">
      <c r="A97" s="238" t="s">
        <v>1016</v>
      </c>
      <c r="B97" s="213" t="s">
        <v>157</v>
      </c>
      <c r="C97" s="218">
        <v>45127</v>
      </c>
      <c r="D97" s="218">
        <v>45127</v>
      </c>
      <c r="E97" s="214">
        <f t="shared" ref="E97:E101" si="19">SUM(F97:O97)</f>
        <v>20</v>
      </c>
      <c r="F97" s="213">
        <v>10</v>
      </c>
      <c r="G97" s="213">
        <v>10</v>
      </c>
      <c r="H97" s="213"/>
      <c r="I97" s="213"/>
      <c r="J97" s="213"/>
      <c r="K97" s="213"/>
      <c r="L97" s="213"/>
      <c r="M97" s="213"/>
      <c r="N97" s="213"/>
      <c r="O97" s="213"/>
    </row>
    <row r="98" spans="1:15">
      <c r="A98" s="238" t="s">
        <v>1017</v>
      </c>
      <c r="B98" s="213" t="s">
        <v>157</v>
      </c>
      <c r="C98" s="218">
        <v>45127</v>
      </c>
      <c r="D98" s="218">
        <v>45127</v>
      </c>
      <c r="E98" s="214">
        <f t="shared" si="19"/>
        <v>20</v>
      </c>
      <c r="F98" s="213">
        <v>10</v>
      </c>
      <c r="G98" s="213">
        <v>10</v>
      </c>
      <c r="H98" s="213"/>
      <c r="I98" s="213"/>
      <c r="J98" s="213"/>
      <c r="K98" s="213"/>
      <c r="L98" s="213"/>
      <c r="M98" s="213"/>
      <c r="N98" s="213"/>
      <c r="O98" s="213"/>
    </row>
    <row r="99" spans="1:15">
      <c r="A99" s="238" t="s">
        <v>1018</v>
      </c>
      <c r="B99" s="213" t="s">
        <v>157</v>
      </c>
      <c r="C99" s="218">
        <v>45127</v>
      </c>
      <c r="D99" s="218">
        <v>45127</v>
      </c>
      <c r="E99" s="214">
        <f t="shared" si="19"/>
        <v>20</v>
      </c>
      <c r="F99" s="213">
        <v>10</v>
      </c>
      <c r="G99" s="213">
        <v>10</v>
      </c>
      <c r="H99" s="213"/>
      <c r="I99" s="213"/>
      <c r="J99" s="213"/>
      <c r="K99" s="213"/>
      <c r="L99" s="213"/>
      <c r="M99" s="213"/>
      <c r="N99" s="213"/>
      <c r="O99" s="213"/>
    </row>
    <row r="100" spans="1:15">
      <c r="A100" s="239" t="s">
        <v>1019</v>
      </c>
      <c r="B100" s="215" t="s">
        <v>157</v>
      </c>
      <c r="C100" s="247">
        <v>45127</v>
      </c>
      <c r="D100" s="247">
        <v>45127</v>
      </c>
      <c r="E100" s="216">
        <f t="shared" si="19"/>
        <v>20</v>
      </c>
      <c r="F100" s="213">
        <v>10</v>
      </c>
      <c r="G100" s="213">
        <v>10</v>
      </c>
      <c r="H100" s="213"/>
      <c r="I100" s="213"/>
      <c r="J100" s="213"/>
      <c r="K100" s="213"/>
      <c r="L100" s="213"/>
      <c r="M100" s="213"/>
      <c r="N100" s="213"/>
      <c r="O100" s="213"/>
    </row>
    <row r="101" spans="1:15">
      <c r="A101" s="248" t="s">
        <v>1024</v>
      </c>
      <c r="B101" s="248" t="s">
        <v>157</v>
      </c>
      <c r="C101" s="249">
        <v>45132</v>
      </c>
      <c r="D101" s="249">
        <v>45132</v>
      </c>
      <c r="E101" s="214">
        <f t="shared" si="19"/>
        <v>20</v>
      </c>
      <c r="F101" s="201"/>
      <c r="G101" s="201"/>
      <c r="H101" s="201"/>
      <c r="I101" s="201"/>
      <c r="J101" s="201">
        <v>10</v>
      </c>
      <c r="K101" s="201"/>
      <c r="L101" s="201"/>
      <c r="M101" s="201"/>
      <c r="N101" s="201">
        <v>10</v>
      </c>
      <c r="O101" s="201"/>
    </row>
    <row r="102" spans="1:15">
      <c r="A102" s="250" t="s">
        <v>1027</v>
      </c>
      <c r="B102" s="213" t="s">
        <v>157</v>
      </c>
      <c r="C102" s="249">
        <v>45133</v>
      </c>
      <c r="D102" s="249">
        <v>45133</v>
      </c>
      <c r="E102" s="214">
        <v>30</v>
      </c>
      <c r="F102" s="213"/>
      <c r="G102" s="213"/>
      <c r="H102" s="213"/>
      <c r="I102" s="213"/>
      <c r="J102" s="213"/>
      <c r="K102" s="213"/>
      <c r="L102" s="213">
        <v>15</v>
      </c>
      <c r="M102" s="213">
        <v>15</v>
      </c>
      <c r="N102" s="213"/>
      <c r="O102" s="213"/>
    </row>
    <row r="103" spans="1:15">
      <c r="A103" s="248" t="s">
        <v>1028</v>
      </c>
      <c r="B103" s="248" t="s">
        <v>157</v>
      </c>
      <c r="C103" s="249">
        <v>45138</v>
      </c>
      <c r="D103" s="249">
        <v>45138</v>
      </c>
      <c r="E103" s="214">
        <f t="shared" ref="E103" si="20">SUM(F103:O103)</f>
        <v>20</v>
      </c>
      <c r="F103" s="201"/>
      <c r="G103" s="201"/>
      <c r="H103" s="201"/>
      <c r="I103" s="201">
        <v>10</v>
      </c>
      <c r="J103" s="201">
        <v>10</v>
      </c>
      <c r="K103" s="201"/>
      <c r="L103" s="201"/>
      <c r="M103" s="201"/>
      <c r="N103" s="201"/>
      <c r="O103" s="201"/>
    </row>
  </sheetData>
  <mergeCells count="2">
    <mergeCell ref="A1:E1"/>
    <mergeCell ref="F1:O1"/>
  </mergeCells>
  <phoneticPr fontId="113" type="noConversion"/>
  <conditionalFormatting sqref="A54:A55">
    <cfRule type="expression" dxfId="7803" priority="1" stopIfTrue="1">
      <formula>AND($M54="Approved",OR($L54=$R$1,$L54=$T$1))</formula>
    </cfRule>
  </conditionalFormatting>
  <pageMargins left="0.86614173228346458" right="0.47244094488188981" top="0.98425196850393704" bottom="0.98425196850393704" header="0.47244094488188981" footer="0.51181102362204722"/>
  <pageSetup paperSize="9" orientation="portrait" horizontalDpi="4294967295" verticalDpi="4294967295" r:id="rId1"/>
  <headerFooter>
    <oddHeader>&amp;R&amp;G</oddHeader>
  </headerFooter>
  <legacyDrawing r:id="rId2"/>
  <legacyDrawingHF r:id="rId3"/>
  <tableParts count="1">
    <tablePart r:id="rId4"/>
  </tableParts>
  <extLst>
    <ext xmlns:x14="http://schemas.microsoft.com/office/spreadsheetml/2009/9/main" uri="{CCE6A557-97BC-4b89-ADB6-D9C93CAAB3DF}">
      <x14:dataValidations xmlns:xm="http://schemas.microsoft.com/office/excel/2006/main" count="1">
        <x14:dataValidation type="list" allowBlank="1" showInputMessage="1" showErrorMessage="1" xr:uid="{3B2CCF6D-F27E-437E-B5AF-06EB56376CD3}">
          <x14:formula1>
            <xm:f>Help!$B$13:$B$15</xm:f>
          </x14:formula1>
          <xm:sqref>B3:B100 B102</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Review1" filterMode="1">
    <tabColor rgb="FF92D050"/>
    <outlinePr summaryRight="0"/>
    <pageSetUpPr fitToPage="1"/>
  </sheetPr>
  <dimension ref="A1:AT404"/>
  <sheetViews>
    <sheetView tabSelected="1" zoomScale="90" zoomScaleNormal="90" workbookViewId="0">
      <pane xSplit="1" ySplit="4" topLeftCell="B291" activePane="bottomRight" state="frozenSplit"/>
      <selection pane="topRight" activeCell="K17" sqref="K17"/>
      <selection pane="bottomLeft" activeCell="K17" sqref="K17"/>
      <selection pane="bottomRight" activeCell="M295" sqref="M295"/>
    </sheetView>
  </sheetViews>
  <sheetFormatPr defaultRowHeight="12.75" outlineLevelRow="1" outlineLevelCol="1"/>
  <cols>
    <col min="1" max="1" width="5.28515625" style="46" customWidth="1"/>
    <col min="2" max="2" width="16.42578125" style="43" customWidth="1"/>
    <col min="3" max="3" width="27.7109375" style="43" customWidth="1"/>
    <col min="4" max="4" width="42.140625" style="44" customWidth="1"/>
    <col min="5" max="5" width="11" style="45" customWidth="1" outlineLevel="1"/>
    <col min="6" max="6" width="14.5703125" style="43" customWidth="1" outlineLevel="1"/>
    <col min="7" max="7" width="34.28515625" style="44" customWidth="1"/>
    <col min="8" max="8" width="13.5703125" style="43" customWidth="1" outlineLevel="1"/>
    <col min="9" max="9" width="11.28515625" style="43" customWidth="1" outlineLevel="1"/>
    <col min="10" max="10" width="18.28515625" style="43" customWidth="1" outlineLevel="1"/>
    <col min="11" max="11" width="12.5703125" style="45" customWidth="1"/>
    <col min="12" max="12" width="14.7109375" style="46" bestFit="1" customWidth="1"/>
    <col min="13" max="13" width="13.140625" style="46" customWidth="1"/>
    <col min="14" max="14" width="41" style="34" bestFit="1" customWidth="1"/>
    <col min="15" max="15" width="20.85546875" style="34" bestFit="1" customWidth="1"/>
    <col min="16" max="16" width="13.28515625" style="34" bestFit="1" customWidth="1"/>
    <col min="17" max="22" width="11.42578125" style="56" customWidth="1"/>
    <col min="23" max="23" width="11.85546875" style="56" bestFit="1" customWidth="1"/>
    <col min="24" max="24" width="15.5703125" bestFit="1" customWidth="1"/>
    <col min="25" max="25" width="15" bestFit="1" customWidth="1"/>
    <col min="26" max="26" width="9.7109375" bestFit="1" customWidth="1"/>
  </cols>
  <sheetData>
    <row r="1" spans="1:46" s="22" customFormat="1" ht="51" hidden="1">
      <c r="A1" s="58"/>
      <c r="B1" s="42"/>
      <c r="C1" s="42"/>
      <c r="D1" s="42" t="s">
        <v>277</v>
      </c>
      <c r="E1" s="58"/>
      <c r="F1" s="58"/>
      <c r="G1" s="42"/>
      <c r="H1" s="42" t="s">
        <v>277</v>
      </c>
      <c r="I1" s="42"/>
      <c r="J1" s="42"/>
      <c r="K1" s="42"/>
      <c r="L1" s="26" t="s">
        <v>278</v>
      </c>
      <c r="M1" s="26" t="s">
        <v>279</v>
      </c>
      <c r="N1" s="26" t="s">
        <v>280</v>
      </c>
      <c r="O1" s="26" t="s">
        <v>281</v>
      </c>
      <c r="P1" s="50"/>
      <c r="Q1" s="26" t="s">
        <v>218</v>
      </c>
      <c r="R1" s="26" t="s">
        <v>219</v>
      </c>
      <c r="S1" s="26" t="s">
        <v>220</v>
      </c>
      <c r="T1" s="26" t="s">
        <v>282</v>
      </c>
      <c r="U1" s="26" t="s">
        <v>217</v>
      </c>
      <c r="V1" s="51"/>
      <c r="W1" s="52"/>
      <c r="X1" s="26" t="s">
        <v>283</v>
      </c>
      <c r="Y1" s="26" t="s">
        <v>284</v>
      </c>
      <c r="Z1" s="26" t="s">
        <v>285</v>
      </c>
      <c r="AA1" s="26" t="s">
        <v>286</v>
      </c>
      <c r="AH1" s="17" t="s">
        <v>287</v>
      </c>
      <c r="AI1" s="17" t="s">
        <v>288</v>
      </c>
      <c r="AJ1" s="26" t="s">
        <v>289</v>
      </c>
      <c r="AO1" s="19"/>
      <c r="AP1" s="19"/>
      <c r="AQ1" s="18" t="s">
        <v>290</v>
      </c>
      <c r="AR1" s="18" t="s">
        <v>291</v>
      </c>
      <c r="AS1" s="18" t="s">
        <v>292</v>
      </c>
      <c r="AT1" s="18" t="s">
        <v>118</v>
      </c>
    </row>
    <row r="2" spans="1:46" s="30" customFormat="1" hidden="1">
      <c r="A2" s="58"/>
      <c r="B2" s="42"/>
      <c r="C2" s="28"/>
      <c r="D2" s="42" t="s">
        <v>293</v>
      </c>
      <c r="E2" s="58"/>
      <c r="F2" s="58"/>
      <c r="G2" s="28"/>
      <c r="H2" s="42" t="s">
        <v>293</v>
      </c>
      <c r="I2" s="42"/>
      <c r="J2" s="28"/>
      <c r="K2" s="28"/>
      <c r="L2" s="49">
        <f>COUNTA(D5:D425)+COUNTIF(L5:L425,"=Open")+COUNTIF(L5:L425,"=To be fixed")-COUNTA(L5:L425)</f>
        <v>0</v>
      </c>
      <c r="M2" s="49">
        <f>COUNTIF(M5:M425,"=Rejected")</f>
        <v>0</v>
      </c>
      <c r="N2" s="49">
        <f>COUNTA(D5:D425)-COUNTIF(M5:M425,"=Approved")</f>
        <v>0</v>
      </c>
      <c r="O2" s="49">
        <f>COUNTIFS(L5:L425,"=Postponed",M5:M425,"=Approved")</f>
        <v>2</v>
      </c>
      <c r="P2" s="53"/>
      <c r="Q2" s="49">
        <f>COUNTIF($L5:$L425,"=" &amp; Q1)</f>
        <v>0</v>
      </c>
      <c r="R2" s="49">
        <f>COUNTIF($L5:$L425,"=" &amp; R1)</f>
        <v>156</v>
      </c>
      <c r="S2" s="49">
        <f>COUNTIF($L5:$L425,"=" &amp; S1)</f>
        <v>2</v>
      </c>
      <c r="T2" s="49">
        <f>COUNTIF($L5:$L425,"=" &amp; T1)</f>
        <v>133</v>
      </c>
      <c r="U2" s="49">
        <f>COUNTIF($L5:$L425,"=" &amp; U1)+COUNTIFS($L5:$L425,"",$D5:$D425,"&lt;&gt;")</f>
        <v>0</v>
      </c>
      <c r="V2" s="53"/>
      <c r="W2" s="54"/>
      <c r="X2" s="49">
        <f>IF(OR(NbOfNotTreatedIssues&gt;0,NbOfRejectedIssues&gt;0),1,0)</f>
        <v>0</v>
      </c>
      <c r="Y2" s="49">
        <f>IF(AND(Issue_to_treat=0,NbOfNotApprovedIssues&gt;0),1,0)</f>
        <v>0</v>
      </c>
      <c r="Z2" s="49">
        <f>IF(AND(Issues_to_approve=0,NbOfNotApprovedAndPostponedIssues&gt;0),1,0)</f>
        <v>1</v>
      </c>
      <c r="AA2" s="49">
        <f>IF(AND(Issue_to_treat=0,Issues_to_approve=0,Issues_postponed=0),1,0)</f>
        <v>0</v>
      </c>
      <c r="AB2" s="29"/>
      <c r="AC2" s="29"/>
      <c r="AD2" s="29"/>
      <c r="AE2" s="29"/>
      <c r="AF2" s="29"/>
      <c r="AH2" s="49">
        <f>COUNTIF($M5:$M425,"=" &amp; AH1)</f>
        <v>291</v>
      </c>
      <c r="AI2" s="49">
        <f>COUNTIF($M5:$M425,"=" &amp; AI1)</f>
        <v>0</v>
      </c>
      <c r="AJ2" s="49">
        <f>COUNTIF($M5:$M425,"=" &amp; AJ1)</f>
        <v>0</v>
      </c>
      <c r="AM2" s="29"/>
      <c r="AN2" s="29"/>
      <c r="AO2" s="29"/>
      <c r="AP2" s="31"/>
      <c r="AQ2" s="31"/>
      <c r="AR2" s="29"/>
      <c r="AS2" s="31"/>
      <c r="AT2" s="31"/>
    </row>
    <row r="3" spans="1:46" s="48" customFormat="1" ht="25.5" customHeight="1" outlineLevel="1">
      <c r="A3" s="351" t="str">
        <f>IF(Issue_to_treat=1,NbOfNotTreatedIssues+NbOfRejectedIssues&amp;" issue(s) to treat",IF(Issues_to_approve=1,NbOfNotApprovedIssues&amp;" issue(s) to approve",IF(Issues_postponed=1,NbOfNotApprovedAndPostponedIssues&amp;" issue(s) postponed","Status OK")))</f>
        <v>2 issue(s) postponed</v>
      </c>
      <c r="B3" s="351"/>
      <c r="C3" s="352"/>
      <c r="D3" s="57" t="s">
        <v>294</v>
      </c>
      <c r="E3" s="350" t="s">
        <v>295</v>
      </c>
      <c r="F3" s="350"/>
      <c r="G3" s="350"/>
      <c r="H3" s="47"/>
      <c r="I3" s="47"/>
      <c r="J3" s="47"/>
      <c r="K3" s="47"/>
      <c r="L3" s="47"/>
      <c r="M3" s="47"/>
      <c r="N3" s="52"/>
      <c r="O3" s="52"/>
      <c r="P3" s="52"/>
      <c r="Q3" s="55"/>
      <c r="R3" s="55"/>
      <c r="S3" s="55"/>
      <c r="T3" s="55"/>
      <c r="U3" s="55"/>
      <c r="V3" s="55"/>
      <c r="W3" s="55"/>
      <c r="X3" s="23"/>
      <c r="Y3" s="23"/>
      <c r="Z3" s="23"/>
      <c r="AA3" s="23"/>
      <c r="AB3" s="23"/>
    </row>
    <row r="4" spans="1:46" s="137" customFormat="1" ht="31.5">
      <c r="A4" s="130" t="s">
        <v>296</v>
      </c>
      <c r="B4" s="130" t="s">
        <v>13</v>
      </c>
      <c r="C4" s="130" t="s">
        <v>297</v>
      </c>
      <c r="D4" s="130" t="s">
        <v>298</v>
      </c>
      <c r="E4" s="130" t="s">
        <v>299</v>
      </c>
      <c r="F4" s="130" t="s">
        <v>300</v>
      </c>
      <c r="G4" s="131" t="s">
        <v>301</v>
      </c>
      <c r="H4" s="132" t="s">
        <v>302</v>
      </c>
      <c r="I4" s="132" t="s">
        <v>303</v>
      </c>
      <c r="J4" s="132" t="s">
        <v>304</v>
      </c>
      <c r="K4" s="133" t="s">
        <v>305</v>
      </c>
      <c r="L4" s="132" t="s">
        <v>216</v>
      </c>
      <c r="M4" s="130" t="s">
        <v>306</v>
      </c>
      <c r="N4" s="134"/>
      <c r="O4" s="134"/>
      <c r="P4" s="134"/>
      <c r="Q4" s="135"/>
      <c r="R4" s="135"/>
      <c r="S4" s="135"/>
      <c r="T4" s="135"/>
      <c r="U4" s="135"/>
      <c r="V4" s="135"/>
      <c r="W4" s="135"/>
      <c r="X4" s="136"/>
      <c r="Y4" s="136"/>
      <c r="Z4" s="136"/>
      <c r="AA4" s="136"/>
      <c r="AB4" s="136"/>
    </row>
    <row r="5" spans="1:46" s="23" customFormat="1">
      <c r="A5" s="60">
        <v>1</v>
      </c>
      <c r="B5" s="19">
        <v>1.1000000000000001</v>
      </c>
      <c r="C5" s="37" t="s">
        <v>307</v>
      </c>
      <c r="D5" s="25" t="s">
        <v>308</v>
      </c>
      <c r="E5" s="59">
        <v>44866.442372685182</v>
      </c>
      <c r="F5" s="49" t="s">
        <v>19</v>
      </c>
      <c r="G5" s="16" t="s">
        <v>309</v>
      </c>
      <c r="H5" s="20"/>
      <c r="I5" s="20"/>
      <c r="J5" s="20" t="s">
        <v>310</v>
      </c>
      <c r="K5" s="21">
        <v>44880.55840277778</v>
      </c>
      <c r="L5" s="20" t="s">
        <v>219</v>
      </c>
      <c r="M5" s="68" t="s">
        <v>287</v>
      </c>
      <c r="N5" s="52"/>
      <c r="O5" s="52"/>
      <c r="P5" s="52"/>
      <c r="Q5" s="55"/>
      <c r="R5" s="55"/>
      <c r="S5" s="55"/>
      <c r="T5" s="55"/>
      <c r="U5" s="55"/>
      <c r="V5" s="55"/>
      <c r="W5" s="55"/>
    </row>
    <row r="6" spans="1:46" s="23" customFormat="1" ht="25.5">
      <c r="A6" s="61">
        <v>2</v>
      </c>
      <c r="B6" s="19">
        <v>1.1000000000000001</v>
      </c>
      <c r="C6" s="37" t="s">
        <v>311</v>
      </c>
      <c r="D6" s="25" t="s">
        <v>312</v>
      </c>
      <c r="E6" s="59">
        <v>44866.449224537035</v>
      </c>
      <c r="F6" s="49" t="s">
        <v>19</v>
      </c>
      <c r="G6" s="16" t="s">
        <v>313</v>
      </c>
      <c r="H6" s="20"/>
      <c r="I6" s="20"/>
      <c r="J6" s="68" t="s">
        <v>310</v>
      </c>
      <c r="K6" s="21">
        <v>44879.543229166666</v>
      </c>
      <c r="L6" s="20" t="s">
        <v>219</v>
      </c>
      <c r="M6" s="20" t="s">
        <v>287</v>
      </c>
      <c r="N6" s="52"/>
      <c r="O6" s="52"/>
      <c r="P6" s="52"/>
      <c r="Q6" s="55"/>
      <c r="R6" s="55"/>
      <c r="S6" s="55"/>
      <c r="T6" s="55"/>
      <c r="U6" s="55"/>
      <c r="V6" s="55"/>
      <c r="W6" s="55"/>
    </row>
    <row r="7" spans="1:46" s="23" customFormat="1" ht="25.5">
      <c r="A7" s="60">
        <v>3</v>
      </c>
      <c r="B7" s="19">
        <v>1.1000000000000001</v>
      </c>
      <c r="C7" s="37" t="s">
        <v>311</v>
      </c>
      <c r="D7" s="25" t="s">
        <v>314</v>
      </c>
      <c r="E7" s="59">
        <v>44866.456134259257</v>
      </c>
      <c r="F7" s="49" t="s">
        <v>19</v>
      </c>
      <c r="G7" s="16" t="s">
        <v>315</v>
      </c>
      <c r="H7" s="20"/>
      <c r="I7" s="20"/>
      <c r="J7" s="68" t="s">
        <v>310</v>
      </c>
      <c r="K7" s="21">
        <v>44879.543252314812</v>
      </c>
      <c r="L7" s="20" t="s">
        <v>219</v>
      </c>
      <c r="M7" s="20" t="s">
        <v>287</v>
      </c>
      <c r="N7" s="52"/>
      <c r="O7" s="52"/>
      <c r="P7" s="52"/>
      <c r="Q7" s="55"/>
      <c r="R7" s="55"/>
      <c r="S7" s="55"/>
      <c r="T7" s="55"/>
      <c r="U7" s="55"/>
      <c r="V7" s="55"/>
      <c r="W7" s="55"/>
    </row>
    <row r="8" spans="1:46" s="23" customFormat="1" ht="25.5">
      <c r="A8" s="60">
        <v>4</v>
      </c>
      <c r="B8" s="19">
        <v>1.1000000000000001</v>
      </c>
      <c r="C8" s="37" t="s">
        <v>311</v>
      </c>
      <c r="D8" s="25" t="s">
        <v>316</v>
      </c>
      <c r="E8" s="59">
        <v>44866.459849537037</v>
      </c>
      <c r="F8" s="49" t="s">
        <v>19</v>
      </c>
      <c r="G8" s="16" t="s">
        <v>317</v>
      </c>
      <c r="H8" s="20"/>
      <c r="I8" s="20"/>
      <c r="J8" s="68" t="s">
        <v>310</v>
      </c>
      <c r="K8" s="21">
        <v>44879.543854166666</v>
      </c>
      <c r="L8" s="20" t="s">
        <v>282</v>
      </c>
      <c r="M8" s="20" t="s">
        <v>287</v>
      </c>
      <c r="N8" s="52"/>
      <c r="O8" s="52"/>
      <c r="P8" s="52"/>
      <c r="Q8" s="55"/>
      <c r="R8" s="55"/>
      <c r="S8" s="55"/>
      <c r="T8" s="55"/>
      <c r="U8" s="55"/>
      <c r="V8" s="55"/>
      <c r="W8" s="55"/>
    </row>
    <row r="9" spans="1:46" s="23" customFormat="1" ht="33" customHeight="1">
      <c r="A9" s="61">
        <v>5</v>
      </c>
      <c r="B9" s="19">
        <v>1.1000000000000001</v>
      </c>
      <c r="C9" s="37" t="s">
        <v>311</v>
      </c>
      <c r="D9" s="25" t="s">
        <v>318</v>
      </c>
      <c r="E9" s="59">
        <v>44866.462175925924</v>
      </c>
      <c r="F9" s="49" t="s">
        <v>19</v>
      </c>
      <c r="G9" s="16" t="s">
        <v>317</v>
      </c>
      <c r="H9" s="20"/>
      <c r="I9" s="20"/>
      <c r="J9" s="68" t="s">
        <v>310</v>
      </c>
      <c r="K9" s="21">
        <v>44879.54446759259</v>
      </c>
      <c r="L9" s="20" t="s">
        <v>282</v>
      </c>
      <c r="M9" s="20" t="s">
        <v>287</v>
      </c>
      <c r="N9" s="52"/>
      <c r="O9" s="52"/>
      <c r="P9" s="52"/>
      <c r="Q9" s="55"/>
      <c r="R9" s="55"/>
      <c r="S9" s="55"/>
      <c r="T9" s="55"/>
      <c r="U9" s="55"/>
      <c r="V9" s="55"/>
      <c r="W9" s="55"/>
    </row>
    <row r="10" spans="1:46" s="23" customFormat="1" ht="29.1" customHeight="1">
      <c r="A10" s="60">
        <v>6</v>
      </c>
      <c r="B10" s="19">
        <v>1.1000000000000001</v>
      </c>
      <c r="C10" s="37" t="s">
        <v>311</v>
      </c>
      <c r="D10" s="25" t="s">
        <v>319</v>
      </c>
      <c r="E10" s="59">
        <v>44866.468032407407</v>
      </c>
      <c r="F10" s="49" t="s">
        <v>19</v>
      </c>
      <c r="G10" s="16" t="s">
        <v>320</v>
      </c>
      <c r="H10" s="20"/>
      <c r="I10" s="20"/>
      <c r="J10" s="20" t="s">
        <v>310</v>
      </c>
      <c r="K10" s="21">
        <v>44879.560520833336</v>
      </c>
      <c r="L10" s="20" t="s">
        <v>219</v>
      </c>
      <c r="M10" s="20" t="s">
        <v>287</v>
      </c>
      <c r="N10" s="52"/>
      <c r="O10" s="52"/>
      <c r="P10" s="52"/>
      <c r="Q10" s="55"/>
      <c r="R10" s="55"/>
      <c r="S10" s="55"/>
      <c r="T10" s="55"/>
      <c r="U10" s="55"/>
      <c r="V10" s="55"/>
      <c r="W10" s="55"/>
    </row>
    <row r="11" spans="1:46" s="23" customFormat="1" ht="25.5">
      <c r="A11" s="60">
        <v>7</v>
      </c>
      <c r="B11" s="19">
        <v>1.1000000000000001</v>
      </c>
      <c r="C11" s="37" t="s">
        <v>311</v>
      </c>
      <c r="D11" s="25" t="s">
        <v>321</v>
      </c>
      <c r="E11" s="59">
        <v>44867.460405092592</v>
      </c>
      <c r="F11" s="49" t="s">
        <v>19</v>
      </c>
      <c r="G11" s="16" t="s">
        <v>322</v>
      </c>
      <c r="H11" s="20"/>
      <c r="I11" s="20"/>
      <c r="J11" s="20" t="s">
        <v>310</v>
      </c>
      <c r="K11" s="21">
        <v>44879.545590277776</v>
      </c>
      <c r="L11" s="20" t="s">
        <v>219</v>
      </c>
      <c r="M11" s="20" t="s">
        <v>287</v>
      </c>
      <c r="N11" s="47"/>
      <c r="O11" s="52"/>
      <c r="P11" s="52"/>
      <c r="Q11" s="55"/>
      <c r="R11" s="55"/>
      <c r="S11" s="55"/>
      <c r="T11" s="55"/>
      <c r="U11" s="55"/>
      <c r="V11" s="55"/>
      <c r="W11" s="55"/>
    </row>
    <row r="12" spans="1:46" s="23" customFormat="1">
      <c r="A12" s="61">
        <v>8</v>
      </c>
      <c r="B12" s="19">
        <v>1.1000000000000001</v>
      </c>
      <c r="C12" s="37" t="s">
        <v>311</v>
      </c>
      <c r="D12" s="25" t="s">
        <v>323</v>
      </c>
      <c r="E12" s="59">
        <v>44866.469467592593</v>
      </c>
      <c r="F12" s="49" t="s">
        <v>19</v>
      </c>
      <c r="G12" s="16" t="s">
        <v>313</v>
      </c>
      <c r="H12" s="20"/>
      <c r="I12" s="20"/>
      <c r="J12" s="20" t="s">
        <v>310</v>
      </c>
      <c r="K12" s="69">
        <v>44879.669074074074</v>
      </c>
      <c r="L12" s="20" t="s">
        <v>219</v>
      </c>
      <c r="M12" s="20" t="s">
        <v>287</v>
      </c>
      <c r="N12" s="52"/>
      <c r="O12" s="52"/>
      <c r="P12" s="52"/>
      <c r="Q12" s="55"/>
      <c r="R12" s="55"/>
      <c r="S12" s="55"/>
      <c r="T12" s="55"/>
      <c r="U12" s="55"/>
      <c r="V12" s="55"/>
      <c r="W12" s="55"/>
    </row>
    <row r="13" spans="1:46" s="23" customFormat="1" ht="25.5">
      <c r="A13" s="60">
        <v>9</v>
      </c>
      <c r="B13" s="19">
        <v>1.1000000000000001</v>
      </c>
      <c r="C13" s="37" t="s">
        <v>311</v>
      </c>
      <c r="D13" s="25" t="s">
        <v>324</v>
      </c>
      <c r="E13" s="59">
        <v>44866.474074074074</v>
      </c>
      <c r="F13" s="49" t="s">
        <v>19</v>
      </c>
      <c r="G13" s="16" t="s">
        <v>322</v>
      </c>
      <c r="H13" s="20"/>
      <c r="I13" s="20"/>
      <c r="J13" s="20" t="s">
        <v>310</v>
      </c>
      <c r="K13" s="21">
        <v>44879.669120370374</v>
      </c>
      <c r="L13" s="20" t="s">
        <v>219</v>
      </c>
      <c r="M13" s="20" t="s">
        <v>287</v>
      </c>
      <c r="N13" s="52"/>
      <c r="O13" s="52"/>
      <c r="P13" s="52"/>
      <c r="Q13" s="55"/>
      <c r="R13" s="55"/>
      <c r="S13" s="55"/>
      <c r="T13" s="55"/>
      <c r="U13" s="55"/>
      <c r="V13" s="55"/>
      <c r="W13" s="55"/>
    </row>
    <row r="14" spans="1:46" s="23" customFormat="1" ht="51">
      <c r="A14" s="60">
        <v>10</v>
      </c>
      <c r="B14" s="19">
        <v>1.1000000000000001</v>
      </c>
      <c r="C14" s="37" t="s">
        <v>311</v>
      </c>
      <c r="D14" s="25" t="s">
        <v>325</v>
      </c>
      <c r="E14" s="59">
        <v>44866.475081018521</v>
      </c>
      <c r="F14" s="49" t="s">
        <v>19</v>
      </c>
      <c r="G14" s="16" t="s">
        <v>326</v>
      </c>
      <c r="H14" s="20"/>
      <c r="I14" s="20"/>
      <c r="J14" s="20" t="s">
        <v>310</v>
      </c>
      <c r="K14" s="21">
        <v>44879.669189814813</v>
      </c>
      <c r="L14" s="20" t="s">
        <v>219</v>
      </c>
      <c r="M14" s="20" t="s">
        <v>287</v>
      </c>
      <c r="N14" s="47"/>
      <c r="O14" s="52"/>
      <c r="P14" s="52"/>
      <c r="Q14" s="55"/>
      <c r="R14" s="55"/>
      <c r="S14" s="55"/>
      <c r="T14" s="55"/>
      <c r="U14" s="55"/>
      <c r="V14" s="55"/>
      <c r="W14" s="55"/>
    </row>
    <row r="15" spans="1:46" s="23" customFormat="1" ht="26.1" customHeight="1">
      <c r="A15" s="61">
        <v>11</v>
      </c>
      <c r="B15" s="19">
        <v>1.1000000000000001</v>
      </c>
      <c r="C15" s="37" t="s">
        <v>311</v>
      </c>
      <c r="D15" s="16" t="s">
        <v>327</v>
      </c>
      <c r="E15" s="59">
        <v>44866.476655092592</v>
      </c>
      <c r="F15" s="49" t="s">
        <v>19</v>
      </c>
      <c r="G15" s="16" t="s">
        <v>328</v>
      </c>
      <c r="H15" s="20"/>
      <c r="I15" s="20"/>
      <c r="J15" s="20" t="s">
        <v>310</v>
      </c>
      <c r="K15" s="21">
        <v>44879.669247685182</v>
      </c>
      <c r="L15" s="20" t="s">
        <v>219</v>
      </c>
      <c r="M15" s="20" t="s">
        <v>287</v>
      </c>
      <c r="N15" s="47"/>
      <c r="O15" s="52"/>
      <c r="P15" s="52"/>
      <c r="Q15" s="55"/>
      <c r="R15" s="55"/>
      <c r="S15" s="55"/>
      <c r="T15" s="55"/>
      <c r="U15" s="55"/>
      <c r="V15" s="55"/>
      <c r="W15" s="55"/>
    </row>
    <row r="16" spans="1:46" s="23" customFormat="1">
      <c r="A16" s="60">
        <v>12</v>
      </c>
      <c r="B16" s="19">
        <v>1.1000000000000001</v>
      </c>
      <c r="C16" s="37" t="s">
        <v>311</v>
      </c>
      <c r="D16" s="25" t="s">
        <v>329</v>
      </c>
      <c r="E16" s="59">
        <v>44866.476898148147</v>
      </c>
      <c r="F16" s="49" t="s">
        <v>19</v>
      </c>
      <c r="G16" s="16" t="s">
        <v>322</v>
      </c>
      <c r="H16" s="20"/>
      <c r="I16" s="20"/>
      <c r="J16" s="20" t="s">
        <v>310</v>
      </c>
      <c r="K16" s="21">
        <v>44879.583067129628</v>
      </c>
      <c r="L16" s="20" t="s">
        <v>219</v>
      </c>
      <c r="M16" s="20" t="s">
        <v>287</v>
      </c>
      <c r="N16" s="52"/>
      <c r="O16" s="52"/>
      <c r="P16" s="52"/>
      <c r="Q16" s="55"/>
      <c r="R16" s="55"/>
      <c r="S16" s="55"/>
      <c r="T16" s="55"/>
      <c r="U16" s="55"/>
      <c r="V16" s="55"/>
      <c r="W16" s="55"/>
    </row>
    <row r="17" spans="1:23" s="23" customFormat="1" ht="38.25">
      <c r="A17" s="60">
        <v>13</v>
      </c>
      <c r="B17" s="19">
        <v>1.1000000000000001</v>
      </c>
      <c r="C17" s="37" t="s">
        <v>311</v>
      </c>
      <c r="D17" s="16" t="s">
        <v>330</v>
      </c>
      <c r="E17" s="59">
        <v>44866.480034722219</v>
      </c>
      <c r="F17" s="49" t="s">
        <v>19</v>
      </c>
      <c r="G17" s="16" t="s">
        <v>331</v>
      </c>
      <c r="H17" s="20"/>
      <c r="I17" s="20"/>
      <c r="J17" s="20" t="s">
        <v>310</v>
      </c>
      <c r="K17" s="21">
        <v>44879.669479166667</v>
      </c>
      <c r="L17" s="20" t="s">
        <v>219</v>
      </c>
      <c r="M17" s="20" t="s">
        <v>287</v>
      </c>
      <c r="N17" s="52"/>
      <c r="O17" s="52"/>
      <c r="P17" s="52"/>
      <c r="Q17" s="55"/>
      <c r="R17" s="55"/>
      <c r="S17" s="55"/>
      <c r="T17" s="55"/>
      <c r="U17" s="55"/>
      <c r="V17" s="55"/>
      <c r="W17" s="55"/>
    </row>
    <row r="18" spans="1:23" s="23" customFormat="1" ht="26.1" customHeight="1">
      <c r="A18" s="61">
        <v>14</v>
      </c>
      <c r="B18" s="19">
        <v>1.1000000000000001</v>
      </c>
      <c r="C18" s="37" t="s">
        <v>311</v>
      </c>
      <c r="D18" s="16" t="s">
        <v>332</v>
      </c>
      <c r="E18" s="59">
        <v>44866.482824074075</v>
      </c>
      <c r="F18" s="49" t="s">
        <v>19</v>
      </c>
      <c r="G18" s="16" t="s">
        <v>333</v>
      </c>
      <c r="H18" s="20"/>
      <c r="I18" s="20"/>
      <c r="J18" s="20" t="s">
        <v>310</v>
      </c>
      <c r="K18" s="21">
        <v>44879.665648148148</v>
      </c>
      <c r="L18" s="20" t="s">
        <v>219</v>
      </c>
      <c r="M18" s="20" t="s">
        <v>287</v>
      </c>
      <c r="N18" s="52"/>
      <c r="O18" s="52"/>
      <c r="P18" s="52"/>
      <c r="Q18" s="55"/>
      <c r="R18" s="55"/>
      <c r="S18" s="55"/>
      <c r="T18" s="55"/>
      <c r="U18" s="55"/>
      <c r="V18" s="55"/>
      <c r="W18" s="55"/>
    </row>
    <row r="19" spans="1:23" s="23" customFormat="1" ht="38.25">
      <c r="A19" s="60">
        <v>15</v>
      </c>
      <c r="B19" s="19">
        <v>1.1000000000000001</v>
      </c>
      <c r="C19" s="37" t="s">
        <v>311</v>
      </c>
      <c r="D19" s="16" t="s">
        <v>334</v>
      </c>
      <c r="E19" s="59">
        <v>44866.483263888891</v>
      </c>
      <c r="F19" s="49" t="s">
        <v>19</v>
      </c>
      <c r="G19" s="25" t="s">
        <v>686</v>
      </c>
      <c r="H19" s="20"/>
      <c r="I19" s="20"/>
      <c r="J19" s="20" t="s">
        <v>310</v>
      </c>
      <c r="K19" s="21">
        <v>44879.66982638889</v>
      </c>
      <c r="L19" s="20" t="s">
        <v>219</v>
      </c>
      <c r="M19" s="20" t="s">
        <v>287</v>
      </c>
      <c r="N19" s="47"/>
      <c r="O19" s="52"/>
      <c r="P19" s="52"/>
      <c r="Q19" s="55"/>
      <c r="R19" s="55"/>
      <c r="S19" s="55"/>
      <c r="T19" s="55"/>
      <c r="U19" s="55"/>
      <c r="V19" s="55"/>
      <c r="W19" s="55"/>
    </row>
    <row r="20" spans="1:23" s="23" customFormat="1" ht="25.5">
      <c r="A20" s="60">
        <v>16</v>
      </c>
      <c r="B20" s="19">
        <v>1.1000000000000001</v>
      </c>
      <c r="C20" s="37" t="s">
        <v>311</v>
      </c>
      <c r="D20" s="25" t="s">
        <v>335</v>
      </c>
      <c r="E20" s="59">
        <v>44866.487291666665</v>
      </c>
      <c r="F20" s="49" t="s">
        <v>19</v>
      </c>
      <c r="G20" s="16" t="s">
        <v>313</v>
      </c>
      <c r="H20" s="20"/>
      <c r="I20" s="20"/>
      <c r="J20" s="20" t="s">
        <v>310</v>
      </c>
      <c r="K20" s="21">
        <v>44879.670451388891</v>
      </c>
      <c r="L20" s="20" t="s">
        <v>219</v>
      </c>
      <c r="M20" s="20" t="s">
        <v>287</v>
      </c>
      <c r="N20" s="52"/>
      <c r="O20" s="52"/>
      <c r="P20" s="52"/>
      <c r="Q20" s="55"/>
      <c r="R20" s="55"/>
      <c r="S20" s="55"/>
      <c r="T20" s="55"/>
      <c r="U20" s="55"/>
      <c r="V20" s="55"/>
      <c r="W20" s="55"/>
    </row>
    <row r="21" spans="1:23" s="23" customFormat="1" ht="42" customHeight="1">
      <c r="A21" s="61">
        <v>17</v>
      </c>
      <c r="B21" s="19">
        <v>1.1000000000000001</v>
      </c>
      <c r="C21" s="37" t="s">
        <v>311</v>
      </c>
      <c r="D21" s="16" t="s">
        <v>336</v>
      </c>
      <c r="E21" s="59">
        <v>44866.488599537035</v>
      </c>
      <c r="F21" s="49" t="s">
        <v>19</v>
      </c>
      <c r="G21" s="16" t="s">
        <v>333</v>
      </c>
      <c r="H21" s="20"/>
      <c r="I21" s="20"/>
      <c r="J21" s="20" t="s">
        <v>310</v>
      </c>
      <c r="K21" s="21">
        <v>44879.670486111114</v>
      </c>
      <c r="L21" s="20" t="s">
        <v>219</v>
      </c>
      <c r="M21" s="20" t="s">
        <v>287</v>
      </c>
      <c r="N21" s="52"/>
      <c r="O21" s="52"/>
      <c r="P21" s="52"/>
      <c r="Q21" s="55"/>
      <c r="R21" s="55"/>
      <c r="S21" s="55"/>
      <c r="T21" s="55"/>
      <c r="U21" s="55"/>
      <c r="V21" s="55"/>
      <c r="W21" s="55"/>
    </row>
    <row r="22" spans="1:23" s="23" customFormat="1" ht="11.45" customHeight="1">
      <c r="A22" s="60">
        <v>18</v>
      </c>
      <c r="B22" s="19">
        <v>1.1000000000000001</v>
      </c>
      <c r="C22" s="37" t="s">
        <v>337</v>
      </c>
      <c r="D22" s="16" t="s">
        <v>338</v>
      </c>
      <c r="E22" s="59">
        <v>44867.459224537037</v>
      </c>
      <c r="F22" s="49" t="s">
        <v>19</v>
      </c>
      <c r="G22" s="16" t="s">
        <v>339</v>
      </c>
      <c r="H22" s="20"/>
      <c r="I22" s="20"/>
      <c r="J22" s="20" t="s">
        <v>310</v>
      </c>
      <c r="K22" s="21">
        <v>44879.671134259261</v>
      </c>
      <c r="L22" s="20" t="s">
        <v>219</v>
      </c>
      <c r="M22" s="20" t="s">
        <v>287</v>
      </c>
      <c r="N22" s="52"/>
      <c r="O22" s="52"/>
      <c r="P22" s="52"/>
      <c r="Q22" s="55"/>
      <c r="R22" s="55"/>
      <c r="S22" s="55"/>
      <c r="T22" s="55"/>
      <c r="U22" s="55"/>
      <c r="V22" s="55"/>
      <c r="W22" s="55"/>
    </row>
    <row r="23" spans="1:23" s="23" customFormat="1" ht="51">
      <c r="A23" s="60">
        <v>19</v>
      </c>
      <c r="B23" s="19">
        <v>1.1000000000000001</v>
      </c>
      <c r="C23" s="37" t="s">
        <v>337</v>
      </c>
      <c r="D23" s="25" t="s">
        <v>340</v>
      </c>
      <c r="E23" s="59">
        <v>44867.4690162037</v>
      </c>
      <c r="F23" s="49" t="s">
        <v>19</v>
      </c>
      <c r="G23" s="16" t="s">
        <v>341</v>
      </c>
      <c r="H23" s="20"/>
      <c r="I23" s="20"/>
      <c r="J23" s="20" t="s">
        <v>310</v>
      </c>
      <c r="K23" s="21">
        <v>44879.672488425924</v>
      </c>
      <c r="L23" s="20" t="s">
        <v>219</v>
      </c>
      <c r="M23" s="20" t="s">
        <v>287</v>
      </c>
      <c r="N23" s="47"/>
      <c r="O23" s="52"/>
      <c r="P23" s="52"/>
      <c r="Q23" s="55"/>
      <c r="R23" s="55"/>
      <c r="S23" s="55"/>
      <c r="T23" s="55"/>
      <c r="U23" s="55"/>
      <c r="V23" s="55"/>
      <c r="W23" s="55"/>
    </row>
    <row r="24" spans="1:23" s="23" customFormat="1" ht="38.25">
      <c r="A24" s="61">
        <v>20</v>
      </c>
      <c r="B24" s="19">
        <v>1.1000000000000001</v>
      </c>
      <c r="C24" s="37" t="s">
        <v>337</v>
      </c>
      <c r="D24" s="25" t="s">
        <v>342</v>
      </c>
      <c r="E24" s="59">
        <v>44867.476203703707</v>
      </c>
      <c r="F24" s="49" t="s">
        <v>19</v>
      </c>
      <c r="G24" s="16" t="s">
        <v>343</v>
      </c>
      <c r="H24" s="20"/>
      <c r="I24" s="20"/>
      <c r="J24" s="20" t="s">
        <v>310</v>
      </c>
      <c r="K24" s="21">
        <v>44882.546666666669</v>
      </c>
      <c r="L24" s="20" t="s">
        <v>219</v>
      </c>
      <c r="M24" s="20" t="s">
        <v>287</v>
      </c>
      <c r="N24" s="52"/>
      <c r="O24" s="52"/>
      <c r="P24" s="52"/>
      <c r="Q24" s="55"/>
      <c r="R24" s="55"/>
      <c r="S24" s="55"/>
      <c r="T24" s="55"/>
      <c r="U24" s="55"/>
      <c r="V24" s="55"/>
      <c r="W24" s="55"/>
    </row>
    <row r="25" spans="1:23" s="23" customFormat="1" ht="32.1" customHeight="1">
      <c r="A25" s="60">
        <v>21</v>
      </c>
      <c r="B25" s="19">
        <v>1.1000000000000001</v>
      </c>
      <c r="C25" s="37" t="s">
        <v>337</v>
      </c>
      <c r="D25" s="16" t="s">
        <v>344</v>
      </c>
      <c r="E25" s="59">
        <v>44867.478206018517</v>
      </c>
      <c r="F25" s="49" t="s">
        <v>19</v>
      </c>
      <c r="G25" s="16" t="s">
        <v>333</v>
      </c>
      <c r="H25" s="20"/>
      <c r="I25" s="20"/>
      <c r="J25" s="20" t="s">
        <v>310</v>
      </c>
      <c r="K25" s="21">
        <v>44879.673206018517</v>
      </c>
      <c r="L25" s="20" t="s">
        <v>219</v>
      </c>
      <c r="M25" s="20" t="s">
        <v>287</v>
      </c>
      <c r="N25" s="52"/>
      <c r="O25" s="52"/>
      <c r="P25" s="52"/>
      <c r="Q25" s="55"/>
      <c r="R25" s="55"/>
      <c r="S25" s="55"/>
      <c r="T25" s="55"/>
      <c r="U25" s="55"/>
      <c r="V25" s="55"/>
      <c r="W25" s="55"/>
    </row>
    <row r="26" spans="1:23" s="23" customFormat="1" ht="25.5">
      <c r="A26" s="60">
        <v>22</v>
      </c>
      <c r="B26" s="19">
        <v>1.1000000000000001</v>
      </c>
      <c r="C26" s="37" t="s">
        <v>337</v>
      </c>
      <c r="D26" s="25" t="s">
        <v>345</v>
      </c>
      <c r="E26" s="59">
        <v>44867.481203703705</v>
      </c>
      <c r="F26" s="49" t="s">
        <v>19</v>
      </c>
      <c r="G26" s="25" t="s">
        <v>346</v>
      </c>
      <c r="H26" s="20"/>
      <c r="I26" s="20"/>
      <c r="J26" s="20" t="s">
        <v>310</v>
      </c>
      <c r="K26" s="21">
        <v>44879.673206018517</v>
      </c>
      <c r="L26" s="20" t="s">
        <v>219</v>
      </c>
      <c r="M26" s="20" t="s">
        <v>287</v>
      </c>
      <c r="N26" s="47"/>
      <c r="O26" s="52"/>
      <c r="P26" s="52"/>
      <c r="Q26" s="55"/>
      <c r="R26" s="55"/>
      <c r="S26" s="55"/>
      <c r="T26" s="55"/>
      <c r="U26" s="55"/>
      <c r="V26" s="55"/>
      <c r="W26" s="55"/>
    </row>
    <row r="27" spans="1:23" s="23" customFormat="1" ht="38.25">
      <c r="A27" s="61">
        <v>23</v>
      </c>
      <c r="B27" s="19">
        <v>1.1000000000000001</v>
      </c>
      <c r="C27" s="37" t="s">
        <v>337</v>
      </c>
      <c r="D27" s="16" t="s">
        <v>347</v>
      </c>
      <c r="E27" s="59">
        <v>44867.481770833336</v>
      </c>
      <c r="F27" s="49" t="s">
        <v>19</v>
      </c>
      <c r="G27" s="16" t="s">
        <v>348</v>
      </c>
      <c r="H27" s="20"/>
      <c r="I27" s="20"/>
      <c r="J27" s="20" t="s">
        <v>310</v>
      </c>
      <c r="K27" s="21">
        <v>44881.516759259262</v>
      </c>
      <c r="L27" s="20" t="s">
        <v>219</v>
      </c>
      <c r="M27" s="20" t="s">
        <v>287</v>
      </c>
      <c r="N27" s="52"/>
      <c r="O27" s="52"/>
      <c r="P27" s="52"/>
      <c r="Q27" s="55"/>
      <c r="R27" s="55"/>
      <c r="S27" s="55"/>
      <c r="T27" s="55"/>
      <c r="U27" s="55"/>
      <c r="V27" s="55"/>
      <c r="W27" s="55"/>
    </row>
    <row r="28" spans="1:23" s="23" customFormat="1" ht="33.950000000000003" customHeight="1">
      <c r="A28" s="60">
        <v>24</v>
      </c>
      <c r="B28" s="19">
        <v>1.1000000000000001</v>
      </c>
      <c r="C28" s="37" t="s">
        <v>337</v>
      </c>
      <c r="D28" s="16" t="s">
        <v>349</v>
      </c>
      <c r="E28" s="59">
        <v>44867.485358796293</v>
      </c>
      <c r="F28" s="49" t="s">
        <v>19</v>
      </c>
      <c r="G28" s="16" t="s">
        <v>350</v>
      </c>
      <c r="H28" s="20"/>
      <c r="I28" s="20"/>
      <c r="J28" s="20" t="s">
        <v>310</v>
      </c>
      <c r="K28" s="21">
        <v>44881.51667824074</v>
      </c>
      <c r="L28" s="20" t="s">
        <v>219</v>
      </c>
      <c r="M28" s="20" t="s">
        <v>287</v>
      </c>
      <c r="N28" s="52"/>
      <c r="O28" s="52"/>
      <c r="P28" s="52"/>
      <c r="Q28" s="55"/>
      <c r="R28" s="55"/>
      <c r="S28" s="55"/>
      <c r="T28" s="55"/>
      <c r="U28" s="55"/>
      <c r="V28" s="55"/>
      <c r="W28" s="55"/>
    </row>
    <row r="29" spans="1:23" s="23" customFormat="1" ht="25.5">
      <c r="A29" s="60">
        <v>25</v>
      </c>
      <c r="B29" s="19">
        <v>1.1000000000000001</v>
      </c>
      <c r="C29" s="37" t="s">
        <v>337</v>
      </c>
      <c r="D29" s="25" t="s">
        <v>351</v>
      </c>
      <c r="E29" s="59">
        <v>44867.538530092592</v>
      </c>
      <c r="F29" s="49" t="s">
        <v>19</v>
      </c>
      <c r="G29" s="25" t="s">
        <v>352</v>
      </c>
      <c r="H29" s="20"/>
      <c r="I29" s="20"/>
      <c r="J29" s="20" t="s">
        <v>310</v>
      </c>
      <c r="K29" s="21">
        <v>44881.51667824074</v>
      </c>
      <c r="L29" s="20" t="s">
        <v>219</v>
      </c>
      <c r="M29" s="20" t="s">
        <v>287</v>
      </c>
      <c r="N29" s="52"/>
      <c r="O29" s="52"/>
      <c r="P29" s="52"/>
      <c r="Q29" s="55"/>
      <c r="R29" s="55"/>
      <c r="S29" s="55"/>
      <c r="T29" s="55"/>
      <c r="U29" s="55"/>
      <c r="V29" s="55"/>
      <c r="W29" s="55"/>
    </row>
    <row r="30" spans="1:23" s="23" customFormat="1" ht="51">
      <c r="A30" s="61">
        <v>26</v>
      </c>
      <c r="B30" s="19">
        <v>1.1000000000000001</v>
      </c>
      <c r="C30" s="37" t="s">
        <v>337</v>
      </c>
      <c r="D30" s="25" t="s">
        <v>353</v>
      </c>
      <c r="E30" s="59">
        <v>44867.544039351851</v>
      </c>
      <c r="F30" s="49" t="s">
        <v>19</v>
      </c>
      <c r="G30" s="16" t="s">
        <v>354</v>
      </c>
      <c r="H30" s="20"/>
      <c r="I30" s="20"/>
      <c r="J30" s="20" t="s">
        <v>310</v>
      </c>
      <c r="K30" s="21">
        <v>44880.410208333335</v>
      </c>
      <c r="L30" s="20" t="s">
        <v>219</v>
      </c>
      <c r="M30" s="20" t="s">
        <v>287</v>
      </c>
      <c r="N30" s="52"/>
      <c r="O30" s="52"/>
      <c r="P30" s="52"/>
      <c r="Q30" s="55"/>
      <c r="R30" s="55"/>
      <c r="S30" s="55"/>
      <c r="T30" s="55"/>
      <c r="U30" s="55"/>
      <c r="V30" s="55"/>
      <c r="W30" s="55"/>
    </row>
    <row r="31" spans="1:23" s="23" customFormat="1" ht="38.25">
      <c r="A31" s="60">
        <v>27</v>
      </c>
      <c r="B31" s="19">
        <v>1.1000000000000001</v>
      </c>
      <c r="C31" s="37" t="s">
        <v>337</v>
      </c>
      <c r="D31" s="25" t="s">
        <v>355</v>
      </c>
      <c r="E31" s="59">
        <v>44867.549004629633</v>
      </c>
      <c r="F31" s="49" t="s">
        <v>19</v>
      </c>
      <c r="G31" s="16" t="s">
        <v>356</v>
      </c>
      <c r="H31" s="20"/>
      <c r="I31" s="20"/>
      <c r="J31" s="20" t="s">
        <v>310</v>
      </c>
      <c r="K31" s="21">
        <v>44880.410208333335</v>
      </c>
      <c r="L31" s="20" t="s">
        <v>282</v>
      </c>
      <c r="M31" s="20" t="s">
        <v>287</v>
      </c>
      <c r="N31" s="52"/>
      <c r="O31" s="52"/>
      <c r="P31" s="52"/>
      <c r="Q31" s="55"/>
      <c r="R31" s="55"/>
      <c r="S31" s="55"/>
      <c r="T31" s="55"/>
      <c r="U31" s="55"/>
      <c r="V31" s="55"/>
      <c r="W31" s="55"/>
    </row>
    <row r="32" spans="1:23" s="23" customFormat="1" ht="51">
      <c r="A32" s="60">
        <v>28</v>
      </c>
      <c r="B32" s="19">
        <v>1.1000000000000001</v>
      </c>
      <c r="C32" s="37" t="s">
        <v>337</v>
      </c>
      <c r="D32" s="25" t="s">
        <v>357</v>
      </c>
      <c r="E32" s="59">
        <v>44867.555081018516</v>
      </c>
      <c r="F32" s="49" t="s">
        <v>19</v>
      </c>
      <c r="G32" s="16" t="s">
        <v>354</v>
      </c>
      <c r="H32" s="20"/>
      <c r="I32" s="20"/>
      <c r="J32" s="20" t="s">
        <v>310</v>
      </c>
      <c r="K32" s="21">
        <v>44880.410162037035</v>
      </c>
      <c r="L32" s="20" t="s">
        <v>219</v>
      </c>
      <c r="M32" s="20" t="s">
        <v>287</v>
      </c>
      <c r="N32" s="52"/>
      <c r="O32" s="52"/>
      <c r="P32" s="52"/>
      <c r="Q32" s="55"/>
      <c r="R32" s="55"/>
      <c r="S32" s="55"/>
      <c r="T32" s="55"/>
      <c r="U32" s="55"/>
      <c r="V32" s="55"/>
      <c r="W32" s="55"/>
    </row>
    <row r="33" spans="1:23" s="23" customFormat="1" ht="25.5">
      <c r="A33" s="61">
        <v>29</v>
      </c>
      <c r="B33" s="197">
        <v>1.1000000000000001</v>
      </c>
      <c r="C33" s="49" t="s">
        <v>337</v>
      </c>
      <c r="D33" s="198" t="s">
        <v>358</v>
      </c>
      <c r="E33" s="59">
        <v>44867.557106481479</v>
      </c>
      <c r="F33" s="49" t="s">
        <v>19</v>
      </c>
      <c r="G33" s="199" t="s">
        <v>359</v>
      </c>
      <c r="H33" s="61"/>
      <c r="I33" s="61"/>
      <c r="J33" s="61" t="s">
        <v>310</v>
      </c>
      <c r="K33" s="59">
        <v>44880.528148148151</v>
      </c>
      <c r="L33" s="20" t="s">
        <v>219</v>
      </c>
      <c r="M33" s="20" t="s">
        <v>287</v>
      </c>
      <c r="N33" s="52"/>
      <c r="O33" s="52"/>
      <c r="P33" s="52"/>
      <c r="Q33" s="55"/>
      <c r="R33" s="55"/>
      <c r="S33" s="55"/>
      <c r="T33" s="55"/>
      <c r="U33" s="55"/>
      <c r="V33" s="55"/>
      <c r="W33" s="55"/>
    </row>
    <row r="34" spans="1:23" s="23" customFormat="1">
      <c r="A34" s="60">
        <v>30</v>
      </c>
      <c r="B34" s="19">
        <v>1.1000000000000001</v>
      </c>
      <c r="C34" s="37" t="s">
        <v>337</v>
      </c>
      <c r="D34" s="25" t="s">
        <v>360</v>
      </c>
      <c r="E34" s="59">
        <v>44867.559374999997</v>
      </c>
      <c r="F34" s="49" t="s">
        <v>19</v>
      </c>
      <c r="G34" s="16" t="s">
        <v>361</v>
      </c>
      <c r="H34" s="20"/>
      <c r="I34" s="20"/>
      <c r="J34" s="20" t="s">
        <v>310</v>
      </c>
      <c r="K34" s="21">
        <v>44880.524328703701</v>
      </c>
      <c r="L34" s="20" t="s">
        <v>219</v>
      </c>
      <c r="M34" s="20" t="s">
        <v>287</v>
      </c>
      <c r="N34" s="52"/>
      <c r="O34" s="52"/>
      <c r="P34" s="52"/>
      <c r="Q34" s="55"/>
      <c r="R34" s="55"/>
      <c r="S34" s="55"/>
      <c r="T34" s="55"/>
      <c r="U34" s="55"/>
      <c r="V34" s="55"/>
      <c r="W34" s="55"/>
    </row>
    <row r="35" spans="1:23" s="23" customFormat="1" ht="25.5">
      <c r="A35" s="60">
        <v>31</v>
      </c>
      <c r="B35" s="19">
        <v>1.1000000000000001</v>
      </c>
      <c r="C35" s="37" t="s">
        <v>337</v>
      </c>
      <c r="D35" s="16" t="s">
        <v>362</v>
      </c>
      <c r="E35" s="59">
        <v>44867.560416666667</v>
      </c>
      <c r="F35" s="49" t="s">
        <v>19</v>
      </c>
      <c r="G35" s="16" t="s">
        <v>331</v>
      </c>
      <c r="H35" s="20"/>
      <c r="I35" s="20"/>
      <c r="J35" s="20" t="s">
        <v>310</v>
      </c>
      <c r="K35" s="21">
        <v>44882.683333333334</v>
      </c>
      <c r="L35" s="20" t="s">
        <v>219</v>
      </c>
      <c r="M35" s="20" t="s">
        <v>287</v>
      </c>
      <c r="N35" s="52"/>
      <c r="O35" s="52"/>
      <c r="P35" s="52"/>
      <c r="Q35" s="55"/>
      <c r="R35" s="55"/>
      <c r="S35" s="55"/>
      <c r="T35" s="55"/>
      <c r="U35" s="55"/>
      <c r="V35" s="55"/>
      <c r="W35" s="55"/>
    </row>
    <row r="36" spans="1:23" s="23" customFormat="1" ht="38.25">
      <c r="A36" s="61">
        <v>32</v>
      </c>
      <c r="B36" s="197">
        <v>1.1000000000000001</v>
      </c>
      <c r="C36" s="49" t="s">
        <v>337</v>
      </c>
      <c r="D36" s="198" t="s">
        <v>363</v>
      </c>
      <c r="E36" s="59">
        <v>44867.561435185184</v>
      </c>
      <c r="F36" s="49" t="s">
        <v>19</v>
      </c>
      <c r="G36" s="199" t="s">
        <v>364</v>
      </c>
      <c r="H36" s="61"/>
      <c r="I36" s="61"/>
      <c r="J36" s="61" t="s">
        <v>310</v>
      </c>
      <c r="K36" s="59">
        <v>44882.557905092595</v>
      </c>
      <c r="L36" s="20" t="s">
        <v>219</v>
      </c>
      <c r="M36" s="20" t="s">
        <v>287</v>
      </c>
      <c r="N36" s="52"/>
      <c r="O36" s="52"/>
      <c r="P36" s="52"/>
      <c r="Q36" s="55"/>
      <c r="R36" s="55"/>
      <c r="S36" s="55"/>
      <c r="T36" s="55"/>
      <c r="U36" s="55"/>
      <c r="V36" s="55"/>
      <c r="W36" s="55"/>
    </row>
    <row r="37" spans="1:23" s="23" customFormat="1" ht="76.5">
      <c r="A37" s="60">
        <v>33</v>
      </c>
      <c r="B37" s="19">
        <v>1.1000000000000001</v>
      </c>
      <c r="C37" s="37" t="s">
        <v>337</v>
      </c>
      <c r="D37" s="25" t="s">
        <v>365</v>
      </c>
      <c r="E37" s="59">
        <v>44867.563715277778</v>
      </c>
      <c r="F37" s="49" t="s">
        <v>19</v>
      </c>
      <c r="G37" s="16" t="s">
        <v>366</v>
      </c>
      <c r="H37" s="20"/>
      <c r="I37" s="20"/>
      <c r="J37" s="20" t="s">
        <v>310</v>
      </c>
      <c r="K37" s="21">
        <v>44882.557905092595</v>
      </c>
      <c r="L37" s="20" t="s">
        <v>219</v>
      </c>
      <c r="M37" s="20" t="s">
        <v>287</v>
      </c>
      <c r="N37" s="52"/>
      <c r="O37" s="52"/>
      <c r="P37" s="52"/>
      <c r="Q37" s="55"/>
      <c r="R37" s="55"/>
      <c r="S37" s="55"/>
      <c r="T37" s="55"/>
      <c r="U37" s="55"/>
      <c r="V37" s="55"/>
      <c r="W37" s="55"/>
    </row>
    <row r="38" spans="1:23" s="23" customFormat="1">
      <c r="A38" s="60">
        <v>34</v>
      </c>
      <c r="B38" s="19">
        <v>1.1000000000000001</v>
      </c>
      <c r="C38" s="37" t="s">
        <v>367</v>
      </c>
      <c r="D38" s="25" t="s">
        <v>308</v>
      </c>
      <c r="E38" s="59">
        <v>44867.580439814818</v>
      </c>
      <c r="F38" s="49" t="s">
        <v>19</v>
      </c>
      <c r="G38" s="16" t="s">
        <v>368</v>
      </c>
      <c r="H38" s="20"/>
      <c r="I38" s="20"/>
      <c r="J38" s="20" t="s">
        <v>310</v>
      </c>
      <c r="K38" s="21">
        <v>44880.55400462963</v>
      </c>
      <c r="L38" s="20" t="s">
        <v>219</v>
      </c>
      <c r="M38" s="20" t="s">
        <v>287</v>
      </c>
      <c r="N38" s="52"/>
      <c r="O38" s="52"/>
      <c r="P38" s="52"/>
      <c r="Q38" s="55"/>
      <c r="R38" s="55"/>
      <c r="S38" s="55"/>
      <c r="T38" s="55"/>
      <c r="U38" s="55"/>
      <c r="V38" s="55"/>
      <c r="W38" s="55"/>
    </row>
    <row r="39" spans="1:23" s="23" customFormat="1" hidden="1">
      <c r="A39" s="61">
        <v>35</v>
      </c>
      <c r="B39" s="19">
        <v>1.1000000000000001</v>
      </c>
      <c r="C39" s="37" t="s">
        <v>367</v>
      </c>
      <c r="D39" s="16" t="s">
        <v>369</v>
      </c>
      <c r="E39" s="59">
        <v>44867.583136574074</v>
      </c>
      <c r="F39" s="49" t="s">
        <v>19</v>
      </c>
      <c r="G39" s="16" t="s">
        <v>370</v>
      </c>
      <c r="H39" s="20"/>
      <c r="I39" s="20"/>
      <c r="J39" s="20" t="s">
        <v>371</v>
      </c>
      <c r="K39" s="21">
        <v>44889.506331018521</v>
      </c>
      <c r="L39" s="20" t="s">
        <v>219</v>
      </c>
      <c r="M39" s="20" t="s">
        <v>287</v>
      </c>
      <c r="N39" s="52"/>
      <c r="O39" s="52"/>
      <c r="P39" s="52"/>
      <c r="Q39" s="55"/>
      <c r="R39" s="55"/>
      <c r="S39" s="55"/>
      <c r="T39" s="55"/>
      <c r="U39" s="55"/>
      <c r="V39" s="55"/>
      <c r="W39" s="55"/>
    </row>
    <row r="40" spans="1:23" s="23" customFormat="1">
      <c r="A40" s="60">
        <v>36</v>
      </c>
      <c r="B40" s="19">
        <v>1.1000000000000001</v>
      </c>
      <c r="C40" s="19" t="s">
        <v>372</v>
      </c>
      <c r="D40" s="16" t="s">
        <v>308</v>
      </c>
      <c r="E40" s="59">
        <v>44867.580787037034</v>
      </c>
      <c r="F40" s="49" t="s">
        <v>19</v>
      </c>
      <c r="G40" s="16" t="s">
        <v>368</v>
      </c>
      <c r="H40" s="20"/>
      <c r="I40" s="20"/>
      <c r="J40" s="20" t="s">
        <v>310</v>
      </c>
      <c r="K40" s="21">
        <v>44880.554884259262</v>
      </c>
      <c r="L40" s="20" t="s">
        <v>219</v>
      </c>
      <c r="M40" s="20" t="s">
        <v>287</v>
      </c>
      <c r="N40" s="52"/>
      <c r="O40" s="52"/>
      <c r="P40" s="52"/>
      <c r="Q40" s="55"/>
      <c r="R40" s="55"/>
      <c r="S40" s="55"/>
      <c r="T40" s="55"/>
      <c r="U40" s="55"/>
      <c r="V40" s="55"/>
      <c r="W40" s="55"/>
    </row>
    <row r="41" spans="1:23" s="23" customFormat="1" hidden="1">
      <c r="A41" s="60">
        <v>37</v>
      </c>
      <c r="B41" s="19">
        <v>1.1000000000000001</v>
      </c>
      <c r="C41" s="19" t="s">
        <v>372</v>
      </c>
      <c r="D41" s="16" t="s">
        <v>369</v>
      </c>
      <c r="E41" s="59">
        <v>44867.582974537036</v>
      </c>
      <c r="F41" s="49" t="s">
        <v>19</v>
      </c>
      <c r="G41" s="16" t="s">
        <v>370</v>
      </c>
      <c r="H41" s="20"/>
      <c r="I41" s="20"/>
      <c r="J41" s="20" t="s">
        <v>371</v>
      </c>
      <c r="K41" s="21">
        <v>44889.506331018521</v>
      </c>
      <c r="L41" s="20" t="s">
        <v>219</v>
      </c>
      <c r="M41" s="20" t="s">
        <v>287</v>
      </c>
      <c r="N41" s="52"/>
      <c r="O41" s="52"/>
      <c r="P41" s="52"/>
      <c r="Q41" s="55"/>
      <c r="R41" s="55"/>
      <c r="S41" s="55"/>
      <c r="T41" s="55"/>
      <c r="U41" s="55"/>
      <c r="V41" s="55"/>
      <c r="W41" s="55"/>
    </row>
    <row r="42" spans="1:23" s="23" customFormat="1">
      <c r="A42" s="61">
        <v>38</v>
      </c>
      <c r="B42" s="19">
        <v>1.1000000000000001</v>
      </c>
      <c r="C42" s="19" t="s">
        <v>373</v>
      </c>
      <c r="D42" s="16" t="s">
        <v>308</v>
      </c>
      <c r="E42" s="59">
        <v>44867.582245370373</v>
      </c>
      <c r="F42" s="49" t="s">
        <v>19</v>
      </c>
      <c r="G42" s="16" t="s">
        <v>368</v>
      </c>
      <c r="H42" s="20"/>
      <c r="I42" s="20"/>
      <c r="J42" s="20" t="s">
        <v>310</v>
      </c>
      <c r="K42" s="21">
        <v>44880.555034722223</v>
      </c>
      <c r="L42" s="20" t="s">
        <v>219</v>
      </c>
      <c r="M42" s="20" t="s">
        <v>287</v>
      </c>
      <c r="N42" s="52"/>
      <c r="O42" s="52"/>
      <c r="P42" s="52"/>
      <c r="Q42" s="55"/>
      <c r="R42" s="55"/>
      <c r="S42" s="55"/>
      <c r="T42" s="55"/>
      <c r="U42" s="55"/>
      <c r="V42" s="55"/>
      <c r="W42" s="55"/>
    </row>
    <row r="43" spans="1:23" s="23" customFormat="1" hidden="1">
      <c r="A43" s="60">
        <v>39</v>
      </c>
      <c r="B43" s="19">
        <v>1.1000000000000001</v>
      </c>
      <c r="C43" s="19" t="s">
        <v>373</v>
      </c>
      <c r="D43" s="16" t="s">
        <v>369</v>
      </c>
      <c r="E43" s="59">
        <v>44867.582731481481</v>
      </c>
      <c r="F43" s="49" t="s">
        <v>19</v>
      </c>
      <c r="G43" s="16" t="s">
        <v>370</v>
      </c>
      <c r="H43" s="20"/>
      <c r="I43" s="20"/>
      <c r="J43" s="20" t="s">
        <v>371</v>
      </c>
      <c r="K43" s="21">
        <v>44889.506331018521</v>
      </c>
      <c r="L43" s="20" t="s">
        <v>219</v>
      </c>
      <c r="M43" s="20" t="s">
        <v>287</v>
      </c>
      <c r="N43" s="52"/>
      <c r="O43" s="52"/>
      <c r="P43" s="52"/>
      <c r="Q43" s="55"/>
      <c r="R43" s="55"/>
      <c r="S43" s="55"/>
      <c r="T43" s="55"/>
      <c r="U43" s="55"/>
      <c r="V43" s="55"/>
      <c r="W43" s="55"/>
    </row>
    <row r="44" spans="1:23" s="23" customFormat="1" ht="15" customHeight="1">
      <c r="A44" s="60">
        <v>40</v>
      </c>
      <c r="B44" s="19">
        <v>1.1000000000000001</v>
      </c>
      <c r="C44" s="19" t="s">
        <v>374</v>
      </c>
      <c r="D44" s="16" t="s">
        <v>308</v>
      </c>
      <c r="E44" s="59">
        <v>44867.590092592596</v>
      </c>
      <c r="F44" s="49" t="s">
        <v>19</v>
      </c>
      <c r="G44" s="16" t="s">
        <v>368</v>
      </c>
      <c r="H44" s="20"/>
      <c r="I44" s="20"/>
      <c r="J44" s="20" t="s">
        <v>310</v>
      </c>
      <c r="K44" s="21">
        <v>44880.555451388886</v>
      </c>
      <c r="L44" s="20" t="s">
        <v>219</v>
      </c>
      <c r="M44" s="20" t="s">
        <v>287</v>
      </c>
      <c r="N44" s="52"/>
      <c r="O44" s="52"/>
      <c r="P44" s="52"/>
      <c r="Q44" s="55"/>
      <c r="R44" s="55"/>
      <c r="S44" s="55"/>
      <c r="T44" s="55"/>
      <c r="U44" s="55"/>
      <c r="V44" s="55"/>
      <c r="W44" s="55"/>
    </row>
    <row r="45" spans="1:23" s="23" customFormat="1" hidden="1">
      <c r="A45" s="61">
        <v>41</v>
      </c>
      <c r="B45" s="19">
        <v>1.1000000000000001</v>
      </c>
      <c r="C45" s="19" t="s">
        <v>374</v>
      </c>
      <c r="D45" s="16" t="s">
        <v>369</v>
      </c>
      <c r="E45" s="59">
        <v>44867.59033564815</v>
      </c>
      <c r="F45" s="49" t="s">
        <v>19</v>
      </c>
      <c r="G45" s="16" t="s">
        <v>370</v>
      </c>
      <c r="H45" s="20"/>
      <c r="I45" s="20"/>
      <c r="J45" s="20" t="s">
        <v>371</v>
      </c>
      <c r="K45" s="21">
        <v>44889.506331018521</v>
      </c>
      <c r="L45" s="20" t="s">
        <v>219</v>
      </c>
      <c r="M45" s="20" t="s">
        <v>287</v>
      </c>
      <c r="N45" s="52"/>
      <c r="O45" s="52"/>
      <c r="P45" s="52"/>
      <c r="Q45" s="55"/>
      <c r="R45" s="55"/>
      <c r="S45" s="55"/>
      <c r="T45" s="55"/>
      <c r="U45" s="55"/>
      <c r="V45" s="55"/>
      <c r="W45" s="55"/>
    </row>
    <row r="46" spans="1:23" s="23" customFormat="1" ht="38.25">
      <c r="A46" s="60">
        <v>42</v>
      </c>
      <c r="B46" s="19">
        <v>1.1000000000000001</v>
      </c>
      <c r="C46" s="19" t="s">
        <v>375</v>
      </c>
      <c r="D46" s="16" t="s">
        <v>308</v>
      </c>
      <c r="E46" s="59">
        <v>44867.591099537036</v>
      </c>
      <c r="F46" s="49" t="s">
        <v>19</v>
      </c>
      <c r="G46" s="25" t="s">
        <v>376</v>
      </c>
      <c r="H46" s="20"/>
      <c r="I46" s="20"/>
      <c r="J46" s="20" t="s">
        <v>310</v>
      </c>
      <c r="K46" s="21">
        <v>44880.555474537039</v>
      </c>
      <c r="L46" s="20" t="s">
        <v>219</v>
      </c>
      <c r="M46" s="20" t="s">
        <v>287</v>
      </c>
      <c r="N46" s="52"/>
      <c r="O46" s="52"/>
      <c r="P46" s="52"/>
      <c r="Q46" s="55"/>
      <c r="R46" s="55"/>
      <c r="S46" s="55"/>
      <c r="T46" s="55"/>
      <c r="U46" s="55"/>
      <c r="V46" s="55"/>
      <c r="W46" s="55"/>
    </row>
    <row r="47" spans="1:23" s="23" customFormat="1" ht="38.25" hidden="1">
      <c r="A47" s="60">
        <v>43</v>
      </c>
      <c r="B47" s="19">
        <v>1.1000000000000001</v>
      </c>
      <c r="C47" s="19" t="s">
        <v>375</v>
      </c>
      <c r="D47" s="16" t="s">
        <v>377</v>
      </c>
      <c r="E47" s="59">
        <v>44867.592499999999</v>
      </c>
      <c r="F47" s="49" t="s">
        <v>19</v>
      </c>
      <c r="G47" s="16" t="s">
        <v>378</v>
      </c>
      <c r="H47" s="20"/>
      <c r="I47" s="20"/>
      <c r="J47" s="20" t="s">
        <v>371</v>
      </c>
      <c r="K47" s="21">
        <v>44888.506331018521</v>
      </c>
      <c r="L47" s="20" t="s">
        <v>219</v>
      </c>
      <c r="M47" s="20" t="s">
        <v>287</v>
      </c>
      <c r="N47" s="52"/>
      <c r="O47" s="52"/>
      <c r="P47" s="52"/>
      <c r="Q47" s="55"/>
      <c r="R47" s="55"/>
      <c r="S47" s="55"/>
      <c r="T47" s="55"/>
      <c r="U47" s="55"/>
      <c r="V47" s="55"/>
      <c r="W47" s="55"/>
    </row>
    <row r="48" spans="1:23" s="23" customFormat="1" ht="25.5">
      <c r="A48" s="61">
        <v>44</v>
      </c>
      <c r="B48" s="19">
        <v>1.1000000000000001</v>
      </c>
      <c r="C48" s="19" t="s">
        <v>375</v>
      </c>
      <c r="D48" s="16" t="s">
        <v>379</v>
      </c>
      <c r="E48" s="59">
        <v>44867.593506944446</v>
      </c>
      <c r="F48" s="49" t="s">
        <v>19</v>
      </c>
      <c r="G48" s="16" t="s">
        <v>380</v>
      </c>
      <c r="H48" s="20"/>
      <c r="I48" s="20"/>
      <c r="J48" s="20" t="s">
        <v>310</v>
      </c>
      <c r="K48" s="21">
        <v>44880.556921296295</v>
      </c>
      <c r="L48" s="20" t="s">
        <v>219</v>
      </c>
      <c r="M48" s="20" t="s">
        <v>287</v>
      </c>
      <c r="N48" s="52"/>
      <c r="O48" s="52"/>
      <c r="P48" s="52"/>
      <c r="Q48" s="55"/>
      <c r="R48" s="55"/>
      <c r="S48" s="55"/>
      <c r="T48" s="55"/>
      <c r="U48" s="55"/>
      <c r="V48" s="55"/>
      <c r="W48" s="55"/>
    </row>
    <row r="49" spans="1:23" s="23" customFormat="1" ht="25.5">
      <c r="A49" s="60">
        <v>45</v>
      </c>
      <c r="B49" s="19">
        <v>1.1000000000000001</v>
      </c>
      <c r="C49" s="37" t="s">
        <v>381</v>
      </c>
      <c r="D49" s="25" t="s">
        <v>308</v>
      </c>
      <c r="E49" s="59">
        <v>44869.403506944444</v>
      </c>
      <c r="F49" s="49" t="s">
        <v>19</v>
      </c>
      <c r="G49" s="25" t="s">
        <v>382</v>
      </c>
      <c r="H49" s="20"/>
      <c r="I49" s="20"/>
      <c r="J49" s="20" t="s">
        <v>310</v>
      </c>
      <c r="K49" s="21">
        <v>44880.555671296293</v>
      </c>
      <c r="L49" s="20" t="s">
        <v>219</v>
      </c>
      <c r="M49" s="20" t="s">
        <v>287</v>
      </c>
      <c r="N49" s="52"/>
      <c r="O49" s="52"/>
      <c r="P49" s="52"/>
      <c r="Q49" s="55"/>
      <c r="R49" s="55"/>
      <c r="S49" s="55"/>
      <c r="T49" s="55"/>
      <c r="U49" s="55"/>
      <c r="V49" s="55"/>
      <c r="W49" s="55"/>
    </row>
    <row r="50" spans="1:23" s="23" customFormat="1" ht="51">
      <c r="A50" s="60">
        <v>46</v>
      </c>
      <c r="B50" s="19">
        <v>1.1000000000000001</v>
      </c>
      <c r="C50" s="37" t="s">
        <v>383</v>
      </c>
      <c r="D50" s="25" t="s">
        <v>308</v>
      </c>
      <c r="E50" s="59">
        <v>44869.409085648149</v>
      </c>
      <c r="F50" s="49" t="s">
        <v>19</v>
      </c>
      <c r="G50" s="25" t="s">
        <v>384</v>
      </c>
      <c r="H50" s="20"/>
      <c r="I50" s="20"/>
      <c r="J50" s="20" t="s">
        <v>310</v>
      </c>
      <c r="K50" s="21">
        <v>44880.555694444447</v>
      </c>
      <c r="L50" s="20" t="s">
        <v>219</v>
      </c>
      <c r="M50" s="20" t="s">
        <v>287</v>
      </c>
      <c r="N50" s="52"/>
      <c r="O50" s="52"/>
      <c r="P50" s="52"/>
      <c r="Q50" s="55"/>
      <c r="R50" s="55"/>
      <c r="S50" s="55"/>
      <c r="T50" s="55"/>
      <c r="U50" s="55"/>
      <c r="V50" s="55"/>
      <c r="W50" s="55"/>
    </row>
    <row r="51" spans="1:23" s="23" customFormat="1" ht="76.5" hidden="1">
      <c r="A51" s="61">
        <v>47</v>
      </c>
      <c r="B51" s="19">
        <v>1.1000000000000001</v>
      </c>
      <c r="C51" s="37" t="s">
        <v>383</v>
      </c>
      <c r="D51" s="25" t="s">
        <v>385</v>
      </c>
      <c r="E51" s="59">
        <v>44869.410462962966</v>
      </c>
      <c r="F51" s="49" t="s">
        <v>19</v>
      </c>
      <c r="G51" s="25" t="s">
        <v>386</v>
      </c>
      <c r="H51" s="20"/>
      <c r="I51" s="20"/>
      <c r="J51" s="20" t="s">
        <v>371</v>
      </c>
      <c r="K51" s="21">
        <v>44880.492569444446</v>
      </c>
      <c r="L51" s="20" t="s">
        <v>219</v>
      </c>
      <c r="M51" s="20" t="s">
        <v>287</v>
      </c>
      <c r="N51" s="52"/>
      <c r="O51" s="52"/>
      <c r="P51" s="52"/>
      <c r="Q51" s="55"/>
      <c r="R51" s="55"/>
      <c r="S51" s="55"/>
      <c r="T51" s="55"/>
      <c r="U51" s="55"/>
      <c r="V51" s="55"/>
      <c r="W51" s="55"/>
    </row>
    <row r="52" spans="1:23" s="23" customFormat="1" ht="76.5" hidden="1">
      <c r="A52" s="60">
        <v>48</v>
      </c>
      <c r="B52" s="19">
        <v>1.1000000000000001</v>
      </c>
      <c r="C52" s="37" t="s">
        <v>383</v>
      </c>
      <c r="D52" s="25" t="s">
        <v>387</v>
      </c>
      <c r="E52" s="59">
        <v>44869.411909722221</v>
      </c>
      <c r="F52" s="49" t="s">
        <v>19</v>
      </c>
      <c r="G52" s="25" t="s">
        <v>388</v>
      </c>
      <c r="H52" s="20"/>
      <c r="I52" s="20"/>
      <c r="J52" s="20" t="s">
        <v>371</v>
      </c>
      <c r="K52" s="21">
        <v>44881.492627314816</v>
      </c>
      <c r="L52" s="20" t="s">
        <v>219</v>
      </c>
      <c r="M52" s="20" t="s">
        <v>287</v>
      </c>
      <c r="N52" s="52"/>
      <c r="O52" s="52"/>
      <c r="P52" s="52"/>
      <c r="Q52" s="55"/>
      <c r="R52" s="55"/>
      <c r="S52" s="55"/>
      <c r="T52" s="55"/>
      <c r="U52" s="55"/>
      <c r="V52" s="55"/>
      <c r="W52" s="55"/>
    </row>
    <row r="53" spans="1:23" s="23" customFormat="1" ht="38.25" hidden="1">
      <c r="A53" s="60">
        <v>49</v>
      </c>
      <c r="B53" s="19">
        <v>1.1000000000000001</v>
      </c>
      <c r="C53" s="37" t="s">
        <v>383</v>
      </c>
      <c r="D53" s="25" t="s">
        <v>389</v>
      </c>
      <c r="E53" s="59">
        <v>44869.415555555555</v>
      </c>
      <c r="F53" s="49" t="s">
        <v>19</v>
      </c>
      <c r="G53" s="16" t="s">
        <v>390</v>
      </c>
      <c r="H53" s="20"/>
      <c r="I53" s="20"/>
      <c r="J53" s="20" t="s">
        <v>371</v>
      </c>
      <c r="K53" s="21">
        <v>44880.493831018517</v>
      </c>
      <c r="L53" s="20" t="s">
        <v>219</v>
      </c>
      <c r="M53" s="20" t="s">
        <v>287</v>
      </c>
      <c r="N53" s="52"/>
      <c r="O53" s="52"/>
      <c r="P53" s="52"/>
      <c r="Q53" s="55"/>
      <c r="R53" s="55"/>
      <c r="S53" s="55"/>
      <c r="T53" s="55"/>
      <c r="U53" s="55"/>
      <c r="V53" s="55"/>
      <c r="W53" s="55"/>
    </row>
    <row r="54" spans="1:23" s="23" customFormat="1" ht="25.5" hidden="1">
      <c r="A54" s="61">
        <v>50</v>
      </c>
      <c r="B54" s="19">
        <v>1.1000000000000001</v>
      </c>
      <c r="C54" s="37" t="s">
        <v>383</v>
      </c>
      <c r="D54" s="25" t="s">
        <v>391</v>
      </c>
      <c r="E54" s="59">
        <v>44869.412569444445</v>
      </c>
      <c r="F54" s="49" t="s">
        <v>19</v>
      </c>
      <c r="G54" s="16" t="s">
        <v>392</v>
      </c>
      <c r="H54" s="20"/>
      <c r="I54" s="20"/>
      <c r="J54" s="20" t="s">
        <v>371</v>
      </c>
      <c r="K54" s="21">
        <v>44880.494108796294</v>
      </c>
      <c r="L54" s="20" t="s">
        <v>219</v>
      </c>
      <c r="M54" s="20" t="s">
        <v>287</v>
      </c>
      <c r="N54" s="52"/>
      <c r="O54" s="52"/>
      <c r="P54" s="52"/>
      <c r="Q54" s="55"/>
      <c r="R54" s="55"/>
      <c r="S54" s="55"/>
      <c r="T54" s="55"/>
      <c r="U54" s="55"/>
      <c r="V54" s="55"/>
      <c r="W54" s="55"/>
    </row>
    <row r="55" spans="1:23" s="23" customFormat="1" ht="25.5" hidden="1">
      <c r="A55" s="60">
        <v>51</v>
      </c>
      <c r="B55" s="19">
        <v>1.1000000000000001</v>
      </c>
      <c r="C55" s="37" t="s">
        <v>383</v>
      </c>
      <c r="D55" s="25" t="s">
        <v>393</v>
      </c>
      <c r="E55" s="59">
        <v>44937.613564814812</v>
      </c>
      <c r="F55" s="49" t="s">
        <v>19</v>
      </c>
      <c r="G55" s="25" t="s">
        <v>690</v>
      </c>
      <c r="H55" s="20"/>
      <c r="I55" s="20"/>
      <c r="J55" s="20" t="s">
        <v>19</v>
      </c>
      <c r="K55" s="21">
        <v>44951.391770833332</v>
      </c>
      <c r="L55" s="20" t="s">
        <v>282</v>
      </c>
      <c r="M55" s="20" t="s">
        <v>287</v>
      </c>
      <c r="N55" s="52"/>
      <c r="O55" s="52"/>
      <c r="P55" s="52"/>
      <c r="Q55" s="55"/>
      <c r="R55" s="55"/>
      <c r="S55" s="55"/>
      <c r="T55" s="55"/>
      <c r="U55" s="55"/>
      <c r="V55" s="55"/>
      <c r="W55" s="55"/>
    </row>
    <row r="56" spans="1:23" s="23" customFormat="1" hidden="1">
      <c r="A56" s="60">
        <v>52</v>
      </c>
      <c r="B56" s="19">
        <v>1.1000000000000001</v>
      </c>
      <c r="C56" s="37" t="s">
        <v>383</v>
      </c>
      <c r="D56" s="16" t="s">
        <v>394</v>
      </c>
      <c r="E56" s="59">
        <v>44869.414178240739</v>
      </c>
      <c r="F56" s="49" t="s">
        <v>19</v>
      </c>
      <c r="G56" s="16" t="s">
        <v>395</v>
      </c>
      <c r="H56" s="20"/>
      <c r="I56" s="20"/>
      <c r="J56" s="20" t="s">
        <v>371</v>
      </c>
      <c r="K56" s="21">
        <v>44880.494189814817</v>
      </c>
      <c r="L56" s="20" t="s">
        <v>219</v>
      </c>
      <c r="M56" s="20" t="s">
        <v>287</v>
      </c>
      <c r="N56" s="52"/>
      <c r="O56" s="52"/>
      <c r="P56" s="52"/>
      <c r="Q56" s="55"/>
      <c r="R56" s="55"/>
      <c r="S56" s="55"/>
      <c r="T56" s="55"/>
      <c r="U56" s="55"/>
      <c r="V56" s="55"/>
      <c r="W56" s="55"/>
    </row>
    <row r="57" spans="1:23" s="23" customFormat="1" ht="51" hidden="1">
      <c r="A57" s="61">
        <v>53</v>
      </c>
      <c r="B57" s="19">
        <v>1.1000000000000001</v>
      </c>
      <c r="C57" s="37" t="s">
        <v>383</v>
      </c>
      <c r="D57" s="16" t="s">
        <v>396</v>
      </c>
      <c r="E57" s="59">
        <v>44869.421076388891</v>
      </c>
      <c r="F57" s="49" t="s">
        <v>19</v>
      </c>
      <c r="G57" s="25" t="s">
        <v>397</v>
      </c>
      <c r="H57" s="20"/>
      <c r="I57" s="20"/>
      <c r="J57" s="20" t="s">
        <v>371</v>
      </c>
      <c r="K57" s="21">
        <v>44882.49428240741</v>
      </c>
      <c r="L57" s="20" t="s">
        <v>219</v>
      </c>
      <c r="M57" s="20" t="s">
        <v>287</v>
      </c>
      <c r="N57" s="52"/>
      <c r="O57" s="52"/>
      <c r="P57" s="52"/>
      <c r="Q57" s="55"/>
      <c r="R57" s="55"/>
      <c r="S57" s="55"/>
      <c r="T57" s="55"/>
      <c r="U57" s="55"/>
      <c r="V57" s="55"/>
      <c r="W57" s="55"/>
    </row>
    <row r="58" spans="1:23" s="23" customFormat="1" ht="63.75" hidden="1">
      <c r="A58" s="60">
        <v>54</v>
      </c>
      <c r="B58" s="19">
        <v>1.1000000000000001</v>
      </c>
      <c r="C58" s="37" t="s">
        <v>383</v>
      </c>
      <c r="D58" s="16" t="s">
        <v>398</v>
      </c>
      <c r="E58" s="59">
        <v>44869.425486111111</v>
      </c>
      <c r="F58" s="49" t="s">
        <v>19</v>
      </c>
      <c r="G58" s="16" t="s">
        <v>399</v>
      </c>
      <c r="H58" s="20"/>
      <c r="I58" s="20"/>
      <c r="J58" s="20" t="s">
        <v>371</v>
      </c>
      <c r="K58" s="21">
        <v>44880.495972222219</v>
      </c>
      <c r="L58" s="20" t="s">
        <v>282</v>
      </c>
      <c r="M58" s="20" t="s">
        <v>287</v>
      </c>
      <c r="N58" s="52"/>
      <c r="O58" s="52"/>
      <c r="P58" s="52"/>
      <c r="Q58" s="55"/>
      <c r="R58" s="55"/>
      <c r="S58" s="55"/>
      <c r="T58" s="55"/>
      <c r="U58" s="55"/>
      <c r="V58" s="55"/>
      <c r="W58" s="55"/>
    </row>
    <row r="59" spans="1:23" s="23" customFormat="1" ht="51" hidden="1">
      <c r="A59" s="60">
        <v>55</v>
      </c>
      <c r="B59" s="19">
        <v>1.1000000000000001</v>
      </c>
      <c r="C59" s="37" t="s">
        <v>383</v>
      </c>
      <c r="D59" s="25" t="s">
        <v>400</v>
      </c>
      <c r="E59" s="59">
        <v>44869.430289351854</v>
      </c>
      <c r="F59" s="49" t="s">
        <v>19</v>
      </c>
      <c r="G59" s="16" t="s">
        <v>395</v>
      </c>
      <c r="H59" s="20"/>
      <c r="I59" s="20"/>
      <c r="J59" s="20" t="s">
        <v>371</v>
      </c>
      <c r="K59" s="21">
        <v>44880.496331018519</v>
      </c>
      <c r="L59" s="20" t="s">
        <v>219</v>
      </c>
      <c r="M59" s="20" t="s">
        <v>287</v>
      </c>
      <c r="N59" s="52"/>
      <c r="O59" s="52"/>
      <c r="P59" s="52"/>
      <c r="Q59" s="55"/>
      <c r="R59" s="55"/>
      <c r="S59" s="55"/>
      <c r="T59" s="55"/>
      <c r="U59" s="55"/>
      <c r="V59" s="55"/>
      <c r="W59" s="55"/>
    </row>
    <row r="60" spans="1:23" s="23" customFormat="1" ht="38.25" hidden="1">
      <c r="A60" s="61">
        <v>56</v>
      </c>
      <c r="B60" s="19">
        <v>1.1000000000000001</v>
      </c>
      <c r="C60" s="37" t="s">
        <v>383</v>
      </c>
      <c r="D60" s="16" t="s">
        <v>401</v>
      </c>
      <c r="E60" s="59">
        <v>44869.434421296297</v>
      </c>
      <c r="F60" s="49" t="s">
        <v>19</v>
      </c>
      <c r="G60" s="16" t="s">
        <v>378</v>
      </c>
      <c r="H60" s="20"/>
      <c r="I60" s="20"/>
      <c r="J60" s="20" t="s">
        <v>371</v>
      </c>
      <c r="K60" s="21">
        <v>44881.496423611112</v>
      </c>
      <c r="L60" s="20" t="s">
        <v>219</v>
      </c>
      <c r="M60" s="20" t="s">
        <v>287</v>
      </c>
      <c r="N60" s="52"/>
      <c r="O60" s="52"/>
      <c r="P60" s="52"/>
      <c r="Q60" s="55"/>
      <c r="R60" s="55"/>
      <c r="S60" s="55"/>
      <c r="T60" s="55"/>
      <c r="U60" s="55"/>
      <c r="V60" s="55"/>
      <c r="W60" s="55"/>
    </row>
    <row r="61" spans="1:23" s="23" customFormat="1" ht="51" hidden="1">
      <c r="A61" s="60">
        <v>57</v>
      </c>
      <c r="B61" s="19">
        <v>1.1000000000000001</v>
      </c>
      <c r="C61" s="37" t="s">
        <v>383</v>
      </c>
      <c r="D61" s="16" t="s">
        <v>402</v>
      </c>
      <c r="E61" s="59">
        <v>44869.430555555555</v>
      </c>
      <c r="F61" s="49" t="s">
        <v>19</v>
      </c>
      <c r="G61" s="16" t="s">
        <v>395</v>
      </c>
      <c r="H61" s="20"/>
      <c r="I61" s="20"/>
      <c r="J61" s="20" t="s">
        <v>371</v>
      </c>
      <c r="K61" s="21">
        <v>44881.496446759258</v>
      </c>
      <c r="L61" s="20" t="s">
        <v>219</v>
      </c>
      <c r="M61" s="20" t="s">
        <v>287</v>
      </c>
      <c r="N61" s="52"/>
      <c r="O61" s="52"/>
      <c r="P61" s="52"/>
      <c r="Q61" s="55"/>
      <c r="R61" s="55"/>
      <c r="S61" s="55"/>
      <c r="T61" s="55"/>
      <c r="U61" s="55"/>
      <c r="V61" s="55"/>
      <c r="W61" s="55"/>
    </row>
    <row r="62" spans="1:23" s="23" customFormat="1" ht="38.25" hidden="1">
      <c r="A62" s="60">
        <v>58</v>
      </c>
      <c r="B62" s="19">
        <v>1.1000000000000001</v>
      </c>
      <c r="C62" s="37" t="s">
        <v>383</v>
      </c>
      <c r="D62" s="25" t="s">
        <v>403</v>
      </c>
      <c r="E62" s="59">
        <v>44869.434421296297</v>
      </c>
      <c r="F62" s="49" t="s">
        <v>19</v>
      </c>
      <c r="G62" s="16" t="s">
        <v>378</v>
      </c>
      <c r="H62" s="20"/>
      <c r="I62" s="20"/>
      <c r="J62" s="20" t="s">
        <v>371</v>
      </c>
      <c r="K62" s="21">
        <v>44881.496527777781</v>
      </c>
      <c r="L62" s="20" t="s">
        <v>219</v>
      </c>
      <c r="M62" s="20" t="s">
        <v>287</v>
      </c>
      <c r="N62" s="52"/>
      <c r="O62" s="52"/>
      <c r="P62" s="52"/>
      <c r="Q62" s="55"/>
      <c r="R62" s="55"/>
      <c r="S62" s="55"/>
      <c r="T62" s="55"/>
      <c r="U62" s="55"/>
      <c r="V62" s="55"/>
      <c r="W62" s="55"/>
    </row>
    <row r="63" spans="1:23" s="23" customFormat="1" ht="15" customHeight="1">
      <c r="A63" s="61">
        <v>59</v>
      </c>
      <c r="B63" s="19">
        <v>1.1000000000000001</v>
      </c>
      <c r="C63" s="37" t="s">
        <v>404</v>
      </c>
      <c r="D63" s="25" t="s">
        <v>308</v>
      </c>
      <c r="E63" s="59">
        <v>44869.448958333334</v>
      </c>
      <c r="F63" s="49" t="s">
        <v>19</v>
      </c>
      <c r="G63" s="16" t="s">
        <v>368</v>
      </c>
      <c r="H63" s="20"/>
      <c r="I63" s="20"/>
      <c r="J63" s="20" t="s">
        <v>310</v>
      </c>
      <c r="K63" s="21">
        <v>44880.555891203701</v>
      </c>
      <c r="L63" s="20" t="s">
        <v>219</v>
      </c>
      <c r="M63" s="20" t="s">
        <v>287</v>
      </c>
      <c r="N63" s="52"/>
      <c r="O63" s="52"/>
      <c r="P63" s="52"/>
      <c r="Q63" s="55"/>
      <c r="R63" s="55"/>
      <c r="S63" s="55"/>
      <c r="T63" s="55"/>
      <c r="U63" s="55"/>
      <c r="V63" s="55"/>
      <c r="W63" s="55"/>
    </row>
    <row r="64" spans="1:23" s="23" customFormat="1" ht="15" customHeight="1">
      <c r="A64" s="60">
        <v>60</v>
      </c>
      <c r="B64" s="19">
        <v>1.1000000000000001</v>
      </c>
      <c r="C64" s="19" t="s">
        <v>404</v>
      </c>
      <c r="D64" s="25" t="s">
        <v>405</v>
      </c>
      <c r="E64" s="59">
        <v>44869.449340277781</v>
      </c>
      <c r="F64" s="49" t="s">
        <v>19</v>
      </c>
      <c r="G64" s="16" t="s">
        <v>406</v>
      </c>
      <c r="H64" s="20"/>
      <c r="I64" s="20"/>
      <c r="J64" s="20" t="s">
        <v>310</v>
      </c>
      <c r="K64" s="21">
        <v>44880.565833333334</v>
      </c>
      <c r="L64" s="20" t="s">
        <v>219</v>
      </c>
      <c r="M64" s="20" t="s">
        <v>287</v>
      </c>
      <c r="N64" s="52"/>
      <c r="O64" s="52"/>
      <c r="P64" s="52"/>
      <c r="Q64" s="55"/>
      <c r="R64" s="55"/>
      <c r="S64" s="55"/>
      <c r="T64" s="55"/>
      <c r="U64" s="55"/>
      <c r="V64" s="55"/>
      <c r="W64" s="55"/>
    </row>
    <row r="65" spans="1:23" s="23" customFormat="1" ht="15" customHeight="1">
      <c r="A65" s="60">
        <v>61</v>
      </c>
      <c r="B65" s="19">
        <v>1.1000000000000001</v>
      </c>
      <c r="C65" s="19" t="s">
        <v>404</v>
      </c>
      <c r="D65" s="16" t="s">
        <v>407</v>
      </c>
      <c r="E65" s="59">
        <v>44869.450023148151</v>
      </c>
      <c r="F65" s="49" t="s">
        <v>19</v>
      </c>
      <c r="G65" s="16" t="s">
        <v>408</v>
      </c>
      <c r="H65" s="20"/>
      <c r="I65" s="20"/>
      <c r="J65" s="20" t="s">
        <v>310</v>
      </c>
      <c r="K65" s="21">
        <v>44880.56585648148</v>
      </c>
      <c r="L65" s="20" t="s">
        <v>219</v>
      </c>
      <c r="M65" s="20" t="s">
        <v>287</v>
      </c>
      <c r="N65" s="52"/>
      <c r="O65" s="52"/>
      <c r="P65" s="52"/>
      <c r="Q65" s="55"/>
      <c r="R65" s="55"/>
      <c r="S65" s="55"/>
      <c r="T65" s="55"/>
      <c r="U65" s="55"/>
      <c r="V65" s="55"/>
      <c r="W65" s="55"/>
    </row>
    <row r="66" spans="1:23" s="23" customFormat="1" ht="25.5" hidden="1">
      <c r="A66" s="61">
        <v>62</v>
      </c>
      <c r="B66" s="19">
        <v>1.1000000000000001</v>
      </c>
      <c r="C66" s="19" t="s">
        <v>409</v>
      </c>
      <c r="D66" s="25" t="s">
        <v>405</v>
      </c>
      <c r="E66" s="59">
        <v>44869.453831018516</v>
      </c>
      <c r="F66" s="49" t="s">
        <v>19</v>
      </c>
      <c r="G66" s="25" t="s">
        <v>690</v>
      </c>
      <c r="H66" s="20"/>
      <c r="I66" s="20"/>
      <c r="J66" s="20" t="s">
        <v>19</v>
      </c>
      <c r="K66" s="21">
        <v>44951.392083333332</v>
      </c>
      <c r="L66" s="20" t="s">
        <v>282</v>
      </c>
      <c r="M66" s="20" t="s">
        <v>287</v>
      </c>
      <c r="N66" s="52"/>
      <c r="O66" s="52"/>
      <c r="P66" s="52"/>
      <c r="Q66" s="55"/>
      <c r="R66" s="55"/>
      <c r="S66" s="55"/>
      <c r="T66" s="55"/>
      <c r="U66" s="55"/>
      <c r="V66" s="55"/>
      <c r="W66" s="55"/>
    </row>
    <row r="67" spans="1:23" s="23" customFormat="1" ht="25.5">
      <c r="A67" s="60">
        <v>63</v>
      </c>
      <c r="B67" s="19">
        <v>1.1000000000000001</v>
      </c>
      <c r="C67" s="19" t="s">
        <v>409</v>
      </c>
      <c r="D67" s="16" t="s">
        <v>410</v>
      </c>
      <c r="E67" s="59">
        <v>44869.454733796294</v>
      </c>
      <c r="F67" s="49" t="s">
        <v>19</v>
      </c>
      <c r="G67" s="16" t="s">
        <v>411</v>
      </c>
      <c r="H67" s="20"/>
      <c r="I67" s="20"/>
      <c r="J67" s="20" t="s">
        <v>310</v>
      </c>
      <c r="K67" s="21">
        <v>44881.450474537036</v>
      </c>
      <c r="L67" s="20" t="s">
        <v>219</v>
      </c>
      <c r="M67" s="20" t="s">
        <v>287</v>
      </c>
      <c r="N67" s="52"/>
      <c r="O67" s="52"/>
      <c r="P67" s="52"/>
      <c r="Q67" s="55"/>
      <c r="R67" s="55"/>
      <c r="S67" s="55"/>
      <c r="T67" s="55"/>
      <c r="U67" s="55"/>
      <c r="V67" s="55"/>
      <c r="W67" s="55"/>
    </row>
    <row r="68" spans="1:23" s="23" customFormat="1" ht="25.5">
      <c r="A68" s="60">
        <v>64</v>
      </c>
      <c r="B68" s="19">
        <v>1.1000000000000001</v>
      </c>
      <c r="C68" s="19" t="s">
        <v>409</v>
      </c>
      <c r="D68" s="25" t="s">
        <v>412</v>
      </c>
      <c r="E68" s="59">
        <v>44869.455196759256</v>
      </c>
      <c r="F68" s="49" t="s">
        <v>19</v>
      </c>
      <c r="G68" s="25" t="s">
        <v>413</v>
      </c>
      <c r="H68" s="20"/>
      <c r="I68" s="20"/>
      <c r="J68" s="20" t="s">
        <v>310</v>
      </c>
      <c r="K68" s="21">
        <v>44880.588090277779</v>
      </c>
      <c r="L68" s="20" t="s">
        <v>219</v>
      </c>
      <c r="M68" s="20" t="s">
        <v>287</v>
      </c>
      <c r="N68" s="52"/>
      <c r="O68" s="52"/>
      <c r="P68" s="52"/>
      <c r="Q68" s="55"/>
      <c r="R68" s="55"/>
      <c r="S68" s="55"/>
      <c r="T68" s="55"/>
      <c r="U68" s="55"/>
      <c r="V68" s="55"/>
      <c r="W68" s="55"/>
    </row>
    <row r="69" spans="1:23" s="23" customFormat="1" ht="38.25">
      <c r="A69" s="61">
        <v>65</v>
      </c>
      <c r="B69" s="19">
        <v>1.1000000000000001</v>
      </c>
      <c r="C69" s="19" t="s">
        <v>409</v>
      </c>
      <c r="D69" s="16" t="s">
        <v>414</v>
      </c>
      <c r="E69" s="59">
        <v>44869.457754629628</v>
      </c>
      <c r="F69" s="49" t="s">
        <v>19</v>
      </c>
      <c r="G69" s="16" t="s">
        <v>356</v>
      </c>
      <c r="H69" s="20"/>
      <c r="I69" s="20"/>
      <c r="J69" s="20" t="s">
        <v>310</v>
      </c>
      <c r="K69" s="21">
        <v>44880.588090277779</v>
      </c>
      <c r="L69" s="20" t="s">
        <v>219</v>
      </c>
      <c r="M69" s="20" t="s">
        <v>287</v>
      </c>
      <c r="N69" s="52"/>
      <c r="O69" s="52"/>
      <c r="P69" s="52"/>
      <c r="Q69" s="55"/>
      <c r="R69" s="55"/>
      <c r="S69" s="55"/>
      <c r="T69" s="55"/>
      <c r="U69" s="55"/>
      <c r="V69" s="55"/>
      <c r="W69" s="55"/>
    </row>
    <row r="70" spans="1:23" s="23" customFormat="1" ht="25.5" hidden="1">
      <c r="A70" s="60">
        <v>66</v>
      </c>
      <c r="B70" s="19">
        <v>1.1000000000000001</v>
      </c>
      <c r="C70" s="19" t="s">
        <v>409</v>
      </c>
      <c r="D70" s="16" t="s">
        <v>415</v>
      </c>
      <c r="E70" s="59">
        <v>44869.459872685184</v>
      </c>
      <c r="F70" s="49" t="s">
        <v>19</v>
      </c>
      <c r="G70" s="16" t="s">
        <v>416</v>
      </c>
      <c r="H70" s="20"/>
      <c r="I70" s="20"/>
      <c r="J70" s="20" t="s">
        <v>371</v>
      </c>
      <c r="K70" s="21">
        <v>44888.506331018521</v>
      </c>
      <c r="L70" s="20" t="s">
        <v>219</v>
      </c>
      <c r="M70" s="20" t="s">
        <v>287</v>
      </c>
      <c r="N70" s="52"/>
      <c r="O70" s="52"/>
      <c r="P70" s="52"/>
      <c r="Q70" s="55"/>
      <c r="R70" s="55"/>
      <c r="S70" s="55"/>
      <c r="T70" s="55"/>
      <c r="U70" s="55"/>
      <c r="V70" s="55"/>
      <c r="W70" s="55"/>
    </row>
    <row r="71" spans="1:23" s="23" customFormat="1" ht="25.5" hidden="1">
      <c r="A71" s="60">
        <v>67</v>
      </c>
      <c r="B71" s="19">
        <v>1.1000000000000001</v>
      </c>
      <c r="C71" s="19" t="s">
        <v>409</v>
      </c>
      <c r="D71" s="25" t="s">
        <v>417</v>
      </c>
      <c r="E71" s="59">
        <v>44869.462013888886</v>
      </c>
      <c r="F71" s="49" t="s">
        <v>19</v>
      </c>
      <c r="G71" s="16" t="s">
        <v>418</v>
      </c>
      <c r="H71" s="20"/>
      <c r="I71" s="20"/>
      <c r="J71" s="20" t="s">
        <v>371</v>
      </c>
      <c r="K71" s="21">
        <v>44886.498819444445</v>
      </c>
      <c r="L71" s="20" t="s">
        <v>219</v>
      </c>
      <c r="M71" s="20" t="s">
        <v>287</v>
      </c>
      <c r="N71" s="52"/>
      <c r="O71" s="52"/>
      <c r="P71" s="52"/>
      <c r="Q71" s="55"/>
      <c r="R71" s="55"/>
      <c r="S71" s="55"/>
      <c r="T71" s="55"/>
      <c r="U71" s="55"/>
      <c r="V71" s="55"/>
      <c r="W71" s="55"/>
    </row>
    <row r="72" spans="1:23" s="23" customFormat="1" ht="51" hidden="1">
      <c r="A72" s="61">
        <v>68</v>
      </c>
      <c r="B72" s="19">
        <v>1.1000000000000001</v>
      </c>
      <c r="C72" s="19" t="s">
        <v>409</v>
      </c>
      <c r="D72" s="25" t="s">
        <v>419</v>
      </c>
      <c r="E72" s="59">
        <v>44869.470081018517</v>
      </c>
      <c r="F72" s="49" t="s">
        <v>19</v>
      </c>
      <c r="G72" s="16" t="s">
        <v>420</v>
      </c>
      <c r="H72" s="20"/>
      <c r="I72" s="20"/>
      <c r="J72" s="20" t="s">
        <v>371</v>
      </c>
      <c r="K72" s="21">
        <v>44888.506331018521</v>
      </c>
      <c r="L72" s="20" t="s">
        <v>219</v>
      </c>
      <c r="M72" s="20" t="s">
        <v>287</v>
      </c>
      <c r="N72" s="52"/>
      <c r="O72" s="52"/>
      <c r="P72" s="52"/>
      <c r="Q72" s="55"/>
      <c r="R72" s="55"/>
      <c r="S72" s="55"/>
      <c r="T72" s="55"/>
      <c r="U72" s="55"/>
      <c r="V72" s="55"/>
      <c r="W72" s="55"/>
    </row>
    <row r="73" spans="1:23" s="23" customFormat="1" ht="51">
      <c r="A73" s="60">
        <v>69</v>
      </c>
      <c r="B73" s="19">
        <v>1.1000000000000001</v>
      </c>
      <c r="C73" s="19" t="s">
        <v>409</v>
      </c>
      <c r="D73" s="25" t="s">
        <v>421</v>
      </c>
      <c r="E73" s="59">
        <v>44869.471990740742</v>
      </c>
      <c r="F73" s="49" t="s">
        <v>19</v>
      </c>
      <c r="G73" s="16" t="s">
        <v>331</v>
      </c>
      <c r="H73" s="20"/>
      <c r="I73" s="20"/>
      <c r="J73" s="20" t="s">
        <v>310</v>
      </c>
      <c r="K73" s="21">
        <v>44881.506331018521</v>
      </c>
      <c r="L73" s="20" t="s">
        <v>219</v>
      </c>
      <c r="M73" s="20" t="s">
        <v>287</v>
      </c>
      <c r="N73" s="52"/>
      <c r="O73" s="52"/>
      <c r="P73" s="52"/>
      <c r="Q73" s="55"/>
      <c r="R73" s="55"/>
      <c r="S73" s="55"/>
      <c r="T73" s="55"/>
      <c r="U73" s="55"/>
      <c r="V73" s="55"/>
      <c r="W73" s="55"/>
    </row>
    <row r="74" spans="1:23" s="23" customFormat="1" ht="51">
      <c r="A74" s="60">
        <v>70</v>
      </c>
      <c r="B74" s="19">
        <v>1.1000000000000001</v>
      </c>
      <c r="C74" s="19" t="s">
        <v>409</v>
      </c>
      <c r="D74" s="25" t="s">
        <v>422</v>
      </c>
      <c r="E74" s="59">
        <v>44869.487997685188</v>
      </c>
      <c r="F74" s="49" t="s">
        <v>19</v>
      </c>
      <c r="G74" s="25" t="s">
        <v>423</v>
      </c>
      <c r="H74" s="20"/>
      <c r="I74" s="20"/>
      <c r="J74" s="20" t="s">
        <v>310</v>
      </c>
      <c r="K74" s="21">
        <v>44881.440497685187</v>
      </c>
      <c r="L74" s="20" t="s">
        <v>219</v>
      </c>
      <c r="M74" s="20" t="s">
        <v>287</v>
      </c>
      <c r="N74" s="52"/>
      <c r="O74" s="52"/>
      <c r="P74" s="52"/>
      <c r="Q74" s="55"/>
      <c r="R74" s="55"/>
      <c r="S74" s="55"/>
      <c r="T74" s="55"/>
      <c r="U74" s="55"/>
      <c r="V74" s="55"/>
      <c r="W74" s="55"/>
    </row>
    <row r="75" spans="1:23" s="23" customFormat="1" ht="21.95" customHeight="1">
      <c r="A75" s="61">
        <v>71</v>
      </c>
      <c r="B75" s="19">
        <v>1.1000000000000001</v>
      </c>
      <c r="C75" s="19" t="s">
        <v>409</v>
      </c>
      <c r="D75" s="25" t="s">
        <v>424</v>
      </c>
      <c r="E75" s="59">
        <v>44869.483344907407</v>
      </c>
      <c r="F75" s="49" t="s">
        <v>19</v>
      </c>
      <c r="G75" s="25" t="s">
        <v>361</v>
      </c>
      <c r="H75" s="20"/>
      <c r="I75" s="20"/>
      <c r="J75" s="20" t="s">
        <v>310</v>
      </c>
      <c r="K75" s="21">
        <v>44880.590104166666</v>
      </c>
      <c r="L75" s="20" t="s">
        <v>219</v>
      </c>
      <c r="M75" s="20" t="s">
        <v>287</v>
      </c>
      <c r="N75" s="52"/>
      <c r="O75" s="52"/>
      <c r="P75" s="52"/>
      <c r="Q75" s="55"/>
      <c r="R75" s="55"/>
      <c r="S75" s="55"/>
      <c r="T75" s="55"/>
      <c r="U75" s="55"/>
      <c r="V75" s="55"/>
      <c r="W75" s="55"/>
    </row>
    <row r="76" spans="1:23" s="23" customFormat="1" ht="25.5">
      <c r="A76" s="60">
        <v>72</v>
      </c>
      <c r="B76" s="19">
        <v>1.1000000000000001</v>
      </c>
      <c r="C76" s="19" t="s">
        <v>409</v>
      </c>
      <c r="D76" s="16" t="s">
        <v>425</v>
      </c>
      <c r="E76" s="59">
        <v>44872.617604166669</v>
      </c>
      <c r="F76" s="49" t="s">
        <v>19</v>
      </c>
      <c r="G76" s="25" t="s">
        <v>426</v>
      </c>
      <c r="H76" s="20"/>
      <c r="I76" s="20"/>
      <c r="J76" s="20" t="s">
        <v>310</v>
      </c>
      <c r="K76" s="21">
        <v>44881.43204861111</v>
      </c>
      <c r="L76" s="20" t="s">
        <v>219</v>
      </c>
      <c r="M76" s="20" t="s">
        <v>287</v>
      </c>
      <c r="N76" s="52"/>
      <c r="O76" s="52"/>
      <c r="P76" s="52"/>
      <c r="Q76" s="55"/>
      <c r="R76" s="55"/>
      <c r="S76" s="55"/>
      <c r="T76" s="55"/>
      <c r="U76" s="55"/>
      <c r="V76" s="55"/>
      <c r="W76" s="55"/>
    </row>
    <row r="77" spans="1:23" s="23" customFormat="1" ht="51" hidden="1">
      <c r="A77" s="60">
        <v>73</v>
      </c>
      <c r="B77" s="19">
        <v>1.1000000000000001</v>
      </c>
      <c r="C77" s="19" t="s">
        <v>409</v>
      </c>
      <c r="D77" s="25" t="s">
        <v>427</v>
      </c>
      <c r="E77" s="59">
        <v>44872.631574074076</v>
      </c>
      <c r="F77" s="49" t="s">
        <v>19</v>
      </c>
      <c r="G77" s="25" t="s">
        <v>428</v>
      </c>
      <c r="H77" s="20"/>
      <c r="I77" s="20"/>
      <c r="J77" s="20" t="s">
        <v>371</v>
      </c>
      <c r="K77" s="21">
        <v>44888.506331018521</v>
      </c>
      <c r="L77" s="20" t="s">
        <v>219</v>
      </c>
      <c r="M77" s="20" t="s">
        <v>287</v>
      </c>
      <c r="N77" s="52"/>
      <c r="O77" s="52"/>
      <c r="P77" s="52"/>
      <c r="Q77" s="55"/>
      <c r="R77" s="55"/>
      <c r="S77" s="55"/>
      <c r="T77" s="55"/>
      <c r="U77" s="55"/>
      <c r="V77" s="55"/>
      <c r="W77" s="55"/>
    </row>
    <row r="78" spans="1:23" s="23" customFormat="1" ht="25.5">
      <c r="A78" s="61">
        <v>74</v>
      </c>
      <c r="B78" s="19">
        <v>1.1000000000000001</v>
      </c>
      <c r="C78" s="19" t="s">
        <v>409</v>
      </c>
      <c r="D78" s="25" t="s">
        <v>429</v>
      </c>
      <c r="E78" s="59">
        <v>44872.634155092594</v>
      </c>
      <c r="F78" s="49" t="s">
        <v>19</v>
      </c>
      <c r="G78" s="16" t="s">
        <v>430</v>
      </c>
      <c r="H78" s="20"/>
      <c r="I78" s="20"/>
      <c r="J78" s="20" t="s">
        <v>310</v>
      </c>
      <c r="K78" s="21">
        <v>44881.466747685183</v>
      </c>
      <c r="L78" s="20" t="s">
        <v>219</v>
      </c>
      <c r="M78" s="20" t="s">
        <v>287</v>
      </c>
      <c r="N78" s="52"/>
      <c r="O78" s="52"/>
      <c r="P78" s="52"/>
      <c r="Q78" s="55"/>
      <c r="R78" s="55"/>
      <c r="S78" s="55"/>
      <c r="T78" s="55"/>
      <c r="U78" s="55"/>
      <c r="V78" s="55"/>
      <c r="W78" s="55"/>
    </row>
    <row r="79" spans="1:23" s="23" customFormat="1" ht="63.75" hidden="1">
      <c r="A79" s="60">
        <v>75</v>
      </c>
      <c r="B79" s="19">
        <v>1.1000000000000001</v>
      </c>
      <c r="C79" s="19" t="s">
        <v>409</v>
      </c>
      <c r="D79" s="16" t="s">
        <v>431</v>
      </c>
      <c r="E79" s="59">
        <v>44872.638379629629</v>
      </c>
      <c r="F79" s="49" t="s">
        <v>19</v>
      </c>
      <c r="G79" s="16" t="s">
        <v>432</v>
      </c>
      <c r="H79" s="20"/>
      <c r="I79" s="20"/>
      <c r="J79" s="20" t="s">
        <v>371</v>
      </c>
      <c r="K79" s="21">
        <v>44888.506331018521</v>
      </c>
      <c r="L79" s="20" t="s">
        <v>219</v>
      </c>
      <c r="M79" s="20" t="s">
        <v>287</v>
      </c>
      <c r="N79" s="52"/>
      <c r="O79" s="52"/>
      <c r="P79" s="52"/>
      <c r="Q79" s="55"/>
      <c r="R79" s="55"/>
      <c r="S79" s="55"/>
      <c r="T79" s="55"/>
      <c r="U79" s="55"/>
      <c r="V79" s="55"/>
      <c r="W79" s="55"/>
    </row>
    <row r="80" spans="1:23" s="23" customFormat="1" ht="25.5">
      <c r="A80" s="60">
        <v>76</v>
      </c>
      <c r="B80" s="19">
        <v>1.1000000000000001</v>
      </c>
      <c r="C80" s="19" t="s">
        <v>409</v>
      </c>
      <c r="D80" s="16" t="s">
        <v>433</v>
      </c>
      <c r="E80" s="59">
        <v>44872.641435185185</v>
      </c>
      <c r="F80" s="49" t="s">
        <v>19</v>
      </c>
      <c r="G80" s="16" t="s">
        <v>434</v>
      </c>
      <c r="H80" s="20"/>
      <c r="I80" s="20"/>
      <c r="J80" s="20" t="s">
        <v>310</v>
      </c>
      <c r="K80" s="21">
        <v>44881.457256944443</v>
      </c>
      <c r="L80" s="20" t="s">
        <v>219</v>
      </c>
      <c r="M80" s="20" t="s">
        <v>287</v>
      </c>
      <c r="N80" s="52"/>
      <c r="O80" s="52"/>
      <c r="P80" s="52"/>
      <c r="Q80" s="55"/>
      <c r="R80" s="55"/>
      <c r="S80" s="55"/>
      <c r="T80" s="55"/>
      <c r="U80" s="55"/>
      <c r="V80" s="55"/>
      <c r="W80" s="55"/>
    </row>
    <row r="81" spans="1:23" s="23" customFormat="1" ht="51" hidden="1">
      <c r="A81" s="61">
        <v>77</v>
      </c>
      <c r="B81" s="19">
        <v>1.1000000000000001</v>
      </c>
      <c r="C81" s="19" t="s">
        <v>409</v>
      </c>
      <c r="D81" s="16" t="s">
        <v>435</v>
      </c>
      <c r="E81" s="59">
        <v>44872.64502314815</v>
      </c>
      <c r="F81" s="49" t="s">
        <v>19</v>
      </c>
      <c r="G81" s="16" t="s">
        <v>697</v>
      </c>
      <c r="H81" s="20"/>
      <c r="I81" s="20"/>
      <c r="J81" s="20" t="s">
        <v>371</v>
      </c>
      <c r="K81" s="21">
        <v>44889.506331018521</v>
      </c>
      <c r="L81" s="20" t="s">
        <v>219</v>
      </c>
      <c r="M81" s="20" t="s">
        <v>287</v>
      </c>
      <c r="N81" s="52"/>
      <c r="O81" s="52"/>
      <c r="P81" s="52"/>
      <c r="Q81" s="55"/>
      <c r="R81" s="55"/>
      <c r="S81" s="55"/>
      <c r="T81" s="55"/>
      <c r="U81" s="55"/>
      <c r="V81" s="55"/>
      <c r="W81" s="55"/>
    </row>
    <row r="82" spans="1:23" s="23" customFormat="1" ht="51" hidden="1">
      <c r="A82" s="60">
        <v>78</v>
      </c>
      <c r="B82" s="19">
        <v>1.1000000000000001</v>
      </c>
      <c r="C82" s="19" t="s">
        <v>409</v>
      </c>
      <c r="D82" s="16" t="s">
        <v>436</v>
      </c>
      <c r="E82" s="59">
        <v>44872.647048611114</v>
      </c>
      <c r="F82" s="49" t="s">
        <v>19</v>
      </c>
      <c r="G82" s="16" t="s">
        <v>437</v>
      </c>
      <c r="H82" s="20"/>
      <c r="I82" s="20"/>
      <c r="J82" s="20" t="s">
        <v>371</v>
      </c>
      <c r="K82" s="21">
        <v>44889.506331018521</v>
      </c>
      <c r="L82" s="20" t="s">
        <v>219</v>
      </c>
      <c r="M82" s="20" t="s">
        <v>287</v>
      </c>
      <c r="N82" s="52"/>
      <c r="O82" s="52"/>
      <c r="P82" s="52"/>
      <c r="Q82" s="55"/>
      <c r="R82" s="55"/>
      <c r="S82" s="55"/>
      <c r="T82" s="55"/>
      <c r="U82" s="55"/>
      <c r="V82" s="55"/>
      <c r="W82" s="55"/>
    </row>
    <row r="83" spans="1:23" s="23" customFormat="1" ht="51" hidden="1">
      <c r="A83" s="60">
        <v>79</v>
      </c>
      <c r="B83" s="19">
        <v>1.1000000000000001</v>
      </c>
      <c r="C83" s="19" t="s">
        <v>409</v>
      </c>
      <c r="D83" s="16" t="s">
        <v>438</v>
      </c>
      <c r="E83" s="59">
        <v>44872.649942129632</v>
      </c>
      <c r="F83" s="49" t="s">
        <v>19</v>
      </c>
      <c r="G83" s="16" t="s">
        <v>437</v>
      </c>
      <c r="H83" s="20"/>
      <c r="I83" s="20"/>
      <c r="J83" s="20" t="s">
        <v>371</v>
      </c>
      <c r="K83" s="21">
        <v>44889.506331018521</v>
      </c>
      <c r="L83" s="20" t="s">
        <v>219</v>
      </c>
      <c r="M83" s="20" t="s">
        <v>287</v>
      </c>
      <c r="N83" s="52"/>
      <c r="O83" s="52"/>
      <c r="P83" s="52"/>
      <c r="Q83" s="55"/>
      <c r="R83" s="55"/>
      <c r="S83" s="55"/>
      <c r="T83" s="55"/>
      <c r="U83" s="55"/>
      <c r="V83" s="55"/>
      <c r="W83" s="55"/>
    </row>
    <row r="84" spans="1:23" s="23" customFormat="1">
      <c r="A84" s="61">
        <v>80</v>
      </c>
      <c r="B84" s="19">
        <v>1.1000000000000001</v>
      </c>
      <c r="C84" s="19" t="s">
        <v>439</v>
      </c>
      <c r="D84" s="16" t="s">
        <v>440</v>
      </c>
      <c r="E84" s="59">
        <v>44872.662453703706</v>
      </c>
      <c r="F84" s="49" t="s">
        <v>19</v>
      </c>
      <c r="G84" s="16" t="s">
        <v>441</v>
      </c>
      <c r="H84" s="20"/>
      <c r="I84" s="20"/>
      <c r="J84" s="20" t="s">
        <v>310</v>
      </c>
      <c r="K84" s="21">
        <v>44881.522499999999</v>
      </c>
      <c r="L84" s="20" t="s">
        <v>219</v>
      </c>
      <c r="M84" s="20" t="s">
        <v>287</v>
      </c>
      <c r="N84" s="52"/>
      <c r="O84" s="52"/>
      <c r="P84" s="52"/>
      <c r="Q84" s="55"/>
      <c r="R84" s="55"/>
      <c r="S84" s="55"/>
      <c r="T84" s="55"/>
      <c r="U84" s="55"/>
      <c r="V84" s="55"/>
      <c r="W84" s="55"/>
    </row>
    <row r="85" spans="1:23" s="23" customFormat="1">
      <c r="A85" s="60">
        <v>81</v>
      </c>
      <c r="B85" s="19">
        <v>1.1000000000000001</v>
      </c>
      <c r="C85" s="19" t="s">
        <v>442</v>
      </c>
      <c r="D85" s="16" t="s">
        <v>443</v>
      </c>
      <c r="E85" s="59">
        <v>44872.663657407407</v>
      </c>
      <c r="F85" s="49" t="s">
        <v>19</v>
      </c>
      <c r="G85" s="16" t="s">
        <v>444</v>
      </c>
      <c r="H85" s="20"/>
      <c r="I85" s="20"/>
      <c r="J85" s="20" t="s">
        <v>310</v>
      </c>
      <c r="K85" s="21">
        <v>44881.523194444446</v>
      </c>
      <c r="L85" s="20" t="s">
        <v>219</v>
      </c>
      <c r="M85" s="20" t="s">
        <v>287</v>
      </c>
      <c r="N85" s="52"/>
      <c r="O85" s="52"/>
      <c r="P85" s="52"/>
      <c r="Q85" s="55"/>
      <c r="R85" s="55"/>
      <c r="S85" s="55"/>
      <c r="T85" s="55"/>
      <c r="U85" s="55"/>
      <c r="V85" s="55"/>
      <c r="W85" s="55"/>
    </row>
    <row r="86" spans="1:23" s="23" customFormat="1" ht="51">
      <c r="A86" s="60">
        <v>82</v>
      </c>
      <c r="B86" s="19">
        <v>1.1000000000000001</v>
      </c>
      <c r="C86" s="19" t="s">
        <v>442</v>
      </c>
      <c r="D86" s="16" t="s">
        <v>421</v>
      </c>
      <c r="E86" s="59">
        <v>44872.665914351855</v>
      </c>
      <c r="F86" s="49" t="s">
        <v>19</v>
      </c>
      <c r="G86" s="16" t="s">
        <v>445</v>
      </c>
      <c r="H86" s="20"/>
      <c r="I86" s="20"/>
      <c r="J86" s="20" t="s">
        <v>310</v>
      </c>
      <c r="K86" s="21">
        <v>44881.554664351854</v>
      </c>
      <c r="L86" s="20" t="s">
        <v>219</v>
      </c>
      <c r="M86" s="20" t="s">
        <v>287</v>
      </c>
      <c r="N86" s="52"/>
      <c r="O86" s="52"/>
      <c r="P86" s="52"/>
      <c r="Q86" s="55"/>
      <c r="R86" s="55"/>
      <c r="S86" s="55"/>
      <c r="T86" s="55"/>
      <c r="U86" s="55"/>
      <c r="V86" s="55"/>
      <c r="W86" s="55"/>
    </row>
    <row r="87" spans="1:23" s="23" customFormat="1" ht="25.5">
      <c r="A87" s="61">
        <v>83</v>
      </c>
      <c r="B87" s="19">
        <v>1.1000000000000001</v>
      </c>
      <c r="C87" s="19" t="s">
        <v>442</v>
      </c>
      <c r="D87" s="16" t="s">
        <v>433</v>
      </c>
      <c r="E87" s="59">
        <v>44872.667337962965</v>
      </c>
      <c r="F87" s="49" t="s">
        <v>19</v>
      </c>
      <c r="G87" s="16" t="s">
        <v>331</v>
      </c>
      <c r="H87" s="20"/>
      <c r="I87" s="20"/>
      <c r="J87" s="20" t="s">
        <v>310</v>
      </c>
      <c r="K87" s="21">
        <v>44881.555034722223</v>
      </c>
      <c r="L87" s="20" t="s">
        <v>219</v>
      </c>
      <c r="M87" s="20" t="s">
        <v>287</v>
      </c>
      <c r="N87" s="52"/>
      <c r="O87" s="52"/>
      <c r="P87" s="52"/>
      <c r="Q87" s="55"/>
      <c r="R87" s="55"/>
      <c r="S87" s="55"/>
      <c r="T87" s="55"/>
      <c r="U87" s="55"/>
      <c r="V87" s="55"/>
      <c r="W87" s="55"/>
    </row>
    <row r="88" spans="1:23" s="23" customFormat="1" ht="25.5">
      <c r="A88" s="60">
        <v>84</v>
      </c>
      <c r="B88" s="19">
        <v>1.1000000000000001</v>
      </c>
      <c r="C88" s="19" t="s">
        <v>442</v>
      </c>
      <c r="D88" s="16" t="s">
        <v>446</v>
      </c>
      <c r="E88" s="59">
        <v>44872.670636574076</v>
      </c>
      <c r="F88" s="49" t="s">
        <v>19</v>
      </c>
      <c r="G88" s="16" t="s">
        <v>331</v>
      </c>
      <c r="H88" s="20"/>
      <c r="I88" s="20"/>
      <c r="J88" s="20" t="s">
        <v>310</v>
      </c>
      <c r="K88" s="21">
        <v>44881.580578703702</v>
      </c>
      <c r="L88" s="20" t="s">
        <v>219</v>
      </c>
      <c r="M88" s="20" t="s">
        <v>287</v>
      </c>
      <c r="N88" s="52"/>
      <c r="O88" s="52"/>
      <c r="P88" s="52"/>
      <c r="Q88" s="55"/>
      <c r="R88" s="55"/>
      <c r="S88" s="55"/>
      <c r="T88" s="55"/>
      <c r="U88" s="55"/>
      <c r="V88" s="55"/>
      <c r="W88" s="55"/>
    </row>
    <row r="89" spans="1:23" s="23" customFormat="1" ht="38.25">
      <c r="A89" s="60">
        <v>85</v>
      </c>
      <c r="B89" s="19">
        <v>1.1000000000000001</v>
      </c>
      <c r="C89" s="19" t="s">
        <v>442</v>
      </c>
      <c r="D89" s="16" t="s">
        <v>447</v>
      </c>
      <c r="E89" s="59">
        <v>44872.671886574077</v>
      </c>
      <c r="F89" s="49" t="s">
        <v>19</v>
      </c>
      <c r="G89" s="16" t="s">
        <v>331</v>
      </c>
      <c r="H89" s="20"/>
      <c r="I89" s="20"/>
      <c r="J89" s="20" t="s">
        <v>310</v>
      </c>
      <c r="K89" s="21">
        <v>44881.580578703702</v>
      </c>
      <c r="L89" s="20" t="s">
        <v>219</v>
      </c>
      <c r="M89" s="20" t="s">
        <v>287</v>
      </c>
      <c r="N89" s="52"/>
      <c r="O89" s="52"/>
      <c r="P89" s="52"/>
      <c r="Q89" s="55"/>
      <c r="R89" s="55"/>
      <c r="S89" s="55"/>
      <c r="T89" s="55"/>
      <c r="U89" s="55"/>
      <c r="V89" s="55"/>
      <c r="W89" s="55"/>
    </row>
    <row r="90" spans="1:23" s="23" customFormat="1" ht="25.5">
      <c r="A90" s="61">
        <v>86</v>
      </c>
      <c r="B90" s="19">
        <v>1.1000000000000001</v>
      </c>
      <c r="C90" s="19" t="s">
        <v>442</v>
      </c>
      <c r="D90" s="16" t="s">
        <v>448</v>
      </c>
      <c r="E90" s="59">
        <v>44872.674837962964</v>
      </c>
      <c r="F90" s="49" t="s">
        <v>19</v>
      </c>
      <c r="G90" s="16" t="s">
        <v>701</v>
      </c>
      <c r="H90" s="20"/>
      <c r="I90" s="20"/>
      <c r="J90" s="20" t="s">
        <v>310</v>
      </c>
      <c r="K90" s="21">
        <v>44881.580717592595</v>
      </c>
      <c r="L90" s="20" t="s">
        <v>219</v>
      </c>
      <c r="M90" s="20" t="s">
        <v>287</v>
      </c>
      <c r="N90" s="52"/>
      <c r="O90" s="52"/>
      <c r="P90" s="52"/>
      <c r="Q90" s="55"/>
      <c r="R90" s="55"/>
      <c r="S90" s="55"/>
      <c r="T90" s="55"/>
      <c r="U90" s="55"/>
      <c r="V90" s="55"/>
      <c r="W90" s="55"/>
    </row>
    <row r="91" spans="1:23" s="23" customFormat="1" ht="74.25" customHeight="1">
      <c r="A91" s="60">
        <v>87</v>
      </c>
      <c r="B91" s="19">
        <v>1.1000000000000001</v>
      </c>
      <c r="C91" s="19" t="s">
        <v>442</v>
      </c>
      <c r="D91" s="16" t="s">
        <v>449</v>
      </c>
      <c r="E91" s="59">
        <v>44873</v>
      </c>
      <c r="F91" s="49" t="s">
        <v>19</v>
      </c>
      <c r="G91" s="16" t="s">
        <v>450</v>
      </c>
      <c r="H91" s="20"/>
      <c r="I91" s="20"/>
      <c r="J91" s="20" t="s">
        <v>310</v>
      </c>
      <c r="K91" s="21">
        <v>44886.580717592595</v>
      </c>
      <c r="L91" s="20" t="s">
        <v>219</v>
      </c>
      <c r="M91" s="20" t="s">
        <v>287</v>
      </c>
      <c r="N91" s="52"/>
      <c r="O91" s="52"/>
      <c r="P91" s="52"/>
      <c r="Q91" s="55"/>
      <c r="R91" s="55"/>
      <c r="S91" s="55"/>
      <c r="T91" s="55"/>
      <c r="U91" s="55"/>
      <c r="V91" s="55"/>
      <c r="W91" s="55"/>
    </row>
    <row r="92" spans="1:23" s="23" customFormat="1" ht="64.5" customHeight="1">
      <c r="A92" s="60">
        <v>88</v>
      </c>
      <c r="B92" s="19">
        <v>1.1000000000000001</v>
      </c>
      <c r="C92" s="19" t="s">
        <v>442</v>
      </c>
      <c r="D92" s="16" t="s">
        <v>451</v>
      </c>
      <c r="E92" s="59">
        <v>44873</v>
      </c>
      <c r="F92" s="49" t="s">
        <v>19</v>
      </c>
      <c r="G92" s="16" t="s">
        <v>450</v>
      </c>
      <c r="H92" s="20"/>
      <c r="I92" s="20"/>
      <c r="J92" s="20" t="s">
        <v>310</v>
      </c>
      <c r="K92" s="21">
        <v>44886.580717592595</v>
      </c>
      <c r="L92" s="20" t="s">
        <v>219</v>
      </c>
      <c r="M92" s="20" t="s">
        <v>287</v>
      </c>
      <c r="N92" s="52"/>
      <c r="O92" s="52"/>
      <c r="P92" s="52"/>
      <c r="Q92" s="55"/>
      <c r="R92" s="55"/>
      <c r="S92" s="55"/>
      <c r="T92" s="55"/>
      <c r="U92" s="55"/>
      <c r="V92" s="55"/>
      <c r="W92" s="55"/>
    </row>
    <row r="93" spans="1:23" s="23" customFormat="1" ht="38.25">
      <c r="A93" s="61">
        <v>89</v>
      </c>
      <c r="B93" s="19">
        <v>1.1000000000000001</v>
      </c>
      <c r="C93" s="19" t="s">
        <v>442</v>
      </c>
      <c r="D93" s="16" t="s">
        <v>452</v>
      </c>
      <c r="E93" s="59">
        <v>44873.471689814818</v>
      </c>
      <c r="F93" s="49" t="s">
        <v>19</v>
      </c>
      <c r="G93" s="16" t="s">
        <v>450</v>
      </c>
      <c r="H93" s="20"/>
      <c r="I93" s="20"/>
      <c r="J93" s="20" t="s">
        <v>310</v>
      </c>
      <c r="K93" s="21">
        <v>44881.580717592595</v>
      </c>
      <c r="L93" s="20" t="s">
        <v>219</v>
      </c>
      <c r="M93" s="20" t="s">
        <v>287</v>
      </c>
      <c r="N93" s="52"/>
      <c r="O93" s="52"/>
      <c r="P93" s="52"/>
      <c r="Q93" s="55"/>
      <c r="R93" s="55"/>
      <c r="S93" s="55"/>
      <c r="T93" s="55"/>
      <c r="U93" s="55"/>
      <c r="V93" s="55"/>
      <c r="W93" s="55"/>
    </row>
    <row r="94" spans="1:23" s="23" customFormat="1" ht="25.5">
      <c r="A94" s="60">
        <v>90</v>
      </c>
      <c r="B94" s="19">
        <v>1.1000000000000001</v>
      </c>
      <c r="C94" s="19" t="s">
        <v>442</v>
      </c>
      <c r="D94" s="16" t="s">
        <v>349</v>
      </c>
      <c r="E94" s="59">
        <v>44873.473368055558</v>
      </c>
      <c r="F94" s="49" t="s">
        <v>19</v>
      </c>
      <c r="G94" s="16" t="s">
        <v>350</v>
      </c>
      <c r="H94" s="20"/>
      <c r="I94" s="20"/>
      <c r="J94" s="20" t="s">
        <v>310</v>
      </c>
      <c r="K94" s="21">
        <v>44886.585289351853</v>
      </c>
      <c r="L94" s="20" t="s">
        <v>219</v>
      </c>
      <c r="M94" s="20" t="s">
        <v>287</v>
      </c>
      <c r="N94" s="52"/>
      <c r="O94" s="52"/>
      <c r="P94" s="52"/>
      <c r="Q94" s="55"/>
      <c r="R94" s="55"/>
      <c r="S94" s="55"/>
      <c r="T94" s="55"/>
      <c r="U94" s="55"/>
      <c r="V94" s="55"/>
      <c r="W94" s="55"/>
    </row>
    <row r="95" spans="1:23" s="23" customFormat="1" ht="37.5" customHeight="1">
      <c r="A95" s="60">
        <v>91</v>
      </c>
      <c r="B95" s="19">
        <v>1.1000000000000001</v>
      </c>
      <c r="C95" s="19" t="s">
        <v>442</v>
      </c>
      <c r="D95" s="16" t="s">
        <v>453</v>
      </c>
      <c r="E95" s="59">
        <v>44873.477766203701</v>
      </c>
      <c r="F95" s="49" t="s">
        <v>19</v>
      </c>
      <c r="G95" s="16" t="s">
        <v>331</v>
      </c>
      <c r="H95" s="20"/>
      <c r="I95" s="20"/>
      <c r="J95" s="20" t="s">
        <v>310</v>
      </c>
      <c r="K95" s="21">
        <v>44881.585289351853</v>
      </c>
      <c r="L95" s="20" t="s">
        <v>219</v>
      </c>
      <c r="M95" s="20" t="s">
        <v>287</v>
      </c>
      <c r="N95" s="52"/>
      <c r="O95" s="52"/>
      <c r="P95" s="52"/>
      <c r="Q95" s="55"/>
      <c r="R95" s="55"/>
      <c r="S95" s="55"/>
      <c r="T95" s="55"/>
      <c r="U95" s="55"/>
      <c r="V95" s="55"/>
      <c r="W95" s="55"/>
    </row>
    <row r="96" spans="1:23" s="23" customFormat="1" ht="36.75" customHeight="1">
      <c r="A96" s="61">
        <v>92</v>
      </c>
      <c r="B96" s="19">
        <v>1.1000000000000001</v>
      </c>
      <c r="C96" s="19" t="s">
        <v>442</v>
      </c>
      <c r="D96" s="16" t="s">
        <v>454</v>
      </c>
      <c r="E96" s="59">
        <v>44873.478206018517</v>
      </c>
      <c r="F96" s="49" t="s">
        <v>19</v>
      </c>
      <c r="G96" s="16" t="s">
        <v>361</v>
      </c>
      <c r="H96" s="20"/>
      <c r="I96" s="20"/>
      <c r="J96" s="20" t="s">
        <v>310</v>
      </c>
      <c r="K96" s="21">
        <v>44881.585590277777</v>
      </c>
      <c r="L96" s="20" t="s">
        <v>219</v>
      </c>
      <c r="M96" s="20" t="s">
        <v>287</v>
      </c>
      <c r="N96" s="52"/>
      <c r="O96" s="52"/>
      <c r="P96" s="52"/>
      <c r="Q96" s="55"/>
      <c r="R96" s="55"/>
      <c r="S96" s="55"/>
      <c r="T96" s="55"/>
      <c r="U96" s="55"/>
      <c r="V96" s="55"/>
      <c r="W96" s="55"/>
    </row>
    <row r="97" spans="1:23" s="23" customFormat="1" ht="45" customHeight="1">
      <c r="A97" s="60">
        <v>93</v>
      </c>
      <c r="B97" s="19">
        <v>1.1000000000000001</v>
      </c>
      <c r="C97" s="19" t="s">
        <v>442</v>
      </c>
      <c r="D97" s="16" t="s">
        <v>455</v>
      </c>
      <c r="E97" s="59">
        <v>44873.48364583333</v>
      </c>
      <c r="F97" s="49" t="s">
        <v>19</v>
      </c>
      <c r="G97" s="16" t="s">
        <v>456</v>
      </c>
      <c r="H97" s="20"/>
      <c r="I97" s="20"/>
      <c r="J97" s="20" t="s">
        <v>310</v>
      </c>
      <c r="K97" s="21">
        <v>44881.586481481485</v>
      </c>
      <c r="L97" s="20" t="s">
        <v>219</v>
      </c>
      <c r="M97" s="20" t="s">
        <v>287</v>
      </c>
      <c r="N97" s="52"/>
      <c r="O97" s="52"/>
      <c r="P97" s="52"/>
      <c r="Q97" s="55"/>
      <c r="R97" s="55"/>
      <c r="S97" s="55"/>
      <c r="T97" s="55"/>
      <c r="U97" s="55"/>
      <c r="V97" s="55"/>
      <c r="W97" s="55"/>
    </row>
    <row r="98" spans="1:23" ht="53.25" customHeight="1">
      <c r="A98" s="60">
        <v>94</v>
      </c>
      <c r="B98" s="19">
        <v>1.1000000000000001</v>
      </c>
      <c r="C98" s="19" t="s">
        <v>442</v>
      </c>
      <c r="D98" s="16" t="s">
        <v>457</v>
      </c>
      <c r="E98" s="59">
        <v>44873.486875000002</v>
      </c>
      <c r="F98" s="49" t="s">
        <v>19</v>
      </c>
      <c r="G98" s="16" t="s">
        <v>456</v>
      </c>
      <c r="H98" s="20"/>
      <c r="I98" s="20"/>
      <c r="J98" s="20" t="s">
        <v>310</v>
      </c>
      <c r="K98" s="21">
        <v>44881.586724537039</v>
      </c>
      <c r="L98" s="20" t="s">
        <v>219</v>
      </c>
      <c r="M98" s="20" t="s">
        <v>287</v>
      </c>
      <c r="N98" s="52"/>
      <c r="O98" s="52"/>
      <c r="P98" s="52"/>
    </row>
    <row r="99" spans="1:23" ht="89.25">
      <c r="A99" s="61">
        <v>95</v>
      </c>
      <c r="B99" s="19">
        <v>1.1000000000000001</v>
      </c>
      <c r="C99" s="19" t="s">
        <v>442</v>
      </c>
      <c r="D99" s="16" t="s">
        <v>458</v>
      </c>
      <c r="E99" s="59">
        <v>44873.514687499999</v>
      </c>
      <c r="F99" s="49" t="s">
        <v>19</v>
      </c>
      <c r="G99" s="196" t="s">
        <v>459</v>
      </c>
      <c r="H99" s="20"/>
      <c r="I99" s="20"/>
      <c r="J99" s="20" t="s">
        <v>310</v>
      </c>
      <c r="K99" s="21">
        <v>44881.588437500002</v>
      </c>
      <c r="L99" s="20" t="s">
        <v>219</v>
      </c>
      <c r="M99" s="20" t="s">
        <v>287</v>
      </c>
      <c r="N99" s="52"/>
      <c r="O99" s="52"/>
      <c r="P99" s="52"/>
    </row>
    <row r="100" spans="1:23">
      <c r="A100" s="60">
        <v>96</v>
      </c>
      <c r="B100" s="19">
        <v>1.1000000000000001</v>
      </c>
      <c r="C100" s="37" t="s">
        <v>460</v>
      </c>
      <c r="D100" s="16" t="s">
        <v>461</v>
      </c>
      <c r="E100" s="59">
        <v>44875.615532407406</v>
      </c>
      <c r="F100" s="49" t="s">
        <v>19</v>
      </c>
      <c r="G100" s="16" t="s">
        <v>418</v>
      </c>
      <c r="H100" s="20"/>
      <c r="I100" s="20"/>
      <c r="J100" s="20" t="s">
        <v>371</v>
      </c>
      <c r="K100" s="21">
        <v>44882.49658564815</v>
      </c>
      <c r="L100" s="20" t="s">
        <v>219</v>
      </c>
      <c r="M100" s="20" t="s">
        <v>287</v>
      </c>
      <c r="N100" s="52"/>
      <c r="O100" s="52"/>
      <c r="P100" s="52"/>
    </row>
    <row r="101" spans="1:23" ht="25.5">
      <c r="A101" s="60">
        <v>97</v>
      </c>
      <c r="B101" s="19">
        <v>1.1000000000000001</v>
      </c>
      <c r="C101" s="37" t="s">
        <v>460</v>
      </c>
      <c r="D101" s="16" t="s">
        <v>462</v>
      </c>
      <c r="E101" s="59">
        <v>44875.553414351853</v>
      </c>
      <c r="F101" s="49" t="s">
        <v>19</v>
      </c>
      <c r="G101" s="25" t="s">
        <v>690</v>
      </c>
      <c r="H101" s="20"/>
      <c r="I101" s="20"/>
      <c r="J101" s="20" t="s">
        <v>19</v>
      </c>
      <c r="K101" s="21">
        <v>44951.391851851855</v>
      </c>
      <c r="L101" s="20" t="s">
        <v>282</v>
      </c>
      <c r="M101" s="20" t="s">
        <v>287</v>
      </c>
      <c r="N101" s="52"/>
      <c r="O101" s="52"/>
      <c r="P101" s="52"/>
    </row>
    <row r="102" spans="1:23" ht="38.25">
      <c r="A102" s="61">
        <v>98</v>
      </c>
      <c r="B102" s="19">
        <v>1.1000000000000001</v>
      </c>
      <c r="C102" s="37" t="s">
        <v>460</v>
      </c>
      <c r="D102" s="16" t="s">
        <v>463</v>
      </c>
      <c r="E102" s="59">
        <v>44875.553900462961</v>
      </c>
      <c r="F102" s="49" t="s">
        <v>19</v>
      </c>
      <c r="G102" s="16" t="s">
        <v>418</v>
      </c>
      <c r="H102" s="20"/>
      <c r="I102" s="20"/>
      <c r="J102" s="20" t="s">
        <v>371</v>
      </c>
      <c r="K102" s="21">
        <v>44882.497997685183</v>
      </c>
      <c r="L102" s="20" t="s">
        <v>219</v>
      </c>
      <c r="M102" s="20" t="s">
        <v>287</v>
      </c>
      <c r="N102" s="52"/>
      <c r="O102" s="52"/>
      <c r="P102" s="52"/>
    </row>
    <row r="103" spans="1:23" ht="51">
      <c r="A103" s="60">
        <v>99</v>
      </c>
      <c r="B103" s="19">
        <v>1.1000000000000001</v>
      </c>
      <c r="C103" s="37" t="s">
        <v>460</v>
      </c>
      <c r="D103" s="16" t="s">
        <v>464</v>
      </c>
      <c r="E103" s="59">
        <v>44875.558310185188</v>
      </c>
      <c r="F103" s="49" t="s">
        <v>19</v>
      </c>
      <c r="G103" s="16" t="s">
        <v>465</v>
      </c>
      <c r="H103" s="20"/>
      <c r="I103" s="20"/>
      <c r="J103" s="20" t="s">
        <v>371</v>
      </c>
      <c r="K103" s="21">
        <v>44887.497997685183</v>
      </c>
      <c r="L103" s="20" t="s">
        <v>219</v>
      </c>
      <c r="M103" s="20" t="s">
        <v>287</v>
      </c>
      <c r="N103" s="52"/>
      <c r="O103" s="52"/>
      <c r="P103" s="52"/>
    </row>
    <row r="104" spans="1:23" ht="51">
      <c r="A104" s="60">
        <v>100</v>
      </c>
      <c r="B104" s="19">
        <v>1.1000000000000001</v>
      </c>
      <c r="C104" s="37" t="s">
        <v>460</v>
      </c>
      <c r="D104" s="16" t="s">
        <v>466</v>
      </c>
      <c r="E104" s="59">
        <v>44875.558946759258</v>
      </c>
      <c r="F104" s="49" t="s">
        <v>19</v>
      </c>
      <c r="G104" s="16" t="s">
        <v>467</v>
      </c>
      <c r="H104" s="20"/>
      <c r="I104" s="20"/>
      <c r="J104" s="20" t="s">
        <v>371</v>
      </c>
      <c r="K104" s="21">
        <v>44883</v>
      </c>
      <c r="L104" s="20" t="s">
        <v>219</v>
      </c>
      <c r="M104" s="20" t="s">
        <v>287</v>
      </c>
      <c r="N104" s="52"/>
      <c r="O104" s="52"/>
      <c r="P104" s="52"/>
    </row>
    <row r="105" spans="1:23" ht="63.75">
      <c r="A105" s="61">
        <v>101</v>
      </c>
      <c r="B105" s="19">
        <v>1.1000000000000001</v>
      </c>
      <c r="C105" s="37" t="s">
        <v>460</v>
      </c>
      <c r="D105" s="16" t="s">
        <v>433</v>
      </c>
      <c r="E105" s="59">
        <v>44875.561412037037</v>
      </c>
      <c r="F105" s="49" t="s">
        <v>19</v>
      </c>
      <c r="G105" s="16" t="s">
        <v>468</v>
      </c>
      <c r="H105" s="20"/>
      <c r="I105" s="20"/>
      <c r="J105" s="20" t="s">
        <v>371</v>
      </c>
      <c r="K105" s="21">
        <v>44882.498101851852</v>
      </c>
      <c r="L105" s="20" t="s">
        <v>219</v>
      </c>
      <c r="M105" s="20" t="s">
        <v>287</v>
      </c>
      <c r="N105" s="52"/>
      <c r="O105" s="52"/>
      <c r="P105" s="52"/>
    </row>
    <row r="106" spans="1:23" ht="38.25">
      <c r="A106" s="60">
        <v>102</v>
      </c>
      <c r="B106" s="19">
        <v>1.1000000000000001</v>
      </c>
      <c r="C106" s="37" t="s">
        <v>460</v>
      </c>
      <c r="D106" s="25" t="s">
        <v>469</v>
      </c>
      <c r="E106" s="59">
        <v>44875.592719907407</v>
      </c>
      <c r="F106" s="49" t="s">
        <v>19</v>
      </c>
      <c r="G106" s="16" t="s">
        <v>418</v>
      </c>
      <c r="H106" s="20"/>
      <c r="I106" s="20"/>
      <c r="J106" s="20" t="s">
        <v>371</v>
      </c>
      <c r="K106" s="21">
        <v>44882.498124999998</v>
      </c>
      <c r="L106" s="20" t="s">
        <v>219</v>
      </c>
      <c r="M106" s="20" t="s">
        <v>287</v>
      </c>
      <c r="N106" s="52"/>
      <c r="O106" s="52"/>
      <c r="P106" s="52"/>
    </row>
    <row r="107" spans="1:23" ht="25.5">
      <c r="A107" s="60">
        <v>103</v>
      </c>
      <c r="B107" s="19">
        <v>1.1000000000000001</v>
      </c>
      <c r="C107" s="37" t="s">
        <v>460</v>
      </c>
      <c r="D107" s="16" t="s">
        <v>470</v>
      </c>
      <c r="E107" s="59">
        <v>44875.595381944448</v>
      </c>
      <c r="F107" s="49" t="s">
        <v>19</v>
      </c>
      <c r="G107" s="16" t="s">
        <v>418</v>
      </c>
      <c r="H107" s="20"/>
      <c r="I107" s="20"/>
      <c r="J107" s="20" t="s">
        <v>371</v>
      </c>
      <c r="K107" s="21">
        <v>44882.498159722221</v>
      </c>
      <c r="L107" s="20" t="s">
        <v>219</v>
      </c>
      <c r="M107" s="20" t="s">
        <v>287</v>
      </c>
      <c r="N107" s="52"/>
      <c r="O107" s="52"/>
      <c r="P107" s="52"/>
    </row>
    <row r="108" spans="1:23">
      <c r="A108" s="61">
        <v>104</v>
      </c>
      <c r="B108" s="19">
        <v>1.1000000000000001</v>
      </c>
      <c r="C108" s="37" t="s">
        <v>460</v>
      </c>
      <c r="D108" s="16" t="s">
        <v>471</v>
      </c>
      <c r="E108" s="59">
        <v>44875.596342592595</v>
      </c>
      <c r="F108" s="49" t="s">
        <v>19</v>
      </c>
      <c r="G108" s="16" t="s">
        <v>418</v>
      </c>
      <c r="H108" s="20"/>
      <c r="I108" s="20"/>
      <c r="J108" s="20" t="s">
        <v>371</v>
      </c>
      <c r="K108" s="21">
        <v>44882.498182870368</v>
      </c>
      <c r="L108" s="20" t="s">
        <v>219</v>
      </c>
      <c r="M108" s="20" t="s">
        <v>287</v>
      </c>
      <c r="N108" s="52"/>
      <c r="O108" s="52"/>
      <c r="P108" s="52"/>
    </row>
    <row r="109" spans="1:23" ht="25.5">
      <c r="A109" s="60">
        <v>105</v>
      </c>
      <c r="B109" s="19">
        <v>1.1000000000000001</v>
      </c>
      <c r="C109" s="37" t="s">
        <v>460</v>
      </c>
      <c r="D109" s="16" t="s">
        <v>472</v>
      </c>
      <c r="E109" s="59">
        <v>44875.596643518518</v>
      </c>
      <c r="F109" s="49" t="s">
        <v>19</v>
      </c>
      <c r="G109" s="16" t="s">
        <v>473</v>
      </c>
      <c r="H109" s="20"/>
      <c r="I109" s="20"/>
      <c r="J109" s="20" t="s">
        <v>371</v>
      </c>
      <c r="K109" s="21">
        <v>44882.498217592591</v>
      </c>
      <c r="L109" s="20" t="s">
        <v>219</v>
      </c>
      <c r="M109" s="20" t="s">
        <v>287</v>
      </c>
      <c r="N109" s="52"/>
      <c r="O109" s="52"/>
      <c r="P109" s="52"/>
    </row>
    <row r="110" spans="1:23" ht="38.25">
      <c r="A110" s="60">
        <v>106</v>
      </c>
      <c r="B110" s="19">
        <v>1.1000000000000001</v>
      </c>
      <c r="C110" s="37" t="s">
        <v>460</v>
      </c>
      <c r="D110" s="16" t="s">
        <v>474</v>
      </c>
      <c r="E110" s="59">
        <v>44875.607453703706</v>
      </c>
      <c r="F110" s="49" t="s">
        <v>19</v>
      </c>
      <c r="G110" s="25" t="s">
        <v>418</v>
      </c>
      <c r="H110" s="20"/>
      <c r="I110" s="20"/>
      <c r="J110" s="20" t="s">
        <v>371</v>
      </c>
      <c r="K110" s="21">
        <v>44943.498819444445</v>
      </c>
      <c r="L110" s="20" t="s">
        <v>219</v>
      </c>
      <c r="M110" s="20" t="s">
        <v>287</v>
      </c>
      <c r="N110" s="52"/>
      <c r="O110" s="52"/>
      <c r="P110" s="52"/>
    </row>
    <row r="111" spans="1:23" ht="38.25">
      <c r="A111" s="61">
        <v>107</v>
      </c>
      <c r="B111" s="19">
        <v>1.1000000000000001</v>
      </c>
      <c r="C111" s="37" t="s">
        <v>460</v>
      </c>
      <c r="D111" s="16" t="s">
        <v>475</v>
      </c>
      <c r="E111" s="59">
        <v>44875.620717592596</v>
      </c>
      <c r="F111" s="49" t="s">
        <v>19</v>
      </c>
      <c r="G111" s="25" t="s">
        <v>476</v>
      </c>
      <c r="H111" s="20"/>
      <c r="I111" s="20"/>
      <c r="J111" s="20" t="s">
        <v>371</v>
      </c>
      <c r="K111" s="21">
        <v>44886.498819444445</v>
      </c>
      <c r="L111" s="20" t="s">
        <v>219</v>
      </c>
      <c r="M111" s="20" t="s">
        <v>287</v>
      </c>
    </row>
    <row r="112" spans="1:23" ht="25.5">
      <c r="A112" s="60">
        <v>108</v>
      </c>
      <c r="B112" s="19">
        <v>1.1000000000000001</v>
      </c>
      <c r="C112" s="37" t="s">
        <v>460</v>
      </c>
      <c r="D112" s="16" t="s">
        <v>477</v>
      </c>
      <c r="E112" s="59">
        <v>44875.622094907405</v>
      </c>
      <c r="F112" s="49" t="s">
        <v>19</v>
      </c>
      <c r="G112" s="16" t="s">
        <v>478</v>
      </c>
      <c r="H112" s="20"/>
      <c r="I112" s="20"/>
      <c r="J112" s="20" t="s">
        <v>371</v>
      </c>
      <c r="K112" s="21">
        <v>44883</v>
      </c>
      <c r="L112" s="20" t="s">
        <v>219</v>
      </c>
      <c r="M112" s="20" t="s">
        <v>287</v>
      </c>
    </row>
    <row r="113" spans="1:13">
      <c r="A113" s="60">
        <v>109</v>
      </c>
      <c r="B113" s="19">
        <v>1.1000000000000001</v>
      </c>
      <c r="C113" s="19" t="s">
        <v>479</v>
      </c>
      <c r="D113" s="25" t="s">
        <v>480</v>
      </c>
      <c r="E113" s="59">
        <v>44875.677754629629</v>
      </c>
      <c r="F113" s="49" t="s">
        <v>19</v>
      </c>
      <c r="G113" s="16" t="s">
        <v>481</v>
      </c>
      <c r="H113" s="20"/>
      <c r="I113" s="20"/>
      <c r="J113" s="20" t="s">
        <v>310</v>
      </c>
      <c r="K113" s="21">
        <v>44880.559293981481</v>
      </c>
      <c r="L113" s="20" t="s">
        <v>219</v>
      </c>
      <c r="M113" s="20" t="s">
        <v>287</v>
      </c>
    </row>
    <row r="114" spans="1:13" ht="25.5">
      <c r="A114" s="61">
        <v>110</v>
      </c>
      <c r="B114" s="19">
        <v>1.1000000000000001</v>
      </c>
      <c r="C114" s="19" t="s">
        <v>479</v>
      </c>
      <c r="D114" s="25" t="s">
        <v>462</v>
      </c>
      <c r="E114" s="59">
        <v>44875.678020833337</v>
      </c>
      <c r="F114" s="49" t="s">
        <v>19</v>
      </c>
      <c r="G114" s="16" t="s">
        <v>482</v>
      </c>
      <c r="H114" s="20"/>
      <c r="I114" s="20"/>
      <c r="J114" s="20" t="s">
        <v>310</v>
      </c>
      <c r="K114" s="21">
        <v>44880.559317129628</v>
      </c>
      <c r="L114" s="20" t="s">
        <v>219</v>
      </c>
      <c r="M114" s="20" t="s">
        <v>287</v>
      </c>
    </row>
    <row r="115" spans="1:13" ht="25.5">
      <c r="A115" s="60">
        <v>111</v>
      </c>
      <c r="B115" s="19">
        <v>1.1000000000000001</v>
      </c>
      <c r="C115" s="19" t="s">
        <v>479</v>
      </c>
      <c r="D115" s="25" t="s">
        <v>391</v>
      </c>
      <c r="E115" s="59">
        <v>44875.678171296298</v>
      </c>
      <c r="F115" s="49" t="s">
        <v>19</v>
      </c>
      <c r="G115" s="16" t="s">
        <v>408</v>
      </c>
      <c r="H115" s="20"/>
      <c r="I115" s="20"/>
      <c r="J115" s="20" t="s">
        <v>310</v>
      </c>
      <c r="K115" s="21">
        <v>44880.559328703705</v>
      </c>
      <c r="L115" s="20" t="s">
        <v>219</v>
      </c>
      <c r="M115" s="20" t="s">
        <v>287</v>
      </c>
    </row>
    <row r="116" spans="1:13">
      <c r="A116" s="60">
        <v>112</v>
      </c>
      <c r="B116" s="19" t="s">
        <v>483</v>
      </c>
      <c r="C116" s="37" t="s">
        <v>311</v>
      </c>
      <c r="D116" s="25" t="s">
        <v>484</v>
      </c>
      <c r="E116" s="59">
        <v>44937.65425925926</v>
      </c>
      <c r="F116" s="49" t="s">
        <v>19</v>
      </c>
      <c r="G116" s="16"/>
      <c r="H116" s="20"/>
      <c r="I116" s="20"/>
      <c r="J116" s="20" t="s">
        <v>19</v>
      </c>
      <c r="K116" s="21">
        <v>44937.654479166667</v>
      </c>
      <c r="L116" s="20" t="s">
        <v>282</v>
      </c>
      <c r="M116" s="20" t="s">
        <v>287</v>
      </c>
    </row>
    <row r="117" spans="1:13">
      <c r="A117" s="60">
        <v>113</v>
      </c>
      <c r="B117" s="19" t="s">
        <v>485</v>
      </c>
      <c r="C117" s="37" t="s">
        <v>311</v>
      </c>
      <c r="D117" s="25" t="s">
        <v>484</v>
      </c>
      <c r="E117" s="59">
        <v>44937.654722222222</v>
      </c>
      <c r="F117" s="49" t="s">
        <v>19</v>
      </c>
      <c r="G117" s="16"/>
      <c r="H117" s="20"/>
      <c r="I117" s="20"/>
      <c r="J117" s="20" t="s">
        <v>19</v>
      </c>
      <c r="K117" s="21">
        <v>44937.65488425926</v>
      </c>
      <c r="L117" s="20" t="s">
        <v>282</v>
      </c>
      <c r="M117" s="20" t="s">
        <v>287</v>
      </c>
    </row>
    <row r="118" spans="1:13">
      <c r="A118" s="60">
        <v>114</v>
      </c>
      <c r="B118" s="37" t="s">
        <v>486</v>
      </c>
      <c r="C118" s="37" t="s">
        <v>311</v>
      </c>
      <c r="D118" s="25" t="s">
        <v>484</v>
      </c>
      <c r="E118" s="59">
        <v>44937.654768518521</v>
      </c>
      <c r="F118" s="49" t="s">
        <v>19</v>
      </c>
      <c r="G118" s="16"/>
      <c r="H118" s="20"/>
      <c r="I118" s="20"/>
      <c r="J118" s="20" t="s">
        <v>19</v>
      </c>
      <c r="K118" s="21">
        <v>44937.654930555553</v>
      </c>
      <c r="L118" s="20" t="s">
        <v>282</v>
      </c>
      <c r="M118" s="20" t="s">
        <v>287</v>
      </c>
    </row>
    <row r="119" spans="1:13">
      <c r="A119" s="60">
        <v>115</v>
      </c>
      <c r="B119" s="19" t="s">
        <v>483</v>
      </c>
      <c r="C119" s="37" t="s">
        <v>337</v>
      </c>
      <c r="D119" s="25" t="s">
        <v>484</v>
      </c>
      <c r="E119" s="59">
        <v>44937.654768518521</v>
      </c>
      <c r="F119" s="49" t="s">
        <v>19</v>
      </c>
      <c r="G119" s="16"/>
      <c r="H119" s="20"/>
      <c r="I119" s="20"/>
      <c r="J119" s="20" t="s">
        <v>19</v>
      </c>
      <c r="K119" s="21">
        <v>44937.65488425926</v>
      </c>
      <c r="L119" s="20" t="s">
        <v>282</v>
      </c>
      <c r="M119" s="20" t="s">
        <v>287</v>
      </c>
    </row>
    <row r="120" spans="1:13">
      <c r="A120" s="60">
        <v>116</v>
      </c>
      <c r="B120" s="19" t="s">
        <v>485</v>
      </c>
      <c r="C120" s="37" t="s">
        <v>337</v>
      </c>
      <c r="D120" s="25" t="s">
        <v>484</v>
      </c>
      <c r="E120" s="59">
        <v>44937.654768518521</v>
      </c>
      <c r="F120" s="49" t="s">
        <v>19</v>
      </c>
      <c r="G120" s="16"/>
      <c r="H120" s="20"/>
      <c r="I120" s="20"/>
      <c r="J120" s="20" t="s">
        <v>19</v>
      </c>
      <c r="K120" s="21">
        <v>44937.654930555553</v>
      </c>
      <c r="L120" s="20" t="s">
        <v>282</v>
      </c>
      <c r="M120" s="20" t="s">
        <v>287</v>
      </c>
    </row>
    <row r="121" spans="1:13">
      <c r="A121" s="60">
        <v>117</v>
      </c>
      <c r="B121" s="19" t="s">
        <v>486</v>
      </c>
      <c r="C121" s="37" t="s">
        <v>337</v>
      </c>
      <c r="D121" s="25" t="s">
        <v>484</v>
      </c>
      <c r="E121" s="59">
        <v>44937.654768518521</v>
      </c>
      <c r="F121" s="49" t="s">
        <v>19</v>
      </c>
      <c r="G121" s="16"/>
      <c r="H121" s="20"/>
      <c r="I121" s="20"/>
      <c r="J121" s="20" t="s">
        <v>19</v>
      </c>
      <c r="K121" s="21">
        <v>44937.654930555553</v>
      </c>
      <c r="L121" s="20" t="s">
        <v>282</v>
      </c>
      <c r="M121" s="20" t="s">
        <v>287</v>
      </c>
    </row>
    <row r="122" spans="1:13">
      <c r="A122" s="60">
        <v>118</v>
      </c>
      <c r="B122" s="19" t="s">
        <v>487</v>
      </c>
      <c r="C122" s="19" t="s">
        <v>375</v>
      </c>
      <c r="D122" s="25" t="s">
        <v>488</v>
      </c>
      <c r="E122" s="59">
        <v>44937.663356481484</v>
      </c>
      <c r="F122" s="49" t="s">
        <v>19</v>
      </c>
      <c r="G122" s="16"/>
      <c r="H122" s="20"/>
      <c r="I122" s="20"/>
      <c r="J122" s="20" t="s">
        <v>19</v>
      </c>
      <c r="K122" s="21">
        <v>44937.664502314816</v>
      </c>
      <c r="L122" s="20" t="s">
        <v>282</v>
      </c>
      <c r="M122" s="20" t="s">
        <v>287</v>
      </c>
    </row>
    <row r="123" spans="1:13">
      <c r="A123" s="60">
        <v>119</v>
      </c>
      <c r="B123" s="19" t="s">
        <v>489</v>
      </c>
      <c r="C123" s="19" t="s">
        <v>375</v>
      </c>
      <c r="D123" s="25" t="s">
        <v>488</v>
      </c>
      <c r="E123" s="59">
        <v>44937.6637962963</v>
      </c>
      <c r="F123" s="49" t="s">
        <v>19</v>
      </c>
      <c r="G123" s="16"/>
      <c r="H123" s="20"/>
      <c r="I123" s="20"/>
      <c r="J123" s="20" t="s">
        <v>19</v>
      </c>
      <c r="K123" s="21">
        <v>44937.664594907408</v>
      </c>
      <c r="L123" s="20" t="s">
        <v>282</v>
      </c>
      <c r="M123" s="20" t="s">
        <v>287</v>
      </c>
    </row>
    <row r="124" spans="1:13">
      <c r="A124" s="60">
        <v>120</v>
      </c>
      <c r="B124" s="19" t="s">
        <v>490</v>
      </c>
      <c r="C124" s="19" t="s">
        <v>375</v>
      </c>
      <c r="D124" s="25" t="s">
        <v>488</v>
      </c>
      <c r="E124" s="59">
        <v>44937.663819444446</v>
      </c>
      <c r="F124" s="49" t="s">
        <v>19</v>
      </c>
      <c r="G124" s="16"/>
      <c r="H124" s="20"/>
      <c r="I124" s="20"/>
      <c r="J124" s="20" t="s">
        <v>19</v>
      </c>
      <c r="K124" s="21">
        <v>44937.664652777778</v>
      </c>
      <c r="L124" s="20" t="s">
        <v>282</v>
      </c>
      <c r="M124" s="20" t="s">
        <v>287</v>
      </c>
    </row>
    <row r="125" spans="1:13">
      <c r="A125" s="60">
        <v>121</v>
      </c>
      <c r="B125" s="37" t="s">
        <v>491</v>
      </c>
      <c r="C125" s="37" t="s">
        <v>383</v>
      </c>
      <c r="D125" s="25" t="s">
        <v>492</v>
      </c>
      <c r="E125" s="59">
        <v>44937.671331018515</v>
      </c>
      <c r="F125" s="49" t="s">
        <v>19</v>
      </c>
      <c r="G125" s="16"/>
      <c r="H125" s="20"/>
      <c r="I125" s="20"/>
      <c r="J125" s="20" t="s">
        <v>19</v>
      </c>
      <c r="K125" s="21">
        <v>44937.6716087963</v>
      </c>
      <c r="L125" s="68" t="s">
        <v>282</v>
      </c>
      <c r="M125" s="20" t="s">
        <v>287</v>
      </c>
    </row>
    <row r="126" spans="1:13">
      <c r="A126" s="60">
        <v>122</v>
      </c>
      <c r="B126" s="37" t="s">
        <v>493</v>
      </c>
      <c r="C126" s="37" t="s">
        <v>383</v>
      </c>
      <c r="D126" s="25" t="s">
        <v>492</v>
      </c>
      <c r="E126" s="59">
        <v>44937.671435185184</v>
      </c>
      <c r="F126" s="49" t="s">
        <v>19</v>
      </c>
      <c r="G126" s="16"/>
      <c r="H126" s="20"/>
      <c r="I126" s="20"/>
      <c r="J126" s="20" t="s">
        <v>19</v>
      </c>
      <c r="K126" s="21">
        <v>44937.671655092592</v>
      </c>
      <c r="L126" s="20" t="s">
        <v>282</v>
      </c>
      <c r="M126" s="20" t="s">
        <v>287</v>
      </c>
    </row>
    <row r="127" spans="1:13">
      <c r="A127" s="60">
        <v>123</v>
      </c>
      <c r="B127" s="37" t="s">
        <v>494</v>
      </c>
      <c r="C127" s="37" t="s">
        <v>383</v>
      </c>
      <c r="D127" s="25" t="s">
        <v>492</v>
      </c>
      <c r="E127" s="59">
        <v>44937.671458333331</v>
      </c>
      <c r="F127" s="49" t="s">
        <v>19</v>
      </c>
      <c r="G127" s="16"/>
      <c r="H127" s="20"/>
      <c r="I127" s="20"/>
      <c r="J127" s="20" t="s">
        <v>19</v>
      </c>
      <c r="K127" s="21">
        <v>44937.671689814815</v>
      </c>
      <c r="L127" s="20" t="s">
        <v>282</v>
      </c>
      <c r="M127" s="20" t="s">
        <v>287</v>
      </c>
    </row>
    <row r="128" spans="1:13">
      <c r="A128" s="60">
        <v>124</v>
      </c>
      <c r="B128" s="37" t="s">
        <v>495</v>
      </c>
      <c r="C128" s="19" t="s">
        <v>409</v>
      </c>
      <c r="D128" s="25" t="s">
        <v>496</v>
      </c>
      <c r="E128" s="59">
        <v>44938.454756944448</v>
      </c>
      <c r="F128" s="49" t="s">
        <v>19</v>
      </c>
      <c r="G128" s="16"/>
      <c r="H128" s="20"/>
      <c r="I128" s="20"/>
      <c r="J128" s="68" t="s">
        <v>19</v>
      </c>
      <c r="K128" s="21">
        <v>44938.454826388886</v>
      </c>
      <c r="L128" s="20" t="s">
        <v>282</v>
      </c>
      <c r="M128" s="20" t="s">
        <v>287</v>
      </c>
    </row>
    <row r="129" spans="1:13">
      <c r="A129" s="60">
        <v>125</v>
      </c>
      <c r="B129" s="37" t="s">
        <v>497</v>
      </c>
      <c r="C129" s="19" t="s">
        <v>409</v>
      </c>
      <c r="D129" s="25" t="s">
        <v>496</v>
      </c>
      <c r="E129" s="59">
        <v>44938.454756944448</v>
      </c>
      <c r="F129" s="49" t="s">
        <v>19</v>
      </c>
      <c r="G129" s="16"/>
      <c r="H129" s="20"/>
      <c r="I129" s="20"/>
      <c r="J129" s="20" t="s">
        <v>19</v>
      </c>
      <c r="K129" s="21">
        <v>44938.454826388886</v>
      </c>
      <c r="L129" s="20" t="s">
        <v>282</v>
      </c>
      <c r="M129" s="20" t="s">
        <v>287</v>
      </c>
    </row>
    <row r="130" spans="1:13">
      <c r="A130" s="60">
        <v>126</v>
      </c>
      <c r="B130" s="37" t="s">
        <v>498</v>
      </c>
      <c r="C130" s="19" t="s">
        <v>409</v>
      </c>
      <c r="D130" s="25" t="s">
        <v>496</v>
      </c>
      <c r="E130" s="59">
        <v>44938.454756944448</v>
      </c>
      <c r="F130" s="49" t="s">
        <v>19</v>
      </c>
      <c r="G130" s="16"/>
      <c r="H130" s="20"/>
      <c r="I130" s="20"/>
      <c r="J130" s="20" t="s">
        <v>19</v>
      </c>
      <c r="K130" s="21">
        <v>44938.454826388886</v>
      </c>
      <c r="L130" s="20" t="s">
        <v>282</v>
      </c>
      <c r="M130" s="20" t="s">
        <v>287</v>
      </c>
    </row>
    <row r="131" spans="1:13">
      <c r="A131" s="60">
        <v>127</v>
      </c>
      <c r="B131" s="37" t="s">
        <v>499</v>
      </c>
      <c r="C131" s="19" t="s">
        <v>409</v>
      </c>
      <c r="D131" s="25" t="s">
        <v>496</v>
      </c>
      <c r="E131" s="59">
        <v>44938.454756944448</v>
      </c>
      <c r="F131" s="49" t="s">
        <v>19</v>
      </c>
      <c r="G131" s="16"/>
      <c r="H131" s="20"/>
      <c r="I131" s="20"/>
      <c r="J131" s="20" t="s">
        <v>19</v>
      </c>
      <c r="K131" s="21">
        <v>44938.454826388886</v>
      </c>
      <c r="L131" s="20" t="s">
        <v>282</v>
      </c>
      <c r="M131" s="20" t="s">
        <v>287</v>
      </c>
    </row>
    <row r="132" spans="1:13">
      <c r="A132" s="60">
        <v>128</v>
      </c>
      <c r="B132" s="37" t="s">
        <v>500</v>
      </c>
      <c r="C132" s="19" t="s">
        <v>409</v>
      </c>
      <c r="D132" s="25" t="s">
        <v>496</v>
      </c>
      <c r="E132" s="59">
        <v>44938.454756944448</v>
      </c>
      <c r="F132" s="49" t="s">
        <v>19</v>
      </c>
      <c r="G132" s="16"/>
      <c r="H132" s="20"/>
      <c r="I132" s="20"/>
      <c r="J132" s="20" t="s">
        <v>19</v>
      </c>
      <c r="K132" s="21">
        <v>44938.454826388886</v>
      </c>
      <c r="L132" s="20" t="s">
        <v>282</v>
      </c>
      <c r="M132" s="20" t="s">
        <v>287</v>
      </c>
    </row>
    <row r="133" spans="1:13">
      <c r="A133" s="60">
        <v>129</v>
      </c>
      <c r="B133" s="19" t="s">
        <v>501</v>
      </c>
      <c r="C133" s="19" t="s">
        <v>442</v>
      </c>
      <c r="D133" s="25" t="s">
        <v>502</v>
      </c>
      <c r="E133" s="59">
        <v>44938.527627314812</v>
      </c>
      <c r="F133" s="49" t="s">
        <v>19</v>
      </c>
      <c r="G133" s="16"/>
      <c r="H133" s="20"/>
      <c r="I133" s="20"/>
      <c r="J133" s="20" t="s">
        <v>19</v>
      </c>
      <c r="K133" s="21">
        <v>44938.527881944443</v>
      </c>
      <c r="L133" s="20" t="s">
        <v>282</v>
      </c>
      <c r="M133" s="20" t="s">
        <v>287</v>
      </c>
    </row>
    <row r="134" spans="1:13">
      <c r="A134" s="60">
        <v>130</v>
      </c>
      <c r="B134" s="19" t="s">
        <v>503</v>
      </c>
      <c r="C134" s="19" t="s">
        <v>442</v>
      </c>
      <c r="D134" s="25" t="s">
        <v>502</v>
      </c>
      <c r="E134" s="59">
        <v>44938.527627314812</v>
      </c>
      <c r="F134" s="49" t="s">
        <v>19</v>
      </c>
      <c r="G134" s="16"/>
      <c r="H134" s="20"/>
      <c r="I134" s="20"/>
      <c r="J134" s="20" t="s">
        <v>19</v>
      </c>
      <c r="K134" s="21">
        <v>44938.527881944443</v>
      </c>
      <c r="L134" s="20" t="s">
        <v>282</v>
      </c>
      <c r="M134" s="20" t="s">
        <v>287</v>
      </c>
    </row>
    <row r="135" spans="1:13">
      <c r="A135" s="60">
        <v>131</v>
      </c>
      <c r="B135" s="19" t="s">
        <v>504</v>
      </c>
      <c r="C135" s="19" t="s">
        <v>442</v>
      </c>
      <c r="D135" s="25" t="s">
        <v>502</v>
      </c>
      <c r="E135" s="59">
        <v>44938.527627314812</v>
      </c>
      <c r="F135" s="49" t="s">
        <v>19</v>
      </c>
      <c r="G135" s="16"/>
      <c r="H135" s="20"/>
      <c r="I135" s="20"/>
      <c r="J135" s="20" t="s">
        <v>19</v>
      </c>
      <c r="K135" s="21">
        <v>44938.527881944443</v>
      </c>
      <c r="L135" s="20" t="s">
        <v>282</v>
      </c>
      <c r="M135" s="20" t="s">
        <v>287</v>
      </c>
    </row>
    <row r="136" spans="1:13">
      <c r="A136" s="60">
        <v>132</v>
      </c>
      <c r="B136" s="19" t="s">
        <v>505</v>
      </c>
      <c r="C136" s="37" t="s">
        <v>460</v>
      </c>
      <c r="D136" s="25" t="s">
        <v>506</v>
      </c>
      <c r="E136" s="59">
        <v>44938.615578703706</v>
      </c>
      <c r="F136" s="49" t="s">
        <v>19</v>
      </c>
      <c r="G136" s="16"/>
      <c r="H136" s="20"/>
      <c r="I136" s="20"/>
      <c r="J136" s="20" t="s">
        <v>19</v>
      </c>
      <c r="K136" s="21">
        <v>44938.615648148145</v>
      </c>
      <c r="L136" s="20" t="s">
        <v>282</v>
      </c>
      <c r="M136" s="20" t="s">
        <v>287</v>
      </c>
    </row>
    <row r="137" spans="1:13">
      <c r="A137" s="60">
        <v>133</v>
      </c>
      <c r="B137" s="19" t="s">
        <v>507</v>
      </c>
      <c r="C137" s="37" t="s">
        <v>460</v>
      </c>
      <c r="D137" s="25" t="s">
        <v>506</v>
      </c>
      <c r="E137" s="59">
        <v>44938.615578703706</v>
      </c>
      <c r="F137" s="49" t="s">
        <v>19</v>
      </c>
      <c r="G137" s="16"/>
      <c r="H137" s="20"/>
      <c r="I137" s="20"/>
      <c r="J137" s="20" t="s">
        <v>19</v>
      </c>
      <c r="K137" s="21">
        <v>44938.615648148145</v>
      </c>
      <c r="L137" s="20" t="s">
        <v>282</v>
      </c>
      <c r="M137" s="20" t="s">
        <v>287</v>
      </c>
    </row>
    <row r="138" spans="1:13">
      <c r="A138" s="60">
        <v>134</v>
      </c>
      <c r="B138" s="19" t="s">
        <v>508</v>
      </c>
      <c r="C138" s="37" t="s">
        <v>460</v>
      </c>
      <c r="D138" s="25" t="s">
        <v>506</v>
      </c>
      <c r="E138" s="59">
        <v>44938.615578703706</v>
      </c>
      <c r="F138" s="49" t="s">
        <v>19</v>
      </c>
      <c r="G138" s="16"/>
      <c r="H138" s="20"/>
      <c r="I138" s="20"/>
      <c r="J138" s="20" t="s">
        <v>19</v>
      </c>
      <c r="K138" s="21">
        <v>44938.615648148145</v>
      </c>
      <c r="L138" s="20" t="s">
        <v>282</v>
      </c>
      <c r="M138" s="20" t="s">
        <v>287</v>
      </c>
    </row>
    <row r="139" spans="1:13" ht="25.5">
      <c r="A139" s="60">
        <v>135</v>
      </c>
      <c r="B139" s="19" t="s">
        <v>509</v>
      </c>
      <c r="C139" s="19" t="s">
        <v>311</v>
      </c>
      <c r="D139" s="25" t="s">
        <v>510</v>
      </c>
      <c r="E139" s="59">
        <v>44937.613333333335</v>
      </c>
      <c r="F139" s="49" t="s">
        <v>19</v>
      </c>
      <c r="G139" s="16" t="s">
        <v>511</v>
      </c>
      <c r="H139" s="20"/>
      <c r="I139" s="20"/>
      <c r="J139" s="20" t="s">
        <v>371</v>
      </c>
      <c r="K139" s="21">
        <v>44943.498819444445</v>
      </c>
      <c r="L139" s="20" t="s">
        <v>219</v>
      </c>
      <c r="M139" s="20" t="s">
        <v>287</v>
      </c>
    </row>
    <row r="140" spans="1:13" ht="38.25">
      <c r="A140" s="60">
        <v>136</v>
      </c>
      <c r="B140" s="19" t="s">
        <v>509</v>
      </c>
      <c r="C140" s="19" t="s">
        <v>311</v>
      </c>
      <c r="D140" s="25" t="s">
        <v>512</v>
      </c>
      <c r="E140" s="59">
        <v>44936.659097222226</v>
      </c>
      <c r="F140" s="49" t="s">
        <v>19</v>
      </c>
      <c r="G140" s="16" t="s">
        <v>513</v>
      </c>
      <c r="H140" s="20"/>
      <c r="I140" s="20"/>
      <c r="J140" s="20" t="s">
        <v>371</v>
      </c>
      <c r="K140" s="21">
        <v>44943.498819444445</v>
      </c>
      <c r="L140" s="20" t="s">
        <v>219</v>
      </c>
      <c r="M140" s="20" t="s">
        <v>287</v>
      </c>
    </row>
    <row r="141" spans="1:13" ht="63.75">
      <c r="A141" s="60">
        <v>137</v>
      </c>
      <c r="B141" s="19" t="s">
        <v>509</v>
      </c>
      <c r="C141" s="19" t="s">
        <v>337</v>
      </c>
      <c r="D141" s="25" t="s">
        <v>514</v>
      </c>
      <c r="E141" s="59">
        <v>44936.662824074076</v>
      </c>
      <c r="F141" s="49" t="s">
        <v>19</v>
      </c>
      <c r="G141" s="16" t="s">
        <v>515</v>
      </c>
      <c r="H141" s="20"/>
      <c r="I141" s="20"/>
      <c r="J141" s="20" t="s">
        <v>371</v>
      </c>
      <c r="K141" s="21">
        <v>44943.498819444445</v>
      </c>
      <c r="L141" s="20" t="s">
        <v>219</v>
      </c>
      <c r="M141" s="20" t="s">
        <v>287</v>
      </c>
    </row>
    <row r="142" spans="1:13" ht="38.25">
      <c r="A142" s="60">
        <v>138</v>
      </c>
      <c r="B142" s="19" t="s">
        <v>509</v>
      </c>
      <c r="C142" s="19" t="s">
        <v>337</v>
      </c>
      <c r="D142" s="25" t="s">
        <v>516</v>
      </c>
      <c r="E142" s="59">
        <v>44936.670254629629</v>
      </c>
      <c r="F142" s="49" t="s">
        <v>19</v>
      </c>
      <c r="G142" s="16" t="s">
        <v>511</v>
      </c>
      <c r="H142" s="20"/>
      <c r="I142" s="20"/>
      <c r="J142" s="20" t="s">
        <v>371</v>
      </c>
      <c r="K142" s="21">
        <v>44943.498819444445</v>
      </c>
      <c r="L142" s="20" t="s">
        <v>219</v>
      </c>
      <c r="M142" s="20" t="s">
        <v>287</v>
      </c>
    </row>
    <row r="143" spans="1:13" ht="38.25">
      <c r="A143" s="60">
        <v>139</v>
      </c>
      <c r="B143" s="19" t="s">
        <v>509</v>
      </c>
      <c r="C143" s="19" t="s">
        <v>337</v>
      </c>
      <c r="D143" s="25" t="s">
        <v>517</v>
      </c>
      <c r="E143" s="59">
        <v>44936.671493055554</v>
      </c>
      <c r="F143" s="49" t="s">
        <v>19</v>
      </c>
      <c r="G143" s="16" t="s">
        <v>518</v>
      </c>
      <c r="H143" s="20"/>
      <c r="I143" s="20"/>
      <c r="J143" s="20" t="s">
        <v>371</v>
      </c>
      <c r="K143" s="21">
        <v>44943.498819444445</v>
      </c>
      <c r="L143" s="20" t="s">
        <v>219</v>
      </c>
      <c r="M143" s="20" t="s">
        <v>287</v>
      </c>
    </row>
    <row r="144" spans="1:13" ht="38.25">
      <c r="A144" s="60">
        <v>140</v>
      </c>
      <c r="B144" s="19" t="s">
        <v>509</v>
      </c>
      <c r="C144" s="19" t="s">
        <v>337</v>
      </c>
      <c r="D144" s="25" t="s">
        <v>519</v>
      </c>
      <c r="E144" s="59">
        <v>44936.673344907409</v>
      </c>
      <c r="F144" s="49" t="s">
        <v>19</v>
      </c>
      <c r="G144" s="16" t="s">
        <v>511</v>
      </c>
      <c r="H144" s="20"/>
      <c r="I144" s="20"/>
      <c r="J144" s="20" t="s">
        <v>371</v>
      </c>
      <c r="K144" s="21">
        <v>44943.498819444445</v>
      </c>
      <c r="L144" s="20" t="s">
        <v>219</v>
      </c>
      <c r="M144" s="20" t="s">
        <v>287</v>
      </c>
    </row>
    <row r="145" spans="1:13" ht="51">
      <c r="A145" s="60">
        <v>141</v>
      </c>
      <c r="B145" s="19" t="s">
        <v>509</v>
      </c>
      <c r="C145" s="19" t="s">
        <v>337</v>
      </c>
      <c r="D145" s="25" t="s">
        <v>520</v>
      </c>
      <c r="E145" s="59">
        <v>44937.600370370368</v>
      </c>
      <c r="F145" s="49" t="s">
        <v>19</v>
      </c>
      <c r="G145" s="16" t="s">
        <v>511</v>
      </c>
      <c r="H145" s="20"/>
      <c r="I145" s="20"/>
      <c r="J145" s="20" t="s">
        <v>371</v>
      </c>
      <c r="K145" s="21">
        <v>44943.498819444445</v>
      </c>
      <c r="L145" s="20" t="s">
        <v>219</v>
      </c>
      <c r="M145" s="20" t="s">
        <v>287</v>
      </c>
    </row>
    <row r="146" spans="1:13" ht="38.25">
      <c r="A146" s="60">
        <v>142</v>
      </c>
      <c r="B146" s="19" t="s">
        <v>509</v>
      </c>
      <c r="C146" s="19" t="s">
        <v>337</v>
      </c>
      <c r="D146" s="25" t="s">
        <v>521</v>
      </c>
      <c r="E146" s="59">
        <v>44937.613564814812</v>
      </c>
      <c r="F146" s="49" t="s">
        <v>19</v>
      </c>
      <c r="G146" s="16" t="s">
        <v>690</v>
      </c>
      <c r="H146" s="20"/>
      <c r="I146" s="20"/>
      <c r="J146" s="20" t="s">
        <v>19</v>
      </c>
      <c r="K146" s="21">
        <v>44951.391921296294</v>
      </c>
      <c r="L146" s="20" t="s">
        <v>282</v>
      </c>
      <c r="M146" s="20" t="s">
        <v>287</v>
      </c>
    </row>
    <row r="147" spans="1:13" ht="38.25">
      <c r="A147" s="60">
        <v>143</v>
      </c>
      <c r="B147" s="19" t="s">
        <v>522</v>
      </c>
      <c r="C147" s="19" t="s">
        <v>375</v>
      </c>
      <c r="D147" s="25" t="s">
        <v>523</v>
      </c>
      <c r="E147" s="59">
        <v>44937.647638888891</v>
      </c>
      <c r="F147" s="49" t="s">
        <v>19</v>
      </c>
      <c r="G147" s="16" t="s">
        <v>524</v>
      </c>
      <c r="H147" s="20"/>
      <c r="I147" s="20"/>
      <c r="J147" s="20" t="s">
        <v>371</v>
      </c>
      <c r="K147" s="21">
        <v>44943.498819444445</v>
      </c>
      <c r="L147" s="20" t="s">
        <v>219</v>
      </c>
      <c r="M147" s="20" t="s">
        <v>287</v>
      </c>
    </row>
    <row r="148" spans="1:13" ht="25.5">
      <c r="A148" s="60">
        <v>144</v>
      </c>
      <c r="B148" s="37" t="s">
        <v>525</v>
      </c>
      <c r="C148" s="37" t="s">
        <v>383</v>
      </c>
      <c r="D148" s="25" t="s">
        <v>526</v>
      </c>
      <c r="E148" s="59">
        <v>44938.437013888892</v>
      </c>
      <c r="F148" s="49" t="s">
        <v>19</v>
      </c>
      <c r="G148" s="16" t="s">
        <v>527</v>
      </c>
      <c r="H148" s="20"/>
      <c r="I148" s="20"/>
      <c r="J148" s="20" t="s">
        <v>371</v>
      </c>
      <c r="K148" s="21">
        <v>44943.498819444445</v>
      </c>
      <c r="L148" s="20" t="s">
        <v>219</v>
      </c>
      <c r="M148" s="20" t="s">
        <v>287</v>
      </c>
    </row>
    <row r="149" spans="1:13">
      <c r="A149" s="60">
        <v>145</v>
      </c>
      <c r="B149" s="37" t="s">
        <v>528</v>
      </c>
      <c r="C149" s="19" t="s">
        <v>409</v>
      </c>
      <c r="D149" s="25" t="s">
        <v>529</v>
      </c>
      <c r="E149" s="59">
        <v>44938.457662037035</v>
      </c>
      <c r="F149" s="49" t="s">
        <v>19</v>
      </c>
      <c r="G149" s="16" t="s">
        <v>527</v>
      </c>
      <c r="H149" s="20"/>
      <c r="I149" s="20"/>
      <c r="J149" s="20" t="s">
        <v>371</v>
      </c>
      <c r="K149" s="21">
        <v>44943.498819444445</v>
      </c>
      <c r="L149" s="20" t="s">
        <v>219</v>
      </c>
      <c r="M149" s="20" t="s">
        <v>287</v>
      </c>
    </row>
    <row r="150" spans="1:13">
      <c r="A150" s="60">
        <v>146</v>
      </c>
      <c r="B150" s="37" t="s">
        <v>530</v>
      </c>
      <c r="C150" s="19" t="s">
        <v>442</v>
      </c>
      <c r="D150" s="25" t="s">
        <v>529</v>
      </c>
      <c r="E150" s="59">
        <v>44938.530335648145</v>
      </c>
      <c r="F150" s="49" t="s">
        <v>19</v>
      </c>
      <c r="G150" s="16" t="s">
        <v>531</v>
      </c>
      <c r="H150" s="20"/>
      <c r="I150" s="20"/>
      <c r="J150" s="20" t="s">
        <v>371</v>
      </c>
      <c r="K150" s="21">
        <v>44943.498819444445</v>
      </c>
      <c r="L150" s="20" t="s">
        <v>219</v>
      </c>
      <c r="M150" s="20" t="s">
        <v>287</v>
      </c>
    </row>
    <row r="151" spans="1:13">
      <c r="A151" s="60">
        <v>147</v>
      </c>
      <c r="B151" s="37" t="s">
        <v>530</v>
      </c>
      <c r="C151" s="19" t="s">
        <v>442</v>
      </c>
      <c r="D151" s="25" t="s">
        <v>532</v>
      </c>
      <c r="E151" s="59">
        <v>44938.531446759262</v>
      </c>
      <c r="F151" s="49" t="s">
        <v>19</v>
      </c>
      <c r="G151" s="16" t="s">
        <v>531</v>
      </c>
      <c r="H151" s="20"/>
      <c r="I151" s="20"/>
      <c r="J151" s="20" t="s">
        <v>371</v>
      </c>
      <c r="K151" s="21">
        <v>44943.498819444445</v>
      </c>
      <c r="L151" s="20" t="s">
        <v>219</v>
      </c>
      <c r="M151" s="20" t="s">
        <v>287</v>
      </c>
    </row>
    <row r="152" spans="1:13" ht="38.25">
      <c r="A152" s="60">
        <v>148</v>
      </c>
      <c r="B152" s="37" t="s">
        <v>530</v>
      </c>
      <c r="C152" s="19" t="s">
        <v>442</v>
      </c>
      <c r="D152" s="25" t="s">
        <v>533</v>
      </c>
      <c r="E152" s="59">
        <v>44938.532083333332</v>
      </c>
      <c r="F152" s="49" t="s">
        <v>19</v>
      </c>
      <c r="G152" s="16" t="s">
        <v>531</v>
      </c>
      <c r="H152" s="20"/>
      <c r="I152" s="20"/>
      <c r="J152" s="20" t="s">
        <v>371</v>
      </c>
      <c r="K152" s="21">
        <v>44943.498819444445</v>
      </c>
      <c r="L152" s="20" t="s">
        <v>219</v>
      </c>
      <c r="M152" s="20" t="s">
        <v>287</v>
      </c>
    </row>
    <row r="153" spans="1:13">
      <c r="A153" s="60">
        <v>149</v>
      </c>
      <c r="B153" s="37" t="s">
        <v>534</v>
      </c>
      <c r="C153" s="19" t="s">
        <v>460</v>
      </c>
      <c r="D153" s="25" t="s">
        <v>529</v>
      </c>
      <c r="E153" s="59">
        <v>44938.617685185185</v>
      </c>
      <c r="F153" s="49" t="s">
        <v>19</v>
      </c>
      <c r="G153" s="16" t="s">
        <v>511</v>
      </c>
      <c r="H153" s="20"/>
      <c r="I153" s="20"/>
      <c r="J153" s="20" t="s">
        <v>371</v>
      </c>
      <c r="K153" s="21">
        <v>44943.498819444445</v>
      </c>
      <c r="L153" s="20" t="s">
        <v>219</v>
      </c>
      <c r="M153" s="20" t="s">
        <v>287</v>
      </c>
    </row>
    <row r="154" spans="1:13" ht="25.5">
      <c r="A154" s="60">
        <v>150</v>
      </c>
      <c r="B154" s="37" t="s">
        <v>534</v>
      </c>
      <c r="C154" s="19" t="s">
        <v>460</v>
      </c>
      <c r="D154" s="25" t="s">
        <v>535</v>
      </c>
      <c r="E154" s="59">
        <v>44938.633726851855</v>
      </c>
      <c r="F154" s="49" t="s">
        <v>19</v>
      </c>
      <c r="G154" s="16" t="s">
        <v>536</v>
      </c>
      <c r="H154" s="20"/>
      <c r="I154" s="20"/>
      <c r="J154" s="20" t="s">
        <v>371</v>
      </c>
      <c r="K154" s="21">
        <v>44943.498819444445</v>
      </c>
      <c r="L154" s="20" t="s">
        <v>219</v>
      </c>
      <c r="M154" s="20" t="s">
        <v>287</v>
      </c>
    </row>
    <row r="155" spans="1:13">
      <c r="A155" s="60">
        <v>151</v>
      </c>
      <c r="B155" s="37" t="s">
        <v>537</v>
      </c>
      <c r="C155" s="19" t="s">
        <v>442</v>
      </c>
      <c r="D155" s="25" t="s">
        <v>538</v>
      </c>
      <c r="E155" s="59">
        <v>44939.611238425925</v>
      </c>
      <c r="F155" s="49" t="s">
        <v>238</v>
      </c>
      <c r="G155" s="16"/>
      <c r="H155" s="20"/>
      <c r="I155" s="20"/>
      <c r="J155" s="20" t="s">
        <v>238</v>
      </c>
      <c r="K155" s="21">
        <v>44939.615856481483</v>
      </c>
      <c r="L155" s="20" t="s">
        <v>282</v>
      </c>
      <c r="M155" s="20" t="s">
        <v>287</v>
      </c>
    </row>
    <row r="156" spans="1:13">
      <c r="A156" s="60">
        <v>152</v>
      </c>
      <c r="B156" s="37" t="s">
        <v>539</v>
      </c>
      <c r="C156" s="19" t="s">
        <v>442</v>
      </c>
      <c r="D156" s="25" t="s">
        <v>538</v>
      </c>
      <c r="E156" s="59">
        <v>44939.614074074074</v>
      </c>
      <c r="F156" s="49" t="s">
        <v>238</v>
      </c>
      <c r="G156" s="16"/>
      <c r="H156" s="20"/>
      <c r="I156" s="20"/>
      <c r="J156" s="20" t="s">
        <v>238</v>
      </c>
      <c r="K156" s="21">
        <v>44939.615914351853</v>
      </c>
      <c r="L156" s="20" t="s">
        <v>282</v>
      </c>
      <c r="M156" s="20" t="s">
        <v>287</v>
      </c>
    </row>
    <row r="157" spans="1:13">
      <c r="A157" s="60">
        <v>153</v>
      </c>
      <c r="B157" s="37" t="s">
        <v>540</v>
      </c>
      <c r="C157" s="19" t="s">
        <v>409</v>
      </c>
      <c r="D157" s="25" t="s">
        <v>538</v>
      </c>
      <c r="E157" s="59">
        <v>44939.614074074074</v>
      </c>
      <c r="F157" s="49" t="s">
        <v>238</v>
      </c>
      <c r="G157" s="16"/>
      <c r="H157" s="20"/>
      <c r="I157" s="20"/>
      <c r="J157" s="20" t="s">
        <v>238</v>
      </c>
      <c r="K157" s="21">
        <v>44939.617256944446</v>
      </c>
      <c r="L157" s="20" t="s">
        <v>282</v>
      </c>
      <c r="M157" s="20" t="s">
        <v>287</v>
      </c>
    </row>
    <row r="158" spans="1:13" ht="25.5">
      <c r="A158" s="60">
        <v>154</v>
      </c>
      <c r="B158" s="37" t="s">
        <v>684</v>
      </c>
      <c r="C158" s="37" t="s">
        <v>311</v>
      </c>
      <c r="D158" s="25" t="s">
        <v>685</v>
      </c>
      <c r="E158" s="59">
        <v>44949.574895833335</v>
      </c>
      <c r="F158" s="49" t="s">
        <v>19</v>
      </c>
      <c r="G158" s="16" t="s">
        <v>712</v>
      </c>
      <c r="H158" s="20"/>
      <c r="I158" s="20"/>
      <c r="J158" s="20" t="s">
        <v>371</v>
      </c>
      <c r="K158" s="21">
        <v>44949.658831018518</v>
      </c>
      <c r="L158" s="20" t="s">
        <v>219</v>
      </c>
      <c r="M158" s="20" t="s">
        <v>287</v>
      </c>
    </row>
    <row r="159" spans="1:13" ht="51">
      <c r="A159" s="60">
        <v>155</v>
      </c>
      <c r="B159" s="37" t="s">
        <v>684</v>
      </c>
      <c r="C159" s="37" t="s">
        <v>337</v>
      </c>
      <c r="D159" s="25" t="s">
        <v>713</v>
      </c>
      <c r="E159" s="59">
        <v>44949.590046296296</v>
      </c>
      <c r="F159" s="49" t="s">
        <v>19</v>
      </c>
      <c r="G159" s="16" t="s">
        <v>714</v>
      </c>
      <c r="H159" s="20"/>
      <c r="I159" s="20"/>
      <c r="J159" s="20" t="s">
        <v>371</v>
      </c>
      <c r="K159" s="21">
        <v>44949.66883101852</v>
      </c>
      <c r="L159" s="20" t="s">
        <v>282</v>
      </c>
      <c r="M159" s="20" t="s">
        <v>287</v>
      </c>
    </row>
    <row r="160" spans="1:13">
      <c r="A160" s="60">
        <v>156</v>
      </c>
      <c r="B160" s="37" t="s">
        <v>693</v>
      </c>
      <c r="C160" s="37" t="s">
        <v>375</v>
      </c>
      <c r="D160" s="25" t="s">
        <v>538</v>
      </c>
      <c r="E160" s="59">
        <v>44949.593344907407</v>
      </c>
      <c r="F160" s="49" t="s">
        <v>19</v>
      </c>
      <c r="G160" s="16"/>
      <c r="H160" s="20"/>
      <c r="I160" s="20"/>
      <c r="J160" s="20" t="s">
        <v>19</v>
      </c>
      <c r="K160" s="21">
        <v>44949.593460648146</v>
      </c>
      <c r="L160" s="20" t="s">
        <v>282</v>
      </c>
      <c r="M160" s="20" t="s">
        <v>287</v>
      </c>
    </row>
    <row r="161" spans="1:13">
      <c r="A161" s="60">
        <v>157</v>
      </c>
      <c r="B161" s="19" t="s">
        <v>525</v>
      </c>
      <c r="C161" s="19" t="s">
        <v>383</v>
      </c>
      <c r="D161" s="25" t="s">
        <v>538</v>
      </c>
      <c r="E161" s="59">
        <v>44949.607951388891</v>
      </c>
      <c r="F161" s="49" t="s">
        <v>19</v>
      </c>
      <c r="G161" s="16"/>
      <c r="H161" s="20"/>
      <c r="I161" s="20"/>
      <c r="J161" s="20" t="s">
        <v>19</v>
      </c>
      <c r="K161" s="21">
        <v>44949.607754629629</v>
      </c>
      <c r="L161" s="20" t="s">
        <v>282</v>
      </c>
      <c r="M161" s="20" t="s">
        <v>287</v>
      </c>
    </row>
    <row r="162" spans="1:13">
      <c r="A162" s="60">
        <v>158</v>
      </c>
      <c r="B162" s="19" t="s">
        <v>698</v>
      </c>
      <c r="C162" s="19" t="s">
        <v>409</v>
      </c>
      <c r="D162" s="25" t="s">
        <v>538</v>
      </c>
      <c r="E162" s="59">
        <v>44949.607951388891</v>
      </c>
      <c r="F162" s="49" t="s">
        <v>19</v>
      </c>
      <c r="G162" s="20"/>
      <c r="H162" s="20"/>
      <c r="I162" s="20"/>
      <c r="J162" s="20" t="s">
        <v>19</v>
      </c>
      <c r="K162" s="21">
        <v>44949.607754629629</v>
      </c>
      <c r="L162" s="20" t="s">
        <v>282</v>
      </c>
      <c r="M162" s="20" t="s">
        <v>287</v>
      </c>
    </row>
    <row r="163" spans="1:13" ht="25.5">
      <c r="A163" s="60">
        <v>159</v>
      </c>
      <c r="B163" s="19" t="s">
        <v>702</v>
      </c>
      <c r="C163" s="19" t="s">
        <v>442</v>
      </c>
      <c r="D163" s="25" t="s">
        <v>448</v>
      </c>
      <c r="E163" s="59">
        <v>44949.62263888889</v>
      </c>
      <c r="F163" s="49" t="s">
        <v>19</v>
      </c>
      <c r="G163" s="16" t="s">
        <v>710</v>
      </c>
      <c r="H163" s="20"/>
      <c r="I163" s="20"/>
      <c r="J163" s="20" t="s">
        <v>371</v>
      </c>
      <c r="K163" s="69">
        <v>44949</v>
      </c>
      <c r="L163" s="20" t="s">
        <v>219</v>
      </c>
      <c r="M163" s="20" t="s">
        <v>287</v>
      </c>
    </row>
    <row r="164" spans="1:13" ht="25.5">
      <c r="A164" s="60">
        <v>160</v>
      </c>
      <c r="B164" s="37" t="s">
        <v>704</v>
      </c>
      <c r="C164" s="19" t="s">
        <v>460</v>
      </c>
      <c r="D164" s="25" t="s">
        <v>705</v>
      </c>
      <c r="E164" s="59">
        <v>44949.633657407408</v>
      </c>
      <c r="F164" s="49" t="s">
        <v>19</v>
      </c>
      <c r="G164" s="16" t="s">
        <v>711</v>
      </c>
      <c r="H164" s="20"/>
      <c r="I164" s="20"/>
      <c r="J164" s="20" t="s">
        <v>371</v>
      </c>
      <c r="K164" s="69">
        <v>44949</v>
      </c>
      <c r="L164" s="20" t="s">
        <v>219</v>
      </c>
      <c r="M164" s="20" t="s">
        <v>287</v>
      </c>
    </row>
    <row r="165" spans="1:13">
      <c r="A165" s="60">
        <v>161</v>
      </c>
      <c r="B165" s="37" t="s">
        <v>715</v>
      </c>
      <c r="C165" s="37" t="s">
        <v>311</v>
      </c>
      <c r="D165" s="25" t="s">
        <v>538</v>
      </c>
      <c r="E165" s="59">
        <v>44951.378888888888</v>
      </c>
      <c r="F165" s="49" t="s">
        <v>19</v>
      </c>
      <c r="G165" s="16"/>
      <c r="H165" s="20"/>
      <c r="I165" s="20"/>
      <c r="J165" s="20" t="s">
        <v>19</v>
      </c>
      <c r="K165" s="21">
        <v>44951.380972222221</v>
      </c>
      <c r="L165" s="20" t="s">
        <v>282</v>
      </c>
      <c r="M165" s="20" t="s">
        <v>287</v>
      </c>
    </row>
    <row r="166" spans="1:13">
      <c r="A166" s="60">
        <v>162</v>
      </c>
      <c r="B166" s="37" t="s">
        <v>715</v>
      </c>
      <c r="C166" s="37" t="s">
        <v>337</v>
      </c>
      <c r="D166" s="25" t="s">
        <v>538</v>
      </c>
      <c r="E166" s="59">
        <v>44951.380902777775</v>
      </c>
      <c r="F166" s="49" t="s">
        <v>19</v>
      </c>
      <c r="G166" s="16"/>
      <c r="H166" s="20"/>
      <c r="I166" s="20"/>
      <c r="J166" s="20" t="s">
        <v>19</v>
      </c>
      <c r="K166" s="21">
        <v>44951.381006944444</v>
      </c>
      <c r="L166" s="20" t="s">
        <v>282</v>
      </c>
      <c r="M166" s="20" t="s">
        <v>287</v>
      </c>
    </row>
    <row r="167" spans="1:13">
      <c r="A167" s="60">
        <v>163</v>
      </c>
      <c r="B167" s="19" t="s">
        <v>721</v>
      </c>
      <c r="C167" s="19" t="s">
        <v>442</v>
      </c>
      <c r="D167" s="25" t="s">
        <v>538</v>
      </c>
      <c r="E167" s="59">
        <v>44951.382557870369</v>
      </c>
      <c r="F167" s="49" t="s">
        <v>19</v>
      </c>
      <c r="G167" s="16"/>
      <c r="H167" s="20"/>
      <c r="I167" s="20"/>
      <c r="J167" s="20" t="s">
        <v>19</v>
      </c>
      <c r="K167" s="21">
        <v>44951.382615740738</v>
      </c>
      <c r="L167" s="20" t="s">
        <v>282</v>
      </c>
      <c r="M167" s="20" t="s">
        <v>287</v>
      </c>
    </row>
    <row r="168" spans="1:13" ht="25.5">
      <c r="A168" s="60">
        <v>164</v>
      </c>
      <c r="B168" s="37" t="s">
        <v>727</v>
      </c>
      <c r="C168" s="37" t="s">
        <v>311</v>
      </c>
      <c r="D168" s="25" t="s">
        <v>726</v>
      </c>
      <c r="E168" s="59">
        <v>44981.330509259256</v>
      </c>
      <c r="F168" s="49" t="s">
        <v>725</v>
      </c>
      <c r="G168" s="16"/>
      <c r="H168" s="20"/>
      <c r="I168" s="20"/>
      <c r="J168" s="20" t="s">
        <v>736</v>
      </c>
      <c r="K168" s="21">
        <v>44981</v>
      </c>
      <c r="L168" s="20" t="s">
        <v>282</v>
      </c>
      <c r="M168" s="20" t="s">
        <v>287</v>
      </c>
    </row>
    <row r="169" spans="1:13" ht="25.5">
      <c r="A169" s="60">
        <v>165</v>
      </c>
      <c r="B169" s="37" t="s">
        <v>728</v>
      </c>
      <c r="C169" s="19" t="s">
        <v>337</v>
      </c>
      <c r="D169" s="25" t="s">
        <v>729</v>
      </c>
      <c r="E169" s="59">
        <v>44981.331157407411</v>
      </c>
      <c r="F169" s="49" t="s">
        <v>725</v>
      </c>
      <c r="G169" s="16"/>
      <c r="H169" s="20"/>
      <c r="I169" s="20"/>
      <c r="J169" s="20" t="s">
        <v>736</v>
      </c>
      <c r="K169" s="21">
        <v>44981</v>
      </c>
      <c r="L169" s="20" t="s">
        <v>282</v>
      </c>
      <c r="M169" s="20" t="s">
        <v>287</v>
      </c>
    </row>
    <row r="170" spans="1:13">
      <c r="A170" s="60">
        <v>166</v>
      </c>
      <c r="B170" s="19" t="s">
        <v>730</v>
      </c>
      <c r="C170" s="19" t="s">
        <v>409</v>
      </c>
      <c r="D170" s="25" t="s">
        <v>731</v>
      </c>
      <c r="E170" s="59">
        <v>44981.331793981481</v>
      </c>
      <c r="F170" s="49" t="s">
        <v>725</v>
      </c>
      <c r="G170" s="16"/>
      <c r="H170" s="20"/>
      <c r="I170" s="20"/>
      <c r="J170" s="20" t="s">
        <v>736</v>
      </c>
      <c r="K170" s="21">
        <v>44981</v>
      </c>
      <c r="L170" s="20" t="s">
        <v>282</v>
      </c>
      <c r="M170" s="20" t="s">
        <v>287</v>
      </c>
    </row>
    <row r="171" spans="1:13">
      <c r="A171" s="60">
        <v>167</v>
      </c>
      <c r="B171" s="19" t="s">
        <v>732</v>
      </c>
      <c r="C171" s="19" t="s">
        <v>383</v>
      </c>
      <c r="D171" s="25" t="s">
        <v>731</v>
      </c>
      <c r="E171" s="59">
        <v>44981.353368055556</v>
      </c>
      <c r="F171" s="49" t="s">
        <v>725</v>
      </c>
      <c r="G171" s="16"/>
      <c r="H171" s="20"/>
      <c r="I171" s="20"/>
      <c r="J171" s="20" t="s">
        <v>736</v>
      </c>
      <c r="K171" s="21">
        <v>44981</v>
      </c>
      <c r="L171" s="20" t="s">
        <v>282</v>
      </c>
      <c r="M171" s="20" t="s">
        <v>287</v>
      </c>
    </row>
    <row r="172" spans="1:13" ht="25.5">
      <c r="A172" s="60">
        <v>168</v>
      </c>
      <c r="B172" s="37" t="s">
        <v>733</v>
      </c>
      <c r="C172" s="19" t="s">
        <v>375</v>
      </c>
      <c r="D172" s="25" t="s">
        <v>734</v>
      </c>
      <c r="E172" s="59">
        <v>44981.353668981479</v>
      </c>
      <c r="F172" s="49" t="s">
        <v>725</v>
      </c>
      <c r="G172" s="16"/>
      <c r="H172" s="20"/>
      <c r="I172" s="20"/>
      <c r="J172" s="20" t="s">
        <v>736</v>
      </c>
      <c r="K172" s="21">
        <v>44981</v>
      </c>
      <c r="L172" s="20" t="s">
        <v>282</v>
      </c>
      <c r="M172" s="20" t="s">
        <v>287</v>
      </c>
    </row>
    <row r="173" spans="1:13">
      <c r="A173" s="60">
        <v>169</v>
      </c>
      <c r="B173" s="19" t="s">
        <v>735</v>
      </c>
      <c r="C173" s="19" t="s">
        <v>442</v>
      </c>
      <c r="D173" s="25" t="s">
        <v>731</v>
      </c>
      <c r="E173" s="59">
        <v>44981.354166666664</v>
      </c>
      <c r="F173" s="49" t="s">
        <v>725</v>
      </c>
      <c r="G173" s="16"/>
      <c r="H173" s="20"/>
      <c r="I173" s="20"/>
      <c r="J173" s="20" t="s">
        <v>736</v>
      </c>
      <c r="K173" s="21">
        <v>44981</v>
      </c>
      <c r="L173" s="20" t="s">
        <v>282</v>
      </c>
      <c r="M173" s="20" t="s">
        <v>287</v>
      </c>
    </row>
    <row r="174" spans="1:13">
      <c r="A174" s="60">
        <v>170</v>
      </c>
      <c r="B174" s="37" t="s">
        <v>742</v>
      </c>
      <c r="C174" s="37" t="s">
        <v>460</v>
      </c>
      <c r="D174" s="25" t="s">
        <v>731</v>
      </c>
      <c r="E174" s="59">
        <v>44981.452916666669</v>
      </c>
      <c r="F174" s="49" t="s">
        <v>725</v>
      </c>
      <c r="G174" s="16"/>
      <c r="H174" s="20"/>
      <c r="I174" s="20"/>
      <c r="J174" s="20" t="s">
        <v>736</v>
      </c>
      <c r="K174" s="21">
        <v>44981</v>
      </c>
      <c r="L174" s="20" t="s">
        <v>282</v>
      </c>
      <c r="M174" s="20" t="s">
        <v>287</v>
      </c>
    </row>
    <row r="175" spans="1:13">
      <c r="A175" s="60">
        <v>171</v>
      </c>
      <c r="B175" s="37" t="s">
        <v>757</v>
      </c>
      <c r="C175" s="37" t="s">
        <v>460</v>
      </c>
      <c r="D175" s="25" t="s">
        <v>731</v>
      </c>
      <c r="E175" s="59">
        <v>44981.452916666669</v>
      </c>
      <c r="F175" s="49" t="s">
        <v>725</v>
      </c>
      <c r="G175" s="16"/>
      <c r="H175" s="20"/>
      <c r="I175" s="20"/>
      <c r="J175" s="20" t="s">
        <v>736</v>
      </c>
      <c r="K175" s="21">
        <v>44981</v>
      </c>
      <c r="L175" s="20" t="s">
        <v>282</v>
      </c>
      <c r="M175" s="20" t="s">
        <v>287</v>
      </c>
    </row>
    <row r="176" spans="1:13">
      <c r="A176" s="60">
        <v>172</v>
      </c>
      <c r="B176" s="37" t="s">
        <v>756</v>
      </c>
      <c r="C176" s="37" t="s">
        <v>758</v>
      </c>
      <c r="D176" s="25" t="s">
        <v>731</v>
      </c>
      <c r="E176" s="59">
        <v>44981.452916666669</v>
      </c>
      <c r="F176" s="49" t="s">
        <v>725</v>
      </c>
      <c r="G176" s="16"/>
      <c r="H176" s="20"/>
      <c r="I176" s="20"/>
      <c r="J176" s="20" t="s">
        <v>736</v>
      </c>
      <c r="K176" s="21">
        <v>44981</v>
      </c>
      <c r="L176" s="20" t="s">
        <v>282</v>
      </c>
      <c r="M176" s="20" t="s">
        <v>287</v>
      </c>
    </row>
    <row r="177" spans="1:13">
      <c r="A177" s="60">
        <v>173</v>
      </c>
      <c r="B177" s="37" t="s">
        <v>755</v>
      </c>
      <c r="C177" s="37" t="s">
        <v>750</v>
      </c>
      <c r="D177" s="25" t="s">
        <v>731</v>
      </c>
      <c r="E177" s="59">
        <v>44981.452916666669</v>
      </c>
      <c r="F177" s="49" t="s">
        <v>725</v>
      </c>
      <c r="G177" s="16"/>
      <c r="H177" s="20"/>
      <c r="I177" s="20"/>
      <c r="J177" s="20" t="s">
        <v>736</v>
      </c>
      <c r="K177" s="21">
        <v>44981</v>
      </c>
      <c r="L177" s="20" t="s">
        <v>282</v>
      </c>
      <c r="M177" s="20" t="s">
        <v>287</v>
      </c>
    </row>
    <row r="178" spans="1:13">
      <c r="A178" s="60">
        <v>174</v>
      </c>
      <c r="B178" s="37" t="s">
        <v>754</v>
      </c>
      <c r="C178" s="37" t="s">
        <v>759</v>
      </c>
      <c r="D178" s="25" t="s">
        <v>731</v>
      </c>
      <c r="E178" s="59">
        <v>44981.452916666669</v>
      </c>
      <c r="F178" s="49" t="s">
        <v>725</v>
      </c>
      <c r="G178" s="16"/>
      <c r="H178" s="20"/>
      <c r="I178" s="20"/>
      <c r="J178" s="20" t="s">
        <v>736</v>
      </c>
      <c r="K178" s="21">
        <v>44981</v>
      </c>
      <c r="L178" s="20" t="s">
        <v>282</v>
      </c>
      <c r="M178" s="20" t="s">
        <v>287</v>
      </c>
    </row>
    <row r="179" spans="1:13">
      <c r="A179" s="60">
        <v>175</v>
      </c>
      <c r="B179" s="37" t="s">
        <v>753</v>
      </c>
      <c r="C179" s="37" t="s">
        <v>337</v>
      </c>
      <c r="D179" s="25" t="s">
        <v>731</v>
      </c>
      <c r="E179" s="59">
        <v>44981.452916666669</v>
      </c>
      <c r="F179" s="49" t="s">
        <v>725</v>
      </c>
      <c r="G179" s="16"/>
      <c r="H179" s="20"/>
      <c r="I179" s="20"/>
      <c r="J179" s="20" t="s">
        <v>736</v>
      </c>
      <c r="K179" s="21">
        <v>44981</v>
      </c>
      <c r="L179" s="20" t="s">
        <v>282</v>
      </c>
      <c r="M179" s="20" t="s">
        <v>287</v>
      </c>
    </row>
    <row r="180" spans="1:13">
      <c r="A180" s="60">
        <v>176</v>
      </c>
      <c r="B180" s="37" t="s">
        <v>752</v>
      </c>
      <c r="C180" s="37" t="s">
        <v>751</v>
      </c>
      <c r="D180" s="25" t="s">
        <v>731</v>
      </c>
      <c r="E180" s="59">
        <v>44981.452916666669</v>
      </c>
      <c r="F180" s="49" t="s">
        <v>725</v>
      </c>
      <c r="G180" s="16"/>
      <c r="H180" s="20"/>
      <c r="I180" s="20"/>
      <c r="J180" s="20" t="s">
        <v>736</v>
      </c>
      <c r="K180" s="21">
        <v>44981</v>
      </c>
      <c r="L180" s="20" t="s">
        <v>282</v>
      </c>
      <c r="M180" s="20" t="s">
        <v>287</v>
      </c>
    </row>
    <row r="181" spans="1:13">
      <c r="A181" s="60">
        <v>177</v>
      </c>
      <c r="B181" s="19">
        <v>1.1000000000000001</v>
      </c>
      <c r="C181" s="37" t="s">
        <v>762</v>
      </c>
      <c r="D181" s="25" t="s">
        <v>763</v>
      </c>
      <c r="E181" s="59">
        <v>44984</v>
      </c>
      <c r="F181" s="49" t="s">
        <v>765</v>
      </c>
      <c r="G181" s="16"/>
      <c r="H181" s="20">
        <v>1048949</v>
      </c>
      <c r="I181" s="68" t="s">
        <v>767</v>
      </c>
      <c r="J181" s="68" t="s">
        <v>766</v>
      </c>
      <c r="K181" s="59">
        <v>44984</v>
      </c>
      <c r="L181" s="68" t="s">
        <v>220</v>
      </c>
      <c r="M181" s="20" t="s">
        <v>287</v>
      </c>
    </row>
    <row r="182" spans="1:13">
      <c r="A182" s="60">
        <v>178</v>
      </c>
      <c r="B182" s="19">
        <v>1.1000000000000001</v>
      </c>
      <c r="C182" s="37" t="s">
        <v>762</v>
      </c>
      <c r="D182" s="25" t="s">
        <v>764</v>
      </c>
      <c r="E182" s="59">
        <v>44984</v>
      </c>
      <c r="F182" s="49" t="s">
        <v>765</v>
      </c>
      <c r="G182" s="16"/>
      <c r="H182" s="20">
        <v>1048949</v>
      </c>
      <c r="I182" s="68" t="s">
        <v>767</v>
      </c>
      <c r="J182" s="68" t="s">
        <v>766</v>
      </c>
      <c r="K182" s="59">
        <v>44984</v>
      </c>
      <c r="L182" s="68" t="s">
        <v>220</v>
      </c>
      <c r="M182" s="20" t="s">
        <v>287</v>
      </c>
    </row>
    <row r="183" spans="1:13" ht="25.5">
      <c r="A183" s="60">
        <v>179</v>
      </c>
      <c r="B183" s="19">
        <v>1.1000000000000001</v>
      </c>
      <c r="C183" s="37" t="s">
        <v>813</v>
      </c>
      <c r="D183" s="25" t="s">
        <v>538</v>
      </c>
      <c r="E183" s="59">
        <v>44984.420115740744</v>
      </c>
      <c r="F183" s="49" t="s">
        <v>766</v>
      </c>
      <c r="G183" s="16"/>
      <c r="H183" s="20"/>
      <c r="I183" s="20"/>
      <c r="J183" s="68" t="s">
        <v>815</v>
      </c>
      <c r="K183" s="21">
        <v>44984.420393518521</v>
      </c>
      <c r="L183" s="20" t="s">
        <v>282</v>
      </c>
      <c r="M183" s="20" t="s">
        <v>287</v>
      </c>
    </row>
    <row r="184" spans="1:13" ht="25.5">
      <c r="A184" s="60">
        <v>180</v>
      </c>
      <c r="B184" s="19">
        <v>1.1000000000000001</v>
      </c>
      <c r="C184" s="37" t="s">
        <v>814</v>
      </c>
      <c r="D184" s="25" t="s">
        <v>538</v>
      </c>
      <c r="E184" s="59">
        <v>44984.420162037037</v>
      </c>
      <c r="F184" s="49" t="s">
        <v>766</v>
      </c>
      <c r="G184" s="16"/>
      <c r="H184" s="20"/>
      <c r="I184" s="20"/>
      <c r="J184" s="68" t="s">
        <v>815</v>
      </c>
      <c r="K184" s="21">
        <v>44984.420416666668</v>
      </c>
      <c r="L184" s="20" t="s">
        <v>282</v>
      </c>
      <c r="M184" s="20" t="s">
        <v>287</v>
      </c>
    </row>
    <row r="185" spans="1:13">
      <c r="A185" s="60">
        <v>181</v>
      </c>
      <c r="B185" s="19" t="s">
        <v>820</v>
      </c>
      <c r="C185" s="37" t="s">
        <v>311</v>
      </c>
      <c r="D185" s="25" t="s">
        <v>731</v>
      </c>
      <c r="E185" s="59">
        <v>44987.330127314817</v>
      </c>
      <c r="F185" s="49" t="s">
        <v>725</v>
      </c>
      <c r="G185" s="16"/>
      <c r="H185" s="20"/>
      <c r="I185" s="20"/>
      <c r="J185" s="68" t="s">
        <v>827</v>
      </c>
      <c r="K185" s="21">
        <v>44987.330335648148</v>
      </c>
      <c r="L185" s="20" t="s">
        <v>282</v>
      </c>
      <c r="M185" s="20" t="s">
        <v>287</v>
      </c>
    </row>
    <row r="186" spans="1:13">
      <c r="A186" s="60">
        <v>182</v>
      </c>
      <c r="B186" s="19" t="s">
        <v>821</v>
      </c>
      <c r="C186" s="37" t="s">
        <v>337</v>
      </c>
      <c r="D186" s="25" t="s">
        <v>731</v>
      </c>
      <c r="E186" s="59">
        <v>44987.33017361111</v>
      </c>
      <c r="F186" s="49" t="s">
        <v>725</v>
      </c>
      <c r="G186" s="16"/>
      <c r="H186" s="20"/>
      <c r="I186" s="20"/>
      <c r="J186" s="68" t="s">
        <v>827</v>
      </c>
      <c r="K186" s="21">
        <v>44987.330358796295</v>
      </c>
      <c r="L186" s="20" t="s">
        <v>282</v>
      </c>
      <c r="M186" s="20" t="s">
        <v>287</v>
      </c>
    </row>
    <row r="187" spans="1:13">
      <c r="A187" s="60">
        <v>183</v>
      </c>
      <c r="B187" s="19" t="s">
        <v>822</v>
      </c>
      <c r="C187" s="37" t="s">
        <v>409</v>
      </c>
      <c r="D187" s="25" t="s">
        <v>731</v>
      </c>
      <c r="E187" s="59">
        <v>44987.330185185187</v>
      </c>
      <c r="F187" s="49" t="s">
        <v>725</v>
      </c>
      <c r="G187" s="16"/>
      <c r="H187" s="20"/>
      <c r="I187" s="20"/>
      <c r="J187" s="68" t="s">
        <v>827</v>
      </c>
      <c r="K187" s="21">
        <v>44987.330381944441</v>
      </c>
      <c r="L187" s="20" t="s">
        <v>282</v>
      </c>
      <c r="M187" s="20" t="s">
        <v>287</v>
      </c>
    </row>
    <row r="188" spans="1:13">
      <c r="A188" s="60">
        <v>184</v>
      </c>
      <c r="B188" s="19" t="s">
        <v>823</v>
      </c>
      <c r="C188" s="37" t="s">
        <v>460</v>
      </c>
      <c r="D188" s="25" t="s">
        <v>731</v>
      </c>
      <c r="E188" s="59">
        <v>44987.330208333333</v>
      </c>
      <c r="F188" s="49" t="s">
        <v>725</v>
      </c>
      <c r="G188" s="16"/>
      <c r="H188" s="20"/>
      <c r="I188" s="20"/>
      <c r="J188" s="68" t="s">
        <v>827</v>
      </c>
      <c r="K188" s="21">
        <v>44987.330393518518</v>
      </c>
      <c r="L188" s="20" t="s">
        <v>282</v>
      </c>
      <c r="M188" s="20" t="s">
        <v>287</v>
      </c>
    </row>
    <row r="189" spans="1:13">
      <c r="A189" s="60">
        <v>185</v>
      </c>
      <c r="B189" s="19" t="s">
        <v>824</v>
      </c>
      <c r="C189" s="37" t="s">
        <v>383</v>
      </c>
      <c r="D189" s="25" t="s">
        <v>731</v>
      </c>
      <c r="E189" s="59">
        <v>44987.330243055556</v>
      </c>
      <c r="F189" s="49" t="s">
        <v>725</v>
      </c>
      <c r="G189" s="16"/>
      <c r="H189" s="20"/>
      <c r="I189" s="20"/>
      <c r="J189" s="68" t="s">
        <v>827</v>
      </c>
      <c r="K189" s="21">
        <v>44987.330439814818</v>
      </c>
      <c r="L189" s="20" t="s">
        <v>282</v>
      </c>
      <c r="M189" s="20" t="s">
        <v>287</v>
      </c>
    </row>
    <row r="190" spans="1:13">
      <c r="A190" s="60">
        <v>186</v>
      </c>
      <c r="B190" s="19" t="s">
        <v>825</v>
      </c>
      <c r="C190" s="37" t="s">
        <v>375</v>
      </c>
      <c r="D190" s="25" t="s">
        <v>731</v>
      </c>
      <c r="E190" s="59">
        <v>44987.330254629633</v>
      </c>
      <c r="F190" s="49" t="s">
        <v>725</v>
      </c>
      <c r="G190" s="16"/>
      <c r="H190" s="20"/>
      <c r="I190" s="20"/>
      <c r="J190" s="68" t="s">
        <v>827</v>
      </c>
      <c r="K190" s="21">
        <v>44987.330451388887</v>
      </c>
      <c r="L190" s="20" t="s">
        <v>282</v>
      </c>
      <c r="M190" s="20" t="s">
        <v>287</v>
      </c>
    </row>
    <row r="191" spans="1:13">
      <c r="A191" s="60">
        <v>187</v>
      </c>
      <c r="B191" s="19" t="s">
        <v>826</v>
      </c>
      <c r="C191" s="37" t="s">
        <v>442</v>
      </c>
      <c r="D191" s="25" t="s">
        <v>731</v>
      </c>
      <c r="E191" s="59">
        <v>44987.330289351848</v>
      </c>
      <c r="F191" s="49" t="s">
        <v>725</v>
      </c>
      <c r="G191" s="16"/>
      <c r="H191" s="20"/>
      <c r="I191" s="20"/>
      <c r="J191" s="68" t="s">
        <v>827</v>
      </c>
      <c r="K191" s="21">
        <v>44987.330462962964</v>
      </c>
      <c r="L191" s="20" t="s">
        <v>282</v>
      </c>
      <c r="M191" s="20" t="s">
        <v>287</v>
      </c>
    </row>
    <row r="192" spans="1:13">
      <c r="A192" s="60">
        <v>188</v>
      </c>
      <c r="B192" s="37" t="s">
        <v>835</v>
      </c>
      <c r="C192" s="37" t="s">
        <v>311</v>
      </c>
      <c r="D192" s="25" t="s">
        <v>538</v>
      </c>
      <c r="E192" s="59">
        <v>45006.5622337963</v>
      </c>
      <c r="F192" s="49" t="s">
        <v>19</v>
      </c>
      <c r="G192" s="16"/>
      <c r="H192" s="20"/>
      <c r="I192" s="20"/>
      <c r="J192" s="20" t="s">
        <v>19</v>
      </c>
      <c r="K192" s="21">
        <v>45006.5625</v>
      </c>
      <c r="L192" s="20" t="s">
        <v>282</v>
      </c>
      <c r="M192" s="20" t="s">
        <v>287</v>
      </c>
    </row>
    <row r="193" spans="1:13">
      <c r="A193" s="60">
        <v>189</v>
      </c>
      <c r="B193" s="37" t="s">
        <v>837</v>
      </c>
      <c r="C193" s="37" t="s">
        <v>337</v>
      </c>
      <c r="D193" s="25" t="s">
        <v>538</v>
      </c>
      <c r="E193" s="59">
        <v>45006.5622337963</v>
      </c>
      <c r="F193" s="49" t="s">
        <v>19</v>
      </c>
      <c r="G193" s="16"/>
      <c r="H193" s="20"/>
      <c r="I193" s="20"/>
      <c r="J193" s="20" t="s">
        <v>19</v>
      </c>
      <c r="K193" s="21">
        <v>45006.5625</v>
      </c>
      <c r="L193" s="20" t="s">
        <v>282</v>
      </c>
      <c r="M193" s="20" t="s">
        <v>287</v>
      </c>
    </row>
    <row r="194" spans="1:13">
      <c r="A194" s="60">
        <v>190</v>
      </c>
      <c r="B194" s="37" t="s">
        <v>839</v>
      </c>
      <c r="C194" s="37" t="s">
        <v>409</v>
      </c>
      <c r="D194" s="25" t="s">
        <v>840</v>
      </c>
      <c r="E194" s="59">
        <v>45006.5622337963</v>
      </c>
      <c r="F194" s="49" t="s">
        <v>19</v>
      </c>
      <c r="G194" s="16"/>
      <c r="H194" s="20"/>
      <c r="I194" s="20"/>
      <c r="J194" s="20" t="s">
        <v>19</v>
      </c>
      <c r="K194" s="21">
        <v>45006.5625</v>
      </c>
      <c r="L194" s="20" t="s">
        <v>282</v>
      </c>
      <c r="M194" s="20" t="s">
        <v>287</v>
      </c>
    </row>
    <row r="195" spans="1:13">
      <c r="A195" s="60">
        <v>191</v>
      </c>
      <c r="B195" s="37" t="s">
        <v>841</v>
      </c>
      <c r="C195" s="37" t="s">
        <v>409</v>
      </c>
      <c r="D195" s="25" t="s">
        <v>840</v>
      </c>
      <c r="E195" s="59">
        <v>45006.5622337963</v>
      </c>
      <c r="F195" s="49" t="s">
        <v>19</v>
      </c>
      <c r="G195" s="16"/>
      <c r="H195" s="20"/>
      <c r="I195" s="20"/>
      <c r="J195" s="20" t="s">
        <v>19</v>
      </c>
      <c r="K195" s="21">
        <v>45006.5625</v>
      </c>
      <c r="L195" s="20" t="s">
        <v>282</v>
      </c>
      <c r="M195" s="20" t="s">
        <v>287</v>
      </c>
    </row>
    <row r="196" spans="1:13" ht="63.75">
      <c r="A196" s="60">
        <v>192</v>
      </c>
      <c r="B196" s="37" t="s">
        <v>842</v>
      </c>
      <c r="C196" s="37" t="s">
        <v>409</v>
      </c>
      <c r="D196" s="25" t="s">
        <v>843</v>
      </c>
      <c r="E196" s="59">
        <v>45006.576145833336</v>
      </c>
      <c r="F196" s="49" t="s">
        <v>19</v>
      </c>
      <c r="G196" s="25" t="s">
        <v>862</v>
      </c>
      <c r="H196" s="20">
        <v>1105164</v>
      </c>
      <c r="I196" s="20"/>
      <c r="J196" s="68" t="s">
        <v>736</v>
      </c>
      <c r="K196" s="21">
        <v>45048</v>
      </c>
      <c r="L196" s="20" t="s">
        <v>219</v>
      </c>
      <c r="M196" s="20" t="s">
        <v>287</v>
      </c>
    </row>
    <row r="197" spans="1:13">
      <c r="A197" s="60">
        <v>193</v>
      </c>
      <c r="B197" s="37" t="s">
        <v>842</v>
      </c>
      <c r="C197" s="37" t="s">
        <v>409</v>
      </c>
      <c r="D197" s="25" t="s">
        <v>844</v>
      </c>
      <c r="E197" s="59">
        <v>45006.579143518517</v>
      </c>
      <c r="F197" s="49" t="s">
        <v>19</v>
      </c>
      <c r="G197" s="16" t="s">
        <v>863</v>
      </c>
      <c r="H197" s="20">
        <v>1105164</v>
      </c>
      <c r="I197" s="20"/>
      <c r="J197" s="68" t="s">
        <v>736</v>
      </c>
      <c r="K197" s="21">
        <v>45048</v>
      </c>
      <c r="L197" s="20" t="s">
        <v>219</v>
      </c>
      <c r="M197" s="20" t="s">
        <v>287</v>
      </c>
    </row>
    <row r="198" spans="1:13" ht="25.5">
      <c r="A198" s="60">
        <v>194</v>
      </c>
      <c r="B198" s="37" t="s">
        <v>842</v>
      </c>
      <c r="C198" s="37" t="s">
        <v>409</v>
      </c>
      <c r="D198" s="25" t="s">
        <v>845</v>
      </c>
      <c r="E198" s="59">
        <v>45006.580810185187</v>
      </c>
      <c r="F198" s="49" t="s">
        <v>19</v>
      </c>
      <c r="G198" s="16" t="s">
        <v>865</v>
      </c>
      <c r="H198" s="20">
        <v>1105164</v>
      </c>
      <c r="I198" s="20"/>
      <c r="J198" s="68" t="s">
        <v>736</v>
      </c>
      <c r="K198" s="21">
        <v>45048</v>
      </c>
      <c r="L198" s="20" t="s">
        <v>219</v>
      </c>
      <c r="M198" s="20" t="s">
        <v>287</v>
      </c>
    </row>
    <row r="199" spans="1:13" ht="38.25">
      <c r="A199" s="60">
        <v>195</v>
      </c>
      <c r="B199" s="37" t="s">
        <v>842</v>
      </c>
      <c r="C199" s="37" t="s">
        <v>409</v>
      </c>
      <c r="D199" s="25" t="s">
        <v>846</v>
      </c>
      <c r="E199" s="59">
        <v>45006.58384259259</v>
      </c>
      <c r="F199" s="49" t="s">
        <v>19</v>
      </c>
      <c r="G199" s="16" t="s">
        <v>864</v>
      </c>
      <c r="H199" s="20">
        <v>1105164</v>
      </c>
      <c r="I199" s="20"/>
      <c r="J199" s="68" t="s">
        <v>736</v>
      </c>
      <c r="K199" s="21">
        <v>45048</v>
      </c>
      <c r="L199" s="20" t="s">
        <v>219</v>
      </c>
      <c r="M199" s="20" t="s">
        <v>287</v>
      </c>
    </row>
    <row r="200" spans="1:13" ht="25.5">
      <c r="A200" s="60">
        <v>196</v>
      </c>
      <c r="B200" s="37" t="s">
        <v>848</v>
      </c>
      <c r="C200" s="37" t="s">
        <v>460</v>
      </c>
      <c r="D200" s="25" t="s">
        <v>845</v>
      </c>
      <c r="E200" s="59">
        <v>45006.591145833336</v>
      </c>
      <c r="F200" s="49" t="s">
        <v>19</v>
      </c>
      <c r="G200" s="16" t="s">
        <v>865</v>
      </c>
      <c r="H200" s="20">
        <v>1105164</v>
      </c>
      <c r="I200" s="20"/>
      <c r="J200" s="68" t="s">
        <v>736</v>
      </c>
      <c r="K200" s="21">
        <v>45048</v>
      </c>
      <c r="L200" s="20" t="s">
        <v>219</v>
      </c>
      <c r="M200" s="20" t="s">
        <v>287</v>
      </c>
    </row>
    <row r="201" spans="1:13">
      <c r="A201" s="60">
        <v>197</v>
      </c>
      <c r="B201" s="37" t="s">
        <v>848</v>
      </c>
      <c r="C201" s="37" t="s">
        <v>460</v>
      </c>
      <c r="D201" s="25" t="s">
        <v>713</v>
      </c>
      <c r="E201" s="59">
        <v>45006.595601851855</v>
      </c>
      <c r="F201" s="49" t="s">
        <v>19</v>
      </c>
      <c r="G201" s="16" t="s">
        <v>866</v>
      </c>
      <c r="H201" s="20">
        <v>1105164</v>
      </c>
      <c r="I201" s="20"/>
      <c r="J201" s="68" t="s">
        <v>736</v>
      </c>
      <c r="K201" s="21">
        <v>45048</v>
      </c>
      <c r="L201" s="20" t="s">
        <v>219</v>
      </c>
      <c r="M201" s="20" t="s">
        <v>287</v>
      </c>
    </row>
    <row r="202" spans="1:13">
      <c r="A202" s="60">
        <v>198</v>
      </c>
      <c r="B202" s="37" t="s">
        <v>850</v>
      </c>
      <c r="C202" s="37" t="s">
        <v>383</v>
      </c>
      <c r="D202" s="25" t="s">
        <v>538</v>
      </c>
      <c r="E202" s="59">
        <v>45006.603634259256</v>
      </c>
      <c r="F202" s="49" t="s">
        <v>19</v>
      </c>
      <c r="G202" s="16"/>
      <c r="H202" s="20"/>
      <c r="I202" s="20"/>
      <c r="J202" s="20" t="s">
        <v>19</v>
      </c>
      <c r="K202" s="21">
        <v>45006.603715277779</v>
      </c>
      <c r="L202" s="20" t="s">
        <v>282</v>
      </c>
      <c r="M202" s="20" t="s">
        <v>287</v>
      </c>
    </row>
    <row r="203" spans="1:13">
      <c r="A203" s="60">
        <v>199</v>
      </c>
      <c r="B203" s="37" t="s">
        <v>852</v>
      </c>
      <c r="C203" s="37" t="s">
        <v>442</v>
      </c>
      <c r="D203" s="25" t="s">
        <v>853</v>
      </c>
      <c r="E203" s="59">
        <v>45006.5622337963</v>
      </c>
      <c r="F203" s="49" t="s">
        <v>19</v>
      </c>
      <c r="G203" s="16"/>
      <c r="H203" s="20"/>
      <c r="I203" s="20"/>
      <c r="J203" s="20" t="s">
        <v>19</v>
      </c>
      <c r="K203" s="21">
        <v>45006.5625</v>
      </c>
      <c r="L203" s="20" t="s">
        <v>282</v>
      </c>
      <c r="M203" s="20" t="s">
        <v>287</v>
      </c>
    </row>
    <row r="204" spans="1:13">
      <c r="A204" s="60">
        <v>200</v>
      </c>
      <c r="B204" s="37" t="s">
        <v>854</v>
      </c>
      <c r="C204" s="37" t="s">
        <v>442</v>
      </c>
      <c r="D204" s="25" t="s">
        <v>853</v>
      </c>
      <c r="E204" s="59">
        <v>45006.5622337963</v>
      </c>
      <c r="F204" s="49" t="s">
        <v>19</v>
      </c>
      <c r="G204" s="16"/>
      <c r="H204" s="20"/>
      <c r="I204" s="20"/>
      <c r="J204" s="20" t="s">
        <v>19</v>
      </c>
      <c r="K204" s="21">
        <v>45006.5625</v>
      </c>
      <c r="L204" s="20" t="s">
        <v>282</v>
      </c>
      <c r="M204" s="20" t="s">
        <v>287</v>
      </c>
    </row>
    <row r="205" spans="1:13">
      <c r="A205" s="60">
        <v>201</v>
      </c>
      <c r="B205" s="37" t="s">
        <v>855</v>
      </c>
      <c r="C205" s="37" t="s">
        <v>442</v>
      </c>
      <c r="D205" s="25" t="s">
        <v>853</v>
      </c>
      <c r="E205" s="59">
        <v>45006.5622337963</v>
      </c>
      <c r="F205" s="49" t="s">
        <v>19</v>
      </c>
      <c r="G205" s="16"/>
      <c r="H205" s="20"/>
      <c r="I205" s="20"/>
      <c r="J205" s="20" t="s">
        <v>19</v>
      </c>
      <c r="K205" s="21">
        <v>45006.5625</v>
      </c>
      <c r="L205" s="20" t="s">
        <v>282</v>
      </c>
      <c r="M205" s="20" t="s">
        <v>287</v>
      </c>
    </row>
    <row r="206" spans="1:13">
      <c r="A206" s="60">
        <v>202</v>
      </c>
      <c r="B206" s="37" t="s">
        <v>856</v>
      </c>
      <c r="C206" s="37" t="s">
        <v>442</v>
      </c>
      <c r="D206" s="25" t="s">
        <v>538</v>
      </c>
      <c r="E206" s="59">
        <v>45006.610671296294</v>
      </c>
      <c r="F206" s="49" t="s">
        <v>19</v>
      </c>
      <c r="G206" s="16"/>
      <c r="H206" s="20"/>
      <c r="I206" s="20"/>
      <c r="J206" s="20" t="s">
        <v>19</v>
      </c>
      <c r="K206" s="21">
        <v>45006.5625</v>
      </c>
      <c r="L206" s="20" t="s">
        <v>282</v>
      </c>
      <c r="M206" s="20" t="s">
        <v>287</v>
      </c>
    </row>
    <row r="207" spans="1:13">
      <c r="A207" s="60">
        <v>203</v>
      </c>
      <c r="B207" s="19">
        <v>1.2</v>
      </c>
      <c r="C207" s="37" t="s">
        <v>762</v>
      </c>
      <c r="D207" s="25" t="s">
        <v>538</v>
      </c>
      <c r="E207" s="59">
        <v>45026.592777777776</v>
      </c>
      <c r="F207" s="49" t="s">
        <v>766</v>
      </c>
      <c r="G207" s="16"/>
      <c r="H207" s="20"/>
      <c r="I207" s="20"/>
      <c r="J207" s="68" t="s">
        <v>858</v>
      </c>
      <c r="K207" s="21">
        <v>45026.594583333332</v>
      </c>
      <c r="L207" s="20" t="s">
        <v>282</v>
      </c>
      <c r="M207" s="20" t="s">
        <v>287</v>
      </c>
    </row>
    <row r="208" spans="1:13">
      <c r="A208" s="60">
        <v>204</v>
      </c>
      <c r="B208" s="37" t="s">
        <v>868</v>
      </c>
      <c r="C208" s="37" t="s">
        <v>409</v>
      </c>
      <c r="D208" s="25" t="s">
        <v>867</v>
      </c>
      <c r="E208" s="59">
        <v>45035.532858796294</v>
      </c>
      <c r="F208" s="49" t="s">
        <v>19</v>
      </c>
      <c r="G208" s="16"/>
      <c r="H208" s="20"/>
      <c r="I208" s="20"/>
      <c r="J208" s="68" t="s">
        <v>736</v>
      </c>
      <c r="K208" s="21">
        <v>45035.533055555556</v>
      </c>
      <c r="L208" s="20" t="s">
        <v>282</v>
      </c>
      <c r="M208" s="20" t="s">
        <v>287</v>
      </c>
    </row>
    <row r="209" spans="1:23">
      <c r="A209" s="60">
        <v>205</v>
      </c>
      <c r="B209" s="37" t="s">
        <v>869</v>
      </c>
      <c r="C209" s="37" t="s">
        <v>409</v>
      </c>
      <c r="D209" s="25" t="s">
        <v>867</v>
      </c>
      <c r="E209" s="59">
        <v>45035.532858796294</v>
      </c>
      <c r="F209" s="49" t="s">
        <v>19</v>
      </c>
      <c r="G209" s="16"/>
      <c r="H209" s="20"/>
      <c r="I209" s="20"/>
      <c r="J209" s="68" t="s">
        <v>736</v>
      </c>
      <c r="K209" s="21">
        <v>45035.533055555556</v>
      </c>
      <c r="L209" s="20" t="s">
        <v>282</v>
      </c>
      <c r="M209" s="20" t="s">
        <v>287</v>
      </c>
    </row>
    <row r="210" spans="1:23">
      <c r="A210" s="60">
        <v>206</v>
      </c>
      <c r="B210" s="37" t="s">
        <v>870</v>
      </c>
      <c r="C210" s="37" t="s">
        <v>409</v>
      </c>
      <c r="D210" s="25" t="s">
        <v>867</v>
      </c>
      <c r="E210" s="59">
        <v>45035.532858796294</v>
      </c>
      <c r="F210" s="49" t="s">
        <v>19</v>
      </c>
      <c r="G210" s="16"/>
      <c r="H210" s="20"/>
      <c r="I210" s="20"/>
      <c r="J210" s="68" t="s">
        <v>736</v>
      </c>
      <c r="K210" s="21">
        <v>45035.533055555556</v>
      </c>
      <c r="L210" s="20" t="s">
        <v>282</v>
      </c>
      <c r="M210" s="20" t="s">
        <v>287</v>
      </c>
    </row>
    <row r="211" spans="1:23">
      <c r="A211" s="60">
        <v>207</v>
      </c>
      <c r="B211" s="37" t="s">
        <v>871</v>
      </c>
      <c r="C211" s="37" t="s">
        <v>409</v>
      </c>
      <c r="D211" s="25" t="s">
        <v>867</v>
      </c>
      <c r="E211" s="59">
        <v>45035.532858796294</v>
      </c>
      <c r="F211" s="49" t="s">
        <v>19</v>
      </c>
      <c r="G211" s="16"/>
      <c r="H211" s="20"/>
      <c r="I211" s="20"/>
      <c r="J211" s="68" t="s">
        <v>736</v>
      </c>
      <c r="K211" s="21">
        <v>45035.533055555556</v>
      </c>
      <c r="L211" s="20" t="s">
        <v>282</v>
      </c>
      <c r="M211" s="20" t="s">
        <v>287</v>
      </c>
    </row>
    <row r="212" spans="1:23">
      <c r="A212" s="60">
        <v>208</v>
      </c>
      <c r="B212" s="37" t="s">
        <v>872</v>
      </c>
      <c r="C212" s="37" t="s">
        <v>409</v>
      </c>
      <c r="D212" s="25" t="s">
        <v>867</v>
      </c>
      <c r="E212" s="59">
        <v>45035.532858796294</v>
      </c>
      <c r="F212" s="49" t="s">
        <v>19</v>
      </c>
      <c r="G212" s="16"/>
      <c r="H212" s="20"/>
      <c r="I212" s="20"/>
      <c r="J212" s="68" t="s">
        <v>736</v>
      </c>
      <c r="K212" s="21">
        <v>45035.533055555556</v>
      </c>
      <c r="L212" s="20" t="s">
        <v>282</v>
      </c>
      <c r="M212" s="20" t="s">
        <v>287</v>
      </c>
    </row>
    <row r="213" spans="1:23">
      <c r="A213" s="60">
        <v>209</v>
      </c>
      <c r="B213" s="37" t="s">
        <v>873</v>
      </c>
      <c r="C213" s="37" t="s">
        <v>409</v>
      </c>
      <c r="D213" s="25" t="s">
        <v>867</v>
      </c>
      <c r="E213" s="59">
        <v>45035.532858796294</v>
      </c>
      <c r="F213" s="49" t="s">
        <v>19</v>
      </c>
      <c r="G213" s="16"/>
      <c r="H213" s="20"/>
      <c r="I213" s="20"/>
      <c r="J213" s="68" t="s">
        <v>736</v>
      </c>
      <c r="K213" s="21">
        <v>45035.533055555556</v>
      </c>
      <c r="L213" s="20" t="s">
        <v>282</v>
      </c>
      <c r="M213" s="20" t="s">
        <v>287</v>
      </c>
    </row>
    <row r="214" spans="1:23">
      <c r="A214" s="60">
        <v>210</v>
      </c>
      <c r="B214" s="37" t="s">
        <v>874</v>
      </c>
      <c r="C214" s="37" t="s">
        <v>409</v>
      </c>
      <c r="D214" s="25" t="s">
        <v>867</v>
      </c>
      <c r="E214" s="59">
        <v>45035.532858796294</v>
      </c>
      <c r="F214" s="49" t="s">
        <v>19</v>
      </c>
      <c r="G214" s="16"/>
      <c r="H214" s="20"/>
      <c r="I214" s="20"/>
      <c r="J214" s="68" t="s">
        <v>736</v>
      </c>
      <c r="K214" s="21">
        <v>45035.533055555556</v>
      </c>
      <c r="L214" s="20" t="s">
        <v>282</v>
      </c>
      <c r="M214" s="20" t="s">
        <v>287</v>
      </c>
    </row>
    <row r="215" spans="1:23">
      <c r="A215" s="60">
        <v>211</v>
      </c>
      <c r="B215" s="37" t="s">
        <v>875</v>
      </c>
      <c r="C215" s="37" t="s">
        <v>409</v>
      </c>
      <c r="D215" s="25" t="s">
        <v>867</v>
      </c>
      <c r="E215" s="59">
        <v>45035.532858796294</v>
      </c>
      <c r="F215" s="49" t="s">
        <v>19</v>
      </c>
      <c r="G215" s="16"/>
      <c r="H215" s="20"/>
      <c r="I215" s="20"/>
      <c r="J215" s="68" t="s">
        <v>736</v>
      </c>
      <c r="K215" s="21">
        <v>45035.533055555556</v>
      </c>
      <c r="L215" s="20" t="s">
        <v>282</v>
      </c>
      <c r="M215" s="20" t="s">
        <v>287</v>
      </c>
    </row>
    <row r="216" spans="1:23">
      <c r="A216" s="60">
        <v>212</v>
      </c>
      <c r="B216" s="37" t="s">
        <v>876</v>
      </c>
      <c r="C216" s="37" t="s">
        <v>409</v>
      </c>
      <c r="D216" s="25" t="s">
        <v>867</v>
      </c>
      <c r="E216" s="59">
        <v>45035.532858796294</v>
      </c>
      <c r="F216" s="49" t="s">
        <v>19</v>
      </c>
      <c r="G216" s="16"/>
      <c r="H216" s="20"/>
      <c r="I216" s="20"/>
      <c r="J216" s="68" t="s">
        <v>736</v>
      </c>
      <c r="K216" s="21">
        <v>45035.533055555556</v>
      </c>
      <c r="L216" s="20" t="s">
        <v>282</v>
      </c>
      <c r="M216" s="20" t="s">
        <v>287</v>
      </c>
    </row>
    <row r="217" spans="1:23" ht="25.5">
      <c r="A217" s="60">
        <v>213</v>
      </c>
      <c r="B217" s="49" t="s">
        <v>877</v>
      </c>
      <c r="C217" s="49" t="s">
        <v>409</v>
      </c>
      <c r="D217" s="198" t="s">
        <v>878</v>
      </c>
      <c r="E217" s="59">
        <v>45035.540243055555</v>
      </c>
      <c r="F217" s="49" t="s">
        <v>19</v>
      </c>
      <c r="G217" s="198" t="s">
        <v>924</v>
      </c>
      <c r="H217" s="61"/>
      <c r="I217" s="61"/>
      <c r="J217" s="60" t="s">
        <v>736</v>
      </c>
      <c r="K217" s="59">
        <v>45035.533055555556</v>
      </c>
      <c r="L217" s="61" t="s">
        <v>219</v>
      </c>
      <c r="M217" s="20" t="s">
        <v>287</v>
      </c>
    </row>
    <row r="218" spans="1:23" ht="63.75">
      <c r="A218" s="60">
        <v>214</v>
      </c>
      <c r="B218" s="228" t="s">
        <v>877</v>
      </c>
      <c r="C218" s="228" t="s">
        <v>409</v>
      </c>
      <c r="D218" s="198" t="s">
        <v>879</v>
      </c>
      <c r="E218" s="59">
        <v>45035.553611111114</v>
      </c>
      <c r="F218" s="49" t="s">
        <v>19</v>
      </c>
      <c r="G218" s="198" t="s">
        <v>938</v>
      </c>
      <c r="H218" s="61"/>
      <c r="I218" s="61"/>
      <c r="J218" s="60" t="s">
        <v>736</v>
      </c>
      <c r="K218" s="59">
        <v>45035.533055555556</v>
      </c>
      <c r="L218" s="20" t="s">
        <v>219</v>
      </c>
      <c r="M218" s="20" t="s">
        <v>287</v>
      </c>
    </row>
    <row r="219" spans="1:23" s="195" customFormat="1" ht="89.25">
      <c r="A219" s="189">
        <v>215</v>
      </c>
      <c r="B219" s="49" t="s">
        <v>877</v>
      </c>
      <c r="C219" s="49" t="s">
        <v>409</v>
      </c>
      <c r="D219" s="226" t="s">
        <v>880</v>
      </c>
      <c r="E219" s="59">
        <v>45035.553611111114</v>
      </c>
      <c r="F219" s="191" t="s">
        <v>19</v>
      </c>
      <c r="G219" s="226" t="s">
        <v>925</v>
      </c>
      <c r="H219" s="227"/>
      <c r="I219" s="189"/>
      <c r="J219" s="60" t="s">
        <v>736</v>
      </c>
      <c r="K219" s="59">
        <v>45035.533055555556</v>
      </c>
      <c r="L219" s="190" t="s">
        <v>219</v>
      </c>
      <c r="M219" s="190" t="s">
        <v>287</v>
      </c>
      <c r="N219" s="193"/>
      <c r="O219" s="193"/>
      <c r="P219" s="193"/>
      <c r="Q219" s="194"/>
      <c r="R219" s="194"/>
      <c r="S219" s="194"/>
      <c r="T219" s="194"/>
      <c r="U219" s="194"/>
      <c r="V219" s="194"/>
      <c r="W219" s="194"/>
    </row>
    <row r="220" spans="1:23" s="195" customFormat="1" hidden="1">
      <c r="A220" s="189">
        <v>216</v>
      </c>
      <c r="B220" s="37" t="s">
        <v>883</v>
      </c>
      <c r="C220" s="37" t="s">
        <v>460</v>
      </c>
      <c r="D220" s="25" t="s">
        <v>882</v>
      </c>
      <c r="E220" s="59">
        <v>45035.600023148145</v>
      </c>
      <c r="F220" s="191" t="s">
        <v>19</v>
      </c>
      <c r="G220" s="16"/>
      <c r="H220" s="20"/>
      <c r="I220" s="20"/>
      <c r="J220" s="68" t="s">
        <v>736</v>
      </c>
      <c r="K220" s="192">
        <v>45035.600659722222</v>
      </c>
      <c r="L220" s="190" t="s">
        <v>282</v>
      </c>
      <c r="M220" s="190" t="s">
        <v>287</v>
      </c>
      <c r="N220" s="193"/>
      <c r="O220" s="193"/>
      <c r="P220" s="193"/>
      <c r="Q220" s="194"/>
      <c r="R220" s="194"/>
      <c r="S220" s="194"/>
      <c r="T220" s="194"/>
      <c r="U220" s="194"/>
      <c r="V220" s="194"/>
      <c r="W220" s="194"/>
    </row>
    <row r="221" spans="1:23" s="195" customFormat="1" hidden="1">
      <c r="A221" s="189">
        <v>217</v>
      </c>
      <c r="B221" s="37" t="s">
        <v>884</v>
      </c>
      <c r="C221" s="37" t="s">
        <v>460</v>
      </c>
      <c r="D221" s="25" t="s">
        <v>882</v>
      </c>
      <c r="E221" s="59">
        <v>45035.600023148145</v>
      </c>
      <c r="F221" s="191" t="s">
        <v>19</v>
      </c>
      <c r="G221" s="16"/>
      <c r="H221" s="20"/>
      <c r="I221" s="20"/>
      <c r="J221" s="68" t="s">
        <v>736</v>
      </c>
      <c r="K221" s="192">
        <v>45035.600659722222</v>
      </c>
      <c r="L221" s="190" t="s">
        <v>282</v>
      </c>
      <c r="M221" s="190" t="s">
        <v>287</v>
      </c>
      <c r="N221" s="193"/>
      <c r="O221" s="193"/>
      <c r="P221" s="193"/>
      <c r="Q221" s="194"/>
      <c r="R221" s="194"/>
      <c r="S221" s="194"/>
      <c r="T221" s="194"/>
      <c r="U221" s="194"/>
      <c r="V221" s="194"/>
      <c r="W221" s="194"/>
    </row>
    <row r="222" spans="1:23" s="195" customFormat="1" hidden="1">
      <c r="A222" s="189">
        <v>218</v>
      </c>
      <c r="B222" s="37" t="s">
        <v>885</v>
      </c>
      <c r="C222" s="37" t="s">
        <v>460</v>
      </c>
      <c r="D222" s="25" t="s">
        <v>882</v>
      </c>
      <c r="E222" s="59">
        <v>45035.600023148145</v>
      </c>
      <c r="F222" s="191" t="s">
        <v>19</v>
      </c>
      <c r="G222" s="16"/>
      <c r="H222" s="20"/>
      <c r="I222" s="20"/>
      <c r="J222" s="68" t="s">
        <v>736</v>
      </c>
      <c r="K222" s="192">
        <v>45035.600659722222</v>
      </c>
      <c r="L222" s="190" t="s">
        <v>282</v>
      </c>
      <c r="M222" s="190" t="s">
        <v>287</v>
      </c>
      <c r="N222" s="193"/>
      <c r="O222" s="193"/>
      <c r="P222" s="193"/>
      <c r="Q222" s="194"/>
      <c r="R222" s="194"/>
      <c r="S222" s="194"/>
      <c r="T222" s="194"/>
      <c r="U222" s="194"/>
      <c r="V222" s="194"/>
      <c r="W222" s="194"/>
    </row>
    <row r="223" spans="1:23" s="195" customFormat="1" hidden="1">
      <c r="A223" s="189">
        <v>219</v>
      </c>
      <c r="B223" s="37" t="s">
        <v>886</v>
      </c>
      <c r="C223" s="37" t="s">
        <v>460</v>
      </c>
      <c r="D223" s="25" t="s">
        <v>882</v>
      </c>
      <c r="E223" s="59">
        <v>45035.600023148145</v>
      </c>
      <c r="F223" s="191" t="s">
        <v>19</v>
      </c>
      <c r="G223" s="16"/>
      <c r="H223" s="20"/>
      <c r="I223" s="20"/>
      <c r="J223" s="68" t="s">
        <v>736</v>
      </c>
      <c r="K223" s="192">
        <v>45035.600659722222</v>
      </c>
      <c r="L223" s="190" t="s">
        <v>282</v>
      </c>
      <c r="M223" s="190" t="s">
        <v>287</v>
      </c>
      <c r="N223" s="193"/>
      <c r="O223" s="193"/>
      <c r="P223" s="193"/>
      <c r="Q223" s="194"/>
      <c r="R223" s="194"/>
      <c r="S223" s="194"/>
      <c r="T223" s="194"/>
      <c r="U223" s="194"/>
      <c r="V223" s="194"/>
      <c r="W223" s="194"/>
    </row>
    <row r="224" spans="1:23" s="195" customFormat="1" hidden="1">
      <c r="A224" s="189">
        <v>220</v>
      </c>
      <c r="B224" s="37" t="s">
        <v>887</v>
      </c>
      <c r="C224" s="37" t="s">
        <v>460</v>
      </c>
      <c r="D224" s="25" t="s">
        <v>882</v>
      </c>
      <c r="E224" s="59">
        <v>45035.600023148145</v>
      </c>
      <c r="F224" s="191" t="s">
        <v>19</v>
      </c>
      <c r="G224" s="16"/>
      <c r="H224" s="20"/>
      <c r="I224" s="20"/>
      <c r="J224" s="68" t="s">
        <v>736</v>
      </c>
      <c r="K224" s="192">
        <v>45035.600659722222</v>
      </c>
      <c r="L224" s="190" t="s">
        <v>282</v>
      </c>
      <c r="M224" s="190" t="s">
        <v>287</v>
      </c>
      <c r="N224" s="193"/>
      <c r="O224" s="193"/>
      <c r="P224" s="193"/>
      <c r="Q224" s="194"/>
      <c r="R224" s="194"/>
      <c r="S224" s="194"/>
      <c r="T224" s="194"/>
      <c r="U224" s="194"/>
      <c r="V224" s="194"/>
      <c r="W224" s="194"/>
    </row>
    <row r="225" spans="1:23" s="195" customFormat="1" ht="38.25">
      <c r="A225" s="189">
        <v>221</v>
      </c>
      <c r="B225" s="49" t="s">
        <v>888</v>
      </c>
      <c r="C225" s="49" t="s">
        <v>460</v>
      </c>
      <c r="D225" s="226" t="s">
        <v>889</v>
      </c>
      <c r="E225" s="59">
        <v>45035.604270833333</v>
      </c>
      <c r="F225" s="191" t="s">
        <v>19</v>
      </c>
      <c r="G225" s="226" t="s">
        <v>926</v>
      </c>
      <c r="H225" s="227"/>
      <c r="I225" s="189"/>
      <c r="J225" s="60" t="s">
        <v>736</v>
      </c>
      <c r="K225" s="59">
        <v>45035.533055555556</v>
      </c>
      <c r="L225" s="190" t="s">
        <v>219</v>
      </c>
      <c r="M225" s="190" t="s">
        <v>287</v>
      </c>
      <c r="N225" s="193"/>
      <c r="O225" s="193"/>
      <c r="P225" s="193"/>
      <c r="Q225" s="194"/>
      <c r="R225" s="194"/>
      <c r="S225" s="194"/>
      <c r="T225" s="194"/>
      <c r="U225" s="194"/>
      <c r="V225" s="194"/>
      <c r="W225" s="194"/>
    </row>
    <row r="226" spans="1:23" s="195" customFormat="1">
      <c r="A226" s="189">
        <v>222</v>
      </c>
      <c r="B226" s="37" t="s">
        <v>892</v>
      </c>
      <c r="C226" s="37" t="s">
        <v>442</v>
      </c>
      <c r="D226" s="25" t="s">
        <v>922</v>
      </c>
      <c r="E226" s="59">
        <v>45035.611678240741</v>
      </c>
      <c r="F226" s="191" t="s">
        <v>19</v>
      </c>
      <c r="G226" s="16"/>
      <c r="H226" s="20"/>
      <c r="I226" s="20"/>
      <c r="J226" s="68" t="s">
        <v>736</v>
      </c>
      <c r="K226" s="21">
        <v>45035.612002314818</v>
      </c>
      <c r="L226" s="190" t="s">
        <v>282</v>
      </c>
      <c r="M226" s="190" t="s">
        <v>287</v>
      </c>
      <c r="N226" s="193"/>
      <c r="O226" s="193"/>
      <c r="P226" s="193"/>
      <c r="Q226" s="194"/>
      <c r="R226" s="194"/>
      <c r="S226" s="194"/>
      <c r="T226" s="194"/>
      <c r="U226" s="194"/>
      <c r="V226" s="194"/>
      <c r="W226" s="194"/>
    </row>
    <row r="227" spans="1:23" s="195" customFormat="1">
      <c r="A227" s="189">
        <v>223</v>
      </c>
      <c r="B227" s="37" t="s">
        <v>893</v>
      </c>
      <c r="C227" s="37" t="s">
        <v>442</v>
      </c>
      <c r="D227" s="25" t="s">
        <v>922</v>
      </c>
      <c r="E227" s="59">
        <v>45035.611678240741</v>
      </c>
      <c r="F227" s="191" t="s">
        <v>19</v>
      </c>
      <c r="G227" s="16"/>
      <c r="H227" s="20"/>
      <c r="I227" s="20"/>
      <c r="J227" s="68" t="s">
        <v>736</v>
      </c>
      <c r="K227" s="21">
        <v>45035.612002314818</v>
      </c>
      <c r="L227" s="190" t="s">
        <v>282</v>
      </c>
      <c r="M227" s="190" t="s">
        <v>287</v>
      </c>
      <c r="N227" s="193"/>
      <c r="O227" s="193"/>
      <c r="P227" s="193"/>
      <c r="Q227" s="194"/>
      <c r="R227" s="194"/>
      <c r="S227" s="194"/>
      <c r="T227" s="194"/>
      <c r="U227" s="194"/>
      <c r="V227" s="194"/>
      <c r="W227" s="194"/>
    </row>
    <row r="228" spans="1:23" s="195" customFormat="1">
      <c r="A228" s="189">
        <v>224</v>
      </c>
      <c r="B228" s="37" t="s">
        <v>894</v>
      </c>
      <c r="C228" s="37" t="s">
        <v>442</v>
      </c>
      <c r="D228" s="25" t="s">
        <v>922</v>
      </c>
      <c r="E228" s="59">
        <v>45035.611678240741</v>
      </c>
      <c r="F228" s="191" t="s">
        <v>19</v>
      </c>
      <c r="G228" s="16"/>
      <c r="H228" s="20"/>
      <c r="I228" s="20"/>
      <c r="J228" s="68" t="s">
        <v>736</v>
      </c>
      <c r="K228" s="21">
        <v>45035.612002314818</v>
      </c>
      <c r="L228" s="190" t="s">
        <v>282</v>
      </c>
      <c r="M228" s="190" t="s">
        <v>287</v>
      </c>
      <c r="N228" s="193"/>
      <c r="O228" s="193"/>
      <c r="P228" s="193"/>
      <c r="Q228" s="194"/>
      <c r="R228" s="194"/>
      <c r="S228" s="194"/>
      <c r="T228" s="194"/>
      <c r="U228" s="194"/>
      <c r="V228" s="194"/>
      <c r="W228" s="194"/>
    </row>
    <row r="229" spans="1:23" s="195" customFormat="1">
      <c r="A229" s="189">
        <v>225</v>
      </c>
      <c r="B229" s="37" t="s">
        <v>895</v>
      </c>
      <c r="C229" s="37" t="s">
        <v>442</v>
      </c>
      <c r="D229" s="25" t="s">
        <v>922</v>
      </c>
      <c r="E229" s="59">
        <v>45035.611678240741</v>
      </c>
      <c r="F229" s="191" t="s">
        <v>19</v>
      </c>
      <c r="G229" s="16"/>
      <c r="H229" s="20"/>
      <c r="I229" s="20"/>
      <c r="J229" s="68" t="s">
        <v>736</v>
      </c>
      <c r="K229" s="21">
        <v>45035.612002314818</v>
      </c>
      <c r="L229" s="190" t="s">
        <v>282</v>
      </c>
      <c r="M229" s="190" t="s">
        <v>287</v>
      </c>
      <c r="N229" s="193"/>
      <c r="O229" s="193"/>
      <c r="P229" s="193"/>
      <c r="Q229" s="194"/>
      <c r="R229" s="194"/>
      <c r="S229" s="194"/>
      <c r="T229" s="194"/>
      <c r="U229" s="194"/>
      <c r="V229" s="194"/>
      <c r="W229" s="194"/>
    </row>
    <row r="230" spans="1:23" s="195" customFormat="1">
      <c r="A230" s="189">
        <v>226</v>
      </c>
      <c r="B230" s="37" t="s">
        <v>896</v>
      </c>
      <c r="C230" s="37" t="s">
        <v>442</v>
      </c>
      <c r="D230" s="25" t="s">
        <v>922</v>
      </c>
      <c r="E230" s="59">
        <v>45035.611678240741</v>
      </c>
      <c r="F230" s="191" t="s">
        <v>19</v>
      </c>
      <c r="G230" s="16"/>
      <c r="H230" s="20"/>
      <c r="I230" s="20"/>
      <c r="J230" s="68" t="s">
        <v>736</v>
      </c>
      <c r="K230" s="21">
        <v>45035.612002314818</v>
      </c>
      <c r="L230" s="190" t="s">
        <v>282</v>
      </c>
      <c r="M230" s="190" t="s">
        <v>287</v>
      </c>
      <c r="N230" s="193"/>
      <c r="O230" s="193"/>
      <c r="P230" s="193"/>
      <c r="Q230" s="194"/>
      <c r="R230" s="194"/>
      <c r="S230" s="194"/>
      <c r="T230" s="194"/>
      <c r="U230" s="194"/>
      <c r="V230" s="194"/>
      <c r="W230" s="194"/>
    </row>
    <row r="231" spans="1:23" s="195" customFormat="1">
      <c r="A231" s="189">
        <v>227</v>
      </c>
      <c r="B231" s="37" t="s">
        <v>897</v>
      </c>
      <c r="C231" s="37" t="s">
        <v>442</v>
      </c>
      <c r="D231" s="25" t="s">
        <v>922</v>
      </c>
      <c r="E231" s="59">
        <v>45035.611678240741</v>
      </c>
      <c r="F231" s="191" t="s">
        <v>19</v>
      </c>
      <c r="G231" s="16"/>
      <c r="H231" s="20"/>
      <c r="I231" s="20"/>
      <c r="J231" s="68" t="s">
        <v>736</v>
      </c>
      <c r="K231" s="21">
        <v>45035.612002314818</v>
      </c>
      <c r="L231" s="190" t="s">
        <v>282</v>
      </c>
      <c r="M231" s="190" t="s">
        <v>287</v>
      </c>
      <c r="N231" s="193"/>
      <c r="O231" s="193"/>
      <c r="P231" s="193"/>
      <c r="Q231" s="194"/>
      <c r="R231" s="194"/>
      <c r="S231" s="194"/>
      <c r="T231" s="194"/>
      <c r="U231" s="194"/>
      <c r="V231" s="194"/>
      <c r="W231" s="194"/>
    </row>
    <row r="232" spans="1:23" s="195" customFormat="1">
      <c r="A232" s="189">
        <v>228</v>
      </c>
      <c r="B232" s="37" t="s">
        <v>898</v>
      </c>
      <c r="C232" s="37" t="s">
        <v>442</v>
      </c>
      <c r="D232" s="25" t="s">
        <v>922</v>
      </c>
      <c r="E232" s="59">
        <v>45035.611678240741</v>
      </c>
      <c r="F232" s="191" t="s">
        <v>19</v>
      </c>
      <c r="G232" s="16"/>
      <c r="H232" s="20"/>
      <c r="I232" s="20"/>
      <c r="J232" s="68" t="s">
        <v>736</v>
      </c>
      <c r="K232" s="21">
        <v>45035.612002314818</v>
      </c>
      <c r="L232" s="190" t="s">
        <v>282</v>
      </c>
      <c r="M232" s="190" t="s">
        <v>287</v>
      </c>
      <c r="N232" s="193"/>
      <c r="O232" s="193"/>
      <c r="P232" s="193"/>
      <c r="Q232" s="194"/>
      <c r="R232" s="194"/>
      <c r="S232" s="194"/>
      <c r="T232" s="194"/>
      <c r="U232" s="194"/>
      <c r="V232" s="194"/>
      <c r="W232" s="194"/>
    </row>
    <row r="233" spans="1:23" s="195" customFormat="1">
      <c r="A233" s="189">
        <v>229</v>
      </c>
      <c r="B233" s="37" t="s">
        <v>891</v>
      </c>
      <c r="C233" s="37" t="s">
        <v>442</v>
      </c>
      <c r="D233" s="25" t="s">
        <v>922</v>
      </c>
      <c r="E233" s="59">
        <v>45035.611678240741</v>
      </c>
      <c r="F233" s="191" t="s">
        <v>19</v>
      </c>
      <c r="G233" s="16"/>
      <c r="H233" s="20"/>
      <c r="I233" s="20"/>
      <c r="J233" s="68" t="s">
        <v>736</v>
      </c>
      <c r="K233" s="21">
        <v>45035.612002314818</v>
      </c>
      <c r="L233" s="190" t="s">
        <v>282</v>
      </c>
      <c r="M233" s="190" t="s">
        <v>287</v>
      </c>
      <c r="N233" s="193"/>
      <c r="O233" s="193"/>
      <c r="P233" s="193"/>
      <c r="Q233" s="194"/>
      <c r="R233" s="194"/>
      <c r="S233" s="194"/>
      <c r="T233" s="194"/>
      <c r="U233" s="194"/>
      <c r="V233" s="194"/>
      <c r="W233" s="194"/>
    </row>
    <row r="234" spans="1:23" s="195" customFormat="1" ht="25.5">
      <c r="A234" s="189">
        <v>230</v>
      </c>
      <c r="B234" s="49" t="s">
        <v>891</v>
      </c>
      <c r="C234" s="49" t="s">
        <v>442</v>
      </c>
      <c r="D234" s="226" t="s">
        <v>899</v>
      </c>
      <c r="E234" s="59">
        <v>45035.615185185183</v>
      </c>
      <c r="F234" s="191" t="s">
        <v>19</v>
      </c>
      <c r="G234" s="226" t="s">
        <v>923</v>
      </c>
      <c r="H234" s="227"/>
      <c r="I234" s="189"/>
      <c r="J234" s="60" t="s">
        <v>736</v>
      </c>
      <c r="K234" s="59">
        <v>45035.612002314818</v>
      </c>
      <c r="L234" s="190" t="s">
        <v>219</v>
      </c>
      <c r="M234" s="190" t="s">
        <v>287</v>
      </c>
      <c r="N234" s="193"/>
      <c r="O234" s="193"/>
      <c r="P234" s="193"/>
      <c r="Q234" s="194"/>
      <c r="R234" s="194"/>
      <c r="S234" s="194"/>
      <c r="T234" s="194"/>
      <c r="U234" s="194"/>
      <c r="V234" s="194"/>
      <c r="W234" s="194"/>
    </row>
    <row r="235" spans="1:23" s="195" customFormat="1" ht="25.5">
      <c r="A235" s="189">
        <v>231</v>
      </c>
      <c r="B235" s="49" t="s">
        <v>891</v>
      </c>
      <c r="C235" s="49" t="s">
        <v>442</v>
      </c>
      <c r="D235" s="226" t="s">
        <v>900</v>
      </c>
      <c r="E235" s="59">
        <v>45035.616226851853</v>
      </c>
      <c r="F235" s="191" t="s">
        <v>19</v>
      </c>
      <c r="G235" s="226" t="s">
        <v>927</v>
      </c>
      <c r="H235" s="227"/>
      <c r="I235" s="189"/>
      <c r="J235" s="60" t="s">
        <v>736</v>
      </c>
      <c r="K235" s="59">
        <v>45035.612002314818</v>
      </c>
      <c r="L235" s="190" t="s">
        <v>219</v>
      </c>
      <c r="M235" s="190" t="s">
        <v>287</v>
      </c>
      <c r="N235" s="193"/>
      <c r="O235" s="193"/>
      <c r="P235" s="193"/>
      <c r="Q235" s="194"/>
      <c r="R235" s="194"/>
      <c r="S235" s="194"/>
      <c r="T235" s="194"/>
      <c r="U235" s="194"/>
      <c r="V235" s="194"/>
      <c r="W235" s="194"/>
    </row>
    <row r="236" spans="1:23" s="195" customFormat="1" ht="38.25">
      <c r="A236" s="189">
        <v>232</v>
      </c>
      <c r="B236" s="49" t="s">
        <v>891</v>
      </c>
      <c r="C236" s="49" t="s">
        <v>442</v>
      </c>
      <c r="D236" s="226" t="s">
        <v>901</v>
      </c>
      <c r="E236" s="59">
        <v>45035.620879629627</v>
      </c>
      <c r="F236" s="191" t="s">
        <v>19</v>
      </c>
      <c r="G236" s="226" t="s">
        <v>928</v>
      </c>
      <c r="H236" s="227"/>
      <c r="I236" s="189"/>
      <c r="J236" s="60" t="s">
        <v>736</v>
      </c>
      <c r="K236" s="59">
        <v>45035.612002314818</v>
      </c>
      <c r="L236" s="190" t="s">
        <v>219</v>
      </c>
      <c r="M236" s="190" t="s">
        <v>287</v>
      </c>
      <c r="N236" s="193"/>
      <c r="O236" s="193"/>
      <c r="P236" s="193"/>
      <c r="Q236" s="194"/>
      <c r="R236" s="194"/>
      <c r="S236" s="194"/>
      <c r="T236" s="194"/>
      <c r="U236" s="194"/>
      <c r="V236" s="194"/>
      <c r="W236" s="194"/>
    </row>
    <row r="237" spans="1:23" s="195" customFormat="1" ht="38.25">
      <c r="A237" s="189">
        <v>233</v>
      </c>
      <c r="B237" s="49" t="s">
        <v>891</v>
      </c>
      <c r="C237" s="49" t="s">
        <v>442</v>
      </c>
      <c r="D237" s="226" t="s">
        <v>902</v>
      </c>
      <c r="E237" s="59">
        <v>45035.621493055558</v>
      </c>
      <c r="F237" s="191" t="s">
        <v>19</v>
      </c>
      <c r="G237" s="226" t="s">
        <v>929</v>
      </c>
      <c r="H237" s="227"/>
      <c r="I237" s="189"/>
      <c r="J237" s="60" t="s">
        <v>736</v>
      </c>
      <c r="K237" s="59">
        <v>45035.612002314818</v>
      </c>
      <c r="L237" s="190" t="s">
        <v>219</v>
      </c>
      <c r="M237" s="190" t="s">
        <v>287</v>
      </c>
      <c r="N237" s="193"/>
      <c r="O237" s="193"/>
      <c r="P237" s="193"/>
      <c r="Q237" s="194"/>
      <c r="R237" s="194"/>
      <c r="S237" s="194"/>
      <c r="T237" s="194"/>
      <c r="U237" s="194"/>
      <c r="V237" s="194"/>
      <c r="W237" s="194"/>
    </row>
    <row r="238" spans="1:23" s="195" customFormat="1" ht="25.5">
      <c r="A238" s="189">
        <v>234</v>
      </c>
      <c r="B238" s="49" t="s">
        <v>891</v>
      </c>
      <c r="C238" s="49" t="s">
        <v>442</v>
      </c>
      <c r="D238" s="226" t="s">
        <v>903</v>
      </c>
      <c r="E238" s="59">
        <v>45035.621898148151</v>
      </c>
      <c r="F238" s="191" t="s">
        <v>19</v>
      </c>
      <c r="G238" s="226" t="s">
        <v>930</v>
      </c>
      <c r="H238" s="227"/>
      <c r="I238" s="189"/>
      <c r="J238" s="60" t="s">
        <v>736</v>
      </c>
      <c r="K238" s="59">
        <v>45035.612002314818</v>
      </c>
      <c r="L238" s="190" t="s">
        <v>219</v>
      </c>
      <c r="M238" s="190" t="s">
        <v>287</v>
      </c>
      <c r="N238" s="193"/>
      <c r="O238" s="193"/>
      <c r="P238" s="193"/>
      <c r="Q238" s="194"/>
      <c r="R238" s="194"/>
      <c r="S238" s="194"/>
      <c r="T238" s="194"/>
      <c r="U238" s="194"/>
      <c r="V238" s="194"/>
      <c r="W238" s="194"/>
    </row>
    <row r="239" spans="1:23" s="195" customFormat="1" ht="25.5">
      <c r="A239" s="189">
        <v>235</v>
      </c>
      <c r="B239" s="49" t="s">
        <v>891</v>
      </c>
      <c r="C239" s="49" t="s">
        <v>442</v>
      </c>
      <c r="D239" s="226" t="s">
        <v>425</v>
      </c>
      <c r="E239" s="59">
        <v>45035.623124999998</v>
      </c>
      <c r="F239" s="191" t="s">
        <v>19</v>
      </c>
      <c r="G239" s="226" t="s">
        <v>931</v>
      </c>
      <c r="H239" s="227"/>
      <c r="I239" s="189"/>
      <c r="J239" s="60" t="s">
        <v>736</v>
      </c>
      <c r="K239" s="59">
        <v>45035.612002314818</v>
      </c>
      <c r="L239" s="190" t="s">
        <v>219</v>
      </c>
      <c r="M239" s="190" t="s">
        <v>287</v>
      </c>
      <c r="N239" s="193"/>
      <c r="O239" s="193"/>
      <c r="P239" s="193"/>
      <c r="Q239" s="194"/>
      <c r="R239" s="194"/>
      <c r="S239" s="194"/>
      <c r="T239" s="194"/>
      <c r="U239" s="194"/>
      <c r="V239" s="194"/>
      <c r="W239" s="194"/>
    </row>
    <row r="240" spans="1:23" s="195" customFormat="1" ht="38.25">
      <c r="A240" s="189">
        <v>236</v>
      </c>
      <c r="B240" s="49" t="s">
        <v>891</v>
      </c>
      <c r="C240" s="49" t="s">
        <v>442</v>
      </c>
      <c r="D240" s="226" t="s">
        <v>904</v>
      </c>
      <c r="E240" s="59">
        <v>45035.634583333333</v>
      </c>
      <c r="F240" s="191" t="s">
        <v>19</v>
      </c>
      <c r="G240" s="226" t="s">
        <v>933</v>
      </c>
      <c r="H240" s="227"/>
      <c r="I240" s="189"/>
      <c r="J240" s="60" t="s">
        <v>736</v>
      </c>
      <c r="K240" s="59">
        <v>45035.612002314818</v>
      </c>
      <c r="L240" s="190" t="s">
        <v>219</v>
      </c>
      <c r="M240" s="190" t="s">
        <v>287</v>
      </c>
      <c r="N240" s="193"/>
      <c r="O240" s="193"/>
      <c r="P240" s="193"/>
      <c r="Q240" s="194"/>
      <c r="R240" s="194"/>
      <c r="S240" s="194"/>
      <c r="T240" s="194"/>
      <c r="U240" s="194"/>
      <c r="V240" s="194"/>
      <c r="W240" s="194"/>
    </row>
    <row r="241" spans="1:23" s="195" customFormat="1" ht="63.75">
      <c r="A241" s="189">
        <v>237</v>
      </c>
      <c r="B241" s="49" t="s">
        <v>891</v>
      </c>
      <c r="C241" s="49" t="s">
        <v>442</v>
      </c>
      <c r="D241" s="226" t="s">
        <v>905</v>
      </c>
      <c r="E241" s="59">
        <v>45035.64167824074</v>
      </c>
      <c r="F241" s="191" t="s">
        <v>19</v>
      </c>
      <c r="G241" s="226" t="s">
        <v>932</v>
      </c>
      <c r="H241" s="227"/>
      <c r="I241" s="189"/>
      <c r="J241" s="60" t="s">
        <v>736</v>
      </c>
      <c r="K241" s="59">
        <v>45035.612002314818</v>
      </c>
      <c r="L241" s="190" t="s">
        <v>219</v>
      </c>
      <c r="M241" s="190" t="s">
        <v>287</v>
      </c>
      <c r="N241" s="193"/>
      <c r="O241" s="193"/>
      <c r="P241" s="193"/>
      <c r="Q241" s="194"/>
      <c r="R241" s="194"/>
      <c r="S241" s="194"/>
      <c r="T241" s="194"/>
      <c r="U241" s="194"/>
      <c r="V241" s="194"/>
      <c r="W241" s="194"/>
    </row>
    <row r="242" spans="1:23" s="195" customFormat="1">
      <c r="A242" s="189">
        <v>238</v>
      </c>
      <c r="B242" s="37" t="s">
        <v>907</v>
      </c>
      <c r="C242" s="37" t="s">
        <v>337</v>
      </c>
      <c r="D242" s="25" t="s">
        <v>906</v>
      </c>
      <c r="E242" s="59">
        <v>45035.655381944445</v>
      </c>
      <c r="F242" s="191" t="s">
        <v>19</v>
      </c>
      <c r="G242" s="16"/>
      <c r="H242" s="20"/>
      <c r="I242" s="20"/>
      <c r="J242" s="68" t="s">
        <v>736</v>
      </c>
      <c r="K242" s="21">
        <v>45035.655844907407</v>
      </c>
      <c r="L242" s="190" t="s">
        <v>282</v>
      </c>
      <c r="M242" s="190" t="s">
        <v>287</v>
      </c>
      <c r="N242" s="193"/>
      <c r="O242" s="193"/>
      <c r="P242" s="193"/>
      <c r="Q242" s="194"/>
      <c r="R242" s="194"/>
      <c r="S242" s="194"/>
      <c r="T242" s="194"/>
      <c r="U242" s="194"/>
      <c r="V242" s="194"/>
      <c r="W242" s="194"/>
    </row>
    <row r="243" spans="1:23" s="195" customFormat="1">
      <c r="A243" s="189">
        <v>239</v>
      </c>
      <c r="B243" s="37" t="s">
        <v>908</v>
      </c>
      <c r="C243" s="37" t="s">
        <v>337</v>
      </c>
      <c r="D243" s="25" t="s">
        <v>906</v>
      </c>
      <c r="E243" s="59">
        <v>45035.655381944445</v>
      </c>
      <c r="F243" s="191" t="s">
        <v>19</v>
      </c>
      <c r="G243" s="16"/>
      <c r="H243" s="20"/>
      <c r="I243" s="20"/>
      <c r="J243" s="68" t="s">
        <v>736</v>
      </c>
      <c r="K243" s="21">
        <v>45035.655844907407</v>
      </c>
      <c r="L243" s="190" t="s">
        <v>282</v>
      </c>
      <c r="M243" s="190" t="s">
        <v>287</v>
      </c>
      <c r="N243" s="193"/>
      <c r="O243" s="193"/>
      <c r="P243" s="193"/>
      <c r="Q243" s="194"/>
      <c r="R243" s="194"/>
      <c r="S243" s="194"/>
      <c r="T243" s="194"/>
      <c r="U243" s="194"/>
      <c r="V243" s="194"/>
      <c r="W243" s="194"/>
    </row>
    <row r="244" spans="1:23" s="195" customFormat="1">
      <c r="A244" s="189">
        <v>240</v>
      </c>
      <c r="B244" s="37" t="s">
        <v>909</v>
      </c>
      <c r="C244" s="37" t="s">
        <v>337</v>
      </c>
      <c r="D244" s="25" t="s">
        <v>538</v>
      </c>
      <c r="E244" s="59">
        <v>45035.658460648148</v>
      </c>
      <c r="F244" s="191" t="s">
        <v>19</v>
      </c>
      <c r="G244" s="16"/>
      <c r="H244" s="20"/>
      <c r="I244" s="20"/>
      <c r="J244" s="68" t="s">
        <v>736</v>
      </c>
      <c r="K244" s="21">
        <v>45035.658622685187</v>
      </c>
      <c r="L244" s="190" t="s">
        <v>282</v>
      </c>
      <c r="M244" s="190" t="s">
        <v>287</v>
      </c>
      <c r="N244" s="193"/>
      <c r="O244" s="193"/>
      <c r="P244" s="193"/>
      <c r="Q244" s="194"/>
      <c r="R244" s="194"/>
      <c r="S244" s="194"/>
      <c r="T244" s="194"/>
      <c r="U244" s="194"/>
      <c r="V244" s="194"/>
      <c r="W244" s="194"/>
    </row>
    <row r="245" spans="1:23" s="195" customFormat="1" ht="38.25">
      <c r="A245" s="189">
        <v>241</v>
      </c>
      <c r="B245" s="49" t="s">
        <v>911</v>
      </c>
      <c r="C245" s="49" t="s">
        <v>383</v>
      </c>
      <c r="D245" s="226" t="s">
        <v>902</v>
      </c>
      <c r="E245" s="59">
        <v>45035.66133101852</v>
      </c>
      <c r="F245" s="191" t="s">
        <v>19</v>
      </c>
      <c r="G245" s="199" t="s">
        <v>929</v>
      </c>
      <c r="H245" s="61"/>
      <c r="I245" s="61"/>
      <c r="J245" s="60" t="s">
        <v>736</v>
      </c>
      <c r="K245" s="59">
        <v>45035.658622685187</v>
      </c>
      <c r="L245" s="190" t="s">
        <v>219</v>
      </c>
      <c r="M245" s="190" t="s">
        <v>287</v>
      </c>
      <c r="N245" s="193"/>
      <c r="O245" s="193"/>
      <c r="P245" s="193"/>
      <c r="Q245" s="194"/>
      <c r="R245" s="194"/>
      <c r="S245" s="194"/>
      <c r="T245" s="194"/>
      <c r="U245" s="194"/>
      <c r="V245" s="194"/>
      <c r="W245" s="194"/>
    </row>
    <row r="246" spans="1:23" s="195" customFormat="1" ht="25.5">
      <c r="A246" s="189">
        <v>242</v>
      </c>
      <c r="B246" s="49" t="s">
        <v>911</v>
      </c>
      <c r="C246" s="49" t="s">
        <v>383</v>
      </c>
      <c r="D246" s="226" t="s">
        <v>903</v>
      </c>
      <c r="E246" s="59">
        <v>45035.66134259259</v>
      </c>
      <c r="F246" s="191" t="s">
        <v>19</v>
      </c>
      <c r="G246" s="199" t="s">
        <v>930</v>
      </c>
      <c r="H246" s="61"/>
      <c r="I246" s="61"/>
      <c r="J246" s="60" t="s">
        <v>736</v>
      </c>
      <c r="K246" s="59">
        <v>45035.658622685187</v>
      </c>
      <c r="L246" s="190" t="s">
        <v>219</v>
      </c>
      <c r="M246" s="190" t="s">
        <v>287</v>
      </c>
      <c r="N246" s="193"/>
      <c r="O246" s="193"/>
      <c r="P246" s="193"/>
      <c r="Q246" s="194"/>
      <c r="R246" s="194"/>
      <c r="S246" s="194"/>
      <c r="T246" s="194"/>
      <c r="U246" s="194"/>
      <c r="V246" s="194"/>
      <c r="W246" s="194"/>
    </row>
    <row r="247" spans="1:23" s="195" customFormat="1" ht="38.25">
      <c r="A247" s="189">
        <v>243</v>
      </c>
      <c r="B247" s="197" t="s">
        <v>913</v>
      </c>
      <c r="C247" s="49" t="s">
        <v>375</v>
      </c>
      <c r="D247" s="226" t="s">
        <v>914</v>
      </c>
      <c r="E247" s="59">
        <v>45035.666041666664</v>
      </c>
      <c r="F247" s="191" t="s">
        <v>19</v>
      </c>
      <c r="G247" s="198" t="s">
        <v>937</v>
      </c>
      <c r="H247" s="61"/>
      <c r="I247" s="61"/>
      <c r="J247" s="60" t="s">
        <v>736</v>
      </c>
      <c r="K247" s="59">
        <v>45035.658622685187</v>
      </c>
      <c r="L247" s="190" t="s">
        <v>219</v>
      </c>
      <c r="M247" s="190" t="s">
        <v>287</v>
      </c>
      <c r="N247" s="193"/>
      <c r="O247" s="193"/>
      <c r="P247" s="193"/>
      <c r="Q247" s="194"/>
      <c r="R247" s="194"/>
      <c r="S247" s="194"/>
      <c r="T247" s="194"/>
      <c r="U247" s="194"/>
      <c r="V247" s="194"/>
      <c r="W247" s="194"/>
    </row>
    <row r="248" spans="1:23" s="195" customFormat="1">
      <c r="A248" s="189">
        <v>244</v>
      </c>
      <c r="B248" s="49" t="s">
        <v>821</v>
      </c>
      <c r="C248" s="49" t="s">
        <v>311</v>
      </c>
      <c r="D248" s="198" t="s">
        <v>916</v>
      </c>
      <c r="E248" s="59">
        <v>45035.669016203705</v>
      </c>
      <c r="F248" s="191" t="s">
        <v>19</v>
      </c>
      <c r="G248" s="199"/>
      <c r="H248" s="61"/>
      <c r="I248" s="61"/>
      <c r="J248" s="60" t="s">
        <v>736</v>
      </c>
      <c r="K248" s="59">
        <v>45035.669224537036</v>
      </c>
      <c r="L248" s="190" t="s">
        <v>282</v>
      </c>
      <c r="M248" s="190" t="s">
        <v>287</v>
      </c>
      <c r="N248" s="193"/>
      <c r="O248" s="193"/>
      <c r="P248" s="193"/>
      <c r="Q248" s="194"/>
      <c r="R248" s="194"/>
      <c r="S248" s="194"/>
      <c r="T248" s="194"/>
      <c r="U248" s="194"/>
      <c r="V248" s="194"/>
      <c r="W248" s="194"/>
    </row>
    <row r="249" spans="1:23" s="195" customFormat="1" ht="38.25">
      <c r="A249" s="189">
        <v>245</v>
      </c>
      <c r="B249" s="49" t="s">
        <v>837</v>
      </c>
      <c r="C249" s="49" t="s">
        <v>311</v>
      </c>
      <c r="D249" s="226" t="s">
        <v>917</v>
      </c>
      <c r="E249" s="59">
        <v>45035.670416666668</v>
      </c>
      <c r="F249" s="191" t="s">
        <v>19</v>
      </c>
      <c r="G249" s="199" t="s">
        <v>936</v>
      </c>
      <c r="H249" s="61"/>
      <c r="I249" s="61"/>
      <c r="J249" s="60" t="s">
        <v>736</v>
      </c>
      <c r="K249" s="59">
        <v>45035.669224537036</v>
      </c>
      <c r="L249" s="190" t="s">
        <v>219</v>
      </c>
      <c r="M249" s="190" t="s">
        <v>287</v>
      </c>
      <c r="N249" s="193"/>
      <c r="O249" s="193"/>
      <c r="P249" s="193"/>
      <c r="Q249" s="194"/>
      <c r="R249" s="194"/>
      <c r="S249" s="194"/>
      <c r="T249" s="194"/>
      <c r="U249" s="194"/>
      <c r="V249" s="194"/>
      <c r="W249" s="194"/>
    </row>
    <row r="250" spans="1:23" s="195" customFormat="1" ht="38.25">
      <c r="A250" s="189">
        <v>246</v>
      </c>
      <c r="B250" s="49" t="s">
        <v>837</v>
      </c>
      <c r="C250" s="49" t="s">
        <v>311</v>
      </c>
      <c r="D250" s="226" t="s">
        <v>918</v>
      </c>
      <c r="E250" s="59">
        <v>45035.671793981484</v>
      </c>
      <c r="F250" s="191" t="s">
        <v>19</v>
      </c>
      <c r="G250" s="199" t="s">
        <v>934</v>
      </c>
      <c r="H250" s="61"/>
      <c r="I250" s="61"/>
      <c r="J250" s="60" t="s">
        <v>736</v>
      </c>
      <c r="K250" s="59">
        <v>45035.669224537036</v>
      </c>
      <c r="L250" s="190" t="s">
        <v>219</v>
      </c>
      <c r="M250" s="190" t="s">
        <v>287</v>
      </c>
      <c r="N250" s="193"/>
      <c r="O250" s="193"/>
      <c r="P250" s="193"/>
      <c r="Q250" s="194"/>
      <c r="R250" s="194"/>
      <c r="S250" s="194"/>
      <c r="T250" s="194"/>
      <c r="U250" s="194"/>
      <c r="V250" s="194"/>
      <c r="W250" s="194"/>
    </row>
    <row r="251" spans="1:23" s="195" customFormat="1" ht="38.25">
      <c r="A251" s="189">
        <v>247</v>
      </c>
      <c r="B251" s="49" t="s">
        <v>837</v>
      </c>
      <c r="C251" s="49" t="s">
        <v>311</v>
      </c>
      <c r="D251" s="226" t="s">
        <v>919</v>
      </c>
      <c r="E251" s="59">
        <v>45035.672118055554</v>
      </c>
      <c r="F251" s="191" t="s">
        <v>19</v>
      </c>
      <c r="G251" s="199" t="s">
        <v>935</v>
      </c>
      <c r="H251" s="61"/>
      <c r="I251" s="61"/>
      <c r="J251" s="60" t="s">
        <v>736</v>
      </c>
      <c r="K251" s="59">
        <v>45035.669224537036</v>
      </c>
      <c r="L251" s="190" t="s">
        <v>219</v>
      </c>
      <c r="M251" s="190" t="s">
        <v>287</v>
      </c>
      <c r="N251" s="193"/>
      <c r="O251" s="193"/>
      <c r="P251" s="193"/>
      <c r="Q251" s="194"/>
      <c r="R251" s="194"/>
      <c r="S251" s="194"/>
      <c r="T251" s="194"/>
      <c r="U251" s="194"/>
      <c r="V251" s="194"/>
      <c r="W251" s="194"/>
    </row>
    <row r="252" spans="1:23" s="195" customFormat="1" ht="25.5">
      <c r="A252" s="189">
        <v>248</v>
      </c>
      <c r="B252" s="37" t="s">
        <v>939</v>
      </c>
      <c r="C252" s="37" t="s">
        <v>311</v>
      </c>
      <c r="D252" s="226" t="s">
        <v>940</v>
      </c>
      <c r="E252" s="59">
        <v>45099.372546296298</v>
      </c>
      <c r="F252" s="191" t="s">
        <v>237</v>
      </c>
      <c r="G252" s="199"/>
      <c r="H252" s="61"/>
      <c r="I252" s="61"/>
      <c r="J252" s="60" t="s">
        <v>736</v>
      </c>
      <c r="K252" s="59">
        <v>45099.372604166667</v>
      </c>
      <c r="L252" s="190" t="s">
        <v>282</v>
      </c>
      <c r="M252" s="190" t="s">
        <v>287</v>
      </c>
      <c r="N252" s="193"/>
      <c r="O252" s="193"/>
      <c r="P252" s="193"/>
      <c r="Q252" s="194"/>
      <c r="R252" s="194"/>
      <c r="S252" s="194"/>
      <c r="T252" s="194"/>
      <c r="U252" s="194"/>
      <c r="V252" s="194"/>
      <c r="W252" s="194"/>
    </row>
    <row r="253" spans="1:23" s="195" customFormat="1" ht="25.5">
      <c r="A253" s="189">
        <v>249</v>
      </c>
      <c r="B253" s="49" t="s">
        <v>939</v>
      </c>
      <c r="C253" s="49" t="s">
        <v>311</v>
      </c>
      <c r="D253" s="226" t="s">
        <v>941</v>
      </c>
      <c r="E253" s="59">
        <v>45099.373668981483</v>
      </c>
      <c r="F253" s="191" t="s">
        <v>237</v>
      </c>
      <c r="G253" s="226" t="s">
        <v>969</v>
      </c>
      <c r="H253" s="227"/>
      <c r="I253" s="189"/>
      <c r="J253" s="60" t="s">
        <v>736</v>
      </c>
      <c r="K253" s="59">
        <v>45099.372604166667</v>
      </c>
      <c r="L253" s="190" t="s">
        <v>219</v>
      </c>
      <c r="M253" s="190" t="s">
        <v>287</v>
      </c>
      <c r="N253" s="193"/>
      <c r="O253" s="193"/>
      <c r="P253" s="193"/>
      <c r="Q253" s="194"/>
      <c r="R253" s="194"/>
      <c r="S253" s="194"/>
      <c r="T253" s="194"/>
      <c r="U253" s="194"/>
      <c r="V253" s="194"/>
      <c r="W253" s="194"/>
    </row>
    <row r="254" spans="1:23" s="195" customFormat="1" ht="25.5">
      <c r="A254" s="189">
        <v>250</v>
      </c>
      <c r="B254" s="37" t="s">
        <v>942</v>
      </c>
      <c r="C254" s="37" t="s">
        <v>409</v>
      </c>
      <c r="D254" s="226" t="s">
        <v>943</v>
      </c>
      <c r="E254" s="59">
        <v>45099.374780092592</v>
      </c>
      <c r="F254" s="191" t="s">
        <v>237</v>
      </c>
      <c r="G254" s="199"/>
      <c r="H254" s="61"/>
      <c r="I254" s="61"/>
      <c r="J254" s="60" t="s">
        <v>736</v>
      </c>
      <c r="K254" s="59">
        <v>45099.37537037037</v>
      </c>
      <c r="L254" s="190" t="s">
        <v>282</v>
      </c>
      <c r="M254" s="190" t="s">
        <v>287</v>
      </c>
      <c r="N254" s="193"/>
      <c r="O254" s="193"/>
      <c r="P254" s="193"/>
      <c r="Q254" s="194"/>
      <c r="R254" s="194"/>
      <c r="S254" s="194"/>
      <c r="T254" s="194"/>
      <c r="U254" s="194"/>
      <c r="V254" s="194"/>
      <c r="W254" s="194"/>
    </row>
    <row r="255" spans="1:23" s="195" customFormat="1" ht="63.75">
      <c r="A255" s="189">
        <v>251</v>
      </c>
      <c r="B255" s="49" t="s">
        <v>942</v>
      </c>
      <c r="C255" s="49" t="s">
        <v>409</v>
      </c>
      <c r="D255" s="226" t="s">
        <v>944</v>
      </c>
      <c r="E255" s="59">
        <v>45099.37972222222</v>
      </c>
      <c r="F255" s="191" t="s">
        <v>237</v>
      </c>
      <c r="G255" s="226" t="s">
        <v>970</v>
      </c>
      <c r="H255" s="227"/>
      <c r="I255" s="189"/>
      <c r="J255" s="60" t="s">
        <v>736</v>
      </c>
      <c r="K255" s="59">
        <v>45099.37537037037</v>
      </c>
      <c r="L255" s="190" t="s">
        <v>219</v>
      </c>
      <c r="M255" s="190" t="s">
        <v>287</v>
      </c>
      <c r="N255" s="193"/>
      <c r="O255" s="193"/>
      <c r="P255" s="193"/>
      <c r="Q255" s="194"/>
      <c r="R255" s="194"/>
      <c r="S255" s="194"/>
      <c r="T255" s="194"/>
      <c r="U255" s="194"/>
      <c r="V255" s="194"/>
      <c r="W255" s="194"/>
    </row>
    <row r="256" spans="1:23" s="195" customFormat="1" ht="25.5">
      <c r="A256" s="189">
        <v>252</v>
      </c>
      <c r="B256" s="49" t="s">
        <v>942</v>
      </c>
      <c r="C256" s="49" t="s">
        <v>409</v>
      </c>
      <c r="D256" s="226" t="s">
        <v>945</v>
      </c>
      <c r="E256" s="59">
        <v>45099.384212962963</v>
      </c>
      <c r="F256" s="191" t="s">
        <v>237</v>
      </c>
      <c r="G256" s="226" t="s">
        <v>971</v>
      </c>
      <c r="H256" s="227"/>
      <c r="I256" s="189"/>
      <c r="J256" s="60" t="s">
        <v>736</v>
      </c>
      <c r="K256" s="59">
        <v>45099.37537037037</v>
      </c>
      <c r="L256" s="190" t="s">
        <v>219</v>
      </c>
      <c r="M256" s="190" t="s">
        <v>287</v>
      </c>
      <c r="N256" s="193"/>
      <c r="O256" s="193"/>
      <c r="P256" s="193"/>
      <c r="Q256" s="194"/>
      <c r="R256" s="194"/>
      <c r="S256" s="194"/>
      <c r="T256" s="194"/>
      <c r="U256" s="194"/>
      <c r="V256" s="194"/>
      <c r="W256" s="194"/>
    </row>
    <row r="257" spans="1:23" s="195" customFormat="1" ht="38.25">
      <c r="A257" s="189">
        <v>253</v>
      </c>
      <c r="B257" s="49" t="s">
        <v>942</v>
      </c>
      <c r="C257" s="49" t="s">
        <v>409</v>
      </c>
      <c r="D257" s="226" t="s">
        <v>946</v>
      </c>
      <c r="E257" s="59">
        <v>45099.385648148149</v>
      </c>
      <c r="F257" s="191" t="s">
        <v>237</v>
      </c>
      <c r="G257" s="226" t="s">
        <v>864</v>
      </c>
      <c r="H257" s="227"/>
      <c r="I257" s="189"/>
      <c r="J257" s="60" t="s">
        <v>736</v>
      </c>
      <c r="K257" s="59">
        <v>45099.37537037037</v>
      </c>
      <c r="L257" s="190" t="s">
        <v>219</v>
      </c>
      <c r="M257" s="190" t="s">
        <v>287</v>
      </c>
      <c r="N257" s="193"/>
      <c r="O257" s="193"/>
      <c r="P257" s="193"/>
      <c r="Q257" s="194"/>
      <c r="R257" s="194"/>
      <c r="S257" s="194"/>
      <c r="T257" s="194"/>
      <c r="U257" s="194"/>
      <c r="V257" s="194"/>
      <c r="W257" s="194"/>
    </row>
    <row r="258" spans="1:23" s="195" customFormat="1" ht="25.5">
      <c r="A258" s="189">
        <v>254</v>
      </c>
      <c r="B258" s="37" t="s">
        <v>947</v>
      </c>
      <c r="C258" s="37" t="s">
        <v>442</v>
      </c>
      <c r="D258" s="226" t="s">
        <v>948</v>
      </c>
      <c r="E258" s="59">
        <v>45099.401331018518</v>
      </c>
      <c r="F258" s="191" t="s">
        <v>237</v>
      </c>
      <c r="G258" s="199"/>
      <c r="H258" s="61"/>
      <c r="I258" s="61"/>
      <c r="J258" s="60" t="s">
        <v>736</v>
      </c>
      <c r="K258" s="59">
        <v>45099.401400462964</v>
      </c>
      <c r="L258" s="190" t="s">
        <v>282</v>
      </c>
      <c r="M258" s="190" t="s">
        <v>287</v>
      </c>
      <c r="N258" s="193"/>
      <c r="O258" s="193"/>
      <c r="P258" s="193"/>
      <c r="Q258" s="194"/>
      <c r="R258" s="194"/>
      <c r="S258" s="194"/>
      <c r="T258" s="194"/>
      <c r="U258" s="194"/>
      <c r="V258" s="194"/>
      <c r="W258" s="194"/>
    </row>
    <row r="259" spans="1:23" s="195" customFormat="1" ht="25.5">
      <c r="A259" s="189">
        <v>255</v>
      </c>
      <c r="B259" s="49" t="s">
        <v>947</v>
      </c>
      <c r="C259" s="49" t="s">
        <v>442</v>
      </c>
      <c r="D259" s="198" t="s">
        <v>949</v>
      </c>
      <c r="E259" s="59">
        <v>45099.40353009259</v>
      </c>
      <c r="F259" s="191" t="s">
        <v>237</v>
      </c>
      <c r="G259" s="199" t="s">
        <v>972</v>
      </c>
      <c r="H259" s="61"/>
      <c r="I259" s="61"/>
      <c r="J259" s="60" t="s">
        <v>736</v>
      </c>
      <c r="K259" s="59">
        <v>45099.401400462964</v>
      </c>
      <c r="L259" s="190" t="s">
        <v>219</v>
      </c>
      <c r="M259" s="190" t="s">
        <v>287</v>
      </c>
      <c r="N259" s="193"/>
      <c r="O259" s="193"/>
      <c r="P259" s="193"/>
      <c r="Q259" s="194"/>
      <c r="R259" s="194"/>
      <c r="S259" s="194"/>
      <c r="T259" s="194"/>
      <c r="U259" s="194"/>
      <c r="V259" s="194"/>
      <c r="W259" s="194"/>
    </row>
    <row r="260" spans="1:23" s="195" customFormat="1" ht="38.25">
      <c r="A260" s="189">
        <v>256</v>
      </c>
      <c r="B260" s="49" t="s">
        <v>947</v>
      </c>
      <c r="C260" s="49" t="s">
        <v>442</v>
      </c>
      <c r="D260" s="198" t="s">
        <v>950</v>
      </c>
      <c r="E260" s="59">
        <v>45099.436076388891</v>
      </c>
      <c r="F260" s="191" t="s">
        <v>237</v>
      </c>
      <c r="G260" s="199" t="s">
        <v>973</v>
      </c>
      <c r="H260" s="61"/>
      <c r="I260" s="61"/>
      <c r="J260" s="60" t="s">
        <v>736</v>
      </c>
      <c r="K260" s="59">
        <v>45099.401400462964</v>
      </c>
      <c r="L260" s="190" t="s">
        <v>219</v>
      </c>
      <c r="M260" s="190" t="s">
        <v>287</v>
      </c>
      <c r="N260" s="193"/>
      <c r="O260" s="193"/>
      <c r="P260" s="193"/>
      <c r="Q260" s="194"/>
      <c r="R260" s="194"/>
      <c r="S260" s="194"/>
      <c r="T260" s="194"/>
      <c r="U260" s="194"/>
      <c r="V260" s="194"/>
      <c r="W260" s="194"/>
    </row>
    <row r="261" spans="1:23" s="195" customFormat="1" ht="25.5">
      <c r="A261" s="189">
        <v>257</v>
      </c>
      <c r="B261" s="49" t="s">
        <v>947</v>
      </c>
      <c r="C261" s="49" t="s">
        <v>442</v>
      </c>
      <c r="D261" s="198" t="s">
        <v>951</v>
      </c>
      <c r="E261" s="59">
        <v>45099.441111111111</v>
      </c>
      <c r="F261" s="191" t="s">
        <v>237</v>
      </c>
      <c r="G261" s="199" t="s">
        <v>974</v>
      </c>
      <c r="H261" s="61"/>
      <c r="I261" s="61"/>
      <c r="J261" s="60" t="s">
        <v>736</v>
      </c>
      <c r="K261" s="59">
        <v>45099.401400462964</v>
      </c>
      <c r="L261" s="190" t="s">
        <v>219</v>
      </c>
      <c r="M261" s="190" t="s">
        <v>287</v>
      </c>
      <c r="N261" s="193"/>
      <c r="O261" s="193"/>
      <c r="P261" s="193"/>
      <c r="Q261" s="194"/>
      <c r="R261" s="194"/>
      <c r="S261" s="194"/>
      <c r="T261" s="194"/>
      <c r="U261" s="194"/>
      <c r="V261" s="194"/>
      <c r="W261" s="194"/>
    </row>
    <row r="262" spans="1:23" s="195" customFormat="1" ht="38.25">
      <c r="A262" s="189">
        <v>258</v>
      </c>
      <c r="B262" s="49" t="s">
        <v>947</v>
      </c>
      <c r="C262" s="49" t="s">
        <v>442</v>
      </c>
      <c r="D262" s="226" t="s">
        <v>952</v>
      </c>
      <c r="E262" s="59">
        <v>45099.451238425929</v>
      </c>
      <c r="F262" s="191" t="s">
        <v>237</v>
      </c>
      <c r="G262" s="199" t="s">
        <v>974</v>
      </c>
      <c r="H262" s="61"/>
      <c r="I262" s="61"/>
      <c r="J262" s="60" t="s">
        <v>736</v>
      </c>
      <c r="K262" s="59">
        <v>45099.401400462964</v>
      </c>
      <c r="L262" s="190" t="s">
        <v>219</v>
      </c>
      <c r="M262" s="190" t="s">
        <v>287</v>
      </c>
      <c r="N262" s="193"/>
      <c r="O262" s="193"/>
      <c r="P262" s="193"/>
      <c r="Q262" s="194"/>
      <c r="R262" s="194"/>
      <c r="S262" s="194"/>
      <c r="T262" s="194"/>
      <c r="U262" s="194"/>
      <c r="V262" s="194"/>
      <c r="W262" s="194"/>
    </row>
    <row r="263" spans="1:23" s="195" customFormat="1" ht="25.5">
      <c r="A263" s="189">
        <v>259</v>
      </c>
      <c r="B263" s="49" t="s">
        <v>947</v>
      </c>
      <c r="C263" s="49" t="s">
        <v>442</v>
      </c>
      <c r="D263" s="226" t="s">
        <v>953</v>
      </c>
      <c r="E263" s="59">
        <v>45099.451643518521</v>
      </c>
      <c r="F263" s="191" t="s">
        <v>237</v>
      </c>
      <c r="G263" s="199" t="s">
        <v>975</v>
      </c>
      <c r="H263" s="61"/>
      <c r="I263" s="61"/>
      <c r="J263" s="60" t="s">
        <v>736</v>
      </c>
      <c r="K263" s="59">
        <v>45099.401400462964</v>
      </c>
      <c r="L263" s="190" t="s">
        <v>219</v>
      </c>
      <c r="M263" s="190" t="s">
        <v>287</v>
      </c>
      <c r="N263" s="193"/>
      <c r="O263" s="193"/>
      <c r="P263" s="193"/>
      <c r="Q263" s="194"/>
      <c r="R263" s="194"/>
      <c r="S263" s="194"/>
      <c r="T263" s="194"/>
      <c r="U263" s="194"/>
      <c r="V263" s="194"/>
      <c r="W263" s="194"/>
    </row>
    <row r="264" spans="1:23" s="195" customFormat="1" ht="25.5">
      <c r="A264" s="189">
        <v>260</v>
      </c>
      <c r="B264" s="19" t="s">
        <v>954</v>
      </c>
      <c r="C264" s="37" t="s">
        <v>383</v>
      </c>
      <c r="D264" s="230" t="s">
        <v>955</v>
      </c>
      <c r="E264" s="59">
        <v>45099.458587962959</v>
      </c>
      <c r="F264" s="191" t="s">
        <v>237</v>
      </c>
      <c r="G264" s="16"/>
      <c r="H264" s="20"/>
      <c r="I264" s="20"/>
      <c r="J264" s="60" t="s">
        <v>736</v>
      </c>
      <c r="K264" s="21">
        <v>45099.458645833336</v>
      </c>
      <c r="L264" s="190" t="s">
        <v>282</v>
      </c>
      <c r="M264" s="190" t="s">
        <v>287</v>
      </c>
      <c r="N264" s="193"/>
      <c r="O264" s="193"/>
      <c r="P264" s="193"/>
      <c r="Q264" s="194"/>
      <c r="R264" s="194"/>
      <c r="S264" s="194"/>
      <c r="T264" s="194"/>
      <c r="U264" s="194"/>
      <c r="V264" s="194"/>
      <c r="W264" s="194"/>
    </row>
    <row r="265" spans="1:23" s="195" customFormat="1" ht="25.5">
      <c r="A265" s="189">
        <v>261</v>
      </c>
      <c r="B265" s="37" t="s">
        <v>954</v>
      </c>
      <c r="C265" s="37" t="s">
        <v>383</v>
      </c>
      <c r="D265" s="231" t="s">
        <v>538</v>
      </c>
      <c r="E265" s="59">
        <v>45099.459224537037</v>
      </c>
      <c r="F265" s="191" t="s">
        <v>237</v>
      </c>
      <c r="G265" s="16"/>
      <c r="H265" s="20"/>
      <c r="I265" s="20"/>
      <c r="J265" s="60" t="s">
        <v>736</v>
      </c>
      <c r="K265" s="21">
        <v>45099.459270833337</v>
      </c>
      <c r="L265" s="190" t="s">
        <v>282</v>
      </c>
      <c r="M265" s="190" t="s">
        <v>287</v>
      </c>
      <c r="N265" s="193"/>
      <c r="O265" s="193"/>
      <c r="P265" s="193"/>
      <c r="Q265" s="194"/>
      <c r="R265" s="194"/>
      <c r="S265" s="194"/>
      <c r="T265" s="194"/>
      <c r="U265" s="194"/>
      <c r="V265" s="194"/>
      <c r="W265" s="194"/>
    </row>
    <row r="266" spans="1:23" s="195" customFormat="1" ht="25.5">
      <c r="A266" s="189">
        <v>262</v>
      </c>
      <c r="B266" s="37" t="s">
        <v>956</v>
      </c>
      <c r="C266" s="37" t="s">
        <v>375</v>
      </c>
      <c r="D266" s="231" t="s">
        <v>538</v>
      </c>
      <c r="E266" s="59">
        <v>45099.461076388892</v>
      </c>
      <c r="F266" s="191" t="s">
        <v>237</v>
      </c>
      <c r="G266" s="16"/>
      <c r="H266" s="20"/>
      <c r="I266" s="20"/>
      <c r="J266" s="60" t="s">
        <v>736</v>
      </c>
      <c r="K266" s="21">
        <v>45099.461122685185</v>
      </c>
      <c r="L266" s="190" t="s">
        <v>282</v>
      </c>
      <c r="M266" s="190" t="s">
        <v>287</v>
      </c>
      <c r="N266" s="193"/>
      <c r="O266" s="193"/>
      <c r="P266" s="193"/>
      <c r="Q266" s="194"/>
      <c r="R266" s="194"/>
      <c r="S266" s="194"/>
      <c r="T266" s="194"/>
      <c r="U266" s="194"/>
      <c r="V266" s="194"/>
      <c r="W266" s="194"/>
    </row>
    <row r="267" spans="1:23" s="195" customFormat="1" ht="25.5">
      <c r="A267" s="189">
        <v>263</v>
      </c>
      <c r="B267" s="37" t="s">
        <v>957</v>
      </c>
      <c r="C267" s="37" t="s">
        <v>337</v>
      </c>
      <c r="D267" s="231" t="s">
        <v>958</v>
      </c>
      <c r="E267" s="59">
        <v>45099.461574074077</v>
      </c>
      <c r="F267" s="191" t="s">
        <v>237</v>
      </c>
      <c r="G267" s="16"/>
      <c r="H267" s="20"/>
      <c r="I267" s="20"/>
      <c r="J267" s="60" t="s">
        <v>736</v>
      </c>
      <c r="K267" s="21">
        <v>45099.461840277778</v>
      </c>
      <c r="L267" s="190" t="s">
        <v>282</v>
      </c>
      <c r="M267" s="190" t="s">
        <v>287</v>
      </c>
      <c r="N267" s="193"/>
      <c r="O267" s="193"/>
      <c r="P267" s="193"/>
      <c r="Q267" s="194"/>
      <c r="R267" s="194"/>
      <c r="S267" s="194"/>
      <c r="T267" s="194"/>
      <c r="U267" s="194"/>
      <c r="V267" s="194"/>
      <c r="W267" s="194"/>
    </row>
    <row r="268" spans="1:23" s="195" customFormat="1" ht="25.5">
      <c r="A268" s="189">
        <v>264</v>
      </c>
      <c r="B268" s="37" t="s">
        <v>957</v>
      </c>
      <c r="C268" s="37" t="s">
        <v>337</v>
      </c>
      <c r="D268" s="231" t="s">
        <v>538</v>
      </c>
      <c r="E268" s="59">
        <v>45099.462581018517</v>
      </c>
      <c r="F268" s="191" t="s">
        <v>237</v>
      </c>
      <c r="G268" s="16"/>
      <c r="H268" s="20"/>
      <c r="I268" s="20"/>
      <c r="J268" s="60" t="s">
        <v>736</v>
      </c>
      <c r="K268" s="21">
        <v>45099.462638888886</v>
      </c>
      <c r="L268" s="190" t="s">
        <v>282</v>
      </c>
      <c r="M268" s="190" t="s">
        <v>287</v>
      </c>
      <c r="N268" s="193"/>
      <c r="O268" s="193"/>
      <c r="P268" s="193"/>
      <c r="Q268" s="194"/>
      <c r="R268" s="194"/>
      <c r="S268" s="194"/>
      <c r="T268" s="194"/>
      <c r="U268" s="194"/>
      <c r="V268" s="194"/>
      <c r="W268" s="194"/>
    </row>
    <row r="269" spans="1:23" s="195" customFormat="1" ht="25.5">
      <c r="A269" s="189">
        <v>265</v>
      </c>
      <c r="B269" s="37" t="s">
        <v>960</v>
      </c>
      <c r="C269" s="37" t="s">
        <v>460</v>
      </c>
      <c r="D269" s="231" t="s">
        <v>959</v>
      </c>
      <c r="E269" s="59">
        <v>45099.463067129633</v>
      </c>
      <c r="F269" s="191" t="s">
        <v>237</v>
      </c>
      <c r="G269" s="16"/>
      <c r="H269" s="20"/>
      <c r="I269" s="20"/>
      <c r="J269" s="60" t="s">
        <v>736</v>
      </c>
      <c r="K269" s="21">
        <v>45099.463414351849</v>
      </c>
      <c r="L269" s="190" t="s">
        <v>282</v>
      </c>
      <c r="M269" s="190" t="s">
        <v>287</v>
      </c>
      <c r="N269" s="193"/>
      <c r="O269" s="193"/>
      <c r="P269" s="193"/>
      <c r="Q269" s="194"/>
      <c r="R269" s="194"/>
      <c r="S269" s="194"/>
      <c r="T269" s="194"/>
      <c r="U269" s="194"/>
      <c r="V269" s="194"/>
      <c r="W269" s="194"/>
    </row>
    <row r="270" spans="1:23" s="195" customFormat="1" ht="25.5">
      <c r="A270" s="189">
        <v>266</v>
      </c>
      <c r="B270" s="49" t="s">
        <v>960</v>
      </c>
      <c r="C270" s="49" t="s">
        <v>460</v>
      </c>
      <c r="D270" s="230" t="s">
        <v>961</v>
      </c>
      <c r="E270" s="59">
        <v>45099.466736111113</v>
      </c>
      <c r="F270" s="191" t="s">
        <v>237</v>
      </c>
      <c r="G270" s="199" t="s">
        <v>976</v>
      </c>
      <c r="H270" s="61"/>
      <c r="I270" s="61"/>
      <c r="J270" s="197" t="s">
        <v>736</v>
      </c>
      <c r="K270" s="59">
        <v>45099.549930555557</v>
      </c>
      <c r="L270" s="190" t="s">
        <v>219</v>
      </c>
      <c r="M270" s="190" t="s">
        <v>287</v>
      </c>
      <c r="N270" s="193"/>
      <c r="O270" s="193"/>
      <c r="P270" s="193"/>
      <c r="Q270" s="194"/>
      <c r="R270" s="194"/>
      <c r="S270" s="194"/>
      <c r="T270" s="194"/>
      <c r="U270" s="194"/>
      <c r="V270" s="194"/>
      <c r="W270" s="194"/>
    </row>
    <row r="271" spans="1:23" s="195" customFormat="1" ht="25.5">
      <c r="A271" s="189">
        <v>267</v>
      </c>
      <c r="B271" s="49" t="s">
        <v>977</v>
      </c>
      <c r="C271" s="49" t="s">
        <v>311</v>
      </c>
      <c r="D271" s="230" t="s">
        <v>538</v>
      </c>
      <c r="E271" s="59">
        <v>45105.638356481482</v>
      </c>
      <c r="F271" s="191" t="s">
        <v>237</v>
      </c>
      <c r="G271" s="199"/>
      <c r="H271" s="61"/>
      <c r="I271" s="61"/>
      <c r="J271" s="60" t="s">
        <v>736</v>
      </c>
      <c r="K271" s="59">
        <v>45105.638391203705</v>
      </c>
      <c r="L271" s="190" t="s">
        <v>282</v>
      </c>
      <c r="M271" s="190" t="s">
        <v>287</v>
      </c>
      <c r="N271" s="193"/>
      <c r="O271" s="193"/>
      <c r="P271" s="193"/>
      <c r="Q271" s="194"/>
      <c r="R271" s="194"/>
      <c r="S271" s="194"/>
      <c r="T271" s="194"/>
      <c r="U271" s="194"/>
      <c r="V271" s="194"/>
      <c r="W271" s="194"/>
    </row>
    <row r="272" spans="1:23" s="195" customFormat="1" ht="25.5">
      <c r="A272" s="189">
        <v>268</v>
      </c>
      <c r="B272" s="49" t="s">
        <v>978</v>
      </c>
      <c r="C272" s="49" t="s">
        <v>409</v>
      </c>
      <c r="D272" s="230" t="s">
        <v>979</v>
      </c>
      <c r="E272" s="59">
        <v>45105.642233796294</v>
      </c>
      <c r="F272" s="191" t="s">
        <v>237</v>
      </c>
      <c r="G272" s="199"/>
      <c r="H272" s="61"/>
      <c r="I272" s="61"/>
      <c r="J272" s="60" t="s">
        <v>736</v>
      </c>
      <c r="K272" s="59">
        <v>45105.642291666663</v>
      </c>
      <c r="L272" s="190" t="s">
        <v>282</v>
      </c>
      <c r="M272" s="190" t="s">
        <v>287</v>
      </c>
      <c r="N272" s="193"/>
      <c r="O272" s="193"/>
      <c r="P272" s="193"/>
      <c r="Q272" s="194"/>
      <c r="R272" s="194"/>
      <c r="S272" s="194"/>
      <c r="T272" s="194"/>
      <c r="U272" s="194"/>
      <c r="V272" s="194"/>
      <c r="W272" s="194"/>
    </row>
    <row r="273" spans="1:23" s="195" customFormat="1" ht="25.5">
      <c r="A273" s="189">
        <v>269</v>
      </c>
      <c r="B273" s="49" t="s">
        <v>978</v>
      </c>
      <c r="C273" s="49" t="s">
        <v>409</v>
      </c>
      <c r="D273" s="230" t="s">
        <v>538</v>
      </c>
      <c r="E273" s="59">
        <v>45105.642557870371</v>
      </c>
      <c r="F273" s="191" t="s">
        <v>237</v>
      </c>
      <c r="G273" s="199"/>
      <c r="H273" s="61"/>
      <c r="I273" s="61"/>
      <c r="J273" s="60" t="s">
        <v>736</v>
      </c>
      <c r="K273" s="59">
        <v>45105.642592592594</v>
      </c>
      <c r="L273" s="190" t="s">
        <v>282</v>
      </c>
      <c r="M273" s="190" t="s">
        <v>287</v>
      </c>
      <c r="N273" s="193"/>
      <c r="O273" s="193"/>
      <c r="P273" s="193"/>
      <c r="Q273" s="194"/>
      <c r="R273" s="194"/>
      <c r="S273" s="194"/>
      <c r="T273" s="194"/>
      <c r="U273" s="194"/>
      <c r="V273" s="194"/>
      <c r="W273" s="194"/>
    </row>
    <row r="274" spans="1:23" s="195" customFormat="1" ht="25.5">
      <c r="A274" s="189">
        <v>270</v>
      </c>
      <c r="B274" s="49" t="s">
        <v>985</v>
      </c>
      <c r="C274" s="49" t="s">
        <v>442</v>
      </c>
      <c r="D274" s="230" t="s">
        <v>986</v>
      </c>
      <c r="E274" s="59">
        <v>45105.648530092592</v>
      </c>
      <c r="F274" s="191" t="s">
        <v>237</v>
      </c>
      <c r="G274" s="199"/>
      <c r="H274" s="61"/>
      <c r="I274" s="61"/>
      <c r="J274" s="60" t="s">
        <v>736</v>
      </c>
      <c r="K274" s="59">
        <v>45105.648576388892</v>
      </c>
      <c r="L274" s="190" t="s">
        <v>282</v>
      </c>
      <c r="M274" s="190" t="s">
        <v>287</v>
      </c>
      <c r="N274" s="193"/>
      <c r="O274" s="193"/>
      <c r="P274" s="193"/>
      <c r="Q274" s="194"/>
      <c r="R274" s="194"/>
      <c r="S274" s="194"/>
      <c r="T274" s="194"/>
      <c r="U274" s="194"/>
      <c r="V274" s="194"/>
      <c r="W274" s="194"/>
    </row>
    <row r="275" spans="1:23" s="195" customFormat="1" ht="25.5">
      <c r="A275" s="189">
        <v>271</v>
      </c>
      <c r="B275" s="49" t="s">
        <v>985</v>
      </c>
      <c r="C275" s="49" t="s">
        <v>442</v>
      </c>
      <c r="D275" s="230" t="s">
        <v>538</v>
      </c>
      <c r="E275" s="59">
        <v>45105.648784722223</v>
      </c>
      <c r="F275" s="191" t="s">
        <v>237</v>
      </c>
      <c r="G275" s="199"/>
      <c r="H275" s="61"/>
      <c r="I275" s="61"/>
      <c r="J275" s="60" t="s">
        <v>736</v>
      </c>
      <c r="K275" s="59">
        <v>45105.648819444446</v>
      </c>
      <c r="L275" s="190" t="s">
        <v>282</v>
      </c>
      <c r="M275" s="190" t="s">
        <v>287</v>
      </c>
      <c r="N275" s="193"/>
      <c r="O275" s="193"/>
      <c r="P275" s="193"/>
      <c r="Q275" s="194"/>
      <c r="R275" s="194"/>
      <c r="S275" s="194"/>
      <c r="T275" s="194"/>
      <c r="U275" s="194"/>
      <c r="V275" s="194"/>
      <c r="W275" s="194"/>
    </row>
    <row r="276" spans="1:23" s="195" customFormat="1" ht="25.5">
      <c r="A276" s="189">
        <v>272</v>
      </c>
      <c r="B276" s="49" t="s">
        <v>980</v>
      </c>
      <c r="C276" s="49" t="s">
        <v>383</v>
      </c>
      <c r="D276" s="230" t="s">
        <v>538</v>
      </c>
      <c r="E276" s="59">
        <v>45105.649837962963</v>
      </c>
      <c r="F276" s="191" t="s">
        <v>237</v>
      </c>
      <c r="G276" s="199"/>
      <c r="H276" s="61"/>
      <c r="I276" s="61"/>
      <c r="J276" s="60" t="s">
        <v>736</v>
      </c>
      <c r="K276" s="59">
        <v>45105.649884259263</v>
      </c>
      <c r="L276" s="190" t="s">
        <v>282</v>
      </c>
      <c r="M276" s="190" t="s">
        <v>287</v>
      </c>
      <c r="N276" s="193"/>
      <c r="O276" s="193"/>
      <c r="P276" s="193"/>
      <c r="Q276" s="194"/>
      <c r="R276" s="194"/>
      <c r="S276" s="194"/>
      <c r="T276" s="194"/>
      <c r="U276" s="194"/>
      <c r="V276" s="194"/>
      <c r="W276" s="194"/>
    </row>
    <row r="277" spans="1:23" s="195" customFormat="1" ht="25.5">
      <c r="A277" s="189">
        <v>273</v>
      </c>
      <c r="B277" s="49" t="s">
        <v>981</v>
      </c>
      <c r="C277" s="49" t="s">
        <v>337</v>
      </c>
      <c r="D277" s="230" t="s">
        <v>538</v>
      </c>
      <c r="E277" s="59">
        <v>45105.650381944448</v>
      </c>
      <c r="F277" s="191" t="s">
        <v>237</v>
      </c>
      <c r="G277" s="199"/>
      <c r="H277" s="61"/>
      <c r="I277" s="61"/>
      <c r="J277" s="60" t="s">
        <v>736</v>
      </c>
      <c r="K277" s="59">
        <v>45105.650405092594</v>
      </c>
      <c r="L277" s="190" t="s">
        <v>282</v>
      </c>
      <c r="M277" s="190" t="s">
        <v>287</v>
      </c>
      <c r="N277" s="193"/>
      <c r="O277" s="193"/>
      <c r="P277" s="193"/>
      <c r="Q277" s="194"/>
      <c r="R277" s="194"/>
      <c r="S277" s="194"/>
      <c r="T277" s="194"/>
      <c r="U277" s="194"/>
      <c r="V277" s="194"/>
      <c r="W277" s="194"/>
    </row>
    <row r="278" spans="1:23" s="195" customFormat="1" ht="25.5">
      <c r="A278" s="189">
        <v>274</v>
      </c>
      <c r="B278" s="37" t="s">
        <v>982</v>
      </c>
      <c r="C278" s="37" t="s">
        <v>460</v>
      </c>
      <c r="D278" s="230" t="s">
        <v>983</v>
      </c>
      <c r="E278" s="59">
        <v>45105.651296296295</v>
      </c>
      <c r="F278" s="191" t="s">
        <v>237</v>
      </c>
      <c r="G278" s="199"/>
      <c r="H278" s="61"/>
      <c r="I278" s="61"/>
      <c r="J278" s="60" t="s">
        <v>736</v>
      </c>
      <c r="K278" s="59">
        <v>45105.649884259263</v>
      </c>
      <c r="L278" s="190" t="s">
        <v>282</v>
      </c>
      <c r="M278" s="190" t="s">
        <v>287</v>
      </c>
      <c r="N278" s="193"/>
      <c r="O278" s="193"/>
      <c r="P278" s="193"/>
      <c r="Q278" s="194"/>
      <c r="R278" s="194"/>
      <c r="S278" s="194"/>
      <c r="T278" s="194"/>
      <c r="U278" s="194"/>
      <c r="V278" s="194"/>
      <c r="W278" s="194"/>
    </row>
    <row r="279" spans="1:23" s="195" customFormat="1" ht="25.5">
      <c r="A279" s="189">
        <v>275</v>
      </c>
      <c r="B279" s="37" t="s">
        <v>982</v>
      </c>
      <c r="C279" s="37" t="s">
        <v>460</v>
      </c>
      <c r="D279" s="230" t="s">
        <v>538</v>
      </c>
      <c r="E279" s="59">
        <v>45105.651365740741</v>
      </c>
      <c r="F279" s="191" t="s">
        <v>237</v>
      </c>
      <c r="G279" s="199"/>
      <c r="H279" s="61"/>
      <c r="I279" s="61"/>
      <c r="J279" s="60" t="s">
        <v>736</v>
      </c>
      <c r="K279" s="59">
        <v>45105.650405092594</v>
      </c>
      <c r="L279" s="190" t="s">
        <v>282</v>
      </c>
      <c r="M279" s="190" t="s">
        <v>287</v>
      </c>
      <c r="N279" s="193"/>
      <c r="O279" s="193"/>
      <c r="P279" s="193"/>
      <c r="Q279" s="194"/>
      <c r="R279" s="194"/>
      <c r="S279" s="194"/>
      <c r="T279" s="194"/>
      <c r="U279" s="194"/>
      <c r="V279" s="194"/>
      <c r="W279" s="194"/>
    </row>
    <row r="280" spans="1:23" s="195" customFormat="1" ht="25.5">
      <c r="A280" s="189">
        <v>276</v>
      </c>
      <c r="B280" s="49" t="s">
        <v>984</v>
      </c>
      <c r="C280" s="49" t="s">
        <v>375</v>
      </c>
      <c r="D280" s="230" t="s">
        <v>538</v>
      </c>
      <c r="E280" s="59">
        <v>45105.651921296296</v>
      </c>
      <c r="F280" s="191" t="s">
        <v>237</v>
      </c>
      <c r="G280" s="199"/>
      <c r="H280" s="61"/>
      <c r="I280" s="61"/>
      <c r="J280" s="60" t="s">
        <v>736</v>
      </c>
      <c r="K280" s="59">
        <v>45105.650405092594</v>
      </c>
      <c r="L280" s="190" t="s">
        <v>282</v>
      </c>
      <c r="M280" s="190" t="s">
        <v>287</v>
      </c>
      <c r="N280" s="193"/>
      <c r="O280" s="193"/>
      <c r="P280" s="193"/>
      <c r="Q280" s="194"/>
      <c r="R280" s="194"/>
      <c r="S280" s="194"/>
      <c r="T280" s="194"/>
      <c r="U280" s="194"/>
      <c r="V280" s="194"/>
      <c r="W280" s="194"/>
    </row>
    <row r="281" spans="1:23" s="195" customFormat="1" ht="25.5">
      <c r="A281" s="189">
        <v>277</v>
      </c>
      <c r="B281" s="37" t="s">
        <v>994</v>
      </c>
      <c r="C281" s="37" t="s">
        <v>311</v>
      </c>
      <c r="D281" s="230" t="s">
        <v>538</v>
      </c>
      <c r="E281" s="59">
        <v>45124.591458333336</v>
      </c>
      <c r="F281" s="191" t="s">
        <v>237</v>
      </c>
      <c r="G281" s="16"/>
      <c r="H281" s="20"/>
      <c r="I281" s="20"/>
      <c r="J281" s="60" t="s">
        <v>736</v>
      </c>
      <c r="K281" s="21">
        <v>45124.591504629629</v>
      </c>
      <c r="L281" s="190" t="s">
        <v>282</v>
      </c>
      <c r="M281" s="190" t="s">
        <v>287</v>
      </c>
      <c r="N281" s="193"/>
      <c r="O281" s="193"/>
      <c r="P281" s="193"/>
      <c r="Q281" s="194"/>
      <c r="R281" s="194"/>
      <c r="S281" s="194"/>
      <c r="T281" s="194"/>
      <c r="U281" s="194"/>
      <c r="V281" s="194"/>
      <c r="W281" s="194"/>
    </row>
    <row r="282" spans="1:23" s="195" customFormat="1" ht="25.5">
      <c r="A282" s="189">
        <v>278</v>
      </c>
      <c r="B282" s="37" t="s">
        <v>996</v>
      </c>
      <c r="C282" s="37" t="s">
        <v>409</v>
      </c>
      <c r="D282" s="230" t="s">
        <v>997</v>
      </c>
      <c r="E282" s="59">
        <v>45124.59270833333</v>
      </c>
      <c r="F282" s="191" t="s">
        <v>237</v>
      </c>
      <c r="G282" s="16"/>
      <c r="H282" s="20"/>
      <c r="I282" s="20"/>
      <c r="J282" s="60" t="s">
        <v>736</v>
      </c>
      <c r="K282" s="21">
        <v>45124.592743055553</v>
      </c>
      <c r="L282" s="190" t="s">
        <v>282</v>
      </c>
      <c r="M282" s="190" t="s">
        <v>287</v>
      </c>
      <c r="N282" s="193"/>
      <c r="O282" s="193"/>
      <c r="P282" s="193"/>
      <c r="Q282" s="194"/>
      <c r="R282" s="194"/>
      <c r="S282" s="194"/>
      <c r="T282" s="194"/>
      <c r="U282" s="194"/>
      <c r="V282" s="194"/>
      <c r="W282" s="194"/>
    </row>
    <row r="283" spans="1:23" s="195" customFormat="1" ht="25.5">
      <c r="A283" s="189">
        <v>279</v>
      </c>
      <c r="B283" s="37" t="s">
        <v>999</v>
      </c>
      <c r="C283" s="37" t="s">
        <v>460</v>
      </c>
      <c r="D283" s="230" t="s">
        <v>1000</v>
      </c>
      <c r="E283" s="59">
        <v>45124.593900462962</v>
      </c>
      <c r="F283" s="191" t="s">
        <v>237</v>
      </c>
      <c r="G283" s="16"/>
      <c r="H283" s="20"/>
      <c r="I283" s="20"/>
      <c r="J283" s="60" t="s">
        <v>736</v>
      </c>
      <c r="K283" s="21">
        <v>45124.593935185185</v>
      </c>
      <c r="L283" s="190" t="s">
        <v>282</v>
      </c>
      <c r="M283" s="190" t="s">
        <v>287</v>
      </c>
      <c r="N283" s="193"/>
      <c r="O283" s="193"/>
      <c r="P283" s="193"/>
      <c r="Q283" s="194"/>
      <c r="R283" s="194"/>
      <c r="S283" s="194"/>
      <c r="T283" s="194"/>
      <c r="U283" s="194"/>
      <c r="V283" s="194"/>
      <c r="W283" s="194"/>
    </row>
    <row r="284" spans="1:23" s="195" customFormat="1" ht="25.5">
      <c r="A284" s="189">
        <v>280</v>
      </c>
      <c r="B284" s="37" t="s">
        <v>1002</v>
      </c>
      <c r="C284" s="37" t="s">
        <v>383</v>
      </c>
      <c r="D284" s="230" t="s">
        <v>538</v>
      </c>
      <c r="E284" s="59">
        <v>45124.596273148149</v>
      </c>
      <c r="F284" s="191" t="s">
        <v>237</v>
      </c>
      <c r="G284" s="16"/>
      <c r="H284" s="20"/>
      <c r="I284" s="20"/>
      <c r="J284" s="60" t="s">
        <v>736</v>
      </c>
      <c r="K284" s="21">
        <v>45124.596319444441</v>
      </c>
      <c r="L284" s="190" t="s">
        <v>282</v>
      </c>
      <c r="M284" s="190" t="s">
        <v>287</v>
      </c>
      <c r="N284" s="193"/>
      <c r="O284" s="193"/>
      <c r="P284" s="193"/>
      <c r="Q284" s="194"/>
      <c r="R284" s="194"/>
      <c r="S284" s="194"/>
      <c r="T284" s="194"/>
      <c r="U284" s="194"/>
      <c r="V284" s="194"/>
      <c r="W284" s="194"/>
    </row>
    <row r="285" spans="1:23" s="195" customFormat="1" ht="25.5">
      <c r="A285" s="189">
        <v>281</v>
      </c>
      <c r="B285" s="37" t="s">
        <v>1004</v>
      </c>
      <c r="C285" s="37" t="s">
        <v>375</v>
      </c>
      <c r="D285" s="230" t="s">
        <v>538</v>
      </c>
      <c r="E285" s="59">
        <v>45124.597291666665</v>
      </c>
      <c r="F285" s="191" t="s">
        <v>237</v>
      </c>
      <c r="G285" s="16"/>
      <c r="H285" s="20"/>
      <c r="I285" s="20"/>
      <c r="J285" s="60" t="s">
        <v>736</v>
      </c>
      <c r="K285" s="21">
        <v>45124.597326388888</v>
      </c>
      <c r="L285" s="190" t="s">
        <v>282</v>
      </c>
      <c r="M285" s="190" t="s">
        <v>287</v>
      </c>
      <c r="N285" s="193"/>
      <c r="O285" s="193"/>
      <c r="P285" s="193"/>
      <c r="Q285" s="194"/>
      <c r="R285" s="194"/>
      <c r="S285" s="194"/>
      <c r="T285" s="194"/>
      <c r="U285" s="194"/>
      <c r="V285" s="194"/>
      <c r="W285" s="194"/>
    </row>
    <row r="286" spans="1:23" s="195" customFormat="1" ht="25.5">
      <c r="A286" s="189">
        <v>282</v>
      </c>
      <c r="B286" s="37" t="s">
        <v>1006</v>
      </c>
      <c r="C286" s="37" t="s">
        <v>442</v>
      </c>
      <c r="D286" s="230" t="s">
        <v>1007</v>
      </c>
      <c r="E286" s="59">
        <v>45124.598587962966</v>
      </c>
      <c r="F286" s="191" t="s">
        <v>237</v>
      </c>
      <c r="G286" s="16"/>
      <c r="H286" s="20"/>
      <c r="I286" s="20"/>
      <c r="J286" s="60" t="s">
        <v>736</v>
      </c>
      <c r="K286" s="21">
        <v>45124.598622685182</v>
      </c>
      <c r="L286" s="190" t="s">
        <v>282</v>
      </c>
      <c r="M286" s="190" t="s">
        <v>287</v>
      </c>
      <c r="N286" s="193"/>
      <c r="O286" s="193"/>
      <c r="P286" s="193"/>
      <c r="Q286" s="194"/>
      <c r="R286" s="194"/>
      <c r="S286" s="194"/>
      <c r="T286" s="194"/>
      <c r="U286" s="194"/>
      <c r="V286" s="194"/>
      <c r="W286" s="194"/>
    </row>
    <row r="287" spans="1:23" s="195" customFormat="1" ht="25.5">
      <c r="A287" s="189">
        <v>283</v>
      </c>
      <c r="B287" s="37" t="s">
        <v>1009</v>
      </c>
      <c r="C287" s="37" t="s">
        <v>337</v>
      </c>
      <c r="D287" s="230" t="s">
        <v>1010</v>
      </c>
      <c r="E287" s="59">
        <v>45124.600046296298</v>
      </c>
      <c r="F287" s="191" t="s">
        <v>237</v>
      </c>
      <c r="G287" s="16"/>
      <c r="H287" s="20"/>
      <c r="I287" s="20"/>
      <c r="J287" s="60" t="s">
        <v>736</v>
      </c>
      <c r="K287" s="21">
        <v>45124.600081018521</v>
      </c>
      <c r="L287" s="190" t="s">
        <v>282</v>
      </c>
      <c r="M287" s="190" t="s">
        <v>287</v>
      </c>
      <c r="N287" s="193"/>
      <c r="O287" s="193"/>
      <c r="P287" s="193"/>
      <c r="Q287" s="194"/>
      <c r="R287" s="194"/>
      <c r="S287" s="194"/>
      <c r="T287" s="194"/>
      <c r="U287" s="194"/>
      <c r="V287" s="194"/>
      <c r="W287" s="194"/>
    </row>
    <row r="288" spans="1:23" s="195" customFormat="1" ht="25.5">
      <c r="A288" s="189">
        <v>284</v>
      </c>
      <c r="B288" s="37" t="s">
        <v>1012</v>
      </c>
      <c r="C288" s="37" t="s">
        <v>409</v>
      </c>
      <c r="D288" s="230" t="s">
        <v>538</v>
      </c>
      <c r="E288" s="59">
        <v>45127.716458333336</v>
      </c>
      <c r="F288" s="191" t="s">
        <v>237</v>
      </c>
      <c r="G288" s="16"/>
      <c r="H288" s="20"/>
      <c r="I288" s="20"/>
      <c r="J288" s="37" t="s">
        <v>239</v>
      </c>
      <c r="K288" s="21">
        <v>45127.717627314814</v>
      </c>
      <c r="L288" s="190" t="s">
        <v>282</v>
      </c>
      <c r="M288" s="190" t="s">
        <v>287</v>
      </c>
      <c r="N288" s="193"/>
      <c r="O288" s="193"/>
      <c r="P288" s="193"/>
      <c r="Q288" s="194"/>
      <c r="R288" s="194"/>
      <c r="S288" s="194"/>
      <c r="T288" s="194"/>
      <c r="U288" s="194"/>
      <c r="V288" s="194"/>
      <c r="W288" s="194"/>
    </row>
    <row r="289" spans="1:23" s="195" customFormat="1" ht="25.5">
      <c r="A289" s="189">
        <v>285</v>
      </c>
      <c r="B289" s="37" t="s">
        <v>1013</v>
      </c>
      <c r="C289" s="37" t="s">
        <v>460</v>
      </c>
      <c r="D289" s="230" t="s">
        <v>538</v>
      </c>
      <c r="E289" s="59">
        <v>45127.716793981483</v>
      </c>
      <c r="F289" s="191" t="s">
        <v>237</v>
      </c>
      <c r="G289" s="16"/>
      <c r="H289" s="20"/>
      <c r="I289" s="20"/>
      <c r="J289" s="37" t="s">
        <v>239</v>
      </c>
      <c r="K289" s="21">
        <v>45127.717650462961</v>
      </c>
      <c r="L289" s="190" t="s">
        <v>282</v>
      </c>
      <c r="M289" s="190" t="s">
        <v>287</v>
      </c>
      <c r="N289" s="193"/>
      <c r="O289" s="193"/>
      <c r="P289" s="193"/>
      <c r="Q289" s="194"/>
      <c r="R289" s="194"/>
      <c r="S289" s="194"/>
      <c r="T289" s="194"/>
      <c r="U289" s="194"/>
      <c r="V289" s="194"/>
      <c r="W289" s="194"/>
    </row>
    <row r="290" spans="1:23" s="195" customFormat="1" ht="25.5">
      <c r="A290" s="189">
        <v>286</v>
      </c>
      <c r="B290" s="37" t="s">
        <v>1014</v>
      </c>
      <c r="C290" s="37" t="s">
        <v>383</v>
      </c>
      <c r="D290" s="230" t="s">
        <v>538</v>
      </c>
      <c r="E290" s="59">
        <v>45127.717175925929</v>
      </c>
      <c r="F290" s="191" t="s">
        <v>237</v>
      </c>
      <c r="G290" s="16"/>
      <c r="H290" s="20"/>
      <c r="I290" s="20"/>
      <c r="J290" s="37" t="s">
        <v>239</v>
      </c>
      <c r="K290" s="21">
        <v>45127.717685185184</v>
      </c>
      <c r="L290" s="190" t="s">
        <v>282</v>
      </c>
      <c r="M290" s="190" t="s">
        <v>287</v>
      </c>
      <c r="N290" s="193"/>
      <c r="O290" s="193"/>
      <c r="P290" s="193"/>
      <c r="Q290" s="194"/>
      <c r="R290" s="194"/>
      <c r="S290" s="194"/>
      <c r="T290" s="194"/>
      <c r="U290" s="194"/>
      <c r="V290" s="194"/>
      <c r="W290" s="194"/>
    </row>
    <row r="291" spans="1:23" s="195" customFormat="1" ht="25.5">
      <c r="A291" s="189">
        <v>287</v>
      </c>
      <c r="B291" s="37" t="s">
        <v>1015</v>
      </c>
      <c r="C291" s="37" t="s">
        <v>375</v>
      </c>
      <c r="D291" s="230" t="s">
        <v>538</v>
      </c>
      <c r="E291" s="59">
        <v>45127.717511574076</v>
      </c>
      <c r="F291" s="191" t="s">
        <v>237</v>
      </c>
      <c r="G291" s="16"/>
      <c r="H291" s="20"/>
      <c r="I291" s="20"/>
      <c r="J291" s="37" t="s">
        <v>239</v>
      </c>
      <c r="K291" s="21">
        <v>45127.71770833333</v>
      </c>
      <c r="L291" s="190" t="s">
        <v>282</v>
      </c>
      <c r="M291" s="190" t="s">
        <v>287</v>
      </c>
      <c r="N291" s="193"/>
      <c r="O291" s="193"/>
      <c r="P291" s="193"/>
      <c r="Q291" s="194"/>
      <c r="R291" s="194"/>
      <c r="S291" s="194"/>
      <c r="T291" s="194"/>
      <c r="U291" s="194"/>
      <c r="V291" s="194"/>
      <c r="W291" s="194"/>
    </row>
    <row r="292" spans="1:23" s="195" customFormat="1" ht="25.5">
      <c r="A292" s="189">
        <v>288</v>
      </c>
      <c r="B292" s="240" t="s">
        <v>1020</v>
      </c>
      <c r="C292" s="241" t="s">
        <v>1021</v>
      </c>
      <c r="D292" s="242" t="s">
        <v>538</v>
      </c>
      <c r="E292" s="243">
        <v>45132</v>
      </c>
      <c r="F292" s="241" t="s">
        <v>1022</v>
      </c>
      <c r="G292" s="242"/>
      <c r="H292" s="244"/>
      <c r="I292" s="244"/>
      <c r="J292" s="244" t="s">
        <v>1023</v>
      </c>
      <c r="K292" s="243">
        <v>45132</v>
      </c>
      <c r="L292" s="245" t="s">
        <v>282</v>
      </c>
      <c r="M292" s="246" t="s">
        <v>287</v>
      </c>
      <c r="N292" s="193"/>
      <c r="O292" s="193"/>
      <c r="P292" s="193"/>
      <c r="Q292" s="194"/>
      <c r="R292" s="194"/>
      <c r="S292" s="194"/>
      <c r="T292" s="194"/>
      <c r="U292" s="194"/>
      <c r="V292" s="194"/>
      <c r="W292" s="194"/>
    </row>
    <row r="293" spans="1:23" s="195" customFormat="1">
      <c r="A293" s="189">
        <v>289</v>
      </c>
      <c r="B293" s="19">
        <v>1.4</v>
      </c>
      <c r="C293" s="37" t="s">
        <v>762</v>
      </c>
      <c r="D293" s="25" t="s">
        <v>538</v>
      </c>
      <c r="E293" s="59">
        <v>45133.486388888887</v>
      </c>
      <c r="F293" s="191" t="s">
        <v>797</v>
      </c>
      <c r="G293" s="16"/>
      <c r="H293" s="20"/>
      <c r="I293" s="20"/>
      <c r="J293" s="16" t="s">
        <v>1026</v>
      </c>
      <c r="K293" s="21">
        <v>45133.486608796295</v>
      </c>
      <c r="L293" s="190" t="s">
        <v>282</v>
      </c>
      <c r="M293" s="190" t="s">
        <v>287</v>
      </c>
      <c r="N293" s="193"/>
      <c r="O293" s="193"/>
      <c r="P293" s="193"/>
      <c r="Q293" s="194"/>
      <c r="R293" s="194"/>
      <c r="S293" s="194"/>
      <c r="T293" s="194"/>
      <c r="U293" s="194"/>
      <c r="V293" s="194"/>
      <c r="W293" s="194"/>
    </row>
    <row r="294" spans="1:23" s="195" customFormat="1">
      <c r="A294" s="189">
        <v>290</v>
      </c>
      <c r="B294" s="240" t="s">
        <v>1029</v>
      </c>
      <c r="C294" s="241" t="s">
        <v>1021</v>
      </c>
      <c r="D294" s="242" t="s">
        <v>538</v>
      </c>
      <c r="E294" s="59">
        <v>45138.642025462963</v>
      </c>
      <c r="F294" s="191" t="s">
        <v>239</v>
      </c>
      <c r="G294" s="16"/>
      <c r="H294" s="20"/>
      <c r="I294" s="20"/>
      <c r="J294" s="244" t="s">
        <v>1023</v>
      </c>
      <c r="K294" s="21">
        <v>45138.642199074071</v>
      </c>
      <c r="L294" s="190" t="s">
        <v>282</v>
      </c>
      <c r="M294" s="190" t="s">
        <v>287</v>
      </c>
      <c r="N294" s="193"/>
      <c r="O294" s="193"/>
      <c r="P294" s="193"/>
      <c r="Q294" s="194"/>
      <c r="R294" s="194"/>
      <c r="S294" s="194"/>
      <c r="T294" s="194"/>
      <c r="U294" s="194"/>
      <c r="V294" s="194"/>
      <c r="W294" s="194"/>
    </row>
    <row r="295" spans="1:23" s="195" customFormat="1">
      <c r="A295" s="189">
        <v>291</v>
      </c>
      <c r="B295" s="240" t="s">
        <v>1030</v>
      </c>
      <c r="C295" s="241" t="s">
        <v>1021</v>
      </c>
      <c r="D295" s="242" t="s">
        <v>538</v>
      </c>
      <c r="E295" s="59">
        <v>45138.642048611109</v>
      </c>
      <c r="F295" s="191" t="s">
        <v>239</v>
      </c>
      <c r="G295" s="16"/>
      <c r="H295" s="20"/>
      <c r="I295" s="20"/>
      <c r="J295" s="244" t="s">
        <v>1023</v>
      </c>
      <c r="K295" s="21">
        <v>45138.642233796294</v>
      </c>
      <c r="L295" s="190" t="s">
        <v>282</v>
      </c>
      <c r="M295" s="190" t="s">
        <v>287</v>
      </c>
      <c r="N295" s="193"/>
      <c r="O295" s="193"/>
      <c r="P295" s="193"/>
      <c r="Q295" s="194"/>
      <c r="R295" s="194"/>
      <c r="S295" s="194"/>
      <c r="T295" s="194"/>
      <c r="U295" s="194"/>
      <c r="V295" s="194"/>
      <c r="W295" s="194"/>
    </row>
    <row r="296" spans="1:23" s="195" customFormat="1">
      <c r="A296" s="189">
        <v>292</v>
      </c>
      <c r="B296" s="37"/>
      <c r="C296" s="37"/>
      <c r="D296" s="229"/>
      <c r="E296" s="59"/>
      <c r="F296" s="191"/>
      <c r="G296" s="16"/>
      <c r="H296" s="20"/>
      <c r="I296" s="20"/>
      <c r="J296" s="16"/>
      <c r="K296" s="21"/>
      <c r="L296" s="190"/>
      <c r="M296" s="190"/>
      <c r="N296" s="193"/>
      <c r="O296" s="193"/>
      <c r="P296" s="193"/>
      <c r="Q296" s="194"/>
      <c r="R296" s="194"/>
      <c r="S296" s="194"/>
      <c r="T296" s="194"/>
      <c r="U296" s="194"/>
      <c r="V296" s="194"/>
      <c r="W296" s="194"/>
    </row>
    <row r="297" spans="1:23" s="195" customFormat="1">
      <c r="A297" s="189">
        <v>293</v>
      </c>
      <c r="B297" s="37"/>
      <c r="C297" s="37"/>
      <c r="D297" s="229"/>
      <c r="E297" s="59"/>
      <c r="F297" s="191"/>
      <c r="G297" s="16"/>
      <c r="H297" s="20"/>
      <c r="I297" s="20"/>
      <c r="J297" s="16"/>
      <c r="K297" s="21"/>
      <c r="L297" s="190"/>
      <c r="M297" s="190"/>
      <c r="N297" s="193"/>
      <c r="O297" s="193"/>
      <c r="P297" s="193"/>
      <c r="Q297" s="194"/>
      <c r="R297" s="194"/>
      <c r="S297" s="194"/>
      <c r="T297" s="194"/>
      <c r="U297" s="194"/>
      <c r="V297" s="194"/>
      <c r="W297" s="194"/>
    </row>
    <row r="298" spans="1:23" s="195" customFormat="1">
      <c r="A298" s="189">
        <v>294</v>
      </c>
      <c r="B298" s="37"/>
      <c r="C298" s="37"/>
      <c r="D298" s="229"/>
      <c r="E298" s="59"/>
      <c r="F298" s="191"/>
      <c r="G298" s="16"/>
      <c r="H298" s="20"/>
      <c r="I298" s="20"/>
      <c r="J298" s="16"/>
      <c r="K298" s="21"/>
      <c r="L298" s="190"/>
      <c r="M298" s="190"/>
      <c r="N298" s="193"/>
      <c r="O298" s="193"/>
      <c r="P298" s="193"/>
      <c r="Q298" s="194"/>
      <c r="R298" s="194"/>
      <c r="S298" s="194"/>
      <c r="T298" s="194"/>
      <c r="U298" s="194"/>
      <c r="V298" s="194"/>
      <c r="W298" s="194"/>
    </row>
    <row r="299" spans="1:23" s="195" customFormat="1">
      <c r="A299" s="189">
        <v>295</v>
      </c>
      <c r="B299" s="37"/>
      <c r="C299" s="37"/>
      <c r="D299" s="229"/>
      <c r="E299" s="59"/>
      <c r="F299" s="191"/>
      <c r="G299" s="16"/>
      <c r="H299" s="20"/>
      <c r="I299" s="20"/>
      <c r="J299" s="16"/>
      <c r="K299" s="21"/>
      <c r="L299" s="190"/>
      <c r="M299" s="190"/>
      <c r="N299" s="193"/>
      <c r="O299" s="193"/>
      <c r="P299" s="193"/>
      <c r="Q299" s="194"/>
      <c r="R299" s="194"/>
      <c r="S299" s="194"/>
      <c r="T299" s="194"/>
      <c r="U299" s="194"/>
      <c r="V299" s="194"/>
      <c r="W299" s="194"/>
    </row>
    <row r="300" spans="1:23" s="195" customFormat="1">
      <c r="A300" s="189">
        <v>296</v>
      </c>
      <c r="B300" s="37"/>
      <c r="C300" s="37"/>
      <c r="D300" s="229"/>
      <c r="E300" s="59"/>
      <c r="F300" s="191"/>
      <c r="G300" s="16"/>
      <c r="H300" s="20"/>
      <c r="I300" s="20"/>
      <c r="J300" s="16"/>
      <c r="K300" s="21"/>
      <c r="L300" s="190"/>
      <c r="M300" s="190"/>
      <c r="N300" s="193"/>
      <c r="O300" s="193"/>
      <c r="P300" s="193"/>
      <c r="Q300" s="194"/>
      <c r="R300" s="194"/>
      <c r="S300" s="194"/>
      <c r="T300" s="194"/>
      <c r="U300" s="194"/>
      <c r="V300" s="194"/>
      <c r="W300" s="194"/>
    </row>
    <row r="301" spans="1:23" s="195" customFormat="1">
      <c r="A301" s="189">
        <v>297</v>
      </c>
      <c r="B301" s="37"/>
      <c r="C301" s="37"/>
      <c r="D301" s="229"/>
      <c r="E301" s="59"/>
      <c r="F301" s="191"/>
      <c r="G301" s="16"/>
      <c r="H301" s="20"/>
      <c r="I301" s="20"/>
      <c r="J301" s="16"/>
      <c r="K301" s="21"/>
      <c r="L301" s="190"/>
      <c r="M301" s="190"/>
      <c r="N301" s="193"/>
      <c r="O301" s="193"/>
      <c r="P301" s="193"/>
      <c r="Q301" s="194"/>
      <c r="R301" s="194"/>
      <c r="S301" s="194"/>
      <c r="T301" s="194"/>
      <c r="U301" s="194"/>
      <c r="V301" s="194"/>
      <c r="W301" s="194"/>
    </row>
    <row r="302" spans="1:23" s="195" customFormat="1">
      <c r="A302" s="189">
        <v>298</v>
      </c>
      <c r="B302" s="37"/>
      <c r="C302" s="37"/>
      <c r="D302" s="229"/>
      <c r="E302" s="59"/>
      <c r="F302" s="191"/>
      <c r="G302" s="16"/>
      <c r="H302" s="20"/>
      <c r="I302" s="20"/>
      <c r="J302" s="16"/>
      <c r="K302" s="21"/>
      <c r="L302" s="190"/>
      <c r="M302" s="190"/>
      <c r="N302" s="193"/>
      <c r="O302" s="193"/>
      <c r="P302" s="193"/>
      <c r="Q302" s="194"/>
      <c r="R302" s="194"/>
      <c r="S302" s="194"/>
      <c r="T302" s="194"/>
      <c r="U302" s="194"/>
      <c r="V302" s="194"/>
      <c r="W302" s="194"/>
    </row>
    <row r="303" spans="1:23" s="195" customFormat="1">
      <c r="A303" s="189">
        <v>299</v>
      </c>
      <c r="B303" s="37"/>
      <c r="C303" s="37"/>
      <c r="D303" s="229"/>
      <c r="E303" s="59"/>
      <c r="F303" s="191"/>
      <c r="G303" s="16"/>
      <c r="H303" s="20"/>
      <c r="I303" s="20"/>
      <c r="J303" s="16"/>
      <c r="K303" s="21"/>
      <c r="L303" s="190"/>
      <c r="M303" s="190"/>
      <c r="N303" s="193"/>
      <c r="O303" s="193"/>
      <c r="P303" s="193"/>
      <c r="Q303" s="194"/>
      <c r="R303" s="194"/>
      <c r="S303" s="194"/>
      <c r="T303" s="194"/>
      <c r="U303" s="194"/>
      <c r="V303" s="194"/>
      <c r="W303" s="194"/>
    </row>
    <row r="304" spans="1:23" s="195" customFormat="1">
      <c r="A304" s="189">
        <v>300</v>
      </c>
      <c r="B304" s="37"/>
      <c r="C304" s="37"/>
      <c r="D304" s="229"/>
      <c r="E304" s="59"/>
      <c r="F304" s="191"/>
      <c r="G304" s="16"/>
      <c r="H304" s="20"/>
      <c r="I304" s="20"/>
      <c r="J304" s="16"/>
      <c r="K304" s="21"/>
      <c r="L304" s="190"/>
      <c r="M304" s="190"/>
      <c r="N304" s="193"/>
      <c r="O304" s="193"/>
      <c r="P304" s="193"/>
      <c r="Q304" s="194"/>
      <c r="R304" s="194"/>
      <c r="S304" s="194"/>
      <c r="T304" s="194"/>
      <c r="U304" s="194"/>
      <c r="V304" s="194"/>
      <c r="W304" s="194"/>
    </row>
    <row r="305" spans="1:23" s="195" customFormat="1">
      <c r="A305" s="189">
        <v>301</v>
      </c>
      <c r="B305" s="37"/>
      <c r="C305" s="37"/>
      <c r="D305" s="229"/>
      <c r="E305" s="59"/>
      <c r="F305" s="191"/>
      <c r="G305" s="16"/>
      <c r="H305" s="20"/>
      <c r="I305" s="20"/>
      <c r="J305" s="16"/>
      <c r="K305" s="21"/>
      <c r="L305" s="190"/>
      <c r="M305" s="190"/>
      <c r="N305" s="193"/>
      <c r="O305" s="193"/>
      <c r="P305" s="193"/>
      <c r="Q305" s="194"/>
      <c r="R305" s="194"/>
      <c r="S305" s="194"/>
      <c r="T305" s="194"/>
      <c r="U305" s="194"/>
      <c r="V305" s="194"/>
      <c r="W305" s="194"/>
    </row>
    <row r="306" spans="1:23" s="195" customFormat="1">
      <c r="A306" s="189">
        <v>302</v>
      </c>
      <c r="B306" s="37"/>
      <c r="C306" s="37"/>
      <c r="D306" s="229"/>
      <c r="E306" s="59"/>
      <c r="F306" s="191"/>
      <c r="G306" s="16"/>
      <c r="H306" s="20"/>
      <c r="I306" s="20"/>
      <c r="J306" s="16"/>
      <c r="K306" s="21"/>
      <c r="L306" s="190"/>
      <c r="M306" s="190"/>
      <c r="N306" s="193"/>
      <c r="O306" s="193"/>
      <c r="P306" s="193"/>
      <c r="Q306" s="194"/>
      <c r="R306" s="194"/>
      <c r="S306" s="194"/>
      <c r="T306" s="194"/>
      <c r="U306" s="194"/>
      <c r="V306" s="194"/>
      <c r="W306" s="194"/>
    </row>
    <row r="307" spans="1:23" s="195" customFormat="1">
      <c r="A307" s="189">
        <v>303</v>
      </c>
      <c r="B307" s="37"/>
      <c r="C307" s="37"/>
      <c r="D307" s="221"/>
      <c r="E307" s="59"/>
      <c r="F307" s="191"/>
      <c r="G307" s="16"/>
      <c r="H307" s="20"/>
      <c r="I307" s="20"/>
      <c r="J307" s="16"/>
      <c r="K307" s="21"/>
      <c r="L307" s="190"/>
      <c r="M307" s="190"/>
      <c r="N307" s="193"/>
      <c r="O307" s="193"/>
      <c r="P307" s="193"/>
      <c r="Q307" s="194"/>
      <c r="R307" s="194"/>
      <c r="S307" s="194"/>
      <c r="T307" s="194"/>
      <c r="U307" s="194"/>
      <c r="V307" s="194"/>
      <c r="W307" s="194"/>
    </row>
    <row r="308" spans="1:23" s="195" customFormat="1">
      <c r="A308" s="189">
        <v>304</v>
      </c>
      <c r="B308" s="37"/>
      <c r="C308" s="37"/>
      <c r="D308" s="221"/>
      <c r="E308" s="59"/>
      <c r="F308" s="191"/>
      <c r="G308" s="16"/>
      <c r="H308" s="20"/>
      <c r="I308" s="20"/>
      <c r="J308" s="16"/>
      <c r="K308" s="21"/>
      <c r="L308" s="190"/>
      <c r="M308" s="190"/>
      <c r="N308" s="193"/>
      <c r="O308" s="193"/>
      <c r="P308" s="193"/>
      <c r="Q308" s="194"/>
      <c r="R308" s="194"/>
      <c r="S308" s="194"/>
      <c r="T308" s="194"/>
      <c r="U308" s="194"/>
      <c r="V308" s="194"/>
      <c r="W308" s="194"/>
    </row>
    <row r="309" spans="1:23" s="195" customFormat="1">
      <c r="A309" s="189">
        <v>305</v>
      </c>
      <c r="B309" s="37"/>
      <c r="C309" s="37"/>
      <c r="D309" s="221"/>
      <c r="E309" s="59"/>
      <c r="F309" s="191"/>
      <c r="G309" s="16"/>
      <c r="H309" s="20"/>
      <c r="I309" s="20"/>
      <c r="J309" s="16"/>
      <c r="K309" s="21"/>
      <c r="L309" s="190"/>
      <c r="M309" s="190"/>
      <c r="N309" s="193"/>
      <c r="O309" s="193"/>
      <c r="P309" s="193"/>
      <c r="Q309" s="194"/>
      <c r="R309" s="194"/>
      <c r="S309" s="194"/>
      <c r="T309" s="194"/>
      <c r="U309" s="194"/>
      <c r="V309" s="194"/>
      <c r="W309" s="194"/>
    </row>
    <row r="310" spans="1:23" s="195" customFormat="1">
      <c r="A310" s="189">
        <v>306</v>
      </c>
      <c r="B310" s="37"/>
      <c r="C310" s="37"/>
      <c r="D310" s="221"/>
      <c r="E310" s="59"/>
      <c r="F310" s="191"/>
      <c r="G310" s="16"/>
      <c r="H310" s="20"/>
      <c r="I310" s="20"/>
      <c r="J310" s="16"/>
      <c r="K310" s="21"/>
      <c r="L310" s="190"/>
      <c r="M310" s="190"/>
      <c r="N310" s="193"/>
      <c r="O310" s="193"/>
      <c r="P310" s="193"/>
      <c r="Q310" s="194"/>
      <c r="R310" s="194"/>
      <c r="S310" s="194"/>
      <c r="T310" s="194"/>
      <c r="U310" s="194"/>
      <c r="V310" s="194"/>
      <c r="W310" s="194"/>
    </row>
    <row r="311" spans="1:23" s="195" customFormat="1">
      <c r="A311" s="189">
        <v>307</v>
      </c>
      <c r="B311" s="37"/>
      <c r="C311" s="37"/>
      <c r="D311" s="221"/>
      <c r="E311" s="59"/>
      <c r="F311" s="191"/>
      <c r="G311" s="16"/>
      <c r="H311" s="20"/>
      <c r="I311" s="20"/>
      <c r="J311" s="16"/>
      <c r="K311" s="21"/>
      <c r="L311" s="190"/>
      <c r="M311" s="190"/>
      <c r="N311" s="193"/>
      <c r="O311" s="193"/>
      <c r="P311" s="193"/>
      <c r="Q311" s="194"/>
      <c r="R311" s="194"/>
      <c r="S311" s="194"/>
      <c r="T311" s="194"/>
      <c r="U311" s="194"/>
      <c r="V311" s="194"/>
      <c r="W311" s="194"/>
    </row>
    <row r="312" spans="1:23" s="195" customFormat="1">
      <c r="A312" s="189">
        <v>308</v>
      </c>
      <c r="B312" s="37"/>
      <c r="C312" s="37"/>
      <c r="D312" s="221"/>
      <c r="E312" s="59"/>
      <c r="F312" s="191"/>
      <c r="G312" s="16"/>
      <c r="H312" s="20"/>
      <c r="I312" s="20"/>
      <c r="J312" s="16"/>
      <c r="K312" s="21"/>
      <c r="L312" s="190"/>
      <c r="M312" s="190"/>
      <c r="N312" s="193"/>
      <c r="O312" s="193"/>
      <c r="P312" s="193"/>
      <c r="Q312" s="194"/>
      <c r="R312" s="194"/>
      <c r="S312" s="194"/>
      <c r="T312" s="194"/>
      <c r="U312" s="194"/>
      <c r="V312" s="194"/>
      <c r="W312" s="194"/>
    </row>
    <row r="313" spans="1:23" s="195" customFormat="1">
      <c r="A313" s="189">
        <v>309</v>
      </c>
      <c r="B313" s="37"/>
      <c r="C313" s="37"/>
      <c r="D313" s="221"/>
      <c r="E313" s="59"/>
      <c r="F313" s="191"/>
      <c r="G313" s="16"/>
      <c r="H313" s="20"/>
      <c r="I313" s="20"/>
      <c r="J313" s="16"/>
      <c r="K313" s="21"/>
      <c r="L313" s="190"/>
      <c r="M313" s="190"/>
      <c r="N313" s="193"/>
      <c r="O313" s="193"/>
      <c r="P313" s="193"/>
      <c r="Q313" s="194"/>
      <c r="R313" s="194"/>
      <c r="S313" s="194"/>
      <c r="T313" s="194"/>
      <c r="U313" s="194"/>
      <c r="V313" s="194"/>
      <c r="W313" s="194"/>
    </row>
    <row r="314" spans="1:23" s="195" customFormat="1">
      <c r="A314" s="189">
        <v>310</v>
      </c>
      <c r="B314" s="37"/>
      <c r="C314" s="37"/>
      <c r="D314" s="221"/>
      <c r="E314" s="59"/>
      <c r="F314" s="191"/>
      <c r="G314" s="16"/>
      <c r="H314" s="20"/>
      <c r="I314" s="20"/>
      <c r="J314" s="16"/>
      <c r="K314" s="21"/>
      <c r="L314" s="190"/>
      <c r="M314" s="190"/>
      <c r="N314" s="193"/>
      <c r="O314" s="193"/>
      <c r="P314" s="193"/>
      <c r="Q314" s="194"/>
      <c r="R314" s="194"/>
      <c r="S314" s="194"/>
      <c r="T314" s="194"/>
      <c r="U314" s="194"/>
      <c r="V314" s="194"/>
      <c r="W314" s="194"/>
    </row>
    <row r="315" spans="1:23" s="195" customFormat="1">
      <c r="A315" s="189">
        <v>311</v>
      </c>
      <c r="B315" s="37"/>
      <c r="C315" s="37"/>
      <c r="D315" s="221"/>
      <c r="E315" s="59"/>
      <c r="F315" s="191"/>
      <c r="G315" s="16"/>
      <c r="H315" s="20"/>
      <c r="I315" s="20"/>
      <c r="J315" s="16"/>
      <c r="K315" s="21"/>
      <c r="L315" s="190"/>
      <c r="M315" s="190"/>
      <c r="N315" s="193"/>
      <c r="O315" s="193"/>
      <c r="P315" s="193"/>
      <c r="Q315" s="194"/>
      <c r="R315" s="194"/>
      <c r="S315" s="194"/>
      <c r="T315" s="194"/>
      <c r="U315" s="194"/>
      <c r="V315" s="194"/>
      <c r="W315" s="194"/>
    </row>
    <row r="316" spans="1:23" s="195" customFormat="1">
      <c r="A316" s="189">
        <v>312</v>
      </c>
      <c r="B316" s="37"/>
      <c r="C316" s="37"/>
      <c r="D316" s="221"/>
      <c r="E316" s="59"/>
      <c r="F316" s="191"/>
      <c r="G316" s="16"/>
      <c r="H316" s="20"/>
      <c r="I316" s="20"/>
      <c r="J316" s="16"/>
      <c r="K316" s="21"/>
      <c r="L316" s="190"/>
      <c r="M316" s="190"/>
      <c r="N316" s="193"/>
      <c r="O316" s="193"/>
      <c r="P316" s="193"/>
      <c r="Q316" s="194"/>
      <c r="R316" s="194"/>
      <c r="S316" s="194"/>
      <c r="T316" s="194"/>
      <c r="U316" s="194"/>
      <c r="V316" s="194"/>
      <c r="W316" s="194"/>
    </row>
    <row r="317" spans="1:23" s="195" customFormat="1">
      <c r="A317" s="189">
        <v>313</v>
      </c>
      <c r="B317" s="37"/>
      <c r="C317" s="37"/>
      <c r="D317" s="221"/>
      <c r="E317" s="59"/>
      <c r="F317" s="191"/>
      <c r="G317" s="16"/>
      <c r="H317" s="20"/>
      <c r="I317" s="20"/>
      <c r="J317" s="16"/>
      <c r="K317" s="21"/>
      <c r="L317" s="190"/>
      <c r="M317" s="190"/>
      <c r="N317" s="193"/>
      <c r="O317" s="193"/>
      <c r="P317" s="193"/>
      <c r="Q317" s="194"/>
      <c r="R317" s="194"/>
      <c r="S317" s="194"/>
      <c r="T317" s="194"/>
      <c r="U317" s="194"/>
      <c r="V317" s="194"/>
      <c r="W317" s="194"/>
    </row>
    <row r="318" spans="1:23" s="195" customFormat="1">
      <c r="A318" s="189">
        <v>314</v>
      </c>
      <c r="B318" s="37"/>
      <c r="C318" s="37"/>
      <c r="D318" s="221"/>
      <c r="E318" s="59"/>
      <c r="F318" s="191"/>
      <c r="G318" s="16"/>
      <c r="H318" s="20"/>
      <c r="I318" s="20"/>
      <c r="J318" s="16"/>
      <c r="K318" s="21"/>
      <c r="L318" s="190"/>
      <c r="M318" s="190"/>
      <c r="N318" s="193"/>
      <c r="O318" s="193"/>
      <c r="P318" s="193"/>
      <c r="Q318" s="194"/>
      <c r="R318" s="194"/>
      <c r="S318" s="194"/>
      <c r="T318" s="194"/>
      <c r="U318" s="194"/>
      <c r="V318" s="194"/>
      <c r="W318" s="194"/>
    </row>
    <row r="319" spans="1:23" s="195" customFormat="1">
      <c r="A319" s="189">
        <v>315</v>
      </c>
      <c r="B319" s="37"/>
      <c r="C319" s="37"/>
      <c r="D319" s="221"/>
      <c r="E319" s="59"/>
      <c r="F319" s="191"/>
      <c r="G319" s="16"/>
      <c r="H319" s="20"/>
      <c r="I319" s="20"/>
      <c r="J319" s="16"/>
      <c r="K319" s="21"/>
      <c r="L319" s="190"/>
      <c r="M319" s="190"/>
      <c r="N319" s="193"/>
      <c r="O319" s="193"/>
      <c r="P319" s="193"/>
      <c r="Q319" s="194"/>
      <c r="R319" s="194"/>
      <c r="S319" s="194"/>
      <c r="T319" s="194"/>
      <c r="U319" s="194"/>
      <c r="V319" s="194"/>
      <c r="W319" s="194"/>
    </row>
    <row r="320" spans="1:23" s="195" customFormat="1">
      <c r="A320" s="189">
        <v>316</v>
      </c>
      <c r="B320" s="37"/>
      <c r="C320" s="37"/>
      <c r="D320" s="221"/>
      <c r="E320" s="59"/>
      <c r="F320" s="191"/>
      <c r="G320" s="16"/>
      <c r="H320" s="20"/>
      <c r="I320" s="20"/>
      <c r="J320" s="16"/>
      <c r="K320" s="21"/>
      <c r="L320" s="190"/>
      <c r="M320" s="190"/>
      <c r="N320" s="193"/>
      <c r="O320" s="193"/>
      <c r="P320" s="193"/>
      <c r="Q320" s="194"/>
      <c r="R320" s="194"/>
      <c r="S320" s="194"/>
      <c r="T320" s="194"/>
      <c r="U320" s="194"/>
      <c r="V320" s="194"/>
      <c r="W320" s="194"/>
    </row>
    <row r="321" spans="1:23" s="195" customFormat="1">
      <c r="A321" s="189">
        <v>317</v>
      </c>
      <c r="B321" s="37"/>
      <c r="C321" s="37"/>
      <c r="D321" s="221"/>
      <c r="E321" s="59"/>
      <c r="F321" s="191"/>
      <c r="G321" s="16"/>
      <c r="H321" s="20"/>
      <c r="I321" s="20"/>
      <c r="J321" s="16"/>
      <c r="K321" s="21"/>
      <c r="L321" s="190"/>
      <c r="M321" s="190"/>
      <c r="N321" s="193"/>
      <c r="O321" s="193"/>
      <c r="P321" s="193"/>
      <c r="Q321" s="194"/>
      <c r="R321" s="194"/>
      <c r="S321" s="194"/>
      <c r="T321" s="194"/>
      <c r="U321" s="194"/>
      <c r="V321" s="194"/>
      <c r="W321" s="194"/>
    </row>
    <row r="322" spans="1:23" s="195" customFormat="1">
      <c r="A322" s="189">
        <v>318</v>
      </c>
      <c r="B322" s="37"/>
      <c r="C322" s="37"/>
      <c r="D322" s="221"/>
      <c r="E322" s="59"/>
      <c r="F322" s="191"/>
      <c r="G322" s="16"/>
      <c r="H322" s="20"/>
      <c r="I322" s="20"/>
      <c r="J322" s="16"/>
      <c r="K322" s="21"/>
      <c r="L322" s="190"/>
      <c r="M322" s="190"/>
      <c r="N322" s="193"/>
      <c r="O322" s="193"/>
      <c r="P322" s="193"/>
      <c r="Q322" s="194"/>
      <c r="R322" s="194"/>
      <c r="S322" s="194"/>
      <c r="T322" s="194"/>
      <c r="U322" s="194"/>
      <c r="V322" s="194"/>
      <c r="W322" s="194"/>
    </row>
    <row r="323" spans="1:23" s="195" customFormat="1">
      <c r="A323" s="189">
        <v>319</v>
      </c>
      <c r="B323" s="37"/>
      <c r="C323" s="37"/>
      <c r="D323" s="221"/>
      <c r="E323" s="59"/>
      <c r="F323" s="191"/>
      <c r="G323" s="16"/>
      <c r="H323" s="20"/>
      <c r="I323" s="20"/>
      <c r="J323" s="16"/>
      <c r="K323" s="21"/>
      <c r="L323" s="190"/>
      <c r="M323" s="190"/>
      <c r="N323" s="193"/>
      <c r="O323" s="193"/>
      <c r="P323" s="193"/>
      <c r="Q323" s="194"/>
      <c r="R323" s="194"/>
      <c r="S323" s="194"/>
      <c r="T323" s="194"/>
      <c r="U323" s="194"/>
      <c r="V323" s="194"/>
      <c r="W323" s="194"/>
    </row>
    <row r="324" spans="1:23" s="195" customFormat="1">
      <c r="A324" s="189">
        <v>320</v>
      </c>
      <c r="B324" s="37"/>
      <c r="C324" s="37"/>
      <c r="D324" s="221"/>
      <c r="E324" s="59"/>
      <c r="F324" s="191"/>
      <c r="G324" s="16"/>
      <c r="H324" s="20"/>
      <c r="I324" s="20"/>
      <c r="J324" s="16"/>
      <c r="K324" s="21"/>
      <c r="L324" s="190"/>
      <c r="M324" s="190"/>
      <c r="N324" s="193"/>
      <c r="O324" s="193"/>
      <c r="P324" s="193"/>
      <c r="Q324" s="194"/>
      <c r="R324" s="194"/>
      <c r="S324" s="194"/>
      <c r="T324" s="194"/>
      <c r="U324" s="194"/>
      <c r="V324" s="194"/>
      <c r="W324" s="194"/>
    </row>
    <row r="325" spans="1:23" s="195" customFormat="1">
      <c r="A325" s="189">
        <v>321</v>
      </c>
      <c r="B325" s="37"/>
      <c r="C325" s="37"/>
      <c r="D325" s="221"/>
      <c r="E325" s="59"/>
      <c r="F325" s="191"/>
      <c r="G325" s="16"/>
      <c r="H325" s="20"/>
      <c r="I325" s="20"/>
      <c r="J325" s="16"/>
      <c r="K325" s="21"/>
      <c r="L325" s="190"/>
      <c r="M325" s="190"/>
      <c r="N325" s="193"/>
      <c r="O325" s="193"/>
      <c r="P325" s="193"/>
      <c r="Q325" s="194"/>
      <c r="R325" s="194"/>
      <c r="S325" s="194"/>
      <c r="T325" s="194"/>
      <c r="U325" s="194"/>
      <c r="V325" s="194"/>
      <c r="W325" s="194"/>
    </row>
    <row r="326" spans="1:23" s="195" customFormat="1">
      <c r="A326" s="189">
        <v>322</v>
      </c>
      <c r="B326" s="37"/>
      <c r="C326" s="37"/>
      <c r="D326" s="221"/>
      <c r="E326" s="59"/>
      <c r="F326" s="191"/>
      <c r="G326" s="16"/>
      <c r="H326" s="20"/>
      <c r="I326" s="20"/>
      <c r="J326" s="16"/>
      <c r="K326" s="21"/>
      <c r="L326" s="190"/>
      <c r="M326" s="190"/>
      <c r="N326" s="193"/>
      <c r="O326" s="193"/>
      <c r="P326" s="193"/>
      <c r="Q326" s="194"/>
      <c r="R326" s="194"/>
      <c r="S326" s="194"/>
      <c r="T326" s="194"/>
      <c r="U326" s="194"/>
      <c r="V326" s="194"/>
      <c r="W326" s="194"/>
    </row>
    <row r="327" spans="1:23" s="195" customFormat="1">
      <c r="A327" s="189">
        <v>323</v>
      </c>
      <c r="B327" s="37"/>
      <c r="C327" s="37"/>
      <c r="D327" s="221"/>
      <c r="E327" s="59"/>
      <c r="F327" s="191"/>
      <c r="G327" s="16"/>
      <c r="H327" s="20"/>
      <c r="I327" s="20"/>
      <c r="J327" s="16"/>
      <c r="K327" s="21"/>
      <c r="L327" s="190"/>
      <c r="M327" s="190"/>
      <c r="N327" s="193"/>
      <c r="O327" s="193"/>
      <c r="P327" s="193"/>
      <c r="Q327" s="194"/>
      <c r="R327" s="194"/>
      <c r="S327" s="194"/>
      <c r="T327" s="194"/>
      <c r="U327" s="194"/>
      <c r="V327" s="194"/>
      <c r="W327" s="194"/>
    </row>
    <row r="328" spans="1:23" s="195" customFormat="1">
      <c r="A328" s="189">
        <v>324</v>
      </c>
      <c r="B328" s="37"/>
      <c r="C328" s="37"/>
      <c r="D328" s="221"/>
      <c r="E328" s="59"/>
      <c r="F328" s="191"/>
      <c r="G328" s="16"/>
      <c r="H328" s="20"/>
      <c r="I328" s="20"/>
      <c r="J328" s="16"/>
      <c r="K328" s="21"/>
      <c r="L328" s="190"/>
      <c r="M328" s="190"/>
      <c r="N328" s="193"/>
      <c r="O328" s="193"/>
      <c r="P328" s="193"/>
      <c r="Q328" s="194"/>
      <c r="R328" s="194"/>
      <c r="S328" s="194"/>
      <c r="T328" s="194"/>
      <c r="U328" s="194"/>
      <c r="V328" s="194"/>
      <c r="W328" s="194"/>
    </row>
    <row r="329" spans="1:23" s="195" customFormat="1">
      <c r="A329" s="189">
        <v>325</v>
      </c>
      <c r="B329" s="37"/>
      <c r="C329" s="37"/>
      <c r="D329" s="221"/>
      <c r="E329" s="59"/>
      <c r="F329" s="191"/>
      <c r="G329" s="16"/>
      <c r="H329" s="20"/>
      <c r="I329" s="20"/>
      <c r="J329" s="16"/>
      <c r="K329" s="21"/>
      <c r="L329" s="190"/>
      <c r="M329" s="190"/>
      <c r="N329" s="193"/>
      <c r="O329" s="193"/>
      <c r="P329" s="193"/>
      <c r="Q329" s="194"/>
      <c r="R329" s="194"/>
      <c r="S329" s="194"/>
      <c r="T329" s="194"/>
      <c r="U329" s="194"/>
      <c r="V329" s="194"/>
      <c r="W329" s="194"/>
    </row>
    <row r="330" spans="1:23" s="195" customFormat="1">
      <c r="A330" s="189">
        <v>326</v>
      </c>
      <c r="B330" s="37"/>
      <c r="C330" s="37"/>
      <c r="D330" s="221"/>
      <c r="E330" s="59"/>
      <c r="F330" s="191"/>
      <c r="G330" s="16"/>
      <c r="H330" s="20"/>
      <c r="I330" s="20"/>
      <c r="J330" s="16"/>
      <c r="K330" s="21"/>
      <c r="L330" s="190"/>
      <c r="M330" s="190"/>
      <c r="N330" s="193"/>
      <c r="O330" s="193"/>
      <c r="P330" s="193"/>
      <c r="Q330" s="194"/>
      <c r="R330" s="194"/>
      <c r="S330" s="194"/>
      <c r="T330" s="194"/>
      <c r="U330" s="194"/>
      <c r="V330" s="194"/>
      <c r="W330" s="194"/>
    </row>
    <row r="331" spans="1:23" s="195" customFormat="1">
      <c r="A331" s="189">
        <v>327</v>
      </c>
      <c r="B331" s="37"/>
      <c r="C331" s="37"/>
      <c r="D331" s="221"/>
      <c r="E331" s="59"/>
      <c r="F331" s="191"/>
      <c r="G331" s="16"/>
      <c r="H331" s="20"/>
      <c r="I331" s="20"/>
      <c r="J331" s="16"/>
      <c r="K331" s="21"/>
      <c r="L331" s="190"/>
      <c r="M331" s="190"/>
      <c r="N331" s="193"/>
      <c r="O331" s="193"/>
      <c r="P331" s="193"/>
      <c r="Q331" s="194"/>
      <c r="R331" s="194"/>
      <c r="S331" s="194"/>
      <c r="T331" s="194"/>
      <c r="U331" s="194"/>
      <c r="V331" s="194"/>
      <c r="W331" s="194"/>
    </row>
    <row r="332" spans="1:23" s="195" customFormat="1">
      <c r="A332" s="189">
        <v>328</v>
      </c>
      <c r="B332" s="37"/>
      <c r="C332" s="37"/>
      <c r="D332" s="221"/>
      <c r="E332" s="59"/>
      <c r="F332" s="191"/>
      <c r="G332" s="16"/>
      <c r="H332" s="20"/>
      <c r="I332" s="20"/>
      <c r="J332" s="16"/>
      <c r="K332" s="21"/>
      <c r="L332" s="190"/>
      <c r="M332" s="190"/>
      <c r="N332" s="193"/>
      <c r="O332" s="193"/>
      <c r="P332" s="193"/>
      <c r="Q332" s="194"/>
      <c r="R332" s="194"/>
      <c r="S332" s="194"/>
      <c r="T332" s="194"/>
      <c r="U332" s="194"/>
      <c r="V332" s="194"/>
      <c r="W332" s="194"/>
    </row>
    <row r="333" spans="1:23" s="195" customFormat="1">
      <c r="A333" s="189">
        <v>329</v>
      </c>
      <c r="B333" s="37"/>
      <c r="C333" s="37"/>
      <c r="D333" s="221"/>
      <c r="E333" s="59"/>
      <c r="F333" s="191"/>
      <c r="G333" s="16"/>
      <c r="H333" s="20"/>
      <c r="I333" s="20"/>
      <c r="J333" s="16"/>
      <c r="K333" s="21"/>
      <c r="L333" s="190"/>
      <c r="M333" s="190"/>
      <c r="N333" s="193"/>
      <c r="O333" s="193"/>
      <c r="P333" s="193"/>
      <c r="Q333" s="194"/>
      <c r="R333" s="194"/>
      <c r="S333" s="194"/>
      <c r="T333" s="194"/>
      <c r="U333" s="194"/>
      <c r="V333" s="194"/>
      <c r="W333" s="194"/>
    </row>
    <row r="334" spans="1:23" s="195" customFormat="1">
      <c r="A334" s="189">
        <v>330</v>
      </c>
      <c r="B334" s="37"/>
      <c r="C334" s="37"/>
      <c r="D334" s="221"/>
      <c r="E334" s="59"/>
      <c r="F334" s="191"/>
      <c r="G334" s="16"/>
      <c r="H334" s="20"/>
      <c r="I334" s="20"/>
      <c r="J334" s="16"/>
      <c r="K334" s="21"/>
      <c r="L334" s="190"/>
      <c r="M334" s="190"/>
      <c r="N334" s="193"/>
      <c r="O334" s="193"/>
      <c r="P334" s="193"/>
      <c r="Q334" s="194"/>
      <c r="R334" s="194"/>
      <c r="S334" s="194"/>
      <c r="T334" s="194"/>
      <c r="U334" s="194"/>
      <c r="V334" s="194"/>
      <c r="W334" s="194"/>
    </row>
    <row r="335" spans="1:23" s="195" customFormat="1">
      <c r="A335" s="189">
        <v>331</v>
      </c>
      <c r="B335" s="37"/>
      <c r="C335" s="37"/>
      <c r="D335" s="221"/>
      <c r="E335" s="59"/>
      <c r="F335" s="191"/>
      <c r="G335" s="16"/>
      <c r="H335" s="20"/>
      <c r="I335" s="20"/>
      <c r="J335" s="16"/>
      <c r="K335" s="21"/>
      <c r="L335" s="190"/>
      <c r="M335" s="190"/>
      <c r="N335" s="193"/>
      <c r="O335" s="193"/>
      <c r="P335" s="193"/>
      <c r="Q335" s="194"/>
      <c r="R335" s="194"/>
      <c r="S335" s="194"/>
      <c r="T335" s="194"/>
      <c r="U335" s="194"/>
      <c r="V335" s="194"/>
      <c r="W335" s="194"/>
    </row>
    <row r="336" spans="1:23" s="195" customFormat="1">
      <c r="A336" s="189">
        <v>332</v>
      </c>
      <c r="B336" s="37"/>
      <c r="C336" s="37"/>
      <c r="D336" s="221"/>
      <c r="E336" s="59"/>
      <c r="F336" s="191"/>
      <c r="G336" s="16"/>
      <c r="H336" s="20"/>
      <c r="I336" s="20"/>
      <c r="J336" s="16"/>
      <c r="K336" s="21"/>
      <c r="L336" s="190"/>
      <c r="M336" s="190"/>
      <c r="N336" s="193"/>
      <c r="O336" s="193"/>
      <c r="P336" s="193"/>
      <c r="Q336" s="194"/>
      <c r="R336" s="194"/>
      <c r="S336" s="194"/>
      <c r="T336" s="194"/>
      <c r="U336" s="194"/>
      <c r="V336" s="194"/>
      <c r="W336" s="194"/>
    </row>
    <row r="337" spans="1:23" s="195" customFormat="1">
      <c r="A337" s="189">
        <v>333</v>
      </c>
      <c r="B337" s="37"/>
      <c r="C337" s="37"/>
      <c r="D337" s="221"/>
      <c r="E337" s="59"/>
      <c r="F337" s="191"/>
      <c r="G337" s="16"/>
      <c r="H337" s="20"/>
      <c r="I337" s="20"/>
      <c r="J337" s="16"/>
      <c r="K337" s="21"/>
      <c r="L337" s="190"/>
      <c r="M337" s="190"/>
      <c r="N337" s="193"/>
      <c r="O337" s="193"/>
      <c r="P337" s="193"/>
      <c r="Q337" s="194"/>
      <c r="R337" s="194"/>
      <c r="S337" s="194"/>
      <c r="T337" s="194"/>
      <c r="U337" s="194"/>
      <c r="V337" s="194"/>
      <c r="W337" s="194"/>
    </row>
    <row r="338" spans="1:23" s="195" customFormat="1">
      <c r="A338" s="189">
        <v>334</v>
      </c>
      <c r="B338" s="37"/>
      <c r="C338" s="37"/>
      <c r="D338" s="221"/>
      <c r="E338" s="59"/>
      <c r="F338" s="191"/>
      <c r="G338" s="16"/>
      <c r="H338" s="20"/>
      <c r="I338" s="20"/>
      <c r="J338" s="16"/>
      <c r="K338" s="21"/>
      <c r="L338" s="190"/>
      <c r="M338" s="190"/>
      <c r="N338" s="193"/>
      <c r="O338" s="193"/>
      <c r="P338" s="193"/>
      <c r="Q338" s="194"/>
      <c r="R338" s="194"/>
      <c r="S338" s="194"/>
      <c r="T338" s="194"/>
      <c r="U338" s="194"/>
      <c r="V338" s="194"/>
      <c r="W338" s="194"/>
    </row>
    <row r="339" spans="1:23" s="195" customFormat="1">
      <c r="A339" s="189">
        <v>335</v>
      </c>
      <c r="B339" s="37"/>
      <c r="C339" s="37"/>
      <c r="D339" s="221"/>
      <c r="E339" s="59"/>
      <c r="F339" s="191"/>
      <c r="G339" s="16"/>
      <c r="H339" s="20"/>
      <c r="I339" s="20"/>
      <c r="J339" s="16"/>
      <c r="K339" s="21"/>
      <c r="L339" s="190"/>
      <c r="M339" s="190"/>
      <c r="N339" s="193"/>
      <c r="O339" s="193"/>
      <c r="P339" s="193"/>
      <c r="Q339" s="194"/>
      <c r="R339" s="194"/>
      <c r="S339" s="194"/>
      <c r="T339" s="194"/>
      <c r="U339" s="194"/>
      <c r="V339" s="194"/>
      <c r="W339" s="194"/>
    </row>
    <row r="340" spans="1:23" s="195" customFormat="1">
      <c r="A340" s="189">
        <v>336</v>
      </c>
      <c r="B340" s="37"/>
      <c r="C340" s="37"/>
      <c r="D340" s="221"/>
      <c r="E340" s="59"/>
      <c r="F340" s="191"/>
      <c r="G340" s="16"/>
      <c r="H340" s="20"/>
      <c r="I340" s="20"/>
      <c r="J340" s="16"/>
      <c r="K340" s="21"/>
      <c r="L340" s="190"/>
      <c r="M340" s="190"/>
      <c r="N340" s="193"/>
      <c r="O340" s="193"/>
      <c r="P340" s="193"/>
      <c r="Q340" s="194"/>
      <c r="R340" s="194"/>
      <c r="S340" s="194"/>
      <c r="T340" s="194"/>
      <c r="U340" s="194"/>
      <c r="V340" s="194"/>
      <c r="W340" s="194"/>
    </row>
    <row r="341" spans="1:23" s="195" customFormat="1">
      <c r="A341" s="189">
        <v>337</v>
      </c>
      <c r="B341" s="37"/>
      <c r="C341" s="37"/>
      <c r="D341" s="221"/>
      <c r="E341" s="59"/>
      <c r="F341" s="191"/>
      <c r="G341" s="16"/>
      <c r="H341" s="20"/>
      <c r="I341" s="20"/>
      <c r="J341" s="16"/>
      <c r="K341" s="21"/>
      <c r="L341" s="190"/>
      <c r="M341" s="190"/>
      <c r="N341" s="193"/>
      <c r="O341" s="193"/>
      <c r="P341" s="193"/>
      <c r="Q341" s="194"/>
      <c r="R341" s="194"/>
      <c r="S341" s="194"/>
      <c r="T341" s="194"/>
      <c r="U341" s="194"/>
      <c r="V341" s="194"/>
      <c r="W341" s="194"/>
    </row>
    <row r="342" spans="1:23" s="195" customFormat="1">
      <c r="A342" s="189">
        <v>338</v>
      </c>
      <c r="B342" s="37"/>
      <c r="C342" s="37"/>
      <c r="D342" s="221"/>
      <c r="E342" s="59"/>
      <c r="F342" s="191"/>
      <c r="G342" s="16"/>
      <c r="H342" s="20"/>
      <c r="I342" s="20"/>
      <c r="J342" s="16"/>
      <c r="K342" s="21"/>
      <c r="L342" s="190"/>
      <c r="M342" s="190"/>
      <c r="N342" s="193"/>
      <c r="O342" s="193"/>
      <c r="P342" s="193"/>
      <c r="Q342" s="194"/>
      <c r="R342" s="194"/>
      <c r="S342" s="194"/>
      <c r="T342" s="194"/>
      <c r="U342" s="194"/>
      <c r="V342" s="194"/>
      <c r="W342" s="194"/>
    </row>
    <row r="343" spans="1:23" s="195" customFormat="1">
      <c r="A343" s="189">
        <v>339</v>
      </c>
      <c r="B343" s="37"/>
      <c r="C343" s="37"/>
      <c r="D343" s="221"/>
      <c r="E343" s="59"/>
      <c r="F343" s="191"/>
      <c r="G343" s="16"/>
      <c r="H343" s="20"/>
      <c r="I343" s="20"/>
      <c r="J343" s="16"/>
      <c r="K343" s="21"/>
      <c r="L343" s="190"/>
      <c r="M343" s="190"/>
      <c r="N343" s="193"/>
      <c r="O343" s="193"/>
      <c r="P343" s="193"/>
      <c r="Q343" s="194"/>
      <c r="R343" s="194"/>
      <c r="S343" s="194"/>
      <c r="T343" s="194"/>
      <c r="U343" s="194"/>
      <c r="V343" s="194"/>
      <c r="W343" s="194"/>
    </row>
    <row r="344" spans="1:23" s="195" customFormat="1">
      <c r="A344" s="189">
        <v>340</v>
      </c>
      <c r="B344" s="37"/>
      <c r="C344" s="37"/>
      <c r="D344" s="221"/>
      <c r="E344" s="59"/>
      <c r="F344" s="191"/>
      <c r="G344" s="16"/>
      <c r="H344" s="20"/>
      <c r="I344" s="20"/>
      <c r="J344" s="16"/>
      <c r="K344" s="21"/>
      <c r="L344" s="190"/>
      <c r="M344" s="190"/>
      <c r="N344" s="193"/>
      <c r="O344" s="193"/>
      <c r="P344" s="193"/>
      <c r="Q344" s="194"/>
      <c r="R344" s="194"/>
      <c r="S344" s="194"/>
      <c r="T344" s="194"/>
      <c r="U344" s="194"/>
      <c r="V344" s="194"/>
      <c r="W344" s="194"/>
    </row>
    <row r="345" spans="1:23" s="195" customFormat="1">
      <c r="A345" s="189">
        <v>341</v>
      </c>
      <c r="B345" s="37"/>
      <c r="C345" s="37"/>
      <c r="D345" s="221"/>
      <c r="E345" s="59"/>
      <c r="F345" s="191"/>
      <c r="G345" s="16"/>
      <c r="H345" s="20"/>
      <c r="I345" s="20"/>
      <c r="J345" s="16"/>
      <c r="K345" s="21"/>
      <c r="L345" s="190"/>
      <c r="M345" s="190"/>
      <c r="N345" s="193"/>
      <c r="O345" s="193"/>
      <c r="P345" s="193"/>
      <c r="Q345" s="194"/>
      <c r="R345" s="194"/>
      <c r="S345" s="194"/>
      <c r="T345" s="194"/>
      <c r="U345" s="194"/>
      <c r="V345" s="194"/>
      <c r="W345" s="194"/>
    </row>
    <row r="346" spans="1:23" s="195" customFormat="1">
      <c r="A346" s="189">
        <v>342</v>
      </c>
      <c r="B346" s="37"/>
      <c r="C346" s="37"/>
      <c r="D346" s="221"/>
      <c r="E346" s="59"/>
      <c r="F346" s="191"/>
      <c r="G346" s="16"/>
      <c r="H346" s="20"/>
      <c r="I346" s="20"/>
      <c r="J346" s="16"/>
      <c r="K346" s="21"/>
      <c r="L346" s="190"/>
      <c r="M346" s="190"/>
      <c r="N346" s="193"/>
      <c r="O346" s="193"/>
      <c r="P346" s="193"/>
      <c r="Q346" s="194"/>
      <c r="R346" s="194"/>
      <c r="S346" s="194"/>
      <c r="T346" s="194"/>
      <c r="U346" s="194"/>
      <c r="V346" s="194"/>
      <c r="W346" s="194"/>
    </row>
    <row r="347" spans="1:23" s="195" customFormat="1">
      <c r="A347" s="189">
        <v>343</v>
      </c>
      <c r="B347" s="37"/>
      <c r="C347" s="37"/>
      <c r="D347" s="221"/>
      <c r="E347" s="59"/>
      <c r="F347" s="191"/>
      <c r="G347" s="16"/>
      <c r="H347" s="20"/>
      <c r="I347" s="20"/>
      <c r="J347" s="16"/>
      <c r="K347" s="21"/>
      <c r="L347" s="190"/>
      <c r="M347" s="190"/>
      <c r="N347" s="193"/>
      <c r="O347" s="193"/>
      <c r="P347" s="193"/>
      <c r="Q347" s="194"/>
      <c r="R347" s="194"/>
      <c r="S347" s="194"/>
      <c r="T347" s="194"/>
      <c r="U347" s="194"/>
      <c r="V347" s="194"/>
      <c r="W347" s="194"/>
    </row>
    <row r="348" spans="1:23" s="195" customFormat="1">
      <c r="A348" s="189">
        <v>344</v>
      </c>
      <c r="B348" s="37"/>
      <c r="C348" s="37"/>
      <c r="D348" s="221"/>
      <c r="E348" s="59"/>
      <c r="F348" s="191"/>
      <c r="G348" s="16"/>
      <c r="H348" s="20"/>
      <c r="I348" s="20"/>
      <c r="J348" s="16"/>
      <c r="K348" s="21"/>
      <c r="L348" s="190"/>
      <c r="M348" s="190"/>
      <c r="N348" s="193"/>
      <c r="O348" s="193"/>
      <c r="P348" s="193"/>
      <c r="Q348" s="194"/>
      <c r="R348" s="194"/>
      <c r="S348" s="194"/>
      <c r="T348" s="194"/>
      <c r="U348" s="194"/>
      <c r="V348" s="194"/>
      <c r="W348" s="194"/>
    </row>
    <row r="349" spans="1:23" s="195" customFormat="1">
      <c r="A349" s="189">
        <v>345</v>
      </c>
      <c r="B349" s="37"/>
      <c r="C349" s="37"/>
      <c r="D349" s="221"/>
      <c r="E349" s="59"/>
      <c r="F349" s="191"/>
      <c r="G349" s="16"/>
      <c r="H349" s="20"/>
      <c r="I349" s="20"/>
      <c r="J349" s="16"/>
      <c r="K349" s="21"/>
      <c r="L349" s="190"/>
      <c r="M349" s="190"/>
      <c r="N349" s="193"/>
      <c r="O349" s="193"/>
      <c r="P349" s="193"/>
      <c r="Q349" s="194"/>
      <c r="R349" s="194"/>
      <c r="S349" s="194"/>
      <c r="T349" s="194"/>
      <c r="U349" s="194"/>
      <c r="V349" s="194"/>
      <c r="W349" s="194"/>
    </row>
    <row r="350" spans="1:23" s="195" customFormat="1">
      <c r="A350" s="189">
        <v>346</v>
      </c>
      <c r="B350" s="37"/>
      <c r="C350" s="37"/>
      <c r="D350" s="221"/>
      <c r="E350" s="59"/>
      <c r="F350" s="191"/>
      <c r="G350" s="16"/>
      <c r="H350" s="20"/>
      <c r="I350" s="20"/>
      <c r="J350" s="16"/>
      <c r="K350" s="21"/>
      <c r="L350" s="190"/>
      <c r="M350" s="190"/>
      <c r="N350" s="193"/>
      <c r="O350" s="193"/>
      <c r="P350" s="193"/>
      <c r="Q350" s="194"/>
      <c r="R350" s="194"/>
      <c r="S350" s="194"/>
      <c r="T350" s="194"/>
      <c r="U350" s="194"/>
      <c r="V350" s="194"/>
      <c r="W350" s="194"/>
    </row>
    <row r="351" spans="1:23" s="195" customFormat="1">
      <c r="A351" s="189">
        <v>347</v>
      </c>
      <c r="B351" s="37"/>
      <c r="C351" s="37"/>
      <c r="D351" s="221"/>
      <c r="E351" s="59"/>
      <c r="F351" s="191"/>
      <c r="G351" s="16"/>
      <c r="H351" s="20"/>
      <c r="I351" s="20"/>
      <c r="J351" s="16"/>
      <c r="K351" s="21"/>
      <c r="L351" s="190"/>
      <c r="M351" s="190"/>
      <c r="N351" s="193"/>
      <c r="O351" s="193"/>
      <c r="P351" s="193"/>
      <c r="Q351" s="194"/>
      <c r="R351" s="194"/>
      <c r="S351" s="194"/>
      <c r="T351" s="194"/>
      <c r="U351" s="194"/>
      <c r="V351" s="194"/>
      <c r="W351" s="194"/>
    </row>
    <row r="352" spans="1:23" s="195" customFormat="1">
      <c r="A352" s="189">
        <v>348</v>
      </c>
      <c r="B352" s="37"/>
      <c r="C352" s="37"/>
      <c r="D352" s="221"/>
      <c r="E352" s="59"/>
      <c r="F352" s="191"/>
      <c r="G352" s="16"/>
      <c r="H352" s="20"/>
      <c r="I352" s="20"/>
      <c r="J352" s="16"/>
      <c r="K352" s="21"/>
      <c r="L352" s="190"/>
      <c r="M352" s="190"/>
      <c r="N352" s="193"/>
      <c r="O352" s="193"/>
      <c r="P352" s="193"/>
      <c r="Q352" s="194"/>
      <c r="R352" s="194"/>
      <c r="S352" s="194"/>
      <c r="T352" s="194"/>
      <c r="U352" s="194"/>
      <c r="V352" s="194"/>
      <c r="W352" s="194"/>
    </row>
    <row r="353" spans="1:23" s="195" customFormat="1">
      <c r="A353" s="189">
        <v>349</v>
      </c>
      <c r="B353" s="37"/>
      <c r="C353" s="37"/>
      <c r="D353" s="221"/>
      <c r="E353" s="59"/>
      <c r="F353" s="191"/>
      <c r="G353" s="16"/>
      <c r="H353" s="20"/>
      <c r="I353" s="20"/>
      <c r="J353" s="16"/>
      <c r="K353" s="21"/>
      <c r="L353" s="190"/>
      <c r="M353" s="190"/>
      <c r="N353" s="193"/>
      <c r="O353" s="193"/>
      <c r="P353" s="193"/>
      <c r="Q353" s="194"/>
      <c r="R353" s="194"/>
      <c r="S353" s="194"/>
      <c r="T353" s="194"/>
      <c r="U353" s="194"/>
      <c r="V353" s="194"/>
      <c r="W353" s="194"/>
    </row>
    <row r="354" spans="1:23" s="195" customFormat="1">
      <c r="A354" s="189">
        <v>350</v>
      </c>
      <c r="B354" s="37"/>
      <c r="C354" s="37"/>
      <c r="D354" s="221"/>
      <c r="E354" s="59"/>
      <c r="F354" s="191"/>
      <c r="G354" s="16"/>
      <c r="H354" s="20"/>
      <c r="I354" s="20"/>
      <c r="J354" s="16"/>
      <c r="K354" s="21"/>
      <c r="L354" s="190"/>
      <c r="M354" s="190"/>
      <c r="N354" s="193"/>
      <c r="O354" s="193"/>
      <c r="P354" s="193"/>
      <c r="Q354" s="194"/>
      <c r="R354" s="194"/>
      <c r="S354" s="194"/>
      <c r="T354" s="194"/>
      <c r="U354" s="194"/>
      <c r="V354" s="194"/>
      <c r="W354" s="194"/>
    </row>
    <row r="355" spans="1:23" s="195" customFormat="1">
      <c r="A355" s="189">
        <v>351</v>
      </c>
      <c r="B355" s="37"/>
      <c r="C355" s="37"/>
      <c r="D355" s="221"/>
      <c r="E355" s="59"/>
      <c r="F355" s="191"/>
      <c r="G355" s="16"/>
      <c r="H355" s="20"/>
      <c r="I355" s="20"/>
      <c r="J355" s="16"/>
      <c r="K355" s="21"/>
      <c r="L355" s="190"/>
      <c r="M355" s="190"/>
      <c r="N355" s="193"/>
      <c r="O355" s="193"/>
      <c r="P355" s="193"/>
      <c r="Q355" s="194"/>
      <c r="R355" s="194"/>
      <c r="S355" s="194"/>
      <c r="T355" s="194"/>
      <c r="U355" s="194"/>
      <c r="V355" s="194"/>
      <c r="W355" s="194"/>
    </row>
    <row r="356" spans="1:23" s="195" customFormat="1">
      <c r="A356" s="189">
        <v>352</v>
      </c>
      <c r="B356" s="37"/>
      <c r="C356" s="37"/>
      <c r="D356" s="221"/>
      <c r="E356" s="59"/>
      <c r="F356" s="191"/>
      <c r="G356" s="16"/>
      <c r="H356" s="20"/>
      <c r="I356" s="20"/>
      <c r="J356" s="16"/>
      <c r="K356" s="21"/>
      <c r="L356" s="190"/>
      <c r="M356" s="190"/>
      <c r="N356" s="193"/>
      <c r="O356" s="193"/>
      <c r="P356" s="193"/>
      <c r="Q356" s="194"/>
      <c r="R356" s="194"/>
      <c r="S356" s="194"/>
      <c r="T356" s="194"/>
      <c r="U356" s="194"/>
      <c r="V356" s="194"/>
      <c r="W356" s="194"/>
    </row>
    <row r="357" spans="1:23" s="195" customFormat="1">
      <c r="A357" s="189">
        <v>353</v>
      </c>
      <c r="B357" s="37"/>
      <c r="C357" s="37"/>
      <c r="D357" s="221"/>
      <c r="E357" s="59"/>
      <c r="F357" s="191"/>
      <c r="G357" s="16"/>
      <c r="H357" s="20"/>
      <c r="I357" s="20"/>
      <c r="J357" s="16"/>
      <c r="K357" s="21"/>
      <c r="L357" s="190"/>
      <c r="M357" s="190"/>
      <c r="N357" s="193"/>
      <c r="O357" s="193"/>
      <c r="P357" s="193"/>
      <c r="Q357" s="194"/>
      <c r="R357" s="194"/>
      <c r="S357" s="194"/>
      <c r="T357" s="194"/>
      <c r="U357" s="194"/>
      <c r="V357" s="194"/>
      <c r="W357" s="194"/>
    </row>
    <row r="358" spans="1:23" s="195" customFormat="1">
      <c r="A358" s="189">
        <v>354</v>
      </c>
      <c r="B358" s="37"/>
      <c r="C358" s="37"/>
      <c r="D358" s="221"/>
      <c r="E358" s="59"/>
      <c r="F358" s="191"/>
      <c r="G358" s="16"/>
      <c r="H358" s="20"/>
      <c r="I358" s="20"/>
      <c r="J358" s="16"/>
      <c r="K358" s="21"/>
      <c r="L358" s="190"/>
      <c r="M358" s="190"/>
      <c r="N358" s="193"/>
      <c r="O358" s="193"/>
      <c r="P358" s="193"/>
      <c r="Q358" s="194"/>
      <c r="R358" s="194"/>
      <c r="S358" s="194"/>
      <c r="T358" s="194"/>
      <c r="U358" s="194"/>
      <c r="V358" s="194"/>
      <c r="W358" s="194"/>
    </row>
    <row r="359" spans="1:23" s="195" customFormat="1">
      <c r="A359" s="189">
        <v>355</v>
      </c>
      <c r="B359" s="37"/>
      <c r="C359" s="37"/>
      <c r="D359" s="221"/>
      <c r="E359" s="59"/>
      <c r="F359" s="191"/>
      <c r="G359" s="16"/>
      <c r="H359" s="20"/>
      <c r="I359" s="20"/>
      <c r="J359" s="16"/>
      <c r="K359" s="21"/>
      <c r="L359" s="190"/>
      <c r="M359" s="190"/>
      <c r="N359" s="193"/>
      <c r="O359" s="193"/>
      <c r="P359" s="193"/>
      <c r="Q359" s="194"/>
      <c r="R359" s="194"/>
      <c r="S359" s="194"/>
      <c r="T359" s="194"/>
      <c r="U359" s="194"/>
      <c r="V359" s="194"/>
      <c r="W359" s="194"/>
    </row>
    <row r="360" spans="1:23" s="195" customFormat="1">
      <c r="A360" s="189">
        <v>356</v>
      </c>
      <c r="B360" s="37"/>
      <c r="C360" s="37"/>
      <c r="D360" s="221"/>
      <c r="E360" s="59"/>
      <c r="F360" s="191"/>
      <c r="G360" s="16"/>
      <c r="H360" s="20"/>
      <c r="I360" s="20"/>
      <c r="J360" s="16"/>
      <c r="K360" s="21"/>
      <c r="L360" s="190"/>
      <c r="M360" s="190"/>
      <c r="N360" s="193"/>
      <c r="O360" s="193"/>
      <c r="P360" s="193"/>
      <c r="Q360" s="194"/>
      <c r="R360" s="194"/>
      <c r="S360" s="194"/>
      <c r="T360" s="194"/>
      <c r="U360" s="194"/>
      <c r="V360" s="194"/>
      <c r="W360" s="194"/>
    </row>
    <row r="361" spans="1:23" s="195" customFormat="1">
      <c r="A361" s="189">
        <v>357</v>
      </c>
      <c r="B361" s="37"/>
      <c r="C361" s="37"/>
      <c r="D361" s="221"/>
      <c r="E361" s="59"/>
      <c r="F361" s="191"/>
      <c r="G361" s="16"/>
      <c r="H361" s="20"/>
      <c r="I361" s="20"/>
      <c r="J361" s="16"/>
      <c r="K361" s="21"/>
      <c r="L361" s="190"/>
      <c r="M361" s="190"/>
      <c r="N361" s="193"/>
      <c r="O361" s="193"/>
      <c r="P361" s="193"/>
      <c r="Q361" s="194"/>
      <c r="R361" s="194"/>
      <c r="S361" s="194"/>
      <c r="T361" s="194"/>
      <c r="U361" s="194"/>
      <c r="V361" s="194"/>
      <c r="W361" s="194"/>
    </row>
    <row r="362" spans="1:23" s="195" customFormat="1">
      <c r="A362" s="189">
        <v>358</v>
      </c>
      <c r="B362" s="37"/>
      <c r="C362" s="37"/>
      <c r="D362" s="221"/>
      <c r="E362" s="59"/>
      <c r="F362" s="191"/>
      <c r="G362" s="16"/>
      <c r="H362" s="20"/>
      <c r="I362" s="20"/>
      <c r="J362" s="16"/>
      <c r="K362" s="21"/>
      <c r="L362" s="190"/>
      <c r="M362" s="190"/>
      <c r="N362" s="193"/>
      <c r="O362" s="193"/>
      <c r="P362" s="193"/>
      <c r="Q362" s="194"/>
      <c r="R362" s="194"/>
      <c r="S362" s="194"/>
      <c r="T362" s="194"/>
      <c r="U362" s="194"/>
      <c r="V362" s="194"/>
      <c r="W362" s="194"/>
    </row>
    <row r="363" spans="1:23" s="195" customFormat="1">
      <c r="A363" s="189">
        <v>359</v>
      </c>
      <c r="B363" s="37"/>
      <c r="C363" s="37"/>
      <c r="D363" s="221"/>
      <c r="E363" s="59"/>
      <c r="F363" s="191"/>
      <c r="G363" s="16"/>
      <c r="H363" s="20"/>
      <c r="I363" s="20"/>
      <c r="J363" s="16"/>
      <c r="K363" s="21"/>
      <c r="L363" s="190"/>
      <c r="M363" s="190"/>
      <c r="N363" s="193"/>
      <c r="O363" s="193"/>
      <c r="P363" s="193"/>
      <c r="Q363" s="194"/>
      <c r="R363" s="194"/>
      <c r="S363" s="194"/>
      <c r="T363" s="194"/>
      <c r="U363" s="194"/>
      <c r="V363" s="194"/>
      <c r="W363" s="194"/>
    </row>
    <row r="364" spans="1:23" s="195" customFormat="1">
      <c r="A364" s="189">
        <v>360</v>
      </c>
      <c r="B364" s="37"/>
      <c r="C364" s="37"/>
      <c r="D364" s="221"/>
      <c r="E364" s="59"/>
      <c r="F364" s="191"/>
      <c r="G364" s="16"/>
      <c r="H364" s="20"/>
      <c r="I364" s="20"/>
      <c r="J364" s="16"/>
      <c r="K364" s="21"/>
      <c r="L364" s="190"/>
      <c r="M364" s="190"/>
      <c r="N364" s="193"/>
      <c r="O364" s="193"/>
      <c r="P364" s="193"/>
      <c r="Q364" s="194"/>
      <c r="R364" s="194"/>
      <c r="S364" s="194"/>
      <c r="T364" s="194"/>
      <c r="U364" s="194"/>
      <c r="V364" s="194"/>
      <c r="W364" s="194"/>
    </row>
    <row r="365" spans="1:23" s="195" customFormat="1">
      <c r="A365" s="189">
        <v>361</v>
      </c>
      <c r="B365" s="37"/>
      <c r="C365" s="37"/>
      <c r="D365" s="221"/>
      <c r="E365" s="59"/>
      <c r="F365" s="191"/>
      <c r="G365" s="16"/>
      <c r="H365" s="20"/>
      <c r="I365" s="20"/>
      <c r="J365" s="16"/>
      <c r="K365" s="21"/>
      <c r="L365" s="190"/>
      <c r="M365" s="190"/>
      <c r="N365" s="193"/>
      <c r="O365" s="193"/>
      <c r="P365" s="193"/>
      <c r="Q365" s="194"/>
      <c r="R365" s="194"/>
      <c r="S365" s="194"/>
      <c r="T365" s="194"/>
      <c r="U365" s="194"/>
      <c r="V365" s="194"/>
      <c r="W365" s="194"/>
    </row>
    <row r="366" spans="1:23" s="195" customFormat="1">
      <c r="A366" s="189">
        <v>362</v>
      </c>
      <c r="B366" s="37"/>
      <c r="C366" s="37"/>
      <c r="D366" s="221"/>
      <c r="E366" s="59"/>
      <c r="F366" s="191"/>
      <c r="G366" s="16"/>
      <c r="H366" s="20"/>
      <c r="I366" s="20"/>
      <c r="J366" s="16"/>
      <c r="K366" s="21"/>
      <c r="L366" s="190"/>
      <c r="M366" s="190"/>
      <c r="N366" s="193"/>
      <c r="O366" s="193"/>
      <c r="P366" s="193"/>
      <c r="Q366" s="194"/>
      <c r="R366" s="194"/>
      <c r="S366" s="194"/>
      <c r="T366" s="194"/>
      <c r="U366" s="194"/>
      <c r="V366" s="194"/>
      <c r="W366" s="194"/>
    </row>
    <row r="367" spans="1:23" s="195" customFormat="1">
      <c r="A367" s="189">
        <v>363</v>
      </c>
      <c r="B367" s="37"/>
      <c r="C367" s="37"/>
      <c r="D367" s="221"/>
      <c r="E367" s="59"/>
      <c r="F367" s="191"/>
      <c r="G367" s="16"/>
      <c r="H367" s="20"/>
      <c r="I367" s="20"/>
      <c r="J367" s="16"/>
      <c r="K367" s="21"/>
      <c r="L367" s="190"/>
      <c r="M367" s="190"/>
      <c r="N367" s="193"/>
      <c r="O367" s="193"/>
      <c r="P367" s="193"/>
      <c r="Q367" s="194"/>
      <c r="R367" s="194"/>
      <c r="S367" s="194"/>
      <c r="T367" s="194"/>
      <c r="U367" s="194"/>
      <c r="V367" s="194"/>
      <c r="W367" s="194"/>
    </row>
    <row r="368" spans="1:23" s="195" customFormat="1">
      <c r="A368" s="189">
        <v>364</v>
      </c>
      <c r="B368" s="37"/>
      <c r="C368" s="37"/>
      <c r="D368" s="221"/>
      <c r="E368" s="59"/>
      <c r="F368" s="191"/>
      <c r="G368" s="16"/>
      <c r="H368" s="20"/>
      <c r="I368" s="20"/>
      <c r="J368" s="16"/>
      <c r="K368" s="21"/>
      <c r="L368" s="190"/>
      <c r="M368" s="190"/>
      <c r="N368" s="193"/>
      <c r="O368" s="193"/>
      <c r="P368" s="193"/>
      <c r="Q368" s="194"/>
      <c r="R368" s="194"/>
      <c r="S368" s="194"/>
      <c r="T368" s="194"/>
      <c r="U368" s="194"/>
      <c r="V368" s="194"/>
      <c r="W368" s="194"/>
    </row>
    <row r="369" spans="1:23" s="195" customFormat="1">
      <c r="A369" s="189">
        <v>365</v>
      </c>
      <c r="B369" s="37"/>
      <c r="C369" s="37"/>
      <c r="D369" s="221"/>
      <c r="E369" s="59"/>
      <c r="F369" s="191"/>
      <c r="G369" s="16"/>
      <c r="H369" s="20"/>
      <c r="I369" s="20"/>
      <c r="J369" s="16"/>
      <c r="K369" s="21"/>
      <c r="L369" s="190"/>
      <c r="M369" s="190"/>
      <c r="N369" s="193"/>
      <c r="O369" s="193"/>
      <c r="P369" s="193"/>
      <c r="Q369" s="194"/>
      <c r="R369" s="194"/>
      <c r="S369" s="194"/>
      <c r="T369" s="194"/>
      <c r="U369" s="194"/>
      <c r="V369" s="194"/>
      <c r="W369" s="194"/>
    </row>
    <row r="370" spans="1:23" s="195" customFormat="1">
      <c r="A370" s="189">
        <v>366</v>
      </c>
      <c r="B370" s="37"/>
      <c r="C370" s="37"/>
      <c r="D370" s="221"/>
      <c r="E370" s="59"/>
      <c r="F370" s="191"/>
      <c r="G370" s="16"/>
      <c r="H370" s="20"/>
      <c r="I370" s="20"/>
      <c r="J370" s="16"/>
      <c r="K370" s="21"/>
      <c r="L370" s="190"/>
      <c r="M370" s="190"/>
      <c r="N370" s="193"/>
      <c r="O370" s="193"/>
      <c r="P370" s="193"/>
      <c r="Q370" s="194"/>
      <c r="R370" s="194"/>
      <c r="S370" s="194"/>
      <c r="T370" s="194"/>
      <c r="U370" s="194"/>
      <c r="V370" s="194"/>
      <c r="W370" s="194"/>
    </row>
    <row r="371" spans="1:23" s="195" customFormat="1">
      <c r="A371" s="189">
        <v>367</v>
      </c>
      <c r="B371" s="37"/>
      <c r="C371" s="37"/>
      <c r="D371" s="221"/>
      <c r="E371" s="59"/>
      <c r="F371" s="191"/>
      <c r="G371" s="16"/>
      <c r="H371" s="20"/>
      <c r="I371" s="20"/>
      <c r="J371" s="16"/>
      <c r="K371" s="21"/>
      <c r="L371" s="190"/>
      <c r="M371" s="190"/>
      <c r="N371" s="193"/>
      <c r="O371" s="193"/>
      <c r="P371" s="193"/>
      <c r="Q371" s="194"/>
      <c r="R371" s="194"/>
      <c r="S371" s="194"/>
      <c r="T371" s="194"/>
      <c r="U371" s="194"/>
      <c r="V371" s="194"/>
      <c r="W371" s="194"/>
    </row>
    <row r="372" spans="1:23" s="195" customFormat="1">
      <c r="A372" s="189">
        <v>368</v>
      </c>
      <c r="B372" s="37"/>
      <c r="C372" s="37"/>
      <c r="D372" s="221"/>
      <c r="E372" s="59"/>
      <c r="F372" s="191"/>
      <c r="G372" s="16"/>
      <c r="H372" s="20"/>
      <c r="I372" s="20"/>
      <c r="J372" s="16"/>
      <c r="K372" s="21"/>
      <c r="L372" s="190"/>
      <c r="M372" s="190"/>
      <c r="N372" s="193"/>
      <c r="O372" s="193"/>
      <c r="P372" s="193"/>
      <c r="Q372" s="194"/>
      <c r="R372" s="194"/>
      <c r="S372" s="194"/>
      <c r="T372" s="194"/>
      <c r="U372" s="194"/>
      <c r="V372" s="194"/>
      <c r="W372" s="194"/>
    </row>
    <row r="373" spans="1:23" s="195" customFormat="1">
      <c r="A373" s="189">
        <v>369</v>
      </c>
      <c r="B373" s="37"/>
      <c r="C373" s="37"/>
      <c r="D373" s="221"/>
      <c r="E373" s="59"/>
      <c r="F373" s="191"/>
      <c r="G373" s="16"/>
      <c r="H373" s="20"/>
      <c r="I373" s="20"/>
      <c r="J373" s="16"/>
      <c r="K373" s="21"/>
      <c r="L373" s="190"/>
      <c r="M373" s="190"/>
      <c r="N373" s="193"/>
      <c r="O373" s="193"/>
      <c r="P373" s="193"/>
      <c r="Q373" s="194"/>
      <c r="R373" s="194"/>
      <c r="S373" s="194"/>
      <c r="T373" s="194"/>
      <c r="U373" s="194"/>
      <c r="V373" s="194"/>
      <c r="W373" s="194"/>
    </row>
    <row r="374" spans="1:23" s="195" customFormat="1">
      <c r="A374" s="189">
        <v>370</v>
      </c>
      <c r="B374" s="37"/>
      <c r="C374" s="37"/>
      <c r="D374" s="221"/>
      <c r="E374" s="59"/>
      <c r="F374" s="191"/>
      <c r="G374" s="16"/>
      <c r="H374" s="20"/>
      <c r="I374" s="20"/>
      <c r="J374" s="16"/>
      <c r="K374" s="21"/>
      <c r="L374" s="190"/>
      <c r="M374" s="190"/>
      <c r="N374" s="193"/>
      <c r="O374" s="193"/>
      <c r="P374" s="193"/>
      <c r="Q374" s="194"/>
      <c r="R374" s="194"/>
      <c r="S374" s="194"/>
      <c r="T374" s="194"/>
      <c r="U374" s="194"/>
      <c r="V374" s="194"/>
      <c r="W374" s="194"/>
    </row>
    <row r="375" spans="1:23" s="195" customFormat="1">
      <c r="A375" s="189">
        <v>371</v>
      </c>
      <c r="B375" s="37"/>
      <c r="C375" s="37"/>
      <c r="D375" s="221"/>
      <c r="E375" s="59"/>
      <c r="F375" s="191"/>
      <c r="G375" s="16"/>
      <c r="H375" s="20"/>
      <c r="I375" s="20"/>
      <c r="J375" s="16"/>
      <c r="K375" s="21"/>
      <c r="L375" s="190"/>
      <c r="M375" s="190"/>
      <c r="N375" s="193"/>
      <c r="O375" s="193"/>
      <c r="P375" s="193"/>
      <c r="Q375" s="194"/>
      <c r="R375" s="194"/>
      <c r="S375" s="194"/>
      <c r="T375" s="194"/>
      <c r="U375" s="194"/>
      <c r="V375" s="194"/>
      <c r="W375" s="194"/>
    </row>
    <row r="376" spans="1:23" s="195" customFormat="1">
      <c r="A376" s="189">
        <v>372</v>
      </c>
      <c r="B376" s="37"/>
      <c r="C376" s="37"/>
      <c r="D376" s="221"/>
      <c r="E376" s="59"/>
      <c r="F376" s="191"/>
      <c r="G376" s="16"/>
      <c r="H376" s="20"/>
      <c r="I376" s="20"/>
      <c r="J376" s="16"/>
      <c r="K376" s="21"/>
      <c r="L376" s="190"/>
      <c r="M376" s="190"/>
      <c r="N376" s="193"/>
      <c r="O376" s="193"/>
      <c r="P376" s="193"/>
      <c r="Q376" s="194"/>
      <c r="R376" s="194"/>
      <c r="S376" s="194"/>
      <c r="T376" s="194"/>
      <c r="U376" s="194"/>
      <c r="V376" s="194"/>
      <c r="W376" s="194"/>
    </row>
    <row r="377" spans="1:23" s="195" customFormat="1">
      <c r="A377" s="189">
        <v>373</v>
      </c>
      <c r="B377" s="37"/>
      <c r="C377" s="37"/>
      <c r="D377" s="221"/>
      <c r="E377" s="59"/>
      <c r="F377" s="191"/>
      <c r="G377" s="16"/>
      <c r="H377" s="20"/>
      <c r="I377" s="20"/>
      <c r="J377" s="16"/>
      <c r="K377" s="21"/>
      <c r="L377" s="190"/>
      <c r="M377" s="190"/>
      <c r="N377" s="193"/>
      <c r="O377" s="193"/>
      <c r="P377" s="193"/>
      <c r="Q377" s="194"/>
      <c r="R377" s="194"/>
      <c r="S377" s="194"/>
      <c r="T377" s="194"/>
      <c r="U377" s="194"/>
      <c r="V377" s="194"/>
      <c r="W377" s="194"/>
    </row>
    <row r="378" spans="1:23" s="195" customFormat="1">
      <c r="A378" s="189">
        <v>374</v>
      </c>
      <c r="B378" s="37"/>
      <c r="C378" s="37"/>
      <c r="D378" s="221"/>
      <c r="E378" s="59"/>
      <c r="F378" s="191"/>
      <c r="G378" s="16"/>
      <c r="H378" s="20"/>
      <c r="I378" s="20"/>
      <c r="J378" s="16"/>
      <c r="K378" s="21"/>
      <c r="L378" s="190"/>
      <c r="M378" s="190"/>
      <c r="N378" s="193"/>
      <c r="O378" s="193"/>
      <c r="P378" s="193"/>
      <c r="Q378" s="194"/>
      <c r="R378" s="194"/>
      <c r="S378" s="194"/>
      <c r="T378" s="194"/>
      <c r="U378" s="194"/>
      <c r="V378" s="194"/>
      <c r="W378" s="194"/>
    </row>
    <row r="379" spans="1:23" s="195" customFormat="1">
      <c r="A379" s="189">
        <v>375</v>
      </c>
      <c r="B379" s="37"/>
      <c r="C379" s="37"/>
      <c r="D379" s="221"/>
      <c r="E379" s="59"/>
      <c r="F379" s="191"/>
      <c r="G379" s="16"/>
      <c r="H379" s="20"/>
      <c r="I379" s="20"/>
      <c r="J379" s="16"/>
      <c r="K379" s="21"/>
      <c r="L379" s="190"/>
      <c r="M379" s="190"/>
      <c r="N379" s="193"/>
      <c r="O379" s="193"/>
      <c r="P379" s="193"/>
      <c r="Q379" s="194"/>
      <c r="R379" s="194"/>
      <c r="S379" s="194"/>
      <c r="T379" s="194"/>
      <c r="U379" s="194"/>
      <c r="V379" s="194"/>
      <c r="W379" s="194"/>
    </row>
    <row r="380" spans="1:23" s="195" customFormat="1">
      <c r="A380" s="189">
        <v>376</v>
      </c>
      <c r="B380" s="37"/>
      <c r="C380" s="37"/>
      <c r="D380" s="221"/>
      <c r="E380" s="59"/>
      <c r="F380" s="191"/>
      <c r="G380" s="16"/>
      <c r="H380" s="20"/>
      <c r="I380" s="20"/>
      <c r="J380" s="16"/>
      <c r="K380" s="21"/>
      <c r="L380" s="190"/>
      <c r="M380" s="190"/>
      <c r="N380" s="193"/>
      <c r="O380" s="193"/>
      <c r="P380" s="193"/>
      <c r="Q380" s="194"/>
      <c r="R380" s="194"/>
      <c r="S380" s="194"/>
      <c r="T380" s="194"/>
      <c r="U380" s="194"/>
      <c r="V380" s="194"/>
      <c r="W380" s="194"/>
    </row>
    <row r="381" spans="1:23" s="195" customFormat="1">
      <c r="A381" s="189">
        <v>377</v>
      </c>
      <c r="B381" s="37"/>
      <c r="C381" s="37"/>
      <c r="D381" s="221"/>
      <c r="E381" s="59"/>
      <c r="F381" s="191"/>
      <c r="G381" s="16"/>
      <c r="H381" s="20"/>
      <c r="I381" s="20"/>
      <c r="J381" s="16"/>
      <c r="K381" s="21"/>
      <c r="L381" s="190"/>
      <c r="M381" s="190"/>
      <c r="N381" s="193"/>
      <c r="O381" s="193"/>
      <c r="P381" s="193"/>
      <c r="Q381" s="194"/>
      <c r="R381" s="194"/>
      <c r="S381" s="194"/>
      <c r="T381" s="194"/>
      <c r="U381" s="194"/>
      <c r="V381" s="194"/>
      <c r="W381" s="194"/>
    </row>
    <row r="382" spans="1:23" s="195" customFormat="1">
      <c r="A382" s="189">
        <v>378</v>
      </c>
      <c r="B382" s="37"/>
      <c r="C382" s="37"/>
      <c r="D382" s="221"/>
      <c r="E382" s="59"/>
      <c r="F382" s="191"/>
      <c r="G382" s="16"/>
      <c r="H382" s="20"/>
      <c r="I382" s="20"/>
      <c r="J382" s="16"/>
      <c r="K382" s="21"/>
      <c r="L382" s="190"/>
      <c r="M382" s="190"/>
      <c r="N382" s="193"/>
      <c r="O382" s="193"/>
      <c r="P382" s="193"/>
      <c r="Q382" s="194"/>
      <c r="R382" s="194"/>
      <c r="S382" s="194"/>
      <c r="T382" s="194"/>
      <c r="U382" s="194"/>
      <c r="V382" s="194"/>
      <c r="W382" s="194"/>
    </row>
    <row r="383" spans="1:23" s="195" customFormat="1">
      <c r="A383" s="189">
        <v>379</v>
      </c>
      <c r="B383" s="37"/>
      <c r="C383" s="37"/>
      <c r="D383" s="221"/>
      <c r="E383" s="59"/>
      <c r="F383" s="191"/>
      <c r="G383" s="16"/>
      <c r="H383" s="20"/>
      <c r="I383" s="20"/>
      <c r="J383" s="16"/>
      <c r="K383" s="21"/>
      <c r="L383" s="190"/>
      <c r="M383" s="190"/>
      <c r="N383" s="193"/>
      <c r="O383" s="193"/>
      <c r="P383" s="193"/>
      <c r="Q383" s="194"/>
      <c r="R383" s="194"/>
      <c r="S383" s="194"/>
      <c r="T383" s="194"/>
      <c r="U383" s="194"/>
      <c r="V383" s="194"/>
      <c r="W383" s="194"/>
    </row>
    <row r="384" spans="1:23" s="195" customFormat="1">
      <c r="A384" s="189">
        <v>380</v>
      </c>
      <c r="B384" s="37"/>
      <c r="C384" s="37"/>
      <c r="D384" s="221"/>
      <c r="E384" s="59"/>
      <c r="F384" s="191"/>
      <c r="G384" s="16"/>
      <c r="H384" s="20"/>
      <c r="I384" s="20"/>
      <c r="J384" s="16"/>
      <c r="K384" s="21"/>
      <c r="L384" s="190"/>
      <c r="M384" s="190"/>
      <c r="N384" s="193"/>
      <c r="O384" s="193"/>
      <c r="P384" s="193"/>
      <c r="Q384" s="194"/>
      <c r="R384" s="194"/>
      <c r="S384" s="194"/>
      <c r="T384" s="194"/>
      <c r="U384" s="194"/>
      <c r="V384" s="194"/>
      <c r="W384" s="194"/>
    </row>
    <row r="385" spans="1:23" s="195" customFormat="1">
      <c r="A385" s="189">
        <v>381</v>
      </c>
      <c r="B385" s="37"/>
      <c r="C385" s="37"/>
      <c r="D385" s="221"/>
      <c r="E385" s="59"/>
      <c r="F385" s="191"/>
      <c r="G385" s="16"/>
      <c r="H385" s="20"/>
      <c r="I385" s="20"/>
      <c r="J385" s="16"/>
      <c r="K385" s="21"/>
      <c r="L385" s="190"/>
      <c r="M385" s="190"/>
      <c r="N385" s="193"/>
      <c r="O385" s="193"/>
      <c r="P385" s="193"/>
      <c r="Q385" s="194"/>
      <c r="R385" s="194"/>
      <c r="S385" s="194"/>
      <c r="T385" s="194"/>
      <c r="U385" s="194"/>
      <c r="V385" s="194"/>
      <c r="W385" s="194"/>
    </row>
    <row r="386" spans="1:23" s="195" customFormat="1">
      <c r="A386" s="189">
        <v>382</v>
      </c>
      <c r="B386" s="37"/>
      <c r="C386" s="37"/>
      <c r="D386" s="221"/>
      <c r="E386" s="59"/>
      <c r="F386" s="191"/>
      <c r="G386" s="16"/>
      <c r="H386" s="20"/>
      <c r="I386" s="20"/>
      <c r="J386" s="16"/>
      <c r="K386" s="21"/>
      <c r="L386" s="190"/>
      <c r="M386" s="190"/>
      <c r="N386" s="193"/>
      <c r="O386" s="193"/>
      <c r="P386" s="193"/>
      <c r="Q386" s="194"/>
      <c r="R386" s="194"/>
      <c r="S386" s="194"/>
      <c r="T386" s="194"/>
      <c r="U386" s="194"/>
      <c r="V386" s="194"/>
      <c r="W386" s="194"/>
    </row>
    <row r="387" spans="1:23" s="195" customFormat="1">
      <c r="A387" s="189">
        <v>383</v>
      </c>
      <c r="B387" s="37"/>
      <c r="C387" s="37"/>
      <c r="D387" s="221"/>
      <c r="E387" s="59"/>
      <c r="F387" s="191"/>
      <c r="G387" s="16"/>
      <c r="H387" s="20"/>
      <c r="I387" s="20"/>
      <c r="J387" s="16"/>
      <c r="K387" s="21"/>
      <c r="L387" s="190"/>
      <c r="M387" s="190"/>
      <c r="N387" s="193"/>
      <c r="O387" s="193"/>
      <c r="P387" s="193"/>
      <c r="Q387" s="194"/>
      <c r="R387" s="194"/>
      <c r="S387" s="194"/>
      <c r="T387" s="194"/>
      <c r="U387" s="194"/>
      <c r="V387" s="194"/>
      <c r="W387" s="194"/>
    </row>
    <row r="388" spans="1:23" s="195" customFormat="1">
      <c r="A388" s="189">
        <v>384</v>
      </c>
      <c r="B388" s="37"/>
      <c r="C388" s="37"/>
      <c r="D388" s="221"/>
      <c r="E388" s="59"/>
      <c r="F388" s="191"/>
      <c r="G388" s="16"/>
      <c r="H388" s="20"/>
      <c r="I388" s="20"/>
      <c r="J388" s="16"/>
      <c r="K388" s="21"/>
      <c r="L388" s="190"/>
      <c r="M388" s="190"/>
      <c r="N388" s="193"/>
      <c r="O388" s="193"/>
      <c r="P388" s="193"/>
      <c r="Q388" s="194"/>
      <c r="R388" s="194"/>
      <c r="S388" s="194"/>
      <c r="T388" s="194"/>
      <c r="U388" s="194"/>
      <c r="V388" s="194"/>
      <c r="W388" s="194"/>
    </row>
    <row r="389" spans="1:23" s="195" customFormat="1">
      <c r="A389" s="189">
        <v>385</v>
      </c>
      <c r="B389" s="37"/>
      <c r="C389" s="37"/>
      <c r="D389" s="221"/>
      <c r="E389" s="59"/>
      <c r="F389" s="191"/>
      <c r="G389" s="16"/>
      <c r="H389" s="20"/>
      <c r="I389" s="20"/>
      <c r="J389" s="16"/>
      <c r="K389" s="21"/>
      <c r="L389" s="190"/>
      <c r="M389" s="190"/>
      <c r="N389" s="193"/>
      <c r="O389" s="193"/>
      <c r="P389" s="193"/>
      <c r="Q389" s="194"/>
      <c r="R389" s="194"/>
      <c r="S389" s="194"/>
      <c r="T389" s="194"/>
      <c r="U389" s="194"/>
      <c r="V389" s="194"/>
      <c r="W389" s="194"/>
    </row>
    <row r="390" spans="1:23" s="195" customFormat="1">
      <c r="A390" s="189">
        <v>386</v>
      </c>
      <c r="B390" s="37"/>
      <c r="C390" s="37"/>
      <c r="D390" s="221"/>
      <c r="E390" s="59"/>
      <c r="F390" s="191"/>
      <c r="G390" s="16"/>
      <c r="H390" s="20"/>
      <c r="I390" s="20"/>
      <c r="J390" s="16"/>
      <c r="K390" s="21"/>
      <c r="L390" s="190"/>
      <c r="M390" s="190"/>
      <c r="N390" s="193"/>
      <c r="O390" s="193"/>
      <c r="P390" s="193"/>
      <c r="Q390" s="194"/>
      <c r="R390" s="194"/>
      <c r="S390" s="194"/>
      <c r="T390" s="194"/>
      <c r="U390" s="194"/>
      <c r="V390" s="194"/>
      <c r="W390" s="194"/>
    </row>
    <row r="391" spans="1:23" s="195" customFormat="1">
      <c r="A391" s="189">
        <v>387</v>
      </c>
      <c r="B391" s="37"/>
      <c r="C391" s="37"/>
      <c r="D391" s="221"/>
      <c r="E391" s="59"/>
      <c r="F391" s="191"/>
      <c r="G391" s="16"/>
      <c r="H391" s="20"/>
      <c r="I391" s="20"/>
      <c r="J391" s="16"/>
      <c r="K391" s="21"/>
      <c r="L391" s="190"/>
      <c r="M391" s="190"/>
      <c r="N391" s="193"/>
      <c r="O391" s="193"/>
      <c r="P391" s="193"/>
      <c r="Q391" s="194"/>
      <c r="R391" s="194"/>
      <c r="S391" s="194"/>
      <c r="T391" s="194"/>
      <c r="U391" s="194"/>
      <c r="V391" s="194"/>
      <c r="W391" s="194"/>
    </row>
    <row r="392" spans="1:23" s="195" customFormat="1">
      <c r="A392" s="189">
        <v>388</v>
      </c>
      <c r="B392" s="37"/>
      <c r="C392" s="37"/>
      <c r="D392" s="221"/>
      <c r="E392" s="59"/>
      <c r="F392" s="191"/>
      <c r="G392" s="16"/>
      <c r="H392" s="20"/>
      <c r="I392" s="20"/>
      <c r="J392" s="16"/>
      <c r="K392" s="21"/>
      <c r="L392" s="190"/>
      <c r="M392" s="190"/>
      <c r="N392" s="193"/>
      <c r="O392" s="193"/>
      <c r="P392" s="193"/>
      <c r="Q392" s="194"/>
      <c r="R392" s="194"/>
      <c r="S392" s="194"/>
      <c r="T392" s="194"/>
      <c r="U392" s="194"/>
      <c r="V392" s="194"/>
      <c r="W392" s="194"/>
    </row>
    <row r="393" spans="1:23" s="195" customFormat="1">
      <c r="A393" s="189">
        <v>389</v>
      </c>
      <c r="B393" s="37"/>
      <c r="C393" s="37"/>
      <c r="D393" s="221"/>
      <c r="E393" s="59"/>
      <c r="F393" s="191"/>
      <c r="G393" s="16"/>
      <c r="H393" s="20"/>
      <c r="I393" s="20"/>
      <c r="J393" s="16"/>
      <c r="K393" s="21"/>
      <c r="L393" s="190"/>
      <c r="M393" s="190"/>
      <c r="N393" s="193"/>
      <c r="O393" s="193"/>
      <c r="P393" s="193"/>
      <c r="Q393" s="194"/>
      <c r="R393" s="194"/>
      <c r="S393" s="194"/>
      <c r="T393" s="194"/>
      <c r="U393" s="194"/>
      <c r="V393" s="194"/>
      <c r="W393" s="194"/>
    </row>
    <row r="394" spans="1:23" s="195" customFormat="1">
      <c r="A394" s="189">
        <v>390</v>
      </c>
      <c r="B394" s="37"/>
      <c r="C394" s="37"/>
      <c r="D394" s="221"/>
      <c r="E394" s="59"/>
      <c r="F394" s="191"/>
      <c r="G394" s="16"/>
      <c r="H394" s="20"/>
      <c r="I394" s="20"/>
      <c r="J394" s="16"/>
      <c r="K394" s="21"/>
      <c r="L394" s="190"/>
      <c r="M394" s="190"/>
      <c r="N394" s="193"/>
      <c r="O394" s="193"/>
      <c r="P394" s="193"/>
      <c r="Q394" s="194"/>
      <c r="R394" s="194"/>
      <c r="S394" s="194"/>
      <c r="T394" s="194"/>
      <c r="U394" s="194"/>
      <c r="V394" s="194"/>
      <c r="W394" s="194"/>
    </row>
    <row r="395" spans="1:23" s="195" customFormat="1">
      <c r="A395" s="189">
        <v>391</v>
      </c>
      <c r="B395" s="37"/>
      <c r="C395" s="37"/>
      <c r="D395" s="221"/>
      <c r="E395" s="59"/>
      <c r="F395" s="191"/>
      <c r="G395" s="16"/>
      <c r="H395" s="20"/>
      <c r="I395" s="20"/>
      <c r="J395" s="16"/>
      <c r="K395" s="21"/>
      <c r="L395" s="190"/>
      <c r="M395" s="190"/>
      <c r="N395" s="193"/>
      <c r="O395" s="193"/>
      <c r="P395" s="193"/>
      <c r="Q395" s="194"/>
      <c r="R395" s="194"/>
      <c r="S395" s="194"/>
      <c r="T395" s="194"/>
      <c r="U395" s="194"/>
      <c r="V395" s="194"/>
      <c r="W395" s="194"/>
    </row>
    <row r="396" spans="1:23" s="195" customFormat="1">
      <c r="A396" s="189">
        <v>392</v>
      </c>
      <c r="B396" s="37"/>
      <c r="C396" s="37"/>
      <c r="D396" s="221"/>
      <c r="E396" s="59"/>
      <c r="F396" s="191"/>
      <c r="G396" s="16"/>
      <c r="H396" s="20"/>
      <c r="I396" s="20"/>
      <c r="J396" s="16"/>
      <c r="K396" s="21"/>
      <c r="L396" s="190"/>
      <c r="M396" s="190"/>
      <c r="N396" s="193"/>
      <c r="O396" s="193"/>
      <c r="P396" s="193"/>
      <c r="Q396" s="194"/>
      <c r="R396" s="194"/>
      <c r="S396" s="194"/>
      <c r="T396" s="194"/>
      <c r="U396" s="194"/>
      <c r="V396" s="194"/>
      <c r="W396" s="194"/>
    </row>
    <row r="397" spans="1:23" s="195" customFormat="1">
      <c r="A397" s="189">
        <v>393</v>
      </c>
      <c r="B397" s="37"/>
      <c r="C397" s="37"/>
      <c r="D397" s="221"/>
      <c r="E397" s="59"/>
      <c r="F397" s="191"/>
      <c r="G397" s="16"/>
      <c r="H397" s="20"/>
      <c r="I397" s="20"/>
      <c r="J397" s="16"/>
      <c r="K397" s="21"/>
      <c r="L397" s="190"/>
      <c r="M397" s="190"/>
      <c r="N397" s="193"/>
      <c r="O397" s="193"/>
      <c r="P397" s="193"/>
      <c r="Q397" s="194"/>
      <c r="R397" s="194"/>
      <c r="S397" s="194"/>
      <c r="T397" s="194"/>
      <c r="U397" s="194"/>
      <c r="V397" s="194"/>
      <c r="W397" s="194"/>
    </row>
    <row r="398" spans="1:23" s="195" customFormat="1">
      <c r="A398" s="189">
        <v>394</v>
      </c>
      <c r="B398" s="37"/>
      <c r="C398" s="37"/>
      <c r="D398" s="221"/>
      <c r="E398" s="59"/>
      <c r="F398" s="191"/>
      <c r="G398" s="16"/>
      <c r="H398" s="20"/>
      <c r="I398" s="20"/>
      <c r="J398" s="16"/>
      <c r="K398" s="21"/>
      <c r="L398" s="190"/>
      <c r="M398" s="190"/>
      <c r="N398" s="193"/>
      <c r="O398" s="193"/>
      <c r="P398" s="193"/>
      <c r="Q398" s="194"/>
      <c r="R398" s="194"/>
      <c r="S398" s="194"/>
      <c r="T398" s="194"/>
      <c r="U398" s="194"/>
      <c r="V398" s="194"/>
      <c r="W398" s="194"/>
    </row>
    <row r="399" spans="1:23" s="195" customFormat="1">
      <c r="A399" s="189">
        <v>395</v>
      </c>
      <c r="B399" s="37"/>
      <c r="C399" s="37"/>
      <c r="D399" s="221"/>
      <c r="E399" s="59"/>
      <c r="F399" s="191"/>
      <c r="G399" s="16"/>
      <c r="H399" s="20"/>
      <c r="I399" s="20"/>
      <c r="J399" s="16"/>
      <c r="K399" s="21"/>
      <c r="L399" s="190"/>
      <c r="M399" s="190"/>
      <c r="N399" s="193"/>
      <c r="O399" s="193"/>
      <c r="P399" s="193"/>
      <c r="Q399" s="194"/>
      <c r="R399" s="194"/>
      <c r="S399" s="194"/>
      <c r="T399" s="194"/>
      <c r="U399" s="194"/>
      <c r="V399" s="194"/>
      <c r="W399" s="194"/>
    </row>
    <row r="400" spans="1:23" s="195" customFormat="1">
      <c r="A400" s="189">
        <v>396</v>
      </c>
      <c r="B400" s="37"/>
      <c r="C400" s="37"/>
      <c r="D400" s="221"/>
      <c r="E400" s="59"/>
      <c r="F400" s="191"/>
      <c r="G400" s="16"/>
      <c r="H400" s="20"/>
      <c r="I400" s="20"/>
      <c r="J400" s="16"/>
      <c r="K400" s="21"/>
      <c r="L400" s="190"/>
      <c r="M400" s="190"/>
      <c r="N400" s="193"/>
      <c r="O400" s="193"/>
      <c r="P400" s="193"/>
      <c r="Q400" s="194"/>
      <c r="R400" s="194"/>
      <c r="S400" s="194"/>
      <c r="T400" s="194"/>
      <c r="U400" s="194"/>
      <c r="V400" s="194"/>
      <c r="W400" s="194"/>
    </row>
    <row r="401" spans="1:23" s="195" customFormat="1">
      <c r="A401" s="189">
        <v>397</v>
      </c>
      <c r="B401" s="37"/>
      <c r="C401" s="37"/>
      <c r="D401" s="221"/>
      <c r="E401" s="59"/>
      <c r="F401" s="191"/>
      <c r="G401" s="16"/>
      <c r="H401" s="20"/>
      <c r="I401" s="20"/>
      <c r="J401" s="16"/>
      <c r="K401" s="21"/>
      <c r="L401" s="190"/>
      <c r="M401" s="190"/>
      <c r="N401" s="193"/>
      <c r="O401" s="193"/>
      <c r="P401" s="193"/>
      <c r="Q401" s="194"/>
      <c r="R401" s="194"/>
      <c r="S401" s="194"/>
      <c r="T401" s="194"/>
      <c r="U401" s="194"/>
      <c r="V401" s="194"/>
      <c r="W401" s="194"/>
    </row>
    <row r="402" spans="1:23" s="195" customFormat="1">
      <c r="A402" s="189">
        <v>398</v>
      </c>
      <c r="B402" s="37"/>
      <c r="C402" s="37"/>
      <c r="D402" s="221"/>
      <c r="E402" s="59"/>
      <c r="F402" s="191"/>
      <c r="G402" s="16"/>
      <c r="H402" s="20"/>
      <c r="I402" s="20"/>
      <c r="J402" s="16"/>
      <c r="K402" s="21"/>
      <c r="L402" s="190"/>
      <c r="M402" s="190"/>
      <c r="N402" s="193"/>
      <c r="O402" s="193"/>
      <c r="P402" s="193"/>
      <c r="Q402" s="194"/>
      <c r="R402" s="194"/>
      <c r="S402" s="194"/>
      <c r="T402" s="194"/>
      <c r="U402" s="194"/>
      <c r="V402" s="194"/>
      <c r="W402" s="194"/>
    </row>
    <row r="403" spans="1:23" s="195" customFormat="1">
      <c r="A403" s="189">
        <v>399</v>
      </c>
      <c r="B403" s="37"/>
      <c r="C403" s="37"/>
      <c r="D403" s="221"/>
      <c r="E403" s="59"/>
      <c r="F403" s="191"/>
      <c r="G403" s="16"/>
      <c r="H403" s="20"/>
      <c r="I403" s="20"/>
      <c r="J403" s="16"/>
      <c r="K403" s="21"/>
      <c r="L403" s="190"/>
      <c r="M403" s="190"/>
      <c r="N403" s="193"/>
      <c r="O403" s="193"/>
      <c r="P403" s="193"/>
      <c r="Q403" s="194"/>
      <c r="R403" s="194"/>
      <c r="S403" s="194"/>
      <c r="T403" s="194"/>
      <c r="U403" s="194"/>
      <c r="V403" s="194"/>
      <c r="W403" s="194"/>
    </row>
    <row r="404" spans="1:23" s="195" customFormat="1">
      <c r="A404" s="189">
        <v>400</v>
      </c>
      <c r="B404" s="37"/>
      <c r="C404" s="37"/>
      <c r="D404" s="221"/>
      <c r="E404" s="59"/>
      <c r="F404" s="191"/>
      <c r="G404" s="16"/>
      <c r="H404" s="20"/>
      <c r="I404" s="20"/>
      <c r="J404" s="16"/>
      <c r="K404" s="21"/>
      <c r="L404" s="190"/>
      <c r="M404" s="190"/>
      <c r="N404" s="193"/>
      <c r="O404" s="193"/>
      <c r="P404" s="193"/>
      <c r="Q404" s="194"/>
      <c r="R404" s="194"/>
      <c r="S404" s="194"/>
      <c r="T404" s="194"/>
      <c r="U404" s="194"/>
      <c r="V404" s="194"/>
      <c r="W404" s="194"/>
    </row>
  </sheetData>
  <autoFilter ref="A4:M404" xr:uid="{00000000-0009-0000-0000-000003000000}">
    <filterColumn colId="9">
      <filters blank="1">
        <filter val="Catalin Ghibirsina"/>
      </filters>
    </filterColumn>
  </autoFilter>
  <dataConsolidate/>
  <mergeCells count="2">
    <mergeCell ref="E3:G3"/>
    <mergeCell ref="A3:C3"/>
  </mergeCells>
  <phoneticPr fontId="37" type="noConversion"/>
  <conditionalFormatting sqref="L405:L65461 P1:P2">
    <cfRule type="cellIs" dxfId="7802" priority="695" stopIfTrue="1" operator="equal">
      <formula>"Fixed"</formula>
    </cfRule>
    <cfRule type="cellIs" dxfId="7801" priority="696" stopIfTrue="1" operator="equal">
      <formula>"Open"</formula>
    </cfRule>
  </conditionalFormatting>
  <conditionalFormatting sqref="L4">
    <cfRule type="cellIs" dxfId="7800" priority="697" stopIfTrue="1" operator="equal">
      <formula>"Open"</formula>
    </cfRule>
    <cfRule type="cellIs" dxfId="7799" priority="698" stopIfTrue="1" operator="equal">
      <formula>"Fixed"</formula>
    </cfRule>
  </conditionalFormatting>
  <conditionalFormatting sqref="L5:L54 L61:L65 L92:L100 L139:L145 L56:L59 L67:L90 L147:L152 L102 L104:L118 L160:L174 L181:L192 L196 L207:L208 L202 L217:L220 L225:L226 L234:L277 L280:L404">
    <cfRule type="expression" dxfId="7798" priority="699" stopIfTrue="1">
      <formula>AND($M5="Approved",$L5="Fixed")</formula>
    </cfRule>
    <cfRule type="cellIs" dxfId="7797" priority="700" stopIfTrue="1" operator="equal">
      <formula>"Fixed"</formula>
    </cfRule>
    <cfRule type="cellIs" dxfId="7796" priority="701" stopIfTrue="1" operator="equal">
      <formula>"Open"</formula>
    </cfRule>
  </conditionalFormatting>
  <conditionalFormatting sqref="M5:M54 M61:M65 M92:M118 M139:M152 M56:M59 M67:M90 M160:M174 M181:M192 M207:M208 M202 M217:M218 M261:M277 M280:M404">
    <cfRule type="expression" dxfId="7795" priority="702" stopIfTrue="1">
      <formula>OR(M5="Fixed",M5="Approved")</formula>
    </cfRule>
    <cfRule type="cellIs" dxfId="7794" priority="703" stopIfTrue="1" operator="equal">
      <formula>"Rejected"</formula>
    </cfRule>
  </conditionalFormatting>
  <conditionalFormatting sqref="A3">
    <cfRule type="expression" dxfId="7793" priority="689" stopIfTrue="1">
      <formula>$X$2=1</formula>
    </cfRule>
    <cfRule type="expression" dxfId="7792" priority="690" stopIfTrue="1">
      <formula>$Y$2=1</formula>
    </cfRule>
    <cfRule type="expression" dxfId="7791" priority="692" stopIfTrue="1">
      <formula>$AA$2=1</formula>
    </cfRule>
  </conditionalFormatting>
  <conditionalFormatting sqref="A3:C3">
    <cfRule type="expression" dxfId="7790" priority="691" stopIfTrue="1">
      <formula>$Z$2=1</formula>
    </cfRule>
  </conditionalFormatting>
  <conditionalFormatting sqref="A5:C5 E5:K5 A6:K6 E91:F91 D93:D97 D99:D100 C101:D101 D102 A7:A119 C113:D113 B51:F54 H51:K54 B61:F62 H61:K62 H92:I93 H100:K100 G94:K99 J91:K93 B63:K65 D114:D118 G111:K118 E93:F102 G119:I119 A125:A138 B7:K50 H56:K59 B56:F59 B55:D55 B66:E66 B139:K145 C150:I150 A160:K160 B147:K148 A162 A161:C161 E161:K161 D161:D162 E162:F162 J162:K162 B67:K90 A163:B163 H102:K102 H104:K104 D104:F104 H106:K108 D106:F108 D110:D112 H110:K110 E110:F118 D163:I164 K163:K164 A164:A167 D165:K167 A168:K174 A175:D180 A181:K192 A193:C194 D196:K196 A195:A201 D201:G201 A202:K202 A207:K207 A203:C203 A204:A206 D206:F206 D197:G198 E199:G200 E208:I208 K208 A208:A218 D217:I218 D259:D261 D265 E234:E404 D242:D244 D248 G242:K251 G270:K270 K264:K269 G259:I269 G271:I277 K271:K277 B234:C292 G281:I287 K281:K287 B293:D293 B294:C404 G288:K404">
    <cfRule type="expression" dxfId="7789" priority="873" stopIfTrue="1">
      <formula>AND($M5="Approved",OR($L5=$R$1,$L5=$T$1))</formula>
    </cfRule>
  </conditionalFormatting>
  <conditionalFormatting sqref="D5">
    <cfRule type="expression" dxfId="7788" priority="687" stopIfTrue="1">
      <formula>AND($M5="Approved",OR($L5=$R$1,$L5=$T$1))</formula>
    </cfRule>
  </conditionalFormatting>
  <conditionalFormatting sqref="L60">
    <cfRule type="expression" dxfId="7787" priority="681" stopIfTrue="1">
      <formula>AND($M60="Approved",$L60="Fixed")</formula>
    </cfRule>
    <cfRule type="cellIs" dxfId="7786" priority="682" stopIfTrue="1" operator="equal">
      <formula>"Fixed"</formula>
    </cfRule>
    <cfRule type="cellIs" dxfId="7785" priority="683" stopIfTrue="1" operator="equal">
      <formula>"Open"</formula>
    </cfRule>
  </conditionalFormatting>
  <conditionalFormatting sqref="M60">
    <cfRule type="expression" dxfId="7784" priority="684" stopIfTrue="1">
      <formula>OR(M60="Fixed",M60="Approved")</formula>
    </cfRule>
    <cfRule type="cellIs" dxfId="7783" priority="685" stopIfTrue="1" operator="equal">
      <formula>"Rejected"</formula>
    </cfRule>
  </conditionalFormatting>
  <conditionalFormatting sqref="B60:F60 H60:K60">
    <cfRule type="expression" dxfId="7782" priority="686" stopIfTrue="1">
      <formula>AND($M60="Approved",OR($L60=$R$1,$L60=$T$1))</formula>
    </cfRule>
  </conditionalFormatting>
  <conditionalFormatting sqref="L91">
    <cfRule type="expression" dxfId="7781" priority="675" stopIfTrue="1">
      <formula>AND($M91="Approved",$L91="Fixed")</formula>
    </cfRule>
    <cfRule type="cellIs" dxfId="7780" priority="676" stopIfTrue="1" operator="equal">
      <formula>"Fixed"</formula>
    </cfRule>
    <cfRule type="cellIs" dxfId="7779" priority="677" stopIfTrue="1" operator="equal">
      <formula>"Open"</formula>
    </cfRule>
  </conditionalFormatting>
  <conditionalFormatting sqref="M91">
    <cfRule type="expression" dxfId="7778" priority="678" stopIfTrue="1">
      <formula>OR(M91="Fixed",M91="Approved")</formula>
    </cfRule>
    <cfRule type="cellIs" dxfId="7777" priority="679" stopIfTrue="1" operator="equal">
      <formula>"Rejected"</formula>
    </cfRule>
  </conditionalFormatting>
  <conditionalFormatting sqref="B91:D91 G91:I91 E92:F92 G92:G93">
    <cfRule type="expression" dxfId="7776" priority="680" stopIfTrue="1">
      <formula>AND($M91="Approved",OR($L91=$R$1,$L91=$T$1))</formula>
    </cfRule>
  </conditionalFormatting>
  <conditionalFormatting sqref="B92:C92">
    <cfRule type="expression" dxfId="7775" priority="674" stopIfTrue="1">
      <formula>AND($M92="Approved",OR($L92=$R$1,$L92=$T$1))</formula>
    </cfRule>
  </conditionalFormatting>
  <conditionalFormatting sqref="D92">
    <cfRule type="expression" dxfId="7774" priority="673" stopIfTrue="1">
      <formula>AND($M92="Approved",OR($L92=$R$1,$L92=$T$1))</formula>
    </cfRule>
  </conditionalFormatting>
  <conditionalFormatting sqref="B93:C93">
    <cfRule type="expression" dxfId="7773" priority="668" stopIfTrue="1">
      <formula>AND($M93="Approved",OR($L93=$R$1,$L93=$T$1))</formula>
    </cfRule>
  </conditionalFormatting>
  <conditionalFormatting sqref="B94:C94">
    <cfRule type="expression" dxfId="7772" priority="667" stopIfTrue="1">
      <formula>AND($M94="Approved",OR($L94=$R$1,$L94=$T$1))</formula>
    </cfRule>
  </conditionalFormatting>
  <conditionalFormatting sqref="B95:C95">
    <cfRule type="expression" dxfId="7771" priority="666" stopIfTrue="1">
      <formula>AND($M95="Approved",OR($L95=$R$1,$L95=$T$1))</formula>
    </cfRule>
  </conditionalFormatting>
  <conditionalFormatting sqref="B96:C96">
    <cfRule type="expression" dxfId="7770" priority="665" stopIfTrue="1">
      <formula>AND($M96="Approved",OR($L96=$R$1,$L96=$T$1))</formula>
    </cfRule>
  </conditionalFormatting>
  <conditionalFormatting sqref="B97:C97">
    <cfRule type="expression" dxfId="7769" priority="664" stopIfTrue="1">
      <formula>AND($M97="Approved",OR($L97=$R$1,$L97=$T$1))</formula>
    </cfRule>
  </conditionalFormatting>
  <conditionalFormatting sqref="D98">
    <cfRule type="expression" dxfId="7768" priority="663" stopIfTrue="1">
      <formula>AND($M98="Approved",OR($L98=$R$1,$L98=$T$1))</formula>
    </cfRule>
  </conditionalFormatting>
  <conditionalFormatting sqref="B98:C98">
    <cfRule type="expression" dxfId="7767" priority="662" stopIfTrue="1">
      <formula>AND($M98="Approved",OR($L98=$R$1,$L98=$T$1))</formula>
    </cfRule>
  </conditionalFormatting>
  <conditionalFormatting sqref="B99:C99">
    <cfRule type="expression" dxfId="7766" priority="661" stopIfTrue="1">
      <formula>AND($M99="Approved",OR($L99=$R$1,$L99=$T$1))</formula>
    </cfRule>
  </conditionalFormatting>
  <conditionalFormatting sqref="B101">
    <cfRule type="expression" dxfId="7765" priority="660" stopIfTrue="1">
      <formula>AND($M101="Approved",OR($L101=$R$1,$L101=$T$1))</formula>
    </cfRule>
  </conditionalFormatting>
  <conditionalFormatting sqref="C102">
    <cfRule type="expression" dxfId="7764" priority="659" stopIfTrue="1">
      <formula>AND($M102="Approved",OR($L102=$R$1,$L102=$T$1))</formula>
    </cfRule>
  </conditionalFormatting>
  <conditionalFormatting sqref="B102">
    <cfRule type="expression" dxfId="7763" priority="658" stopIfTrue="1">
      <formula>AND($M102="Approved",OR($L102=$R$1,$L102=$T$1))</formula>
    </cfRule>
  </conditionalFormatting>
  <conditionalFormatting sqref="C104">
    <cfRule type="expression" dxfId="7762" priority="655" stopIfTrue="1">
      <formula>AND($M104="Approved",OR($L104=$R$1,$L104=$T$1))</formula>
    </cfRule>
  </conditionalFormatting>
  <conditionalFormatting sqref="B104">
    <cfRule type="expression" dxfId="7761" priority="654" stopIfTrue="1">
      <formula>AND($M104="Approved",OR($L104=$R$1,$L104=$T$1))</formula>
    </cfRule>
  </conditionalFormatting>
  <conditionalFormatting sqref="C106">
    <cfRule type="expression" dxfId="7760" priority="651" stopIfTrue="1">
      <formula>AND($M106="Approved",OR($L106=$R$1,$L106=$T$1))</formula>
    </cfRule>
  </conditionalFormatting>
  <conditionalFormatting sqref="B106">
    <cfRule type="expression" dxfId="7759" priority="650" stopIfTrue="1">
      <formula>AND($M106="Approved",OR($L106=$R$1,$L106=$T$1))</formula>
    </cfRule>
  </conditionalFormatting>
  <conditionalFormatting sqref="C107">
    <cfRule type="expression" dxfId="7758" priority="649" stopIfTrue="1">
      <formula>AND($M107="Approved",OR($L107=$R$1,$L107=$T$1))</formula>
    </cfRule>
  </conditionalFormatting>
  <conditionalFormatting sqref="B107">
    <cfRule type="expression" dxfId="7757" priority="648" stopIfTrue="1">
      <formula>AND($M107="Approved",OR($L107=$R$1,$L107=$T$1))</formula>
    </cfRule>
  </conditionalFormatting>
  <conditionalFormatting sqref="C108">
    <cfRule type="expression" dxfId="7756" priority="647" stopIfTrue="1">
      <formula>AND($M108="Approved",OR($L108=$R$1,$L108=$T$1))</formula>
    </cfRule>
  </conditionalFormatting>
  <conditionalFormatting sqref="B108">
    <cfRule type="expression" dxfId="7755" priority="646" stopIfTrue="1">
      <formula>AND($M108="Approved",OR($L108=$R$1,$L108=$T$1))</formula>
    </cfRule>
  </conditionalFormatting>
  <conditionalFormatting sqref="C111">
    <cfRule type="expression" dxfId="7754" priority="643" stopIfTrue="1">
      <formula>AND($M111="Approved",OR($L111=$R$1,$L111=$T$1))</formula>
    </cfRule>
  </conditionalFormatting>
  <conditionalFormatting sqref="B111">
    <cfRule type="expression" dxfId="7753" priority="642" stopIfTrue="1">
      <formula>AND($M111="Approved",OR($L111=$R$1,$L111=$T$1))</formula>
    </cfRule>
  </conditionalFormatting>
  <conditionalFormatting sqref="C100">
    <cfRule type="expression" dxfId="7752" priority="641" stopIfTrue="1">
      <formula>AND($M100="Approved",OR($L100=$R$1,$L100=$T$1))</formula>
    </cfRule>
  </conditionalFormatting>
  <conditionalFormatting sqref="B100">
    <cfRule type="expression" dxfId="7751" priority="640" stopIfTrue="1">
      <formula>AND($M100="Approved",OR($L100=$R$1,$L100=$T$1))</formula>
    </cfRule>
  </conditionalFormatting>
  <conditionalFormatting sqref="C110">
    <cfRule type="expression" dxfId="7750" priority="639" stopIfTrue="1">
      <formula>AND($M110="Approved",OR($L110=$R$1,$L110=$T$1))</formula>
    </cfRule>
  </conditionalFormatting>
  <conditionalFormatting sqref="B110">
    <cfRule type="expression" dxfId="7749" priority="638" stopIfTrue="1">
      <formula>AND($M110="Approved",OR($L110=$R$1,$L110=$T$1))</formula>
    </cfRule>
  </conditionalFormatting>
  <conditionalFormatting sqref="C112">
    <cfRule type="expression" dxfId="7748" priority="637" stopIfTrue="1">
      <formula>AND($M112="Approved",OR($L112=$R$1,$L112=$T$1))</formula>
    </cfRule>
  </conditionalFormatting>
  <conditionalFormatting sqref="B112">
    <cfRule type="expression" dxfId="7747" priority="636" stopIfTrue="1">
      <formula>AND($M112="Approved",OR($L112=$R$1,$L112=$T$1))</formula>
    </cfRule>
  </conditionalFormatting>
  <conditionalFormatting sqref="B113">
    <cfRule type="expression" dxfId="7746" priority="635" stopIfTrue="1">
      <formula>AND($M113="Approved",OR($L113=$R$1,$L113=$T$1))</formula>
    </cfRule>
  </conditionalFormatting>
  <conditionalFormatting sqref="C114">
    <cfRule type="expression" dxfId="7745" priority="634" stopIfTrue="1">
      <formula>AND($M114="Approved",OR($L114=$R$1,$L114=$T$1))</formula>
    </cfRule>
  </conditionalFormatting>
  <conditionalFormatting sqref="B114">
    <cfRule type="expression" dxfId="7744" priority="633" stopIfTrue="1">
      <formula>AND($M114="Approved",OR($L114=$R$1,$L114=$T$1))</formula>
    </cfRule>
  </conditionalFormatting>
  <conditionalFormatting sqref="C115 C119">
    <cfRule type="expression" dxfId="7743" priority="632" stopIfTrue="1">
      <formula>AND($M115="Approved",OR($L115=$R$1,$L115=$T$1))</formula>
    </cfRule>
  </conditionalFormatting>
  <conditionalFormatting sqref="B115">
    <cfRule type="expression" dxfId="7742" priority="631" stopIfTrue="1">
      <formula>AND($M115="Approved",OR($L115=$R$1,$L115=$T$1))</formula>
    </cfRule>
  </conditionalFormatting>
  <conditionalFormatting sqref="G51">
    <cfRule type="expression" dxfId="7741" priority="630" stopIfTrue="1">
      <formula>AND($M51="Approved",OR($L51=$R$1,$L51=$T$1))</formula>
    </cfRule>
  </conditionalFormatting>
  <conditionalFormatting sqref="G52">
    <cfRule type="expression" dxfId="7740" priority="629" stopIfTrue="1">
      <formula>AND($M52="Approved",OR($L52=$R$1,$L52=$T$1))</formula>
    </cfRule>
  </conditionalFormatting>
  <conditionalFormatting sqref="G53">
    <cfRule type="expression" dxfId="7739" priority="628" stopIfTrue="1">
      <formula>AND($M53="Approved",OR($L53=$R$1,$L53=$T$1))</formula>
    </cfRule>
  </conditionalFormatting>
  <conditionalFormatting sqref="G54 G56">
    <cfRule type="expression" dxfId="7738" priority="627" stopIfTrue="1">
      <formula>AND($M54="Approved",OR($L54=$R$1,$L54=$T$1))</formula>
    </cfRule>
  </conditionalFormatting>
  <conditionalFormatting sqref="G57">
    <cfRule type="expression" dxfId="7737" priority="626" stopIfTrue="1">
      <formula>AND($M57="Approved",OR($L57=$R$1,$L57=$T$1))</formula>
    </cfRule>
  </conditionalFormatting>
  <conditionalFormatting sqref="G58">
    <cfRule type="expression" dxfId="7736" priority="625" stopIfTrue="1">
      <formula>AND($M58="Approved",OR($L58=$R$1,$L58=$T$1))</formula>
    </cfRule>
  </conditionalFormatting>
  <conditionalFormatting sqref="G59">
    <cfRule type="expression" dxfId="7735" priority="624" stopIfTrue="1">
      <formula>AND($M59="Approved",OR($L59=$R$1,$L59=$T$1))</formula>
    </cfRule>
  </conditionalFormatting>
  <conditionalFormatting sqref="G60">
    <cfRule type="expression" dxfId="7734" priority="623" stopIfTrue="1">
      <formula>AND($M60="Approved",OR($L60=$R$1,$L60=$T$1))</formula>
    </cfRule>
  </conditionalFormatting>
  <conditionalFormatting sqref="G61">
    <cfRule type="expression" dxfId="7733" priority="622" stopIfTrue="1">
      <formula>AND($M61="Approved",OR($L61=$R$1,$L61=$T$1))</formula>
    </cfRule>
  </conditionalFormatting>
  <conditionalFormatting sqref="G62">
    <cfRule type="expression" dxfId="7732" priority="621" stopIfTrue="1">
      <formula>AND($M62="Approved",OR($L62=$R$1,$L62=$T$1))</formula>
    </cfRule>
  </conditionalFormatting>
  <conditionalFormatting sqref="G100">
    <cfRule type="expression" dxfId="7731" priority="620" stopIfTrue="1">
      <formula>AND($M100="Approved",OR($L100=$R$1,$L100=$T$1))</formula>
    </cfRule>
  </conditionalFormatting>
  <conditionalFormatting sqref="G102">
    <cfRule type="expression" dxfId="7730" priority="619" stopIfTrue="1">
      <formula>AND($M102="Approved",OR($L102=$R$1,$L102=$T$1))</formula>
    </cfRule>
  </conditionalFormatting>
  <conditionalFormatting sqref="G104">
    <cfRule type="expression" dxfId="7729" priority="617" stopIfTrue="1">
      <formula>AND($M104="Approved",OR($L104=$R$1,$L104=$T$1))</formula>
    </cfRule>
  </conditionalFormatting>
  <conditionalFormatting sqref="G106:G108 G110">
    <cfRule type="expression" dxfId="7728" priority="616" stopIfTrue="1">
      <formula>AND($M106="Approved",OR($L106=$R$1,$L106=$T$1))</formula>
    </cfRule>
  </conditionalFormatting>
  <conditionalFormatting sqref="A120 G120:I120">
    <cfRule type="expression" dxfId="7727" priority="602" stopIfTrue="1">
      <formula>AND($M120="Approved",OR($L120=$R$1,$L120=$T$1))</formula>
    </cfRule>
  </conditionalFormatting>
  <conditionalFormatting sqref="B116:C116">
    <cfRule type="expression" dxfId="7726" priority="596" stopIfTrue="1">
      <formula>AND($M116="Approved",OR($L116=$R$1,$L116=$T$1))</formula>
    </cfRule>
  </conditionalFormatting>
  <conditionalFormatting sqref="B117:C117">
    <cfRule type="expression" dxfId="7725" priority="595" stopIfTrue="1">
      <formula>AND($M117="Approved",OR($L117=$R$1,$L117=$T$1))</formula>
    </cfRule>
  </conditionalFormatting>
  <conditionalFormatting sqref="B118:C118">
    <cfRule type="expression" dxfId="7724" priority="594" stopIfTrue="1">
      <formula>AND($M118="Approved",OR($L118=$R$1,$L118=$T$1))</formula>
    </cfRule>
  </conditionalFormatting>
  <conditionalFormatting sqref="M219:M220 M225:M226">
    <cfRule type="expression" dxfId="7723" priority="586" stopIfTrue="1">
      <formula>OR(M219="Fixed",M219="Approved")</formula>
    </cfRule>
    <cfRule type="cellIs" dxfId="7722" priority="587" stopIfTrue="1" operator="equal">
      <formula>"Rejected"</formula>
    </cfRule>
  </conditionalFormatting>
  <conditionalFormatting sqref="H219 H225">
    <cfRule type="notContainsBlanks" dxfId="7721" priority="582" stopIfTrue="1">
      <formula>LEN(TRIM(H219))&gt;0</formula>
    </cfRule>
  </conditionalFormatting>
  <conditionalFormatting sqref="G121:I121">
    <cfRule type="expression" dxfId="7720" priority="580" stopIfTrue="1">
      <formula>AND($M121="Approved",OR($L121=$R$1,$L121=$T$1))</formula>
    </cfRule>
  </conditionalFormatting>
  <conditionalFormatting sqref="B119">
    <cfRule type="expression" dxfId="7719" priority="576" stopIfTrue="1">
      <formula>AND($M119="Approved",OR($L119=$R$1,$L119=$T$1))</formula>
    </cfRule>
  </conditionalFormatting>
  <conditionalFormatting sqref="B120">
    <cfRule type="expression" dxfId="7718" priority="575" stopIfTrue="1">
      <formula>AND($M120="Approved",OR($L120=$R$1,$L120=$T$1))</formula>
    </cfRule>
  </conditionalFormatting>
  <conditionalFormatting sqref="B121">
    <cfRule type="expression" dxfId="7717" priority="574" stopIfTrue="1">
      <formula>AND($M121="Approved",OR($L121=$R$1,$L121=$T$1))</formula>
    </cfRule>
  </conditionalFormatting>
  <conditionalFormatting sqref="D119:D121">
    <cfRule type="expression" dxfId="7716" priority="573" stopIfTrue="1">
      <formula>AND($M119="Approved",OR($L119=$R$1,$L119=$T$1))</formula>
    </cfRule>
  </conditionalFormatting>
  <conditionalFormatting sqref="C120">
    <cfRule type="expression" dxfId="7715" priority="572" stopIfTrue="1">
      <formula>AND($M120="Approved",OR($L120=$R$1,$L120=$T$1))</formula>
    </cfRule>
  </conditionalFormatting>
  <conditionalFormatting sqref="C121">
    <cfRule type="expression" dxfId="7714" priority="571" stopIfTrue="1">
      <formula>AND($M121="Approved",OR($L121=$R$1,$L121=$T$1))</formula>
    </cfRule>
  </conditionalFormatting>
  <conditionalFormatting sqref="L119:L121">
    <cfRule type="expression" dxfId="7713" priority="566" stopIfTrue="1">
      <formula>AND($M119="Approved",$L119="Fixed")</formula>
    </cfRule>
    <cfRule type="cellIs" dxfId="7712" priority="567" stopIfTrue="1" operator="equal">
      <formula>"Fixed"</formula>
    </cfRule>
    <cfRule type="cellIs" dxfId="7711" priority="568" stopIfTrue="1" operator="equal">
      <formula>"Open"</formula>
    </cfRule>
  </conditionalFormatting>
  <conditionalFormatting sqref="M119:M121">
    <cfRule type="expression" dxfId="7710" priority="569" stopIfTrue="1">
      <formula>OR(M119="Fixed",M119="Approved")</formula>
    </cfRule>
    <cfRule type="cellIs" dxfId="7709" priority="570" stopIfTrue="1" operator="equal">
      <formula>"Rejected"</formula>
    </cfRule>
  </conditionalFormatting>
  <conditionalFormatting sqref="J119:K120">
    <cfRule type="expression" dxfId="7708" priority="565" stopIfTrue="1">
      <formula>AND($M119="Approved",OR($L119=$R$1,$L119=$T$1))</formula>
    </cfRule>
  </conditionalFormatting>
  <conditionalFormatting sqref="J121:K121">
    <cfRule type="expression" dxfId="7707" priority="564" stopIfTrue="1">
      <formula>AND($M121="Approved",OR($L121=$R$1,$L121=$T$1))</formula>
    </cfRule>
  </conditionalFormatting>
  <conditionalFormatting sqref="E119:F121">
    <cfRule type="expression" dxfId="7706" priority="563" stopIfTrue="1">
      <formula>AND($M119="Approved",OR($L119=$R$1,$L119=$T$1))</formula>
    </cfRule>
  </conditionalFormatting>
  <conditionalFormatting sqref="L122:L124">
    <cfRule type="expression" dxfId="7705" priority="557" stopIfTrue="1">
      <formula>AND($M122="Approved",$L122="Fixed")</formula>
    </cfRule>
    <cfRule type="cellIs" dxfId="7704" priority="558" stopIfTrue="1" operator="equal">
      <formula>"Fixed"</formula>
    </cfRule>
    <cfRule type="cellIs" dxfId="7703" priority="559" stopIfTrue="1" operator="equal">
      <formula>"Open"</formula>
    </cfRule>
  </conditionalFormatting>
  <conditionalFormatting sqref="M122:M124">
    <cfRule type="expression" dxfId="7702" priority="560" stopIfTrue="1">
      <formula>OR(M122="Fixed",M122="Approved")</formula>
    </cfRule>
    <cfRule type="cellIs" dxfId="7701" priority="561" stopIfTrue="1" operator="equal">
      <formula>"Rejected"</formula>
    </cfRule>
  </conditionalFormatting>
  <conditionalFormatting sqref="A122:A124 D122:K124">
    <cfRule type="expression" dxfId="7700" priority="562" stopIfTrue="1">
      <formula>AND($M122="Approved",OR($L122=$R$1,$L122=$T$1))</formula>
    </cfRule>
  </conditionalFormatting>
  <conditionalFormatting sqref="C122:C124">
    <cfRule type="expression" dxfId="7699" priority="556" stopIfTrue="1">
      <formula>AND($M122="Approved",OR($L122=$R$1,$L122=$T$1))</formula>
    </cfRule>
  </conditionalFormatting>
  <conditionalFormatting sqref="B122:B124">
    <cfRule type="expression" dxfId="7698" priority="555" stopIfTrue="1">
      <formula>AND($M122="Approved",OR($L122=$R$1,$L122=$T$1))</formula>
    </cfRule>
  </conditionalFormatting>
  <conditionalFormatting sqref="L128 L133 L136">
    <cfRule type="expression" dxfId="7697" priority="549" stopIfTrue="1">
      <formula>AND($M128="Approved",$L128="Fixed")</formula>
    </cfRule>
    <cfRule type="cellIs" dxfId="7696" priority="550" stopIfTrue="1" operator="equal">
      <formula>"Fixed"</formula>
    </cfRule>
    <cfRule type="cellIs" dxfId="7695" priority="551" stopIfTrue="1" operator="equal">
      <formula>"Open"</formula>
    </cfRule>
  </conditionalFormatting>
  <conditionalFormatting sqref="M128 M133 M136">
    <cfRule type="expression" dxfId="7694" priority="552" stopIfTrue="1">
      <formula>OR(M128="Fixed",M128="Approved")</formula>
    </cfRule>
    <cfRule type="cellIs" dxfId="7693" priority="553" stopIfTrue="1" operator="equal">
      <formula>"Rejected"</formula>
    </cfRule>
  </conditionalFormatting>
  <conditionalFormatting sqref="D125:K125 D128:K128 E126:K127 E133:K133 D136:K136">
    <cfRule type="expression" dxfId="7692" priority="554" stopIfTrue="1">
      <formula>AND($M125="Approved",OR($L125=$R$1,$L125=$T$1))</formula>
    </cfRule>
  </conditionalFormatting>
  <conditionalFormatting sqref="C125">
    <cfRule type="expression" dxfId="7691" priority="548" stopIfTrue="1">
      <formula>AND($M125="Approved",OR($L125=$R$1,$L125=$T$1))</formula>
    </cfRule>
  </conditionalFormatting>
  <conditionalFormatting sqref="B125 B128 B133 B136">
    <cfRule type="expression" dxfId="7690" priority="547" stopIfTrue="1">
      <formula>AND($M125="Approved",OR($L125=$R$1,$L125=$T$1))</formula>
    </cfRule>
  </conditionalFormatting>
  <conditionalFormatting sqref="D126">
    <cfRule type="expression" dxfId="7689" priority="546" stopIfTrue="1">
      <formula>AND($M126="Approved",OR($L126=$R$1,$L126=$T$1))</formula>
    </cfRule>
  </conditionalFormatting>
  <conditionalFormatting sqref="C126">
    <cfRule type="expression" dxfId="7688" priority="545" stopIfTrue="1">
      <formula>AND($M126="Approved",OR($L126=$R$1,$L126=$T$1))</formula>
    </cfRule>
  </conditionalFormatting>
  <conditionalFormatting sqref="B126">
    <cfRule type="expression" dxfId="7687" priority="544" stopIfTrue="1">
      <formula>AND($M126="Approved",OR($L126=$R$1,$L126=$T$1))</formula>
    </cfRule>
  </conditionalFormatting>
  <conditionalFormatting sqref="D127">
    <cfRule type="expression" dxfId="7686" priority="543" stopIfTrue="1">
      <formula>AND($M127="Approved",OR($L127=$R$1,$L127=$T$1))</formula>
    </cfRule>
  </conditionalFormatting>
  <conditionalFormatting sqref="C127">
    <cfRule type="expression" dxfId="7685" priority="542" stopIfTrue="1">
      <formula>AND($M127="Approved",OR($L127=$R$1,$L127=$T$1))</formula>
    </cfRule>
  </conditionalFormatting>
  <conditionalFormatting sqref="B127">
    <cfRule type="expression" dxfId="7684" priority="541" stopIfTrue="1">
      <formula>AND($M127="Approved",OR($L127=$R$1,$L127=$T$1))</formula>
    </cfRule>
  </conditionalFormatting>
  <conditionalFormatting sqref="L125:L127">
    <cfRule type="expression" dxfId="7683" priority="536" stopIfTrue="1">
      <formula>AND($M125="Approved",$L125="Fixed")</formula>
    </cfRule>
    <cfRule type="cellIs" dxfId="7682" priority="537" stopIfTrue="1" operator="equal">
      <formula>"Fixed"</formula>
    </cfRule>
    <cfRule type="cellIs" dxfId="7681" priority="538" stopIfTrue="1" operator="equal">
      <formula>"Open"</formula>
    </cfRule>
  </conditionalFormatting>
  <conditionalFormatting sqref="M125:M127">
    <cfRule type="expression" dxfId="7680" priority="539" stopIfTrue="1">
      <formula>OR(M125="Fixed",M125="Approved")</formula>
    </cfRule>
    <cfRule type="cellIs" dxfId="7679" priority="540" stopIfTrue="1" operator="equal">
      <formula>"Rejected"</formula>
    </cfRule>
  </conditionalFormatting>
  <conditionalFormatting sqref="C128">
    <cfRule type="expression" dxfId="7678" priority="533" stopIfTrue="1">
      <formula>AND($M128="Approved",OR($L128=$R$1,$L128=$T$1))</formula>
    </cfRule>
  </conditionalFormatting>
  <conditionalFormatting sqref="L129">
    <cfRule type="expression" dxfId="7677" priority="527" stopIfTrue="1">
      <formula>AND($M129="Approved",$L129="Fixed")</formula>
    </cfRule>
    <cfRule type="cellIs" dxfId="7676" priority="528" stopIfTrue="1" operator="equal">
      <formula>"Fixed"</formula>
    </cfRule>
    <cfRule type="cellIs" dxfId="7675" priority="529" stopIfTrue="1" operator="equal">
      <formula>"Open"</formula>
    </cfRule>
  </conditionalFormatting>
  <conditionalFormatting sqref="M129">
    <cfRule type="expression" dxfId="7674" priority="530" stopIfTrue="1">
      <formula>OR(M129="Fixed",M129="Approved")</formula>
    </cfRule>
    <cfRule type="cellIs" dxfId="7673" priority="531" stopIfTrue="1" operator="equal">
      <formula>"Rejected"</formula>
    </cfRule>
  </conditionalFormatting>
  <conditionalFormatting sqref="D129:K129">
    <cfRule type="expression" dxfId="7672" priority="532" stopIfTrue="1">
      <formula>AND($M129="Approved",OR($L129=$R$1,$L129=$T$1))</formula>
    </cfRule>
  </conditionalFormatting>
  <conditionalFormatting sqref="B129">
    <cfRule type="expression" dxfId="7671" priority="526" stopIfTrue="1">
      <formula>AND($M129="Approved",OR($L129=$R$1,$L129=$T$1))</formula>
    </cfRule>
  </conditionalFormatting>
  <conditionalFormatting sqref="C129">
    <cfRule type="expression" dxfId="7670" priority="525" stopIfTrue="1">
      <formula>AND($M129="Approved",OR($L129=$R$1,$L129=$T$1))</formula>
    </cfRule>
  </conditionalFormatting>
  <conditionalFormatting sqref="L130">
    <cfRule type="expression" dxfId="7669" priority="519" stopIfTrue="1">
      <formula>AND($M130="Approved",$L130="Fixed")</formula>
    </cfRule>
    <cfRule type="cellIs" dxfId="7668" priority="520" stopIfTrue="1" operator="equal">
      <formula>"Fixed"</formula>
    </cfRule>
    <cfRule type="cellIs" dxfId="7667" priority="521" stopIfTrue="1" operator="equal">
      <formula>"Open"</formula>
    </cfRule>
  </conditionalFormatting>
  <conditionalFormatting sqref="M130">
    <cfRule type="expression" dxfId="7666" priority="522" stopIfTrue="1">
      <formula>OR(M130="Fixed",M130="Approved")</formula>
    </cfRule>
    <cfRule type="cellIs" dxfId="7665" priority="523" stopIfTrue="1" operator="equal">
      <formula>"Rejected"</formula>
    </cfRule>
  </conditionalFormatting>
  <conditionalFormatting sqref="D130:K130">
    <cfRule type="expression" dxfId="7664" priority="524" stopIfTrue="1">
      <formula>AND($M130="Approved",OR($L130=$R$1,$L130=$T$1))</formula>
    </cfRule>
  </conditionalFormatting>
  <conditionalFormatting sqref="B130">
    <cfRule type="expression" dxfId="7663" priority="518" stopIfTrue="1">
      <formula>AND($M130="Approved",OR($L130=$R$1,$L130=$T$1))</formula>
    </cfRule>
  </conditionalFormatting>
  <conditionalFormatting sqref="C130">
    <cfRule type="expression" dxfId="7662" priority="517" stopIfTrue="1">
      <formula>AND($M130="Approved",OR($L130=$R$1,$L130=$T$1))</formula>
    </cfRule>
  </conditionalFormatting>
  <conditionalFormatting sqref="L131">
    <cfRule type="expression" dxfId="7661" priority="511" stopIfTrue="1">
      <formula>AND($M131="Approved",$L131="Fixed")</formula>
    </cfRule>
    <cfRule type="cellIs" dxfId="7660" priority="512" stopIfTrue="1" operator="equal">
      <formula>"Fixed"</formula>
    </cfRule>
    <cfRule type="cellIs" dxfId="7659" priority="513" stopIfTrue="1" operator="equal">
      <formula>"Open"</formula>
    </cfRule>
  </conditionalFormatting>
  <conditionalFormatting sqref="M131">
    <cfRule type="expression" dxfId="7658" priority="514" stopIfTrue="1">
      <formula>OR(M131="Fixed",M131="Approved")</formula>
    </cfRule>
    <cfRule type="cellIs" dxfId="7657" priority="515" stopIfTrue="1" operator="equal">
      <formula>"Rejected"</formula>
    </cfRule>
  </conditionalFormatting>
  <conditionalFormatting sqref="D131:K131">
    <cfRule type="expression" dxfId="7656" priority="516" stopIfTrue="1">
      <formula>AND($M131="Approved",OR($L131=$R$1,$L131=$T$1))</formula>
    </cfRule>
  </conditionalFormatting>
  <conditionalFormatting sqref="B131">
    <cfRule type="expression" dxfId="7655" priority="510" stopIfTrue="1">
      <formula>AND($M131="Approved",OR($L131=$R$1,$L131=$T$1))</formula>
    </cfRule>
  </conditionalFormatting>
  <conditionalFormatting sqref="C131">
    <cfRule type="expression" dxfId="7654" priority="509" stopIfTrue="1">
      <formula>AND($M131="Approved",OR($L131=$R$1,$L131=$T$1))</formula>
    </cfRule>
  </conditionalFormatting>
  <conditionalFormatting sqref="L132">
    <cfRule type="expression" dxfId="7653" priority="503" stopIfTrue="1">
      <formula>AND($M132="Approved",$L132="Fixed")</formula>
    </cfRule>
    <cfRule type="cellIs" dxfId="7652" priority="504" stopIfTrue="1" operator="equal">
      <formula>"Fixed"</formula>
    </cfRule>
    <cfRule type="cellIs" dxfId="7651" priority="505" stopIfTrue="1" operator="equal">
      <formula>"Open"</formula>
    </cfRule>
  </conditionalFormatting>
  <conditionalFormatting sqref="M132">
    <cfRule type="expression" dxfId="7650" priority="506" stopIfTrue="1">
      <formula>OR(M132="Fixed",M132="Approved")</formula>
    </cfRule>
    <cfRule type="cellIs" dxfId="7649" priority="507" stopIfTrue="1" operator="equal">
      <formula>"Rejected"</formula>
    </cfRule>
  </conditionalFormatting>
  <conditionalFormatting sqref="D132:K132">
    <cfRule type="expression" dxfId="7648" priority="508" stopIfTrue="1">
      <formula>AND($M132="Approved",OR($L132=$R$1,$L132=$T$1))</formula>
    </cfRule>
  </conditionalFormatting>
  <conditionalFormatting sqref="B132">
    <cfRule type="expression" dxfId="7647" priority="502" stopIfTrue="1">
      <formula>AND($M132="Approved",OR($L132=$R$1,$L132=$T$1))</formula>
    </cfRule>
  </conditionalFormatting>
  <conditionalFormatting sqref="C132">
    <cfRule type="expression" dxfId="7646" priority="501" stopIfTrue="1">
      <formula>AND($M132="Approved",OR($L132=$R$1,$L132=$T$1))</formula>
    </cfRule>
  </conditionalFormatting>
  <conditionalFormatting sqref="C133">
    <cfRule type="expression" dxfId="7645" priority="498" stopIfTrue="1">
      <formula>AND($M133="Approved",OR($L133=$R$1,$L133=$T$1))</formula>
    </cfRule>
  </conditionalFormatting>
  <conditionalFormatting sqref="D133">
    <cfRule type="expression" dxfId="7644" priority="497" stopIfTrue="1">
      <formula>AND($M133="Approved",OR($L133=$R$1,$L133=$T$1))</formula>
    </cfRule>
  </conditionalFormatting>
  <conditionalFormatting sqref="L134">
    <cfRule type="expression" dxfId="7643" priority="491" stopIfTrue="1">
      <formula>AND($M134="Approved",$L134="Fixed")</formula>
    </cfRule>
    <cfRule type="cellIs" dxfId="7642" priority="492" stopIfTrue="1" operator="equal">
      <formula>"Fixed"</formula>
    </cfRule>
    <cfRule type="cellIs" dxfId="7641" priority="493" stopIfTrue="1" operator="equal">
      <formula>"Open"</formula>
    </cfRule>
  </conditionalFormatting>
  <conditionalFormatting sqref="M134">
    <cfRule type="expression" dxfId="7640" priority="494" stopIfTrue="1">
      <formula>OR(M134="Fixed",M134="Approved")</formula>
    </cfRule>
    <cfRule type="cellIs" dxfId="7639" priority="495" stopIfTrue="1" operator="equal">
      <formula>"Rejected"</formula>
    </cfRule>
  </conditionalFormatting>
  <conditionalFormatting sqref="E134:K134">
    <cfRule type="expression" dxfId="7638" priority="496" stopIfTrue="1">
      <formula>AND($M134="Approved",OR($L134=$R$1,$L134=$T$1))</formula>
    </cfRule>
  </conditionalFormatting>
  <conditionalFormatting sqref="B134">
    <cfRule type="expression" dxfId="7637" priority="490" stopIfTrue="1">
      <formula>AND($M134="Approved",OR($L134=$R$1,$L134=$T$1))</formula>
    </cfRule>
  </conditionalFormatting>
  <conditionalFormatting sqref="C134">
    <cfRule type="expression" dxfId="7636" priority="489" stopIfTrue="1">
      <formula>AND($M134="Approved",OR($L134=$R$1,$L134=$T$1))</formula>
    </cfRule>
  </conditionalFormatting>
  <conditionalFormatting sqref="D134">
    <cfRule type="expression" dxfId="7635" priority="488" stopIfTrue="1">
      <formula>AND($M134="Approved",OR($L134=$R$1,$L134=$T$1))</formula>
    </cfRule>
  </conditionalFormatting>
  <conditionalFormatting sqref="L135">
    <cfRule type="expression" dxfId="7634" priority="482" stopIfTrue="1">
      <formula>AND($M135="Approved",$L135="Fixed")</formula>
    </cfRule>
    <cfRule type="cellIs" dxfId="7633" priority="483" stopIfTrue="1" operator="equal">
      <formula>"Fixed"</formula>
    </cfRule>
    <cfRule type="cellIs" dxfId="7632" priority="484" stopIfTrue="1" operator="equal">
      <formula>"Open"</formula>
    </cfRule>
  </conditionalFormatting>
  <conditionalFormatting sqref="M135">
    <cfRule type="expression" dxfId="7631" priority="485" stopIfTrue="1">
      <formula>OR(M135="Fixed",M135="Approved")</formula>
    </cfRule>
    <cfRule type="cellIs" dxfId="7630" priority="486" stopIfTrue="1" operator="equal">
      <formula>"Rejected"</formula>
    </cfRule>
  </conditionalFormatting>
  <conditionalFormatting sqref="E135:K135">
    <cfRule type="expression" dxfId="7629" priority="487" stopIfTrue="1">
      <formula>AND($M135="Approved",OR($L135=$R$1,$L135=$T$1))</formula>
    </cfRule>
  </conditionalFormatting>
  <conditionalFormatting sqref="B135">
    <cfRule type="expression" dxfId="7628" priority="481" stopIfTrue="1">
      <formula>AND($M135="Approved",OR($L135=$R$1,$L135=$T$1))</formula>
    </cfRule>
  </conditionalFormatting>
  <conditionalFormatting sqref="C135">
    <cfRule type="expression" dxfId="7627" priority="480" stopIfTrue="1">
      <formula>AND($M135="Approved",OR($L135=$R$1,$L135=$T$1))</formula>
    </cfRule>
  </conditionalFormatting>
  <conditionalFormatting sqref="D135">
    <cfRule type="expression" dxfId="7626" priority="479" stopIfTrue="1">
      <formula>AND($M135="Approved",OR($L135=$R$1,$L135=$T$1))</formula>
    </cfRule>
  </conditionalFormatting>
  <conditionalFormatting sqref="C136">
    <cfRule type="expression" dxfId="7625" priority="472" stopIfTrue="1">
      <formula>AND($M136="Approved",OR($L136=$R$1,$L136=$T$1))</formula>
    </cfRule>
  </conditionalFormatting>
  <conditionalFormatting sqref="L137">
    <cfRule type="expression" dxfId="7624" priority="466" stopIfTrue="1">
      <formula>AND($M137="Approved",$L137="Fixed")</formula>
    </cfRule>
    <cfRule type="cellIs" dxfId="7623" priority="467" stopIfTrue="1" operator="equal">
      <formula>"Fixed"</formula>
    </cfRule>
    <cfRule type="cellIs" dxfId="7622" priority="468" stopIfTrue="1" operator="equal">
      <formula>"Open"</formula>
    </cfRule>
  </conditionalFormatting>
  <conditionalFormatting sqref="M137">
    <cfRule type="expression" dxfId="7621" priority="469" stopIfTrue="1">
      <formula>OR(M137="Fixed",M137="Approved")</formula>
    </cfRule>
    <cfRule type="cellIs" dxfId="7620" priority="470" stopIfTrue="1" operator="equal">
      <formula>"Rejected"</formula>
    </cfRule>
  </conditionalFormatting>
  <conditionalFormatting sqref="D137:K137">
    <cfRule type="expression" dxfId="7619" priority="471" stopIfTrue="1">
      <formula>AND($M137="Approved",OR($L137=$R$1,$L137=$T$1))</formula>
    </cfRule>
  </conditionalFormatting>
  <conditionalFormatting sqref="B137">
    <cfRule type="expression" dxfId="7618" priority="465" stopIfTrue="1">
      <formula>AND($M137="Approved",OR($L137=$R$1,$L137=$T$1))</formula>
    </cfRule>
  </conditionalFormatting>
  <conditionalFormatting sqref="C137">
    <cfRule type="expression" dxfId="7617" priority="464" stopIfTrue="1">
      <formula>AND($M137="Approved",OR($L137=$R$1,$L137=$T$1))</formula>
    </cfRule>
  </conditionalFormatting>
  <conditionalFormatting sqref="L138">
    <cfRule type="expression" dxfId="7616" priority="458" stopIfTrue="1">
      <formula>AND($M138="Approved",$L138="Fixed")</formula>
    </cfRule>
    <cfRule type="cellIs" dxfId="7615" priority="459" stopIfTrue="1" operator="equal">
      <formula>"Fixed"</formula>
    </cfRule>
    <cfRule type="cellIs" dxfId="7614" priority="460" stopIfTrue="1" operator="equal">
      <formula>"Open"</formula>
    </cfRule>
  </conditionalFormatting>
  <conditionalFormatting sqref="M138">
    <cfRule type="expression" dxfId="7613" priority="461" stopIfTrue="1">
      <formula>OR(M138="Fixed",M138="Approved")</formula>
    </cfRule>
    <cfRule type="cellIs" dxfId="7612" priority="462" stopIfTrue="1" operator="equal">
      <formula>"Rejected"</formula>
    </cfRule>
  </conditionalFormatting>
  <conditionalFormatting sqref="D138:K138">
    <cfRule type="expression" dxfId="7611" priority="463" stopIfTrue="1">
      <formula>AND($M138="Approved",OR($L138=$R$1,$L138=$T$1))</formula>
    </cfRule>
  </conditionalFormatting>
  <conditionalFormatting sqref="B138">
    <cfRule type="expression" dxfId="7610" priority="457" stopIfTrue="1">
      <formula>AND($M138="Approved",OR($L138=$R$1,$L138=$T$1))</formula>
    </cfRule>
  </conditionalFormatting>
  <conditionalFormatting sqref="C138">
    <cfRule type="expression" dxfId="7609" priority="456" stopIfTrue="1">
      <formula>AND($M138="Approved",OR($L138=$R$1,$L138=$T$1))</formula>
    </cfRule>
  </conditionalFormatting>
  <conditionalFormatting sqref="A121">
    <cfRule type="expression" dxfId="7608" priority="5346" stopIfTrue="1">
      <formula>AND($M121="Approved",OR($L139=$R$1,$L139=$T$1))</formula>
    </cfRule>
  </conditionalFormatting>
  <conditionalFormatting sqref="A146:A159">
    <cfRule type="expression" dxfId="7607" priority="5363" stopIfTrue="1">
      <formula>AND($M139="Approved",OR($L139=$R$1,$L139=$T$1))</formula>
    </cfRule>
  </conditionalFormatting>
  <conditionalFormatting sqref="A139:A145">
    <cfRule type="expression" dxfId="7606" priority="5364" stopIfTrue="1">
      <formula>AND(#REF!="Approved",OR(#REF!=$R$1,#REF!=$T$1))</formula>
    </cfRule>
  </conditionalFormatting>
  <conditionalFormatting sqref="L155:L157">
    <cfRule type="expression" dxfId="7605" priority="447" stopIfTrue="1">
      <formula>AND($M155="Approved",$L155="Fixed")</formula>
    </cfRule>
    <cfRule type="cellIs" dxfId="7604" priority="448" stopIfTrue="1" operator="equal">
      <formula>"Fixed"</formula>
    </cfRule>
    <cfRule type="cellIs" dxfId="7603" priority="449" stopIfTrue="1" operator="equal">
      <formula>"Open"</formula>
    </cfRule>
  </conditionalFormatting>
  <conditionalFormatting sqref="M154:M159">
    <cfRule type="expression" dxfId="7602" priority="450" stopIfTrue="1">
      <formula>OR(M154="Fixed",M154="Approved")</formula>
    </cfRule>
    <cfRule type="cellIs" dxfId="7601" priority="451" stopIfTrue="1" operator="equal">
      <formula>"Rejected"</formula>
    </cfRule>
  </conditionalFormatting>
  <conditionalFormatting sqref="E155:K157 C158:I159">
    <cfRule type="expression" dxfId="7600" priority="452" stopIfTrue="1">
      <formula>AND($M155="Approved",OR($L155=$R$1,$L155=$T$1))</formula>
    </cfRule>
  </conditionalFormatting>
  <conditionalFormatting sqref="M153">
    <cfRule type="expression" dxfId="7599" priority="444" stopIfTrue="1">
      <formula>OR(M153="Fixed",M153="Approved")</formula>
    </cfRule>
    <cfRule type="cellIs" dxfId="7598" priority="445" stopIfTrue="1" operator="equal">
      <formula>"Rejected"</formula>
    </cfRule>
  </conditionalFormatting>
  <conditionalFormatting sqref="C155:C156">
    <cfRule type="expression" dxfId="7597" priority="438" stopIfTrue="1">
      <formula>AND($M155="Approved",OR($L155=$R$1,$L155=$T$1))</formula>
    </cfRule>
  </conditionalFormatting>
  <conditionalFormatting sqref="D155:D157">
    <cfRule type="expression" dxfId="7596" priority="437" stopIfTrue="1">
      <formula>AND($M155="Approved",OR($L155=$R$1,$L155=$T$1))</formula>
    </cfRule>
  </conditionalFormatting>
  <conditionalFormatting sqref="C157">
    <cfRule type="expression" dxfId="7595" priority="435" stopIfTrue="1">
      <formula>AND($M157="Approved",OR($L157=$R$1,$L157=$T$1))</formula>
    </cfRule>
  </conditionalFormatting>
  <conditionalFormatting sqref="L153:L154">
    <cfRule type="expression" dxfId="7594" priority="432" stopIfTrue="1">
      <formula>AND($M153="Approved",$L153="Fixed")</formula>
    </cfRule>
    <cfRule type="cellIs" dxfId="7593" priority="433" stopIfTrue="1" operator="equal">
      <formula>"Fixed"</formula>
    </cfRule>
    <cfRule type="cellIs" dxfId="7592" priority="434" stopIfTrue="1" operator="equal">
      <formula>"Open"</formula>
    </cfRule>
  </conditionalFormatting>
  <conditionalFormatting sqref="L55">
    <cfRule type="expression" dxfId="7591" priority="426" stopIfTrue="1">
      <formula>AND($M55="Approved",$L55="Fixed")</formula>
    </cfRule>
    <cfRule type="cellIs" dxfId="7590" priority="427" stopIfTrue="1" operator="equal">
      <formula>"Fixed"</formula>
    </cfRule>
    <cfRule type="cellIs" dxfId="7589" priority="428" stopIfTrue="1" operator="equal">
      <formula>"Open"</formula>
    </cfRule>
  </conditionalFormatting>
  <conditionalFormatting sqref="M55">
    <cfRule type="expression" dxfId="7588" priority="429" stopIfTrue="1">
      <formula>OR(M55="Fixed",M55="Approved")</formula>
    </cfRule>
    <cfRule type="cellIs" dxfId="7587" priority="430" stopIfTrue="1" operator="equal">
      <formula>"Rejected"</formula>
    </cfRule>
  </conditionalFormatting>
  <conditionalFormatting sqref="E55:K55">
    <cfRule type="expression" dxfId="7586" priority="431" stopIfTrue="1">
      <formula>AND($M55="Approved",OR($L55=$R$1,$L55=$T$1))</formula>
    </cfRule>
  </conditionalFormatting>
  <conditionalFormatting sqref="L66">
    <cfRule type="expression" dxfId="7585" priority="420" stopIfTrue="1">
      <formula>AND($M66="Approved",$L66="Fixed")</formula>
    </cfRule>
    <cfRule type="cellIs" dxfId="7584" priority="421" stopIfTrue="1" operator="equal">
      <formula>"Fixed"</formula>
    </cfRule>
    <cfRule type="cellIs" dxfId="7583" priority="422" stopIfTrue="1" operator="equal">
      <formula>"Open"</formula>
    </cfRule>
  </conditionalFormatting>
  <conditionalFormatting sqref="M66">
    <cfRule type="expression" dxfId="7582" priority="423" stopIfTrue="1">
      <formula>OR(M66="Fixed",M66="Approved")</formula>
    </cfRule>
    <cfRule type="cellIs" dxfId="7581" priority="424" stopIfTrue="1" operator="equal">
      <formula>"Rejected"</formula>
    </cfRule>
  </conditionalFormatting>
  <conditionalFormatting sqref="F66:K66">
    <cfRule type="expression" dxfId="7580" priority="425" stopIfTrue="1">
      <formula>AND($M66="Approved",OR($L66=$R$1,$L66=$T$1))</formula>
    </cfRule>
  </conditionalFormatting>
  <conditionalFormatting sqref="J158:K159 J150:K150">
    <cfRule type="expression" dxfId="7579" priority="419" stopIfTrue="1">
      <formula>AND($M150="Approved",OR($L150=$R$1,$L150=$T$1))</formula>
    </cfRule>
  </conditionalFormatting>
  <conditionalFormatting sqref="L146">
    <cfRule type="expression" dxfId="7578" priority="415" stopIfTrue="1">
      <formula>AND($M146="Approved",$L146="Fixed")</formula>
    </cfRule>
    <cfRule type="cellIs" dxfId="7577" priority="416" stopIfTrue="1" operator="equal">
      <formula>"Fixed"</formula>
    </cfRule>
    <cfRule type="cellIs" dxfId="7576" priority="417" stopIfTrue="1" operator="equal">
      <formula>"Open"</formula>
    </cfRule>
  </conditionalFormatting>
  <conditionalFormatting sqref="B146:K146">
    <cfRule type="expression" dxfId="7575" priority="418" stopIfTrue="1">
      <formula>AND($M146="Approved",OR($L146=$R$1,$L146=$T$1))</formula>
    </cfRule>
  </conditionalFormatting>
  <conditionalFormatting sqref="C149:K149">
    <cfRule type="expression" dxfId="7574" priority="414" stopIfTrue="1">
      <formula>AND($M149="Approved",OR($L149=$R$1,$L149=$T$1))</formula>
    </cfRule>
  </conditionalFormatting>
  <conditionalFormatting sqref="B149:B150 B155:B159">
    <cfRule type="expression" dxfId="7573" priority="413" stopIfTrue="1">
      <formula>AND($M149="Approved",OR($L149=$R$1,$L149=$T$1))</formula>
    </cfRule>
  </conditionalFormatting>
  <conditionalFormatting sqref="B162 G162:I162">
    <cfRule type="expression" dxfId="7572" priority="409" stopIfTrue="1">
      <formula>AND($M162="Approved",OR($L162=$R$1,$L162=$T$1))</formula>
    </cfRule>
  </conditionalFormatting>
  <conditionalFormatting sqref="C162">
    <cfRule type="expression" dxfId="7571" priority="408" stopIfTrue="1">
      <formula>AND($M162="Approved",OR($L162=$R$1,$L162=$T$1))</formula>
    </cfRule>
  </conditionalFormatting>
  <conditionalFormatting sqref="C163">
    <cfRule type="expression" dxfId="7570" priority="407" stopIfTrue="1">
      <formula>AND($M163="Approved",OR($L163=$R$1,$L163=$T$1))</formula>
    </cfRule>
  </conditionalFormatting>
  <conditionalFormatting sqref="C151:I151">
    <cfRule type="expression" dxfId="7569" priority="406" stopIfTrue="1">
      <formula>AND($M151="Approved",OR($L151=$R$1,$L151=$T$1))</formula>
    </cfRule>
  </conditionalFormatting>
  <conditionalFormatting sqref="J151:K151">
    <cfRule type="expression" dxfId="7568" priority="405" stopIfTrue="1">
      <formula>AND($M151="Approved",OR($L151=$R$1,$L151=$T$1))</formula>
    </cfRule>
  </conditionalFormatting>
  <conditionalFormatting sqref="B151">
    <cfRule type="expression" dxfId="7567" priority="404" stopIfTrue="1">
      <formula>AND($M151="Approved",OR($L151=$R$1,$L151=$T$1))</formula>
    </cfRule>
  </conditionalFormatting>
  <conditionalFormatting sqref="C152:I152">
    <cfRule type="expression" dxfId="7566" priority="403" stopIfTrue="1">
      <formula>AND($M152="Approved",OR($L152=$R$1,$L152=$T$1))</formula>
    </cfRule>
  </conditionalFormatting>
  <conditionalFormatting sqref="J152:K152">
    <cfRule type="expression" dxfId="7565" priority="402" stopIfTrue="1">
      <formula>AND($M152="Approved",OR($L152=$R$1,$L152=$T$1))</formula>
    </cfRule>
  </conditionalFormatting>
  <conditionalFormatting sqref="B152">
    <cfRule type="expression" dxfId="7564" priority="401" stopIfTrue="1">
      <formula>AND($M152="Approved",OR($L152=$R$1,$L152=$T$1))</formula>
    </cfRule>
  </conditionalFormatting>
  <conditionalFormatting sqref="L101">
    <cfRule type="expression" dxfId="7563" priority="397" stopIfTrue="1">
      <formula>AND($M101="Approved",$L101="Fixed")</formula>
    </cfRule>
    <cfRule type="cellIs" dxfId="7562" priority="398" stopIfTrue="1" operator="equal">
      <formula>"Fixed"</formula>
    </cfRule>
    <cfRule type="cellIs" dxfId="7561" priority="399" stopIfTrue="1" operator="equal">
      <formula>"Open"</formula>
    </cfRule>
  </conditionalFormatting>
  <conditionalFormatting sqref="G101:K101">
    <cfRule type="expression" dxfId="7560" priority="400" stopIfTrue="1">
      <formula>AND($M101="Approved",OR($L101=$R$1,$L101=$T$1))</formula>
    </cfRule>
  </conditionalFormatting>
  <conditionalFormatting sqref="L103">
    <cfRule type="expression" dxfId="7559" priority="393" stopIfTrue="1">
      <formula>AND($M103="Approved",$L103="Fixed")</formula>
    </cfRule>
    <cfRule type="cellIs" dxfId="7558" priority="394" stopIfTrue="1" operator="equal">
      <formula>"Fixed"</formula>
    </cfRule>
    <cfRule type="cellIs" dxfId="7557" priority="395" stopIfTrue="1" operator="equal">
      <formula>"Open"</formula>
    </cfRule>
  </conditionalFormatting>
  <conditionalFormatting sqref="D103:F103 H103:K103">
    <cfRule type="expression" dxfId="7556" priority="396" stopIfTrue="1">
      <formula>AND($M103="Approved",OR($L103=$R$1,$L103=$T$1))</formula>
    </cfRule>
  </conditionalFormatting>
  <conditionalFormatting sqref="C103">
    <cfRule type="expression" dxfId="7555" priority="392" stopIfTrue="1">
      <formula>AND($M103="Approved",OR($L103=$R$1,$L103=$T$1))</formula>
    </cfRule>
  </conditionalFormatting>
  <conditionalFormatting sqref="B103">
    <cfRule type="expression" dxfId="7554" priority="391" stopIfTrue="1">
      <formula>AND($M103="Approved",OR($L103=$R$1,$L103=$T$1))</formula>
    </cfRule>
  </conditionalFormatting>
  <conditionalFormatting sqref="G103">
    <cfRule type="expression" dxfId="7553" priority="390" stopIfTrue="1">
      <formula>AND($M103="Approved",OR($L103=$R$1,$L103=$T$1))</formula>
    </cfRule>
  </conditionalFormatting>
  <conditionalFormatting sqref="H105:K105 D105:F105">
    <cfRule type="expression" dxfId="7552" priority="389" stopIfTrue="1">
      <formula>AND($M105="Approved",OR($L105=$R$1,$L105=$T$1))</formula>
    </cfRule>
  </conditionalFormatting>
  <conditionalFormatting sqref="C105">
    <cfRule type="expression" dxfId="7551" priority="388" stopIfTrue="1">
      <formula>AND($M105="Approved",OR($L105=$R$1,$L105=$T$1))</formula>
    </cfRule>
  </conditionalFormatting>
  <conditionalFormatting sqref="B105">
    <cfRule type="expression" dxfId="7550" priority="387" stopIfTrue="1">
      <formula>AND($M105="Approved",OR($L105=$R$1,$L105=$T$1))</formula>
    </cfRule>
  </conditionalFormatting>
  <conditionalFormatting sqref="G105">
    <cfRule type="expression" dxfId="7549" priority="386" stopIfTrue="1">
      <formula>AND($M105="Approved",OR($L105=$R$1,$L105=$T$1))</formula>
    </cfRule>
  </conditionalFormatting>
  <conditionalFormatting sqref="H109:K109 D109:F109">
    <cfRule type="expression" dxfId="7548" priority="385" stopIfTrue="1">
      <formula>AND($M109="Approved",OR($L109=$R$1,$L109=$T$1))</formula>
    </cfRule>
  </conditionalFormatting>
  <conditionalFormatting sqref="C109">
    <cfRule type="expression" dxfId="7547" priority="384" stopIfTrue="1">
      <formula>AND($M109="Approved",OR($L109=$R$1,$L109=$T$1))</formula>
    </cfRule>
  </conditionalFormatting>
  <conditionalFormatting sqref="B109">
    <cfRule type="expression" dxfId="7546" priority="383" stopIfTrue="1">
      <formula>AND($M109="Approved",OR($L109=$R$1,$L109=$T$1))</formula>
    </cfRule>
  </conditionalFormatting>
  <conditionalFormatting sqref="G109">
    <cfRule type="expression" dxfId="7545" priority="382" stopIfTrue="1">
      <formula>AND($M109="Approved",OR($L109=$R$1,$L109=$T$1))</formula>
    </cfRule>
  </conditionalFormatting>
  <conditionalFormatting sqref="C153:I153">
    <cfRule type="expression" dxfId="7544" priority="381" stopIfTrue="1">
      <formula>AND($M153="Approved",OR($L153=$R$1,$L153=$T$1))</formula>
    </cfRule>
  </conditionalFormatting>
  <conditionalFormatting sqref="J153:K153">
    <cfRule type="expression" dxfId="7543" priority="380" stopIfTrue="1">
      <formula>AND($M153="Approved",OR($L153=$R$1,$L153=$T$1))</formula>
    </cfRule>
  </conditionalFormatting>
  <conditionalFormatting sqref="B153">
    <cfRule type="expression" dxfId="7542" priority="379" stopIfTrue="1">
      <formula>AND($M153="Approved",OR($L153=$R$1,$L153=$T$1))</formula>
    </cfRule>
  </conditionalFormatting>
  <conditionalFormatting sqref="C164">
    <cfRule type="expression" dxfId="7541" priority="378" stopIfTrue="1">
      <formula>AND($M164="Approved",OR($L164=$R$1,$L164=$T$1))</formula>
    </cfRule>
  </conditionalFormatting>
  <conditionalFormatting sqref="B164">
    <cfRule type="expression" dxfId="7540" priority="377" stopIfTrue="1">
      <formula>AND($M164="Approved",OR($L164=$R$1,$L164=$T$1))</formula>
    </cfRule>
  </conditionalFormatting>
  <conditionalFormatting sqref="C154:I154">
    <cfRule type="expression" dxfId="7539" priority="376" stopIfTrue="1">
      <formula>AND($M154="Approved",OR($L154=$R$1,$L154=$T$1))</formula>
    </cfRule>
  </conditionalFormatting>
  <conditionalFormatting sqref="J154:K154">
    <cfRule type="expression" dxfId="7538" priority="375" stopIfTrue="1">
      <formula>AND($M154="Approved",OR($L154=$R$1,$L154=$T$1))</formula>
    </cfRule>
  </conditionalFormatting>
  <conditionalFormatting sqref="B154">
    <cfRule type="expression" dxfId="7537" priority="374" stopIfTrue="1">
      <formula>AND($M154="Approved",OR($L154=$R$1,$L154=$T$1))</formula>
    </cfRule>
  </conditionalFormatting>
  <conditionalFormatting sqref="J163:J164">
    <cfRule type="expression" dxfId="7536" priority="373" stopIfTrue="1">
      <formula>AND($M163="Approved",OR($L163=$R$1,$L163=$T$1))</formula>
    </cfRule>
  </conditionalFormatting>
  <conditionalFormatting sqref="L158">
    <cfRule type="expression" dxfId="7535" priority="370" stopIfTrue="1">
      <formula>AND($M158="Approved",$L158="Fixed")</formula>
    </cfRule>
    <cfRule type="cellIs" dxfId="7534" priority="371" stopIfTrue="1" operator="equal">
      <formula>"Fixed"</formula>
    </cfRule>
    <cfRule type="cellIs" dxfId="7533" priority="372" stopIfTrue="1" operator="equal">
      <formula>"Open"</formula>
    </cfRule>
  </conditionalFormatting>
  <conditionalFormatting sqref="L159">
    <cfRule type="expression" dxfId="7532" priority="367" stopIfTrue="1">
      <formula>AND($M159="Approved",$L159="Fixed")</formula>
    </cfRule>
    <cfRule type="cellIs" dxfId="7531" priority="368" stopIfTrue="1" operator="equal">
      <formula>"Fixed"</formula>
    </cfRule>
    <cfRule type="cellIs" dxfId="7530" priority="369" stopIfTrue="1" operator="equal">
      <formula>"Open"</formula>
    </cfRule>
  </conditionalFormatting>
  <conditionalFormatting sqref="C165">
    <cfRule type="expression" dxfId="7529" priority="366" stopIfTrue="1">
      <formula>AND($M165="Approved",OR($L165=$R$1,$L165=$T$1))</formula>
    </cfRule>
  </conditionalFormatting>
  <conditionalFormatting sqref="B165">
    <cfRule type="expression" dxfId="7528" priority="365" stopIfTrue="1">
      <formula>AND($M165="Approved",OR($L165=$R$1,$L165=$T$1))</formula>
    </cfRule>
  </conditionalFormatting>
  <conditionalFormatting sqref="C166">
    <cfRule type="expression" dxfId="7527" priority="364" stopIfTrue="1">
      <formula>AND($M166="Approved",OR($L166=$R$1,$L166=$T$1))</formula>
    </cfRule>
  </conditionalFormatting>
  <conditionalFormatting sqref="B166">
    <cfRule type="expression" dxfId="7526" priority="363" stopIfTrue="1">
      <formula>AND($M166="Approved",OR($L166=$R$1,$L166=$T$1))</formula>
    </cfRule>
  </conditionalFormatting>
  <conditionalFormatting sqref="B167">
    <cfRule type="expression" dxfId="7525" priority="362" stopIfTrue="1">
      <formula>AND($M167="Approved",OR($L167=$R$1,$L167=$T$1))</formula>
    </cfRule>
  </conditionalFormatting>
  <conditionalFormatting sqref="C167">
    <cfRule type="expression" dxfId="7524" priority="361" stopIfTrue="1">
      <formula>AND($M167="Approved",OR($L167=$R$1,$L167=$T$1))</formula>
    </cfRule>
  </conditionalFormatting>
  <conditionalFormatting sqref="L175:L180">
    <cfRule type="expression" dxfId="7523" priority="355" stopIfTrue="1">
      <formula>AND($M175="Approved",$L175="Fixed")</formula>
    </cfRule>
    <cfRule type="cellIs" dxfId="7522" priority="356" stopIfTrue="1" operator="equal">
      <formula>"Fixed"</formula>
    </cfRule>
    <cfRule type="cellIs" dxfId="7521" priority="357" stopIfTrue="1" operator="equal">
      <formula>"Open"</formula>
    </cfRule>
  </conditionalFormatting>
  <conditionalFormatting sqref="M175:M180">
    <cfRule type="expression" dxfId="7520" priority="358" stopIfTrue="1">
      <formula>OR(M175="Fixed",M175="Approved")</formula>
    </cfRule>
    <cfRule type="cellIs" dxfId="7519" priority="359" stopIfTrue="1" operator="equal">
      <formula>"Rejected"</formula>
    </cfRule>
  </conditionalFormatting>
  <conditionalFormatting sqref="E175:K180">
    <cfRule type="expression" dxfId="7518" priority="360" stopIfTrue="1">
      <formula>AND($M175="Approved",OR($L175=$R$1,$L175=$T$1))</formula>
    </cfRule>
  </conditionalFormatting>
  <conditionalFormatting sqref="L193">
    <cfRule type="expression" dxfId="7517" priority="349" stopIfTrue="1">
      <formula>AND($M193="Approved",$L193="Fixed")</formula>
    </cfRule>
    <cfRule type="cellIs" dxfId="7516" priority="350" stopIfTrue="1" operator="equal">
      <formula>"Fixed"</formula>
    </cfRule>
    <cfRule type="cellIs" dxfId="7515" priority="351" stopIfTrue="1" operator="equal">
      <formula>"Open"</formula>
    </cfRule>
  </conditionalFormatting>
  <conditionalFormatting sqref="M193">
    <cfRule type="expression" dxfId="7514" priority="352" stopIfTrue="1">
      <formula>OR(M193="Fixed",M193="Approved")</formula>
    </cfRule>
    <cfRule type="cellIs" dxfId="7513" priority="353" stopIfTrue="1" operator="equal">
      <formula>"Rejected"</formula>
    </cfRule>
  </conditionalFormatting>
  <conditionalFormatting sqref="D193:K193">
    <cfRule type="expression" dxfId="7512" priority="354" stopIfTrue="1">
      <formula>AND($M193="Approved",OR($L193=$R$1,$L193=$T$1))</formula>
    </cfRule>
  </conditionalFormatting>
  <conditionalFormatting sqref="L194">
    <cfRule type="expression" dxfId="7511" priority="343" stopIfTrue="1">
      <formula>AND($M194="Approved",$L194="Fixed")</formula>
    </cfRule>
    <cfRule type="cellIs" dxfId="7510" priority="344" stopIfTrue="1" operator="equal">
      <formula>"Fixed"</formula>
    </cfRule>
    <cfRule type="cellIs" dxfId="7509" priority="345" stopIfTrue="1" operator="equal">
      <formula>"Open"</formula>
    </cfRule>
  </conditionalFormatting>
  <conditionalFormatting sqref="M194">
    <cfRule type="expression" dxfId="7508" priority="346" stopIfTrue="1">
      <formula>OR(M194="Fixed",M194="Approved")</formula>
    </cfRule>
    <cfRule type="cellIs" dxfId="7507" priority="347" stopIfTrue="1" operator="equal">
      <formula>"Rejected"</formula>
    </cfRule>
  </conditionalFormatting>
  <conditionalFormatting sqref="E194:K194">
    <cfRule type="expression" dxfId="7506" priority="348" stopIfTrue="1">
      <formula>AND($M194="Approved",OR($L194=$R$1,$L194=$T$1))</formula>
    </cfRule>
  </conditionalFormatting>
  <conditionalFormatting sqref="B195:C195">
    <cfRule type="expression" dxfId="7505" priority="342" stopIfTrue="1">
      <formula>AND($M195="Approved",OR($L195=$R$1,$L195=$T$1))</formula>
    </cfRule>
  </conditionalFormatting>
  <conditionalFormatting sqref="L195">
    <cfRule type="expression" dxfId="7504" priority="336" stopIfTrue="1">
      <formula>AND($M195="Approved",$L195="Fixed")</formula>
    </cfRule>
    <cfRule type="cellIs" dxfId="7503" priority="337" stopIfTrue="1" operator="equal">
      <formula>"Fixed"</formula>
    </cfRule>
    <cfRule type="cellIs" dxfId="7502" priority="338" stopIfTrue="1" operator="equal">
      <formula>"Open"</formula>
    </cfRule>
  </conditionalFormatting>
  <conditionalFormatting sqref="M195">
    <cfRule type="expression" dxfId="7501" priority="339" stopIfTrue="1">
      <formula>OR(M195="Fixed",M195="Approved")</formula>
    </cfRule>
    <cfRule type="cellIs" dxfId="7500" priority="340" stopIfTrue="1" operator="equal">
      <formula>"Rejected"</formula>
    </cfRule>
  </conditionalFormatting>
  <conditionalFormatting sqref="E195:K195">
    <cfRule type="expression" dxfId="7499" priority="341" stopIfTrue="1">
      <formula>AND($M195="Approved",OR($L195=$R$1,$L195=$T$1))</formula>
    </cfRule>
  </conditionalFormatting>
  <conditionalFormatting sqref="D194">
    <cfRule type="expression" dxfId="7498" priority="335" stopIfTrue="1">
      <formula>AND($M194="Approved",OR($L194=$R$1,$L194=$T$1))</formula>
    </cfRule>
  </conditionalFormatting>
  <conditionalFormatting sqref="D195">
    <cfRule type="expression" dxfId="7497" priority="334" stopIfTrue="1">
      <formula>AND($M195="Approved",OR($L195=$R$1,$L195=$T$1))</formula>
    </cfRule>
  </conditionalFormatting>
  <conditionalFormatting sqref="B196:C196">
    <cfRule type="expression" dxfId="7496" priority="333" stopIfTrue="1">
      <formula>AND($M196="Approved",OR($L196=$R$1,$L196=$T$1))</formula>
    </cfRule>
  </conditionalFormatting>
  <conditionalFormatting sqref="B197:C197">
    <cfRule type="expression" dxfId="7495" priority="332" stopIfTrue="1">
      <formula>AND($M197="Approved",OR($L197=$R$1,$L197=$T$1))</formula>
    </cfRule>
  </conditionalFormatting>
  <conditionalFormatting sqref="B198:C198">
    <cfRule type="expression" dxfId="7494" priority="331" stopIfTrue="1">
      <formula>AND($M198="Approved",OR($L198=$R$1,$L198=$T$1))</formula>
    </cfRule>
  </conditionalFormatting>
  <conditionalFormatting sqref="D199">
    <cfRule type="expression" dxfId="7493" priority="330" stopIfTrue="1">
      <formula>AND($M199="Approved",OR($L199=$R$1,$L199=$T$1))</formula>
    </cfRule>
  </conditionalFormatting>
  <conditionalFormatting sqref="D200">
    <cfRule type="expression" dxfId="7492" priority="328" stopIfTrue="1">
      <formula>AND($M200="Approved",OR($L200=$R$1,$L200=$T$1))</formula>
    </cfRule>
  </conditionalFormatting>
  <conditionalFormatting sqref="B199:C199">
    <cfRule type="expression" dxfId="7491" priority="326" stopIfTrue="1">
      <formula>AND($M199="Approved",OR($L199=$R$1,$L199=$T$1))</formula>
    </cfRule>
  </conditionalFormatting>
  <conditionalFormatting sqref="B200:C200">
    <cfRule type="expression" dxfId="7490" priority="325" stopIfTrue="1">
      <formula>AND($M200="Approved",OR($L200=$R$1,$L200=$T$1))</formula>
    </cfRule>
  </conditionalFormatting>
  <conditionalFormatting sqref="B201:C201">
    <cfRule type="expression" dxfId="7489" priority="324" stopIfTrue="1">
      <formula>AND($M201="Approved",OR($L201=$R$1,$L201=$T$1))</formula>
    </cfRule>
  </conditionalFormatting>
  <conditionalFormatting sqref="L203">
    <cfRule type="expression" dxfId="7488" priority="318" stopIfTrue="1">
      <formula>AND($M203="Approved",$L203="Fixed")</formula>
    </cfRule>
    <cfRule type="cellIs" dxfId="7487" priority="319" stopIfTrue="1" operator="equal">
      <formula>"Fixed"</formula>
    </cfRule>
    <cfRule type="cellIs" dxfId="7486" priority="320" stopIfTrue="1" operator="equal">
      <formula>"Open"</formula>
    </cfRule>
  </conditionalFormatting>
  <conditionalFormatting sqref="M203">
    <cfRule type="expression" dxfId="7485" priority="321" stopIfTrue="1">
      <formula>OR(M203="Fixed",M203="Approved")</formula>
    </cfRule>
    <cfRule type="cellIs" dxfId="7484" priority="322" stopIfTrue="1" operator="equal">
      <formula>"Rejected"</formula>
    </cfRule>
  </conditionalFormatting>
  <conditionalFormatting sqref="E203:K203">
    <cfRule type="expression" dxfId="7483" priority="323" stopIfTrue="1">
      <formula>AND($M203="Approved",OR($L203=$R$1,$L203=$T$1))</formula>
    </cfRule>
  </conditionalFormatting>
  <conditionalFormatting sqref="D203">
    <cfRule type="expression" dxfId="7482" priority="317" stopIfTrue="1">
      <formula>AND($M203="Approved",OR($L203=$R$1,$L203=$T$1))</formula>
    </cfRule>
  </conditionalFormatting>
  <conditionalFormatting sqref="B204:C204">
    <cfRule type="expression" dxfId="7481" priority="316" stopIfTrue="1">
      <formula>AND($M204="Approved",OR($L204=$R$1,$L204=$T$1))</formula>
    </cfRule>
  </conditionalFormatting>
  <conditionalFormatting sqref="L204">
    <cfRule type="expression" dxfId="7480" priority="310" stopIfTrue="1">
      <formula>AND($M204="Approved",$L204="Fixed")</formula>
    </cfRule>
    <cfRule type="cellIs" dxfId="7479" priority="311" stopIfTrue="1" operator="equal">
      <formula>"Fixed"</formula>
    </cfRule>
    <cfRule type="cellIs" dxfId="7478" priority="312" stopIfTrue="1" operator="equal">
      <formula>"Open"</formula>
    </cfRule>
  </conditionalFormatting>
  <conditionalFormatting sqref="M204">
    <cfRule type="expression" dxfId="7477" priority="313" stopIfTrue="1">
      <formula>OR(M204="Fixed",M204="Approved")</formula>
    </cfRule>
    <cfRule type="cellIs" dxfId="7476" priority="314" stopIfTrue="1" operator="equal">
      <formula>"Rejected"</formula>
    </cfRule>
  </conditionalFormatting>
  <conditionalFormatting sqref="E204:K204">
    <cfRule type="expression" dxfId="7475" priority="315" stopIfTrue="1">
      <formula>AND($M204="Approved",OR($L204=$R$1,$L204=$T$1))</formula>
    </cfRule>
  </conditionalFormatting>
  <conditionalFormatting sqref="D204">
    <cfRule type="expression" dxfId="7474" priority="309" stopIfTrue="1">
      <formula>AND($M204="Approved",OR($L204=$R$1,$L204=$T$1))</formula>
    </cfRule>
  </conditionalFormatting>
  <conditionalFormatting sqref="B205:C205">
    <cfRule type="expression" dxfId="7473" priority="308" stopIfTrue="1">
      <formula>AND($M205="Approved",OR($L205=$R$1,$L205=$T$1))</formula>
    </cfRule>
  </conditionalFormatting>
  <conditionalFormatting sqref="L205">
    <cfRule type="expression" dxfId="7472" priority="302" stopIfTrue="1">
      <formula>AND($M205="Approved",$L205="Fixed")</formula>
    </cfRule>
    <cfRule type="cellIs" dxfId="7471" priority="303" stopIfTrue="1" operator="equal">
      <formula>"Fixed"</formula>
    </cfRule>
    <cfRule type="cellIs" dxfId="7470" priority="304" stopIfTrue="1" operator="equal">
      <formula>"Open"</formula>
    </cfRule>
  </conditionalFormatting>
  <conditionalFormatting sqref="M205">
    <cfRule type="expression" dxfId="7469" priority="305" stopIfTrue="1">
      <formula>OR(M205="Fixed",M205="Approved")</formula>
    </cfRule>
    <cfRule type="cellIs" dxfId="7468" priority="306" stopIfTrue="1" operator="equal">
      <formula>"Rejected"</formula>
    </cfRule>
  </conditionalFormatting>
  <conditionalFormatting sqref="E205:K205">
    <cfRule type="expression" dxfId="7467" priority="307" stopIfTrue="1">
      <formula>AND($M205="Approved",OR($L205=$R$1,$L205=$T$1))</formula>
    </cfRule>
  </conditionalFormatting>
  <conditionalFormatting sqref="D205">
    <cfRule type="expression" dxfId="7466" priority="301" stopIfTrue="1">
      <formula>AND($M205="Approved",OR($L205=$R$1,$L205=$T$1))</formula>
    </cfRule>
  </conditionalFormatting>
  <conditionalFormatting sqref="B206:C206">
    <cfRule type="expression" dxfId="7465" priority="300" stopIfTrue="1">
      <formula>AND($M206="Approved",OR($L206=$R$1,$L206=$T$1))</formula>
    </cfRule>
  </conditionalFormatting>
  <conditionalFormatting sqref="L206">
    <cfRule type="expression" dxfId="7464" priority="294" stopIfTrue="1">
      <formula>AND($M206="Approved",$L206="Fixed")</formula>
    </cfRule>
    <cfRule type="cellIs" dxfId="7463" priority="295" stopIfTrue="1" operator="equal">
      <formula>"Fixed"</formula>
    </cfRule>
    <cfRule type="cellIs" dxfId="7462" priority="296" stopIfTrue="1" operator="equal">
      <formula>"Open"</formula>
    </cfRule>
  </conditionalFormatting>
  <conditionalFormatting sqref="M206">
    <cfRule type="expression" dxfId="7461" priority="297" stopIfTrue="1">
      <formula>OR(M206="Fixed",M206="Approved")</formula>
    </cfRule>
    <cfRule type="cellIs" dxfId="7460" priority="298" stopIfTrue="1" operator="equal">
      <formula>"Rejected"</formula>
    </cfRule>
  </conditionalFormatting>
  <conditionalFormatting sqref="G206:K206">
    <cfRule type="expression" dxfId="7459" priority="299" stopIfTrue="1">
      <formula>AND($M206="Approved",OR($L206=$R$1,$L206=$T$1))</formula>
    </cfRule>
  </conditionalFormatting>
  <conditionalFormatting sqref="L197:L201">
    <cfRule type="expression" dxfId="7458" priority="288" stopIfTrue="1">
      <formula>AND($M197="Approved",$L197="Fixed")</formula>
    </cfRule>
    <cfRule type="cellIs" dxfId="7457" priority="289" stopIfTrue="1" operator="equal">
      <formula>"Fixed"</formula>
    </cfRule>
    <cfRule type="cellIs" dxfId="7456" priority="290" stopIfTrue="1" operator="equal">
      <formula>"Open"</formula>
    </cfRule>
  </conditionalFormatting>
  <conditionalFormatting sqref="H197:K201">
    <cfRule type="expression" dxfId="7455" priority="293" stopIfTrue="1">
      <formula>AND($M197="Approved",OR($L197=$R$1,$L197=$T$1))</formula>
    </cfRule>
  </conditionalFormatting>
  <conditionalFormatting sqref="M196:M201">
    <cfRule type="expression" dxfId="7454" priority="286" stopIfTrue="1">
      <formula>OR(M196="Fixed",M196="Approved")</formula>
    </cfRule>
    <cfRule type="cellIs" dxfId="7453" priority="287" stopIfTrue="1" operator="equal">
      <formula>"Rejected"</formula>
    </cfRule>
  </conditionalFormatting>
  <conditionalFormatting sqref="B208:C208">
    <cfRule type="expression" dxfId="7452" priority="285" stopIfTrue="1">
      <formula>AND($M208="Approved",OR($L208=$R$1,$L208=$T$1))</formula>
    </cfRule>
  </conditionalFormatting>
  <conditionalFormatting sqref="D208">
    <cfRule type="expression" dxfId="7451" priority="284" stopIfTrue="1">
      <formula>AND($M208="Approved",OR($L208=$R$1,$L208=$T$1))</formula>
    </cfRule>
  </conditionalFormatting>
  <conditionalFormatting sqref="J208">
    <cfRule type="expression" dxfId="7450" priority="283" stopIfTrue="1">
      <formula>AND($M208="Approved",OR($L208=$R$1,$L208=$T$1))</formula>
    </cfRule>
  </conditionalFormatting>
  <conditionalFormatting sqref="L209:L215">
    <cfRule type="expression" dxfId="7449" priority="277" stopIfTrue="1">
      <formula>AND($M209="Approved",$L209="Fixed")</formula>
    </cfRule>
    <cfRule type="cellIs" dxfId="7448" priority="278" stopIfTrue="1" operator="equal">
      <formula>"Fixed"</formula>
    </cfRule>
    <cfRule type="cellIs" dxfId="7447" priority="279" stopIfTrue="1" operator="equal">
      <formula>"Open"</formula>
    </cfRule>
  </conditionalFormatting>
  <conditionalFormatting sqref="M209:M215">
    <cfRule type="expression" dxfId="7446" priority="280" stopIfTrue="1">
      <formula>OR(M209="Fixed",M209="Approved")</formula>
    </cfRule>
    <cfRule type="cellIs" dxfId="7445" priority="281" stopIfTrue="1" operator="equal">
      <formula>"Rejected"</formula>
    </cfRule>
  </conditionalFormatting>
  <conditionalFormatting sqref="E209:I215 K209:K215">
    <cfRule type="expression" dxfId="7444" priority="282" stopIfTrue="1">
      <formula>AND($M209="Approved",OR($L209=$R$1,$L209=$T$1))</formula>
    </cfRule>
  </conditionalFormatting>
  <conditionalFormatting sqref="B209:C215">
    <cfRule type="expression" dxfId="7443" priority="276" stopIfTrue="1">
      <formula>AND($M209="Approved",OR($L209=$R$1,$L209=$T$1))</formula>
    </cfRule>
  </conditionalFormatting>
  <conditionalFormatting sqref="D209:D215">
    <cfRule type="expression" dxfId="7442" priority="275" stopIfTrue="1">
      <formula>AND($M209="Approved",OR($L209=$R$1,$L209=$T$1))</formula>
    </cfRule>
  </conditionalFormatting>
  <conditionalFormatting sqref="J209:J215">
    <cfRule type="expression" dxfId="7441" priority="274" stopIfTrue="1">
      <formula>AND($M209="Approved",OR($L209=$R$1,$L209=$T$1))</formula>
    </cfRule>
  </conditionalFormatting>
  <conditionalFormatting sqref="L216">
    <cfRule type="expression" dxfId="7440" priority="268" stopIfTrue="1">
      <formula>AND($M216="Approved",$L216="Fixed")</formula>
    </cfRule>
    <cfRule type="cellIs" dxfId="7439" priority="269" stopIfTrue="1" operator="equal">
      <formula>"Fixed"</formula>
    </cfRule>
    <cfRule type="cellIs" dxfId="7438" priority="270" stopIfTrue="1" operator="equal">
      <formula>"Open"</formula>
    </cfRule>
  </conditionalFormatting>
  <conditionalFormatting sqref="M216">
    <cfRule type="expression" dxfId="7437" priority="271" stopIfTrue="1">
      <formula>OR(M216="Fixed",M216="Approved")</formula>
    </cfRule>
    <cfRule type="cellIs" dxfId="7436" priority="272" stopIfTrue="1" operator="equal">
      <formula>"Rejected"</formula>
    </cfRule>
  </conditionalFormatting>
  <conditionalFormatting sqref="E216:I216 K216:K219 K225">
    <cfRule type="expression" dxfId="7435" priority="273" stopIfTrue="1">
      <formula>AND($M216="Approved",OR($L216=$R$1,$L216=$T$1))</formula>
    </cfRule>
  </conditionalFormatting>
  <conditionalFormatting sqref="B216:C216">
    <cfRule type="expression" dxfId="7434" priority="267" stopIfTrue="1">
      <formula>AND($M216="Approved",OR($L216=$R$1,$L216=$T$1))</formula>
    </cfRule>
  </conditionalFormatting>
  <conditionalFormatting sqref="D216">
    <cfRule type="expression" dxfId="7433" priority="266" stopIfTrue="1">
      <formula>AND($M216="Approved",OR($L216=$R$1,$L216=$T$1))</formula>
    </cfRule>
  </conditionalFormatting>
  <conditionalFormatting sqref="J216:J219 J225">
    <cfRule type="expression" dxfId="7432" priority="265" stopIfTrue="1">
      <formula>AND($M216="Approved",OR($L216=$R$1,$L216=$T$1))</formula>
    </cfRule>
  </conditionalFormatting>
  <conditionalFormatting sqref="B217:C217">
    <cfRule type="expression" dxfId="7431" priority="264" stopIfTrue="1">
      <formula>AND($M217="Approved",OR($L217=$R$1,$L217=$T$1))</formula>
    </cfRule>
  </conditionalFormatting>
  <conditionalFormatting sqref="B218:C218">
    <cfRule type="expression" dxfId="7430" priority="263" stopIfTrue="1">
      <formula>AND($M218="Approved",OR($L218=$R$1,$L218=$T$1))</formula>
    </cfRule>
  </conditionalFormatting>
  <conditionalFormatting sqref="E219">
    <cfRule type="expression" dxfId="7429" priority="262" stopIfTrue="1">
      <formula>AND($M219="Approved",OR($L219=$R$1,$L219=$T$1))</formula>
    </cfRule>
  </conditionalFormatting>
  <conditionalFormatting sqref="B219:C219">
    <cfRule type="expression" dxfId="7428" priority="261" stopIfTrue="1">
      <formula>AND($M219="Approved",OR($L219=$R$1,$L219=$T$1))</formula>
    </cfRule>
  </conditionalFormatting>
  <conditionalFormatting sqref="B220:C220">
    <cfRule type="expression" dxfId="7427" priority="260" stopIfTrue="1">
      <formula>AND($M220="Approved",OR($L220=$R$1,$L220=$T$1))</formula>
    </cfRule>
  </conditionalFormatting>
  <conditionalFormatting sqref="D220">
    <cfRule type="expression" dxfId="7426" priority="259" stopIfTrue="1">
      <formula>AND($M220="Approved",OR($L220=$R$1,$L220=$T$1))</formula>
    </cfRule>
  </conditionalFormatting>
  <conditionalFormatting sqref="E220 E225:E226">
    <cfRule type="expression" dxfId="7425" priority="258" stopIfTrue="1">
      <formula>AND($M220="Approved",OR($L220=$R$1,$L220=$T$1))</formula>
    </cfRule>
  </conditionalFormatting>
  <conditionalFormatting sqref="J220">
    <cfRule type="expression" dxfId="7424" priority="257" stopIfTrue="1">
      <formula>AND($M220="Approved",OR($L220=$R$1,$L220=$T$1))</formula>
    </cfRule>
  </conditionalFormatting>
  <conditionalFormatting sqref="G220:I220">
    <cfRule type="expression" dxfId="7423" priority="256" stopIfTrue="1">
      <formula>AND($M220="Approved",OR($L220=$R$1,$L220=$T$1))</formula>
    </cfRule>
  </conditionalFormatting>
  <conditionalFormatting sqref="L221">
    <cfRule type="expression" dxfId="7422" priority="253" stopIfTrue="1">
      <formula>AND($M221="Approved",$L221="Fixed")</formula>
    </cfRule>
    <cfRule type="cellIs" dxfId="7421" priority="254" stopIfTrue="1" operator="equal">
      <formula>"Fixed"</formula>
    </cfRule>
    <cfRule type="cellIs" dxfId="7420" priority="255" stopIfTrue="1" operator="equal">
      <formula>"Open"</formula>
    </cfRule>
  </conditionalFormatting>
  <conditionalFormatting sqref="M221">
    <cfRule type="expression" dxfId="7419" priority="251" stopIfTrue="1">
      <formula>OR(M221="Fixed",M221="Approved")</formula>
    </cfRule>
    <cfRule type="cellIs" dxfId="7418" priority="252" stopIfTrue="1" operator="equal">
      <formula>"Rejected"</formula>
    </cfRule>
  </conditionalFormatting>
  <conditionalFormatting sqref="B221:C221">
    <cfRule type="expression" dxfId="7417" priority="250" stopIfTrue="1">
      <formula>AND($M221="Approved",OR($L221=$R$1,$L221=$T$1))</formula>
    </cfRule>
  </conditionalFormatting>
  <conditionalFormatting sqref="D221">
    <cfRule type="expression" dxfId="7416" priority="249" stopIfTrue="1">
      <formula>AND($M221="Approved",OR($L221=$R$1,$L221=$T$1))</formula>
    </cfRule>
  </conditionalFormatting>
  <conditionalFormatting sqref="E221">
    <cfRule type="expression" dxfId="7415" priority="248" stopIfTrue="1">
      <formula>AND($M221="Approved",OR($L221=$R$1,$L221=$T$1))</formula>
    </cfRule>
  </conditionalFormatting>
  <conditionalFormatting sqref="J221">
    <cfRule type="expression" dxfId="7414" priority="247" stopIfTrue="1">
      <formula>AND($M221="Approved",OR($L221=$R$1,$L221=$T$1))</formula>
    </cfRule>
  </conditionalFormatting>
  <conditionalFormatting sqref="G221:I221">
    <cfRule type="expression" dxfId="7413" priority="246" stopIfTrue="1">
      <formula>AND($M221="Approved",OR($L221=$R$1,$L221=$T$1))</formula>
    </cfRule>
  </conditionalFormatting>
  <conditionalFormatting sqref="L222">
    <cfRule type="expression" dxfId="7412" priority="243" stopIfTrue="1">
      <formula>AND($M222="Approved",$L222="Fixed")</formula>
    </cfRule>
    <cfRule type="cellIs" dxfId="7411" priority="244" stopIfTrue="1" operator="equal">
      <formula>"Fixed"</formula>
    </cfRule>
    <cfRule type="cellIs" dxfId="7410" priority="245" stopIfTrue="1" operator="equal">
      <formula>"Open"</formula>
    </cfRule>
  </conditionalFormatting>
  <conditionalFormatting sqref="M222">
    <cfRule type="expression" dxfId="7409" priority="241" stopIfTrue="1">
      <formula>OR(M222="Fixed",M222="Approved")</formula>
    </cfRule>
    <cfRule type="cellIs" dxfId="7408" priority="242" stopIfTrue="1" operator="equal">
      <formula>"Rejected"</formula>
    </cfRule>
  </conditionalFormatting>
  <conditionalFormatting sqref="B222:C222">
    <cfRule type="expression" dxfId="7407" priority="240" stopIfTrue="1">
      <formula>AND($M222="Approved",OR($L222=$R$1,$L222=$T$1))</formula>
    </cfRule>
  </conditionalFormatting>
  <conditionalFormatting sqref="D222">
    <cfRule type="expression" dxfId="7406" priority="239" stopIfTrue="1">
      <formula>AND($M222="Approved",OR($L222=$R$1,$L222=$T$1))</formula>
    </cfRule>
  </conditionalFormatting>
  <conditionalFormatting sqref="E222">
    <cfRule type="expression" dxfId="7405" priority="238" stopIfTrue="1">
      <formula>AND($M222="Approved",OR($L222=$R$1,$L222=$T$1))</formula>
    </cfRule>
  </conditionalFormatting>
  <conditionalFormatting sqref="J222">
    <cfRule type="expression" dxfId="7404" priority="237" stopIfTrue="1">
      <formula>AND($M222="Approved",OR($L222=$R$1,$L222=$T$1))</formula>
    </cfRule>
  </conditionalFormatting>
  <conditionalFormatting sqref="G222:I222">
    <cfRule type="expression" dxfId="7403" priority="236" stopIfTrue="1">
      <formula>AND($M222="Approved",OR($L222=$R$1,$L222=$T$1))</formula>
    </cfRule>
  </conditionalFormatting>
  <conditionalFormatting sqref="L223">
    <cfRule type="expression" dxfId="7402" priority="233" stopIfTrue="1">
      <formula>AND($M223="Approved",$L223="Fixed")</formula>
    </cfRule>
    <cfRule type="cellIs" dxfId="7401" priority="234" stopIfTrue="1" operator="equal">
      <formula>"Fixed"</formula>
    </cfRule>
    <cfRule type="cellIs" dxfId="7400" priority="235" stopIfTrue="1" operator="equal">
      <formula>"Open"</formula>
    </cfRule>
  </conditionalFormatting>
  <conditionalFormatting sqref="M223">
    <cfRule type="expression" dxfId="7399" priority="231" stopIfTrue="1">
      <formula>OR(M223="Fixed",M223="Approved")</formula>
    </cfRule>
    <cfRule type="cellIs" dxfId="7398" priority="232" stopIfTrue="1" operator="equal">
      <formula>"Rejected"</formula>
    </cfRule>
  </conditionalFormatting>
  <conditionalFormatting sqref="B223:C223">
    <cfRule type="expression" dxfId="7397" priority="230" stopIfTrue="1">
      <formula>AND($M223="Approved",OR($L223=$R$1,$L223=$T$1))</formula>
    </cfRule>
  </conditionalFormatting>
  <conditionalFormatting sqref="D223">
    <cfRule type="expression" dxfId="7396" priority="229" stopIfTrue="1">
      <formula>AND($M223="Approved",OR($L223=$R$1,$L223=$T$1))</formula>
    </cfRule>
  </conditionalFormatting>
  <conditionalFormatting sqref="E223">
    <cfRule type="expression" dxfId="7395" priority="228" stopIfTrue="1">
      <formula>AND($M223="Approved",OR($L223=$R$1,$L223=$T$1))</formula>
    </cfRule>
  </conditionalFormatting>
  <conditionalFormatting sqref="J223">
    <cfRule type="expression" dxfId="7394" priority="227" stopIfTrue="1">
      <formula>AND($M223="Approved",OR($L223=$R$1,$L223=$T$1))</formula>
    </cfRule>
  </conditionalFormatting>
  <conditionalFormatting sqref="G223:I223">
    <cfRule type="expression" dxfId="7393" priority="226" stopIfTrue="1">
      <formula>AND($M223="Approved",OR($L223=$R$1,$L223=$T$1))</formula>
    </cfRule>
  </conditionalFormatting>
  <conditionalFormatting sqref="L224">
    <cfRule type="expression" dxfId="7392" priority="223" stopIfTrue="1">
      <formula>AND($M224="Approved",$L224="Fixed")</formula>
    </cfRule>
    <cfRule type="cellIs" dxfId="7391" priority="224" stopIfTrue="1" operator="equal">
      <formula>"Fixed"</formula>
    </cfRule>
    <cfRule type="cellIs" dxfId="7390" priority="225" stopIfTrue="1" operator="equal">
      <formula>"Open"</formula>
    </cfRule>
  </conditionalFormatting>
  <conditionalFormatting sqref="M224">
    <cfRule type="expression" dxfId="7389" priority="221" stopIfTrue="1">
      <formula>OR(M224="Fixed",M224="Approved")</formula>
    </cfRule>
    <cfRule type="cellIs" dxfId="7388" priority="222" stopIfTrue="1" operator="equal">
      <formula>"Rejected"</formula>
    </cfRule>
  </conditionalFormatting>
  <conditionalFormatting sqref="B224:C224">
    <cfRule type="expression" dxfId="7387" priority="220" stopIfTrue="1">
      <formula>AND($M224="Approved",OR($L224=$R$1,$L224=$T$1))</formula>
    </cfRule>
  </conditionalFormatting>
  <conditionalFormatting sqref="D224">
    <cfRule type="expression" dxfId="7386" priority="219" stopIfTrue="1">
      <formula>AND($M224="Approved",OR($L224=$R$1,$L224=$T$1))</formula>
    </cfRule>
  </conditionalFormatting>
  <conditionalFormatting sqref="E224">
    <cfRule type="expression" dxfId="7385" priority="218" stopIfTrue="1">
      <formula>AND($M224="Approved",OR($L224=$R$1,$L224=$T$1))</formula>
    </cfRule>
  </conditionalFormatting>
  <conditionalFormatting sqref="J224">
    <cfRule type="expression" dxfId="7384" priority="217" stopIfTrue="1">
      <formula>AND($M224="Approved",OR($L224=$R$1,$L224=$T$1))</formula>
    </cfRule>
  </conditionalFormatting>
  <conditionalFormatting sqref="G224:I224">
    <cfRule type="expression" dxfId="7383" priority="216" stopIfTrue="1">
      <formula>AND($M224="Approved",OR($L224=$R$1,$L224=$T$1))</formula>
    </cfRule>
  </conditionalFormatting>
  <conditionalFormatting sqref="B225:C225">
    <cfRule type="expression" dxfId="7382" priority="215" stopIfTrue="1">
      <formula>AND($M225="Approved",OR($L225=$R$1,$L225=$T$1))</formula>
    </cfRule>
  </conditionalFormatting>
  <conditionalFormatting sqref="B226:C226">
    <cfRule type="expression" dxfId="7381" priority="214" stopIfTrue="1">
      <formula>AND($M226="Approved",OR($L226=$R$1,$L226=$T$1))</formula>
    </cfRule>
  </conditionalFormatting>
  <conditionalFormatting sqref="D226">
    <cfRule type="expression" dxfId="7380" priority="213" stopIfTrue="1">
      <formula>AND($M226="Approved",OR($L226=$R$1,$L226=$T$1))</formula>
    </cfRule>
  </conditionalFormatting>
  <conditionalFormatting sqref="J226">
    <cfRule type="expression" dxfId="7379" priority="212" stopIfTrue="1">
      <formula>AND($M226="Approved",OR($L226=$R$1,$L226=$T$1))</formula>
    </cfRule>
  </conditionalFormatting>
  <conditionalFormatting sqref="G226:I226">
    <cfRule type="expression" dxfId="7378" priority="211" stopIfTrue="1">
      <formula>AND($M226="Approved",OR($L226=$R$1,$L226=$T$1))</formula>
    </cfRule>
  </conditionalFormatting>
  <conditionalFormatting sqref="K226">
    <cfRule type="expression" dxfId="7377" priority="210" stopIfTrue="1">
      <formula>AND($M226="Approved",OR($L226=$R$1,$L226=$T$1))</formula>
    </cfRule>
  </conditionalFormatting>
  <conditionalFormatting sqref="M251:M259">
    <cfRule type="expression" dxfId="7376" priority="195" stopIfTrue="1">
      <formula>OR(M251="Fixed",M251="Approved")</formula>
    </cfRule>
    <cfRule type="cellIs" dxfId="7375" priority="196" stopIfTrue="1" operator="equal">
      <formula>"Rejected"</formula>
    </cfRule>
  </conditionalFormatting>
  <conditionalFormatting sqref="H251 H253 H255:H257">
    <cfRule type="notContainsBlanks" dxfId="7374" priority="194" stopIfTrue="1">
      <formula>LEN(TRIM(H251))&gt;0</formula>
    </cfRule>
  </conditionalFormatting>
  <conditionalFormatting sqref="L227">
    <cfRule type="expression" dxfId="7373" priority="191" stopIfTrue="1">
      <formula>AND($M227="Approved",$L227="Fixed")</formula>
    </cfRule>
    <cfRule type="cellIs" dxfId="7372" priority="192" stopIfTrue="1" operator="equal">
      <formula>"Fixed"</formula>
    </cfRule>
    <cfRule type="cellIs" dxfId="7371" priority="193" stopIfTrue="1" operator="equal">
      <formula>"Open"</formula>
    </cfRule>
  </conditionalFormatting>
  <conditionalFormatting sqref="M227">
    <cfRule type="expression" dxfId="7370" priority="189" stopIfTrue="1">
      <formula>OR(M227="Fixed",M227="Approved")</formula>
    </cfRule>
    <cfRule type="cellIs" dxfId="7369" priority="190" stopIfTrue="1" operator="equal">
      <formula>"Rejected"</formula>
    </cfRule>
  </conditionalFormatting>
  <conditionalFormatting sqref="E227">
    <cfRule type="expression" dxfId="7368" priority="188" stopIfTrue="1">
      <formula>AND($M227="Approved",OR($L227=$R$1,$L227=$T$1))</formula>
    </cfRule>
  </conditionalFormatting>
  <conditionalFormatting sqref="B227:C227">
    <cfRule type="expression" dxfId="7367" priority="187" stopIfTrue="1">
      <formula>AND($M227="Approved",OR($L227=$R$1,$L227=$T$1))</formula>
    </cfRule>
  </conditionalFormatting>
  <conditionalFormatting sqref="J227">
    <cfRule type="expression" dxfId="7366" priority="185" stopIfTrue="1">
      <formula>AND($M227="Approved",OR($L227=$R$1,$L227=$T$1))</formula>
    </cfRule>
  </conditionalFormatting>
  <conditionalFormatting sqref="G227:I227">
    <cfRule type="expression" dxfId="7365" priority="184" stopIfTrue="1">
      <formula>AND($M227="Approved",OR($L227=$R$1,$L227=$T$1))</formula>
    </cfRule>
  </conditionalFormatting>
  <conditionalFormatting sqref="K227">
    <cfRule type="expression" dxfId="7364" priority="183" stopIfTrue="1">
      <formula>AND($M227="Approved",OR($L227=$R$1,$L227=$T$1))</formula>
    </cfRule>
  </conditionalFormatting>
  <conditionalFormatting sqref="L228">
    <cfRule type="expression" dxfId="7363" priority="180" stopIfTrue="1">
      <formula>AND($M228="Approved",$L228="Fixed")</formula>
    </cfRule>
    <cfRule type="cellIs" dxfId="7362" priority="181" stopIfTrue="1" operator="equal">
      <formula>"Fixed"</formula>
    </cfRule>
    <cfRule type="cellIs" dxfId="7361" priority="182" stopIfTrue="1" operator="equal">
      <formula>"Open"</formula>
    </cfRule>
  </conditionalFormatting>
  <conditionalFormatting sqref="M228">
    <cfRule type="expression" dxfId="7360" priority="178" stopIfTrue="1">
      <formula>OR(M228="Fixed",M228="Approved")</formula>
    </cfRule>
    <cfRule type="cellIs" dxfId="7359" priority="179" stopIfTrue="1" operator="equal">
      <formula>"Rejected"</formula>
    </cfRule>
  </conditionalFormatting>
  <conditionalFormatting sqref="E228">
    <cfRule type="expression" dxfId="7358" priority="177" stopIfTrue="1">
      <formula>AND($M228="Approved",OR($L228=$R$1,$L228=$T$1))</formula>
    </cfRule>
  </conditionalFormatting>
  <conditionalFormatting sqref="B228:C228">
    <cfRule type="expression" dxfId="7357" priority="176" stopIfTrue="1">
      <formula>AND($M228="Approved",OR($L228=$R$1,$L228=$T$1))</formula>
    </cfRule>
  </conditionalFormatting>
  <conditionalFormatting sqref="J228">
    <cfRule type="expression" dxfId="7356" priority="174" stopIfTrue="1">
      <formula>AND($M228="Approved",OR($L228=$R$1,$L228=$T$1))</formula>
    </cfRule>
  </conditionalFormatting>
  <conditionalFormatting sqref="G228:I228">
    <cfRule type="expression" dxfId="7355" priority="173" stopIfTrue="1">
      <formula>AND($M228="Approved",OR($L228=$R$1,$L228=$T$1))</formula>
    </cfRule>
  </conditionalFormatting>
  <conditionalFormatting sqref="K228">
    <cfRule type="expression" dxfId="7354" priority="172" stopIfTrue="1">
      <formula>AND($M228="Approved",OR($L228=$R$1,$L228=$T$1))</formula>
    </cfRule>
  </conditionalFormatting>
  <conditionalFormatting sqref="L229">
    <cfRule type="expression" dxfId="7353" priority="169" stopIfTrue="1">
      <formula>AND($M229="Approved",$L229="Fixed")</formula>
    </cfRule>
    <cfRule type="cellIs" dxfId="7352" priority="170" stopIfTrue="1" operator="equal">
      <formula>"Fixed"</formula>
    </cfRule>
    <cfRule type="cellIs" dxfId="7351" priority="171" stopIfTrue="1" operator="equal">
      <formula>"Open"</formula>
    </cfRule>
  </conditionalFormatting>
  <conditionalFormatting sqref="M229">
    <cfRule type="expression" dxfId="7350" priority="167" stopIfTrue="1">
      <formula>OR(M229="Fixed",M229="Approved")</formula>
    </cfRule>
    <cfRule type="cellIs" dxfId="7349" priority="168" stopIfTrue="1" operator="equal">
      <formula>"Rejected"</formula>
    </cfRule>
  </conditionalFormatting>
  <conditionalFormatting sqref="E229">
    <cfRule type="expression" dxfId="7348" priority="166" stopIfTrue="1">
      <formula>AND($M229="Approved",OR($L229=$R$1,$L229=$T$1))</formula>
    </cfRule>
  </conditionalFormatting>
  <conditionalFormatting sqref="B229:C229">
    <cfRule type="expression" dxfId="7347" priority="165" stopIfTrue="1">
      <formula>AND($M229="Approved",OR($L229=$R$1,$L229=$T$1))</formula>
    </cfRule>
  </conditionalFormatting>
  <conditionalFormatting sqref="J229">
    <cfRule type="expression" dxfId="7346" priority="163" stopIfTrue="1">
      <formula>AND($M229="Approved",OR($L229=$R$1,$L229=$T$1))</formula>
    </cfRule>
  </conditionalFormatting>
  <conditionalFormatting sqref="G229:I229">
    <cfRule type="expression" dxfId="7345" priority="162" stopIfTrue="1">
      <formula>AND($M229="Approved",OR($L229=$R$1,$L229=$T$1))</formula>
    </cfRule>
  </conditionalFormatting>
  <conditionalFormatting sqref="K229">
    <cfRule type="expression" dxfId="7344" priority="161" stopIfTrue="1">
      <formula>AND($M229="Approved",OR($L229=$R$1,$L229=$T$1))</formula>
    </cfRule>
  </conditionalFormatting>
  <conditionalFormatting sqref="L230">
    <cfRule type="expression" dxfId="7343" priority="158" stopIfTrue="1">
      <formula>AND($M230="Approved",$L230="Fixed")</formula>
    </cfRule>
    <cfRule type="cellIs" dxfId="7342" priority="159" stopIfTrue="1" operator="equal">
      <formula>"Fixed"</formula>
    </cfRule>
    <cfRule type="cellIs" dxfId="7341" priority="160" stopIfTrue="1" operator="equal">
      <formula>"Open"</formula>
    </cfRule>
  </conditionalFormatting>
  <conditionalFormatting sqref="M230">
    <cfRule type="expression" dxfId="7340" priority="156" stopIfTrue="1">
      <formula>OR(M230="Fixed",M230="Approved")</formula>
    </cfRule>
    <cfRule type="cellIs" dxfId="7339" priority="157" stopIfTrue="1" operator="equal">
      <formula>"Rejected"</formula>
    </cfRule>
  </conditionalFormatting>
  <conditionalFormatting sqref="E230">
    <cfRule type="expression" dxfId="7338" priority="155" stopIfTrue="1">
      <formula>AND($M230="Approved",OR($L230=$R$1,$L230=$T$1))</formula>
    </cfRule>
  </conditionalFormatting>
  <conditionalFormatting sqref="B230:C230">
    <cfRule type="expression" dxfId="7337" priority="154" stopIfTrue="1">
      <formula>AND($M230="Approved",OR($L230=$R$1,$L230=$T$1))</formula>
    </cfRule>
  </conditionalFormatting>
  <conditionalFormatting sqref="J230">
    <cfRule type="expression" dxfId="7336" priority="152" stopIfTrue="1">
      <formula>AND($M230="Approved",OR($L230=$R$1,$L230=$T$1))</formula>
    </cfRule>
  </conditionalFormatting>
  <conditionalFormatting sqref="G230:I230">
    <cfRule type="expression" dxfId="7335" priority="151" stopIfTrue="1">
      <formula>AND($M230="Approved",OR($L230=$R$1,$L230=$T$1))</formula>
    </cfRule>
  </conditionalFormatting>
  <conditionalFormatting sqref="K230">
    <cfRule type="expression" dxfId="7334" priority="150" stopIfTrue="1">
      <formula>AND($M230="Approved",OR($L230=$R$1,$L230=$T$1))</formula>
    </cfRule>
  </conditionalFormatting>
  <conditionalFormatting sqref="L231">
    <cfRule type="expression" dxfId="7333" priority="147" stopIfTrue="1">
      <formula>AND($M231="Approved",$L231="Fixed")</formula>
    </cfRule>
    <cfRule type="cellIs" dxfId="7332" priority="148" stopIfTrue="1" operator="equal">
      <formula>"Fixed"</formula>
    </cfRule>
    <cfRule type="cellIs" dxfId="7331" priority="149" stopIfTrue="1" operator="equal">
      <formula>"Open"</formula>
    </cfRule>
  </conditionalFormatting>
  <conditionalFormatting sqref="M231">
    <cfRule type="expression" dxfId="7330" priority="145" stopIfTrue="1">
      <formula>OR(M231="Fixed",M231="Approved")</formula>
    </cfRule>
    <cfRule type="cellIs" dxfId="7329" priority="146" stopIfTrue="1" operator="equal">
      <formula>"Rejected"</formula>
    </cfRule>
  </conditionalFormatting>
  <conditionalFormatting sqref="E231">
    <cfRule type="expression" dxfId="7328" priority="144" stopIfTrue="1">
      <formula>AND($M231="Approved",OR($L231=$R$1,$L231=$T$1))</formula>
    </cfRule>
  </conditionalFormatting>
  <conditionalFormatting sqref="B231:C231">
    <cfRule type="expression" dxfId="7327" priority="143" stopIfTrue="1">
      <formula>AND($M231="Approved",OR($L231=$R$1,$L231=$T$1))</formula>
    </cfRule>
  </conditionalFormatting>
  <conditionalFormatting sqref="J231">
    <cfRule type="expression" dxfId="7326" priority="141" stopIfTrue="1">
      <formula>AND($M231="Approved",OR($L231=$R$1,$L231=$T$1))</formula>
    </cfRule>
  </conditionalFormatting>
  <conditionalFormatting sqref="G231:I231">
    <cfRule type="expression" dxfId="7325" priority="140" stopIfTrue="1">
      <formula>AND($M231="Approved",OR($L231=$R$1,$L231=$T$1))</formula>
    </cfRule>
  </conditionalFormatting>
  <conditionalFormatting sqref="K231">
    <cfRule type="expression" dxfId="7324" priority="139" stopIfTrue="1">
      <formula>AND($M231="Approved",OR($L231=$R$1,$L231=$T$1))</formula>
    </cfRule>
  </conditionalFormatting>
  <conditionalFormatting sqref="L232">
    <cfRule type="expression" dxfId="7323" priority="136" stopIfTrue="1">
      <formula>AND($M232="Approved",$L232="Fixed")</formula>
    </cfRule>
    <cfRule type="cellIs" dxfId="7322" priority="137" stopIfTrue="1" operator="equal">
      <formula>"Fixed"</formula>
    </cfRule>
    <cfRule type="cellIs" dxfId="7321" priority="138" stopIfTrue="1" operator="equal">
      <formula>"Open"</formula>
    </cfRule>
  </conditionalFormatting>
  <conditionalFormatting sqref="M232">
    <cfRule type="expression" dxfId="7320" priority="134" stopIfTrue="1">
      <formula>OR(M232="Fixed",M232="Approved")</formula>
    </cfRule>
    <cfRule type="cellIs" dxfId="7319" priority="135" stopIfTrue="1" operator="equal">
      <formula>"Rejected"</formula>
    </cfRule>
  </conditionalFormatting>
  <conditionalFormatting sqref="E232">
    <cfRule type="expression" dxfId="7318" priority="133" stopIfTrue="1">
      <formula>AND($M232="Approved",OR($L232=$R$1,$L232=$T$1))</formula>
    </cfRule>
  </conditionalFormatting>
  <conditionalFormatting sqref="B232:C232">
    <cfRule type="expression" dxfId="7317" priority="132" stopIfTrue="1">
      <formula>AND($M232="Approved",OR($L232=$R$1,$L232=$T$1))</formula>
    </cfRule>
  </conditionalFormatting>
  <conditionalFormatting sqref="J232">
    <cfRule type="expression" dxfId="7316" priority="130" stopIfTrue="1">
      <formula>AND($M232="Approved",OR($L232=$R$1,$L232=$T$1))</formula>
    </cfRule>
  </conditionalFormatting>
  <conditionalFormatting sqref="G232:I232">
    <cfRule type="expression" dxfId="7315" priority="129" stopIfTrue="1">
      <formula>AND($M232="Approved",OR($L232=$R$1,$L232=$T$1))</formula>
    </cfRule>
  </conditionalFormatting>
  <conditionalFormatting sqref="K232">
    <cfRule type="expression" dxfId="7314" priority="128" stopIfTrue="1">
      <formula>AND($M232="Approved",OR($L232=$R$1,$L232=$T$1))</formula>
    </cfRule>
  </conditionalFormatting>
  <conditionalFormatting sqref="M260">
    <cfRule type="expression" dxfId="7313" priority="109" stopIfTrue="1">
      <formula>OR(M260="Fixed",M260="Approved")</formula>
    </cfRule>
    <cfRule type="cellIs" dxfId="7312" priority="110" stopIfTrue="1" operator="equal">
      <formula>"Rejected"</formula>
    </cfRule>
  </conditionalFormatting>
  <conditionalFormatting sqref="L233">
    <cfRule type="expression" dxfId="7311" priority="84" stopIfTrue="1">
      <formula>AND($M233="Approved",$L233="Fixed")</formula>
    </cfRule>
    <cfRule type="cellIs" dxfId="7310" priority="85" stopIfTrue="1" operator="equal">
      <formula>"Fixed"</formula>
    </cfRule>
    <cfRule type="cellIs" dxfId="7309" priority="86" stopIfTrue="1" operator="equal">
      <formula>"Open"</formula>
    </cfRule>
  </conditionalFormatting>
  <conditionalFormatting sqref="M233">
    <cfRule type="expression" dxfId="7308" priority="82" stopIfTrue="1">
      <formula>OR(M233="Fixed",M233="Approved")</formula>
    </cfRule>
    <cfRule type="cellIs" dxfId="7307" priority="83" stopIfTrue="1" operator="equal">
      <formula>"Rejected"</formula>
    </cfRule>
  </conditionalFormatting>
  <conditionalFormatting sqref="E233">
    <cfRule type="expression" dxfId="7306" priority="81" stopIfTrue="1">
      <formula>AND($M233="Approved",OR($L233=$R$1,$L233=$T$1))</formula>
    </cfRule>
  </conditionalFormatting>
  <conditionalFormatting sqref="B233:C233">
    <cfRule type="expression" dxfId="7305" priority="80" stopIfTrue="1">
      <formula>AND($M233="Approved",OR($L233=$R$1,$L233=$T$1))</formula>
    </cfRule>
  </conditionalFormatting>
  <conditionalFormatting sqref="J233">
    <cfRule type="expression" dxfId="7304" priority="78" stopIfTrue="1">
      <formula>AND($M233="Approved",OR($L233=$R$1,$L233=$T$1))</formula>
    </cfRule>
  </conditionalFormatting>
  <conditionalFormatting sqref="G233:I233">
    <cfRule type="expression" dxfId="7303" priority="77" stopIfTrue="1">
      <formula>AND($M233="Approved",OR($L233=$R$1,$L233=$T$1))</formula>
    </cfRule>
  </conditionalFormatting>
  <conditionalFormatting sqref="K233">
    <cfRule type="expression" dxfId="7302" priority="76" stopIfTrue="1">
      <formula>AND($M233="Approved",OR($L233=$R$1,$L233=$T$1))</formula>
    </cfRule>
  </conditionalFormatting>
  <conditionalFormatting sqref="D227:D233">
    <cfRule type="expression" dxfId="7301" priority="75" stopIfTrue="1">
      <formula>AND($M227="Approved",OR($L227=$R$1,$L227=$T$1))</formula>
    </cfRule>
  </conditionalFormatting>
  <conditionalFormatting sqref="M244:M251">
    <cfRule type="expression" dxfId="7300" priority="73" stopIfTrue="1">
      <formula>OR(M244="Fixed",M244="Approved")</formula>
    </cfRule>
    <cfRule type="cellIs" dxfId="7299" priority="74" stopIfTrue="1" operator="equal">
      <formula>"Rejected"</formula>
    </cfRule>
  </conditionalFormatting>
  <conditionalFormatting sqref="M234:M242">
    <cfRule type="expression" dxfId="7298" priority="71" stopIfTrue="1">
      <formula>OR(M234="Fixed",M234="Approved")</formula>
    </cfRule>
    <cfRule type="cellIs" dxfId="7297" priority="72" stopIfTrue="1" operator="equal">
      <formula>"Rejected"</formula>
    </cfRule>
  </conditionalFormatting>
  <conditionalFormatting sqref="H234:H241">
    <cfRule type="notContainsBlanks" dxfId="7296" priority="70" stopIfTrue="1">
      <formula>LEN(TRIM(H234))&gt;0</formula>
    </cfRule>
  </conditionalFormatting>
  <conditionalFormatting sqref="M243">
    <cfRule type="expression" dxfId="7295" priority="68" stopIfTrue="1">
      <formula>OR(M243="Fixed",M243="Approved")</formula>
    </cfRule>
    <cfRule type="cellIs" dxfId="7294" priority="69" stopIfTrue="1" operator="equal">
      <formula>"Rejected"</formula>
    </cfRule>
  </conditionalFormatting>
  <conditionalFormatting sqref="J234:J241">
    <cfRule type="expression" dxfId="7293" priority="67" stopIfTrue="1">
      <formula>AND($M234="Approved",OR($L234=$R$1,$L234=$T$1))</formula>
    </cfRule>
  </conditionalFormatting>
  <conditionalFormatting sqref="K234:K241">
    <cfRule type="expression" dxfId="7292" priority="66" stopIfTrue="1">
      <formula>AND($M234="Approved",OR($L234=$R$1,$L234=$T$1))</formula>
    </cfRule>
  </conditionalFormatting>
  <conditionalFormatting sqref="J252:J253">
    <cfRule type="expression" dxfId="7291" priority="65" stopIfTrue="1">
      <formula>AND($M252="Approved",OR($L252=$R$1,$L252=$T$1))</formula>
    </cfRule>
  </conditionalFormatting>
  <conditionalFormatting sqref="G252">
    <cfRule type="expression" dxfId="7290" priority="64" stopIfTrue="1">
      <formula>AND($M252="Approved",OR($L252=$R$1,$L252=$T$1))</formula>
    </cfRule>
  </conditionalFormatting>
  <conditionalFormatting sqref="H252:I252">
    <cfRule type="expression" dxfId="7289" priority="63" stopIfTrue="1">
      <formula>AND($M252="Approved",OR($L252=$R$1,$L252=$T$1))</formula>
    </cfRule>
  </conditionalFormatting>
  <conditionalFormatting sqref="H252">
    <cfRule type="notContainsBlanks" dxfId="7288" priority="62" stopIfTrue="1">
      <formula>LEN(TRIM(H252))&gt;0</formula>
    </cfRule>
  </conditionalFormatting>
  <conditionalFormatting sqref="K252">
    <cfRule type="expression" dxfId="7287" priority="61" stopIfTrue="1">
      <formula>AND($M252="Approved",OR($L252=$R$1,$L252=$T$1))</formula>
    </cfRule>
  </conditionalFormatting>
  <conditionalFormatting sqref="J254:J255">
    <cfRule type="expression" dxfId="7286" priority="60" stopIfTrue="1">
      <formula>AND($M254="Approved",OR($L254=$R$1,$L254=$T$1))</formula>
    </cfRule>
  </conditionalFormatting>
  <conditionalFormatting sqref="G254">
    <cfRule type="expression" dxfId="7285" priority="59" stopIfTrue="1">
      <formula>AND($M254="Approved",OR($L254=$R$1,$L254=$T$1))</formula>
    </cfRule>
  </conditionalFormatting>
  <conditionalFormatting sqref="H254:I254">
    <cfRule type="expression" dxfId="7284" priority="58" stopIfTrue="1">
      <formula>AND($M254="Approved",OR($L254=$R$1,$L254=$T$1))</formula>
    </cfRule>
  </conditionalFormatting>
  <conditionalFormatting sqref="H254">
    <cfRule type="notContainsBlanks" dxfId="7283" priority="57" stopIfTrue="1">
      <formula>LEN(TRIM(H254))&gt;0</formula>
    </cfRule>
  </conditionalFormatting>
  <conditionalFormatting sqref="K254">
    <cfRule type="expression" dxfId="7282" priority="56" stopIfTrue="1">
      <formula>AND($M254="Approved",OR($L254=$R$1,$L254=$T$1))</formula>
    </cfRule>
  </conditionalFormatting>
  <conditionalFormatting sqref="J258">
    <cfRule type="expression" dxfId="7281" priority="55" stopIfTrue="1">
      <formula>AND($M258="Approved",OR($L258=$R$1,$L258=$T$1))</formula>
    </cfRule>
  </conditionalFormatting>
  <conditionalFormatting sqref="G258">
    <cfRule type="expression" dxfId="7280" priority="54" stopIfTrue="1">
      <formula>AND($M258="Approved",OR($L258=$R$1,$L258=$T$1))</formula>
    </cfRule>
  </conditionalFormatting>
  <conditionalFormatting sqref="H258:I258">
    <cfRule type="expression" dxfId="7279" priority="53" stopIfTrue="1">
      <formula>AND($M258="Approved",OR($L258=$R$1,$L258=$T$1))</formula>
    </cfRule>
  </conditionalFormatting>
  <conditionalFormatting sqref="H258">
    <cfRule type="notContainsBlanks" dxfId="7278" priority="52" stopIfTrue="1">
      <formula>LEN(TRIM(H258))&gt;0</formula>
    </cfRule>
  </conditionalFormatting>
  <conditionalFormatting sqref="K258">
    <cfRule type="expression" dxfId="7277" priority="51" stopIfTrue="1">
      <formula>AND($M258="Approved",OR($L258=$R$1,$L258=$T$1))</formula>
    </cfRule>
  </conditionalFormatting>
  <conditionalFormatting sqref="J264">
    <cfRule type="expression" dxfId="7276" priority="50" stopIfTrue="1">
      <formula>AND($M264="Approved",OR($L264=$R$1,$L264=$T$1))</formula>
    </cfRule>
  </conditionalFormatting>
  <conditionalFormatting sqref="J265">
    <cfRule type="expression" dxfId="7275" priority="49" stopIfTrue="1">
      <formula>AND($M265="Approved",OR($L265=$R$1,$L265=$T$1))</formula>
    </cfRule>
  </conditionalFormatting>
  <conditionalFormatting sqref="J266">
    <cfRule type="expression" dxfId="7274" priority="48" stopIfTrue="1">
      <formula>AND($M266="Approved",OR($L266=$R$1,$L266=$T$1))</formula>
    </cfRule>
  </conditionalFormatting>
  <conditionalFormatting sqref="D266">
    <cfRule type="expression" dxfId="7273" priority="47" stopIfTrue="1">
      <formula>AND($M266="Approved",OR($L266=$R$1,$L266=$T$1))</formula>
    </cfRule>
  </conditionalFormatting>
  <conditionalFormatting sqref="J267">
    <cfRule type="expression" dxfId="7272" priority="46" stopIfTrue="1">
      <formula>AND($M267="Approved",OR($L267=$R$1,$L267=$T$1))</formula>
    </cfRule>
  </conditionalFormatting>
  <conditionalFormatting sqref="D267">
    <cfRule type="expression" dxfId="7271" priority="45" stopIfTrue="1">
      <formula>AND($M267="Approved",OR($L267=$R$1,$L267=$T$1))</formula>
    </cfRule>
  </conditionalFormatting>
  <conditionalFormatting sqref="J268">
    <cfRule type="expression" dxfId="7270" priority="44" stopIfTrue="1">
      <formula>AND($M268="Approved",OR($L268=$R$1,$L268=$T$1))</formula>
    </cfRule>
  </conditionalFormatting>
  <conditionalFormatting sqref="D268">
    <cfRule type="expression" dxfId="7269" priority="43" stopIfTrue="1">
      <formula>AND($M268="Approved",OR($L268=$R$1,$L268=$T$1))</formula>
    </cfRule>
  </conditionalFormatting>
  <conditionalFormatting sqref="J269">
    <cfRule type="expression" dxfId="7268" priority="42" stopIfTrue="1">
      <formula>AND($M269="Approved",OR($L269=$R$1,$L269=$T$1))</formula>
    </cfRule>
  </conditionalFormatting>
  <conditionalFormatting sqref="D269">
    <cfRule type="expression" dxfId="7267" priority="41" stopIfTrue="1">
      <formula>AND($M269="Approved",OR($L269=$R$1,$L269=$T$1))</formula>
    </cfRule>
  </conditionalFormatting>
  <conditionalFormatting sqref="K253">
    <cfRule type="expression" dxfId="7266" priority="40" stopIfTrue="1">
      <formula>AND($M253="Approved",OR($L253=$R$1,$L253=$T$1))</formula>
    </cfRule>
  </conditionalFormatting>
  <conditionalFormatting sqref="K255">
    <cfRule type="expression" dxfId="7265" priority="39" stopIfTrue="1">
      <formula>AND($M255="Approved",OR($L255=$R$1,$L255=$T$1))</formula>
    </cfRule>
  </conditionalFormatting>
  <conditionalFormatting sqref="J256">
    <cfRule type="expression" dxfId="7264" priority="38" stopIfTrue="1">
      <formula>AND($M256="Approved",OR($L256=$R$1,$L256=$T$1))</formula>
    </cfRule>
  </conditionalFormatting>
  <conditionalFormatting sqref="K256">
    <cfRule type="expression" dxfId="7263" priority="37" stopIfTrue="1">
      <formula>AND($M256="Approved",OR($L256=$R$1,$L256=$T$1))</formula>
    </cfRule>
  </conditionalFormatting>
  <conditionalFormatting sqref="J257">
    <cfRule type="expression" dxfId="7262" priority="36" stopIfTrue="1">
      <formula>AND($M257="Approved",OR($L257=$R$1,$L257=$T$1))</formula>
    </cfRule>
  </conditionalFormatting>
  <conditionalFormatting sqref="K257">
    <cfRule type="expression" dxfId="7261" priority="35" stopIfTrue="1">
      <formula>AND($M257="Approved",OR($L257=$R$1,$L257=$T$1))</formula>
    </cfRule>
  </conditionalFormatting>
  <conditionalFormatting sqref="J259">
    <cfRule type="expression" dxfId="7260" priority="34" stopIfTrue="1">
      <formula>AND($M259="Approved",OR($L259=$R$1,$L259=$T$1))</formula>
    </cfRule>
  </conditionalFormatting>
  <conditionalFormatting sqref="K259">
    <cfRule type="expression" dxfId="7259" priority="33" stopIfTrue="1">
      <formula>AND($M259="Approved",OR($L259=$R$1,$L259=$T$1))</formula>
    </cfRule>
  </conditionalFormatting>
  <conditionalFormatting sqref="J260">
    <cfRule type="expression" dxfId="7258" priority="32" stopIfTrue="1">
      <formula>AND($M260="Approved",OR($L260=$R$1,$L260=$T$1))</formula>
    </cfRule>
  </conditionalFormatting>
  <conditionalFormatting sqref="K260">
    <cfRule type="expression" dxfId="7257" priority="31" stopIfTrue="1">
      <formula>AND($M260="Approved",OR($L260=$R$1,$L260=$T$1))</formula>
    </cfRule>
  </conditionalFormatting>
  <conditionalFormatting sqref="J261">
    <cfRule type="expression" dxfId="7256" priority="30" stopIfTrue="1">
      <formula>AND($M261="Approved",OR($L261=$R$1,$L261=$T$1))</formula>
    </cfRule>
  </conditionalFormatting>
  <conditionalFormatting sqref="K261">
    <cfRule type="expression" dxfId="7255" priority="29" stopIfTrue="1">
      <formula>AND($M261="Approved",OR($L261=$R$1,$L261=$T$1))</formula>
    </cfRule>
  </conditionalFormatting>
  <conditionalFormatting sqref="J263">
    <cfRule type="expression" dxfId="7254" priority="28" stopIfTrue="1">
      <formula>AND($M263="Approved",OR($L263=$R$1,$L263=$T$1))</formula>
    </cfRule>
  </conditionalFormatting>
  <conditionalFormatting sqref="K263">
    <cfRule type="expression" dxfId="7253" priority="27" stopIfTrue="1">
      <formula>AND($M263="Approved",OR($L263=$R$1,$L263=$T$1))</formula>
    </cfRule>
  </conditionalFormatting>
  <conditionalFormatting sqref="J262">
    <cfRule type="expression" dxfId="7252" priority="26" stopIfTrue="1">
      <formula>AND($M262="Approved",OR($L262=$R$1,$L262=$T$1))</formula>
    </cfRule>
  </conditionalFormatting>
  <conditionalFormatting sqref="K262">
    <cfRule type="expression" dxfId="7251" priority="25" stopIfTrue="1">
      <formula>AND($M262="Approved",OR($L262=$R$1,$L262=$T$1))</formula>
    </cfRule>
  </conditionalFormatting>
  <conditionalFormatting sqref="J271">
    <cfRule type="expression" dxfId="7250" priority="24" stopIfTrue="1">
      <formula>AND($M271="Approved",OR($L271=$R$1,$L271=$T$1))</formula>
    </cfRule>
  </conditionalFormatting>
  <conditionalFormatting sqref="J272">
    <cfRule type="expression" dxfId="7249" priority="23" stopIfTrue="1">
      <formula>AND($M272="Approved",OR($L272=$R$1,$L272=$T$1))</formula>
    </cfRule>
  </conditionalFormatting>
  <conditionalFormatting sqref="J273">
    <cfRule type="expression" dxfId="7248" priority="22" stopIfTrue="1">
      <formula>AND($M273="Approved",OR($L273=$R$1,$L273=$T$1))</formula>
    </cfRule>
  </conditionalFormatting>
  <conditionalFormatting sqref="J274">
    <cfRule type="expression" dxfId="7247" priority="21" stopIfTrue="1">
      <formula>AND($M274="Approved",OR($L274=$R$1,$L274=$T$1))</formula>
    </cfRule>
  </conditionalFormatting>
  <conditionalFormatting sqref="J275">
    <cfRule type="expression" dxfId="7246" priority="20" stopIfTrue="1">
      <formula>AND($M275="Approved",OR($L275=$R$1,$L275=$T$1))</formula>
    </cfRule>
  </conditionalFormatting>
  <conditionalFormatting sqref="J276">
    <cfRule type="expression" dxfId="7245" priority="19" stopIfTrue="1">
      <formula>AND($M276="Approved",OR($L276=$R$1,$L276=$T$1))</formula>
    </cfRule>
  </conditionalFormatting>
  <conditionalFormatting sqref="J277">
    <cfRule type="expression" dxfId="7244" priority="18" stopIfTrue="1">
      <formula>AND($M277="Approved",OR($L277=$R$1,$L277=$T$1))</formula>
    </cfRule>
  </conditionalFormatting>
  <conditionalFormatting sqref="L278:L279">
    <cfRule type="expression" dxfId="7243" priority="12" stopIfTrue="1">
      <formula>AND($M278="Approved",$L278="Fixed")</formula>
    </cfRule>
    <cfRule type="cellIs" dxfId="7242" priority="13" stopIfTrue="1" operator="equal">
      <formula>"Fixed"</formula>
    </cfRule>
    <cfRule type="cellIs" dxfId="7241" priority="14" stopIfTrue="1" operator="equal">
      <formula>"Open"</formula>
    </cfRule>
  </conditionalFormatting>
  <conditionalFormatting sqref="M278:M279">
    <cfRule type="expression" dxfId="7240" priority="15" stopIfTrue="1">
      <formula>OR(M278="Fixed",M278="Approved")</formula>
    </cfRule>
    <cfRule type="cellIs" dxfId="7239" priority="16" stopIfTrue="1" operator="equal">
      <formula>"Rejected"</formula>
    </cfRule>
  </conditionalFormatting>
  <conditionalFormatting sqref="G278:I279 K278:K279">
    <cfRule type="expression" dxfId="7238" priority="17" stopIfTrue="1">
      <formula>AND($M278="Approved",OR($L278=$R$1,$L278=$T$1))</formula>
    </cfRule>
  </conditionalFormatting>
  <conditionalFormatting sqref="J278">
    <cfRule type="expression" dxfId="7237" priority="11" stopIfTrue="1">
      <formula>AND($M278="Approved",OR($L278=$R$1,$L278=$T$1))</formula>
    </cfRule>
  </conditionalFormatting>
  <conditionalFormatting sqref="J279">
    <cfRule type="expression" dxfId="7236" priority="10" stopIfTrue="1">
      <formula>AND($M279="Approved",OR($L279=$R$1,$L279=$T$1))</formula>
    </cfRule>
  </conditionalFormatting>
  <conditionalFormatting sqref="G280:I280 K280">
    <cfRule type="expression" dxfId="7235" priority="9" stopIfTrue="1">
      <formula>AND($M280="Approved",OR($L280=$R$1,$L280=$T$1))</formula>
    </cfRule>
  </conditionalFormatting>
  <conditionalFormatting sqref="J280">
    <cfRule type="expression" dxfId="7234" priority="8" stopIfTrue="1">
      <formula>AND($M280="Approved",OR($L280=$R$1,$L280=$T$1))</formula>
    </cfRule>
  </conditionalFormatting>
  <conditionalFormatting sqref="J281">
    <cfRule type="expression" dxfId="7233" priority="7" stopIfTrue="1">
      <formula>AND($M281="Approved",OR($L281=$R$1,$L281=$T$1))</formula>
    </cfRule>
  </conditionalFormatting>
  <conditionalFormatting sqref="J282">
    <cfRule type="expression" dxfId="7232" priority="6" stopIfTrue="1">
      <formula>AND($M282="Approved",OR($L282=$R$1,$L282=$T$1))</formula>
    </cfRule>
  </conditionalFormatting>
  <conditionalFormatting sqref="J283">
    <cfRule type="expression" dxfId="7231" priority="5" stopIfTrue="1">
      <formula>AND($M283="Approved",OR($L283=$R$1,$L283=$T$1))</formula>
    </cfRule>
  </conditionalFormatting>
  <conditionalFormatting sqref="J284">
    <cfRule type="expression" dxfId="7230" priority="4" stopIfTrue="1">
      <formula>AND($M284="Approved",OR($L284=$R$1,$L284=$T$1))</formula>
    </cfRule>
  </conditionalFormatting>
  <conditionalFormatting sqref="J285">
    <cfRule type="expression" dxfId="7229" priority="3" stopIfTrue="1">
      <formula>AND($M285="Approved",OR($L285=$R$1,$L285=$T$1))</formula>
    </cfRule>
  </conditionalFormatting>
  <conditionalFormatting sqref="J286">
    <cfRule type="expression" dxfId="7228" priority="2" stopIfTrue="1">
      <formula>AND($M286="Approved",OR($L286=$R$1,$L286=$T$1))</formula>
    </cfRule>
  </conditionalFormatting>
  <conditionalFormatting sqref="J287">
    <cfRule type="expression" dxfId="7227" priority="1" stopIfTrue="1">
      <formula>AND($M287="Approved",OR($L287=$R$1,$L287=$T$1))</formula>
    </cfRule>
  </conditionalFormatting>
  <dataValidations count="3">
    <dataValidation type="list" allowBlank="1" showInputMessage="1" showErrorMessage="1" sqref="I139:I147 I5:I132" xr:uid="{00000000-0002-0000-0300-000002000000}">
      <formula1>"Low,medium,high"</formula1>
    </dataValidation>
    <dataValidation type="list" allowBlank="1" showInputMessage="1" showErrorMessage="1" sqref="M5:M152 M160:M404" xr:uid="{00000000-0002-0000-0300-000001000000}">
      <formula1>$AH$1:$AI$1</formula1>
    </dataValidation>
    <dataValidation type="list" allowBlank="1" showInputMessage="1" showErrorMessage="1" sqref="L5:L154 L158:L404" xr:uid="{00000000-0002-0000-0300-000000000000}">
      <formula1>$Q$1:$U$1</formula1>
    </dataValidation>
  </dataValidations>
  <pageMargins left="0.75" right="0.75" top="1" bottom="1" header="0.4921259845" footer="0.4921259845"/>
  <pageSetup paperSize="9" scale="67" fitToHeight="0" orientation="landscape"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FEFD14-F4C0-4243-9104-0315213155E3}">
  <sheetPr codeName="Feuil31">
    <tabColor theme="7"/>
    <outlinePr summaryBelow="0" summaryRight="0"/>
    <pageSetUpPr fitToPage="1"/>
  </sheetPr>
  <dimension ref="A2:I35"/>
  <sheetViews>
    <sheetView zoomScale="130" zoomScaleNormal="130" workbookViewId="0">
      <pane xSplit="1" ySplit="3" topLeftCell="B26" activePane="bottomRight" state="frozen"/>
      <selection pane="topRight" activeCell="B1" sqref="B1"/>
      <selection pane="bottomLeft" activeCell="A4" sqref="A4"/>
      <selection pane="bottomRight" activeCell="E3" sqref="E3"/>
    </sheetView>
  </sheetViews>
  <sheetFormatPr defaultColWidth="9.28515625" defaultRowHeight="12.75" outlineLevelCol="1"/>
  <cols>
    <col min="1" max="1" width="12.85546875" style="145" bestFit="1" customWidth="1"/>
    <col min="2" max="2" width="61" style="144" customWidth="1"/>
    <col min="3" max="5" width="11.7109375" style="143" customWidth="1"/>
    <col min="6" max="6" width="33.7109375" style="143" customWidth="1"/>
    <col min="7" max="8" width="30.7109375" style="143" customWidth="1" outlineLevel="1"/>
    <col min="9" max="16384" width="9.28515625" style="143"/>
  </cols>
  <sheetData>
    <row r="2" spans="1:9" ht="78.75" customHeight="1">
      <c r="A2" s="167" t="s">
        <v>541</v>
      </c>
      <c r="B2" s="168" t="s">
        <v>542</v>
      </c>
      <c r="C2" s="169" t="s">
        <v>1024</v>
      </c>
      <c r="D2" s="169" t="s">
        <v>1031</v>
      </c>
      <c r="E2" s="169" t="s">
        <v>1028</v>
      </c>
      <c r="F2" s="170" t="s">
        <v>543</v>
      </c>
      <c r="G2" s="353" t="s">
        <v>171</v>
      </c>
      <c r="H2" s="354"/>
    </row>
    <row r="3" spans="1:9" ht="18.75">
      <c r="A3" s="171"/>
      <c r="B3" s="172"/>
      <c r="C3" s="173">
        <f>COUNTIF(Review.ratings,"Yes") / ( COUNTA(Review.QuestionIds) - COUNTIF(Review.ratings,"NA"))</f>
        <v>1</v>
      </c>
      <c r="D3" s="173">
        <f>COUNTIF(Review.ratings,"Yes") / ( COUNTA(Review.QuestionIds) - COUNTIF(Review.ratings,"NA"))</f>
        <v>1</v>
      </c>
      <c r="E3" s="173">
        <f>COUNTIF(Review.ratings,"Yes") / ( COUNTA(Review.QuestionIds) - COUNTIF(Review.ratings,"NA"))</f>
        <v>1</v>
      </c>
      <c r="F3" s="178"/>
      <c r="G3" s="186" t="s">
        <v>544</v>
      </c>
      <c r="H3" s="186" t="s">
        <v>545</v>
      </c>
      <c r="I3" s="179"/>
    </row>
    <row r="4" spans="1:9" ht="36">
      <c r="A4" s="174"/>
      <c r="B4" s="175" t="s">
        <v>546</v>
      </c>
      <c r="C4" s="176"/>
      <c r="D4" s="176"/>
      <c r="E4" s="176"/>
      <c r="F4" s="176"/>
      <c r="G4" s="176"/>
      <c r="H4" s="177"/>
      <c r="I4" s="23"/>
    </row>
    <row r="5" spans="1:9" ht="18.75">
      <c r="A5" s="146"/>
      <c r="B5" s="154" t="s">
        <v>547</v>
      </c>
      <c r="C5" s="147"/>
      <c r="D5" s="147"/>
      <c r="E5" s="147"/>
      <c r="F5" s="147"/>
      <c r="G5" s="186"/>
      <c r="H5" s="186"/>
    </row>
    <row r="6" spans="1:9" ht="38.25">
      <c r="A6" s="149" t="s">
        <v>548</v>
      </c>
      <c r="B6" s="157" t="s">
        <v>549</v>
      </c>
      <c r="C6" s="180" t="s">
        <v>116</v>
      </c>
      <c r="D6" s="180" t="s">
        <v>116</v>
      </c>
      <c r="E6" s="180" t="s">
        <v>116</v>
      </c>
      <c r="F6" s="181"/>
      <c r="G6" s="148"/>
      <c r="H6" s="148"/>
    </row>
    <row r="7" spans="1:9" ht="18.75">
      <c r="A7" s="146"/>
      <c r="B7" s="154" t="s">
        <v>550</v>
      </c>
      <c r="C7" s="147"/>
      <c r="D7" s="147"/>
      <c r="E7" s="147"/>
      <c r="F7" s="147"/>
      <c r="G7" s="186"/>
      <c r="H7" s="186"/>
    </row>
    <row r="8" spans="1:9" ht="38.25">
      <c r="A8" s="149" t="s">
        <v>551</v>
      </c>
      <c r="B8" s="157" t="s">
        <v>552</v>
      </c>
      <c r="C8" s="180" t="s">
        <v>116</v>
      </c>
      <c r="D8" s="180" t="s">
        <v>116</v>
      </c>
      <c r="E8" s="180" t="s">
        <v>116</v>
      </c>
      <c r="F8" s="181"/>
      <c r="G8" s="148"/>
      <c r="H8" s="148"/>
    </row>
    <row r="9" spans="1:9" ht="25.5">
      <c r="A9" s="149" t="s">
        <v>553</v>
      </c>
      <c r="B9" s="157" t="s">
        <v>554</v>
      </c>
      <c r="C9" s="180" t="s">
        <v>116</v>
      </c>
      <c r="D9" s="180" t="s">
        <v>116</v>
      </c>
      <c r="E9" s="180" t="s">
        <v>116</v>
      </c>
      <c r="F9" s="181"/>
      <c r="G9" s="148"/>
      <c r="H9" s="148"/>
    </row>
    <row r="10" spans="1:9" ht="38.25">
      <c r="A10" s="149" t="s">
        <v>555</v>
      </c>
      <c r="B10" s="157" t="s">
        <v>556</v>
      </c>
      <c r="C10" s="180" t="s">
        <v>116</v>
      </c>
      <c r="D10" s="180" t="s">
        <v>116</v>
      </c>
      <c r="E10" s="180" t="s">
        <v>116</v>
      </c>
      <c r="F10" s="181"/>
      <c r="G10" s="148"/>
      <c r="H10" s="148"/>
    </row>
    <row r="11" spans="1:9" ht="25.5">
      <c r="A11" s="149" t="s">
        <v>557</v>
      </c>
      <c r="B11" s="157" t="s">
        <v>558</v>
      </c>
      <c r="C11" s="180" t="s">
        <v>116</v>
      </c>
      <c r="D11" s="180" t="s">
        <v>116</v>
      </c>
      <c r="E11" s="180" t="s">
        <v>116</v>
      </c>
      <c r="F11" s="181"/>
      <c r="G11" s="148"/>
      <c r="H11" s="148"/>
    </row>
    <row r="12" spans="1:9" ht="51">
      <c r="A12" s="149" t="s">
        <v>559</v>
      </c>
      <c r="B12" s="157" t="s">
        <v>560</v>
      </c>
      <c r="C12" s="180" t="s">
        <v>116</v>
      </c>
      <c r="D12" s="180" t="s">
        <v>116</v>
      </c>
      <c r="E12" s="180" t="s">
        <v>116</v>
      </c>
      <c r="F12" s="181"/>
      <c r="G12" s="148"/>
      <c r="H12" s="148"/>
    </row>
    <row r="13" spans="1:9" ht="25.5">
      <c r="A13" s="149" t="s">
        <v>561</v>
      </c>
      <c r="B13" s="157" t="s">
        <v>562</v>
      </c>
      <c r="C13" s="180" t="s">
        <v>116</v>
      </c>
      <c r="D13" s="180" t="s">
        <v>116</v>
      </c>
      <c r="E13" s="180" t="s">
        <v>116</v>
      </c>
      <c r="F13" s="181"/>
      <c r="G13" s="148"/>
      <c r="H13" s="148"/>
    </row>
    <row r="14" spans="1:9" ht="25.5">
      <c r="A14" s="149" t="s">
        <v>563</v>
      </c>
      <c r="B14" s="157" t="s">
        <v>564</v>
      </c>
      <c r="C14" s="180" t="s">
        <v>116</v>
      </c>
      <c r="D14" s="180" t="s">
        <v>116</v>
      </c>
      <c r="E14" s="180" t="s">
        <v>116</v>
      </c>
      <c r="F14" s="181"/>
      <c r="G14" s="148"/>
      <c r="H14" s="148"/>
    </row>
    <row r="15" spans="1:9" ht="38.25">
      <c r="A15" s="149" t="s">
        <v>565</v>
      </c>
      <c r="B15" s="157" t="s">
        <v>566</v>
      </c>
      <c r="C15" s="180" t="s">
        <v>116</v>
      </c>
      <c r="D15" s="180" t="s">
        <v>116</v>
      </c>
      <c r="E15" s="180" t="s">
        <v>116</v>
      </c>
      <c r="F15" s="181"/>
      <c r="G15" s="148"/>
      <c r="H15" s="148"/>
    </row>
    <row r="16" spans="1:9" ht="25.5">
      <c r="A16" s="149" t="s">
        <v>567</v>
      </c>
      <c r="B16" s="157" t="s">
        <v>568</v>
      </c>
      <c r="C16" s="180" t="s">
        <v>116</v>
      </c>
      <c r="D16" s="180" t="s">
        <v>116</v>
      </c>
      <c r="E16" s="180" t="s">
        <v>116</v>
      </c>
      <c r="F16" s="181"/>
      <c r="G16" s="148"/>
      <c r="H16" s="148"/>
    </row>
    <row r="17" spans="1:8" ht="38.25">
      <c r="A17" s="149" t="s">
        <v>569</v>
      </c>
      <c r="B17" s="157" t="s">
        <v>570</v>
      </c>
      <c r="C17" s="180" t="s">
        <v>116</v>
      </c>
      <c r="D17" s="180" t="s">
        <v>116</v>
      </c>
      <c r="E17" s="180" t="s">
        <v>116</v>
      </c>
      <c r="F17" s="181"/>
      <c r="G17" s="148"/>
      <c r="H17" s="148"/>
    </row>
    <row r="18" spans="1:8" ht="38.25">
      <c r="A18" s="149" t="s">
        <v>571</v>
      </c>
      <c r="B18" s="157" t="s">
        <v>572</v>
      </c>
      <c r="C18" s="180" t="s">
        <v>116</v>
      </c>
      <c r="D18" s="180" t="s">
        <v>116</v>
      </c>
      <c r="E18" s="180" t="s">
        <v>116</v>
      </c>
      <c r="F18" s="181"/>
      <c r="G18" s="148"/>
      <c r="H18" s="148"/>
    </row>
    <row r="19" spans="1:8" ht="25.5">
      <c r="A19" s="149" t="s">
        <v>573</v>
      </c>
      <c r="B19" s="157" t="s">
        <v>574</v>
      </c>
      <c r="C19" s="180" t="s">
        <v>116</v>
      </c>
      <c r="D19" s="180" t="s">
        <v>116</v>
      </c>
      <c r="E19" s="180" t="s">
        <v>116</v>
      </c>
      <c r="F19" s="181"/>
      <c r="G19" s="148"/>
      <c r="H19" s="148"/>
    </row>
    <row r="20" spans="1:8" ht="25.5">
      <c r="A20" s="149" t="s">
        <v>575</v>
      </c>
      <c r="B20" s="157" t="s">
        <v>576</v>
      </c>
      <c r="C20" s="180" t="s">
        <v>116</v>
      </c>
      <c r="D20" s="180" t="s">
        <v>116</v>
      </c>
      <c r="E20" s="180" t="s">
        <v>116</v>
      </c>
      <c r="F20" s="181"/>
      <c r="G20" s="148"/>
      <c r="H20" s="148"/>
    </row>
    <row r="21" spans="1:8" ht="38.25">
      <c r="A21" s="149" t="s">
        <v>577</v>
      </c>
      <c r="B21" s="157" t="s">
        <v>578</v>
      </c>
      <c r="C21" s="180" t="s">
        <v>116</v>
      </c>
      <c r="D21" s="180" t="s">
        <v>116</v>
      </c>
      <c r="E21" s="180" t="s">
        <v>116</v>
      </c>
      <c r="F21" s="181"/>
      <c r="G21" s="148"/>
      <c r="H21" s="148"/>
    </row>
    <row r="22" spans="1:8" ht="38.25">
      <c r="A22" s="149" t="s">
        <v>579</v>
      </c>
      <c r="B22" s="157" t="s">
        <v>580</v>
      </c>
      <c r="C22" s="180" t="s">
        <v>116</v>
      </c>
      <c r="D22" s="180" t="s">
        <v>116</v>
      </c>
      <c r="E22" s="180" t="s">
        <v>116</v>
      </c>
      <c r="F22" s="181"/>
      <c r="G22" s="148"/>
      <c r="H22" s="148"/>
    </row>
    <row r="23" spans="1:8" ht="18.75">
      <c r="A23" s="146"/>
      <c r="B23" s="154" t="s">
        <v>581</v>
      </c>
      <c r="C23" s="147"/>
      <c r="D23" s="147"/>
      <c r="E23" s="147"/>
      <c r="F23" s="147"/>
      <c r="G23" s="186"/>
      <c r="H23" s="186"/>
    </row>
    <row r="24" spans="1:8" ht="38.25">
      <c r="A24" s="149" t="s">
        <v>582</v>
      </c>
      <c r="B24" s="157" t="s">
        <v>583</v>
      </c>
      <c r="C24" s="180" t="s">
        <v>116</v>
      </c>
      <c r="D24" s="180" t="s">
        <v>116</v>
      </c>
      <c r="E24" s="180" t="s">
        <v>116</v>
      </c>
      <c r="F24" s="181"/>
      <c r="G24" s="148"/>
      <c r="H24" s="148"/>
    </row>
    <row r="25" spans="1:8" ht="25.5">
      <c r="A25" s="149" t="s">
        <v>584</v>
      </c>
      <c r="B25" s="157" t="s">
        <v>585</v>
      </c>
      <c r="C25" s="180" t="s">
        <v>116</v>
      </c>
      <c r="D25" s="180" t="s">
        <v>116</v>
      </c>
      <c r="E25" s="180" t="s">
        <v>116</v>
      </c>
      <c r="F25" s="181"/>
      <c r="G25" s="148"/>
      <c r="H25" s="148"/>
    </row>
    <row r="26" spans="1:8" ht="38.25">
      <c r="A26" s="149" t="s">
        <v>586</v>
      </c>
      <c r="B26" s="157" t="s">
        <v>587</v>
      </c>
      <c r="C26" s="180" t="s">
        <v>116</v>
      </c>
      <c r="D26" s="180" t="s">
        <v>116</v>
      </c>
      <c r="E26" s="180" t="s">
        <v>116</v>
      </c>
      <c r="F26" s="181"/>
      <c r="G26" s="148"/>
      <c r="H26" s="148"/>
    </row>
    <row r="27" spans="1:8" ht="38.25">
      <c r="A27" s="149" t="s">
        <v>588</v>
      </c>
      <c r="B27" s="157" t="s">
        <v>589</v>
      </c>
      <c r="C27" s="180" t="s">
        <v>116</v>
      </c>
      <c r="D27" s="180" t="s">
        <v>116</v>
      </c>
      <c r="E27" s="180" t="s">
        <v>116</v>
      </c>
      <c r="F27" s="181"/>
      <c r="G27" s="148"/>
      <c r="H27" s="148"/>
    </row>
    <row r="28" spans="1:8" ht="18.75">
      <c r="A28" s="146"/>
      <c r="B28" s="154" t="s">
        <v>590</v>
      </c>
      <c r="C28" s="147"/>
      <c r="D28" s="147"/>
      <c r="E28" s="147"/>
      <c r="F28" s="147"/>
      <c r="G28" s="186"/>
      <c r="H28" s="186"/>
    </row>
    <row r="29" spans="1:8" ht="38.25">
      <c r="A29" s="149" t="s">
        <v>591</v>
      </c>
      <c r="B29" s="157" t="s">
        <v>592</v>
      </c>
      <c r="C29" s="180" t="s">
        <v>116</v>
      </c>
      <c r="D29" s="180" t="s">
        <v>116</v>
      </c>
      <c r="E29" s="180" t="s">
        <v>116</v>
      </c>
      <c r="F29" s="181"/>
      <c r="G29" s="148"/>
      <c r="H29" s="148"/>
    </row>
    <row r="30" spans="1:8" ht="38.25">
      <c r="A30" s="149" t="s">
        <v>593</v>
      </c>
      <c r="B30" s="157" t="s">
        <v>594</v>
      </c>
      <c r="C30" s="180" t="s">
        <v>116</v>
      </c>
      <c r="D30" s="180" t="s">
        <v>116</v>
      </c>
      <c r="E30" s="180" t="s">
        <v>116</v>
      </c>
      <c r="F30" s="181"/>
      <c r="G30" s="148"/>
      <c r="H30" s="148"/>
    </row>
    <row r="31" spans="1:8" ht="18.75">
      <c r="A31" s="146"/>
      <c r="B31" s="154" t="s">
        <v>595</v>
      </c>
      <c r="C31" s="147"/>
      <c r="D31" s="147"/>
      <c r="E31" s="147"/>
      <c r="F31" s="147"/>
      <c r="G31" s="186"/>
      <c r="H31" s="186"/>
    </row>
    <row r="32" spans="1:8" ht="51">
      <c r="A32" s="149" t="s">
        <v>596</v>
      </c>
      <c r="B32" s="157" t="s">
        <v>597</v>
      </c>
      <c r="C32" s="180" t="s">
        <v>116</v>
      </c>
      <c r="D32" s="180" t="s">
        <v>116</v>
      </c>
      <c r="E32" s="180" t="s">
        <v>116</v>
      </c>
      <c r="F32" s="181"/>
      <c r="G32" s="148"/>
      <c r="H32" s="148"/>
    </row>
    <row r="33" spans="1:8" ht="18">
      <c r="A33" s="182"/>
      <c r="B33" s="183" t="s">
        <v>598</v>
      </c>
      <c r="C33" s="182"/>
      <c r="D33" s="182"/>
      <c r="E33" s="182"/>
      <c r="F33" s="182"/>
      <c r="G33" s="182"/>
      <c r="H33" s="182"/>
    </row>
    <row r="34" spans="1:8">
      <c r="A34" s="149"/>
      <c r="B34" s="157"/>
    </row>
    <row r="35" spans="1:8" ht="15">
      <c r="A35" s="184"/>
      <c r="B35" s="185" t="s">
        <v>599</v>
      </c>
      <c r="C35" s="184"/>
      <c r="D35" s="184"/>
      <c r="E35" s="184"/>
      <c r="F35" s="184"/>
      <c r="G35" s="184"/>
      <c r="H35" s="184"/>
    </row>
  </sheetData>
  <mergeCells count="1">
    <mergeCell ref="G2:H2"/>
  </mergeCells>
  <conditionalFormatting sqref="C6:E6">
    <cfRule type="cellIs" dxfId="7226" priority="67" operator="equal">
      <formula>"No"</formula>
    </cfRule>
    <cfRule type="cellIs" dxfId="7225" priority="68" operator="equal">
      <formula>"NA"</formula>
    </cfRule>
    <cfRule type="cellIs" dxfId="7224" priority="69" operator="equal">
      <formula>"Yes"</formula>
    </cfRule>
  </conditionalFormatting>
  <conditionalFormatting sqref="C8:E8">
    <cfRule type="cellIs" dxfId="7223" priority="64" operator="equal">
      <formula>"No"</formula>
    </cfRule>
    <cfRule type="cellIs" dxfId="7222" priority="65" operator="equal">
      <formula>"NA"</formula>
    </cfRule>
    <cfRule type="cellIs" dxfId="7221" priority="66" operator="equal">
      <formula>"Yes"</formula>
    </cfRule>
  </conditionalFormatting>
  <conditionalFormatting sqref="C9:E9">
    <cfRule type="cellIs" dxfId="7220" priority="61" operator="equal">
      <formula>"No"</formula>
    </cfRule>
    <cfRule type="cellIs" dxfId="7219" priority="62" operator="equal">
      <formula>"NA"</formula>
    </cfRule>
    <cfRule type="cellIs" dxfId="7218" priority="63" operator="equal">
      <formula>"Yes"</formula>
    </cfRule>
  </conditionalFormatting>
  <conditionalFormatting sqref="C10:E10">
    <cfRule type="cellIs" dxfId="7217" priority="58" operator="equal">
      <formula>"No"</formula>
    </cfRule>
    <cfRule type="cellIs" dxfId="7216" priority="59" operator="equal">
      <formula>"NA"</formula>
    </cfRule>
    <cfRule type="cellIs" dxfId="7215" priority="60" operator="equal">
      <formula>"Yes"</formula>
    </cfRule>
  </conditionalFormatting>
  <conditionalFormatting sqref="C11:E11">
    <cfRule type="cellIs" dxfId="7214" priority="55" operator="equal">
      <formula>"No"</formula>
    </cfRule>
    <cfRule type="cellIs" dxfId="7213" priority="56" operator="equal">
      <formula>"NA"</formula>
    </cfRule>
    <cfRule type="cellIs" dxfId="7212" priority="57" operator="equal">
      <formula>"Yes"</formula>
    </cfRule>
  </conditionalFormatting>
  <conditionalFormatting sqref="C12:E12">
    <cfRule type="cellIs" dxfId="7211" priority="52" operator="equal">
      <formula>"No"</formula>
    </cfRule>
    <cfRule type="cellIs" dxfId="7210" priority="53" operator="equal">
      <formula>"NA"</formula>
    </cfRule>
    <cfRule type="cellIs" dxfId="7209" priority="54" operator="equal">
      <formula>"Yes"</formula>
    </cfRule>
  </conditionalFormatting>
  <conditionalFormatting sqref="C13:E13">
    <cfRule type="cellIs" dxfId="7208" priority="49" operator="equal">
      <formula>"No"</formula>
    </cfRule>
    <cfRule type="cellIs" dxfId="7207" priority="50" operator="equal">
      <formula>"NA"</formula>
    </cfRule>
    <cfRule type="cellIs" dxfId="7206" priority="51" operator="equal">
      <formula>"Yes"</formula>
    </cfRule>
  </conditionalFormatting>
  <conditionalFormatting sqref="C14:E14">
    <cfRule type="cellIs" dxfId="7205" priority="46" operator="equal">
      <formula>"No"</formula>
    </cfRule>
    <cfRule type="cellIs" dxfId="7204" priority="47" operator="equal">
      <formula>"NA"</formula>
    </cfRule>
    <cfRule type="cellIs" dxfId="7203" priority="48" operator="equal">
      <formula>"Yes"</formula>
    </cfRule>
  </conditionalFormatting>
  <conditionalFormatting sqref="C15:E15">
    <cfRule type="cellIs" dxfId="7202" priority="43" operator="equal">
      <formula>"No"</formula>
    </cfRule>
    <cfRule type="cellIs" dxfId="7201" priority="44" operator="equal">
      <formula>"NA"</formula>
    </cfRule>
    <cfRule type="cellIs" dxfId="7200" priority="45" operator="equal">
      <formula>"Yes"</formula>
    </cfRule>
  </conditionalFormatting>
  <conditionalFormatting sqref="C16:E16">
    <cfRule type="cellIs" dxfId="7199" priority="40" operator="equal">
      <formula>"No"</formula>
    </cfRule>
    <cfRule type="cellIs" dxfId="7198" priority="41" operator="equal">
      <formula>"NA"</formula>
    </cfRule>
    <cfRule type="cellIs" dxfId="7197" priority="42" operator="equal">
      <formula>"Yes"</formula>
    </cfRule>
  </conditionalFormatting>
  <conditionalFormatting sqref="C17:E17">
    <cfRule type="cellIs" dxfId="7196" priority="37" operator="equal">
      <formula>"No"</formula>
    </cfRule>
    <cfRule type="cellIs" dxfId="7195" priority="38" operator="equal">
      <formula>"NA"</formula>
    </cfRule>
    <cfRule type="cellIs" dxfId="7194" priority="39" operator="equal">
      <formula>"Yes"</formula>
    </cfRule>
  </conditionalFormatting>
  <conditionalFormatting sqref="C18:E18">
    <cfRule type="cellIs" dxfId="7193" priority="34" operator="equal">
      <formula>"No"</formula>
    </cfRule>
    <cfRule type="cellIs" dxfId="7192" priority="35" operator="equal">
      <formula>"NA"</formula>
    </cfRule>
    <cfRule type="cellIs" dxfId="7191" priority="36" operator="equal">
      <formula>"Yes"</formula>
    </cfRule>
  </conditionalFormatting>
  <conditionalFormatting sqref="C19:E19">
    <cfRule type="cellIs" dxfId="7190" priority="31" operator="equal">
      <formula>"No"</formula>
    </cfRule>
    <cfRule type="cellIs" dxfId="7189" priority="32" operator="equal">
      <formula>"NA"</formula>
    </cfRule>
    <cfRule type="cellIs" dxfId="7188" priority="33" operator="equal">
      <formula>"Yes"</formula>
    </cfRule>
  </conditionalFormatting>
  <conditionalFormatting sqref="C20:E20">
    <cfRule type="cellIs" dxfId="7187" priority="28" operator="equal">
      <formula>"No"</formula>
    </cfRule>
    <cfRule type="cellIs" dxfId="7186" priority="29" operator="equal">
      <formula>"NA"</formula>
    </cfRule>
    <cfRule type="cellIs" dxfId="7185" priority="30" operator="equal">
      <formula>"Yes"</formula>
    </cfRule>
  </conditionalFormatting>
  <conditionalFormatting sqref="C21:E21">
    <cfRule type="cellIs" dxfId="7184" priority="25" operator="equal">
      <formula>"No"</formula>
    </cfRule>
    <cfRule type="cellIs" dxfId="7183" priority="26" operator="equal">
      <formula>"NA"</formula>
    </cfRule>
    <cfRule type="cellIs" dxfId="7182" priority="27" operator="equal">
      <formula>"Yes"</formula>
    </cfRule>
  </conditionalFormatting>
  <conditionalFormatting sqref="C22:E22">
    <cfRule type="cellIs" dxfId="7181" priority="22" operator="equal">
      <formula>"No"</formula>
    </cfRule>
    <cfRule type="cellIs" dxfId="7180" priority="23" operator="equal">
      <formula>"NA"</formula>
    </cfRule>
    <cfRule type="cellIs" dxfId="7179" priority="24" operator="equal">
      <formula>"Yes"</formula>
    </cfRule>
  </conditionalFormatting>
  <conditionalFormatting sqref="C24:E24">
    <cfRule type="cellIs" dxfId="7178" priority="19" operator="equal">
      <formula>"No"</formula>
    </cfRule>
    <cfRule type="cellIs" dxfId="7177" priority="20" operator="equal">
      <formula>"NA"</formula>
    </cfRule>
    <cfRule type="cellIs" dxfId="7176" priority="21" operator="equal">
      <formula>"Yes"</formula>
    </cfRule>
  </conditionalFormatting>
  <conditionalFormatting sqref="C25:E25">
    <cfRule type="cellIs" dxfId="7175" priority="16" operator="equal">
      <formula>"No"</formula>
    </cfRule>
    <cfRule type="cellIs" dxfId="7174" priority="17" operator="equal">
      <formula>"NA"</formula>
    </cfRule>
    <cfRule type="cellIs" dxfId="7173" priority="18" operator="equal">
      <formula>"Yes"</formula>
    </cfRule>
  </conditionalFormatting>
  <conditionalFormatting sqref="C26:E26">
    <cfRule type="cellIs" dxfId="7172" priority="13" operator="equal">
      <formula>"No"</formula>
    </cfRule>
    <cfRule type="cellIs" dxfId="7171" priority="14" operator="equal">
      <formula>"NA"</formula>
    </cfRule>
    <cfRule type="cellIs" dxfId="7170" priority="15" operator="equal">
      <formula>"Yes"</formula>
    </cfRule>
  </conditionalFormatting>
  <conditionalFormatting sqref="C27:E27">
    <cfRule type="cellIs" dxfId="7169" priority="10" operator="equal">
      <formula>"No"</formula>
    </cfRule>
    <cfRule type="cellIs" dxfId="7168" priority="11" operator="equal">
      <formula>"NA"</formula>
    </cfRule>
    <cfRule type="cellIs" dxfId="7167" priority="12" operator="equal">
      <formula>"Yes"</formula>
    </cfRule>
  </conditionalFormatting>
  <conditionalFormatting sqref="C29:E29">
    <cfRule type="cellIs" dxfId="7166" priority="7" operator="equal">
      <formula>"No"</formula>
    </cfRule>
    <cfRule type="cellIs" dxfId="7165" priority="8" operator="equal">
      <formula>"NA"</formula>
    </cfRule>
    <cfRule type="cellIs" dxfId="7164" priority="9" operator="equal">
      <formula>"Yes"</formula>
    </cfRule>
  </conditionalFormatting>
  <conditionalFormatting sqref="C30:E30">
    <cfRule type="cellIs" dxfId="7163" priority="4" operator="equal">
      <formula>"No"</formula>
    </cfRule>
    <cfRule type="cellIs" dxfId="7162" priority="5" operator="equal">
      <formula>"NA"</formula>
    </cfRule>
    <cfRule type="cellIs" dxfId="7161" priority="6" operator="equal">
      <formula>"Yes"</formula>
    </cfRule>
  </conditionalFormatting>
  <conditionalFormatting sqref="C32:E32">
    <cfRule type="cellIs" dxfId="7160" priority="1" operator="equal">
      <formula>"No"</formula>
    </cfRule>
    <cfRule type="cellIs" dxfId="7159" priority="2" operator="equal">
      <formula>"NA"</formula>
    </cfRule>
    <cfRule type="cellIs" dxfId="7158" priority="3" operator="equal">
      <formula>"Yes"</formula>
    </cfRule>
  </conditionalFormatting>
  <dataValidations count="1">
    <dataValidation type="list" allowBlank="1" showInputMessage="1" showErrorMessage="1" sqref="C8:E22 C24:E27 C32:E32 C29:E30 C6:E6" xr:uid="{69B754B4-0ACB-437B-8D2B-A578C8CD703E}">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12BD97-BBDF-4075-A32C-01296C6E2E91}">
  <sheetPr codeName="Feuil33">
    <tabColor theme="7"/>
    <outlinePr summaryBelow="0" summaryRight="0"/>
    <pageSetUpPr fitToPage="1"/>
  </sheetPr>
  <dimension ref="A2:DY36"/>
  <sheetViews>
    <sheetView zoomScaleNormal="100" workbookViewId="0">
      <selection activeCell="DU3" sqref="DU3"/>
    </sheetView>
  </sheetViews>
  <sheetFormatPr defaultColWidth="9.28515625" defaultRowHeight="12.75" outlineLevelCol="1"/>
  <cols>
    <col min="1" max="1" width="12.7109375" style="145" bestFit="1" customWidth="1"/>
    <col min="2" max="2" width="62.5703125" style="144" bestFit="1" customWidth="1"/>
    <col min="3" max="25" width="5.42578125" style="143" hidden="1" customWidth="1"/>
    <col min="26" max="28" width="6.7109375" style="143" hidden="1" customWidth="1"/>
    <col min="29" max="32" width="5.42578125" style="143" hidden="1" customWidth="1"/>
    <col min="33" max="33" width="6.7109375" style="143" hidden="1" customWidth="1"/>
    <col min="34" max="37" width="5.42578125" style="143" hidden="1" customWidth="1"/>
    <col min="38" max="38" width="6.7109375" style="143" hidden="1" customWidth="1"/>
    <col min="39" max="44" width="5.42578125" style="143" hidden="1" customWidth="1"/>
    <col min="45" max="45" width="6.7109375" style="143" hidden="1" customWidth="1"/>
    <col min="46" max="58" width="5.42578125" style="143" hidden="1" customWidth="1"/>
    <col min="59" max="61" width="6.7109375" style="143" hidden="1" customWidth="1"/>
    <col min="62" max="63" width="5.42578125" style="143" hidden="1" customWidth="1"/>
    <col min="64" max="104" width="6.7109375" style="143" hidden="1" customWidth="1"/>
    <col min="105" max="107" width="6.7109375" style="143" customWidth="1"/>
    <col min="108" max="108" width="6.7109375" style="143" bestFit="1" customWidth="1"/>
    <col min="109" max="114" width="6.7109375" style="143" customWidth="1"/>
    <col min="115" max="115" width="6.7109375" style="143" bestFit="1" customWidth="1"/>
    <col min="116" max="125" width="6.7109375" style="143" customWidth="1"/>
    <col min="126" max="126" width="46.28515625" style="143" customWidth="1"/>
    <col min="127" max="127" width="17.7109375" style="143" bestFit="1" customWidth="1" outlineLevel="1"/>
    <col min="128" max="128" width="30.5703125" style="143" bestFit="1" customWidth="1" outlineLevel="1"/>
    <col min="129" max="16384" width="9.28515625" style="143"/>
  </cols>
  <sheetData>
    <row r="2" spans="1:129" ht="156" customHeight="1">
      <c r="A2" s="167" t="s">
        <v>541</v>
      </c>
      <c r="B2" s="168" t="s">
        <v>600</v>
      </c>
      <c r="C2" s="169" t="s">
        <v>601</v>
      </c>
      <c r="D2" s="169" t="s">
        <v>602</v>
      </c>
      <c r="E2" s="169" t="s">
        <v>603</v>
      </c>
      <c r="F2" s="169" t="s">
        <v>604</v>
      </c>
      <c r="G2" s="169" t="s">
        <v>605</v>
      </c>
      <c r="H2" s="169" t="s">
        <v>606</v>
      </c>
      <c r="I2" s="169" t="s">
        <v>607</v>
      </c>
      <c r="J2" s="169" t="s">
        <v>608</v>
      </c>
      <c r="K2" s="169" t="s">
        <v>609</v>
      </c>
      <c r="L2" s="169" t="s">
        <v>610</v>
      </c>
      <c r="M2" s="169" t="s">
        <v>611</v>
      </c>
      <c r="N2" s="169" t="s">
        <v>612</v>
      </c>
      <c r="O2" s="169" t="s">
        <v>613</v>
      </c>
      <c r="P2" s="169" t="s">
        <v>614</v>
      </c>
      <c r="Q2" s="169" t="s">
        <v>615</v>
      </c>
      <c r="R2" s="169" t="s">
        <v>616</v>
      </c>
      <c r="S2" s="169" t="s">
        <v>617</v>
      </c>
      <c r="T2" s="169" t="s">
        <v>618</v>
      </c>
      <c r="U2" s="169" t="s">
        <v>619</v>
      </c>
      <c r="V2" s="169" t="s">
        <v>620</v>
      </c>
      <c r="W2" s="169" t="s">
        <v>621</v>
      </c>
      <c r="X2" s="169" t="s">
        <v>622</v>
      </c>
      <c r="Y2" s="169" t="s">
        <v>623</v>
      </c>
      <c r="Z2" s="169" t="s">
        <v>604</v>
      </c>
      <c r="AA2" s="169" t="s">
        <v>605</v>
      </c>
      <c r="AB2" s="169" t="s">
        <v>606</v>
      </c>
      <c r="AC2" s="169" t="s">
        <v>624</v>
      </c>
      <c r="AD2" s="169" t="s">
        <v>625</v>
      </c>
      <c r="AE2" s="169" t="s">
        <v>626</v>
      </c>
      <c r="AF2" s="169" t="s">
        <v>627</v>
      </c>
      <c r="AG2" s="169" t="s">
        <v>608</v>
      </c>
      <c r="AH2" s="169" t="s">
        <v>628</v>
      </c>
      <c r="AI2" s="169" t="s">
        <v>629</v>
      </c>
      <c r="AJ2" s="169" t="s">
        <v>630</v>
      </c>
      <c r="AK2" s="169" t="s">
        <v>268</v>
      </c>
      <c r="AL2" s="169" t="s">
        <v>610</v>
      </c>
      <c r="AM2" s="169" t="s">
        <v>631</v>
      </c>
      <c r="AN2" s="169" t="s">
        <v>632</v>
      </c>
      <c r="AO2" s="169" t="s">
        <v>633</v>
      </c>
      <c r="AP2" s="169" t="s">
        <v>634</v>
      </c>
      <c r="AQ2" s="169" t="s">
        <v>635</v>
      </c>
      <c r="AR2" s="169" t="s">
        <v>636</v>
      </c>
      <c r="AS2" s="169" t="s">
        <v>612</v>
      </c>
      <c r="AT2" s="169" t="s">
        <v>637</v>
      </c>
      <c r="AU2" s="169" t="s">
        <v>638</v>
      </c>
      <c r="AV2" s="169" t="s">
        <v>639</v>
      </c>
      <c r="AW2" s="169" t="s">
        <v>640</v>
      </c>
      <c r="AX2" s="169" t="s">
        <v>641</v>
      </c>
      <c r="AY2" s="169" t="s">
        <v>642</v>
      </c>
      <c r="AZ2" s="169" t="s">
        <v>643</v>
      </c>
      <c r="BA2" s="169" t="s">
        <v>644</v>
      </c>
      <c r="BB2" s="169" t="s">
        <v>645</v>
      </c>
      <c r="BC2" s="169" t="s">
        <v>646</v>
      </c>
      <c r="BD2" s="169" t="s">
        <v>647</v>
      </c>
      <c r="BE2" s="169" t="s">
        <v>687</v>
      </c>
      <c r="BF2" s="169" t="s">
        <v>691</v>
      </c>
      <c r="BG2" s="169" t="s">
        <v>694</v>
      </c>
      <c r="BH2" s="169" t="s">
        <v>696</v>
      </c>
      <c r="BI2" s="169" t="s">
        <v>700</v>
      </c>
      <c r="BJ2" s="169" t="s">
        <v>703</v>
      </c>
      <c r="BK2" s="169" t="s">
        <v>706</v>
      </c>
      <c r="BL2" s="169" t="s">
        <v>718</v>
      </c>
      <c r="BM2" s="169" t="s">
        <v>719</v>
      </c>
      <c r="BN2" s="169" t="s">
        <v>722</v>
      </c>
      <c r="BO2" s="169" t="s">
        <v>724</v>
      </c>
      <c r="BP2" s="169" t="s">
        <v>737</v>
      </c>
      <c r="BQ2" s="169" t="s">
        <v>738</v>
      </c>
      <c r="BR2" s="169" t="s">
        <v>739</v>
      </c>
      <c r="BS2" s="169" t="s">
        <v>696</v>
      </c>
      <c r="BT2" s="169" t="s">
        <v>740</v>
      </c>
      <c r="BU2" s="169" t="s">
        <v>741</v>
      </c>
      <c r="BV2" s="169" t="s">
        <v>743</v>
      </c>
      <c r="BW2" s="169" t="s">
        <v>744</v>
      </c>
      <c r="BX2" s="169" t="s">
        <v>745</v>
      </c>
      <c r="BY2" s="169" t="s">
        <v>760</v>
      </c>
      <c r="BZ2" s="169" t="s">
        <v>747</v>
      </c>
      <c r="CA2" s="169" t="s">
        <v>748</v>
      </c>
      <c r="CB2" s="169" t="s">
        <v>761</v>
      </c>
      <c r="CC2" s="169" t="s">
        <v>828</v>
      </c>
      <c r="CD2" s="169" t="s">
        <v>829</v>
      </c>
      <c r="CE2" s="169" t="s">
        <v>830</v>
      </c>
      <c r="CF2" s="169" t="s">
        <v>831</v>
      </c>
      <c r="CG2" s="169" t="s">
        <v>832</v>
      </c>
      <c r="CH2" s="169" t="s">
        <v>833</v>
      </c>
      <c r="CI2" s="169" t="s">
        <v>834</v>
      </c>
      <c r="CJ2" s="169" t="s">
        <v>836</v>
      </c>
      <c r="CK2" s="169" t="s">
        <v>838</v>
      </c>
      <c r="CL2" s="169" t="s">
        <v>847</v>
      </c>
      <c r="CM2" s="169" t="s">
        <v>849</v>
      </c>
      <c r="CN2" s="169" t="s">
        <v>851</v>
      </c>
      <c r="CO2" s="169" t="s">
        <v>857</v>
      </c>
      <c r="CP2" s="169" t="s">
        <v>881</v>
      </c>
      <c r="CQ2" s="169" t="s">
        <v>890</v>
      </c>
      <c r="CR2" s="169" t="s">
        <v>921</v>
      </c>
      <c r="CS2" s="169" t="s">
        <v>910</v>
      </c>
      <c r="CT2" s="169" t="s">
        <v>912</v>
      </c>
      <c r="CU2" s="169" t="s">
        <v>915</v>
      </c>
      <c r="CV2" s="169" t="s">
        <v>920</v>
      </c>
      <c r="CW2" s="169" t="s">
        <v>962</v>
      </c>
      <c r="CX2" s="169" t="s">
        <v>963</v>
      </c>
      <c r="CY2" s="169" t="s">
        <v>964</v>
      </c>
      <c r="CZ2" s="169" t="s">
        <v>965</v>
      </c>
      <c r="DA2" s="169" t="s">
        <v>966</v>
      </c>
      <c r="DB2" s="169" t="s">
        <v>967</v>
      </c>
      <c r="DC2" s="169" t="s">
        <v>968</v>
      </c>
      <c r="DD2" s="169" t="s">
        <v>987</v>
      </c>
      <c r="DE2" s="169" t="s">
        <v>988</v>
      </c>
      <c r="DF2" s="169" t="s">
        <v>989</v>
      </c>
      <c r="DG2" s="169" t="s">
        <v>990</v>
      </c>
      <c r="DH2" s="169" t="s">
        <v>991</v>
      </c>
      <c r="DI2" s="169" t="s">
        <v>992</v>
      </c>
      <c r="DJ2" s="169" t="s">
        <v>993</v>
      </c>
      <c r="DK2" s="169" t="s">
        <v>995</v>
      </c>
      <c r="DL2" s="169" t="s">
        <v>998</v>
      </c>
      <c r="DM2" s="169" t="s">
        <v>1001</v>
      </c>
      <c r="DN2" s="169" t="s">
        <v>1003</v>
      </c>
      <c r="DO2" s="169" t="s">
        <v>1005</v>
      </c>
      <c r="DP2" s="169" t="s">
        <v>1008</v>
      </c>
      <c r="DQ2" s="169" t="s">
        <v>1011</v>
      </c>
      <c r="DR2" s="169" t="s">
        <v>1016</v>
      </c>
      <c r="DS2" s="169" t="s">
        <v>1017</v>
      </c>
      <c r="DT2" s="169" t="s">
        <v>1018</v>
      </c>
      <c r="DU2" s="169" t="s">
        <v>1019</v>
      </c>
      <c r="DV2" s="170" t="s">
        <v>543</v>
      </c>
      <c r="DW2" s="353" t="s">
        <v>171</v>
      </c>
      <c r="DX2" s="354"/>
    </row>
    <row r="3" spans="1:129" ht="18.75">
      <c r="A3" s="171"/>
      <c r="B3" s="172"/>
      <c r="C3" s="173">
        <f t="shared" ref="C3:AF3" si="0">COUNTIF(C5:C36,"Yes") / ( COUNTA(C5:C36) - COUNTIF(C5:C36,"NA"))</f>
        <v>0.82608695652173914</v>
      </c>
      <c r="D3" s="173">
        <f t="shared" si="0"/>
        <v>0.69565217391304346</v>
      </c>
      <c r="E3" s="173">
        <f t="shared" si="0"/>
        <v>0.91304347826086951</v>
      </c>
      <c r="F3" s="173">
        <f t="shared" si="0"/>
        <v>0.91304347826086951</v>
      </c>
      <c r="G3" s="173">
        <f t="shared" si="0"/>
        <v>0.86956521739130432</v>
      </c>
      <c r="H3" s="173">
        <f t="shared" si="0"/>
        <v>0.82608695652173914</v>
      </c>
      <c r="I3" s="173">
        <f t="shared" si="0"/>
        <v>0.78260869565217395</v>
      </c>
      <c r="J3" s="173">
        <f t="shared" si="0"/>
        <v>0.91304347826086951</v>
      </c>
      <c r="K3" s="173">
        <f t="shared" si="0"/>
        <v>0.73913043478260865</v>
      </c>
      <c r="L3" s="173">
        <f t="shared" si="0"/>
        <v>0.86956521739130432</v>
      </c>
      <c r="M3" s="173">
        <f t="shared" si="0"/>
        <v>0.78260869565217395</v>
      </c>
      <c r="N3" s="173">
        <f t="shared" si="0"/>
        <v>0.91304347826086951</v>
      </c>
      <c r="O3" s="173">
        <f t="shared" si="0"/>
        <v>0.78260869565217395</v>
      </c>
      <c r="P3" s="173">
        <f t="shared" si="0"/>
        <v>0.78260869565217395</v>
      </c>
      <c r="Q3" s="173">
        <f t="shared" si="0"/>
        <v>0.86956521739130432</v>
      </c>
      <c r="R3" s="173">
        <f t="shared" si="0"/>
        <v>0.91304347826086951</v>
      </c>
      <c r="S3" s="173">
        <f t="shared" si="0"/>
        <v>0.91304347826086951</v>
      </c>
      <c r="T3" s="173">
        <f t="shared" si="0"/>
        <v>0.91304347826086951</v>
      </c>
      <c r="U3" s="173">
        <f t="shared" si="0"/>
        <v>0.91304347826086951</v>
      </c>
      <c r="V3" s="173">
        <f t="shared" si="0"/>
        <v>0.73913043478260865</v>
      </c>
      <c r="W3" s="173">
        <f t="shared" ref="W3:X3" si="1">COUNTIF(W5:W36,"Yes") / ( COUNTA(W5:W36) - COUNTIF(W5:W36,"NA"))</f>
        <v>0.73913043478260865</v>
      </c>
      <c r="X3" s="173">
        <f t="shared" si="1"/>
        <v>0.73913043478260865</v>
      </c>
      <c r="Y3" s="173">
        <f t="shared" si="0"/>
        <v>0.73913043478260865</v>
      </c>
      <c r="Z3" s="173">
        <f t="shared" si="0"/>
        <v>1</v>
      </c>
      <c r="AA3" s="173">
        <f t="shared" si="0"/>
        <v>1</v>
      </c>
      <c r="AB3" s="173">
        <f t="shared" si="0"/>
        <v>1</v>
      </c>
      <c r="AC3" s="173">
        <f t="shared" si="0"/>
        <v>0.86956521739130432</v>
      </c>
      <c r="AD3" s="173">
        <f t="shared" ref="AD3:AE3" si="2">COUNTIF(AD5:AD36,"Yes") / ( COUNTA(AD5:AD36) - COUNTIF(AD5:AD36,"NA"))</f>
        <v>0.86956521739130432</v>
      </c>
      <c r="AE3" s="173">
        <f t="shared" si="2"/>
        <v>0.86956521739130432</v>
      </c>
      <c r="AF3" s="173">
        <f t="shared" si="0"/>
        <v>0.86956521739130432</v>
      </c>
      <c r="AG3" s="173">
        <f t="shared" ref="AG3:AQ3" si="3">COUNTIF(AG5:AG36,"Yes") / ( COUNTA(AG5:AG36) - COUNTIF(AG5:AG36,"NA"))</f>
        <v>1</v>
      </c>
      <c r="AH3" s="173">
        <f t="shared" ref="AH3" si="4">COUNTIF(AH5:AH36,"Yes") / ( COUNTA(AH5:AH36) - COUNTIF(AH5:AH36,"NA"))</f>
        <v>0.73913043478260865</v>
      </c>
      <c r="AI3" s="173">
        <f t="shared" si="3"/>
        <v>0.73913043478260865</v>
      </c>
      <c r="AJ3" s="173">
        <f t="shared" ref="AJ3" si="5">COUNTIF(AJ5:AJ36,"Yes") / ( COUNTA(AJ5:AJ36) - COUNTIF(AJ5:AJ36,"NA"))</f>
        <v>0.73913043478260865</v>
      </c>
      <c r="AK3" s="173">
        <f t="shared" si="3"/>
        <v>0.86956521739130432</v>
      </c>
      <c r="AL3" s="173">
        <f t="shared" si="3"/>
        <v>1</v>
      </c>
      <c r="AM3" s="173">
        <f t="shared" ref="AM3" si="6">COUNTIF(AM5:AM36,"Yes") / ( COUNTA(AM5:AM36) - COUNTIF(AM5:AM36,"NA"))</f>
        <v>0.78260869565217395</v>
      </c>
      <c r="AN3" s="173">
        <f t="shared" si="3"/>
        <v>0.78260869565217395</v>
      </c>
      <c r="AO3" s="173">
        <f t="shared" ref="AO3:AP3" si="7">COUNTIF(AO5:AO36,"Yes") / ( COUNTA(AO5:AO36) - COUNTIF(AO5:AO36,"NA"))</f>
        <v>0.78260869565217395</v>
      </c>
      <c r="AP3" s="173">
        <f t="shared" si="7"/>
        <v>0.78260869565217395</v>
      </c>
      <c r="AQ3" s="173">
        <f t="shared" si="3"/>
        <v>0.78260869565217395</v>
      </c>
      <c r="AR3" s="173">
        <f t="shared" ref="AR3:BB3" si="8">COUNTIF(AR5:AR36,"Yes") / ( COUNTA(AR5:AR36) - COUNTIF(AR5:AR36,"NA"))</f>
        <v>0.78260869565217395</v>
      </c>
      <c r="AS3" s="173">
        <f t="shared" si="8"/>
        <v>1</v>
      </c>
      <c r="AT3" s="173">
        <f t="shared" si="8"/>
        <v>0.78260869565217395</v>
      </c>
      <c r="AU3" s="173">
        <f t="shared" ref="AU3:AV3" si="9">COUNTIF(AU5:AU36,"Yes") / ( COUNTA(AU5:AU36) - COUNTIF(AU5:AU36,"NA"))</f>
        <v>0.78260869565217395</v>
      </c>
      <c r="AV3" s="173">
        <f t="shared" si="9"/>
        <v>0.78260869565217395</v>
      </c>
      <c r="AW3" s="173">
        <f t="shared" si="8"/>
        <v>0.82608695652173914</v>
      </c>
      <c r="AX3" s="173">
        <f t="shared" si="8"/>
        <v>0.78260869565217395</v>
      </c>
      <c r="AY3" s="173">
        <f t="shared" ref="AY3:AZ3" si="10">COUNTIF(AY5:AY36,"Yes") / ( COUNTA(AY5:AY36) - COUNTIF(AY5:AY36,"NA"))</f>
        <v>0.78260869565217395</v>
      </c>
      <c r="AZ3" s="173">
        <f t="shared" si="10"/>
        <v>0.78260869565217395</v>
      </c>
      <c r="BA3" s="173">
        <f t="shared" si="8"/>
        <v>0.91304347826086951</v>
      </c>
      <c r="BB3" s="173">
        <f t="shared" si="8"/>
        <v>0.78260869565217395</v>
      </c>
      <c r="BC3" s="173">
        <f t="shared" ref="BC3:BD3" si="11">COUNTIF(BC5:BC36,"Yes") / ( COUNTA(BC5:BC36) - COUNTIF(BC5:BC36,"NA"))</f>
        <v>0.82608695652173914</v>
      </c>
      <c r="BD3" s="173">
        <f t="shared" si="11"/>
        <v>0.82608695652173914</v>
      </c>
      <c r="BE3" s="173">
        <f t="shared" ref="BE3:BF3" si="12">COUNTIF(BE5:BE36,"Yes") / ( COUNTA(BE5:BE36) - COUNTIF(BE5:BE36,"NA"))</f>
        <v>0.95652173913043481</v>
      </c>
      <c r="BF3" s="173">
        <f t="shared" si="12"/>
        <v>0.95652173913043481</v>
      </c>
      <c r="BG3" s="173">
        <f t="shared" ref="BG3:BH3" si="13">COUNTIF(BG5:BG36,"Yes") / ( COUNTA(BG5:BG36) - COUNTIF(BG5:BG36,"NA"))</f>
        <v>1</v>
      </c>
      <c r="BH3" s="173">
        <f t="shared" si="13"/>
        <v>1</v>
      </c>
      <c r="BI3" s="173">
        <f t="shared" ref="BI3:BJ3" si="14">COUNTIF(BI5:BI36,"Yes") / ( COUNTA(BI5:BI36) - COUNTIF(BI5:BI36,"NA"))</f>
        <v>1</v>
      </c>
      <c r="BJ3" s="173">
        <f t="shared" si="14"/>
        <v>0.95652173913043481</v>
      </c>
      <c r="BK3" s="173">
        <f t="shared" ref="BK3:BN3" si="15">COUNTIF(BK5:BK36,"Yes") / ( COUNTA(BK5:BK36) - COUNTIF(BK5:BK36,"NA"))</f>
        <v>0.95652173913043481</v>
      </c>
      <c r="BL3" s="173">
        <f t="shared" si="15"/>
        <v>1</v>
      </c>
      <c r="BM3" s="173">
        <f t="shared" si="15"/>
        <v>1</v>
      </c>
      <c r="BN3" s="173">
        <f t="shared" si="15"/>
        <v>1</v>
      </c>
      <c r="BO3" s="173">
        <f t="shared" ref="BO3:CJ3" si="16">COUNTIF(BO5:BO36,"Yes") / ( COUNTA(BO5:BO36) - COUNTIF(BO5:BO36,"NA"))</f>
        <v>1</v>
      </c>
      <c r="BP3" s="173">
        <f t="shared" si="16"/>
        <v>1</v>
      </c>
      <c r="BQ3" s="173">
        <f t="shared" si="16"/>
        <v>1</v>
      </c>
      <c r="BR3" s="173">
        <f t="shared" si="16"/>
        <v>1</v>
      </c>
      <c r="BS3" s="173">
        <f t="shared" si="16"/>
        <v>1</v>
      </c>
      <c r="BT3" s="173">
        <f t="shared" si="16"/>
        <v>1</v>
      </c>
      <c r="BU3" s="173">
        <f t="shared" si="16"/>
        <v>1</v>
      </c>
      <c r="BV3" s="173">
        <f t="shared" si="16"/>
        <v>1</v>
      </c>
      <c r="BW3" s="173">
        <f t="shared" si="16"/>
        <v>1</v>
      </c>
      <c r="BX3" s="173">
        <f t="shared" si="16"/>
        <v>1</v>
      </c>
      <c r="BY3" s="173">
        <f t="shared" si="16"/>
        <v>1</v>
      </c>
      <c r="BZ3" s="173">
        <f t="shared" si="16"/>
        <v>1</v>
      </c>
      <c r="CA3" s="173">
        <f t="shared" si="16"/>
        <v>1</v>
      </c>
      <c r="CB3" s="173">
        <f t="shared" si="16"/>
        <v>1</v>
      </c>
      <c r="CC3" s="173">
        <f t="shared" si="16"/>
        <v>1</v>
      </c>
      <c r="CD3" s="173">
        <f t="shared" si="16"/>
        <v>1</v>
      </c>
      <c r="CE3" s="173">
        <f t="shared" si="16"/>
        <v>1</v>
      </c>
      <c r="CF3" s="173">
        <f t="shared" si="16"/>
        <v>1</v>
      </c>
      <c r="CG3" s="173">
        <f t="shared" si="16"/>
        <v>1</v>
      </c>
      <c r="CH3" s="173">
        <f t="shared" si="16"/>
        <v>1</v>
      </c>
      <c r="CI3" s="173">
        <f t="shared" si="16"/>
        <v>1</v>
      </c>
      <c r="CJ3" s="173">
        <f t="shared" si="16"/>
        <v>1</v>
      </c>
      <c r="CK3" s="173">
        <f t="shared" ref="CK3:CO3" si="17">COUNTIF(CK5:CK36,"Yes") / ( COUNTA(CK5:CK36) - COUNTIF(CK5:CK36,"NA"))</f>
        <v>0.95652173913043481</v>
      </c>
      <c r="CL3" s="173">
        <f t="shared" si="17"/>
        <v>0.86956521739130432</v>
      </c>
      <c r="CM3" s="173">
        <f t="shared" si="17"/>
        <v>0.82608695652173914</v>
      </c>
      <c r="CN3" s="173">
        <f t="shared" si="17"/>
        <v>1</v>
      </c>
      <c r="CO3" s="173">
        <f t="shared" si="17"/>
        <v>0.91304347826086951</v>
      </c>
      <c r="CP3" s="173">
        <f t="shared" ref="CP3:CV3" si="18">COUNTIF(CP5:CP36,"Yes") / ( COUNTA(CP5:CP36) - COUNTIF(CP5:CP36,"NA"))</f>
        <v>0.91304347826086951</v>
      </c>
      <c r="CQ3" s="173">
        <f t="shared" si="18"/>
        <v>0.95652173913043481</v>
      </c>
      <c r="CR3" s="173">
        <f t="shared" si="18"/>
        <v>0.82608695652173914</v>
      </c>
      <c r="CS3" s="173">
        <f t="shared" si="18"/>
        <v>0.95652173913043481</v>
      </c>
      <c r="CT3" s="173">
        <f t="shared" si="18"/>
        <v>0.91304347826086951</v>
      </c>
      <c r="CU3" s="173">
        <f t="shared" si="18"/>
        <v>0.95652173913043481</v>
      </c>
      <c r="CV3" s="173">
        <f t="shared" si="18"/>
        <v>0.91304347826086951</v>
      </c>
      <c r="CW3" s="173">
        <f t="shared" ref="CW3:DD3" si="19">COUNTIF(CW5:CW36,"Yes") / ( COUNTA(CW5:CW36) - COUNTIF(CW5:CW36,"NA"))</f>
        <v>0.91304347826086951</v>
      </c>
      <c r="CX3" s="173">
        <f t="shared" si="19"/>
        <v>0.91304347826086951</v>
      </c>
      <c r="CY3" s="173">
        <f t="shared" si="19"/>
        <v>0.86956521739130432</v>
      </c>
      <c r="CZ3" s="173">
        <f t="shared" si="19"/>
        <v>0.95652173913043481</v>
      </c>
      <c r="DA3" s="173">
        <f t="shared" si="19"/>
        <v>0.95652173913043481</v>
      </c>
      <c r="DB3" s="173">
        <f t="shared" si="19"/>
        <v>0.95652173913043481</v>
      </c>
      <c r="DC3" s="173">
        <f t="shared" si="19"/>
        <v>0.95652173913043481</v>
      </c>
      <c r="DD3" s="173">
        <f t="shared" si="19"/>
        <v>0.95652173913043481</v>
      </c>
      <c r="DE3" s="173">
        <f t="shared" ref="DE3:DK3" si="20">COUNTIF(DE5:DE36,"Yes") / ( COUNTA(DE5:DE36) - COUNTIF(DE5:DE36,"NA"))</f>
        <v>0.91304347826086951</v>
      </c>
      <c r="DF3" s="173">
        <f t="shared" si="20"/>
        <v>0.91304347826086951</v>
      </c>
      <c r="DG3" s="173">
        <f t="shared" si="20"/>
        <v>0.91304347826086951</v>
      </c>
      <c r="DH3" s="173">
        <f t="shared" si="20"/>
        <v>0.91304347826086951</v>
      </c>
      <c r="DI3" s="173">
        <f t="shared" si="20"/>
        <v>0.91304347826086951</v>
      </c>
      <c r="DJ3" s="173">
        <f t="shared" si="20"/>
        <v>0.91304347826086951</v>
      </c>
      <c r="DK3" s="173">
        <f t="shared" si="20"/>
        <v>1</v>
      </c>
      <c r="DL3" s="173">
        <f t="shared" ref="DL3:DQ3" si="21">COUNTIF(DL5:DL36,"Yes") / ( COUNTA(DL5:DL36) - COUNTIF(DL5:DL36,"NA"))</f>
        <v>1</v>
      </c>
      <c r="DM3" s="173">
        <f t="shared" si="21"/>
        <v>1</v>
      </c>
      <c r="DN3" s="173">
        <f t="shared" si="21"/>
        <v>1</v>
      </c>
      <c r="DO3" s="173">
        <f t="shared" si="21"/>
        <v>1</v>
      </c>
      <c r="DP3" s="173">
        <f t="shared" si="21"/>
        <v>1</v>
      </c>
      <c r="DQ3" s="173">
        <f t="shared" si="21"/>
        <v>1</v>
      </c>
      <c r="DR3" s="173">
        <f t="shared" ref="DR3:DU3" si="22">COUNTIF(DR5:DR36,"Yes") / ( COUNTA(DR5:DR36) - COUNTIF(DR5:DR36,"NA"))</f>
        <v>1</v>
      </c>
      <c r="DS3" s="173">
        <f t="shared" si="22"/>
        <v>1</v>
      </c>
      <c r="DT3" s="173">
        <f t="shared" si="22"/>
        <v>1</v>
      </c>
      <c r="DU3" s="173">
        <f t="shared" si="22"/>
        <v>1</v>
      </c>
      <c r="DV3" s="178"/>
      <c r="DW3" s="186" t="s">
        <v>544</v>
      </c>
      <c r="DX3" s="186" t="s">
        <v>545</v>
      </c>
      <c r="DY3" s="179"/>
    </row>
    <row r="4" spans="1:129" ht="36">
      <c r="A4" s="174"/>
      <c r="B4" s="175" t="s">
        <v>546</v>
      </c>
      <c r="C4" s="176"/>
      <c r="D4" s="176"/>
      <c r="E4" s="176"/>
      <c r="F4" s="176"/>
      <c r="G4" s="176"/>
      <c r="H4" s="176"/>
      <c r="I4" s="176"/>
      <c r="J4" s="176"/>
      <c r="K4" s="176"/>
      <c r="L4" s="176"/>
      <c r="M4" s="176"/>
      <c r="N4" s="176"/>
      <c r="O4" s="176"/>
      <c r="P4" s="176"/>
      <c r="Q4" s="176"/>
      <c r="R4" s="176"/>
      <c r="S4" s="176"/>
      <c r="T4" s="176"/>
      <c r="U4" s="176"/>
      <c r="V4" s="176"/>
      <c r="W4" s="176"/>
      <c r="X4" s="176"/>
      <c r="Y4" s="176"/>
      <c r="Z4" s="176"/>
      <c r="AA4" s="176"/>
      <c r="AB4" s="176"/>
      <c r="AC4" s="176"/>
      <c r="AD4" s="176"/>
      <c r="AE4" s="176"/>
      <c r="AF4" s="176"/>
      <c r="AG4" s="176"/>
      <c r="AH4" s="176"/>
      <c r="AI4" s="176"/>
      <c r="AJ4" s="176"/>
      <c r="AK4" s="176"/>
      <c r="AL4" s="176"/>
      <c r="AM4" s="176"/>
      <c r="AN4" s="176"/>
      <c r="AO4" s="176"/>
      <c r="AP4" s="176"/>
      <c r="AQ4" s="176"/>
      <c r="AR4" s="176"/>
      <c r="AS4" s="176"/>
      <c r="AT4" s="176"/>
      <c r="AU4" s="176"/>
      <c r="AV4" s="176"/>
      <c r="AW4" s="176"/>
      <c r="AX4" s="176"/>
      <c r="AY4" s="176"/>
      <c r="AZ4" s="176"/>
      <c r="BA4" s="176"/>
      <c r="BB4" s="176"/>
      <c r="BC4" s="176"/>
      <c r="BD4" s="176"/>
      <c r="BE4" s="176"/>
      <c r="BF4" s="176"/>
      <c r="BG4" s="176"/>
      <c r="BH4" s="176"/>
      <c r="BI4" s="176"/>
      <c r="BJ4" s="176"/>
      <c r="BK4" s="176"/>
      <c r="BL4" s="176"/>
      <c r="BM4" s="176"/>
      <c r="BN4" s="176"/>
      <c r="BO4" s="176"/>
      <c r="BP4" s="176"/>
      <c r="BQ4" s="176"/>
      <c r="BR4" s="176"/>
      <c r="BS4" s="176"/>
      <c r="BT4" s="176"/>
      <c r="BU4" s="176"/>
      <c r="BV4" s="176"/>
      <c r="BW4" s="176"/>
      <c r="BX4" s="176"/>
      <c r="BY4" s="176"/>
      <c r="BZ4" s="176"/>
      <c r="CA4" s="176"/>
      <c r="CB4" s="176"/>
      <c r="CC4" s="176"/>
      <c r="CD4" s="176"/>
      <c r="CE4" s="176"/>
      <c r="CF4" s="176"/>
      <c r="CG4" s="176"/>
      <c r="CH4" s="176"/>
      <c r="CI4" s="176"/>
      <c r="CJ4" s="176"/>
      <c r="CK4" s="176"/>
      <c r="CL4" s="176"/>
      <c r="CM4" s="176"/>
      <c r="CN4" s="176"/>
      <c r="CO4" s="176"/>
      <c r="CP4" s="176"/>
      <c r="CQ4" s="176"/>
      <c r="CR4" s="176"/>
      <c r="CS4" s="176"/>
      <c r="CT4" s="176"/>
      <c r="CU4" s="176"/>
      <c r="CV4" s="176"/>
      <c r="CW4" s="176"/>
      <c r="CX4" s="176"/>
      <c r="CY4" s="176"/>
      <c r="CZ4" s="176"/>
      <c r="DA4" s="176"/>
      <c r="DB4" s="176"/>
      <c r="DC4" s="176"/>
      <c r="DD4" s="176"/>
      <c r="DE4" s="176"/>
      <c r="DF4" s="176"/>
      <c r="DG4" s="176"/>
      <c r="DH4" s="176"/>
      <c r="DI4" s="176"/>
      <c r="DJ4" s="176"/>
      <c r="DK4" s="176"/>
      <c r="DL4" s="176"/>
      <c r="DM4" s="176"/>
      <c r="DN4" s="176"/>
      <c r="DO4" s="176"/>
      <c r="DP4" s="176"/>
      <c r="DQ4" s="176"/>
      <c r="DR4" s="176"/>
      <c r="DS4" s="176"/>
      <c r="DT4" s="176"/>
      <c r="DU4" s="176"/>
      <c r="DV4" s="176"/>
      <c r="DW4" s="176"/>
      <c r="DX4" s="177"/>
      <c r="DY4" s="23"/>
    </row>
    <row r="5" spans="1:129" ht="18.75">
      <c r="A5" s="146"/>
      <c r="B5" s="154" t="s">
        <v>648</v>
      </c>
      <c r="C5" s="147"/>
      <c r="D5" s="147"/>
      <c r="E5" s="147"/>
      <c r="F5" s="147"/>
      <c r="G5" s="147"/>
      <c r="H5" s="147"/>
      <c r="I5" s="147"/>
      <c r="J5" s="147"/>
      <c r="K5" s="147"/>
      <c r="L5" s="147"/>
      <c r="M5" s="147"/>
      <c r="N5" s="147"/>
      <c r="O5" s="147"/>
      <c r="P5" s="147"/>
      <c r="Q5" s="147"/>
      <c r="R5" s="147"/>
      <c r="S5" s="147"/>
      <c r="T5" s="147"/>
      <c r="U5" s="147"/>
      <c r="V5" s="147"/>
      <c r="W5" s="147"/>
      <c r="X5" s="147"/>
      <c r="Y5" s="147"/>
      <c r="Z5" s="147"/>
      <c r="AA5" s="147"/>
      <c r="AB5" s="147"/>
      <c r="AC5" s="147"/>
      <c r="AD5" s="147"/>
      <c r="AE5" s="147"/>
      <c r="AF5" s="147"/>
      <c r="AG5" s="147"/>
      <c r="AH5" s="147"/>
      <c r="AI5" s="147"/>
      <c r="AJ5" s="147"/>
      <c r="AK5" s="147"/>
      <c r="AL5" s="147"/>
      <c r="AM5" s="147"/>
      <c r="AN5" s="147"/>
      <c r="AO5" s="147"/>
      <c r="AP5" s="147"/>
      <c r="AQ5" s="147"/>
      <c r="AR5" s="147"/>
      <c r="AS5" s="147"/>
      <c r="AT5" s="147"/>
      <c r="AU5" s="147"/>
      <c r="AV5" s="147"/>
      <c r="AW5" s="147"/>
      <c r="AX5" s="147"/>
      <c r="AY5" s="147"/>
      <c r="AZ5" s="147"/>
      <c r="BA5" s="147"/>
      <c r="BB5" s="147"/>
      <c r="BC5" s="147"/>
      <c r="BD5" s="147"/>
      <c r="BE5" s="147"/>
      <c r="BF5" s="147"/>
      <c r="BG5" s="147"/>
      <c r="BH5" s="147"/>
      <c r="BI5" s="147"/>
      <c r="BJ5" s="147"/>
      <c r="BK5" s="147"/>
      <c r="BL5" s="147"/>
      <c r="BM5" s="147"/>
      <c r="BN5" s="147"/>
      <c r="BO5" s="147"/>
      <c r="BP5" s="147"/>
      <c r="BQ5" s="147"/>
      <c r="BR5" s="147"/>
      <c r="BS5" s="147"/>
      <c r="BT5" s="147"/>
      <c r="BU5" s="147"/>
      <c r="BV5" s="147"/>
      <c r="BW5" s="147"/>
      <c r="BX5" s="147"/>
      <c r="BY5" s="147"/>
      <c r="BZ5" s="147"/>
      <c r="CA5" s="147"/>
      <c r="CB5" s="147"/>
      <c r="CC5" s="147"/>
      <c r="CD5" s="147"/>
      <c r="CE5" s="147"/>
      <c r="CF5" s="147"/>
      <c r="CG5" s="147"/>
      <c r="CH5" s="147"/>
      <c r="CI5" s="147"/>
      <c r="CJ5" s="147"/>
      <c r="CK5" s="147"/>
      <c r="CL5" s="147"/>
      <c r="CM5" s="147"/>
      <c r="CN5" s="147"/>
      <c r="CO5" s="147"/>
      <c r="CP5" s="147"/>
      <c r="CQ5" s="147"/>
      <c r="CR5" s="147"/>
      <c r="CS5" s="147"/>
      <c r="CT5" s="147"/>
      <c r="CU5" s="147"/>
      <c r="CV5" s="147"/>
      <c r="CW5" s="147"/>
      <c r="CX5" s="147"/>
      <c r="CY5" s="147"/>
      <c r="CZ5" s="147"/>
      <c r="DA5" s="147"/>
      <c r="DB5" s="147"/>
      <c r="DC5" s="147"/>
      <c r="DD5" s="147"/>
      <c r="DE5" s="147"/>
      <c r="DF5" s="147"/>
      <c r="DG5" s="147"/>
      <c r="DH5" s="147"/>
      <c r="DI5" s="147"/>
      <c r="DJ5" s="147"/>
      <c r="DK5" s="147"/>
      <c r="DL5" s="147"/>
      <c r="DM5" s="147"/>
      <c r="DN5" s="147"/>
      <c r="DO5" s="147"/>
      <c r="DP5" s="147"/>
      <c r="DQ5" s="147"/>
      <c r="DR5" s="147"/>
      <c r="DS5" s="147"/>
      <c r="DT5" s="147"/>
      <c r="DU5" s="147"/>
      <c r="DV5" s="147"/>
      <c r="DW5" s="186"/>
      <c r="DX5" s="186"/>
    </row>
    <row r="6" spans="1:129" ht="38.25">
      <c r="A6" s="149" t="s">
        <v>649</v>
      </c>
      <c r="B6" s="157" t="s">
        <v>650</v>
      </c>
      <c r="C6" s="180" t="s">
        <v>118</v>
      </c>
      <c r="D6" s="180" t="s">
        <v>118</v>
      </c>
      <c r="E6" s="180" t="s">
        <v>118</v>
      </c>
      <c r="F6" s="180" t="s">
        <v>118</v>
      </c>
      <c r="G6" s="180" t="s">
        <v>118</v>
      </c>
      <c r="H6" s="180" t="s">
        <v>118</v>
      </c>
      <c r="I6" s="180" t="s">
        <v>118</v>
      </c>
      <c r="J6" s="180" t="s">
        <v>118</v>
      </c>
      <c r="K6" s="180" t="s">
        <v>118</v>
      </c>
      <c r="L6" s="180" t="s">
        <v>118</v>
      </c>
      <c r="M6" s="180" t="s">
        <v>118</v>
      </c>
      <c r="N6" s="180" t="s">
        <v>118</v>
      </c>
      <c r="O6" s="180" t="s">
        <v>118</v>
      </c>
      <c r="P6" s="180" t="s">
        <v>118</v>
      </c>
      <c r="Q6" s="180" t="s">
        <v>118</v>
      </c>
      <c r="R6" s="180" t="s">
        <v>118</v>
      </c>
      <c r="S6" s="180" t="s">
        <v>118</v>
      </c>
      <c r="T6" s="180" t="s">
        <v>118</v>
      </c>
      <c r="U6" s="180" t="s">
        <v>118</v>
      </c>
      <c r="V6" s="180" t="s">
        <v>118</v>
      </c>
      <c r="W6" s="180" t="s">
        <v>118</v>
      </c>
      <c r="X6" s="180" t="s">
        <v>118</v>
      </c>
      <c r="Y6" s="180" t="s">
        <v>118</v>
      </c>
      <c r="Z6" s="180" t="s">
        <v>116</v>
      </c>
      <c r="AA6" s="180" t="s">
        <v>116</v>
      </c>
      <c r="AB6" s="180" t="s">
        <v>116</v>
      </c>
      <c r="AC6" s="180" t="s">
        <v>116</v>
      </c>
      <c r="AD6" s="180" t="s">
        <v>116</v>
      </c>
      <c r="AE6" s="180" t="s">
        <v>116</v>
      </c>
      <c r="AF6" s="180" t="s">
        <v>116</v>
      </c>
      <c r="AG6" s="180" t="s">
        <v>116</v>
      </c>
      <c r="AH6" s="180" t="s">
        <v>118</v>
      </c>
      <c r="AI6" s="180" t="s">
        <v>118</v>
      </c>
      <c r="AJ6" s="180" t="s">
        <v>118</v>
      </c>
      <c r="AK6" s="180" t="s">
        <v>116</v>
      </c>
      <c r="AL6" s="180" t="s">
        <v>116</v>
      </c>
      <c r="AM6" s="180" t="s">
        <v>118</v>
      </c>
      <c r="AN6" s="180" t="s">
        <v>118</v>
      </c>
      <c r="AO6" s="180" t="s">
        <v>118</v>
      </c>
      <c r="AP6" s="180" t="s">
        <v>118</v>
      </c>
      <c r="AQ6" s="180" t="s">
        <v>118</v>
      </c>
      <c r="AR6" s="180" t="s">
        <v>116</v>
      </c>
      <c r="AS6" s="180" t="s">
        <v>116</v>
      </c>
      <c r="AT6" s="180" t="s">
        <v>118</v>
      </c>
      <c r="AU6" s="180" t="s">
        <v>118</v>
      </c>
      <c r="AV6" s="180" t="s">
        <v>118</v>
      </c>
      <c r="AW6" s="180" t="s">
        <v>116</v>
      </c>
      <c r="AX6" s="180" t="s">
        <v>118</v>
      </c>
      <c r="AY6" s="180" t="s">
        <v>118</v>
      </c>
      <c r="AZ6" s="180" t="s">
        <v>118</v>
      </c>
      <c r="BA6" s="180" t="s">
        <v>116</v>
      </c>
      <c r="BB6" s="180" t="s">
        <v>116</v>
      </c>
      <c r="BC6" s="180" t="s">
        <v>116</v>
      </c>
      <c r="BD6" s="180" t="s">
        <v>116</v>
      </c>
      <c r="BE6" s="180" t="s">
        <v>116</v>
      </c>
      <c r="BF6" s="180" t="s">
        <v>116</v>
      </c>
      <c r="BG6" s="180" t="s">
        <v>116</v>
      </c>
      <c r="BH6" s="180" t="s">
        <v>116</v>
      </c>
      <c r="BI6" s="180" t="s">
        <v>116</v>
      </c>
      <c r="BJ6" s="180" t="s">
        <v>116</v>
      </c>
      <c r="BK6" s="180" t="s">
        <v>116</v>
      </c>
      <c r="BL6" s="180" t="s">
        <v>116</v>
      </c>
      <c r="BM6" s="180" t="s">
        <v>116</v>
      </c>
      <c r="BN6" s="180" t="s">
        <v>116</v>
      </c>
      <c r="BO6" s="180" t="s">
        <v>116</v>
      </c>
      <c r="BP6" s="180" t="s">
        <v>116</v>
      </c>
      <c r="BQ6" s="180" t="s">
        <v>116</v>
      </c>
      <c r="BR6" s="180" t="s">
        <v>116</v>
      </c>
      <c r="BS6" s="180" t="s">
        <v>116</v>
      </c>
      <c r="BT6" s="180" t="s">
        <v>116</v>
      </c>
      <c r="BU6" s="180" t="s">
        <v>116</v>
      </c>
      <c r="BV6" s="180" t="s">
        <v>116</v>
      </c>
      <c r="BW6" s="180" t="s">
        <v>116</v>
      </c>
      <c r="BX6" s="180" t="s">
        <v>116</v>
      </c>
      <c r="BY6" s="180" t="s">
        <v>116</v>
      </c>
      <c r="BZ6" s="180" t="s">
        <v>116</v>
      </c>
      <c r="CA6" s="180" t="s">
        <v>116</v>
      </c>
      <c r="CB6" s="180" t="s">
        <v>116</v>
      </c>
      <c r="CC6" s="180" t="s">
        <v>116</v>
      </c>
      <c r="CD6" s="180" t="s">
        <v>116</v>
      </c>
      <c r="CE6" s="180" t="s">
        <v>116</v>
      </c>
      <c r="CF6" s="180" t="s">
        <v>116</v>
      </c>
      <c r="CG6" s="180" t="s">
        <v>116</v>
      </c>
      <c r="CH6" s="180" t="s">
        <v>116</v>
      </c>
      <c r="CI6" s="180" t="s">
        <v>116</v>
      </c>
      <c r="CJ6" s="180" t="s">
        <v>116</v>
      </c>
      <c r="CK6" s="180" t="s">
        <v>116</v>
      </c>
      <c r="CL6" s="180" t="s">
        <v>116</v>
      </c>
      <c r="CM6" s="180" t="s">
        <v>116</v>
      </c>
      <c r="CN6" s="180" t="s">
        <v>116</v>
      </c>
      <c r="CO6" s="180" t="s">
        <v>116</v>
      </c>
      <c r="CP6" s="180" t="s">
        <v>116</v>
      </c>
      <c r="CQ6" s="180" t="s">
        <v>116</v>
      </c>
      <c r="CR6" s="180" t="s">
        <v>116</v>
      </c>
      <c r="CS6" s="180" t="s">
        <v>116</v>
      </c>
      <c r="CT6" s="180" t="s">
        <v>116</v>
      </c>
      <c r="CU6" s="180" t="s">
        <v>116</v>
      </c>
      <c r="CV6" s="180" t="s">
        <v>116</v>
      </c>
      <c r="CW6" s="180" t="s">
        <v>116</v>
      </c>
      <c r="CX6" s="180" t="s">
        <v>116</v>
      </c>
      <c r="CY6" s="180" t="s">
        <v>116</v>
      </c>
      <c r="CZ6" s="180" t="s">
        <v>116</v>
      </c>
      <c r="DA6" s="180" t="s">
        <v>116</v>
      </c>
      <c r="DB6" s="180" t="s">
        <v>116</v>
      </c>
      <c r="DC6" s="180" t="s">
        <v>116</v>
      </c>
      <c r="DD6" s="180" t="s">
        <v>116</v>
      </c>
      <c r="DE6" s="180" t="s">
        <v>116</v>
      </c>
      <c r="DF6" s="180" t="s">
        <v>116</v>
      </c>
      <c r="DG6" s="180" t="s">
        <v>116</v>
      </c>
      <c r="DH6" s="180" t="s">
        <v>116</v>
      </c>
      <c r="DI6" s="180" t="s">
        <v>116</v>
      </c>
      <c r="DJ6" s="180" t="s">
        <v>116</v>
      </c>
      <c r="DK6" s="180" t="s">
        <v>116</v>
      </c>
      <c r="DL6" s="180" t="s">
        <v>116</v>
      </c>
      <c r="DM6" s="180" t="s">
        <v>116</v>
      </c>
      <c r="DN6" s="180" t="s">
        <v>116</v>
      </c>
      <c r="DO6" s="180" t="s">
        <v>116</v>
      </c>
      <c r="DP6" s="180" t="s">
        <v>116</v>
      </c>
      <c r="DQ6" s="180" t="s">
        <v>116</v>
      </c>
      <c r="DR6" s="180" t="s">
        <v>116</v>
      </c>
      <c r="DS6" s="180" t="s">
        <v>116</v>
      </c>
      <c r="DT6" s="180" t="s">
        <v>116</v>
      </c>
      <c r="DU6" s="180" t="s">
        <v>116</v>
      </c>
      <c r="DV6" s="181"/>
      <c r="DW6" s="148"/>
      <c r="DX6" s="148"/>
    </row>
    <row r="7" spans="1:129" ht="25.5">
      <c r="A7" s="149" t="s">
        <v>651</v>
      </c>
      <c r="B7" s="157" t="s">
        <v>652</v>
      </c>
      <c r="C7" s="180" t="s">
        <v>116</v>
      </c>
      <c r="D7" s="180" t="s">
        <v>116</v>
      </c>
      <c r="E7" s="180" t="s">
        <v>116</v>
      </c>
      <c r="F7" s="180" t="s">
        <v>116</v>
      </c>
      <c r="G7" s="180" t="s">
        <v>116</v>
      </c>
      <c r="H7" s="180" t="s">
        <v>116</v>
      </c>
      <c r="I7" s="180" t="s">
        <v>116</v>
      </c>
      <c r="J7" s="180" t="s">
        <v>116</v>
      </c>
      <c r="K7" s="180" t="s">
        <v>116</v>
      </c>
      <c r="L7" s="180" t="s">
        <v>116</v>
      </c>
      <c r="M7" s="180" t="s">
        <v>118</v>
      </c>
      <c r="N7" s="180" t="s">
        <v>116</v>
      </c>
      <c r="O7" s="180" t="s">
        <v>116</v>
      </c>
      <c r="P7" s="180" t="s">
        <v>116</v>
      </c>
      <c r="Q7" s="180" t="s">
        <v>116</v>
      </c>
      <c r="R7" s="180" t="s">
        <v>116</v>
      </c>
      <c r="S7" s="180" t="s">
        <v>116</v>
      </c>
      <c r="T7" s="180" t="s">
        <v>116</v>
      </c>
      <c r="U7" s="180" t="s">
        <v>116</v>
      </c>
      <c r="V7" s="180" t="s">
        <v>116</v>
      </c>
      <c r="W7" s="180" t="s">
        <v>116</v>
      </c>
      <c r="X7" s="180" t="s">
        <v>116</v>
      </c>
      <c r="Y7" s="180" t="s">
        <v>116</v>
      </c>
      <c r="Z7" s="180" t="s">
        <v>116</v>
      </c>
      <c r="AA7" s="180" t="s">
        <v>116</v>
      </c>
      <c r="AB7" s="180" t="s">
        <v>116</v>
      </c>
      <c r="AC7" s="180" t="s">
        <v>116</v>
      </c>
      <c r="AD7" s="180" t="s">
        <v>116</v>
      </c>
      <c r="AE7" s="180" t="s">
        <v>116</v>
      </c>
      <c r="AF7" s="180" t="s">
        <v>116</v>
      </c>
      <c r="AG7" s="180" t="s">
        <v>116</v>
      </c>
      <c r="AH7" s="180" t="s">
        <v>116</v>
      </c>
      <c r="AI7" s="180" t="s">
        <v>116</v>
      </c>
      <c r="AJ7" s="180" t="s">
        <v>116</v>
      </c>
      <c r="AK7" s="180" t="s">
        <v>116</v>
      </c>
      <c r="AL7" s="180" t="s">
        <v>116</v>
      </c>
      <c r="AM7" s="180" t="s">
        <v>118</v>
      </c>
      <c r="AN7" s="180" t="s">
        <v>118</v>
      </c>
      <c r="AO7" s="180" t="s">
        <v>118</v>
      </c>
      <c r="AP7" s="180" t="s">
        <v>118</v>
      </c>
      <c r="AQ7" s="180" t="s">
        <v>118</v>
      </c>
      <c r="AR7" s="180" t="s">
        <v>118</v>
      </c>
      <c r="AS7" s="180" t="s">
        <v>116</v>
      </c>
      <c r="AT7" s="180" t="s">
        <v>116</v>
      </c>
      <c r="AU7" s="180" t="s">
        <v>116</v>
      </c>
      <c r="AV7" s="180" t="s">
        <v>116</v>
      </c>
      <c r="AW7" s="180" t="s">
        <v>116</v>
      </c>
      <c r="AX7" s="180" t="s">
        <v>116</v>
      </c>
      <c r="AY7" s="180" t="s">
        <v>116</v>
      </c>
      <c r="AZ7" s="180" t="s">
        <v>116</v>
      </c>
      <c r="BA7" s="180" t="s">
        <v>116</v>
      </c>
      <c r="BB7" s="180" t="s">
        <v>118</v>
      </c>
      <c r="BC7" s="180" t="s">
        <v>116</v>
      </c>
      <c r="BD7" s="180" t="s">
        <v>116</v>
      </c>
      <c r="BE7" s="180" t="s">
        <v>116</v>
      </c>
      <c r="BF7" s="180" t="s">
        <v>116</v>
      </c>
      <c r="BG7" s="180" t="s">
        <v>116</v>
      </c>
      <c r="BH7" s="180" t="s">
        <v>116</v>
      </c>
      <c r="BI7" s="180" t="s">
        <v>116</v>
      </c>
      <c r="BJ7" s="180" t="s">
        <v>116</v>
      </c>
      <c r="BK7" s="180" t="s">
        <v>116</v>
      </c>
      <c r="BL7" s="180" t="s">
        <v>116</v>
      </c>
      <c r="BM7" s="180" t="s">
        <v>116</v>
      </c>
      <c r="BN7" s="180" t="s">
        <v>116</v>
      </c>
      <c r="BO7" s="180" t="s">
        <v>116</v>
      </c>
      <c r="BP7" s="180" t="s">
        <v>116</v>
      </c>
      <c r="BQ7" s="180" t="s">
        <v>116</v>
      </c>
      <c r="BR7" s="180" t="s">
        <v>116</v>
      </c>
      <c r="BS7" s="180" t="s">
        <v>116</v>
      </c>
      <c r="BT7" s="180" t="s">
        <v>116</v>
      </c>
      <c r="BU7" s="180" t="s">
        <v>116</v>
      </c>
      <c r="BV7" s="180" t="s">
        <v>116</v>
      </c>
      <c r="BW7" s="180" t="s">
        <v>116</v>
      </c>
      <c r="BX7" s="180" t="s">
        <v>116</v>
      </c>
      <c r="BY7" s="180" t="s">
        <v>116</v>
      </c>
      <c r="BZ7" s="180" t="s">
        <v>116</v>
      </c>
      <c r="CA7" s="180" t="s">
        <v>116</v>
      </c>
      <c r="CB7" s="180" t="s">
        <v>116</v>
      </c>
      <c r="CC7" s="180" t="s">
        <v>116</v>
      </c>
      <c r="CD7" s="180" t="s">
        <v>116</v>
      </c>
      <c r="CE7" s="180" t="s">
        <v>116</v>
      </c>
      <c r="CF7" s="180" t="s">
        <v>116</v>
      </c>
      <c r="CG7" s="180" t="s">
        <v>116</v>
      </c>
      <c r="CH7" s="180" t="s">
        <v>116</v>
      </c>
      <c r="CI7" s="180" t="s">
        <v>116</v>
      </c>
      <c r="CJ7" s="180" t="s">
        <v>116</v>
      </c>
      <c r="CK7" s="180" t="s">
        <v>116</v>
      </c>
      <c r="CL7" s="180" t="s">
        <v>116</v>
      </c>
      <c r="CM7" s="180" t="s">
        <v>116</v>
      </c>
      <c r="CN7" s="180" t="s">
        <v>116</v>
      </c>
      <c r="CO7" s="180" t="s">
        <v>116</v>
      </c>
      <c r="CP7" s="180" t="s">
        <v>116</v>
      </c>
      <c r="CQ7" s="180" t="s">
        <v>116</v>
      </c>
      <c r="CR7" s="180" t="s">
        <v>116</v>
      </c>
      <c r="CS7" s="180" t="s">
        <v>116</v>
      </c>
      <c r="CT7" s="180" t="s">
        <v>116</v>
      </c>
      <c r="CU7" s="180" t="s">
        <v>116</v>
      </c>
      <c r="CV7" s="180" t="s">
        <v>116</v>
      </c>
      <c r="CW7" s="180" t="s">
        <v>116</v>
      </c>
      <c r="CX7" s="180" t="s">
        <v>116</v>
      </c>
      <c r="CY7" s="180" t="s">
        <v>116</v>
      </c>
      <c r="CZ7" s="180" t="s">
        <v>116</v>
      </c>
      <c r="DA7" s="180" t="s">
        <v>116</v>
      </c>
      <c r="DB7" s="180" t="s">
        <v>116</v>
      </c>
      <c r="DC7" s="180" t="s">
        <v>116</v>
      </c>
      <c r="DD7" s="180" t="s">
        <v>116</v>
      </c>
      <c r="DE7" s="180" t="s">
        <v>116</v>
      </c>
      <c r="DF7" s="180" t="s">
        <v>116</v>
      </c>
      <c r="DG7" s="180" t="s">
        <v>116</v>
      </c>
      <c r="DH7" s="180" t="s">
        <v>116</v>
      </c>
      <c r="DI7" s="180" t="s">
        <v>116</v>
      </c>
      <c r="DJ7" s="180" t="s">
        <v>116</v>
      </c>
      <c r="DK7" s="180" t="s">
        <v>116</v>
      </c>
      <c r="DL7" s="180" t="s">
        <v>116</v>
      </c>
      <c r="DM7" s="180" t="s">
        <v>116</v>
      </c>
      <c r="DN7" s="180" t="s">
        <v>116</v>
      </c>
      <c r="DO7" s="180" t="s">
        <v>116</v>
      </c>
      <c r="DP7" s="180" t="s">
        <v>116</v>
      </c>
      <c r="DQ7" s="180" t="s">
        <v>116</v>
      </c>
      <c r="DR7" s="180" t="s">
        <v>116</v>
      </c>
      <c r="DS7" s="180" t="s">
        <v>116</v>
      </c>
      <c r="DT7" s="180" t="s">
        <v>116</v>
      </c>
      <c r="DU7" s="180" t="s">
        <v>116</v>
      </c>
      <c r="DV7" s="181"/>
      <c r="DW7" s="148"/>
      <c r="DX7" s="148"/>
    </row>
    <row r="8" spans="1:129" ht="18.75">
      <c r="A8" s="146"/>
      <c r="B8" s="154" t="s">
        <v>550</v>
      </c>
      <c r="C8" s="147"/>
      <c r="D8" s="147"/>
      <c r="E8" s="147"/>
      <c r="F8" s="147"/>
      <c r="G8" s="147"/>
      <c r="H8" s="147"/>
      <c r="I8" s="147"/>
      <c r="J8" s="147"/>
      <c r="K8" s="147"/>
      <c r="L8" s="147"/>
      <c r="M8" s="147"/>
      <c r="N8" s="147"/>
      <c r="O8" s="147"/>
      <c r="P8" s="147"/>
      <c r="Q8" s="147"/>
      <c r="R8" s="147"/>
      <c r="S8" s="147"/>
      <c r="T8" s="147"/>
      <c r="U8" s="147"/>
      <c r="V8" s="147"/>
      <c r="W8" s="147"/>
      <c r="X8" s="147"/>
      <c r="Y8" s="147"/>
      <c r="Z8" s="147"/>
      <c r="AA8" s="147"/>
      <c r="AB8" s="147"/>
      <c r="AC8" s="147"/>
      <c r="AD8" s="147"/>
      <c r="AE8" s="147"/>
      <c r="AF8" s="147"/>
      <c r="AG8" s="147"/>
      <c r="AH8" s="147"/>
      <c r="AI8" s="147"/>
      <c r="AJ8" s="147"/>
      <c r="AK8" s="147"/>
      <c r="AL8" s="147"/>
      <c r="AM8" s="147"/>
      <c r="AN8" s="147"/>
      <c r="AO8" s="147"/>
      <c r="AP8" s="147"/>
      <c r="AQ8" s="147"/>
      <c r="AR8" s="147"/>
      <c r="AS8" s="147"/>
      <c r="AT8" s="147"/>
      <c r="AU8" s="147"/>
      <c r="AV8" s="147"/>
      <c r="AW8" s="147"/>
      <c r="AX8" s="147"/>
      <c r="AY8" s="147"/>
      <c r="AZ8" s="147"/>
      <c r="BA8" s="147"/>
      <c r="BB8" s="147"/>
      <c r="BC8" s="147"/>
      <c r="BD8" s="147"/>
      <c r="BE8" s="147"/>
      <c r="BF8" s="147"/>
      <c r="BG8" s="147"/>
      <c r="BH8" s="147"/>
      <c r="BI8" s="147"/>
      <c r="BJ8" s="147"/>
      <c r="BK8" s="147"/>
      <c r="BL8" s="147"/>
      <c r="BM8" s="147"/>
      <c r="BN8" s="147"/>
      <c r="BO8" s="147"/>
      <c r="BP8" s="147"/>
      <c r="BQ8" s="147"/>
      <c r="BR8" s="147"/>
      <c r="BS8" s="147"/>
      <c r="BT8" s="147"/>
      <c r="BU8" s="147"/>
      <c r="BV8" s="147"/>
      <c r="BW8" s="147"/>
      <c r="BX8" s="147"/>
      <c r="BY8" s="147"/>
      <c r="BZ8" s="147"/>
      <c r="CA8" s="147"/>
      <c r="CB8" s="147"/>
      <c r="CC8" s="147"/>
      <c r="CD8" s="147"/>
      <c r="CE8" s="147"/>
      <c r="CF8" s="147"/>
      <c r="CG8" s="147"/>
      <c r="CH8" s="147"/>
      <c r="CI8" s="147"/>
      <c r="CJ8" s="147"/>
      <c r="CK8" s="147"/>
      <c r="CL8" s="147"/>
      <c r="CM8" s="147"/>
      <c r="CN8" s="147"/>
      <c r="CO8" s="147"/>
      <c r="CP8" s="147"/>
      <c r="CQ8" s="147"/>
      <c r="CR8" s="147"/>
      <c r="CS8" s="147"/>
      <c r="CT8" s="147"/>
      <c r="CU8" s="147"/>
      <c r="CV8" s="147"/>
      <c r="CW8" s="147"/>
      <c r="CX8" s="147"/>
      <c r="CY8" s="147"/>
      <c r="CZ8" s="147"/>
      <c r="DA8" s="147"/>
      <c r="DB8" s="147"/>
      <c r="DC8" s="147"/>
      <c r="DD8" s="147"/>
      <c r="DE8" s="147"/>
      <c r="DF8" s="147"/>
      <c r="DG8" s="147"/>
      <c r="DH8" s="147"/>
      <c r="DI8" s="147"/>
      <c r="DJ8" s="147"/>
      <c r="DK8" s="147"/>
      <c r="DL8" s="147"/>
      <c r="DM8" s="147"/>
      <c r="DN8" s="147"/>
      <c r="DO8" s="147"/>
      <c r="DP8" s="147"/>
      <c r="DQ8" s="147"/>
      <c r="DR8" s="147"/>
      <c r="DS8" s="147"/>
      <c r="DT8" s="147"/>
      <c r="DU8" s="147"/>
      <c r="DV8" s="147"/>
      <c r="DW8" s="186"/>
      <c r="DX8" s="186"/>
    </row>
    <row r="9" spans="1:129" ht="25.5">
      <c r="A9" s="149" t="s">
        <v>653</v>
      </c>
      <c r="B9" s="157" t="s">
        <v>654</v>
      </c>
      <c r="C9" s="180" t="s">
        <v>118</v>
      </c>
      <c r="D9" s="180" t="s">
        <v>118</v>
      </c>
      <c r="E9" s="180" t="s">
        <v>116</v>
      </c>
      <c r="F9" s="180" t="s">
        <v>116</v>
      </c>
      <c r="G9" s="180" t="s">
        <v>116</v>
      </c>
      <c r="H9" s="180" t="s">
        <v>116</v>
      </c>
      <c r="I9" s="180" t="s">
        <v>116</v>
      </c>
      <c r="J9" s="180" t="s">
        <v>116</v>
      </c>
      <c r="K9" s="180" t="s">
        <v>118</v>
      </c>
      <c r="L9" s="180" t="s">
        <v>118</v>
      </c>
      <c r="M9" s="180" t="s">
        <v>118</v>
      </c>
      <c r="N9" s="180" t="s">
        <v>116</v>
      </c>
      <c r="O9" s="180" t="s">
        <v>118</v>
      </c>
      <c r="P9" s="180" t="s">
        <v>118</v>
      </c>
      <c r="Q9" s="180" t="s">
        <v>118</v>
      </c>
      <c r="R9" s="180" t="s">
        <v>118</v>
      </c>
      <c r="S9" s="180" t="s">
        <v>118</v>
      </c>
      <c r="T9" s="180" t="s">
        <v>118</v>
      </c>
      <c r="U9" s="180" t="s">
        <v>118</v>
      </c>
      <c r="V9" s="180" t="s">
        <v>118</v>
      </c>
      <c r="W9" s="180" t="s">
        <v>118</v>
      </c>
      <c r="X9" s="180" t="s">
        <v>118</v>
      </c>
      <c r="Y9" s="180" t="s">
        <v>118</v>
      </c>
      <c r="Z9" s="180" t="s">
        <v>116</v>
      </c>
      <c r="AA9" s="180" t="s">
        <v>116</v>
      </c>
      <c r="AB9" s="180" t="s">
        <v>116</v>
      </c>
      <c r="AC9" s="180" t="s">
        <v>116</v>
      </c>
      <c r="AD9" s="180" t="s">
        <v>116</v>
      </c>
      <c r="AE9" s="180" t="s">
        <v>116</v>
      </c>
      <c r="AF9" s="180" t="s">
        <v>116</v>
      </c>
      <c r="AG9" s="180" t="s">
        <v>116</v>
      </c>
      <c r="AH9" s="180" t="s">
        <v>118</v>
      </c>
      <c r="AI9" s="180" t="s">
        <v>118</v>
      </c>
      <c r="AJ9" s="180" t="s">
        <v>118</v>
      </c>
      <c r="AK9" s="180" t="s">
        <v>118</v>
      </c>
      <c r="AL9" s="180" t="s">
        <v>116</v>
      </c>
      <c r="AM9" s="180" t="s">
        <v>118</v>
      </c>
      <c r="AN9" s="180" t="s">
        <v>118</v>
      </c>
      <c r="AO9" s="180" t="s">
        <v>118</v>
      </c>
      <c r="AP9" s="180" t="s">
        <v>118</v>
      </c>
      <c r="AQ9" s="180" t="s">
        <v>118</v>
      </c>
      <c r="AR9" s="180" t="s">
        <v>118</v>
      </c>
      <c r="AS9" s="180" t="s">
        <v>116</v>
      </c>
      <c r="AT9" s="180" t="s">
        <v>118</v>
      </c>
      <c r="AU9" s="180" t="s">
        <v>118</v>
      </c>
      <c r="AV9" s="180" t="s">
        <v>118</v>
      </c>
      <c r="AW9" s="180" t="s">
        <v>118</v>
      </c>
      <c r="AX9" s="180" t="s">
        <v>118</v>
      </c>
      <c r="AY9" s="180" t="s">
        <v>118</v>
      </c>
      <c r="AZ9" s="180" t="s">
        <v>118</v>
      </c>
      <c r="BA9" s="180" t="s">
        <v>118</v>
      </c>
      <c r="BB9" s="180" t="s">
        <v>118</v>
      </c>
      <c r="BC9" s="180" t="s">
        <v>118</v>
      </c>
      <c r="BD9" s="180" t="s">
        <v>118</v>
      </c>
      <c r="BE9" s="180" t="s">
        <v>118</v>
      </c>
      <c r="BF9" s="180" t="s">
        <v>116</v>
      </c>
      <c r="BG9" s="180" t="s">
        <v>116</v>
      </c>
      <c r="BH9" s="180" t="s">
        <v>116</v>
      </c>
      <c r="BI9" s="180" t="s">
        <v>116</v>
      </c>
      <c r="BJ9" s="180" t="s">
        <v>118</v>
      </c>
      <c r="BK9" s="180" t="s">
        <v>116</v>
      </c>
      <c r="BL9" s="180" t="s">
        <v>116</v>
      </c>
      <c r="BM9" s="180" t="s">
        <v>116</v>
      </c>
      <c r="BN9" s="180" t="s">
        <v>116</v>
      </c>
      <c r="BO9" s="180" t="s">
        <v>116</v>
      </c>
      <c r="BP9" s="180" t="s">
        <v>116</v>
      </c>
      <c r="BQ9" s="180" t="s">
        <v>116</v>
      </c>
      <c r="BR9" s="180" t="s">
        <v>116</v>
      </c>
      <c r="BS9" s="180" t="s">
        <v>116</v>
      </c>
      <c r="BT9" s="180" t="s">
        <v>116</v>
      </c>
      <c r="BU9" s="180" t="s">
        <v>116</v>
      </c>
      <c r="BV9" s="180" t="s">
        <v>116</v>
      </c>
      <c r="BW9" s="180" t="s">
        <v>116</v>
      </c>
      <c r="BX9" s="180" t="s">
        <v>116</v>
      </c>
      <c r="BY9" s="180" t="s">
        <v>116</v>
      </c>
      <c r="BZ9" s="180" t="s">
        <v>116</v>
      </c>
      <c r="CA9" s="180" t="s">
        <v>116</v>
      </c>
      <c r="CB9" s="180" t="s">
        <v>116</v>
      </c>
      <c r="CC9" s="180" t="s">
        <v>116</v>
      </c>
      <c r="CD9" s="180" t="s">
        <v>116</v>
      </c>
      <c r="CE9" s="180" t="s">
        <v>116</v>
      </c>
      <c r="CF9" s="180" t="s">
        <v>116</v>
      </c>
      <c r="CG9" s="180" t="s">
        <v>116</v>
      </c>
      <c r="CH9" s="180" t="s">
        <v>116</v>
      </c>
      <c r="CI9" s="180" t="s">
        <v>116</v>
      </c>
      <c r="CJ9" s="180" t="s">
        <v>116</v>
      </c>
      <c r="CK9" s="180" t="s">
        <v>116</v>
      </c>
      <c r="CL9" s="180" t="s">
        <v>118</v>
      </c>
      <c r="CM9" s="180" t="s">
        <v>118</v>
      </c>
      <c r="CN9" s="180" t="s">
        <v>116</v>
      </c>
      <c r="CO9" s="180" t="s">
        <v>116</v>
      </c>
      <c r="CP9" s="180" t="s">
        <v>116</v>
      </c>
      <c r="CQ9" s="180" t="s">
        <v>116</v>
      </c>
      <c r="CR9" s="180" t="s">
        <v>118</v>
      </c>
      <c r="CS9" s="180" t="s">
        <v>116</v>
      </c>
      <c r="CT9" s="180" t="s">
        <v>118</v>
      </c>
      <c r="CU9" s="180" t="s">
        <v>116</v>
      </c>
      <c r="CV9" s="180" t="s">
        <v>118</v>
      </c>
      <c r="CW9" s="180" t="s">
        <v>118</v>
      </c>
      <c r="CX9" s="180" t="s">
        <v>116</v>
      </c>
      <c r="CY9" s="180" t="s">
        <v>118</v>
      </c>
      <c r="CZ9" s="180" t="s">
        <v>116</v>
      </c>
      <c r="DA9" s="180" t="s">
        <v>116</v>
      </c>
      <c r="DB9" s="180" t="s">
        <v>116</v>
      </c>
      <c r="DC9" s="180" t="s">
        <v>116</v>
      </c>
      <c r="DD9" s="180" t="s">
        <v>116</v>
      </c>
      <c r="DE9" s="180" t="s">
        <v>116</v>
      </c>
      <c r="DF9" s="180" t="s">
        <v>116</v>
      </c>
      <c r="DG9" s="180" t="s">
        <v>116</v>
      </c>
      <c r="DH9" s="180" t="s">
        <v>116</v>
      </c>
      <c r="DI9" s="180" t="s">
        <v>116</v>
      </c>
      <c r="DJ9" s="180" t="s">
        <v>116</v>
      </c>
      <c r="DK9" s="180" t="s">
        <v>116</v>
      </c>
      <c r="DL9" s="180" t="s">
        <v>116</v>
      </c>
      <c r="DM9" s="180" t="s">
        <v>116</v>
      </c>
      <c r="DN9" s="180" t="s">
        <v>116</v>
      </c>
      <c r="DO9" s="180" t="s">
        <v>116</v>
      </c>
      <c r="DP9" s="180" t="s">
        <v>116</v>
      </c>
      <c r="DQ9" s="180" t="s">
        <v>116</v>
      </c>
      <c r="DR9" s="180" t="s">
        <v>116</v>
      </c>
      <c r="DS9" s="180" t="s">
        <v>116</v>
      </c>
      <c r="DT9" s="180" t="s">
        <v>116</v>
      </c>
      <c r="DU9" s="180" t="s">
        <v>116</v>
      </c>
      <c r="DV9" s="181"/>
      <c r="DW9" s="148"/>
      <c r="DX9" s="148"/>
    </row>
    <row r="10" spans="1:129" ht="25.5">
      <c r="A10" s="149" t="s">
        <v>655</v>
      </c>
      <c r="B10" s="157" t="s">
        <v>656</v>
      </c>
      <c r="C10" s="180" t="s">
        <v>118</v>
      </c>
      <c r="D10" s="180" t="s">
        <v>118</v>
      </c>
      <c r="E10" s="180" t="s">
        <v>116</v>
      </c>
      <c r="F10" s="180" t="s">
        <v>116</v>
      </c>
      <c r="G10" s="180" t="s">
        <v>116</v>
      </c>
      <c r="H10" s="180" t="s">
        <v>118</v>
      </c>
      <c r="I10" s="180" t="s">
        <v>118</v>
      </c>
      <c r="J10" s="180" t="s">
        <v>116</v>
      </c>
      <c r="K10" s="180" t="s">
        <v>118</v>
      </c>
      <c r="L10" s="180" t="s">
        <v>116</v>
      </c>
      <c r="M10" s="180" t="s">
        <v>116</v>
      </c>
      <c r="N10" s="180" t="s">
        <v>116</v>
      </c>
      <c r="O10" s="180" t="s">
        <v>118</v>
      </c>
      <c r="P10" s="180" t="s">
        <v>116</v>
      </c>
      <c r="Q10" s="180" t="s">
        <v>116</v>
      </c>
      <c r="R10" s="180" t="s">
        <v>116</v>
      </c>
      <c r="S10" s="180" t="s">
        <v>116</v>
      </c>
      <c r="T10" s="180" t="s">
        <v>116</v>
      </c>
      <c r="U10" s="180" t="s">
        <v>116</v>
      </c>
      <c r="V10" s="180" t="s">
        <v>118</v>
      </c>
      <c r="W10" s="180" t="s">
        <v>118</v>
      </c>
      <c r="X10" s="180" t="s">
        <v>118</v>
      </c>
      <c r="Y10" s="180" t="s">
        <v>118</v>
      </c>
      <c r="Z10" s="180" t="s">
        <v>116</v>
      </c>
      <c r="AA10" s="180" t="s">
        <v>116</v>
      </c>
      <c r="AB10" s="180" t="s">
        <v>116</v>
      </c>
      <c r="AC10" s="180" t="s">
        <v>118</v>
      </c>
      <c r="AD10" s="180" t="s">
        <v>118</v>
      </c>
      <c r="AE10" s="180" t="s">
        <v>118</v>
      </c>
      <c r="AF10" s="180" t="s">
        <v>118</v>
      </c>
      <c r="AG10" s="180" t="s">
        <v>116</v>
      </c>
      <c r="AH10" s="180" t="s">
        <v>118</v>
      </c>
      <c r="AI10" s="180" t="s">
        <v>118</v>
      </c>
      <c r="AJ10" s="180" t="s">
        <v>118</v>
      </c>
      <c r="AK10" s="180" t="s">
        <v>118</v>
      </c>
      <c r="AL10" s="180" t="s">
        <v>116</v>
      </c>
      <c r="AM10" s="180" t="s">
        <v>116</v>
      </c>
      <c r="AN10" s="180" t="s">
        <v>116</v>
      </c>
      <c r="AO10" s="180" t="s">
        <v>116</v>
      </c>
      <c r="AP10" s="180" t="s">
        <v>116</v>
      </c>
      <c r="AQ10" s="180" t="s">
        <v>116</v>
      </c>
      <c r="AR10" s="180" t="s">
        <v>118</v>
      </c>
      <c r="AS10" s="180" t="s">
        <v>116</v>
      </c>
      <c r="AT10" s="180" t="s">
        <v>118</v>
      </c>
      <c r="AU10" s="180" t="s">
        <v>118</v>
      </c>
      <c r="AV10" s="180" t="s">
        <v>118</v>
      </c>
      <c r="AW10" s="180" t="s">
        <v>118</v>
      </c>
      <c r="AX10" s="180" t="s">
        <v>116</v>
      </c>
      <c r="AY10" s="180" t="s">
        <v>116</v>
      </c>
      <c r="AZ10" s="180" t="s">
        <v>116</v>
      </c>
      <c r="BA10" s="180" t="s">
        <v>116</v>
      </c>
      <c r="BB10" s="180" t="s">
        <v>118</v>
      </c>
      <c r="BC10" s="180" t="s">
        <v>118</v>
      </c>
      <c r="BD10" s="180" t="s">
        <v>118</v>
      </c>
      <c r="BE10" s="180" t="s">
        <v>116</v>
      </c>
      <c r="BF10" s="180" t="s">
        <v>116</v>
      </c>
      <c r="BG10" s="180" t="s">
        <v>116</v>
      </c>
      <c r="BH10" s="180" t="s">
        <v>116</v>
      </c>
      <c r="BI10" s="180" t="s">
        <v>116</v>
      </c>
      <c r="BJ10" s="180" t="s">
        <v>116</v>
      </c>
      <c r="BK10" s="180" t="s">
        <v>116</v>
      </c>
      <c r="BL10" s="180" t="s">
        <v>116</v>
      </c>
      <c r="BM10" s="180" t="s">
        <v>116</v>
      </c>
      <c r="BN10" s="180" t="s">
        <v>116</v>
      </c>
      <c r="BO10" s="180" t="s">
        <v>116</v>
      </c>
      <c r="BP10" s="180" t="s">
        <v>116</v>
      </c>
      <c r="BQ10" s="180" t="s">
        <v>116</v>
      </c>
      <c r="BR10" s="180" t="s">
        <v>116</v>
      </c>
      <c r="BS10" s="180" t="s">
        <v>116</v>
      </c>
      <c r="BT10" s="180" t="s">
        <v>116</v>
      </c>
      <c r="BU10" s="180" t="s">
        <v>116</v>
      </c>
      <c r="BV10" s="180" t="s">
        <v>116</v>
      </c>
      <c r="BW10" s="180" t="s">
        <v>116</v>
      </c>
      <c r="BX10" s="180" t="s">
        <v>116</v>
      </c>
      <c r="BY10" s="180" t="s">
        <v>116</v>
      </c>
      <c r="BZ10" s="180" t="s">
        <v>116</v>
      </c>
      <c r="CA10" s="180" t="s">
        <v>116</v>
      </c>
      <c r="CB10" s="180" t="s">
        <v>116</v>
      </c>
      <c r="CC10" s="180" t="s">
        <v>116</v>
      </c>
      <c r="CD10" s="180" t="s">
        <v>116</v>
      </c>
      <c r="CE10" s="180" t="s">
        <v>116</v>
      </c>
      <c r="CF10" s="180" t="s">
        <v>116</v>
      </c>
      <c r="CG10" s="180" t="s">
        <v>116</v>
      </c>
      <c r="CH10" s="180" t="s">
        <v>116</v>
      </c>
      <c r="CI10" s="180" t="s">
        <v>116</v>
      </c>
      <c r="CJ10" s="180" t="s">
        <v>116</v>
      </c>
      <c r="CK10" s="180" t="s">
        <v>118</v>
      </c>
      <c r="CL10" s="180" t="s">
        <v>118</v>
      </c>
      <c r="CM10" s="180" t="s">
        <v>118</v>
      </c>
      <c r="CN10" s="180" t="s">
        <v>116</v>
      </c>
      <c r="CO10" s="180" t="s">
        <v>118</v>
      </c>
      <c r="CP10" s="180" t="s">
        <v>116</v>
      </c>
      <c r="CQ10" s="180" t="s">
        <v>116</v>
      </c>
      <c r="CR10" s="180" t="s">
        <v>116</v>
      </c>
      <c r="CS10" s="180" t="s">
        <v>116</v>
      </c>
      <c r="CT10" s="180" t="s">
        <v>116</v>
      </c>
      <c r="CU10" s="180" t="s">
        <v>116</v>
      </c>
      <c r="CV10" s="180" t="s">
        <v>116</v>
      </c>
      <c r="CW10" s="180" t="s">
        <v>116</v>
      </c>
      <c r="CX10" s="180" t="s">
        <v>116</v>
      </c>
      <c r="CY10" s="180" t="s">
        <v>116</v>
      </c>
      <c r="CZ10" s="180" t="s">
        <v>116</v>
      </c>
      <c r="DA10" s="180" t="s">
        <v>116</v>
      </c>
      <c r="DB10" s="180" t="s">
        <v>116</v>
      </c>
      <c r="DC10" s="180" t="s">
        <v>116</v>
      </c>
      <c r="DD10" s="180" t="s">
        <v>116</v>
      </c>
      <c r="DE10" s="180" t="s">
        <v>118</v>
      </c>
      <c r="DF10" s="180" t="s">
        <v>118</v>
      </c>
      <c r="DG10" s="180" t="s">
        <v>118</v>
      </c>
      <c r="DH10" s="180" t="s">
        <v>118</v>
      </c>
      <c r="DI10" s="180" t="s">
        <v>118</v>
      </c>
      <c r="DJ10" s="180" t="s">
        <v>118</v>
      </c>
      <c r="DK10" s="180" t="s">
        <v>116</v>
      </c>
      <c r="DL10" s="180" t="s">
        <v>116</v>
      </c>
      <c r="DM10" s="180" t="s">
        <v>116</v>
      </c>
      <c r="DN10" s="180" t="s">
        <v>116</v>
      </c>
      <c r="DO10" s="180" t="s">
        <v>116</v>
      </c>
      <c r="DP10" s="180" t="s">
        <v>116</v>
      </c>
      <c r="DQ10" s="180" t="s">
        <v>116</v>
      </c>
      <c r="DR10" s="180" t="s">
        <v>116</v>
      </c>
      <c r="DS10" s="180" t="s">
        <v>116</v>
      </c>
      <c r="DT10" s="180" t="s">
        <v>116</v>
      </c>
      <c r="DU10" s="180" t="s">
        <v>116</v>
      </c>
      <c r="DV10" s="181"/>
      <c r="DW10" s="148"/>
      <c r="DX10" s="148"/>
    </row>
    <row r="11" spans="1:129" ht="38.25">
      <c r="A11" s="149" t="s">
        <v>657</v>
      </c>
      <c r="B11" s="157" t="s">
        <v>658</v>
      </c>
      <c r="C11" s="180" t="s">
        <v>116</v>
      </c>
      <c r="D11" s="180" t="s">
        <v>116</v>
      </c>
      <c r="E11" s="180" t="s">
        <v>116</v>
      </c>
      <c r="F11" s="180" t="s">
        <v>116</v>
      </c>
      <c r="G11" s="180" t="s">
        <v>118</v>
      </c>
      <c r="H11" s="180" t="s">
        <v>118</v>
      </c>
      <c r="I11" s="180" t="s">
        <v>118</v>
      </c>
      <c r="J11" s="180" t="s">
        <v>116</v>
      </c>
      <c r="K11" s="180" t="s">
        <v>116</v>
      </c>
      <c r="L11" s="180" t="s">
        <v>116</v>
      </c>
      <c r="M11" s="180" t="s">
        <v>116</v>
      </c>
      <c r="N11" s="180" t="s">
        <v>116</v>
      </c>
      <c r="O11" s="180" t="s">
        <v>116</v>
      </c>
      <c r="P11" s="180" t="s">
        <v>116</v>
      </c>
      <c r="Q11" s="180" t="s">
        <v>116</v>
      </c>
      <c r="R11" s="180" t="s">
        <v>116</v>
      </c>
      <c r="S11" s="180" t="s">
        <v>116</v>
      </c>
      <c r="T11" s="180" t="s">
        <v>116</v>
      </c>
      <c r="U11" s="180" t="s">
        <v>116</v>
      </c>
      <c r="V11" s="180" t="s">
        <v>118</v>
      </c>
      <c r="W11" s="180" t="s">
        <v>118</v>
      </c>
      <c r="X11" s="180" t="s">
        <v>118</v>
      </c>
      <c r="Y11" s="180" t="s">
        <v>118</v>
      </c>
      <c r="Z11" s="180" t="s">
        <v>116</v>
      </c>
      <c r="AA11" s="180" t="s">
        <v>116</v>
      </c>
      <c r="AB11" s="180" t="s">
        <v>116</v>
      </c>
      <c r="AC11" s="180" t="s">
        <v>118</v>
      </c>
      <c r="AD11" s="180" t="s">
        <v>118</v>
      </c>
      <c r="AE11" s="180" t="s">
        <v>118</v>
      </c>
      <c r="AF11" s="180" t="s">
        <v>118</v>
      </c>
      <c r="AG11" s="180" t="s">
        <v>116</v>
      </c>
      <c r="AH11" s="180" t="s">
        <v>116</v>
      </c>
      <c r="AI11" s="180" t="s">
        <v>116</v>
      </c>
      <c r="AJ11" s="180" t="s">
        <v>116</v>
      </c>
      <c r="AK11" s="180" t="s">
        <v>116</v>
      </c>
      <c r="AL11" s="180" t="s">
        <v>116</v>
      </c>
      <c r="AM11" s="180" t="s">
        <v>116</v>
      </c>
      <c r="AN11" s="180" t="s">
        <v>116</v>
      </c>
      <c r="AO11" s="180" t="s">
        <v>116</v>
      </c>
      <c r="AP11" s="180" t="s">
        <v>116</v>
      </c>
      <c r="AQ11" s="180" t="s">
        <v>116</v>
      </c>
      <c r="AR11" s="180" t="s">
        <v>118</v>
      </c>
      <c r="AS11" s="180" t="s">
        <v>116</v>
      </c>
      <c r="AT11" s="180" t="s">
        <v>116</v>
      </c>
      <c r="AU11" s="180" t="s">
        <v>116</v>
      </c>
      <c r="AV11" s="180" t="s">
        <v>116</v>
      </c>
      <c r="AW11" s="180" t="s">
        <v>116</v>
      </c>
      <c r="AX11" s="180" t="s">
        <v>116</v>
      </c>
      <c r="AY11" s="180" t="s">
        <v>116</v>
      </c>
      <c r="AZ11" s="180" t="s">
        <v>116</v>
      </c>
      <c r="BA11" s="180" t="s">
        <v>116</v>
      </c>
      <c r="BB11" s="180" t="s">
        <v>118</v>
      </c>
      <c r="BC11" s="180" t="s">
        <v>116</v>
      </c>
      <c r="BD11" s="180" t="s">
        <v>116</v>
      </c>
      <c r="BE11" s="180" t="s">
        <v>116</v>
      </c>
      <c r="BF11" s="180" t="s">
        <v>116</v>
      </c>
      <c r="BG11" s="180" t="s">
        <v>116</v>
      </c>
      <c r="BH11" s="180" t="s">
        <v>116</v>
      </c>
      <c r="BI11" s="180" t="s">
        <v>116</v>
      </c>
      <c r="BJ11" s="180" t="s">
        <v>116</v>
      </c>
      <c r="BK11" s="180" t="s">
        <v>116</v>
      </c>
      <c r="BL11" s="180" t="s">
        <v>116</v>
      </c>
      <c r="BM11" s="180" t="s">
        <v>116</v>
      </c>
      <c r="BN11" s="180" t="s">
        <v>116</v>
      </c>
      <c r="BO11" s="180" t="s">
        <v>116</v>
      </c>
      <c r="BP11" s="180" t="s">
        <v>116</v>
      </c>
      <c r="BQ11" s="180" t="s">
        <v>116</v>
      </c>
      <c r="BR11" s="180" t="s">
        <v>116</v>
      </c>
      <c r="BS11" s="180" t="s">
        <v>116</v>
      </c>
      <c r="BT11" s="180" t="s">
        <v>116</v>
      </c>
      <c r="BU11" s="180" t="s">
        <v>116</v>
      </c>
      <c r="BV11" s="180" t="s">
        <v>116</v>
      </c>
      <c r="BW11" s="180" t="s">
        <v>116</v>
      </c>
      <c r="BX11" s="180" t="s">
        <v>116</v>
      </c>
      <c r="BY11" s="180" t="s">
        <v>116</v>
      </c>
      <c r="BZ11" s="180" t="s">
        <v>116</v>
      </c>
      <c r="CA11" s="180" t="s">
        <v>116</v>
      </c>
      <c r="CB11" s="180" t="s">
        <v>116</v>
      </c>
      <c r="CC11" s="180" t="s">
        <v>116</v>
      </c>
      <c r="CD11" s="180" t="s">
        <v>116</v>
      </c>
      <c r="CE11" s="180" t="s">
        <v>116</v>
      </c>
      <c r="CF11" s="180" t="s">
        <v>116</v>
      </c>
      <c r="CG11" s="180" t="s">
        <v>116</v>
      </c>
      <c r="CH11" s="180" t="s">
        <v>116</v>
      </c>
      <c r="CI11" s="180" t="s">
        <v>116</v>
      </c>
      <c r="CJ11" s="180" t="s">
        <v>116</v>
      </c>
      <c r="CK11" s="180" t="s">
        <v>116</v>
      </c>
      <c r="CL11" s="180" t="s">
        <v>118</v>
      </c>
      <c r="CM11" s="180" t="s">
        <v>118</v>
      </c>
      <c r="CN11" s="180" t="s">
        <v>116</v>
      </c>
      <c r="CO11" s="180" t="s">
        <v>118</v>
      </c>
      <c r="CP11" s="180" t="s">
        <v>118</v>
      </c>
      <c r="CQ11" s="180" t="s">
        <v>118</v>
      </c>
      <c r="CR11" s="180" t="s">
        <v>118</v>
      </c>
      <c r="CS11" s="180" t="s">
        <v>118</v>
      </c>
      <c r="CT11" s="180" t="s">
        <v>118</v>
      </c>
      <c r="CU11" s="180" t="s">
        <v>118</v>
      </c>
      <c r="CV11" s="180" t="s">
        <v>118</v>
      </c>
      <c r="CW11" s="180" t="s">
        <v>118</v>
      </c>
      <c r="CX11" s="180" t="s">
        <v>118</v>
      </c>
      <c r="CY11" s="180" t="s">
        <v>118</v>
      </c>
      <c r="CZ11" s="180" t="s">
        <v>118</v>
      </c>
      <c r="DA11" s="180" t="s">
        <v>118</v>
      </c>
      <c r="DB11" s="180" t="s">
        <v>118</v>
      </c>
      <c r="DC11" s="180" t="s">
        <v>118</v>
      </c>
      <c r="DD11" s="180" t="s">
        <v>118</v>
      </c>
      <c r="DE11" s="180" t="s">
        <v>118</v>
      </c>
      <c r="DF11" s="180" t="s">
        <v>118</v>
      </c>
      <c r="DG11" s="180" t="s">
        <v>118</v>
      </c>
      <c r="DH11" s="180" t="s">
        <v>118</v>
      </c>
      <c r="DI11" s="180" t="s">
        <v>118</v>
      </c>
      <c r="DJ11" s="180" t="s">
        <v>118</v>
      </c>
      <c r="DK11" s="180" t="s">
        <v>116</v>
      </c>
      <c r="DL11" s="180" t="s">
        <v>116</v>
      </c>
      <c r="DM11" s="180" t="s">
        <v>116</v>
      </c>
      <c r="DN11" s="180" t="s">
        <v>116</v>
      </c>
      <c r="DO11" s="180" t="s">
        <v>116</v>
      </c>
      <c r="DP11" s="180" t="s">
        <v>116</v>
      </c>
      <c r="DQ11" s="180" t="s">
        <v>116</v>
      </c>
      <c r="DR11" s="180" t="s">
        <v>116</v>
      </c>
      <c r="DS11" s="180" t="s">
        <v>116</v>
      </c>
      <c r="DT11" s="180" t="s">
        <v>116</v>
      </c>
      <c r="DU11" s="180" t="s">
        <v>116</v>
      </c>
      <c r="DV11" s="181"/>
      <c r="DW11" s="148"/>
      <c r="DX11" s="148"/>
    </row>
    <row r="12" spans="1:129" ht="63.75">
      <c r="A12" s="149" t="s">
        <v>659</v>
      </c>
      <c r="B12" s="157" t="s">
        <v>660</v>
      </c>
      <c r="C12" s="180" t="s">
        <v>116</v>
      </c>
      <c r="D12" s="180" t="s">
        <v>118</v>
      </c>
      <c r="E12" s="180" t="s">
        <v>116</v>
      </c>
      <c r="F12" s="180" t="s">
        <v>116</v>
      </c>
      <c r="G12" s="180" t="s">
        <v>116</v>
      </c>
      <c r="H12" s="180" t="s">
        <v>116</v>
      </c>
      <c r="I12" s="180" t="s">
        <v>116</v>
      </c>
      <c r="J12" s="180" t="s">
        <v>116</v>
      </c>
      <c r="K12" s="180" t="s">
        <v>118</v>
      </c>
      <c r="L12" s="180" t="s">
        <v>116</v>
      </c>
      <c r="M12" s="180" t="s">
        <v>116</v>
      </c>
      <c r="N12" s="180" t="s">
        <v>116</v>
      </c>
      <c r="O12" s="180" t="s">
        <v>116</v>
      </c>
      <c r="P12" s="180" t="s">
        <v>116</v>
      </c>
      <c r="Q12" s="180" t="s">
        <v>116</v>
      </c>
      <c r="R12" s="180" t="s">
        <v>116</v>
      </c>
      <c r="S12" s="180" t="s">
        <v>116</v>
      </c>
      <c r="T12" s="180" t="s">
        <v>116</v>
      </c>
      <c r="U12" s="180" t="s">
        <v>116</v>
      </c>
      <c r="V12" s="180" t="s">
        <v>116</v>
      </c>
      <c r="W12" s="180" t="s">
        <v>116</v>
      </c>
      <c r="X12" s="180" t="s">
        <v>116</v>
      </c>
      <c r="Y12" s="180" t="s">
        <v>116</v>
      </c>
      <c r="Z12" s="180" t="s">
        <v>116</v>
      </c>
      <c r="AA12" s="180" t="s">
        <v>116</v>
      </c>
      <c r="AB12" s="180" t="s">
        <v>116</v>
      </c>
      <c r="AC12" s="180" t="s">
        <v>116</v>
      </c>
      <c r="AD12" s="180" t="s">
        <v>116</v>
      </c>
      <c r="AE12" s="180" t="s">
        <v>116</v>
      </c>
      <c r="AF12" s="180" t="s">
        <v>116</v>
      </c>
      <c r="AG12" s="180" t="s">
        <v>116</v>
      </c>
      <c r="AH12" s="180" t="s">
        <v>118</v>
      </c>
      <c r="AI12" s="180" t="s">
        <v>118</v>
      </c>
      <c r="AJ12" s="180" t="s">
        <v>118</v>
      </c>
      <c r="AK12" s="180" t="s">
        <v>116</v>
      </c>
      <c r="AL12" s="180" t="s">
        <v>116</v>
      </c>
      <c r="AM12" s="180" t="s">
        <v>116</v>
      </c>
      <c r="AN12" s="180" t="s">
        <v>116</v>
      </c>
      <c r="AO12" s="180" t="s">
        <v>116</v>
      </c>
      <c r="AP12" s="180" t="s">
        <v>116</v>
      </c>
      <c r="AQ12" s="180" t="s">
        <v>116</v>
      </c>
      <c r="AR12" s="180" t="s">
        <v>116</v>
      </c>
      <c r="AS12" s="180" t="s">
        <v>116</v>
      </c>
      <c r="AT12" s="180" t="s">
        <v>116</v>
      </c>
      <c r="AU12" s="180" t="s">
        <v>116</v>
      </c>
      <c r="AV12" s="180" t="s">
        <v>116</v>
      </c>
      <c r="AW12" s="180" t="s">
        <v>116</v>
      </c>
      <c r="AX12" s="180" t="s">
        <v>116</v>
      </c>
      <c r="AY12" s="180" t="s">
        <v>116</v>
      </c>
      <c r="AZ12" s="180" t="s">
        <v>116</v>
      </c>
      <c r="BA12" s="180" t="s">
        <v>116</v>
      </c>
      <c r="BB12" s="180" t="s">
        <v>116</v>
      </c>
      <c r="BC12" s="180" t="s">
        <v>116</v>
      </c>
      <c r="BD12" s="180" t="s">
        <v>116</v>
      </c>
      <c r="BE12" s="180" t="s">
        <v>116</v>
      </c>
      <c r="BF12" s="180" t="s">
        <v>116</v>
      </c>
      <c r="BG12" s="180" t="s">
        <v>116</v>
      </c>
      <c r="BH12" s="180" t="s">
        <v>116</v>
      </c>
      <c r="BI12" s="180" t="s">
        <v>116</v>
      </c>
      <c r="BJ12" s="180" t="s">
        <v>116</v>
      </c>
      <c r="BK12" s="180" t="s">
        <v>116</v>
      </c>
      <c r="BL12" s="180" t="s">
        <v>116</v>
      </c>
      <c r="BM12" s="180" t="s">
        <v>116</v>
      </c>
      <c r="BN12" s="180" t="s">
        <v>116</v>
      </c>
      <c r="BO12" s="180" t="s">
        <v>116</v>
      </c>
      <c r="BP12" s="180" t="s">
        <v>116</v>
      </c>
      <c r="BQ12" s="180" t="s">
        <v>116</v>
      </c>
      <c r="BR12" s="180" t="s">
        <v>116</v>
      </c>
      <c r="BS12" s="180" t="s">
        <v>116</v>
      </c>
      <c r="BT12" s="180" t="s">
        <v>116</v>
      </c>
      <c r="BU12" s="180" t="s">
        <v>116</v>
      </c>
      <c r="BV12" s="180" t="s">
        <v>116</v>
      </c>
      <c r="BW12" s="180" t="s">
        <v>116</v>
      </c>
      <c r="BX12" s="180" t="s">
        <v>116</v>
      </c>
      <c r="BY12" s="180" t="s">
        <v>116</v>
      </c>
      <c r="BZ12" s="180" t="s">
        <v>116</v>
      </c>
      <c r="CA12" s="180" t="s">
        <v>116</v>
      </c>
      <c r="CB12" s="180" t="s">
        <v>116</v>
      </c>
      <c r="CC12" s="180" t="s">
        <v>116</v>
      </c>
      <c r="CD12" s="180" t="s">
        <v>116</v>
      </c>
      <c r="CE12" s="180" t="s">
        <v>116</v>
      </c>
      <c r="CF12" s="180" t="s">
        <v>116</v>
      </c>
      <c r="CG12" s="180" t="s">
        <v>116</v>
      </c>
      <c r="CH12" s="180" t="s">
        <v>116</v>
      </c>
      <c r="CI12" s="180" t="s">
        <v>116</v>
      </c>
      <c r="CJ12" s="180" t="s">
        <v>116</v>
      </c>
      <c r="CK12" s="180" t="s">
        <v>116</v>
      </c>
      <c r="CL12" s="180" t="s">
        <v>116</v>
      </c>
      <c r="CM12" s="180" t="s">
        <v>116</v>
      </c>
      <c r="CN12" s="180" t="s">
        <v>116</v>
      </c>
      <c r="CO12" s="180" t="s">
        <v>116</v>
      </c>
      <c r="CP12" s="180" t="s">
        <v>116</v>
      </c>
      <c r="CQ12" s="180" t="s">
        <v>116</v>
      </c>
      <c r="CR12" s="180" t="s">
        <v>116</v>
      </c>
      <c r="CS12" s="180" t="s">
        <v>116</v>
      </c>
      <c r="CT12" s="180" t="s">
        <v>116</v>
      </c>
      <c r="CU12" s="180" t="s">
        <v>116</v>
      </c>
      <c r="CV12" s="180" t="s">
        <v>116</v>
      </c>
      <c r="CW12" s="180" t="s">
        <v>116</v>
      </c>
      <c r="CX12" s="180" t="s">
        <v>116</v>
      </c>
      <c r="CY12" s="180" t="s">
        <v>116</v>
      </c>
      <c r="CZ12" s="180" t="s">
        <v>116</v>
      </c>
      <c r="DA12" s="180" t="s">
        <v>116</v>
      </c>
      <c r="DB12" s="180" t="s">
        <v>116</v>
      </c>
      <c r="DC12" s="180" t="s">
        <v>116</v>
      </c>
      <c r="DD12" s="180" t="s">
        <v>116</v>
      </c>
      <c r="DE12" s="180" t="s">
        <v>116</v>
      </c>
      <c r="DF12" s="180" t="s">
        <v>116</v>
      </c>
      <c r="DG12" s="180" t="s">
        <v>116</v>
      </c>
      <c r="DH12" s="180" t="s">
        <v>116</v>
      </c>
      <c r="DI12" s="180" t="s">
        <v>116</v>
      </c>
      <c r="DJ12" s="180" t="s">
        <v>116</v>
      </c>
      <c r="DK12" s="180" t="s">
        <v>116</v>
      </c>
      <c r="DL12" s="180" t="s">
        <v>116</v>
      </c>
      <c r="DM12" s="180" t="s">
        <v>116</v>
      </c>
      <c r="DN12" s="180" t="s">
        <v>116</v>
      </c>
      <c r="DO12" s="180" t="s">
        <v>116</v>
      </c>
      <c r="DP12" s="180" t="s">
        <v>116</v>
      </c>
      <c r="DQ12" s="180" t="s">
        <v>116</v>
      </c>
      <c r="DR12" s="180" t="s">
        <v>116</v>
      </c>
      <c r="DS12" s="180" t="s">
        <v>116</v>
      </c>
      <c r="DT12" s="180" t="s">
        <v>116</v>
      </c>
      <c r="DU12" s="180" t="s">
        <v>116</v>
      </c>
      <c r="DV12" s="181"/>
      <c r="DW12" s="148"/>
      <c r="DX12" s="148"/>
    </row>
    <row r="13" spans="1:129" ht="63.75">
      <c r="A13" s="149" t="s">
        <v>661</v>
      </c>
      <c r="B13" s="157" t="s">
        <v>662</v>
      </c>
      <c r="C13" s="180" t="s">
        <v>116</v>
      </c>
      <c r="D13" s="180" t="s">
        <v>116</v>
      </c>
      <c r="E13" s="180" t="s">
        <v>116</v>
      </c>
      <c r="F13" s="180" t="s">
        <v>116</v>
      </c>
      <c r="G13" s="180" t="s">
        <v>116</v>
      </c>
      <c r="H13" s="180" t="s">
        <v>116</v>
      </c>
      <c r="I13" s="180" t="s">
        <v>116</v>
      </c>
      <c r="J13" s="180" t="s">
        <v>116</v>
      </c>
      <c r="K13" s="180" t="s">
        <v>116</v>
      </c>
      <c r="L13" s="180" t="s">
        <v>116</v>
      </c>
      <c r="M13" s="180" t="s">
        <v>116</v>
      </c>
      <c r="N13" s="180" t="s">
        <v>116</v>
      </c>
      <c r="O13" s="180" t="s">
        <v>116</v>
      </c>
      <c r="P13" s="180" t="s">
        <v>118</v>
      </c>
      <c r="Q13" s="180" t="s">
        <v>116</v>
      </c>
      <c r="R13" s="180" t="s">
        <v>116</v>
      </c>
      <c r="S13" s="180" t="s">
        <v>116</v>
      </c>
      <c r="T13" s="180" t="s">
        <v>116</v>
      </c>
      <c r="U13" s="180" t="s">
        <v>116</v>
      </c>
      <c r="V13" s="180" t="s">
        <v>116</v>
      </c>
      <c r="W13" s="180" t="s">
        <v>116</v>
      </c>
      <c r="X13" s="180" t="s">
        <v>116</v>
      </c>
      <c r="Y13" s="180" t="s">
        <v>116</v>
      </c>
      <c r="Z13" s="180" t="s">
        <v>116</v>
      </c>
      <c r="AA13" s="180" t="s">
        <v>116</v>
      </c>
      <c r="AB13" s="180" t="s">
        <v>116</v>
      </c>
      <c r="AC13" s="180" t="s">
        <v>116</v>
      </c>
      <c r="AD13" s="180" t="s">
        <v>116</v>
      </c>
      <c r="AE13" s="180" t="s">
        <v>116</v>
      </c>
      <c r="AF13" s="180" t="s">
        <v>116</v>
      </c>
      <c r="AG13" s="180" t="s">
        <v>116</v>
      </c>
      <c r="AH13" s="180" t="s">
        <v>116</v>
      </c>
      <c r="AI13" s="180" t="s">
        <v>116</v>
      </c>
      <c r="AJ13" s="180" t="s">
        <v>116</v>
      </c>
      <c r="AK13" s="180" t="s">
        <v>116</v>
      </c>
      <c r="AL13" s="180" t="s">
        <v>116</v>
      </c>
      <c r="AM13" s="180" t="s">
        <v>116</v>
      </c>
      <c r="AN13" s="180" t="s">
        <v>116</v>
      </c>
      <c r="AO13" s="180" t="s">
        <v>116</v>
      </c>
      <c r="AP13" s="180" t="s">
        <v>116</v>
      </c>
      <c r="AQ13" s="180" t="s">
        <v>116</v>
      </c>
      <c r="AR13" s="180" t="s">
        <v>116</v>
      </c>
      <c r="AS13" s="180" t="s">
        <v>116</v>
      </c>
      <c r="AT13" s="180" t="s">
        <v>116</v>
      </c>
      <c r="AU13" s="180" t="s">
        <v>116</v>
      </c>
      <c r="AV13" s="180" t="s">
        <v>116</v>
      </c>
      <c r="AW13" s="180" t="s">
        <v>116</v>
      </c>
      <c r="AX13" s="180" t="s">
        <v>118</v>
      </c>
      <c r="AY13" s="180" t="s">
        <v>118</v>
      </c>
      <c r="AZ13" s="180" t="s">
        <v>118</v>
      </c>
      <c r="BA13" s="180" t="s">
        <v>116</v>
      </c>
      <c r="BB13" s="180" t="s">
        <v>116</v>
      </c>
      <c r="BC13" s="180" t="s">
        <v>116</v>
      </c>
      <c r="BD13" s="180" t="s">
        <v>116</v>
      </c>
      <c r="BE13" s="180" t="s">
        <v>116</v>
      </c>
      <c r="BF13" s="180" t="s">
        <v>116</v>
      </c>
      <c r="BG13" s="180" t="s">
        <v>116</v>
      </c>
      <c r="BH13" s="180" t="s">
        <v>116</v>
      </c>
      <c r="BI13" s="180" t="s">
        <v>116</v>
      </c>
      <c r="BJ13" s="180" t="s">
        <v>116</v>
      </c>
      <c r="BK13" s="180" t="s">
        <v>116</v>
      </c>
      <c r="BL13" s="180" t="s">
        <v>116</v>
      </c>
      <c r="BM13" s="180" t="s">
        <v>116</v>
      </c>
      <c r="BN13" s="180" t="s">
        <v>116</v>
      </c>
      <c r="BO13" s="180" t="s">
        <v>116</v>
      </c>
      <c r="BP13" s="180" t="s">
        <v>116</v>
      </c>
      <c r="BQ13" s="180" t="s">
        <v>116</v>
      </c>
      <c r="BR13" s="180" t="s">
        <v>116</v>
      </c>
      <c r="BS13" s="180" t="s">
        <v>116</v>
      </c>
      <c r="BT13" s="180" t="s">
        <v>116</v>
      </c>
      <c r="BU13" s="180" t="s">
        <v>116</v>
      </c>
      <c r="BV13" s="180" t="s">
        <v>116</v>
      </c>
      <c r="BW13" s="180" t="s">
        <v>116</v>
      </c>
      <c r="BX13" s="180" t="s">
        <v>116</v>
      </c>
      <c r="BY13" s="180" t="s">
        <v>116</v>
      </c>
      <c r="BZ13" s="180" t="s">
        <v>116</v>
      </c>
      <c r="CA13" s="180" t="s">
        <v>116</v>
      </c>
      <c r="CB13" s="180" t="s">
        <v>116</v>
      </c>
      <c r="CC13" s="180" t="s">
        <v>116</v>
      </c>
      <c r="CD13" s="180" t="s">
        <v>116</v>
      </c>
      <c r="CE13" s="180" t="s">
        <v>116</v>
      </c>
      <c r="CF13" s="180" t="s">
        <v>116</v>
      </c>
      <c r="CG13" s="180" t="s">
        <v>116</v>
      </c>
      <c r="CH13" s="180" t="s">
        <v>116</v>
      </c>
      <c r="CI13" s="180" t="s">
        <v>116</v>
      </c>
      <c r="CJ13" s="180" t="s">
        <v>116</v>
      </c>
      <c r="CK13" s="180" t="s">
        <v>116</v>
      </c>
      <c r="CL13" s="180" t="s">
        <v>116</v>
      </c>
      <c r="CM13" s="180" t="s">
        <v>116</v>
      </c>
      <c r="CN13" s="180" t="s">
        <v>116</v>
      </c>
      <c r="CO13" s="180" t="s">
        <v>116</v>
      </c>
      <c r="CP13" s="180" t="s">
        <v>116</v>
      </c>
      <c r="CQ13" s="180" t="s">
        <v>116</v>
      </c>
      <c r="CR13" s="180" t="s">
        <v>116</v>
      </c>
      <c r="CS13" s="180" t="s">
        <v>116</v>
      </c>
      <c r="CT13" s="180" t="s">
        <v>116</v>
      </c>
      <c r="CU13" s="180" t="s">
        <v>116</v>
      </c>
      <c r="CV13" s="180" t="s">
        <v>116</v>
      </c>
      <c r="CW13" s="180" t="s">
        <v>116</v>
      </c>
      <c r="CX13" s="180" t="s">
        <v>116</v>
      </c>
      <c r="CY13" s="180" t="s">
        <v>116</v>
      </c>
      <c r="CZ13" s="180" t="s">
        <v>116</v>
      </c>
      <c r="DA13" s="180" t="s">
        <v>116</v>
      </c>
      <c r="DB13" s="180" t="s">
        <v>116</v>
      </c>
      <c r="DC13" s="180" t="s">
        <v>116</v>
      </c>
      <c r="DD13" s="180" t="s">
        <v>116</v>
      </c>
      <c r="DE13" s="180" t="s">
        <v>116</v>
      </c>
      <c r="DF13" s="180" t="s">
        <v>116</v>
      </c>
      <c r="DG13" s="180" t="s">
        <v>116</v>
      </c>
      <c r="DH13" s="180" t="s">
        <v>116</v>
      </c>
      <c r="DI13" s="180" t="s">
        <v>116</v>
      </c>
      <c r="DJ13" s="180" t="s">
        <v>116</v>
      </c>
      <c r="DK13" s="180" t="s">
        <v>116</v>
      </c>
      <c r="DL13" s="180" t="s">
        <v>116</v>
      </c>
      <c r="DM13" s="180" t="s">
        <v>116</v>
      </c>
      <c r="DN13" s="180" t="s">
        <v>116</v>
      </c>
      <c r="DO13" s="180" t="s">
        <v>116</v>
      </c>
      <c r="DP13" s="180" t="s">
        <v>116</v>
      </c>
      <c r="DQ13" s="180" t="s">
        <v>116</v>
      </c>
      <c r="DR13" s="180" t="s">
        <v>116</v>
      </c>
      <c r="DS13" s="180" t="s">
        <v>116</v>
      </c>
      <c r="DT13" s="180" t="s">
        <v>116</v>
      </c>
      <c r="DU13" s="180" t="s">
        <v>116</v>
      </c>
      <c r="DV13" s="181"/>
      <c r="DW13" s="148"/>
      <c r="DX13" s="148"/>
    </row>
    <row r="14" spans="1:129" ht="25.5">
      <c r="A14" s="149" t="s">
        <v>663</v>
      </c>
      <c r="B14" s="157" t="s">
        <v>664</v>
      </c>
      <c r="C14" s="180" t="s">
        <v>116</v>
      </c>
      <c r="D14" s="180" t="s">
        <v>116</v>
      </c>
      <c r="E14" s="180" t="s">
        <v>116</v>
      </c>
      <c r="F14" s="180" t="s">
        <v>116</v>
      </c>
      <c r="G14" s="180" t="s">
        <v>116</v>
      </c>
      <c r="H14" s="180" t="s">
        <v>116</v>
      </c>
      <c r="I14" s="180" t="s">
        <v>116</v>
      </c>
      <c r="J14" s="180" t="s">
        <v>116</v>
      </c>
      <c r="K14" s="180" t="s">
        <v>116</v>
      </c>
      <c r="L14" s="180" t="s">
        <v>116</v>
      </c>
      <c r="M14" s="180" t="s">
        <v>116</v>
      </c>
      <c r="N14" s="180" t="s">
        <v>116</v>
      </c>
      <c r="O14" s="180" t="s">
        <v>116</v>
      </c>
      <c r="P14" s="180" t="s">
        <v>116</v>
      </c>
      <c r="Q14" s="180" t="s">
        <v>116</v>
      </c>
      <c r="R14" s="180" t="s">
        <v>116</v>
      </c>
      <c r="S14" s="180" t="s">
        <v>116</v>
      </c>
      <c r="T14" s="180" t="s">
        <v>116</v>
      </c>
      <c r="U14" s="180" t="s">
        <v>116</v>
      </c>
      <c r="V14" s="180" t="s">
        <v>116</v>
      </c>
      <c r="W14" s="180" t="s">
        <v>116</v>
      </c>
      <c r="X14" s="180" t="s">
        <v>116</v>
      </c>
      <c r="Y14" s="180" t="s">
        <v>116</v>
      </c>
      <c r="Z14" s="180" t="s">
        <v>116</v>
      </c>
      <c r="AA14" s="180" t="s">
        <v>116</v>
      </c>
      <c r="AB14" s="180" t="s">
        <v>116</v>
      </c>
      <c r="AC14" s="180" t="s">
        <v>116</v>
      </c>
      <c r="AD14" s="180" t="s">
        <v>116</v>
      </c>
      <c r="AE14" s="180" t="s">
        <v>116</v>
      </c>
      <c r="AF14" s="180" t="s">
        <v>116</v>
      </c>
      <c r="AG14" s="180" t="s">
        <v>116</v>
      </c>
      <c r="AH14" s="180" t="s">
        <v>116</v>
      </c>
      <c r="AI14" s="180" t="s">
        <v>116</v>
      </c>
      <c r="AJ14" s="180" t="s">
        <v>116</v>
      </c>
      <c r="AK14" s="180" t="s">
        <v>116</v>
      </c>
      <c r="AL14" s="180" t="s">
        <v>116</v>
      </c>
      <c r="AM14" s="180" t="s">
        <v>116</v>
      </c>
      <c r="AN14" s="180" t="s">
        <v>116</v>
      </c>
      <c r="AO14" s="180" t="s">
        <v>116</v>
      </c>
      <c r="AP14" s="180" t="s">
        <v>116</v>
      </c>
      <c r="AQ14" s="180" t="s">
        <v>116</v>
      </c>
      <c r="AR14" s="180" t="s">
        <v>116</v>
      </c>
      <c r="AS14" s="180" t="s">
        <v>116</v>
      </c>
      <c r="AT14" s="180" t="s">
        <v>116</v>
      </c>
      <c r="AU14" s="180" t="s">
        <v>116</v>
      </c>
      <c r="AV14" s="180" t="s">
        <v>116</v>
      </c>
      <c r="AW14" s="180" t="s">
        <v>116</v>
      </c>
      <c r="AX14" s="180" t="s">
        <v>116</v>
      </c>
      <c r="AY14" s="180" t="s">
        <v>116</v>
      </c>
      <c r="AZ14" s="180" t="s">
        <v>116</v>
      </c>
      <c r="BA14" s="180" t="s">
        <v>116</v>
      </c>
      <c r="BB14" s="180" t="s">
        <v>116</v>
      </c>
      <c r="BC14" s="180" t="s">
        <v>116</v>
      </c>
      <c r="BD14" s="180" t="s">
        <v>116</v>
      </c>
      <c r="BE14" s="180" t="s">
        <v>116</v>
      </c>
      <c r="BF14" s="180" t="s">
        <v>116</v>
      </c>
      <c r="BG14" s="180" t="s">
        <v>116</v>
      </c>
      <c r="BH14" s="180" t="s">
        <v>116</v>
      </c>
      <c r="BI14" s="180" t="s">
        <v>116</v>
      </c>
      <c r="BJ14" s="180" t="s">
        <v>116</v>
      </c>
      <c r="BK14" s="180" t="s">
        <v>118</v>
      </c>
      <c r="BL14" s="180" t="s">
        <v>116</v>
      </c>
      <c r="BM14" s="180" t="s">
        <v>116</v>
      </c>
      <c r="BN14" s="180" t="s">
        <v>116</v>
      </c>
      <c r="BO14" s="180" t="s">
        <v>116</v>
      </c>
      <c r="BP14" s="180" t="s">
        <v>116</v>
      </c>
      <c r="BQ14" s="180" t="s">
        <v>116</v>
      </c>
      <c r="BR14" s="180" t="s">
        <v>116</v>
      </c>
      <c r="BS14" s="180" t="s">
        <v>116</v>
      </c>
      <c r="BT14" s="180" t="s">
        <v>116</v>
      </c>
      <c r="BU14" s="180" t="s">
        <v>116</v>
      </c>
      <c r="BV14" s="180" t="s">
        <v>116</v>
      </c>
      <c r="BW14" s="180" t="s">
        <v>116</v>
      </c>
      <c r="BX14" s="180" t="s">
        <v>116</v>
      </c>
      <c r="BY14" s="180" t="s">
        <v>116</v>
      </c>
      <c r="BZ14" s="180" t="s">
        <v>116</v>
      </c>
      <c r="CA14" s="180" t="s">
        <v>116</v>
      </c>
      <c r="CB14" s="180" t="s">
        <v>116</v>
      </c>
      <c r="CC14" s="180" t="s">
        <v>116</v>
      </c>
      <c r="CD14" s="180" t="s">
        <v>116</v>
      </c>
      <c r="CE14" s="180" t="s">
        <v>116</v>
      </c>
      <c r="CF14" s="180" t="s">
        <v>116</v>
      </c>
      <c r="CG14" s="180" t="s">
        <v>116</v>
      </c>
      <c r="CH14" s="180" t="s">
        <v>116</v>
      </c>
      <c r="CI14" s="180" t="s">
        <v>116</v>
      </c>
      <c r="CJ14" s="180" t="s">
        <v>116</v>
      </c>
      <c r="CK14" s="180" t="s">
        <v>116</v>
      </c>
      <c r="CL14" s="180" t="s">
        <v>116</v>
      </c>
      <c r="CM14" s="180" t="s">
        <v>116</v>
      </c>
      <c r="CN14" s="180" t="s">
        <v>116</v>
      </c>
      <c r="CO14" s="180" t="s">
        <v>116</v>
      </c>
      <c r="CP14" s="180" t="s">
        <v>118</v>
      </c>
      <c r="CQ14" s="180" t="s">
        <v>116</v>
      </c>
      <c r="CR14" s="180" t="s">
        <v>118</v>
      </c>
      <c r="CS14" s="180" t="s">
        <v>116</v>
      </c>
      <c r="CT14" s="180" t="s">
        <v>116</v>
      </c>
      <c r="CU14" s="180" t="s">
        <v>116</v>
      </c>
      <c r="CV14" s="180" t="s">
        <v>116</v>
      </c>
      <c r="CW14" s="180" t="s">
        <v>116</v>
      </c>
      <c r="CX14" s="180" t="s">
        <v>118</v>
      </c>
      <c r="CY14" s="180" t="s">
        <v>116</v>
      </c>
      <c r="CZ14" s="180" t="s">
        <v>116</v>
      </c>
      <c r="DA14" s="180" t="s">
        <v>116</v>
      </c>
      <c r="DB14" s="180" t="s">
        <v>116</v>
      </c>
      <c r="DC14" s="180" t="s">
        <v>116</v>
      </c>
      <c r="DD14" s="180" t="s">
        <v>116</v>
      </c>
      <c r="DE14" s="180" t="s">
        <v>116</v>
      </c>
      <c r="DF14" s="180" t="s">
        <v>116</v>
      </c>
      <c r="DG14" s="180" t="s">
        <v>116</v>
      </c>
      <c r="DH14" s="180" t="s">
        <v>116</v>
      </c>
      <c r="DI14" s="180" t="s">
        <v>116</v>
      </c>
      <c r="DJ14" s="180" t="s">
        <v>116</v>
      </c>
      <c r="DK14" s="180" t="s">
        <v>116</v>
      </c>
      <c r="DL14" s="180" t="s">
        <v>116</v>
      </c>
      <c r="DM14" s="180" t="s">
        <v>116</v>
      </c>
      <c r="DN14" s="180" t="s">
        <v>116</v>
      </c>
      <c r="DO14" s="180" t="s">
        <v>116</v>
      </c>
      <c r="DP14" s="180" t="s">
        <v>116</v>
      </c>
      <c r="DQ14" s="180" t="s">
        <v>116</v>
      </c>
      <c r="DR14" s="180" t="s">
        <v>116</v>
      </c>
      <c r="DS14" s="180" t="s">
        <v>116</v>
      </c>
      <c r="DT14" s="180" t="s">
        <v>116</v>
      </c>
      <c r="DU14" s="180" t="s">
        <v>116</v>
      </c>
      <c r="DV14" s="181"/>
      <c r="DW14" s="148"/>
      <c r="DX14" s="148"/>
    </row>
    <row r="15" spans="1:129" ht="25.5">
      <c r="A15" s="149" t="s">
        <v>665</v>
      </c>
      <c r="B15" s="157" t="s">
        <v>666</v>
      </c>
      <c r="C15" s="180" t="s">
        <v>116</v>
      </c>
      <c r="D15" s="180" t="s">
        <v>118</v>
      </c>
      <c r="E15" s="180" t="s">
        <v>116</v>
      </c>
      <c r="F15" s="180" t="s">
        <v>116</v>
      </c>
      <c r="G15" s="180" t="s">
        <v>116</v>
      </c>
      <c r="H15" s="180" t="s">
        <v>116</v>
      </c>
      <c r="I15" s="180" t="s">
        <v>116</v>
      </c>
      <c r="J15" s="180" t="s">
        <v>116</v>
      </c>
      <c r="K15" s="180" t="s">
        <v>116</v>
      </c>
      <c r="L15" s="180" t="s">
        <v>116</v>
      </c>
      <c r="M15" s="180" t="s">
        <v>118</v>
      </c>
      <c r="N15" s="180" t="s">
        <v>116</v>
      </c>
      <c r="O15" s="180" t="s">
        <v>118</v>
      </c>
      <c r="P15" s="180" t="s">
        <v>118</v>
      </c>
      <c r="Q15" s="180" t="s">
        <v>116</v>
      </c>
      <c r="R15" s="180" t="s">
        <v>116</v>
      </c>
      <c r="S15" s="180" t="s">
        <v>116</v>
      </c>
      <c r="T15" s="180" t="s">
        <v>116</v>
      </c>
      <c r="U15" s="180" t="s">
        <v>116</v>
      </c>
      <c r="V15" s="180" t="s">
        <v>118</v>
      </c>
      <c r="W15" s="180" t="s">
        <v>118</v>
      </c>
      <c r="X15" s="180" t="s">
        <v>118</v>
      </c>
      <c r="Y15" s="180" t="s">
        <v>118</v>
      </c>
      <c r="Z15" s="180" t="s">
        <v>116</v>
      </c>
      <c r="AA15" s="180" t="s">
        <v>116</v>
      </c>
      <c r="AB15" s="180" t="s">
        <v>116</v>
      </c>
      <c r="AC15" s="180" t="s">
        <v>116</v>
      </c>
      <c r="AD15" s="180" t="s">
        <v>116</v>
      </c>
      <c r="AE15" s="180" t="s">
        <v>116</v>
      </c>
      <c r="AF15" s="180" t="s">
        <v>116</v>
      </c>
      <c r="AG15" s="180" t="s">
        <v>116</v>
      </c>
      <c r="AH15" s="180" t="s">
        <v>116</v>
      </c>
      <c r="AI15" s="180" t="s">
        <v>116</v>
      </c>
      <c r="AJ15" s="180" t="s">
        <v>116</v>
      </c>
      <c r="AK15" s="180" t="s">
        <v>118</v>
      </c>
      <c r="AL15" s="180" t="s">
        <v>116</v>
      </c>
      <c r="AM15" s="180" t="s">
        <v>118</v>
      </c>
      <c r="AN15" s="180" t="s">
        <v>118</v>
      </c>
      <c r="AO15" s="180" t="s">
        <v>118</v>
      </c>
      <c r="AP15" s="180" t="s">
        <v>118</v>
      </c>
      <c r="AQ15" s="180" t="s">
        <v>118</v>
      </c>
      <c r="AR15" s="180" t="s">
        <v>116</v>
      </c>
      <c r="AS15" s="180" t="s">
        <v>116</v>
      </c>
      <c r="AT15" s="180" t="s">
        <v>118</v>
      </c>
      <c r="AU15" s="180" t="s">
        <v>118</v>
      </c>
      <c r="AV15" s="180" t="s">
        <v>118</v>
      </c>
      <c r="AW15" s="180" t="s">
        <v>118</v>
      </c>
      <c r="AX15" s="180" t="s">
        <v>118</v>
      </c>
      <c r="AY15" s="180" t="s">
        <v>118</v>
      </c>
      <c r="AZ15" s="180" t="s">
        <v>118</v>
      </c>
      <c r="BA15" s="180" t="s">
        <v>118</v>
      </c>
      <c r="BB15" s="180" t="s">
        <v>116</v>
      </c>
      <c r="BC15" s="180" t="s">
        <v>118</v>
      </c>
      <c r="BD15" s="180" t="s">
        <v>118</v>
      </c>
      <c r="BE15" s="180" t="s">
        <v>116</v>
      </c>
      <c r="BF15" s="180" t="s">
        <v>116</v>
      </c>
      <c r="BG15" s="180" t="s">
        <v>116</v>
      </c>
      <c r="BH15" s="180" t="s">
        <v>116</v>
      </c>
      <c r="BI15" s="180" t="s">
        <v>116</v>
      </c>
      <c r="BJ15" s="180" t="s">
        <v>116</v>
      </c>
      <c r="BK15" s="180" t="s">
        <v>116</v>
      </c>
      <c r="BL15" s="180" t="s">
        <v>116</v>
      </c>
      <c r="BM15" s="180" t="s">
        <v>116</v>
      </c>
      <c r="BN15" s="180" t="s">
        <v>116</v>
      </c>
      <c r="BO15" s="180" t="s">
        <v>116</v>
      </c>
      <c r="BP15" s="180" t="s">
        <v>116</v>
      </c>
      <c r="BQ15" s="180" t="s">
        <v>116</v>
      </c>
      <c r="BR15" s="180" t="s">
        <v>116</v>
      </c>
      <c r="BS15" s="180" t="s">
        <v>116</v>
      </c>
      <c r="BT15" s="180" t="s">
        <v>116</v>
      </c>
      <c r="BU15" s="180" t="s">
        <v>116</v>
      </c>
      <c r="BV15" s="180" t="s">
        <v>116</v>
      </c>
      <c r="BW15" s="180" t="s">
        <v>116</v>
      </c>
      <c r="BX15" s="180" t="s">
        <v>116</v>
      </c>
      <c r="BY15" s="180" t="s">
        <v>116</v>
      </c>
      <c r="BZ15" s="180" t="s">
        <v>116</v>
      </c>
      <c r="CA15" s="180" t="s">
        <v>116</v>
      </c>
      <c r="CB15" s="180" t="s">
        <v>116</v>
      </c>
      <c r="CC15" s="180" t="s">
        <v>116</v>
      </c>
      <c r="CD15" s="180" t="s">
        <v>116</v>
      </c>
      <c r="CE15" s="180" t="s">
        <v>116</v>
      </c>
      <c r="CF15" s="180" t="s">
        <v>116</v>
      </c>
      <c r="CG15" s="180" t="s">
        <v>116</v>
      </c>
      <c r="CH15" s="180" t="s">
        <v>116</v>
      </c>
      <c r="CI15" s="180" t="s">
        <v>116</v>
      </c>
      <c r="CJ15" s="180" t="s">
        <v>116</v>
      </c>
      <c r="CK15" s="180" t="s">
        <v>116</v>
      </c>
      <c r="CL15" s="180" t="s">
        <v>116</v>
      </c>
      <c r="CM15" s="180" t="s">
        <v>116</v>
      </c>
      <c r="CN15" s="180" t="s">
        <v>116</v>
      </c>
      <c r="CO15" s="180" t="s">
        <v>116</v>
      </c>
      <c r="CP15" s="180" t="s">
        <v>116</v>
      </c>
      <c r="CQ15" s="180" t="s">
        <v>116</v>
      </c>
      <c r="CR15" s="180" t="s">
        <v>118</v>
      </c>
      <c r="CS15" s="180" t="s">
        <v>116</v>
      </c>
      <c r="CT15" s="180" t="s">
        <v>116</v>
      </c>
      <c r="CU15" s="180" t="s">
        <v>116</v>
      </c>
      <c r="CV15" s="180" t="s">
        <v>116</v>
      </c>
      <c r="CW15" s="180" t="s">
        <v>116</v>
      </c>
      <c r="CX15" s="180" t="s">
        <v>116</v>
      </c>
      <c r="CY15" s="180" t="s">
        <v>116</v>
      </c>
      <c r="CZ15" s="180" t="s">
        <v>116</v>
      </c>
      <c r="DA15" s="180" t="s">
        <v>116</v>
      </c>
      <c r="DB15" s="180" t="s">
        <v>116</v>
      </c>
      <c r="DC15" s="180" t="s">
        <v>116</v>
      </c>
      <c r="DD15" s="180" t="s">
        <v>116</v>
      </c>
      <c r="DE15" s="180" t="s">
        <v>116</v>
      </c>
      <c r="DF15" s="180" t="s">
        <v>116</v>
      </c>
      <c r="DG15" s="180" t="s">
        <v>116</v>
      </c>
      <c r="DH15" s="180" t="s">
        <v>116</v>
      </c>
      <c r="DI15" s="180" t="s">
        <v>116</v>
      </c>
      <c r="DJ15" s="180" t="s">
        <v>116</v>
      </c>
      <c r="DK15" s="180" t="s">
        <v>116</v>
      </c>
      <c r="DL15" s="180" t="s">
        <v>116</v>
      </c>
      <c r="DM15" s="180" t="s">
        <v>116</v>
      </c>
      <c r="DN15" s="180" t="s">
        <v>116</v>
      </c>
      <c r="DO15" s="180" t="s">
        <v>116</v>
      </c>
      <c r="DP15" s="180" t="s">
        <v>116</v>
      </c>
      <c r="DQ15" s="180" t="s">
        <v>116</v>
      </c>
      <c r="DR15" s="180" t="s">
        <v>116</v>
      </c>
      <c r="DS15" s="180" t="s">
        <v>116</v>
      </c>
      <c r="DT15" s="180" t="s">
        <v>116</v>
      </c>
      <c r="DU15" s="180" t="s">
        <v>116</v>
      </c>
      <c r="DV15" s="181"/>
      <c r="DW15" s="148"/>
      <c r="DX15" s="148"/>
    </row>
    <row r="16" spans="1:129" ht="25.5">
      <c r="A16" s="149" t="s">
        <v>667</v>
      </c>
      <c r="B16" s="157" t="s">
        <v>668</v>
      </c>
      <c r="C16" s="180" t="s">
        <v>116</v>
      </c>
      <c r="D16" s="180" t="s">
        <v>118</v>
      </c>
      <c r="E16" s="180" t="s">
        <v>116</v>
      </c>
      <c r="F16" s="180" t="s">
        <v>116</v>
      </c>
      <c r="G16" s="180" t="s">
        <v>116</v>
      </c>
      <c r="H16" s="180" t="s">
        <v>116</v>
      </c>
      <c r="I16" s="180" t="s">
        <v>116</v>
      </c>
      <c r="J16" s="180" t="s">
        <v>116</v>
      </c>
      <c r="K16" s="180" t="s">
        <v>118</v>
      </c>
      <c r="L16" s="180" t="s">
        <v>116</v>
      </c>
      <c r="M16" s="180" t="s">
        <v>116</v>
      </c>
      <c r="N16" s="180" t="s">
        <v>116</v>
      </c>
      <c r="O16" s="180" t="s">
        <v>116</v>
      </c>
      <c r="P16" s="180" t="s">
        <v>116</v>
      </c>
      <c r="Q16" s="180" t="s">
        <v>116</v>
      </c>
      <c r="R16" s="180" t="s">
        <v>116</v>
      </c>
      <c r="S16" s="180" t="s">
        <v>116</v>
      </c>
      <c r="T16" s="180" t="s">
        <v>116</v>
      </c>
      <c r="U16" s="180" t="s">
        <v>116</v>
      </c>
      <c r="V16" s="180" t="s">
        <v>116</v>
      </c>
      <c r="W16" s="180" t="s">
        <v>116</v>
      </c>
      <c r="X16" s="180" t="s">
        <v>116</v>
      </c>
      <c r="Y16" s="180" t="s">
        <v>116</v>
      </c>
      <c r="Z16" s="180" t="s">
        <v>116</v>
      </c>
      <c r="AA16" s="180" t="s">
        <v>116</v>
      </c>
      <c r="AB16" s="180" t="s">
        <v>116</v>
      </c>
      <c r="AC16" s="180" t="s">
        <v>116</v>
      </c>
      <c r="AD16" s="180" t="s">
        <v>116</v>
      </c>
      <c r="AE16" s="180" t="s">
        <v>116</v>
      </c>
      <c r="AF16" s="180" t="s">
        <v>116</v>
      </c>
      <c r="AG16" s="180" t="s">
        <v>116</v>
      </c>
      <c r="AH16" s="180" t="s">
        <v>118</v>
      </c>
      <c r="AI16" s="180" t="s">
        <v>118</v>
      </c>
      <c r="AJ16" s="180" t="s">
        <v>118</v>
      </c>
      <c r="AK16" s="180" t="s">
        <v>116</v>
      </c>
      <c r="AL16" s="180" t="s">
        <v>116</v>
      </c>
      <c r="AM16" s="180" t="s">
        <v>116</v>
      </c>
      <c r="AN16" s="180" t="s">
        <v>116</v>
      </c>
      <c r="AO16" s="180" t="s">
        <v>116</v>
      </c>
      <c r="AP16" s="180" t="s">
        <v>116</v>
      </c>
      <c r="AQ16" s="180" t="s">
        <v>116</v>
      </c>
      <c r="AR16" s="180" t="s">
        <v>116</v>
      </c>
      <c r="AS16" s="180" t="s">
        <v>116</v>
      </c>
      <c r="AT16" s="180" t="s">
        <v>116</v>
      </c>
      <c r="AU16" s="180" t="s">
        <v>116</v>
      </c>
      <c r="AV16" s="180" t="s">
        <v>116</v>
      </c>
      <c r="AW16" s="180" t="s">
        <v>116</v>
      </c>
      <c r="AX16" s="180" t="s">
        <v>116</v>
      </c>
      <c r="AY16" s="180" t="s">
        <v>116</v>
      </c>
      <c r="AZ16" s="180" t="s">
        <v>116</v>
      </c>
      <c r="BA16" s="180" t="s">
        <v>116</v>
      </c>
      <c r="BB16" s="180" t="s">
        <v>116</v>
      </c>
      <c r="BC16" s="180" t="s">
        <v>116</v>
      </c>
      <c r="BD16" s="180" t="s">
        <v>116</v>
      </c>
      <c r="BE16" s="180" t="s">
        <v>116</v>
      </c>
      <c r="BF16" s="180" t="s">
        <v>116</v>
      </c>
      <c r="BG16" s="180" t="s">
        <v>116</v>
      </c>
      <c r="BH16" s="180" t="s">
        <v>116</v>
      </c>
      <c r="BI16" s="180" t="s">
        <v>116</v>
      </c>
      <c r="BJ16" s="180" t="s">
        <v>116</v>
      </c>
      <c r="BK16" s="180" t="s">
        <v>116</v>
      </c>
      <c r="BL16" s="180" t="s">
        <v>116</v>
      </c>
      <c r="BM16" s="180" t="s">
        <v>116</v>
      </c>
      <c r="BN16" s="180" t="s">
        <v>116</v>
      </c>
      <c r="BO16" s="180" t="s">
        <v>116</v>
      </c>
      <c r="BP16" s="180" t="s">
        <v>116</v>
      </c>
      <c r="BQ16" s="180" t="s">
        <v>116</v>
      </c>
      <c r="BR16" s="180" t="s">
        <v>116</v>
      </c>
      <c r="BS16" s="180" t="s">
        <v>116</v>
      </c>
      <c r="BT16" s="180" t="s">
        <v>116</v>
      </c>
      <c r="BU16" s="180" t="s">
        <v>116</v>
      </c>
      <c r="BV16" s="180" t="s">
        <v>116</v>
      </c>
      <c r="BW16" s="180" t="s">
        <v>116</v>
      </c>
      <c r="BX16" s="180" t="s">
        <v>116</v>
      </c>
      <c r="BY16" s="180" t="s">
        <v>116</v>
      </c>
      <c r="BZ16" s="180" t="s">
        <v>116</v>
      </c>
      <c r="CA16" s="180" t="s">
        <v>116</v>
      </c>
      <c r="CB16" s="180" t="s">
        <v>116</v>
      </c>
      <c r="CC16" s="180" t="s">
        <v>116</v>
      </c>
      <c r="CD16" s="180" t="s">
        <v>116</v>
      </c>
      <c r="CE16" s="180" t="s">
        <v>116</v>
      </c>
      <c r="CF16" s="180" t="s">
        <v>116</v>
      </c>
      <c r="CG16" s="180" t="s">
        <v>116</v>
      </c>
      <c r="CH16" s="180" t="s">
        <v>116</v>
      </c>
      <c r="CI16" s="180" t="s">
        <v>116</v>
      </c>
      <c r="CJ16" s="180" t="s">
        <v>116</v>
      </c>
      <c r="CK16" s="180" t="s">
        <v>116</v>
      </c>
      <c r="CL16" s="180" t="s">
        <v>116</v>
      </c>
      <c r="CM16" s="180" t="s">
        <v>116</v>
      </c>
      <c r="CN16" s="180" t="s">
        <v>116</v>
      </c>
      <c r="CO16" s="180" t="s">
        <v>116</v>
      </c>
      <c r="CP16" s="180" t="s">
        <v>116</v>
      </c>
      <c r="CQ16" s="180" t="s">
        <v>116</v>
      </c>
      <c r="CR16" s="180" t="s">
        <v>116</v>
      </c>
      <c r="CS16" s="180" t="s">
        <v>116</v>
      </c>
      <c r="CT16" s="180" t="s">
        <v>116</v>
      </c>
      <c r="CU16" s="180" t="s">
        <v>116</v>
      </c>
      <c r="CV16" s="180" t="s">
        <v>116</v>
      </c>
      <c r="CW16" s="180" t="s">
        <v>116</v>
      </c>
      <c r="CX16" s="180" t="s">
        <v>116</v>
      </c>
      <c r="CY16" s="180" t="s">
        <v>116</v>
      </c>
      <c r="CZ16" s="180" t="s">
        <v>116</v>
      </c>
      <c r="DA16" s="180" t="s">
        <v>116</v>
      </c>
      <c r="DB16" s="180" t="s">
        <v>116</v>
      </c>
      <c r="DC16" s="180" t="s">
        <v>116</v>
      </c>
      <c r="DD16" s="180" t="s">
        <v>116</v>
      </c>
      <c r="DE16" s="180" t="s">
        <v>116</v>
      </c>
      <c r="DF16" s="180" t="s">
        <v>116</v>
      </c>
      <c r="DG16" s="180" t="s">
        <v>116</v>
      </c>
      <c r="DH16" s="180" t="s">
        <v>116</v>
      </c>
      <c r="DI16" s="180" t="s">
        <v>116</v>
      </c>
      <c r="DJ16" s="180" t="s">
        <v>116</v>
      </c>
      <c r="DK16" s="180" t="s">
        <v>116</v>
      </c>
      <c r="DL16" s="180" t="s">
        <v>116</v>
      </c>
      <c r="DM16" s="180" t="s">
        <v>116</v>
      </c>
      <c r="DN16" s="180" t="s">
        <v>116</v>
      </c>
      <c r="DO16" s="180" t="s">
        <v>116</v>
      </c>
      <c r="DP16" s="180" t="s">
        <v>116</v>
      </c>
      <c r="DQ16" s="180" t="s">
        <v>116</v>
      </c>
      <c r="DR16" s="180" t="s">
        <v>116</v>
      </c>
      <c r="DS16" s="180" t="s">
        <v>116</v>
      </c>
      <c r="DT16" s="180" t="s">
        <v>116</v>
      </c>
      <c r="DU16" s="180" t="s">
        <v>116</v>
      </c>
      <c r="DV16" s="181"/>
      <c r="DW16" s="148"/>
      <c r="DX16" s="148"/>
    </row>
    <row r="17" spans="1:128" ht="51">
      <c r="A17" s="149" t="s">
        <v>669</v>
      </c>
      <c r="B17" s="157" t="s">
        <v>670</v>
      </c>
      <c r="C17" s="180" t="s">
        <v>116</v>
      </c>
      <c r="D17" s="180" t="s">
        <v>116</v>
      </c>
      <c r="E17" s="180" t="s">
        <v>116</v>
      </c>
      <c r="F17" s="180" t="s">
        <v>116</v>
      </c>
      <c r="G17" s="180" t="s">
        <v>116</v>
      </c>
      <c r="H17" s="180" t="s">
        <v>116</v>
      </c>
      <c r="I17" s="180" t="s">
        <v>118</v>
      </c>
      <c r="J17" s="180" t="s">
        <v>116</v>
      </c>
      <c r="K17" s="180" t="s">
        <v>116</v>
      </c>
      <c r="L17" s="180" t="s">
        <v>116</v>
      </c>
      <c r="M17" s="180" t="s">
        <v>116</v>
      </c>
      <c r="N17" s="180" t="s">
        <v>116</v>
      </c>
      <c r="O17" s="180" t="s">
        <v>116</v>
      </c>
      <c r="P17" s="180" t="s">
        <v>118</v>
      </c>
      <c r="Q17" s="180" t="s">
        <v>116</v>
      </c>
      <c r="R17" s="180" t="s">
        <v>116</v>
      </c>
      <c r="S17" s="180" t="s">
        <v>116</v>
      </c>
      <c r="T17" s="180" t="s">
        <v>116</v>
      </c>
      <c r="U17" s="180" t="s">
        <v>116</v>
      </c>
      <c r="V17" s="180" t="s">
        <v>118</v>
      </c>
      <c r="W17" s="180" t="s">
        <v>118</v>
      </c>
      <c r="X17" s="180" t="s">
        <v>118</v>
      </c>
      <c r="Y17" s="180" t="s">
        <v>118</v>
      </c>
      <c r="Z17" s="180" t="s">
        <v>116</v>
      </c>
      <c r="AA17" s="180" t="s">
        <v>116</v>
      </c>
      <c r="AB17" s="180" t="s">
        <v>116</v>
      </c>
      <c r="AC17" s="180" t="s">
        <v>116</v>
      </c>
      <c r="AD17" s="180" t="s">
        <v>116</v>
      </c>
      <c r="AE17" s="180" t="s">
        <v>116</v>
      </c>
      <c r="AF17" s="180" t="s">
        <v>116</v>
      </c>
      <c r="AG17" s="180" t="s">
        <v>116</v>
      </c>
      <c r="AH17" s="180" t="s">
        <v>116</v>
      </c>
      <c r="AI17" s="180" t="s">
        <v>116</v>
      </c>
      <c r="AJ17" s="180" t="s">
        <v>116</v>
      </c>
      <c r="AK17" s="180" t="s">
        <v>116</v>
      </c>
      <c r="AL17" s="180" t="s">
        <v>116</v>
      </c>
      <c r="AM17" s="180" t="s">
        <v>116</v>
      </c>
      <c r="AN17" s="180" t="s">
        <v>116</v>
      </c>
      <c r="AO17" s="180" t="s">
        <v>116</v>
      </c>
      <c r="AP17" s="180" t="s">
        <v>116</v>
      </c>
      <c r="AQ17" s="180" t="s">
        <v>116</v>
      </c>
      <c r="AR17" s="180" t="s">
        <v>118</v>
      </c>
      <c r="AS17" s="180" t="s">
        <v>116</v>
      </c>
      <c r="AT17" s="180" t="s">
        <v>116</v>
      </c>
      <c r="AU17" s="180" t="s">
        <v>116</v>
      </c>
      <c r="AV17" s="180" t="s">
        <v>116</v>
      </c>
      <c r="AW17" s="180" t="s">
        <v>118</v>
      </c>
      <c r="AX17" s="180" t="s">
        <v>118</v>
      </c>
      <c r="AY17" s="180" t="s">
        <v>118</v>
      </c>
      <c r="AZ17" s="180" t="s">
        <v>118</v>
      </c>
      <c r="BA17" s="180" t="s">
        <v>116</v>
      </c>
      <c r="BB17" s="180" t="s">
        <v>118</v>
      </c>
      <c r="BC17" s="180" t="s">
        <v>118</v>
      </c>
      <c r="BD17" s="180" t="s">
        <v>118</v>
      </c>
      <c r="BE17" s="180" t="s">
        <v>116</v>
      </c>
      <c r="BF17" s="180" t="s">
        <v>118</v>
      </c>
      <c r="BG17" s="180" t="s">
        <v>116</v>
      </c>
      <c r="BH17" s="180" t="s">
        <v>116</v>
      </c>
      <c r="BI17" s="180" t="s">
        <v>116</v>
      </c>
      <c r="BJ17" s="180" t="s">
        <v>116</v>
      </c>
      <c r="BK17" s="180" t="s">
        <v>116</v>
      </c>
      <c r="BL17" s="180" t="s">
        <v>116</v>
      </c>
      <c r="BM17" s="180" t="s">
        <v>116</v>
      </c>
      <c r="BN17" s="180" t="s">
        <v>116</v>
      </c>
      <c r="BO17" s="180" t="s">
        <v>116</v>
      </c>
      <c r="BP17" s="180" t="s">
        <v>116</v>
      </c>
      <c r="BQ17" s="180" t="s">
        <v>116</v>
      </c>
      <c r="BR17" s="180" t="s">
        <v>116</v>
      </c>
      <c r="BS17" s="180" t="s">
        <v>116</v>
      </c>
      <c r="BT17" s="180" t="s">
        <v>116</v>
      </c>
      <c r="BU17" s="180" t="s">
        <v>116</v>
      </c>
      <c r="BV17" s="180" t="s">
        <v>116</v>
      </c>
      <c r="BW17" s="180" t="s">
        <v>116</v>
      </c>
      <c r="BX17" s="180" t="s">
        <v>116</v>
      </c>
      <c r="BY17" s="180" t="s">
        <v>116</v>
      </c>
      <c r="BZ17" s="180" t="s">
        <v>116</v>
      </c>
      <c r="CA17" s="180" t="s">
        <v>116</v>
      </c>
      <c r="CB17" s="180" t="s">
        <v>116</v>
      </c>
      <c r="CC17" s="180" t="s">
        <v>116</v>
      </c>
      <c r="CD17" s="180" t="s">
        <v>116</v>
      </c>
      <c r="CE17" s="180" t="s">
        <v>116</v>
      </c>
      <c r="CF17" s="180" t="s">
        <v>116</v>
      </c>
      <c r="CG17" s="180" t="s">
        <v>116</v>
      </c>
      <c r="CH17" s="180" t="s">
        <v>116</v>
      </c>
      <c r="CI17" s="180" t="s">
        <v>116</v>
      </c>
      <c r="CJ17" s="180" t="s">
        <v>116</v>
      </c>
      <c r="CK17" s="180" t="s">
        <v>116</v>
      </c>
      <c r="CL17" s="180" t="s">
        <v>116</v>
      </c>
      <c r="CM17" s="180" t="s">
        <v>118</v>
      </c>
      <c r="CN17" s="180" t="s">
        <v>116</v>
      </c>
      <c r="CO17" s="180" t="s">
        <v>116</v>
      </c>
      <c r="CP17" s="180" t="s">
        <v>116</v>
      </c>
      <c r="CQ17" s="180" t="s">
        <v>116</v>
      </c>
      <c r="CR17" s="180" t="s">
        <v>116</v>
      </c>
      <c r="CS17" s="180" t="s">
        <v>116</v>
      </c>
      <c r="CT17" s="180" t="s">
        <v>116</v>
      </c>
      <c r="CU17" s="180" t="s">
        <v>116</v>
      </c>
      <c r="CV17" s="180" t="s">
        <v>116</v>
      </c>
      <c r="CW17" s="180" t="s">
        <v>116</v>
      </c>
      <c r="CX17" s="180" t="s">
        <v>116</v>
      </c>
      <c r="CY17" s="180" t="s">
        <v>118</v>
      </c>
      <c r="CZ17" s="180" t="s">
        <v>116</v>
      </c>
      <c r="DA17" s="180" t="s">
        <v>116</v>
      </c>
      <c r="DB17" s="180" t="s">
        <v>116</v>
      </c>
      <c r="DC17" s="180" t="s">
        <v>116</v>
      </c>
      <c r="DD17" s="180" t="s">
        <v>116</v>
      </c>
      <c r="DE17" s="180" t="s">
        <v>116</v>
      </c>
      <c r="DF17" s="180" t="s">
        <v>116</v>
      </c>
      <c r="DG17" s="180" t="s">
        <v>116</v>
      </c>
      <c r="DH17" s="180" t="s">
        <v>116</v>
      </c>
      <c r="DI17" s="180" t="s">
        <v>116</v>
      </c>
      <c r="DJ17" s="180" t="s">
        <v>116</v>
      </c>
      <c r="DK17" s="180" t="s">
        <v>116</v>
      </c>
      <c r="DL17" s="180" t="s">
        <v>116</v>
      </c>
      <c r="DM17" s="180" t="s">
        <v>116</v>
      </c>
      <c r="DN17" s="180" t="s">
        <v>116</v>
      </c>
      <c r="DO17" s="180" t="s">
        <v>116</v>
      </c>
      <c r="DP17" s="180" t="s">
        <v>116</v>
      </c>
      <c r="DQ17" s="180" t="s">
        <v>116</v>
      </c>
      <c r="DR17" s="180" t="s">
        <v>116</v>
      </c>
      <c r="DS17" s="180" t="s">
        <v>116</v>
      </c>
      <c r="DT17" s="180" t="s">
        <v>116</v>
      </c>
      <c r="DU17" s="180" t="s">
        <v>116</v>
      </c>
      <c r="DV17" s="181"/>
      <c r="DW17" s="148"/>
      <c r="DX17" s="148"/>
    </row>
    <row r="18" spans="1:128" ht="38.25">
      <c r="A18" s="149" t="s">
        <v>671</v>
      </c>
      <c r="B18" s="157" t="s">
        <v>672</v>
      </c>
      <c r="C18" s="180" t="s">
        <v>116</v>
      </c>
      <c r="D18" s="180" t="s">
        <v>116</v>
      </c>
      <c r="E18" s="180" t="s">
        <v>116</v>
      </c>
      <c r="F18" s="180" t="s">
        <v>116</v>
      </c>
      <c r="G18" s="180" t="s">
        <v>116</v>
      </c>
      <c r="H18" s="180" t="s">
        <v>116</v>
      </c>
      <c r="I18" s="180" t="s">
        <v>116</v>
      </c>
      <c r="J18" s="180" t="s">
        <v>116</v>
      </c>
      <c r="K18" s="180" t="s">
        <v>116</v>
      </c>
      <c r="L18" s="180" t="s">
        <v>116</v>
      </c>
      <c r="M18" s="180" t="s">
        <v>116</v>
      </c>
      <c r="N18" s="180" t="s">
        <v>116</v>
      </c>
      <c r="O18" s="180" t="s">
        <v>116</v>
      </c>
      <c r="P18" s="180" t="s">
        <v>116</v>
      </c>
      <c r="Q18" s="180" t="s">
        <v>116</v>
      </c>
      <c r="R18" s="180" t="s">
        <v>116</v>
      </c>
      <c r="S18" s="180" t="s">
        <v>116</v>
      </c>
      <c r="T18" s="180" t="s">
        <v>116</v>
      </c>
      <c r="U18" s="180" t="s">
        <v>116</v>
      </c>
      <c r="V18" s="180" t="s">
        <v>116</v>
      </c>
      <c r="W18" s="180" t="s">
        <v>116</v>
      </c>
      <c r="X18" s="180" t="s">
        <v>116</v>
      </c>
      <c r="Y18" s="180" t="s">
        <v>116</v>
      </c>
      <c r="Z18" s="180" t="s">
        <v>116</v>
      </c>
      <c r="AA18" s="180" t="s">
        <v>116</v>
      </c>
      <c r="AB18" s="180" t="s">
        <v>116</v>
      </c>
      <c r="AC18" s="180" t="s">
        <v>116</v>
      </c>
      <c r="AD18" s="180" t="s">
        <v>116</v>
      </c>
      <c r="AE18" s="180" t="s">
        <v>116</v>
      </c>
      <c r="AF18" s="180" t="s">
        <v>116</v>
      </c>
      <c r="AG18" s="180" t="s">
        <v>116</v>
      </c>
      <c r="AH18" s="180" t="s">
        <v>116</v>
      </c>
      <c r="AI18" s="180" t="s">
        <v>116</v>
      </c>
      <c r="AJ18" s="180" t="s">
        <v>116</v>
      </c>
      <c r="AK18" s="180" t="s">
        <v>116</v>
      </c>
      <c r="AL18" s="180" t="s">
        <v>116</v>
      </c>
      <c r="AM18" s="180" t="s">
        <v>116</v>
      </c>
      <c r="AN18" s="180" t="s">
        <v>116</v>
      </c>
      <c r="AO18" s="180" t="s">
        <v>116</v>
      </c>
      <c r="AP18" s="180" t="s">
        <v>116</v>
      </c>
      <c r="AQ18" s="180" t="s">
        <v>116</v>
      </c>
      <c r="AR18" s="180" t="s">
        <v>116</v>
      </c>
      <c r="AS18" s="180" t="s">
        <v>116</v>
      </c>
      <c r="AT18" s="180" t="s">
        <v>116</v>
      </c>
      <c r="AU18" s="180" t="s">
        <v>116</v>
      </c>
      <c r="AV18" s="180" t="s">
        <v>116</v>
      </c>
      <c r="AW18" s="180" t="s">
        <v>116</v>
      </c>
      <c r="AX18" s="180" t="s">
        <v>116</v>
      </c>
      <c r="AY18" s="180" t="s">
        <v>116</v>
      </c>
      <c r="AZ18" s="180" t="s">
        <v>116</v>
      </c>
      <c r="BA18" s="180" t="s">
        <v>116</v>
      </c>
      <c r="BB18" s="180" t="s">
        <v>116</v>
      </c>
      <c r="BC18" s="180" t="s">
        <v>116</v>
      </c>
      <c r="BD18" s="180" t="s">
        <v>116</v>
      </c>
      <c r="BE18" s="180" t="s">
        <v>116</v>
      </c>
      <c r="BF18" s="180" t="s">
        <v>116</v>
      </c>
      <c r="BG18" s="180" t="s">
        <v>116</v>
      </c>
      <c r="BH18" s="180" t="s">
        <v>116</v>
      </c>
      <c r="BI18" s="180" t="s">
        <v>116</v>
      </c>
      <c r="BJ18" s="180" t="s">
        <v>116</v>
      </c>
      <c r="BK18" s="180" t="s">
        <v>116</v>
      </c>
      <c r="BL18" s="180" t="s">
        <v>116</v>
      </c>
      <c r="BM18" s="180" t="s">
        <v>116</v>
      </c>
      <c r="BN18" s="180" t="s">
        <v>116</v>
      </c>
      <c r="BO18" s="180" t="s">
        <v>116</v>
      </c>
      <c r="BP18" s="180" t="s">
        <v>116</v>
      </c>
      <c r="BQ18" s="180" t="s">
        <v>116</v>
      </c>
      <c r="BR18" s="180" t="s">
        <v>116</v>
      </c>
      <c r="BS18" s="180" t="s">
        <v>116</v>
      </c>
      <c r="BT18" s="180" t="s">
        <v>116</v>
      </c>
      <c r="BU18" s="180" t="s">
        <v>116</v>
      </c>
      <c r="BV18" s="180" t="s">
        <v>116</v>
      </c>
      <c r="BW18" s="180" t="s">
        <v>116</v>
      </c>
      <c r="BX18" s="180" t="s">
        <v>116</v>
      </c>
      <c r="BY18" s="180" t="s">
        <v>116</v>
      </c>
      <c r="BZ18" s="180" t="s">
        <v>116</v>
      </c>
      <c r="CA18" s="180" t="s">
        <v>116</v>
      </c>
      <c r="CB18" s="180" t="s">
        <v>116</v>
      </c>
      <c r="CC18" s="180" t="s">
        <v>116</v>
      </c>
      <c r="CD18" s="180" t="s">
        <v>116</v>
      </c>
      <c r="CE18" s="180" t="s">
        <v>116</v>
      </c>
      <c r="CF18" s="180" t="s">
        <v>116</v>
      </c>
      <c r="CG18" s="180" t="s">
        <v>116</v>
      </c>
      <c r="CH18" s="180" t="s">
        <v>116</v>
      </c>
      <c r="CI18" s="180" t="s">
        <v>116</v>
      </c>
      <c r="CJ18" s="180" t="s">
        <v>116</v>
      </c>
      <c r="CK18" s="180" t="s">
        <v>116</v>
      </c>
      <c r="CL18" s="180" t="s">
        <v>116</v>
      </c>
      <c r="CM18" s="180" t="s">
        <v>116</v>
      </c>
      <c r="CN18" s="180" t="s">
        <v>116</v>
      </c>
      <c r="CO18" s="180" t="s">
        <v>116</v>
      </c>
      <c r="CP18" s="180" t="s">
        <v>116</v>
      </c>
      <c r="CQ18" s="180" t="s">
        <v>116</v>
      </c>
      <c r="CR18" s="180" t="s">
        <v>116</v>
      </c>
      <c r="CS18" s="180" t="s">
        <v>116</v>
      </c>
      <c r="CT18" s="180" t="s">
        <v>116</v>
      </c>
      <c r="CU18" s="180" t="s">
        <v>116</v>
      </c>
      <c r="CV18" s="180" t="s">
        <v>116</v>
      </c>
      <c r="CW18" s="180" t="s">
        <v>116</v>
      </c>
      <c r="CX18" s="180" t="s">
        <v>116</v>
      </c>
      <c r="CY18" s="180" t="s">
        <v>116</v>
      </c>
      <c r="CZ18" s="180" t="s">
        <v>116</v>
      </c>
      <c r="DA18" s="180" t="s">
        <v>116</v>
      </c>
      <c r="DB18" s="180" t="s">
        <v>116</v>
      </c>
      <c r="DC18" s="180" t="s">
        <v>116</v>
      </c>
      <c r="DD18" s="180" t="s">
        <v>116</v>
      </c>
      <c r="DE18" s="180" t="s">
        <v>116</v>
      </c>
      <c r="DF18" s="180" t="s">
        <v>116</v>
      </c>
      <c r="DG18" s="180" t="s">
        <v>116</v>
      </c>
      <c r="DH18" s="180" t="s">
        <v>116</v>
      </c>
      <c r="DI18" s="180" t="s">
        <v>116</v>
      </c>
      <c r="DJ18" s="180" t="s">
        <v>116</v>
      </c>
      <c r="DK18" s="180" t="s">
        <v>116</v>
      </c>
      <c r="DL18" s="180" t="s">
        <v>116</v>
      </c>
      <c r="DM18" s="180" t="s">
        <v>116</v>
      </c>
      <c r="DN18" s="180" t="s">
        <v>116</v>
      </c>
      <c r="DO18" s="180" t="s">
        <v>116</v>
      </c>
      <c r="DP18" s="180" t="s">
        <v>116</v>
      </c>
      <c r="DQ18" s="180" t="s">
        <v>116</v>
      </c>
      <c r="DR18" s="180" t="s">
        <v>116</v>
      </c>
      <c r="DS18" s="180" t="s">
        <v>116</v>
      </c>
      <c r="DT18" s="180" t="s">
        <v>116</v>
      </c>
      <c r="DU18" s="180" t="s">
        <v>116</v>
      </c>
      <c r="DV18" s="181"/>
      <c r="DW18" s="148"/>
      <c r="DX18" s="148"/>
    </row>
    <row r="19" spans="1:128" ht="51">
      <c r="A19" s="149" t="s">
        <v>673</v>
      </c>
      <c r="B19" s="157" t="s">
        <v>674</v>
      </c>
      <c r="C19" s="180" t="s">
        <v>116</v>
      </c>
      <c r="D19" s="180" t="s">
        <v>116</v>
      </c>
      <c r="E19" s="180" t="s">
        <v>116</v>
      </c>
      <c r="F19" s="180" t="s">
        <v>116</v>
      </c>
      <c r="G19" s="180" t="s">
        <v>116</v>
      </c>
      <c r="H19" s="180" t="s">
        <v>116</v>
      </c>
      <c r="I19" s="180" t="s">
        <v>116</v>
      </c>
      <c r="J19" s="180" t="s">
        <v>116</v>
      </c>
      <c r="K19" s="180" t="s">
        <v>116</v>
      </c>
      <c r="L19" s="180" t="s">
        <v>116</v>
      </c>
      <c r="M19" s="180" t="s">
        <v>116</v>
      </c>
      <c r="N19" s="180" t="s">
        <v>116</v>
      </c>
      <c r="O19" s="180" t="s">
        <v>116</v>
      </c>
      <c r="P19" s="180" t="s">
        <v>116</v>
      </c>
      <c r="Q19" s="180" t="s">
        <v>116</v>
      </c>
      <c r="R19" s="180" t="s">
        <v>116</v>
      </c>
      <c r="S19" s="180" t="s">
        <v>116</v>
      </c>
      <c r="T19" s="180" t="s">
        <v>116</v>
      </c>
      <c r="U19" s="180" t="s">
        <v>116</v>
      </c>
      <c r="V19" s="180" t="s">
        <v>116</v>
      </c>
      <c r="W19" s="180" t="s">
        <v>116</v>
      </c>
      <c r="X19" s="180" t="s">
        <v>116</v>
      </c>
      <c r="Y19" s="180" t="s">
        <v>116</v>
      </c>
      <c r="Z19" s="180" t="s">
        <v>116</v>
      </c>
      <c r="AA19" s="180" t="s">
        <v>116</v>
      </c>
      <c r="AB19" s="180" t="s">
        <v>116</v>
      </c>
      <c r="AC19" s="180" t="s">
        <v>116</v>
      </c>
      <c r="AD19" s="180" t="s">
        <v>116</v>
      </c>
      <c r="AE19" s="180" t="s">
        <v>116</v>
      </c>
      <c r="AF19" s="180" t="s">
        <v>116</v>
      </c>
      <c r="AG19" s="180" t="s">
        <v>116</v>
      </c>
      <c r="AH19" s="180" t="s">
        <v>116</v>
      </c>
      <c r="AI19" s="180" t="s">
        <v>116</v>
      </c>
      <c r="AJ19" s="180" t="s">
        <v>116</v>
      </c>
      <c r="AK19" s="180" t="s">
        <v>116</v>
      </c>
      <c r="AL19" s="180" t="s">
        <v>116</v>
      </c>
      <c r="AM19" s="180" t="s">
        <v>116</v>
      </c>
      <c r="AN19" s="180" t="s">
        <v>116</v>
      </c>
      <c r="AO19" s="180" t="s">
        <v>116</v>
      </c>
      <c r="AP19" s="180" t="s">
        <v>116</v>
      </c>
      <c r="AQ19" s="180" t="s">
        <v>116</v>
      </c>
      <c r="AR19" s="180" t="s">
        <v>116</v>
      </c>
      <c r="AS19" s="180" t="s">
        <v>116</v>
      </c>
      <c r="AT19" s="180" t="s">
        <v>116</v>
      </c>
      <c r="AU19" s="180" t="s">
        <v>116</v>
      </c>
      <c r="AV19" s="180" t="s">
        <v>116</v>
      </c>
      <c r="AW19" s="180" t="s">
        <v>116</v>
      </c>
      <c r="AX19" s="180" t="s">
        <v>116</v>
      </c>
      <c r="AY19" s="180" t="s">
        <v>116</v>
      </c>
      <c r="AZ19" s="180" t="s">
        <v>116</v>
      </c>
      <c r="BA19" s="180" t="s">
        <v>116</v>
      </c>
      <c r="BB19" s="180" t="s">
        <v>116</v>
      </c>
      <c r="BC19" s="180" t="s">
        <v>116</v>
      </c>
      <c r="BD19" s="180" t="s">
        <v>116</v>
      </c>
      <c r="BE19" s="180" t="s">
        <v>116</v>
      </c>
      <c r="BF19" s="180" t="s">
        <v>116</v>
      </c>
      <c r="BG19" s="180" t="s">
        <v>116</v>
      </c>
      <c r="BH19" s="180" t="s">
        <v>116</v>
      </c>
      <c r="BI19" s="180" t="s">
        <v>116</v>
      </c>
      <c r="BJ19" s="180" t="s">
        <v>116</v>
      </c>
      <c r="BK19" s="180" t="s">
        <v>116</v>
      </c>
      <c r="BL19" s="180" t="s">
        <v>116</v>
      </c>
      <c r="BM19" s="180" t="s">
        <v>116</v>
      </c>
      <c r="BN19" s="180" t="s">
        <v>116</v>
      </c>
      <c r="BO19" s="180" t="s">
        <v>116</v>
      </c>
      <c r="BP19" s="180" t="s">
        <v>116</v>
      </c>
      <c r="BQ19" s="180" t="s">
        <v>116</v>
      </c>
      <c r="BR19" s="180" t="s">
        <v>116</v>
      </c>
      <c r="BS19" s="180" t="s">
        <v>116</v>
      </c>
      <c r="BT19" s="180" t="s">
        <v>116</v>
      </c>
      <c r="BU19" s="180" t="s">
        <v>116</v>
      </c>
      <c r="BV19" s="180" t="s">
        <v>116</v>
      </c>
      <c r="BW19" s="180" t="s">
        <v>116</v>
      </c>
      <c r="BX19" s="180" t="s">
        <v>116</v>
      </c>
      <c r="BY19" s="180" t="s">
        <v>116</v>
      </c>
      <c r="BZ19" s="180" t="s">
        <v>116</v>
      </c>
      <c r="CA19" s="180" t="s">
        <v>116</v>
      </c>
      <c r="CB19" s="180" t="s">
        <v>116</v>
      </c>
      <c r="CC19" s="180" t="s">
        <v>116</v>
      </c>
      <c r="CD19" s="180" t="s">
        <v>116</v>
      </c>
      <c r="CE19" s="180" t="s">
        <v>116</v>
      </c>
      <c r="CF19" s="180" t="s">
        <v>116</v>
      </c>
      <c r="CG19" s="180" t="s">
        <v>116</v>
      </c>
      <c r="CH19" s="180" t="s">
        <v>116</v>
      </c>
      <c r="CI19" s="180" t="s">
        <v>116</v>
      </c>
      <c r="CJ19" s="180" t="s">
        <v>116</v>
      </c>
      <c r="CK19" s="180" t="s">
        <v>116</v>
      </c>
      <c r="CL19" s="180" t="s">
        <v>116</v>
      </c>
      <c r="CM19" s="180" t="s">
        <v>116</v>
      </c>
      <c r="CN19" s="180" t="s">
        <v>116</v>
      </c>
      <c r="CO19" s="180" t="s">
        <v>116</v>
      </c>
      <c r="CP19" s="180" t="s">
        <v>116</v>
      </c>
      <c r="CQ19" s="180" t="s">
        <v>116</v>
      </c>
      <c r="CR19" s="180" t="s">
        <v>116</v>
      </c>
      <c r="CS19" s="180" t="s">
        <v>116</v>
      </c>
      <c r="CT19" s="180" t="s">
        <v>116</v>
      </c>
      <c r="CU19" s="180" t="s">
        <v>116</v>
      </c>
      <c r="CV19" s="180" t="s">
        <v>116</v>
      </c>
      <c r="CW19" s="180" t="s">
        <v>116</v>
      </c>
      <c r="CX19" s="180" t="s">
        <v>116</v>
      </c>
      <c r="CY19" s="180" t="s">
        <v>116</v>
      </c>
      <c r="CZ19" s="180" t="s">
        <v>116</v>
      </c>
      <c r="DA19" s="180" t="s">
        <v>116</v>
      </c>
      <c r="DB19" s="180" t="s">
        <v>116</v>
      </c>
      <c r="DC19" s="180" t="s">
        <v>116</v>
      </c>
      <c r="DD19" s="180" t="s">
        <v>116</v>
      </c>
      <c r="DE19" s="180" t="s">
        <v>116</v>
      </c>
      <c r="DF19" s="180" t="s">
        <v>116</v>
      </c>
      <c r="DG19" s="180" t="s">
        <v>116</v>
      </c>
      <c r="DH19" s="180" t="s">
        <v>116</v>
      </c>
      <c r="DI19" s="180" t="s">
        <v>116</v>
      </c>
      <c r="DJ19" s="180" t="s">
        <v>116</v>
      </c>
      <c r="DK19" s="180" t="s">
        <v>116</v>
      </c>
      <c r="DL19" s="180" t="s">
        <v>116</v>
      </c>
      <c r="DM19" s="180" t="s">
        <v>116</v>
      </c>
      <c r="DN19" s="180" t="s">
        <v>116</v>
      </c>
      <c r="DO19" s="180" t="s">
        <v>116</v>
      </c>
      <c r="DP19" s="180" t="s">
        <v>116</v>
      </c>
      <c r="DQ19" s="180" t="s">
        <v>116</v>
      </c>
      <c r="DR19" s="180" t="s">
        <v>116</v>
      </c>
      <c r="DS19" s="180" t="s">
        <v>116</v>
      </c>
      <c r="DT19" s="180" t="s">
        <v>116</v>
      </c>
      <c r="DU19" s="180" t="s">
        <v>116</v>
      </c>
      <c r="DV19" s="181"/>
      <c r="DW19" s="148"/>
      <c r="DX19" s="148"/>
    </row>
    <row r="20" spans="1:128" ht="38.25">
      <c r="A20" s="149" t="s">
        <v>675</v>
      </c>
      <c r="B20" s="157" t="s">
        <v>676</v>
      </c>
      <c r="C20" s="180" t="s">
        <v>116</v>
      </c>
      <c r="D20" s="180" t="s">
        <v>116</v>
      </c>
      <c r="E20" s="180" t="s">
        <v>116</v>
      </c>
      <c r="F20" s="180" t="s">
        <v>116</v>
      </c>
      <c r="G20" s="180" t="s">
        <v>116</v>
      </c>
      <c r="H20" s="180" t="s">
        <v>116</v>
      </c>
      <c r="I20" s="180" t="s">
        <v>116</v>
      </c>
      <c r="J20" s="180" t="s">
        <v>116</v>
      </c>
      <c r="K20" s="180" t="s">
        <v>116</v>
      </c>
      <c r="L20" s="180" t="s">
        <v>116</v>
      </c>
      <c r="M20" s="180" t="s">
        <v>116</v>
      </c>
      <c r="N20" s="180" t="s">
        <v>116</v>
      </c>
      <c r="O20" s="180" t="s">
        <v>116</v>
      </c>
      <c r="P20" s="180" t="s">
        <v>116</v>
      </c>
      <c r="Q20" s="180" t="s">
        <v>116</v>
      </c>
      <c r="R20" s="180" t="s">
        <v>116</v>
      </c>
      <c r="S20" s="180" t="s">
        <v>116</v>
      </c>
      <c r="T20" s="180" t="s">
        <v>116</v>
      </c>
      <c r="U20" s="180" t="s">
        <v>116</v>
      </c>
      <c r="V20" s="180" t="s">
        <v>116</v>
      </c>
      <c r="W20" s="180" t="s">
        <v>116</v>
      </c>
      <c r="X20" s="180" t="s">
        <v>116</v>
      </c>
      <c r="Y20" s="180" t="s">
        <v>116</v>
      </c>
      <c r="Z20" s="180" t="s">
        <v>116</v>
      </c>
      <c r="AA20" s="180" t="s">
        <v>116</v>
      </c>
      <c r="AB20" s="180" t="s">
        <v>116</v>
      </c>
      <c r="AC20" s="180" t="s">
        <v>116</v>
      </c>
      <c r="AD20" s="180" t="s">
        <v>116</v>
      </c>
      <c r="AE20" s="180" t="s">
        <v>116</v>
      </c>
      <c r="AF20" s="180" t="s">
        <v>116</v>
      </c>
      <c r="AG20" s="180" t="s">
        <v>116</v>
      </c>
      <c r="AH20" s="180" t="s">
        <v>116</v>
      </c>
      <c r="AI20" s="180" t="s">
        <v>116</v>
      </c>
      <c r="AJ20" s="180" t="s">
        <v>116</v>
      </c>
      <c r="AK20" s="180" t="s">
        <v>116</v>
      </c>
      <c r="AL20" s="180" t="s">
        <v>116</v>
      </c>
      <c r="AM20" s="180" t="s">
        <v>116</v>
      </c>
      <c r="AN20" s="180" t="s">
        <v>116</v>
      </c>
      <c r="AO20" s="180" t="s">
        <v>116</v>
      </c>
      <c r="AP20" s="180" t="s">
        <v>116</v>
      </c>
      <c r="AQ20" s="180" t="s">
        <v>116</v>
      </c>
      <c r="AR20" s="180" t="s">
        <v>116</v>
      </c>
      <c r="AS20" s="180" t="s">
        <v>116</v>
      </c>
      <c r="AT20" s="180" t="s">
        <v>116</v>
      </c>
      <c r="AU20" s="180" t="s">
        <v>116</v>
      </c>
      <c r="AV20" s="180" t="s">
        <v>116</v>
      </c>
      <c r="AW20" s="180" t="s">
        <v>116</v>
      </c>
      <c r="AX20" s="180" t="s">
        <v>116</v>
      </c>
      <c r="AY20" s="180" t="s">
        <v>116</v>
      </c>
      <c r="AZ20" s="180" t="s">
        <v>116</v>
      </c>
      <c r="BA20" s="180" t="s">
        <v>116</v>
      </c>
      <c r="BB20" s="180" t="s">
        <v>116</v>
      </c>
      <c r="BC20" s="180" t="s">
        <v>116</v>
      </c>
      <c r="BD20" s="180" t="s">
        <v>116</v>
      </c>
      <c r="BE20" s="180" t="s">
        <v>116</v>
      </c>
      <c r="BF20" s="180" t="s">
        <v>116</v>
      </c>
      <c r="BG20" s="180" t="s">
        <v>116</v>
      </c>
      <c r="BH20" s="180" t="s">
        <v>116</v>
      </c>
      <c r="BI20" s="180" t="s">
        <v>116</v>
      </c>
      <c r="BJ20" s="180" t="s">
        <v>116</v>
      </c>
      <c r="BK20" s="180" t="s">
        <v>116</v>
      </c>
      <c r="BL20" s="180" t="s">
        <v>116</v>
      </c>
      <c r="BM20" s="180" t="s">
        <v>116</v>
      </c>
      <c r="BN20" s="180" t="s">
        <v>116</v>
      </c>
      <c r="BO20" s="180" t="s">
        <v>116</v>
      </c>
      <c r="BP20" s="180" t="s">
        <v>116</v>
      </c>
      <c r="BQ20" s="180" t="s">
        <v>116</v>
      </c>
      <c r="BR20" s="180" t="s">
        <v>116</v>
      </c>
      <c r="BS20" s="180" t="s">
        <v>116</v>
      </c>
      <c r="BT20" s="180" t="s">
        <v>116</v>
      </c>
      <c r="BU20" s="180" t="s">
        <v>116</v>
      </c>
      <c r="BV20" s="180" t="s">
        <v>116</v>
      </c>
      <c r="BW20" s="180" t="s">
        <v>116</v>
      </c>
      <c r="BX20" s="180" t="s">
        <v>116</v>
      </c>
      <c r="BY20" s="180" t="s">
        <v>116</v>
      </c>
      <c r="BZ20" s="180" t="s">
        <v>116</v>
      </c>
      <c r="CA20" s="180" t="s">
        <v>116</v>
      </c>
      <c r="CB20" s="180" t="s">
        <v>116</v>
      </c>
      <c r="CC20" s="180" t="s">
        <v>116</v>
      </c>
      <c r="CD20" s="180" t="s">
        <v>116</v>
      </c>
      <c r="CE20" s="180" t="s">
        <v>116</v>
      </c>
      <c r="CF20" s="180" t="s">
        <v>116</v>
      </c>
      <c r="CG20" s="180" t="s">
        <v>116</v>
      </c>
      <c r="CH20" s="180" t="s">
        <v>116</v>
      </c>
      <c r="CI20" s="180" t="s">
        <v>116</v>
      </c>
      <c r="CJ20" s="180" t="s">
        <v>116</v>
      </c>
      <c r="CK20" s="180" t="s">
        <v>116</v>
      </c>
      <c r="CL20" s="180" t="s">
        <v>116</v>
      </c>
      <c r="CM20" s="180" t="s">
        <v>116</v>
      </c>
      <c r="CN20" s="180" t="s">
        <v>116</v>
      </c>
      <c r="CO20" s="180" t="s">
        <v>116</v>
      </c>
      <c r="CP20" s="180" t="s">
        <v>116</v>
      </c>
      <c r="CQ20" s="180" t="s">
        <v>116</v>
      </c>
      <c r="CR20" s="180" t="s">
        <v>116</v>
      </c>
      <c r="CS20" s="180" t="s">
        <v>116</v>
      </c>
      <c r="CT20" s="180" t="s">
        <v>116</v>
      </c>
      <c r="CU20" s="180" t="s">
        <v>116</v>
      </c>
      <c r="CV20" s="180" t="s">
        <v>116</v>
      </c>
      <c r="CW20" s="180" t="s">
        <v>116</v>
      </c>
      <c r="CX20" s="180" t="s">
        <v>116</v>
      </c>
      <c r="CY20" s="180" t="s">
        <v>116</v>
      </c>
      <c r="CZ20" s="180" t="s">
        <v>116</v>
      </c>
      <c r="DA20" s="180" t="s">
        <v>116</v>
      </c>
      <c r="DB20" s="180" t="s">
        <v>116</v>
      </c>
      <c r="DC20" s="180" t="s">
        <v>116</v>
      </c>
      <c r="DD20" s="180" t="s">
        <v>116</v>
      </c>
      <c r="DE20" s="180" t="s">
        <v>116</v>
      </c>
      <c r="DF20" s="180" t="s">
        <v>116</v>
      </c>
      <c r="DG20" s="180" t="s">
        <v>116</v>
      </c>
      <c r="DH20" s="180" t="s">
        <v>116</v>
      </c>
      <c r="DI20" s="180" t="s">
        <v>116</v>
      </c>
      <c r="DJ20" s="180" t="s">
        <v>116</v>
      </c>
      <c r="DK20" s="180" t="s">
        <v>116</v>
      </c>
      <c r="DL20" s="180" t="s">
        <v>116</v>
      </c>
      <c r="DM20" s="180" t="s">
        <v>116</v>
      </c>
      <c r="DN20" s="180" t="s">
        <v>116</v>
      </c>
      <c r="DO20" s="180" t="s">
        <v>116</v>
      </c>
      <c r="DP20" s="180" t="s">
        <v>116</v>
      </c>
      <c r="DQ20" s="180" t="s">
        <v>116</v>
      </c>
      <c r="DR20" s="180" t="s">
        <v>116</v>
      </c>
      <c r="DS20" s="180" t="s">
        <v>116</v>
      </c>
      <c r="DT20" s="180" t="s">
        <v>116</v>
      </c>
      <c r="DU20" s="180" t="s">
        <v>116</v>
      </c>
      <c r="DV20" s="181"/>
      <c r="DW20" s="148"/>
      <c r="DX20" s="148"/>
    </row>
    <row r="21" spans="1:128" ht="25.5">
      <c r="A21" s="149" t="s">
        <v>677</v>
      </c>
      <c r="B21" s="157" t="s">
        <v>678</v>
      </c>
      <c r="C21" s="180" t="s">
        <v>116</v>
      </c>
      <c r="D21" s="180" t="s">
        <v>116</v>
      </c>
      <c r="E21" s="180" t="s">
        <v>116</v>
      </c>
      <c r="F21" s="180" t="s">
        <v>116</v>
      </c>
      <c r="G21" s="180" t="s">
        <v>116</v>
      </c>
      <c r="H21" s="180" t="s">
        <v>116</v>
      </c>
      <c r="I21" s="180" t="s">
        <v>116</v>
      </c>
      <c r="J21" s="180" t="s">
        <v>116</v>
      </c>
      <c r="K21" s="180" t="s">
        <v>116</v>
      </c>
      <c r="L21" s="180" t="s">
        <v>116</v>
      </c>
      <c r="M21" s="180" t="s">
        <v>116</v>
      </c>
      <c r="N21" s="180" t="s">
        <v>116</v>
      </c>
      <c r="O21" s="180" t="s">
        <v>116</v>
      </c>
      <c r="P21" s="180" t="s">
        <v>116</v>
      </c>
      <c r="Q21" s="180" t="s">
        <v>116</v>
      </c>
      <c r="R21" s="180" t="s">
        <v>116</v>
      </c>
      <c r="S21" s="180" t="s">
        <v>116</v>
      </c>
      <c r="T21" s="180" t="s">
        <v>116</v>
      </c>
      <c r="U21" s="180" t="s">
        <v>116</v>
      </c>
      <c r="V21" s="180" t="s">
        <v>116</v>
      </c>
      <c r="W21" s="180" t="s">
        <v>116</v>
      </c>
      <c r="X21" s="180" t="s">
        <v>116</v>
      </c>
      <c r="Y21" s="180" t="s">
        <v>116</v>
      </c>
      <c r="Z21" s="180" t="s">
        <v>116</v>
      </c>
      <c r="AA21" s="180" t="s">
        <v>116</v>
      </c>
      <c r="AB21" s="180" t="s">
        <v>116</v>
      </c>
      <c r="AC21" s="180" t="s">
        <v>116</v>
      </c>
      <c r="AD21" s="180" t="s">
        <v>116</v>
      </c>
      <c r="AE21" s="180" t="s">
        <v>116</v>
      </c>
      <c r="AF21" s="180" t="s">
        <v>116</v>
      </c>
      <c r="AG21" s="180" t="s">
        <v>116</v>
      </c>
      <c r="AH21" s="180" t="s">
        <v>116</v>
      </c>
      <c r="AI21" s="180" t="s">
        <v>116</v>
      </c>
      <c r="AJ21" s="180" t="s">
        <v>116</v>
      </c>
      <c r="AK21" s="180" t="s">
        <v>116</v>
      </c>
      <c r="AL21" s="180" t="s">
        <v>116</v>
      </c>
      <c r="AM21" s="180" t="s">
        <v>116</v>
      </c>
      <c r="AN21" s="180" t="s">
        <v>116</v>
      </c>
      <c r="AO21" s="180" t="s">
        <v>116</v>
      </c>
      <c r="AP21" s="180" t="s">
        <v>116</v>
      </c>
      <c r="AQ21" s="180" t="s">
        <v>116</v>
      </c>
      <c r="AR21" s="180" t="s">
        <v>116</v>
      </c>
      <c r="AS21" s="180" t="s">
        <v>116</v>
      </c>
      <c r="AT21" s="180" t="s">
        <v>116</v>
      </c>
      <c r="AU21" s="180" t="s">
        <v>116</v>
      </c>
      <c r="AV21" s="180" t="s">
        <v>116</v>
      </c>
      <c r="AW21" s="180" t="s">
        <v>116</v>
      </c>
      <c r="AX21" s="180" t="s">
        <v>116</v>
      </c>
      <c r="AY21" s="180" t="s">
        <v>116</v>
      </c>
      <c r="AZ21" s="180" t="s">
        <v>116</v>
      </c>
      <c r="BA21" s="180" t="s">
        <v>116</v>
      </c>
      <c r="BB21" s="180" t="s">
        <v>116</v>
      </c>
      <c r="BC21" s="180" t="s">
        <v>116</v>
      </c>
      <c r="BD21" s="180" t="s">
        <v>116</v>
      </c>
      <c r="BE21" s="180" t="s">
        <v>116</v>
      </c>
      <c r="BF21" s="180" t="s">
        <v>116</v>
      </c>
      <c r="BG21" s="180" t="s">
        <v>116</v>
      </c>
      <c r="BH21" s="180" t="s">
        <v>116</v>
      </c>
      <c r="BI21" s="180" t="s">
        <v>116</v>
      </c>
      <c r="BJ21" s="180" t="s">
        <v>116</v>
      </c>
      <c r="BK21" s="180" t="s">
        <v>116</v>
      </c>
      <c r="BL21" s="180" t="s">
        <v>116</v>
      </c>
      <c r="BM21" s="180" t="s">
        <v>116</v>
      </c>
      <c r="BN21" s="180" t="s">
        <v>116</v>
      </c>
      <c r="BO21" s="180" t="s">
        <v>116</v>
      </c>
      <c r="BP21" s="180" t="s">
        <v>116</v>
      </c>
      <c r="BQ21" s="180" t="s">
        <v>116</v>
      </c>
      <c r="BR21" s="180" t="s">
        <v>116</v>
      </c>
      <c r="BS21" s="180" t="s">
        <v>116</v>
      </c>
      <c r="BT21" s="180" t="s">
        <v>116</v>
      </c>
      <c r="BU21" s="180" t="s">
        <v>116</v>
      </c>
      <c r="BV21" s="180" t="s">
        <v>116</v>
      </c>
      <c r="BW21" s="180" t="s">
        <v>116</v>
      </c>
      <c r="BX21" s="180" t="s">
        <v>116</v>
      </c>
      <c r="BY21" s="180" t="s">
        <v>116</v>
      </c>
      <c r="BZ21" s="180" t="s">
        <v>116</v>
      </c>
      <c r="CA21" s="180" t="s">
        <v>116</v>
      </c>
      <c r="CB21" s="180" t="s">
        <v>116</v>
      </c>
      <c r="CC21" s="180" t="s">
        <v>116</v>
      </c>
      <c r="CD21" s="180" t="s">
        <v>116</v>
      </c>
      <c r="CE21" s="180" t="s">
        <v>116</v>
      </c>
      <c r="CF21" s="180" t="s">
        <v>116</v>
      </c>
      <c r="CG21" s="180" t="s">
        <v>116</v>
      </c>
      <c r="CH21" s="180" t="s">
        <v>116</v>
      </c>
      <c r="CI21" s="180" t="s">
        <v>116</v>
      </c>
      <c r="CJ21" s="180" t="s">
        <v>116</v>
      </c>
      <c r="CK21" s="180" t="s">
        <v>116</v>
      </c>
      <c r="CL21" s="180" t="s">
        <v>116</v>
      </c>
      <c r="CM21" s="180" t="s">
        <v>116</v>
      </c>
      <c r="CN21" s="180" t="s">
        <v>116</v>
      </c>
      <c r="CO21" s="180" t="s">
        <v>116</v>
      </c>
      <c r="CP21" s="180" t="s">
        <v>116</v>
      </c>
      <c r="CQ21" s="180" t="s">
        <v>116</v>
      </c>
      <c r="CR21" s="180" t="s">
        <v>116</v>
      </c>
      <c r="CS21" s="180" t="s">
        <v>116</v>
      </c>
      <c r="CT21" s="180" t="s">
        <v>116</v>
      </c>
      <c r="CU21" s="180" t="s">
        <v>116</v>
      </c>
      <c r="CV21" s="180" t="s">
        <v>116</v>
      </c>
      <c r="CW21" s="180" t="s">
        <v>116</v>
      </c>
      <c r="CX21" s="180" t="s">
        <v>116</v>
      </c>
      <c r="CY21" s="180" t="s">
        <v>116</v>
      </c>
      <c r="CZ21" s="180" t="s">
        <v>116</v>
      </c>
      <c r="DA21" s="180" t="s">
        <v>116</v>
      </c>
      <c r="DB21" s="180" t="s">
        <v>116</v>
      </c>
      <c r="DC21" s="180" t="s">
        <v>116</v>
      </c>
      <c r="DD21" s="180" t="s">
        <v>116</v>
      </c>
      <c r="DE21" s="180" t="s">
        <v>116</v>
      </c>
      <c r="DF21" s="180" t="s">
        <v>116</v>
      </c>
      <c r="DG21" s="180" t="s">
        <v>116</v>
      </c>
      <c r="DH21" s="180" t="s">
        <v>116</v>
      </c>
      <c r="DI21" s="180" t="s">
        <v>116</v>
      </c>
      <c r="DJ21" s="180" t="s">
        <v>116</v>
      </c>
      <c r="DK21" s="180" t="s">
        <v>116</v>
      </c>
      <c r="DL21" s="180" t="s">
        <v>116</v>
      </c>
      <c r="DM21" s="180" t="s">
        <v>116</v>
      </c>
      <c r="DN21" s="180" t="s">
        <v>116</v>
      </c>
      <c r="DO21" s="180" t="s">
        <v>116</v>
      </c>
      <c r="DP21" s="180" t="s">
        <v>116</v>
      </c>
      <c r="DQ21" s="180" t="s">
        <v>116</v>
      </c>
      <c r="DR21" s="180" t="s">
        <v>116</v>
      </c>
      <c r="DS21" s="180" t="s">
        <v>116</v>
      </c>
      <c r="DT21" s="180" t="s">
        <v>116</v>
      </c>
      <c r="DU21" s="180" t="s">
        <v>116</v>
      </c>
      <c r="DV21" s="181"/>
      <c r="DW21" s="148"/>
      <c r="DX21" s="148"/>
    </row>
    <row r="22" spans="1:128" ht="38.25">
      <c r="A22" s="149" t="s">
        <v>679</v>
      </c>
      <c r="B22" s="157" t="s">
        <v>680</v>
      </c>
      <c r="C22" s="180" t="s">
        <v>116</v>
      </c>
      <c r="D22" s="180" t="s">
        <v>116</v>
      </c>
      <c r="E22" s="180" t="s">
        <v>116</v>
      </c>
      <c r="F22" s="180" t="s">
        <v>116</v>
      </c>
      <c r="G22" s="180" t="s">
        <v>116</v>
      </c>
      <c r="H22" s="180" t="s">
        <v>116</v>
      </c>
      <c r="I22" s="180" t="s">
        <v>116</v>
      </c>
      <c r="J22" s="180" t="s">
        <v>116</v>
      </c>
      <c r="K22" s="180" t="s">
        <v>116</v>
      </c>
      <c r="L22" s="180" t="s">
        <v>116</v>
      </c>
      <c r="M22" s="180" t="s">
        <v>116</v>
      </c>
      <c r="N22" s="180" t="s">
        <v>116</v>
      </c>
      <c r="O22" s="180" t="s">
        <v>116</v>
      </c>
      <c r="P22" s="180" t="s">
        <v>116</v>
      </c>
      <c r="Q22" s="180" t="s">
        <v>116</v>
      </c>
      <c r="R22" s="180" t="s">
        <v>116</v>
      </c>
      <c r="S22" s="180" t="s">
        <v>116</v>
      </c>
      <c r="T22" s="180" t="s">
        <v>116</v>
      </c>
      <c r="U22" s="180" t="s">
        <v>116</v>
      </c>
      <c r="V22" s="180" t="s">
        <v>116</v>
      </c>
      <c r="W22" s="180" t="s">
        <v>116</v>
      </c>
      <c r="X22" s="180" t="s">
        <v>116</v>
      </c>
      <c r="Y22" s="180" t="s">
        <v>116</v>
      </c>
      <c r="Z22" s="180" t="s">
        <v>116</v>
      </c>
      <c r="AA22" s="180" t="s">
        <v>116</v>
      </c>
      <c r="AB22" s="180" t="s">
        <v>116</v>
      </c>
      <c r="AC22" s="180" t="s">
        <v>116</v>
      </c>
      <c r="AD22" s="180" t="s">
        <v>116</v>
      </c>
      <c r="AE22" s="180" t="s">
        <v>116</v>
      </c>
      <c r="AF22" s="180" t="s">
        <v>116</v>
      </c>
      <c r="AG22" s="180" t="s">
        <v>116</v>
      </c>
      <c r="AH22" s="180" t="s">
        <v>116</v>
      </c>
      <c r="AI22" s="180" t="s">
        <v>116</v>
      </c>
      <c r="AJ22" s="180" t="s">
        <v>116</v>
      </c>
      <c r="AK22" s="180" t="s">
        <v>116</v>
      </c>
      <c r="AL22" s="180" t="s">
        <v>116</v>
      </c>
      <c r="AM22" s="180" t="s">
        <v>116</v>
      </c>
      <c r="AN22" s="180" t="s">
        <v>116</v>
      </c>
      <c r="AO22" s="180" t="s">
        <v>116</v>
      </c>
      <c r="AP22" s="180" t="s">
        <v>116</v>
      </c>
      <c r="AQ22" s="180" t="s">
        <v>116</v>
      </c>
      <c r="AR22" s="180" t="s">
        <v>116</v>
      </c>
      <c r="AS22" s="180" t="s">
        <v>116</v>
      </c>
      <c r="AT22" s="180" t="s">
        <v>116</v>
      </c>
      <c r="AU22" s="180" t="s">
        <v>116</v>
      </c>
      <c r="AV22" s="180" t="s">
        <v>116</v>
      </c>
      <c r="AW22" s="180" t="s">
        <v>116</v>
      </c>
      <c r="AX22" s="180" t="s">
        <v>116</v>
      </c>
      <c r="AY22" s="180" t="s">
        <v>116</v>
      </c>
      <c r="AZ22" s="180" t="s">
        <v>116</v>
      </c>
      <c r="BA22" s="180" t="s">
        <v>116</v>
      </c>
      <c r="BB22" s="180" t="s">
        <v>116</v>
      </c>
      <c r="BC22" s="180" t="s">
        <v>116</v>
      </c>
      <c r="BD22" s="180" t="s">
        <v>116</v>
      </c>
      <c r="BE22" s="180" t="s">
        <v>116</v>
      </c>
      <c r="BF22" s="180" t="s">
        <v>116</v>
      </c>
      <c r="BG22" s="180" t="s">
        <v>116</v>
      </c>
      <c r="BH22" s="180" t="s">
        <v>116</v>
      </c>
      <c r="BI22" s="180" t="s">
        <v>116</v>
      </c>
      <c r="BJ22" s="180" t="s">
        <v>116</v>
      </c>
      <c r="BK22" s="180" t="s">
        <v>116</v>
      </c>
      <c r="BL22" s="180" t="s">
        <v>116</v>
      </c>
      <c r="BM22" s="180" t="s">
        <v>116</v>
      </c>
      <c r="BN22" s="180" t="s">
        <v>116</v>
      </c>
      <c r="BO22" s="180" t="s">
        <v>116</v>
      </c>
      <c r="BP22" s="180" t="s">
        <v>116</v>
      </c>
      <c r="BQ22" s="180" t="s">
        <v>116</v>
      </c>
      <c r="BR22" s="180" t="s">
        <v>116</v>
      </c>
      <c r="BS22" s="180" t="s">
        <v>116</v>
      </c>
      <c r="BT22" s="180" t="s">
        <v>116</v>
      </c>
      <c r="BU22" s="180" t="s">
        <v>116</v>
      </c>
      <c r="BV22" s="180" t="s">
        <v>116</v>
      </c>
      <c r="BW22" s="180" t="s">
        <v>116</v>
      </c>
      <c r="BX22" s="180" t="s">
        <v>116</v>
      </c>
      <c r="BY22" s="180" t="s">
        <v>116</v>
      </c>
      <c r="BZ22" s="180" t="s">
        <v>116</v>
      </c>
      <c r="CA22" s="180" t="s">
        <v>116</v>
      </c>
      <c r="CB22" s="180" t="s">
        <v>116</v>
      </c>
      <c r="CC22" s="180" t="s">
        <v>116</v>
      </c>
      <c r="CD22" s="180" t="s">
        <v>116</v>
      </c>
      <c r="CE22" s="180" t="s">
        <v>116</v>
      </c>
      <c r="CF22" s="180" t="s">
        <v>116</v>
      </c>
      <c r="CG22" s="180" t="s">
        <v>116</v>
      </c>
      <c r="CH22" s="180" t="s">
        <v>116</v>
      </c>
      <c r="CI22" s="180" t="s">
        <v>116</v>
      </c>
      <c r="CJ22" s="180" t="s">
        <v>116</v>
      </c>
      <c r="CK22" s="180" t="s">
        <v>116</v>
      </c>
      <c r="CL22" s="180" t="s">
        <v>116</v>
      </c>
      <c r="CM22" s="180" t="s">
        <v>116</v>
      </c>
      <c r="CN22" s="180" t="s">
        <v>116</v>
      </c>
      <c r="CO22" s="180" t="s">
        <v>116</v>
      </c>
      <c r="CP22" s="180" t="s">
        <v>116</v>
      </c>
      <c r="CQ22" s="180" t="s">
        <v>116</v>
      </c>
      <c r="CR22" s="180" t="s">
        <v>116</v>
      </c>
      <c r="CS22" s="180" t="s">
        <v>116</v>
      </c>
      <c r="CT22" s="180" t="s">
        <v>116</v>
      </c>
      <c r="CU22" s="180" t="s">
        <v>116</v>
      </c>
      <c r="CV22" s="180" t="s">
        <v>116</v>
      </c>
      <c r="CW22" s="180" t="s">
        <v>116</v>
      </c>
      <c r="CX22" s="180" t="s">
        <v>116</v>
      </c>
      <c r="CY22" s="180" t="s">
        <v>116</v>
      </c>
      <c r="CZ22" s="180" t="s">
        <v>116</v>
      </c>
      <c r="DA22" s="180" t="s">
        <v>116</v>
      </c>
      <c r="DB22" s="180" t="s">
        <v>116</v>
      </c>
      <c r="DC22" s="180" t="s">
        <v>116</v>
      </c>
      <c r="DD22" s="180" t="s">
        <v>116</v>
      </c>
      <c r="DE22" s="180" t="s">
        <v>116</v>
      </c>
      <c r="DF22" s="180" t="s">
        <v>116</v>
      </c>
      <c r="DG22" s="180" t="s">
        <v>116</v>
      </c>
      <c r="DH22" s="180" t="s">
        <v>116</v>
      </c>
      <c r="DI22" s="180" t="s">
        <v>116</v>
      </c>
      <c r="DJ22" s="180" t="s">
        <v>116</v>
      </c>
      <c r="DK22" s="180" t="s">
        <v>116</v>
      </c>
      <c r="DL22" s="180" t="s">
        <v>116</v>
      </c>
      <c r="DM22" s="180" t="s">
        <v>116</v>
      </c>
      <c r="DN22" s="180" t="s">
        <v>116</v>
      </c>
      <c r="DO22" s="180" t="s">
        <v>116</v>
      </c>
      <c r="DP22" s="180" t="s">
        <v>116</v>
      </c>
      <c r="DQ22" s="180" t="s">
        <v>116</v>
      </c>
      <c r="DR22" s="180" t="s">
        <v>116</v>
      </c>
      <c r="DS22" s="180" t="s">
        <v>116</v>
      </c>
      <c r="DT22" s="180" t="s">
        <v>116</v>
      </c>
      <c r="DU22" s="180" t="s">
        <v>116</v>
      </c>
      <c r="DV22" s="181"/>
      <c r="DW22" s="148"/>
      <c r="DX22" s="148"/>
    </row>
    <row r="23" spans="1:128" ht="25.5">
      <c r="A23" s="149" t="s">
        <v>681</v>
      </c>
      <c r="B23" s="157" t="s">
        <v>682</v>
      </c>
      <c r="C23" s="180" t="s">
        <v>116</v>
      </c>
      <c r="D23" s="180" t="s">
        <v>116</v>
      </c>
      <c r="E23" s="180" t="s">
        <v>116</v>
      </c>
      <c r="F23" s="180" t="s">
        <v>116</v>
      </c>
      <c r="G23" s="180" t="s">
        <v>116</v>
      </c>
      <c r="H23" s="180" t="s">
        <v>116</v>
      </c>
      <c r="I23" s="180" t="s">
        <v>116</v>
      </c>
      <c r="J23" s="180" t="s">
        <v>116</v>
      </c>
      <c r="K23" s="180" t="s">
        <v>116</v>
      </c>
      <c r="L23" s="180" t="s">
        <v>116</v>
      </c>
      <c r="M23" s="180" t="s">
        <v>116</v>
      </c>
      <c r="N23" s="180" t="s">
        <v>116</v>
      </c>
      <c r="O23" s="180" t="s">
        <v>116</v>
      </c>
      <c r="P23" s="180" t="s">
        <v>116</v>
      </c>
      <c r="Q23" s="180" t="s">
        <v>116</v>
      </c>
      <c r="R23" s="180" t="s">
        <v>116</v>
      </c>
      <c r="S23" s="180" t="s">
        <v>116</v>
      </c>
      <c r="T23" s="180" t="s">
        <v>116</v>
      </c>
      <c r="U23" s="180" t="s">
        <v>116</v>
      </c>
      <c r="V23" s="180" t="s">
        <v>116</v>
      </c>
      <c r="W23" s="180" t="s">
        <v>116</v>
      </c>
      <c r="X23" s="180" t="s">
        <v>116</v>
      </c>
      <c r="Y23" s="180" t="s">
        <v>116</v>
      </c>
      <c r="Z23" s="180" t="s">
        <v>116</v>
      </c>
      <c r="AA23" s="180" t="s">
        <v>116</v>
      </c>
      <c r="AB23" s="180" t="s">
        <v>116</v>
      </c>
      <c r="AC23" s="180" t="s">
        <v>116</v>
      </c>
      <c r="AD23" s="180" t="s">
        <v>116</v>
      </c>
      <c r="AE23" s="180" t="s">
        <v>116</v>
      </c>
      <c r="AF23" s="180" t="s">
        <v>116</v>
      </c>
      <c r="AG23" s="180" t="s">
        <v>116</v>
      </c>
      <c r="AH23" s="180" t="s">
        <v>116</v>
      </c>
      <c r="AI23" s="180" t="s">
        <v>116</v>
      </c>
      <c r="AJ23" s="180" t="s">
        <v>116</v>
      </c>
      <c r="AK23" s="180" t="s">
        <v>116</v>
      </c>
      <c r="AL23" s="180" t="s">
        <v>116</v>
      </c>
      <c r="AM23" s="180" t="s">
        <v>116</v>
      </c>
      <c r="AN23" s="180" t="s">
        <v>116</v>
      </c>
      <c r="AO23" s="180" t="s">
        <v>116</v>
      </c>
      <c r="AP23" s="180" t="s">
        <v>116</v>
      </c>
      <c r="AQ23" s="180" t="s">
        <v>116</v>
      </c>
      <c r="AR23" s="180" t="s">
        <v>116</v>
      </c>
      <c r="AS23" s="180" t="s">
        <v>116</v>
      </c>
      <c r="AT23" s="180" t="s">
        <v>116</v>
      </c>
      <c r="AU23" s="180" t="s">
        <v>116</v>
      </c>
      <c r="AV23" s="180" t="s">
        <v>116</v>
      </c>
      <c r="AW23" s="180" t="s">
        <v>116</v>
      </c>
      <c r="AX23" s="180" t="s">
        <v>116</v>
      </c>
      <c r="AY23" s="180" t="s">
        <v>116</v>
      </c>
      <c r="AZ23" s="180" t="s">
        <v>116</v>
      </c>
      <c r="BA23" s="180" t="s">
        <v>116</v>
      </c>
      <c r="BB23" s="180" t="s">
        <v>116</v>
      </c>
      <c r="BC23" s="180" t="s">
        <v>116</v>
      </c>
      <c r="BD23" s="180" t="s">
        <v>116</v>
      </c>
      <c r="BE23" s="180" t="s">
        <v>116</v>
      </c>
      <c r="BF23" s="180" t="s">
        <v>116</v>
      </c>
      <c r="BG23" s="180" t="s">
        <v>116</v>
      </c>
      <c r="BH23" s="180" t="s">
        <v>116</v>
      </c>
      <c r="BI23" s="180" t="s">
        <v>116</v>
      </c>
      <c r="BJ23" s="180" t="s">
        <v>116</v>
      </c>
      <c r="BK23" s="180" t="s">
        <v>116</v>
      </c>
      <c r="BL23" s="180" t="s">
        <v>116</v>
      </c>
      <c r="BM23" s="180" t="s">
        <v>116</v>
      </c>
      <c r="BN23" s="180" t="s">
        <v>116</v>
      </c>
      <c r="BO23" s="180" t="s">
        <v>116</v>
      </c>
      <c r="BP23" s="180" t="s">
        <v>116</v>
      </c>
      <c r="BQ23" s="180" t="s">
        <v>116</v>
      </c>
      <c r="BR23" s="180" t="s">
        <v>116</v>
      </c>
      <c r="BS23" s="180" t="s">
        <v>116</v>
      </c>
      <c r="BT23" s="180" t="s">
        <v>116</v>
      </c>
      <c r="BU23" s="180" t="s">
        <v>116</v>
      </c>
      <c r="BV23" s="180" t="s">
        <v>116</v>
      </c>
      <c r="BW23" s="180" t="s">
        <v>116</v>
      </c>
      <c r="BX23" s="180" t="s">
        <v>116</v>
      </c>
      <c r="BY23" s="180" t="s">
        <v>116</v>
      </c>
      <c r="BZ23" s="180" t="s">
        <v>116</v>
      </c>
      <c r="CA23" s="180" t="s">
        <v>116</v>
      </c>
      <c r="CB23" s="180" t="s">
        <v>116</v>
      </c>
      <c r="CC23" s="180" t="s">
        <v>116</v>
      </c>
      <c r="CD23" s="180" t="s">
        <v>116</v>
      </c>
      <c r="CE23" s="180" t="s">
        <v>116</v>
      </c>
      <c r="CF23" s="180" t="s">
        <v>116</v>
      </c>
      <c r="CG23" s="180" t="s">
        <v>116</v>
      </c>
      <c r="CH23" s="180" t="s">
        <v>116</v>
      </c>
      <c r="CI23" s="180" t="s">
        <v>116</v>
      </c>
      <c r="CJ23" s="180" t="s">
        <v>116</v>
      </c>
      <c r="CK23" s="180" t="s">
        <v>116</v>
      </c>
      <c r="CL23" s="180" t="s">
        <v>116</v>
      </c>
      <c r="CM23" s="180" t="s">
        <v>116</v>
      </c>
      <c r="CN23" s="180" t="s">
        <v>116</v>
      </c>
      <c r="CO23" s="180" t="s">
        <v>116</v>
      </c>
      <c r="CP23" s="180" t="s">
        <v>116</v>
      </c>
      <c r="CQ23" s="180" t="s">
        <v>116</v>
      </c>
      <c r="CR23" s="180" t="s">
        <v>116</v>
      </c>
      <c r="CS23" s="180" t="s">
        <v>116</v>
      </c>
      <c r="CT23" s="180" t="s">
        <v>116</v>
      </c>
      <c r="CU23" s="180" t="s">
        <v>116</v>
      </c>
      <c r="CV23" s="180" t="s">
        <v>116</v>
      </c>
      <c r="CW23" s="180" t="s">
        <v>116</v>
      </c>
      <c r="CX23" s="180" t="s">
        <v>116</v>
      </c>
      <c r="CY23" s="180" t="s">
        <v>116</v>
      </c>
      <c r="CZ23" s="180" t="s">
        <v>116</v>
      </c>
      <c r="DA23" s="180" t="s">
        <v>116</v>
      </c>
      <c r="DB23" s="180" t="s">
        <v>116</v>
      </c>
      <c r="DC23" s="180" t="s">
        <v>116</v>
      </c>
      <c r="DD23" s="180" t="s">
        <v>116</v>
      </c>
      <c r="DE23" s="180" t="s">
        <v>116</v>
      </c>
      <c r="DF23" s="180" t="s">
        <v>116</v>
      </c>
      <c r="DG23" s="180" t="s">
        <v>116</v>
      </c>
      <c r="DH23" s="180" t="s">
        <v>116</v>
      </c>
      <c r="DI23" s="180" t="s">
        <v>116</v>
      </c>
      <c r="DJ23" s="180" t="s">
        <v>116</v>
      </c>
      <c r="DK23" s="180" t="s">
        <v>116</v>
      </c>
      <c r="DL23" s="180" t="s">
        <v>116</v>
      </c>
      <c r="DM23" s="180" t="s">
        <v>116</v>
      </c>
      <c r="DN23" s="180" t="s">
        <v>116</v>
      </c>
      <c r="DO23" s="180" t="s">
        <v>116</v>
      </c>
      <c r="DP23" s="180" t="s">
        <v>116</v>
      </c>
      <c r="DQ23" s="180" t="s">
        <v>116</v>
      </c>
      <c r="DR23" s="180" t="s">
        <v>116</v>
      </c>
      <c r="DS23" s="180" t="s">
        <v>116</v>
      </c>
      <c r="DT23" s="180" t="s">
        <v>116</v>
      </c>
      <c r="DU23" s="180" t="s">
        <v>116</v>
      </c>
      <c r="DV23" s="181"/>
      <c r="DW23" s="148"/>
      <c r="DX23" s="148"/>
    </row>
    <row r="24" spans="1:128" ht="18.75">
      <c r="A24" s="146"/>
      <c r="B24" s="154" t="s">
        <v>581</v>
      </c>
      <c r="C24" s="147"/>
      <c r="D24" s="147"/>
      <c r="E24" s="147"/>
      <c r="F24" s="147"/>
      <c r="G24" s="147"/>
      <c r="H24" s="147"/>
      <c r="I24" s="147"/>
      <c r="J24" s="147"/>
      <c r="K24" s="147"/>
      <c r="L24" s="147"/>
      <c r="M24" s="147"/>
      <c r="N24" s="147"/>
      <c r="O24" s="147"/>
      <c r="P24" s="147"/>
      <c r="Q24" s="147"/>
      <c r="R24" s="147"/>
      <c r="S24" s="147"/>
      <c r="T24" s="147"/>
      <c r="U24" s="147"/>
      <c r="V24" s="147"/>
      <c r="W24" s="147"/>
      <c r="X24" s="147"/>
      <c r="Y24" s="147"/>
      <c r="Z24" s="147"/>
      <c r="AA24" s="147"/>
      <c r="AB24" s="147"/>
      <c r="AC24" s="147"/>
      <c r="AD24" s="147"/>
      <c r="AE24" s="147"/>
      <c r="AF24" s="147"/>
      <c r="AG24" s="147"/>
      <c r="AH24" s="147"/>
      <c r="AI24" s="147"/>
      <c r="AJ24" s="147"/>
      <c r="AK24" s="147"/>
      <c r="AL24" s="147"/>
      <c r="AM24" s="147"/>
      <c r="AN24" s="147"/>
      <c r="AO24" s="147"/>
      <c r="AP24" s="147"/>
      <c r="AQ24" s="147"/>
      <c r="AR24" s="147"/>
      <c r="AS24" s="147"/>
      <c r="AT24" s="147"/>
      <c r="AU24" s="147"/>
      <c r="AV24" s="147"/>
      <c r="AW24" s="147"/>
      <c r="AX24" s="147"/>
      <c r="AY24" s="147"/>
      <c r="AZ24" s="147"/>
      <c r="BA24" s="147"/>
      <c r="BB24" s="147"/>
      <c r="BC24" s="147"/>
      <c r="BD24" s="147"/>
      <c r="BE24" s="147"/>
      <c r="BF24" s="147"/>
      <c r="BG24" s="147"/>
      <c r="BH24" s="147"/>
      <c r="BI24" s="147"/>
      <c r="BJ24" s="147"/>
      <c r="BK24" s="147"/>
      <c r="BL24" s="147"/>
      <c r="BM24" s="147"/>
      <c r="BN24" s="147"/>
      <c r="BO24" s="147"/>
      <c r="BP24" s="147"/>
      <c r="BQ24" s="147"/>
      <c r="BR24" s="147"/>
      <c r="BS24" s="147"/>
      <c r="BT24" s="147"/>
      <c r="BU24" s="147"/>
      <c r="BV24" s="147"/>
      <c r="BW24" s="147"/>
      <c r="BX24" s="147"/>
      <c r="BY24" s="147"/>
      <c r="BZ24" s="147"/>
      <c r="CA24" s="147"/>
      <c r="CB24" s="147"/>
      <c r="CC24" s="147"/>
      <c r="CD24" s="147"/>
      <c r="CE24" s="147"/>
      <c r="CF24" s="147"/>
      <c r="CG24" s="147"/>
      <c r="CH24" s="147"/>
      <c r="CI24" s="147"/>
      <c r="CJ24" s="147"/>
      <c r="CK24" s="147"/>
      <c r="CL24" s="147"/>
      <c r="CM24" s="147"/>
      <c r="CN24" s="147"/>
      <c r="CO24" s="147"/>
      <c r="CP24" s="147"/>
      <c r="CQ24" s="147"/>
      <c r="CR24" s="147"/>
      <c r="CS24" s="147"/>
      <c r="CT24" s="147"/>
      <c r="CU24" s="147"/>
      <c r="CV24" s="147"/>
      <c r="CW24" s="147"/>
      <c r="CX24" s="147"/>
      <c r="CY24" s="147"/>
      <c r="CZ24" s="147"/>
      <c r="DA24" s="147"/>
      <c r="DB24" s="147"/>
      <c r="DC24" s="147"/>
      <c r="DD24" s="147"/>
      <c r="DE24" s="147"/>
      <c r="DF24" s="147"/>
      <c r="DG24" s="147"/>
      <c r="DH24" s="147"/>
      <c r="DI24" s="147"/>
      <c r="DJ24" s="147"/>
      <c r="DK24" s="147"/>
      <c r="DL24" s="147"/>
      <c r="DM24" s="147"/>
      <c r="DN24" s="147"/>
      <c r="DO24" s="147"/>
      <c r="DP24" s="147"/>
      <c r="DQ24" s="147"/>
      <c r="DR24" s="147"/>
      <c r="DS24" s="147"/>
      <c r="DT24" s="147"/>
      <c r="DU24" s="147"/>
      <c r="DV24" s="147"/>
      <c r="DW24" s="186"/>
      <c r="DX24" s="186"/>
    </row>
    <row r="25" spans="1:128" ht="38.25">
      <c r="A25" s="149" t="s">
        <v>582</v>
      </c>
      <c r="B25" s="157" t="s">
        <v>583</v>
      </c>
      <c r="C25" s="180" t="s">
        <v>118</v>
      </c>
      <c r="D25" s="180" t="s">
        <v>118</v>
      </c>
      <c r="E25" s="180" t="s">
        <v>118</v>
      </c>
      <c r="F25" s="180" t="s">
        <v>118</v>
      </c>
      <c r="G25" s="180" t="s">
        <v>118</v>
      </c>
      <c r="H25" s="180" t="s">
        <v>118</v>
      </c>
      <c r="I25" s="180" t="s">
        <v>118</v>
      </c>
      <c r="J25" s="180" t="s">
        <v>118</v>
      </c>
      <c r="K25" s="180" t="s">
        <v>118</v>
      </c>
      <c r="L25" s="180" t="s">
        <v>118</v>
      </c>
      <c r="M25" s="180" t="s">
        <v>118</v>
      </c>
      <c r="N25" s="180" t="s">
        <v>118</v>
      </c>
      <c r="O25" s="180" t="s">
        <v>118</v>
      </c>
      <c r="P25" s="180" t="s">
        <v>116</v>
      </c>
      <c r="Q25" s="180" t="s">
        <v>118</v>
      </c>
      <c r="R25" s="180" t="s">
        <v>116</v>
      </c>
      <c r="S25" s="180" t="s">
        <v>116</v>
      </c>
      <c r="T25" s="180" t="s">
        <v>116</v>
      </c>
      <c r="U25" s="180" t="s">
        <v>116</v>
      </c>
      <c r="V25" s="180" t="s">
        <v>116</v>
      </c>
      <c r="W25" s="180" t="s">
        <v>116</v>
      </c>
      <c r="X25" s="180" t="s">
        <v>116</v>
      </c>
      <c r="Y25" s="180" t="s">
        <v>116</v>
      </c>
      <c r="Z25" s="180" t="s">
        <v>116</v>
      </c>
      <c r="AA25" s="180" t="s">
        <v>116</v>
      </c>
      <c r="AB25" s="180" t="s">
        <v>116</v>
      </c>
      <c r="AC25" s="180" t="s">
        <v>118</v>
      </c>
      <c r="AD25" s="180" t="s">
        <v>118</v>
      </c>
      <c r="AE25" s="180" t="s">
        <v>118</v>
      </c>
      <c r="AF25" s="180" t="s">
        <v>118</v>
      </c>
      <c r="AG25" s="180" t="s">
        <v>116</v>
      </c>
      <c r="AH25" s="180" t="s">
        <v>118</v>
      </c>
      <c r="AI25" s="180" t="s">
        <v>118</v>
      </c>
      <c r="AJ25" s="180" t="s">
        <v>118</v>
      </c>
      <c r="AK25" s="180" t="s">
        <v>116</v>
      </c>
      <c r="AL25" s="180" t="s">
        <v>116</v>
      </c>
      <c r="AM25" s="180" t="s">
        <v>118</v>
      </c>
      <c r="AN25" s="180" t="s">
        <v>118</v>
      </c>
      <c r="AO25" s="180" t="s">
        <v>118</v>
      </c>
      <c r="AP25" s="180" t="s">
        <v>118</v>
      </c>
      <c r="AQ25" s="180" t="s">
        <v>118</v>
      </c>
      <c r="AR25" s="180" t="s">
        <v>116</v>
      </c>
      <c r="AS25" s="180" t="s">
        <v>116</v>
      </c>
      <c r="AT25" s="180" t="s">
        <v>118</v>
      </c>
      <c r="AU25" s="180" t="s">
        <v>118</v>
      </c>
      <c r="AV25" s="180" t="s">
        <v>118</v>
      </c>
      <c r="AW25" s="180" t="s">
        <v>116</v>
      </c>
      <c r="AX25" s="180" t="s">
        <v>116</v>
      </c>
      <c r="AY25" s="180" t="s">
        <v>116</v>
      </c>
      <c r="AZ25" s="180" t="s">
        <v>116</v>
      </c>
      <c r="BA25" s="180" t="s">
        <v>116</v>
      </c>
      <c r="BB25" s="180" t="s">
        <v>116</v>
      </c>
      <c r="BC25" s="180" t="s">
        <v>116</v>
      </c>
      <c r="BD25" s="180" t="s">
        <v>116</v>
      </c>
      <c r="BE25" s="180" t="s">
        <v>116</v>
      </c>
      <c r="BF25" s="180" t="s">
        <v>116</v>
      </c>
      <c r="BG25" s="180" t="s">
        <v>116</v>
      </c>
      <c r="BH25" s="180" t="s">
        <v>116</v>
      </c>
      <c r="BI25" s="180" t="s">
        <v>116</v>
      </c>
      <c r="BJ25" s="180" t="s">
        <v>116</v>
      </c>
      <c r="BK25" s="180" t="s">
        <v>116</v>
      </c>
      <c r="BL25" s="180" t="s">
        <v>116</v>
      </c>
      <c r="BM25" s="180" t="s">
        <v>116</v>
      </c>
      <c r="BN25" s="180" t="s">
        <v>116</v>
      </c>
      <c r="BO25" s="180" t="s">
        <v>116</v>
      </c>
      <c r="BP25" s="180" t="s">
        <v>116</v>
      </c>
      <c r="BQ25" s="180" t="s">
        <v>116</v>
      </c>
      <c r="BR25" s="180" t="s">
        <v>116</v>
      </c>
      <c r="BS25" s="180" t="s">
        <v>116</v>
      </c>
      <c r="BT25" s="180" t="s">
        <v>116</v>
      </c>
      <c r="BU25" s="180" t="s">
        <v>116</v>
      </c>
      <c r="BV25" s="180" t="s">
        <v>116</v>
      </c>
      <c r="BW25" s="180" t="s">
        <v>116</v>
      </c>
      <c r="BX25" s="180" t="s">
        <v>116</v>
      </c>
      <c r="BY25" s="180" t="s">
        <v>116</v>
      </c>
      <c r="BZ25" s="180" t="s">
        <v>116</v>
      </c>
      <c r="CA25" s="180" t="s">
        <v>116</v>
      </c>
      <c r="CB25" s="180" t="s">
        <v>116</v>
      </c>
      <c r="CC25" s="180" t="s">
        <v>116</v>
      </c>
      <c r="CD25" s="180" t="s">
        <v>116</v>
      </c>
      <c r="CE25" s="180" t="s">
        <v>116</v>
      </c>
      <c r="CF25" s="180" t="s">
        <v>116</v>
      </c>
      <c r="CG25" s="180" t="s">
        <v>116</v>
      </c>
      <c r="CH25" s="180" t="s">
        <v>116</v>
      </c>
      <c r="CI25" s="180" t="s">
        <v>116</v>
      </c>
      <c r="CJ25" s="180" t="s">
        <v>116</v>
      </c>
      <c r="CK25" s="180" t="s">
        <v>116</v>
      </c>
      <c r="CL25" s="180" t="s">
        <v>116</v>
      </c>
      <c r="CM25" s="180" t="s">
        <v>116</v>
      </c>
      <c r="CN25" s="180" t="s">
        <v>116</v>
      </c>
      <c r="CO25" s="180" t="s">
        <v>116</v>
      </c>
      <c r="CP25" s="180" t="s">
        <v>116</v>
      </c>
      <c r="CQ25" s="180" t="s">
        <v>116</v>
      </c>
      <c r="CR25" s="180" t="s">
        <v>116</v>
      </c>
      <c r="CS25" s="180" t="s">
        <v>116</v>
      </c>
      <c r="CT25" s="180" t="s">
        <v>116</v>
      </c>
      <c r="CU25" s="180" t="s">
        <v>116</v>
      </c>
      <c r="CV25" s="180" t="s">
        <v>116</v>
      </c>
      <c r="CW25" s="180" t="s">
        <v>116</v>
      </c>
      <c r="CX25" s="180" t="s">
        <v>116</v>
      </c>
      <c r="CY25" s="180" t="s">
        <v>116</v>
      </c>
      <c r="CZ25" s="180" t="s">
        <v>116</v>
      </c>
      <c r="DA25" s="180" t="s">
        <v>116</v>
      </c>
      <c r="DB25" s="180" t="s">
        <v>116</v>
      </c>
      <c r="DC25" s="180" t="s">
        <v>116</v>
      </c>
      <c r="DD25" s="180" t="s">
        <v>116</v>
      </c>
      <c r="DE25" s="180" t="s">
        <v>116</v>
      </c>
      <c r="DF25" s="180" t="s">
        <v>116</v>
      </c>
      <c r="DG25" s="180" t="s">
        <v>116</v>
      </c>
      <c r="DH25" s="180" t="s">
        <v>116</v>
      </c>
      <c r="DI25" s="180" t="s">
        <v>116</v>
      </c>
      <c r="DJ25" s="180" t="s">
        <v>116</v>
      </c>
      <c r="DK25" s="180" t="s">
        <v>116</v>
      </c>
      <c r="DL25" s="180" t="s">
        <v>116</v>
      </c>
      <c r="DM25" s="180" t="s">
        <v>116</v>
      </c>
      <c r="DN25" s="180" t="s">
        <v>116</v>
      </c>
      <c r="DO25" s="180" t="s">
        <v>116</v>
      </c>
      <c r="DP25" s="180" t="s">
        <v>116</v>
      </c>
      <c r="DQ25" s="180" t="s">
        <v>116</v>
      </c>
      <c r="DR25" s="180" t="s">
        <v>116</v>
      </c>
      <c r="DS25" s="180" t="s">
        <v>116</v>
      </c>
      <c r="DT25" s="180" t="s">
        <v>116</v>
      </c>
      <c r="DU25" s="180" t="s">
        <v>116</v>
      </c>
      <c r="DV25" s="181"/>
      <c r="DW25" s="148"/>
      <c r="DX25" s="148"/>
    </row>
    <row r="26" spans="1:128" ht="25.5">
      <c r="A26" s="149" t="s">
        <v>584</v>
      </c>
      <c r="B26" s="157" t="s">
        <v>585</v>
      </c>
      <c r="C26" s="180" t="s">
        <v>116</v>
      </c>
      <c r="D26" s="180" t="s">
        <v>116</v>
      </c>
      <c r="E26" s="180" t="s">
        <v>116</v>
      </c>
      <c r="F26" s="180" t="s">
        <v>116</v>
      </c>
      <c r="G26" s="180" t="s">
        <v>116</v>
      </c>
      <c r="H26" s="180" t="s">
        <v>116</v>
      </c>
      <c r="I26" s="180" t="s">
        <v>116</v>
      </c>
      <c r="J26" s="180" t="s">
        <v>116</v>
      </c>
      <c r="K26" s="180" t="s">
        <v>116</v>
      </c>
      <c r="L26" s="180" t="s">
        <v>116</v>
      </c>
      <c r="M26" s="180" t="s">
        <v>116</v>
      </c>
      <c r="N26" s="180" t="s">
        <v>116</v>
      </c>
      <c r="O26" s="180" t="s">
        <v>116</v>
      </c>
      <c r="P26" s="180" t="s">
        <v>116</v>
      </c>
      <c r="Q26" s="180" t="s">
        <v>116</v>
      </c>
      <c r="R26" s="180" t="s">
        <v>116</v>
      </c>
      <c r="S26" s="180" t="s">
        <v>116</v>
      </c>
      <c r="T26" s="180" t="s">
        <v>116</v>
      </c>
      <c r="U26" s="180" t="s">
        <v>116</v>
      </c>
      <c r="V26" s="180" t="s">
        <v>116</v>
      </c>
      <c r="W26" s="180" t="s">
        <v>116</v>
      </c>
      <c r="X26" s="180" t="s">
        <v>116</v>
      </c>
      <c r="Y26" s="180" t="s">
        <v>116</v>
      </c>
      <c r="Z26" s="180" t="s">
        <v>116</v>
      </c>
      <c r="AA26" s="180" t="s">
        <v>116</v>
      </c>
      <c r="AB26" s="180" t="s">
        <v>116</v>
      </c>
      <c r="AC26" s="180" t="s">
        <v>116</v>
      </c>
      <c r="AD26" s="180" t="s">
        <v>116</v>
      </c>
      <c r="AE26" s="180" t="s">
        <v>116</v>
      </c>
      <c r="AF26" s="180" t="s">
        <v>116</v>
      </c>
      <c r="AG26" s="180" t="s">
        <v>116</v>
      </c>
      <c r="AH26" s="180" t="s">
        <v>116</v>
      </c>
      <c r="AI26" s="180" t="s">
        <v>116</v>
      </c>
      <c r="AJ26" s="180" t="s">
        <v>116</v>
      </c>
      <c r="AK26" s="180" t="s">
        <v>116</v>
      </c>
      <c r="AL26" s="180" t="s">
        <v>116</v>
      </c>
      <c r="AM26" s="180" t="s">
        <v>116</v>
      </c>
      <c r="AN26" s="180" t="s">
        <v>116</v>
      </c>
      <c r="AO26" s="180" t="s">
        <v>116</v>
      </c>
      <c r="AP26" s="180" t="s">
        <v>116</v>
      </c>
      <c r="AQ26" s="180" t="s">
        <v>116</v>
      </c>
      <c r="AR26" s="180" t="s">
        <v>116</v>
      </c>
      <c r="AS26" s="180" t="s">
        <v>116</v>
      </c>
      <c r="AT26" s="180" t="s">
        <v>116</v>
      </c>
      <c r="AU26" s="180" t="s">
        <v>116</v>
      </c>
      <c r="AV26" s="180" t="s">
        <v>116</v>
      </c>
      <c r="AW26" s="180" t="s">
        <v>116</v>
      </c>
      <c r="AX26" s="180" t="s">
        <v>116</v>
      </c>
      <c r="AY26" s="180" t="s">
        <v>116</v>
      </c>
      <c r="AZ26" s="180" t="s">
        <v>116</v>
      </c>
      <c r="BA26" s="180" t="s">
        <v>116</v>
      </c>
      <c r="BB26" s="180" t="s">
        <v>116</v>
      </c>
      <c r="BC26" s="180" t="s">
        <v>116</v>
      </c>
      <c r="BD26" s="180" t="s">
        <v>116</v>
      </c>
      <c r="BE26" s="180" t="s">
        <v>116</v>
      </c>
      <c r="BF26" s="180" t="s">
        <v>116</v>
      </c>
      <c r="BG26" s="180" t="s">
        <v>116</v>
      </c>
      <c r="BH26" s="180" t="s">
        <v>116</v>
      </c>
      <c r="BI26" s="180" t="s">
        <v>116</v>
      </c>
      <c r="BJ26" s="180" t="s">
        <v>116</v>
      </c>
      <c r="BK26" s="180" t="s">
        <v>116</v>
      </c>
      <c r="BL26" s="180" t="s">
        <v>116</v>
      </c>
      <c r="BM26" s="180" t="s">
        <v>116</v>
      </c>
      <c r="BN26" s="180" t="s">
        <v>116</v>
      </c>
      <c r="BO26" s="180" t="s">
        <v>116</v>
      </c>
      <c r="BP26" s="180" t="s">
        <v>116</v>
      </c>
      <c r="BQ26" s="180" t="s">
        <v>116</v>
      </c>
      <c r="BR26" s="180" t="s">
        <v>116</v>
      </c>
      <c r="BS26" s="180" t="s">
        <v>116</v>
      </c>
      <c r="BT26" s="180" t="s">
        <v>116</v>
      </c>
      <c r="BU26" s="180" t="s">
        <v>116</v>
      </c>
      <c r="BV26" s="180" t="s">
        <v>116</v>
      </c>
      <c r="BW26" s="180" t="s">
        <v>116</v>
      </c>
      <c r="BX26" s="180" t="s">
        <v>116</v>
      </c>
      <c r="BY26" s="180" t="s">
        <v>116</v>
      </c>
      <c r="BZ26" s="180" t="s">
        <v>116</v>
      </c>
      <c r="CA26" s="180" t="s">
        <v>116</v>
      </c>
      <c r="CB26" s="180" t="s">
        <v>116</v>
      </c>
      <c r="CC26" s="180" t="s">
        <v>116</v>
      </c>
      <c r="CD26" s="180" t="s">
        <v>116</v>
      </c>
      <c r="CE26" s="180" t="s">
        <v>116</v>
      </c>
      <c r="CF26" s="180" t="s">
        <v>116</v>
      </c>
      <c r="CG26" s="180" t="s">
        <v>116</v>
      </c>
      <c r="CH26" s="180" t="s">
        <v>116</v>
      </c>
      <c r="CI26" s="180" t="s">
        <v>116</v>
      </c>
      <c r="CJ26" s="180" t="s">
        <v>116</v>
      </c>
      <c r="CK26" s="180" t="s">
        <v>116</v>
      </c>
      <c r="CL26" s="180" t="s">
        <v>116</v>
      </c>
      <c r="CM26" s="180" t="s">
        <v>116</v>
      </c>
      <c r="CN26" s="180" t="s">
        <v>116</v>
      </c>
      <c r="CO26" s="180" t="s">
        <v>116</v>
      </c>
      <c r="CP26" s="180" t="s">
        <v>116</v>
      </c>
      <c r="CQ26" s="180" t="s">
        <v>116</v>
      </c>
      <c r="CR26" s="180" t="s">
        <v>116</v>
      </c>
      <c r="CS26" s="180" t="s">
        <v>116</v>
      </c>
      <c r="CT26" s="180" t="s">
        <v>116</v>
      </c>
      <c r="CU26" s="180" t="s">
        <v>116</v>
      </c>
      <c r="CV26" s="180" t="s">
        <v>116</v>
      </c>
      <c r="CW26" s="180" t="s">
        <v>116</v>
      </c>
      <c r="CX26" s="180" t="s">
        <v>116</v>
      </c>
      <c r="CY26" s="180" t="s">
        <v>116</v>
      </c>
      <c r="CZ26" s="180" t="s">
        <v>116</v>
      </c>
      <c r="DA26" s="180" t="s">
        <v>116</v>
      </c>
      <c r="DB26" s="180" t="s">
        <v>116</v>
      </c>
      <c r="DC26" s="180" t="s">
        <v>116</v>
      </c>
      <c r="DD26" s="180" t="s">
        <v>116</v>
      </c>
      <c r="DE26" s="180" t="s">
        <v>116</v>
      </c>
      <c r="DF26" s="180" t="s">
        <v>116</v>
      </c>
      <c r="DG26" s="180" t="s">
        <v>116</v>
      </c>
      <c r="DH26" s="180" t="s">
        <v>116</v>
      </c>
      <c r="DI26" s="180" t="s">
        <v>116</v>
      </c>
      <c r="DJ26" s="180" t="s">
        <v>116</v>
      </c>
      <c r="DK26" s="180" t="s">
        <v>116</v>
      </c>
      <c r="DL26" s="180" t="s">
        <v>116</v>
      </c>
      <c r="DM26" s="180" t="s">
        <v>116</v>
      </c>
      <c r="DN26" s="180" t="s">
        <v>116</v>
      </c>
      <c r="DO26" s="180" t="s">
        <v>116</v>
      </c>
      <c r="DP26" s="180" t="s">
        <v>116</v>
      </c>
      <c r="DQ26" s="180" t="s">
        <v>116</v>
      </c>
      <c r="DR26" s="180" t="s">
        <v>116</v>
      </c>
      <c r="DS26" s="180" t="s">
        <v>116</v>
      </c>
      <c r="DT26" s="180" t="s">
        <v>116</v>
      </c>
      <c r="DU26" s="180" t="s">
        <v>116</v>
      </c>
      <c r="DV26" s="181"/>
      <c r="DW26" s="148"/>
      <c r="DX26" s="148"/>
    </row>
    <row r="27" spans="1:128" ht="38.25">
      <c r="A27" s="149" t="s">
        <v>586</v>
      </c>
      <c r="B27" s="157" t="s">
        <v>587</v>
      </c>
      <c r="C27" s="180" t="s">
        <v>116</v>
      </c>
      <c r="D27" s="180" t="s">
        <v>116</v>
      </c>
      <c r="E27" s="180" t="s">
        <v>116</v>
      </c>
      <c r="F27" s="180" t="s">
        <v>116</v>
      </c>
      <c r="G27" s="180" t="s">
        <v>116</v>
      </c>
      <c r="H27" s="180" t="s">
        <v>116</v>
      </c>
      <c r="I27" s="180" t="s">
        <v>116</v>
      </c>
      <c r="J27" s="180" t="s">
        <v>116</v>
      </c>
      <c r="K27" s="180" t="s">
        <v>116</v>
      </c>
      <c r="L27" s="180" t="s">
        <v>116</v>
      </c>
      <c r="M27" s="180" t="s">
        <v>116</v>
      </c>
      <c r="N27" s="180" t="s">
        <v>116</v>
      </c>
      <c r="O27" s="180" t="s">
        <v>116</v>
      </c>
      <c r="P27" s="180" t="s">
        <v>116</v>
      </c>
      <c r="Q27" s="180" t="s">
        <v>116</v>
      </c>
      <c r="R27" s="180" t="s">
        <v>116</v>
      </c>
      <c r="S27" s="180" t="s">
        <v>116</v>
      </c>
      <c r="T27" s="180" t="s">
        <v>116</v>
      </c>
      <c r="U27" s="180" t="s">
        <v>116</v>
      </c>
      <c r="V27" s="180" t="s">
        <v>116</v>
      </c>
      <c r="W27" s="180" t="s">
        <v>116</v>
      </c>
      <c r="X27" s="180" t="s">
        <v>116</v>
      </c>
      <c r="Y27" s="180" t="s">
        <v>116</v>
      </c>
      <c r="Z27" s="180" t="s">
        <v>116</v>
      </c>
      <c r="AA27" s="180" t="s">
        <v>116</v>
      </c>
      <c r="AB27" s="180" t="s">
        <v>116</v>
      </c>
      <c r="AC27" s="180" t="s">
        <v>116</v>
      </c>
      <c r="AD27" s="180" t="s">
        <v>116</v>
      </c>
      <c r="AE27" s="180" t="s">
        <v>116</v>
      </c>
      <c r="AF27" s="180" t="s">
        <v>116</v>
      </c>
      <c r="AG27" s="180" t="s">
        <v>116</v>
      </c>
      <c r="AH27" s="180" t="s">
        <v>116</v>
      </c>
      <c r="AI27" s="180" t="s">
        <v>116</v>
      </c>
      <c r="AJ27" s="180" t="s">
        <v>116</v>
      </c>
      <c r="AK27" s="180" t="s">
        <v>116</v>
      </c>
      <c r="AL27" s="180" t="s">
        <v>116</v>
      </c>
      <c r="AM27" s="180" t="s">
        <v>116</v>
      </c>
      <c r="AN27" s="180" t="s">
        <v>116</v>
      </c>
      <c r="AO27" s="180" t="s">
        <v>116</v>
      </c>
      <c r="AP27" s="180" t="s">
        <v>116</v>
      </c>
      <c r="AQ27" s="180" t="s">
        <v>116</v>
      </c>
      <c r="AR27" s="180" t="s">
        <v>116</v>
      </c>
      <c r="AS27" s="180" t="s">
        <v>116</v>
      </c>
      <c r="AT27" s="180" t="s">
        <v>116</v>
      </c>
      <c r="AU27" s="180" t="s">
        <v>116</v>
      </c>
      <c r="AV27" s="180" t="s">
        <v>116</v>
      </c>
      <c r="AW27" s="180" t="s">
        <v>116</v>
      </c>
      <c r="AX27" s="180" t="s">
        <v>116</v>
      </c>
      <c r="AY27" s="180" t="s">
        <v>116</v>
      </c>
      <c r="AZ27" s="180" t="s">
        <v>116</v>
      </c>
      <c r="BA27" s="180" t="s">
        <v>116</v>
      </c>
      <c r="BB27" s="180" t="s">
        <v>116</v>
      </c>
      <c r="BC27" s="180" t="s">
        <v>116</v>
      </c>
      <c r="BD27" s="180" t="s">
        <v>116</v>
      </c>
      <c r="BE27" s="180" t="s">
        <v>116</v>
      </c>
      <c r="BF27" s="180" t="s">
        <v>116</v>
      </c>
      <c r="BG27" s="180" t="s">
        <v>116</v>
      </c>
      <c r="BH27" s="180" t="s">
        <v>116</v>
      </c>
      <c r="BI27" s="180" t="s">
        <v>116</v>
      </c>
      <c r="BJ27" s="180" t="s">
        <v>116</v>
      </c>
      <c r="BK27" s="180" t="s">
        <v>116</v>
      </c>
      <c r="BL27" s="180" t="s">
        <v>116</v>
      </c>
      <c r="BM27" s="180" t="s">
        <v>116</v>
      </c>
      <c r="BN27" s="180" t="s">
        <v>116</v>
      </c>
      <c r="BO27" s="180" t="s">
        <v>116</v>
      </c>
      <c r="BP27" s="180" t="s">
        <v>116</v>
      </c>
      <c r="BQ27" s="180" t="s">
        <v>116</v>
      </c>
      <c r="BR27" s="180" t="s">
        <v>116</v>
      </c>
      <c r="BS27" s="180" t="s">
        <v>116</v>
      </c>
      <c r="BT27" s="180" t="s">
        <v>116</v>
      </c>
      <c r="BU27" s="180" t="s">
        <v>116</v>
      </c>
      <c r="BV27" s="180" t="s">
        <v>116</v>
      </c>
      <c r="BW27" s="180" t="s">
        <v>116</v>
      </c>
      <c r="BX27" s="180" t="s">
        <v>116</v>
      </c>
      <c r="BY27" s="180" t="s">
        <v>116</v>
      </c>
      <c r="BZ27" s="180" t="s">
        <v>116</v>
      </c>
      <c r="CA27" s="180" t="s">
        <v>116</v>
      </c>
      <c r="CB27" s="180" t="s">
        <v>116</v>
      </c>
      <c r="CC27" s="180" t="s">
        <v>116</v>
      </c>
      <c r="CD27" s="180" t="s">
        <v>116</v>
      </c>
      <c r="CE27" s="180" t="s">
        <v>116</v>
      </c>
      <c r="CF27" s="180" t="s">
        <v>116</v>
      </c>
      <c r="CG27" s="180" t="s">
        <v>116</v>
      </c>
      <c r="CH27" s="180" t="s">
        <v>116</v>
      </c>
      <c r="CI27" s="180" t="s">
        <v>116</v>
      </c>
      <c r="CJ27" s="180" t="s">
        <v>116</v>
      </c>
      <c r="CK27" s="180" t="s">
        <v>116</v>
      </c>
      <c r="CL27" s="180" t="s">
        <v>116</v>
      </c>
      <c r="CM27" s="180" t="s">
        <v>116</v>
      </c>
      <c r="CN27" s="180" t="s">
        <v>116</v>
      </c>
      <c r="CO27" s="180" t="s">
        <v>116</v>
      </c>
      <c r="CP27" s="180" t="s">
        <v>116</v>
      </c>
      <c r="CQ27" s="180" t="s">
        <v>116</v>
      </c>
      <c r="CR27" s="180" t="s">
        <v>116</v>
      </c>
      <c r="CS27" s="180" t="s">
        <v>116</v>
      </c>
      <c r="CT27" s="180" t="s">
        <v>116</v>
      </c>
      <c r="CU27" s="180" t="s">
        <v>116</v>
      </c>
      <c r="CV27" s="180" t="s">
        <v>116</v>
      </c>
      <c r="CW27" s="180" t="s">
        <v>116</v>
      </c>
      <c r="CX27" s="180" t="s">
        <v>116</v>
      </c>
      <c r="CY27" s="180" t="s">
        <v>116</v>
      </c>
      <c r="CZ27" s="180" t="s">
        <v>116</v>
      </c>
      <c r="DA27" s="180" t="s">
        <v>116</v>
      </c>
      <c r="DB27" s="180" t="s">
        <v>116</v>
      </c>
      <c r="DC27" s="180" t="s">
        <v>116</v>
      </c>
      <c r="DD27" s="180" t="s">
        <v>116</v>
      </c>
      <c r="DE27" s="180" t="s">
        <v>116</v>
      </c>
      <c r="DF27" s="180" t="s">
        <v>116</v>
      </c>
      <c r="DG27" s="180" t="s">
        <v>116</v>
      </c>
      <c r="DH27" s="180" t="s">
        <v>116</v>
      </c>
      <c r="DI27" s="180" t="s">
        <v>116</v>
      </c>
      <c r="DJ27" s="180" t="s">
        <v>116</v>
      </c>
      <c r="DK27" s="180" t="s">
        <v>116</v>
      </c>
      <c r="DL27" s="180" t="s">
        <v>116</v>
      </c>
      <c r="DM27" s="180" t="s">
        <v>116</v>
      </c>
      <c r="DN27" s="180" t="s">
        <v>116</v>
      </c>
      <c r="DO27" s="180" t="s">
        <v>116</v>
      </c>
      <c r="DP27" s="180" t="s">
        <v>116</v>
      </c>
      <c r="DQ27" s="180" t="s">
        <v>116</v>
      </c>
      <c r="DR27" s="180" t="s">
        <v>116</v>
      </c>
      <c r="DS27" s="180" t="s">
        <v>116</v>
      </c>
      <c r="DT27" s="180" t="s">
        <v>116</v>
      </c>
      <c r="DU27" s="180" t="s">
        <v>116</v>
      </c>
      <c r="DV27" s="181"/>
      <c r="DW27" s="148"/>
      <c r="DX27" s="148"/>
    </row>
    <row r="28" spans="1:128" ht="38.25">
      <c r="A28" s="149" t="s">
        <v>588</v>
      </c>
      <c r="B28" s="157" t="s">
        <v>589</v>
      </c>
      <c r="C28" s="180" t="s">
        <v>116</v>
      </c>
      <c r="D28" s="180" t="s">
        <v>116</v>
      </c>
      <c r="E28" s="180" t="s">
        <v>116</v>
      </c>
      <c r="F28" s="180" t="s">
        <v>116</v>
      </c>
      <c r="G28" s="180" t="s">
        <v>116</v>
      </c>
      <c r="H28" s="180" t="s">
        <v>116</v>
      </c>
      <c r="I28" s="180" t="s">
        <v>116</v>
      </c>
      <c r="J28" s="180" t="s">
        <v>116</v>
      </c>
      <c r="K28" s="180" t="s">
        <v>116</v>
      </c>
      <c r="L28" s="180" t="s">
        <v>116</v>
      </c>
      <c r="M28" s="180" t="s">
        <v>116</v>
      </c>
      <c r="N28" s="180" t="s">
        <v>116</v>
      </c>
      <c r="O28" s="180" t="s">
        <v>116</v>
      </c>
      <c r="P28" s="180" t="s">
        <v>116</v>
      </c>
      <c r="Q28" s="180" t="s">
        <v>116</v>
      </c>
      <c r="R28" s="180" t="s">
        <v>116</v>
      </c>
      <c r="S28" s="180" t="s">
        <v>116</v>
      </c>
      <c r="T28" s="180" t="s">
        <v>116</v>
      </c>
      <c r="U28" s="180" t="s">
        <v>116</v>
      </c>
      <c r="V28" s="180" t="s">
        <v>116</v>
      </c>
      <c r="W28" s="180" t="s">
        <v>116</v>
      </c>
      <c r="X28" s="180" t="s">
        <v>116</v>
      </c>
      <c r="Y28" s="180" t="s">
        <v>116</v>
      </c>
      <c r="Z28" s="180" t="s">
        <v>116</v>
      </c>
      <c r="AA28" s="180" t="s">
        <v>116</v>
      </c>
      <c r="AB28" s="180" t="s">
        <v>116</v>
      </c>
      <c r="AC28" s="180" t="s">
        <v>116</v>
      </c>
      <c r="AD28" s="180" t="s">
        <v>116</v>
      </c>
      <c r="AE28" s="180" t="s">
        <v>116</v>
      </c>
      <c r="AF28" s="180" t="s">
        <v>116</v>
      </c>
      <c r="AG28" s="180" t="s">
        <v>116</v>
      </c>
      <c r="AH28" s="180" t="s">
        <v>116</v>
      </c>
      <c r="AI28" s="180" t="s">
        <v>116</v>
      </c>
      <c r="AJ28" s="180" t="s">
        <v>116</v>
      </c>
      <c r="AK28" s="180" t="s">
        <v>116</v>
      </c>
      <c r="AL28" s="180" t="s">
        <v>116</v>
      </c>
      <c r="AM28" s="180" t="s">
        <v>116</v>
      </c>
      <c r="AN28" s="180" t="s">
        <v>116</v>
      </c>
      <c r="AO28" s="180" t="s">
        <v>116</v>
      </c>
      <c r="AP28" s="180" t="s">
        <v>116</v>
      </c>
      <c r="AQ28" s="180" t="s">
        <v>116</v>
      </c>
      <c r="AR28" s="180" t="s">
        <v>116</v>
      </c>
      <c r="AS28" s="180" t="s">
        <v>116</v>
      </c>
      <c r="AT28" s="180" t="s">
        <v>116</v>
      </c>
      <c r="AU28" s="180" t="s">
        <v>116</v>
      </c>
      <c r="AV28" s="180" t="s">
        <v>116</v>
      </c>
      <c r="AW28" s="180" t="s">
        <v>116</v>
      </c>
      <c r="AX28" s="180" t="s">
        <v>116</v>
      </c>
      <c r="AY28" s="180" t="s">
        <v>116</v>
      </c>
      <c r="AZ28" s="180" t="s">
        <v>116</v>
      </c>
      <c r="BA28" s="180" t="s">
        <v>116</v>
      </c>
      <c r="BB28" s="180" t="s">
        <v>116</v>
      </c>
      <c r="BC28" s="180" t="s">
        <v>116</v>
      </c>
      <c r="BD28" s="180" t="s">
        <v>116</v>
      </c>
      <c r="BE28" s="180" t="s">
        <v>116</v>
      </c>
      <c r="BF28" s="180" t="s">
        <v>116</v>
      </c>
      <c r="BG28" s="180" t="s">
        <v>116</v>
      </c>
      <c r="BH28" s="180" t="s">
        <v>116</v>
      </c>
      <c r="BI28" s="180" t="s">
        <v>116</v>
      </c>
      <c r="BJ28" s="180" t="s">
        <v>116</v>
      </c>
      <c r="BK28" s="180" t="s">
        <v>116</v>
      </c>
      <c r="BL28" s="180" t="s">
        <v>116</v>
      </c>
      <c r="BM28" s="180" t="s">
        <v>116</v>
      </c>
      <c r="BN28" s="180" t="s">
        <v>116</v>
      </c>
      <c r="BO28" s="180" t="s">
        <v>116</v>
      </c>
      <c r="BP28" s="180" t="s">
        <v>116</v>
      </c>
      <c r="BQ28" s="180" t="s">
        <v>116</v>
      </c>
      <c r="BR28" s="180" t="s">
        <v>116</v>
      </c>
      <c r="BS28" s="180" t="s">
        <v>116</v>
      </c>
      <c r="BT28" s="180" t="s">
        <v>116</v>
      </c>
      <c r="BU28" s="180" t="s">
        <v>116</v>
      </c>
      <c r="BV28" s="180" t="s">
        <v>116</v>
      </c>
      <c r="BW28" s="180" t="s">
        <v>116</v>
      </c>
      <c r="BX28" s="180" t="s">
        <v>116</v>
      </c>
      <c r="BY28" s="180" t="s">
        <v>116</v>
      </c>
      <c r="BZ28" s="180" t="s">
        <v>116</v>
      </c>
      <c r="CA28" s="180" t="s">
        <v>116</v>
      </c>
      <c r="CB28" s="180" t="s">
        <v>116</v>
      </c>
      <c r="CC28" s="180" t="s">
        <v>116</v>
      </c>
      <c r="CD28" s="180" t="s">
        <v>116</v>
      </c>
      <c r="CE28" s="180" t="s">
        <v>116</v>
      </c>
      <c r="CF28" s="180" t="s">
        <v>116</v>
      </c>
      <c r="CG28" s="180" t="s">
        <v>116</v>
      </c>
      <c r="CH28" s="180" t="s">
        <v>116</v>
      </c>
      <c r="CI28" s="180" t="s">
        <v>116</v>
      </c>
      <c r="CJ28" s="180" t="s">
        <v>116</v>
      </c>
      <c r="CK28" s="180" t="s">
        <v>116</v>
      </c>
      <c r="CL28" s="180" t="s">
        <v>116</v>
      </c>
      <c r="CM28" s="180" t="s">
        <v>116</v>
      </c>
      <c r="CN28" s="180" t="s">
        <v>116</v>
      </c>
      <c r="CO28" s="180" t="s">
        <v>116</v>
      </c>
      <c r="CP28" s="180" t="s">
        <v>116</v>
      </c>
      <c r="CQ28" s="180" t="s">
        <v>116</v>
      </c>
      <c r="CR28" s="180" t="s">
        <v>116</v>
      </c>
      <c r="CS28" s="180" t="s">
        <v>116</v>
      </c>
      <c r="CT28" s="180" t="s">
        <v>116</v>
      </c>
      <c r="CU28" s="180" t="s">
        <v>116</v>
      </c>
      <c r="CV28" s="180" t="s">
        <v>116</v>
      </c>
      <c r="CW28" s="180" t="s">
        <v>116</v>
      </c>
      <c r="CX28" s="180" t="s">
        <v>116</v>
      </c>
      <c r="CY28" s="180" t="s">
        <v>116</v>
      </c>
      <c r="CZ28" s="180" t="s">
        <v>116</v>
      </c>
      <c r="DA28" s="180" t="s">
        <v>116</v>
      </c>
      <c r="DB28" s="180" t="s">
        <v>116</v>
      </c>
      <c r="DC28" s="180" t="s">
        <v>116</v>
      </c>
      <c r="DD28" s="180" t="s">
        <v>116</v>
      </c>
      <c r="DE28" s="180" t="s">
        <v>116</v>
      </c>
      <c r="DF28" s="180" t="s">
        <v>116</v>
      </c>
      <c r="DG28" s="180" t="s">
        <v>116</v>
      </c>
      <c r="DH28" s="180" t="s">
        <v>116</v>
      </c>
      <c r="DI28" s="180" t="s">
        <v>116</v>
      </c>
      <c r="DJ28" s="180" t="s">
        <v>116</v>
      </c>
      <c r="DK28" s="180" t="s">
        <v>116</v>
      </c>
      <c r="DL28" s="180" t="s">
        <v>116</v>
      </c>
      <c r="DM28" s="180" t="s">
        <v>116</v>
      </c>
      <c r="DN28" s="180" t="s">
        <v>116</v>
      </c>
      <c r="DO28" s="180" t="s">
        <v>116</v>
      </c>
      <c r="DP28" s="180" t="s">
        <v>116</v>
      </c>
      <c r="DQ28" s="180" t="s">
        <v>116</v>
      </c>
      <c r="DR28" s="180" t="s">
        <v>116</v>
      </c>
      <c r="DS28" s="180" t="s">
        <v>116</v>
      </c>
      <c r="DT28" s="180" t="s">
        <v>116</v>
      </c>
      <c r="DU28" s="180" t="s">
        <v>116</v>
      </c>
      <c r="DV28" s="181"/>
      <c r="DW28" s="148"/>
      <c r="DX28" s="148"/>
    </row>
    <row r="29" spans="1:128" ht="18.75">
      <c r="A29" s="146"/>
      <c r="B29" s="154" t="s">
        <v>590</v>
      </c>
      <c r="C29" s="147"/>
      <c r="D29" s="147"/>
      <c r="E29" s="147"/>
      <c r="F29" s="147"/>
      <c r="G29" s="147"/>
      <c r="H29" s="147"/>
      <c r="I29" s="147"/>
      <c r="J29" s="147"/>
      <c r="K29" s="147"/>
      <c r="L29" s="147"/>
      <c r="M29" s="147"/>
      <c r="N29" s="147"/>
      <c r="O29" s="147"/>
      <c r="P29" s="147"/>
      <c r="Q29" s="147"/>
      <c r="R29" s="147"/>
      <c r="S29" s="147"/>
      <c r="T29" s="147"/>
      <c r="U29" s="147"/>
      <c r="V29" s="147"/>
      <c r="W29" s="147"/>
      <c r="X29" s="147"/>
      <c r="Y29" s="147"/>
      <c r="Z29" s="147"/>
      <c r="AA29" s="147"/>
      <c r="AB29" s="147"/>
      <c r="AC29" s="147"/>
      <c r="AD29" s="147"/>
      <c r="AE29" s="147"/>
      <c r="AF29" s="147"/>
      <c r="AG29" s="147"/>
      <c r="AH29" s="147"/>
      <c r="AI29" s="147"/>
      <c r="AJ29" s="147"/>
      <c r="AK29" s="147"/>
      <c r="AL29" s="147"/>
      <c r="AM29" s="147"/>
      <c r="AN29" s="147"/>
      <c r="AO29" s="147"/>
      <c r="AP29" s="147"/>
      <c r="AQ29" s="147"/>
      <c r="AR29" s="147"/>
      <c r="AS29" s="147"/>
      <c r="AT29" s="147"/>
      <c r="AU29" s="147"/>
      <c r="AV29" s="147"/>
      <c r="AW29" s="147"/>
      <c r="AX29" s="147"/>
      <c r="AY29" s="147"/>
      <c r="AZ29" s="147"/>
      <c r="BA29" s="147"/>
      <c r="BB29" s="147"/>
      <c r="BC29" s="147"/>
      <c r="BD29" s="147"/>
      <c r="BE29" s="147"/>
      <c r="BF29" s="147"/>
      <c r="BG29" s="147"/>
      <c r="BH29" s="147"/>
      <c r="BI29" s="147"/>
      <c r="BJ29" s="147"/>
      <c r="BK29" s="147"/>
      <c r="BL29" s="147"/>
      <c r="BM29" s="147"/>
      <c r="BN29" s="147"/>
      <c r="BO29" s="147"/>
      <c r="BP29" s="147"/>
      <c r="BQ29" s="147"/>
      <c r="BR29" s="147"/>
      <c r="BS29" s="147"/>
      <c r="BT29" s="147"/>
      <c r="BU29" s="147"/>
      <c r="BV29" s="147"/>
      <c r="BW29" s="147"/>
      <c r="BX29" s="147"/>
      <c r="BY29" s="147"/>
      <c r="BZ29" s="147"/>
      <c r="CA29" s="147"/>
      <c r="CB29" s="147"/>
      <c r="CC29" s="147"/>
      <c r="CD29" s="147"/>
      <c r="CE29" s="147"/>
      <c r="CF29" s="147"/>
      <c r="CG29" s="147"/>
      <c r="CH29" s="147"/>
      <c r="CI29" s="147"/>
      <c r="CJ29" s="147"/>
      <c r="CK29" s="147"/>
      <c r="CL29" s="147"/>
      <c r="CM29" s="147"/>
      <c r="CN29" s="147"/>
      <c r="CO29" s="147"/>
      <c r="CP29" s="147"/>
      <c r="CQ29" s="147"/>
      <c r="CR29" s="147"/>
      <c r="CS29" s="147"/>
      <c r="CT29" s="147"/>
      <c r="CU29" s="147"/>
      <c r="CV29" s="147"/>
      <c r="CW29" s="147"/>
      <c r="CX29" s="147"/>
      <c r="CY29" s="147"/>
      <c r="CZ29" s="147"/>
      <c r="DA29" s="147"/>
      <c r="DB29" s="147"/>
      <c r="DC29" s="147"/>
      <c r="DD29" s="147"/>
      <c r="DE29" s="147"/>
      <c r="DF29" s="147"/>
      <c r="DG29" s="147"/>
      <c r="DH29" s="147"/>
      <c r="DI29" s="147"/>
      <c r="DJ29" s="147"/>
      <c r="DK29" s="147"/>
      <c r="DL29" s="147"/>
      <c r="DM29" s="147"/>
      <c r="DN29" s="147"/>
      <c r="DO29" s="147"/>
      <c r="DP29" s="147"/>
      <c r="DQ29" s="147"/>
      <c r="DR29" s="147"/>
      <c r="DS29" s="147"/>
      <c r="DT29" s="147"/>
      <c r="DU29" s="147"/>
      <c r="DV29" s="147"/>
      <c r="DW29" s="186"/>
      <c r="DX29" s="186"/>
    </row>
    <row r="30" spans="1:128" ht="38.25">
      <c r="A30" s="149" t="s">
        <v>591</v>
      </c>
      <c r="B30" s="157" t="s">
        <v>592</v>
      </c>
      <c r="C30" s="180" t="s">
        <v>116</v>
      </c>
      <c r="D30" s="180" t="s">
        <v>116</v>
      </c>
      <c r="E30" s="180" t="s">
        <v>116</v>
      </c>
      <c r="F30" s="180" t="s">
        <v>116</v>
      </c>
      <c r="G30" s="180" t="s">
        <v>116</v>
      </c>
      <c r="H30" s="180" t="s">
        <v>116</v>
      </c>
      <c r="I30" s="180" t="s">
        <v>116</v>
      </c>
      <c r="J30" s="180" t="s">
        <v>116</v>
      </c>
      <c r="K30" s="180" t="s">
        <v>116</v>
      </c>
      <c r="L30" s="180" t="s">
        <v>116</v>
      </c>
      <c r="M30" s="180" t="s">
        <v>116</v>
      </c>
      <c r="N30" s="180" t="s">
        <v>116</v>
      </c>
      <c r="O30" s="180" t="s">
        <v>116</v>
      </c>
      <c r="P30" s="180" t="s">
        <v>116</v>
      </c>
      <c r="Q30" s="180" t="s">
        <v>116</v>
      </c>
      <c r="R30" s="180" t="s">
        <v>116</v>
      </c>
      <c r="S30" s="180" t="s">
        <v>116</v>
      </c>
      <c r="T30" s="180" t="s">
        <v>116</v>
      </c>
      <c r="U30" s="180" t="s">
        <v>116</v>
      </c>
      <c r="V30" s="180" t="s">
        <v>116</v>
      </c>
      <c r="W30" s="180" t="s">
        <v>116</v>
      </c>
      <c r="X30" s="180" t="s">
        <v>116</v>
      </c>
      <c r="Y30" s="180" t="s">
        <v>116</v>
      </c>
      <c r="Z30" s="180" t="s">
        <v>116</v>
      </c>
      <c r="AA30" s="180" t="s">
        <v>116</v>
      </c>
      <c r="AB30" s="180" t="s">
        <v>116</v>
      </c>
      <c r="AC30" s="180" t="s">
        <v>116</v>
      </c>
      <c r="AD30" s="180" t="s">
        <v>116</v>
      </c>
      <c r="AE30" s="180" t="s">
        <v>116</v>
      </c>
      <c r="AF30" s="180" t="s">
        <v>116</v>
      </c>
      <c r="AG30" s="180" t="s">
        <v>116</v>
      </c>
      <c r="AH30" s="180" t="s">
        <v>116</v>
      </c>
      <c r="AI30" s="180" t="s">
        <v>116</v>
      </c>
      <c r="AJ30" s="180" t="s">
        <v>116</v>
      </c>
      <c r="AK30" s="180" t="s">
        <v>116</v>
      </c>
      <c r="AL30" s="180" t="s">
        <v>116</v>
      </c>
      <c r="AM30" s="180" t="s">
        <v>116</v>
      </c>
      <c r="AN30" s="180" t="s">
        <v>116</v>
      </c>
      <c r="AO30" s="180" t="s">
        <v>116</v>
      </c>
      <c r="AP30" s="180" t="s">
        <v>116</v>
      </c>
      <c r="AQ30" s="180" t="s">
        <v>116</v>
      </c>
      <c r="AR30" s="180" t="s">
        <v>116</v>
      </c>
      <c r="AS30" s="180" t="s">
        <v>116</v>
      </c>
      <c r="AT30" s="180" t="s">
        <v>116</v>
      </c>
      <c r="AU30" s="180" t="s">
        <v>116</v>
      </c>
      <c r="AV30" s="180" t="s">
        <v>116</v>
      </c>
      <c r="AW30" s="180" t="s">
        <v>116</v>
      </c>
      <c r="AX30" s="180" t="s">
        <v>116</v>
      </c>
      <c r="AY30" s="180" t="s">
        <v>116</v>
      </c>
      <c r="AZ30" s="180" t="s">
        <v>116</v>
      </c>
      <c r="BA30" s="180" t="s">
        <v>116</v>
      </c>
      <c r="BB30" s="180" t="s">
        <v>116</v>
      </c>
      <c r="BC30" s="180" t="s">
        <v>116</v>
      </c>
      <c r="BD30" s="180" t="s">
        <v>116</v>
      </c>
      <c r="BE30" s="180" t="s">
        <v>116</v>
      </c>
      <c r="BF30" s="180" t="s">
        <v>116</v>
      </c>
      <c r="BG30" s="180" t="s">
        <v>116</v>
      </c>
      <c r="BH30" s="180" t="s">
        <v>116</v>
      </c>
      <c r="BI30" s="180" t="s">
        <v>116</v>
      </c>
      <c r="BJ30" s="180" t="s">
        <v>116</v>
      </c>
      <c r="BK30" s="180" t="s">
        <v>116</v>
      </c>
      <c r="BL30" s="180" t="s">
        <v>116</v>
      </c>
      <c r="BM30" s="180" t="s">
        <v>116</v>
      </c>
      <c r="BN30" s="180" t="s">
        <v>116</v>
      </c>
      <c r="BO30" s="180" t="s">
        <v>116</v>
      </c>
      <c r="BP30" s="180" t="s">
        <v>116</v>
      </c>
      <c r="BQ30" s="180" t="s">
        <v>116</v>
      </c>
      <c r="BR30" s="180" t="s">
        <v>116</v>
      </c>
      <c r="BS30" s="180" t="s">
        <v>116</v>
      </c>
      <c r="BT30" s="180" t="s">
        <v>116</v>
      </c>
      <c r="BU30" s="180" t="s">
        <v>116</v>
      </c>
      <c r="BV30" s="180" t="s">
        <v>116</v>
      </c>
      <c r="BW30" s="180" t="s">
        <v>116</v>
      </c>
      <c r="BX30" s="180" t="s">
        <v>116</v>
      </c>
      <c r="BY30" s="180" t="s">
        <v>116</v>
      </c>
      <c r="BZ30" s="180" t="s">
        <v>116</v>
      </c>
      <c r="CA30" s="180" t="s">
        <v>116</v>
      </c>
      <c r="CB30" s="180" t="s">
        <v>116</v>
      </c>
      <c r="CC30" s="180" t="s">
        <v>116</v>
      </c>
      <c r="CD30" s="180" t="s">
        <v>116</v>
      </c>
      <c r="CE30" s="180" t="s">
        <v>116</v>
      </c>
      <c r="CF30" s="180" t="s">
        <v>116</v>
      </c>
      <c r="CG30" s="180" t="s">
        <v>116</v>
      </c>
      <c r="CH30" s="180" t="s">
        <v>116</v>
      </c>
      <c r="CI30" s="180" t="s">
        <v>116</v>
      </c>
      <c r="CJ30" s="180" t="s">
        <v>116</v>
      </c>
      <c r="CK30" s="180" t="s">
        <v>116</v>
      </c>
      <c r="CL30" s="180" t="s">
        <v>116</v>
      </c>
      <c r="CM30" s="180" t="s">
        <v>116</v>
      </c>
      <c r="CN30" s="180" t="s">
        <v>116</v>
      </c>
      <c r="CO30" s="180" t="s">
        <v>116</v>
      </c>
      <c r="CP30" s="180" t="s">
        <v>116</v>
      </c>
      <c r="CQ30" s="180" t="s">
        <v>116</v>
      </c>
      <c r="CR30" s="180" t="s">
        <v>116</v>
      </c>
      <c r="CS30" s="180" t="s">
        <v>116</v>
      </c>
      <c r="CT30" s="180" t="s">
        <v>116</v>
      </c>
      <c r="CU30" s="180" t="s">
        <v>116</v>
      </c>
      <c r="CV30" s="180" t="s">
        <v>116</v>
      </c>
      <c r="CW30" s="180" t="s">
        <v>116</v>
      </c>
      <c r="CX30" s="180" t="s">
        <v>116</v>
      </c>
      <c r="CY30" s="180" t="s">
        <v>116</v>
      </c>
      <c r="CZ30" s="180" t="s">
        <v>116</v>
      </c>
      <c r="DA30" s="180" t="s">
        <v>116</v>
      </c>
      <c r="DB30" s="180" t="s">
        <v>116</v>
      </c>
      <c r="DC30" s="180" t="s">
        <v>116</v>
      </c>
      <c r="DD30" s="180" t="s">
        <v>116</v>
      </c>
      <c r="DE30" s="180" t="s">
        <v>116</v>
      </c>
      <c r="DF30" s="180" t="s">
        <v>116</v>
      </c>
      <c r="DG30" s="180" t="s">
        <v>116</v>
      </c>
      <c r="DH30" s="180" t="s">
        <v>116</v>
      </c>
      <c r="DI30" s="180" t="s">
        <v>116</v>
      </c>
      <c r="DJ30" s="180" t="s">
        <v>116</v>
      </c>
      <c r="DK30" s="180" t="s">
        <v>116</v>
      </c>
      <c r="DL30" s="180" t="s">
        <v>116</v>
      </c>
      <c r="DM30" s="180" t="s">
        <v>116</v>
      </c>
      <c r="DN30" s="180" t="s">
        <v>116</v>
      </c>
      <c r="DO30" s="180" t="s">
        <v>116</v>
      </c>
      <c r="DP30" s="180" t="s">
        <v>116</v>
      </c>
      <c r="DQ30" s="180" t="s">
        <v>116</v>
      </c>
      <c r="DR30" s="180" t="s">
        <v>116</v>
      </c>
      <c r="DS30" s="180" t="s">
        <v>116</v>
      </c>
      <c r="DT30" s="180" t="s">
        <v>116</v>
      </c>
      <c r="DU30" s="180" t="s">
        <v>116</v>
      </c>
      <c r="DV30" s="181"/>
      <c r="DW30" s="148"/>
      <c r="DX30" s="148"/>
    </row>
    <row r="31" spans="1:128" ht="38.25">
      <c r="A31" s="149" t="s">
        <v>593</v>
      </c>
      <c r="B31" s="157" t="s">
        <v>594</v>
      </c>
      <c r="C31" s="180" t="s">
        <v>116</v>
      </c>
      <c r="D31" s="180" t="s">
        <v>116</v>
      </c>
      <c r="E31" s="180" t="s">
        <v>116</v>
      </c>
      <c r="F31" s="180" t="s">
        <v>116</v>
      </c>
      <c r="G31" s="180" t="s">
        <v>116</v>
      </c>
      <c r="H31" s="180" t="s">
        <v>116</v>
      </c>
      <c r="I31" s="180" t="s">
        <v>116</v>
      </c>
      <c r="J31" s="180" t="s">
        <v>116</v>
      </c>
      <c r="K31" s="180" t="s">
        <v>116</v>
      </c>
      <c r="L31" s="180" t="s">
        <v>116</v>
      </c>
      <c r="M31" s="180" t="s">
        <v>116</v>
      </c>
      <c r="N31" s="180" t="s">
        <v>116</v>
      </c>
      <c r="O31" s="180" t="s">
        <v>116</v>
      </c>
      <c r="P31" s="180" t="s">
        <v>116</v>
      </c>
      <c r="Q31" s="180" t="s">
        <v>116</v>
      </c>
      <c r="R31" s="180" t="s">
        <v>116</v>
      </c>
      <c r="S31" s="180" t="s">
        <v>116</v>
      </c>
      <c r="T31" s="180" t="s">
        <v>116</v>
      </c>
      <c r="U31" s="180" t="s">
        <v>116</v>
      </c>
      <c r="V31" s="180" t="s">
        <v>116</v>
      </c>
      <c r="W31" s="180" t="s">
        <v>116</v>
      </c>
      <c r="X31" s="180" t="s">
        <v>116</v>
      </c>
      <c r="Y31" s="180" t="s">
        <v>116</v>
      </c>
      <c r="Z31" s="180" t="s">
        <v>116</v>
      </c>
      <c r="AA31" s="180" t="s">
        <v>116</v>
      </c>
      <c r="AB31" s="180" t="s">
        <v>116</v>
      </c>
      <c r="AC31" s="180" t="s">
        <v>116</v>
      </c>
      <c r="AD31" s="180" t="s">
        <v>116</v>
      </c>
      <c r="AE31" s="180" t="s">
        <v>116</v>
      </c>
      <c r="AF31" s="180" t="s">
        <v>116</v>
      </c>
      <c r="AG31" s="180" t="s">
        <v>116</v>
      </c>
      <c r="AH31" s="180" t="s">
        <v>116</v>
      </c>
      <c r="AI31" s="180" t="s">
        <v>116</v>
      </c>
      <c r="AJ31" s="180" t="s">
        <v>116</v>
      </c>
      <c r="AK31" s="180" t="s">
        <v>116</v>
      </c>
      <c r="AL31" s="180" t="s">
        <v>116</v>
      </c>
      <c r="AM31" s="180" t="s">
        <v>116</v>
      </c>
      <c r="AN31" s="180" t="s">
        <v>116</v>
      </c>
      <c r="AO31" s="180" t="s">
        <v>116</v>
      </c>
      <c r="AP31" s="180" t="s">
        <v>116</v>
      </c>
      <c r="AQ31" s="180" t="s">
        <v>116</v>
      </c>
      <c r="AR31" s="180" t="s">
        <v>116</v>
      </c>
      <c r="AS31" s="180" t="s">
        <v>116</v>
      </c>
      <c r="AT31" s="180" t="s">
        <v>116</v>
      </c>
      <c r="AU31" s="180" t="s">
        <v>116</v>
      </c>
      <c r="AV31" s="180" t="s">
        <v>116</v>
      </c>
      <c r="AW31" s="180" t="s">
        <v>116</v>
      </c>
      <c r="AX31" s="180" t="s">
        <v>116</v>
      </c>
      <c r="AY31" s="180" t="s">
        <v>116</v>
      </c>
      <c r="AZ31" s="180" t="s">
        <v>116</v>
      </c>
      <c r="BA31" s="180" t="s">
        <v>116</v>
      </c>
      <c r="BB31" s="180" t="s">
        <v>116</v>
      </c>
      <c r="BC31" s="180" t="s">
        <v>116</v>
      </c>
      <c r="BD31" s="180" t="s">
        <v>116</v>
      </c>
      <c r="BE31" s="180" t="s">
        <v>116</v>
      </c>
      <c r="BF31" s="180" t="s">
        <v>116</v>
      </c>
      <c r="BG31" s="180" t="s">
        <v>116</v>
      </c>
      <c r="BH31" s="180" t="s">
        <v>116</v>
      </c>
      <c r="BI31" s="180" t="s">
        <v>116</v>
      </c>
      <c r="BJ31" s="180" t="s">
        <v>116</v>
      </c>
      <c r="BK31" s="180" t="s">
        <v>116</v>
      </c>
      <c r="BL31" s="180" t="s">
        <v>116</v>
      </c>
      <c r="BM31" s="180" t="s">
        <v>116</v>
      </c>
      <c r="BN31" s="180" t="s">
        <v>116</v>
      </c>
      <c r="BO31" s="180" t="s">
        <v>116</v>
      </c>
      <c r="BP31" s="180" t="s">
        <v>116</v>
      </c>
      <c r="BQ31" s="180" t="s">
        <v>116</v>
      </c>
      <c r="BR31" s="180" t="s">
        <v>116</v>
      </c>
      <c r="BS31" s="180" t="s">
        <v>116</v>
      </c>
      <c r="BT31" s="180" t="s">
        <v>116</v>
      </c>
      <c r="BU31" s="180" t="s">
        <v>116</v>
      </c>
      <c r="BV31" s="180" t="s">
        <v>116</v>
      </c>
      <c r="BW31" s="180" t="s">
        <v>116</v>
      </c>
      <c r="BX31" s="180" t="s">
        <v>116</v>
      </c>
      <c r="BY31" s="180" t="s">
        <v>116</v>
      </c>
      <c r="BZ31" s="180" t="s">
        <v>116</v>
      </c>
      <c r="CA31" s="180" t="s">
        <v>116</v>
      </c>
      <c r="CB31" s="180" t="s">
        <v>116</v>
      </c>
      <c r="CC31" s="180" t="s">
        <v>116</v>
      </c>
      <c r="CD31" s="180" t="s">
        <v>116</v>
      </c>
      <c r="CE31" s="180" t="s">
        <v>116</v>
      </c>
      <c r="CF31" s="180" t="s">
        <v>116</v>
      </c>
      <c r="CG31" s="180" t="s">
        <v>116</v>
      </c>
      <c r="CH31" s="180" t="s">
        <v>116</v>
      </c>
      <c r="CI31" s="180" t="s">
        <v>116</v>
      </c>
      <c r="CJ31" s="180" t="s">
        <v>116</v>
      </c>
      <c r="CK31" s="180" t="s">
        <v>116</v>
      </c>
      <c r="CL31" s="180" t="s">
        <v>116</v>
      </c>
      <c r="CM31" s="180" t="s">
        <v>116</v>
      </c>
      <c r="CN31" s="180" t="s">
        <v>116</v>
      </c>
      <c r="CO31" s="180" t="s">
        <v>116</v>
      </c>
      <c r="CP31" s="180" t="s">
        <v>116</v>
      </c>
      <c r="CQ31" s="180" t="s">
        <v>116</v>
      </c>
      <c r="CR31" s="180" t="s">
        <v>116</v>
      </c>
      <c r="CS31" s="180" t="s">
        <v>116</v>
      </c>
      <c r="CT31" s="180" t="s">
        <v>116</v>
      </c>
      <c r="CU31" s="180" t="s">
        <v>116</v>
      </c>
      <c r="CV31" s="180" t="s">
        <v>116</v>
      </c>
      <c r="CW31" s="180" t="s">
        <v>116</v>
      </c>
      <c r="CX31" s="180" t="s">
        <v>116</v>
      </c>
      <c r="CY31" s="180" t="s">
        <v>116</v>
      </c>
      <c r="CZ31" s="180" t="s">
        <v>116</v>
      </c>
      <c r="DA31" s="180" t="s">
        <v>116</v>
      </c>
      <c r="DB31" s="180" t="s">
        <v>116</v>
      </c>
      <c r="DC31" s="180" t="s">
        <v>116</v>
      </c>
      <c r="DD31" s="180" t="s">
        <v>116</v>
      </c>
      <c r="DE31" s="180" t="s">
        <v>116</v>
      </c>
      <c r="DF31" s="180" t="s">
        <v>116</v>
      </c>
      <c r="DG31" s="180" t="s">
        <v>116</v>
      </c>
      <c r="DH31" s="180" t="s">
        <v>116</v>
      </c>
      <c r="DI31" s="180" t="s">
        <v>116</v>
      </c>
      <c r="DJ31" s="180" t="s">
        <v>116</v>
      </c>
      <c r="DK31" s="180" t="s">
        <v>116</v>
      </c>
      <c r="DL31" s="180" t="s">
        <v>116</v>
      </c>
      <c r="DM31" s="180" t="s">
        <v>116</v>
      </c>
      <c r="DN31" s="180" t="s">
        <v>116</v>
      </c>
      <c r="DO31" s="180" t="s">
        <v>116</v>
      </c>
      <c r="DP31" s="180" t="s">
        <v>116</v>
      </c>
      <c r="DQ31" s="180" t="s">
        <v>116</v>
      </c>
      <c r="DR31" s="180" t="s">
        <v>116</v>
      </c>
      <c r="DS31" s="180" t="s">
        <v>116</v>
      </c>
      <c r="DT31" s="180" t="s">
        <v>116</v>
      </c>
      <c r="DU31" s="180" t="s">
        <v>116</v>
      </c>
      <c r="DV31" s="181"/>
      <c r="DW31" s="148"/>
      <c r="DX31" s="148"/>
    </row>
    <row r="32" spans="1:128" ht="18.75">
      <c r="A32" s="146"/>
      <c r="B32" s="154" t="s">
        <v>595</v>
      </c>
      <c r="C32" s="147"/>
      <c r="D32" s="147"/>
      <c r="E32" s="147"/>
      <c r="F32" s="147"/>
      <c r="G32" s="147"/>
      <c r="H32" s="147"/>
      <c r="I32" s="147"/>
      <c r="J32" s="147"/>
      <c r="K32" s="147"/>
      <c r="L32" s="147"/>
      <c r="M32" s="147"/>
      <c r="N32" s="147"/>
      <c r="O32" s="147"/>
      <c r="P32" s="147"/>
      <c r="Q32" s="147"/>
      <c r="R32" s="147"/>
      <c r="S32" s="147"/>
      <c r="T32" s="147"/>
      <c r="U32" s="147"/>
      <c r="V32" s="147"/>
      <c r="W32" s="147"/>
      <c r="X32" s="147"/>
      <c r="Y32" s="147"/>
      <c r="Z32" s="147"/>
      <c r="AA32" s="147"/>
      <c r="AB32" s="147"/>
      <c r="AC32" s="147"/>
      <c r="AD32" s="147"/>
      <c r="AE32" s="147"/>
      <c r="AF32" s="147"/>
      <c r="AG32" s="147"/>
      <c r="AH32" s="147"/>
      <c r="AI32" s="147"/>
      <c r="AJ32" s="147"/>
      <c r="AK32" s="147"/>
      <c r="AL32" s="147"/>
      <c r="AM32" s="147"/>
      <c r="AN32" s="147"/>
      <c r="AO32" s="147"/>
      <c r="AP32" s="147"/>
      <c r="AQ32" s="147"/>
      <c r="AR32" s="147"/>
      <c r="AS32" s="147"/>
      <c r="AT32" s="147"/>
      <c r="AU32" s="147"/>
      <c r="AV32" s="147"/>
      <c r="AW32" s="147"/>
      <c r="AX32" s="147"/>
      <c r="AY32" s="147"/>
      <c r="AZ32" s="147"/>
      <c r="BA32" s="147"/>
      <c r="BB32" s="147"/>
      <c r="BC32" s="147"/>
      <c r="BD32" s="147"/>
      <c r="BE32" s="147"/>
      <c r="BF32" s="147"/>
      <c r="BG32" s="147"/>
      <c r="BH32" s="147"/>
      <c r="BI32" s="147"/>
      <c r="BJ32" s="147"/>
      <c r="BK32" s="147"/>
      <c r="BL32" s="147"/>
      <c r="BM32" s="147"/>
      <c r="BN32" s="147"/>
      <c r="BO32" s="147"/>
      <c r="BP32" s="147"/>
      <c r="BQ32" s="147"/>
      <c r="BR32" s="147"/>
      <c r="BS32" s="147"/>
      <c r="BT32" s="147"/>
      <c r="BU32" s="147"/>
      <c r="BV32" s="147"/>
      <c r="BW32" s="147"/>
      <c r="BX32" s="147"/>
      <c r="BY32" s="147"/>
      <c r="BZ32" s="147"/>
      <c r="CA32" s="147"/>
      <c r="CB32" s="147"/>
      <c r="CC32" s="147"/>
      <c r="CD32" s="147"/>
      <c r="CE32" s="147"/>
      <c r="CF32" s="147"/>
      <c r="CG32" s="147"/>
      <c r="CH32" s="147"/>
      <c r="CI32" s="147"/>
      <c r="CJ32" s="147"/>
      <c r="CK32" s="147"/>
      <c r="CL32" s="147"/>
      <c r="CM32" s="147"/>
      <c r="CN32" s="147"/>
      <c r="CO32" s="147"/>
      <c r="CP32" s="147"/>
      <c r="CQ32" s="147"/>
      <c r="CR32" s="147"/>
      <c r="CS32" s="147"/>
      <c r="CT32" s="147"/>
      <c r="CU32" s="147"/>
      <c r="CV32" s="147"/>
      <c r="CW32" s="147"/>
      <c r="CX32" s="147"/>
      <c r="CY32" s="147"/>
      <c r="CZ32" s="147"/>
      <c r="DA32" s="147"/>
      <c r="DB32" s="147"/>
      <c r="DC32" s="147"/>
      <c r="DD32" s="147"/>
      <c r="DE32" s="147"/>
      <c r="DF32" s="147"/>
      <c r="DG32" s="147"/>
      <c r="DH32" s="147"/>
      <c r="DI32" s="147"/>
      <c r="DJ32" s="147"/>
      <c r="DK32" s="147"/>
      <c r="DL32" s="147"/>
      <c r="DM32" s="147"/>
      <c r="DN32" s="147"/>
      <c r="DO32" s="147"/>
      <c r="DP32" s="147"/>
      <c r="DQ32" s="147"/>
      <c r="DR32" s="147"/>
      <c r="DS32" s="147"/>
      <c r="DT32" s="147"/>
      <c r="DU32" s="147"/>
      <c r="DV32" s="147"/>
      <c r="DW32" s="186"/>
      <c r="DX32" s="186"/>
    </row>
    <row r="33" spans="1:128" ht="51">
      <c r="A33" s="149" t="s">
        <v>596</v>
      </c>
      <c r="B33" s="157" t="s">
        <v>597</v>
      </c>
      <c r="C33" s="180" t="s">
        <v>120</v>
      </c>
      <c r="D33" s="180" t="s">
        <v>120</v>
      </c>
      <c r="E33" s="180" t="s">
        <v>120</v>
      </c>
      <c r="F33" s="180" t="s">
        <v>120</v>
      </c>
      <c r="G33" s="180" t="s">
        <v>120</v>
      </c>
      <c r="H33" s="180" t="s">
        <v>120</v>
      </c>
      <c r="I33" s="180" t="s">
        <v>120</v>
      </c>
      <c r="J33" s="180" t="s">
        <v>120</v>
      </c>
      <c r="K33" s="180" t="s">
        <v>120</v>
      </c>
      <c r="L33" s="180" t="s">
        <v>120</v>
      </c>
      <c r="M33" s="180" t="s">
        <v>120</v>
      </c>
      <c r="N33" s="180" t="s">
        <v>120</v>
      </c>
      <c r="O33" s="180" t="s">
        <v>120</v>
      </c>
      <c r="P33" s="180" t="s">
        <v>120</v>
      </c>
      <c r="Q33" s="180" t="s">
        <v>120</v>
      </c>
      <c r="R33" s="180" t="s">
        <v>120</v>
      </c>
      <c r="S33" s="180" t="s">
        <v>120</v>
      </c>
      <c r="T33" s="180" t="s">
        <v>120</v>
      </c>
      <c r="U33" s="180" t="s">
        <v>120</v>
      </c>
      <c r="V33" s="180" t="s">
        <v>120</v>
      </c>
      <c r="W33" s="180" t="s">
        <v>120</v>
      </c>
      <c r="X33" s="180" t="s">
        <v>120</v>
      </c>
      <c r="Y33" s="180" t="s">
        <v>120</v>
      </c>
      <c r="Z33" s="180" t="s">
        <v>120</v>
      </c>
      <c r="AA33" s="180" t="s">
        <v>120</v>
      </c>
      <c r="AB33" s="180" t="s">
        <v>120</v>
      </c>
      <c r="AC33" s="180" t="s">
        <v>120</v>
      </c>
      <c r="AD33" s="180" t="s">
        <v>120</v>
      </c>
      <c r="AE33" s="180" t="s">
        <v>120</v>
      </c>
      <c r="AF33" s="180" t="s">
        <v>120</v>
      </c>
      <c r="AG33" s="180" t="s">
        <v>120</v>
      </c>
      <c r="AH33" s="180" t="s">
        <v>120</v>
      </c>
      <c r="AI33" s="180" t="s">
        <v>120</v>
      </c>
      <c r="AJ33" s="180" t="s">
        <v>120</v>
      </c>
      <c r="AK33" s="180" t="s">
        <v>120</v>
      </c>
      <c r="AL33" s="180" t="s">
        <v>120</v>
      </c>
      <c r="AM33" s="180" t="s">
        <v>120</v>
      </c>
      <c r="AN33" s="180" t="s">
        <v>120</v>
      </c>
      <c r="AO33" s="180" t="s">
        <v>120</v>
      </c>
      <c r="AP33" s="180" t="s">
        <v>120</v>
      </c>
      <c r="AQ33" s="180" t="s">
        <v>120</v>
      </c>
      <c r="AR33" s="180" t="s">
        <v>120</v>
      </c>
      <c r="AS33" s="180" t="s">
        <v>120</v>
      </c>
      <c r="AT33" s="180" t="s">
        <v>120</v>
      </c>
      <c r="AU33" s="180" t="s">
        <v>120</v>
      </c>
      <c r="AV33" s="180" t="s">
        <v>120</v>
      </c>
      <c r="AW33" s="180" t="s">
        <v>120</v>
      </c>
      <c r="AX33" s="180" t="s">
        <v>120</v>
      </c>
      <c r="AY33" s="180" t="s">
        <v>120</v>
      </c>
      <c r="AZ33" s="180" t="s">
        <v>120</v>
      </c>
      <c r="BA33" s="180" t="s">
        <v>120</v>
      </c>
      <c r="BB33" s="180" t="s">
        <v>120</v>
      </c>
      <c r="BC33" s="180" t="s">
        <v>120</v>
      </c>
      <c r="BD33" s="180" t="s">
        <v>120</v>
      </c>
      <c r="BE33" s="180" t="s">
        <v>120</v>
      </c>
      <c r="BF33" s="180" t="s">
        <v>120</v>
      </c>
      <c r="BG33" s="180" t="s">
        <v>120</v>
      </c>
      <c r="BH33" s="180" t="s">
        <v>120</v>
      </c>
      <c r="BI33" s="180" t="s">
        <v>120</v>
      </c>
      <c r="BJ33" s="180" t="s">
        <v>120</v>
      </c>
      <c r="BK33" s="180" t="s">
        <v>120</v>
      </c>
      <c r="BL33" s="180" t="s">
        <v>120</v>
      </c>
      <c r="BM33" s="180" t="s">
        <v>120</v>
      </c>
      <c r="BN33" s="180" t="s">
        <v>120</v>
      </c>
      <c r="BO33" s="180" t="s">
        <v>120</v>
      </c>
      <c r="BP33" s="180" t="s">
        <v>120</v>
      </c>
      <c r="BQ33" s="180" t="s">
        <v>120</v>
      </c>
      <c r="BR33" s="180" t="s">
        <v>120</v>
      </c>
      <c r="BS33" s="180" t="s">
        <v>120</v>
      </c>
      <c r="BT33" s="180" t="s">
        <v>120</v>
      </c>
      <c r="BU33" s="180" t="s">
        <v>120</v>
      </c>
      <c r="BV33" s="180" t="s">
        <v>120</v>
      </c>
      <c r="BW33" s="180" t="s">
        <v>120</v>
      </c>
      <c r="BX33" s="180" t="s">
        <v>120</v>
      </c>
      <c r="BY33" s="180" t="s">
        <v>120</v>
      </c>
      <c r="BZ33" s="180" t="s">
        <v>120</v>
      </c>
      <c r="CA33" s="180" t="s">
        <v>120</v>
      </c>
      <c r="CB33" s="180" t="s">
        <v>120</v>
      </c>
      <c r="CC33" s="180" t="s">
        <v>120</v>
      </c>
      <c r="CD33" s="180" t="s">
        <v>120</v>
      </c>
      <c r="CE33" s="180" t="s">
        <v>120</v>
      </c>
      <c r="CF33" s="180" t="s">
        <v>120</v>
      </c>
      <c r="CG33" s="180" t="s">
        <v>120</v>
      </c>
      <c r="CH33" s="180" t="s">
        <v>120</v>
      </c>
      <c r="CI33" s="180" t="s">
        <v>120</v>
      </c>
      <c r="CJ33" s="180" t="s">
        <v>120</v>
      </c>
      <c r="CK33" s="180" t="s">
        <v>120</v>
      </c>
      <c r="CL33" s="180" t="s">
        <v>120</v>
      </c>
      <c r="CM33" s="180" t="s">
        <v>120</v>
      </c>
      <c r="CN33" s="180" t="s">
        <v>120</v>
      </c>
      <c r="CO33" s="180" t="s">
        <v>120</v>
      </c>
      <c r="CP33" s="180" t="s">
        <v>120</v>
      </c>
      <c r="CQ33" s="180" t="s">
        <v>120</v>
      </c>
      <c r="CR33" s="180" t="s">
        <v>120</v>
      </c>
      <c r="CS33" s="180" t="s">
        <v>120</v>
      </c>
      <c r="CT33" s="180" t="s">
        <v>120</v>
      </c>
      <c r="CU33" s="180" t="s">
        <v>120</v>
      </c>
      <c r="CV33" s="180" t="s">
        <v>120</v>
      </c>
      <c r="CW33" s="180" t="s">
        <v>120</v>
      </c>
      <c r="CX33" s="180" t="s">
        <v>120</v>
      </c>
      <c r="CY33" s="180" t="s">
        <v>120</v>
      </c>
      <c r="CZ33" s="180" t="s">
        <v>120</v>
      </c>
      <c r="DA33" s="180" t="s">
        <v>120</v>
      </c>
      <c r="DB33" s="180" t="s">
        <v>120</v>
      </c>
      <c r="DC33" s="180" t="s">
        <v>120</v>
      </c>
      <c r="DD33" s="180" t="s">
        <v>120</v>
      </c>
      <c r="DE33" s="180" t="s">
        <v>120</v>
      </c>
      <c r="DF33" s="180" t="s">
        <v>120</v>
      </c>
      <c r="DG33" s="180" t="s">
        <v>120</v>
      </c>
      <c r="DH33" s="180" t="s">
        <v>120</v>
      </c>
      <c r="DI33" s="180" t="s">
        <v>120</v>
      </c>
      <c r="DJ33" s="180" t="s">
        <v>120</v>
      </c>
      <c r="DK33" s="180" t="s">
        <v>120</v>
      </c>
      <c r="DL33" s="180" t="s">
        <v>120</v>
      </c>
      <c r="DM33" s="180" t="s">
        <v>120</v>
      </c>
      <c r="DN33" s="180" t="s">
        <v>120</v>
      </c>
      <c r="DO33" s="180" t="s">
        <v>120</v>
      </c>
      <c r="DP33" s="180" t="s">
        <v>120</v>
      </c>
      <c r="DQ33" s="180" t="s">
        <v>120</v>
      </c>
      <c r="DR33" s="180" t="s">
        <v>120</v>
      </c>
      <c r="DS33" s="180" t="s">
        <v>120</v>
      </c>
      <c r="DT33" s="180" t="s">
        <v>120</v>
      </c>
      <c r="DU33" s="180" t="s">
        <v>120</v>
      </c>
      <c r="DV33" s="181" t="s">
        <v>683</v>
      </c>
      <c r="DW33" s="148"/>
      <c r="DX33" s="148"/>
    </row>
    <row r="34" spans="1:128" ht="18">
      <c r="A34" s="182"/>
      <c r="B34" s="183" t="s">
        <v>598</v>
      </c>
      <c r="C34" s="182"/>
      <c r="D34" s="182"/>
      <c r="E34" s="182"/>
      <c r="F34" s="182"/>
      <c r="G34" s="182"/>
      <c r="H34" s="182"/>
      <c r="I34" s="182"/>
      <c r="J34" s="182"/>
      <c r="K34" s="182"/>
      <c r="L34" s="182"/>
      <c r="M34" s="182"/>
      <c r="N34" s="182"/>
      <c r="O34" s="182"/>
      <c r="P34" s="182"/>
      <c r="Q34" s="182"/>
      <c r="R34" s="182"/>
      <c r="S34" s="182"/>
      <c r="T34" s="182"/>
      <c r="U34" s="182"/>
      <c r="V34" s="182"/>
      <c r="W34" s="182"/>
      <c r="X34" s="182"/>
      <c r="Y34" s="182"/>
      <c r="Z34" s="182"/>
      <c r="AA34" s="182"/>
      <c r="AB34" s="182"/>
      <c r="AC34" s="182"/>
      <c r="AD34" s="182"/>
      <c r="AE34" s="182"/>
      <c r="AF34" s="182"/>
      <c r="AG34" s="182"/>
      <c r="AH34" s="182"/>
      <c r="AI34" s="182"/>
      <c r="AJ34" s="182"/>
      <c r="AK34" s="182"/>
      <c r="AL34" s="182"/>
      <c r="AM34" s="182"/>
      <c r="AN34" s="182"/>
      <c r="AO34" s="182"/>
      <c r="AP34" s="182"/>
      <c r="AQ34" s="182"/>
      <c r="AR34" s="182"/>
      <c r="AS34" s="182"/>
      <c r="AT34" s="182"/>
      <c r="AU34" s="182"/>
      <c r="AV34" s="182"/>
      <c r="AW34" s="182"/>
      <c r="AX34" s="182"/>
      <c r="AY34" s="182"/>
      <c r="AZ34" s="182"/>
      <c r="BA34" s="182"/>
      <c r="BB34" s="182"/>
      <c r="BC34" s="182"/>
      <c r="BD34" s="182"/>
      <c r="BE34" s="182"/>
      <c r="BF34" s="182"/>
      <c r="BG34" s="182"/>
      <c r="BH34" s="182"/>
      <c r="BI34" s="182"/>
      <c r="BJ34" s="182"/>
      <c r="BK34" s="182"/>
      <c r="BL34" s="182"/>
      <c r="BM34" s="182"/>
      <c r="BN34" s="182"/>
      <c r="BO34" s="182"/>
      <c r="BP34" s="182"/>
      <c r="BQ34" s="182"/>
      <c r="BR34" s="182"/>
      <c r="BS34" s="182"/>
      <c r="BT34" s="182"/>
      <c r="BU34" s="182"/>
      <c r="BV34" s="182"/>
      <c r="BW34" s="182"/>
      <c r="BX34" s="182"/>
      <c r="BY34" s="182"/>
      <c r="BZ34" s="182"/>
      <c r="CA34" s="182"/>
      <c r="CB34" s="182"/>
      <c r="CC34" s="182"/>
      <c r="CD34" s="182"/>
      <c r="CE34" s="182"/>
      <c r="CF34" s="182"/>
      <c r="CG34" s="182"/>
      <c r="CH34" s="182"/>
      <c r="CI34" s="182"/>
      <c r="CJ34" s="182"/>
      <c r="CK34" s="182"/>
      <c r="CL34" s="182"/>
      <c r="CM34" s="182"/>
      <c r="CN34" s="182"/>
      <c r="CO34" s="182"/>
      <c r="CP34" s="182"/>
      <c r="CQ34" s="182"/>
      <c r="CR34" s="182"/>
      <c r="CS34" s="182"/>
      <c r="CT34" s="182"/>
      <c r="CU34" s="182"/>
      <c r="CV34" s="182"/>
      <c r="CW34" s="182"/>
      <c r="CX34" s="182"/>
      <c r="CY34" s="182"/>
      <c r="CZ34" s="182"/>
      <c r="DA34" s="182"/>
      <c r="DB34" s="182"/>
      <c r="DC34" s="182"/>
      <c r="DD34" s="182"/>
      <c r="DE34" s="182"/>
      <c r="DF34" s="182"/>
      <c r="DG34" s="182"/>
      <c r="DH34" s="182"/>
      <c r="DI34" s="182"/>
      <c r="DJ34" s="182"/>
      <c r="DK34" s="182"/>
      <c r="DL34" s="182"/>
      <c r="DM34" s="182"/>
      <c r="DN34" s="182"/>
      <c r="DO34" s="182"/>
      <c r="DP34" s="182"/>
      <c r="DQ34" s="182"/>
      <c r="DR34" s="182"/>
      <c r="DS34" s="182"/>
      <c r="DT34" s="182"/>
      <c r="DU34" s="182"/>
      <c r="DV34" s="182"/>
      <c r="DW34" s="182"/>
      <c r="DX34" s="182"/>
    </row>
    <row r="35" spans="1:128" ht="15">
      <c r="A35" s="150"/>
      <c r="B35" s="151"/>
      <c r="C35" s="152"/>
      <c r="D35" s="152"/>
      <c r="E35" s="152"/>
      <c r="F35" s="152"/>
      <c r="G35" s="152"/>
      <c r="H35" s="152"/>
      <c r="I35" s="152"/>
      <c r="J35" s="152"/>
      <c r="K35" s="152"/>
      <c r="L35" s="152"/>
      <c r="M35" s="152"/>
      <c r="N35" s="152"/>
      <c r="O35" s="152"/>
      <c r="P35" s="152"/>
      <c r="Q35" s="152"/>
      <c r="R35" s="152"/>
      <c r="S35" s="152"/>
      <c r="T35" s="152"/>
      <c r="U35" s="152"/>
      <c r="V35" s="152"/>
      <c r="W35" s="152"/>
      <c r="X35" s="152"/>
      <c r="Y35" s="152"/>
      <c r="Z35" s="152"/>
      <c r="AA35" s="152"/>
      <c r="AB35" s="152"/>
      <c r="AC35" s="152"/>
      <c r="AD35" s="152"/>
      <c r="AE35" s="152"/>
      <c r="AF35" s="152"/>
      <c r="AG35" s="152"/>
      <c r="AH35" s="152"/>
      <c r="AI35" s="152"/>
      <c r="AJ35" s="152"/>
      <c r="AK35" s="152"/>
      <c r="AL35" s="152"/>
      <c r="AM35" s="152"/>
      <c r="AN35" s="152"/>
      <c r="AO35" s="152"/>
      <c r="AP35" s="152"/>
      <c r="AQ35" s="152"/>
      <c r="AR35" s="152"/>
      <c r="AS35" s="152"/>
      <c r="AT35" s="152"/>
      <c r="AU35" s="152"/>
      <c r="AV35" s="152"/>
      <c r="AW35" s="152"/>
      <c r="AX35" s="152"/>
      <c r="AY35" s="152"/>
      <c r="AZ35" s="152"/>
      <c r="BA35" s="152"/>
      <c r="BB35" s="152"/>
      <c r="BC35" s="152"/>
      <c r="BD35" s="152"/>
      <c r="BE35" s="152"/>
      <c r="BF35" s="152"/>
      <c r="BG35" s="152"/>
      <c r="BH35" s="152"/>
      <c r="BI35" s="152"/>
      <c r="BJ35" s="152"/>
      <c r="BK35" s="152"/>
      <c r="BL35" s="152"/>
      <c r="BM35" s="152"/>
      <c r="BN35" s="152"/>
      <c r="BO35" s="152"/>
      <c r="BP35" s="152"/>
      <c r="BQ35" s="152"/>
      <c r="BR35" s="152"/>
      <c r="BS35" s="152"/>
      <c r="BT35" s="152"/>
      <c r="BU35" s="152"/>
      <c r="BV35" s="152"/>
      <c r="BW35" s="152"/>
      <c r="BX35" s="152"/>
      <c r="BY35" s="152"/>
      <c r="BZ35" s="152"/>
      <c r="CA35" s="152"/>
      <c r="CB35" s="152"/>
      <c r="CC35" s="152"/>
      <c r="CD35" s="152"/>
      <c r="CE35" s="152"/>
      <c r="CF35" s="152"/>
      <c r="CG35" s="152"/>
      <c r="CH35" s="152"/>
      <c r="CI35" s="152"/>
      <c r="CJ35" s="152"/>
      <c r="CK35" s="152"/>
      <c r="CL35" s="152"/>
      <c r="CM35" s="152"/>
      <c r="CN35" s="152"/>
      <c r="CO35" s="152"/>
      <c r="CP35" s="152"/>
      <c r="CQ35" s="152"/>
      <c r="CR35" s="152"/>
      <c r="CS35" s="152"/>
      <c r="CT35" s="152"/>
      <c r="CU35" s="152"/>
      <c r="CV35" s="152"/>
      <c r="CW35" s="152"/>
      <c r="CX35" s="152"/>
      <c r="CY35" s="152"/>
      <c r="CZ35" s="152"/>
      <c r="DA35" s="152"/>
      <c r="DB35" s="152"/>
      <c r="DC35" s="152"/>
      <c r="DD35" s="152"/>
      <c r="DE35" s="152"/>
      <c r="DF35" s="152"/>
      <c r="DG35" s="152"/>
      <c r="DH35" s="152"/>
      <c r="DI35" s="152"/>
      <c r="DJ35" s="152"/>
      <c r="DK35" s="152"/>
      <c r="DL35" s="152"/>
      <c r="DM35" s="152"/>
      <c r="DN35" s="152"/>
      <c r="DO35" s="152"/>
      <c r="DP35" s="152"/>
      <c r="DQ35" s="152"/>
      <c r="DR35" s="152"/>
      <c r="DS35" s="152"/>
      <c r="DT35" s="152"/>
      <c r="DU35" s="152"/>
      <c r="DV35" s="152"/>
      <c r="DW35" s="152"/>
      <c r="DX35" s="153"/>
    </row>
    <row r="36" spans="1:128" ht="15">
      <c r="A36" s="187"/>
      <c r="B36" s="188" t="s">
        <v>599</v>
      </c>
      <c r="C36" s="187"/>
      <c r="D36" s="187"/>
      <c r="E36" s="187"/>
      <c r="F36" s="187"/>
      <c r="G36" s="187"/>
      <c r="H36" s="187"/>
      <c r="I36" s="187"/>
      <c r="J36" s="187"/>
      <c r="K36" s="187"/>
      <c r="L36" s="187"/>
      <c r="M36" s="187"/>
      <c r="N36" s="187"/>
      <c r="O36" s="187"/>
      <c r="P36" s="187"/>
      <c r="Q36" s="187"/>
      <c r="R36" s="187"/>
      <c r="S36" s="187"/>
      <c r="T36" s="187"/>
      <c r="U36" s="187"/>
      <c r="V36" s="187"/>
      <c r="W36" s="187"/>
      <c r="X36" s="187"/>
      <c r="Y36" s="187"/>
      <c r="Z36" s="187"/>
      <c r="AA36" s="187"/>
      <c r="AB36" s="187"/>
      <c r="AC36" s="187"/>
      <c r="AD36" s="187"/>
      <c r="AE36" s="187"/>
      <c r="AF36" s="187"/>
      <c r="AG36" s="187"/>
      <c r="AH36" s="187"/>
      <c r="AI36" s="187"/>
      <c r="AJ36" s="187"/>
      <c r="AK36" s="187"/>
      <c r="AL36" s="187"/>
      <c r="AM36" s="187"/>
      <c r="AN36" s="187"/>
      <c r="AO36" s="187"/>
      <c r="AP36" s="187"/>
      <c r="AQ36" s="187"/>
      <c r="AR36" s="187"/>
      <c r="AS36" s="187"/>
      <c r="AT36" s="187"/>
      <c r="AU36" s="187"/>
      <c r="AV36" s="187"/>
      <c r="AW36" s="187"/>
      <c r="AX36" s="187"/>
      <c r="AY36" s="187"/>
      <c r="AZ36" s="187"/>
      <c r="BA36" s="187"/>
      <c r="BB36" s="187"/>
      <c r="BC36" s="187"/>
      <c r="BD36" s="187"/>
      <c r="BE36" s="187"/>
      <c r="BF36" s="187"/>
      <c r="BG36" s="187"/>
      <c r="BH36" s="187"/>
      <c r="BI36" s="187"/>
      <c r="BJ36" s="187"/>
      <c r="BK36" s="187"/>
      <c r="BL36" s="187"/>
      <c r="BM36" s="187"/>
      <c r="BN36" s="187"/>
      <c r="BO36" s="187"/>
      <c r="BP36" s="187"/>
      <c r="BQ36" s="187"/>
      <c r="BR36" s="187"/>
      <c r="BS36" s="187"/>
      <c r="BT36" s="187"/>
      <c r="BU36" s="187"/>
      <c r="BV36" s="187"/>
      <c r="BW36" s="187"/>
      <c r="BX36" s="187"/>
      <c r="BY36" s="187"/>
      <c r="BZ36" s="187"/>
      <c r="CA36" s="187"/>
      <c r="CB36" s="187"/>
      <c r="CC36" s="187"/>
      <c r="CD36" s="187"/>
      <c r="CE36" s="187"/>
      <c r="CF36" s="187"/>
      <c r="CG36" s="187"/>
      <c r="CH36" s="187"/>
      <c r="CI36" s="187"/>
      <c r="CJ36" s="187"/>
      <c r="CK36" s="187"/>
      <c r="CL36" s="187"/>
      <c r="CM36" s="187"/>
      <c r="CN36" s="187"/>
      <c r="CO36" s="187"/>
      <c r="CP36" s="187"/>
      <c r="CQ36" s="187"/>
      <c r="CR36" s="187"/>
      <c r="CS36" s="187"/>
      <c r="CT36" s="187"/>
      <c r="CU36" s="187"/>
      <c r="CV36" s="187"/>
      <c r="CW36" s="187"/>
      <c r="CX36" s="187"/>
      <c r="CY36" s="187"/>
      <c r="CZ36" s="187"/>
      <c r="DA36" s="187"/>
      <c r="DB36" s="187"/>
      <c r="DC36" s="187"/>
      <c r="DD36" s="187"/>
      <c r="DE36" s="187"/>
      <c r="DF36" s="187"/>
      <c r="DG36" s="187"/>
      <c r="DH36" s="187"/>
      <c r="DI36" s="187"/>
      <c r="DJ36" s="187"/>
      <c r="DK36" s="187"/>
      <c r="DL36" s="187"/>
      <c r="DM36" s="187"/>
      <c r="DN36" s="187"/>
      <c r="DO36" s="187"/>
      <c r="DP36" s="187"/>
      <c r="DQ36" s="187"/>
      <c r="DR36" s="187"/>
      <c r="DS36" s="187"/>
      <c r="DT36" s="187"/>
      <c r="DU36" s="187"/>
      <c r="DV36" s="187"/>
      <c r="DW36" s="187"/>
      <c r="DX36" s="187"/>
    </row>
  </sheetData>
  <mergeCells count="1">
    <mergeCell ref="DW2:DX2"/>
  </mergeCells>
  <conditionalFormatting sqref="L10 BH33 BH30:BH31 BH6:BH7 BH25:BH28 BH9:BH23 BO33:BV33 BO30:BV31 BO6:BV7 BO25:BV28 BO9:BV23">
    <cfRule type="cellIs" dxfId="7157" priority="8749" operator="equal">
      <formula>"No"</formula>
    </cfRule>
    <cfRule type="cellIs" dxfId="7156" priority="8750" operator="equal">
      <formula>"NA"</formula>
    </cfRule>
    <cfRule type="cellIs" dxfId="7155" priority="8751" operator="equal">
      <formula>"Yes"</formula>
    </cfRule>
  </conditionalFormatting>
  <conditionalFormatting sqref="L17">
    <cfRule type="cellIs" dxfId="7154" priority="8728" operator="equal">
      <formula>"No"</formula>
    </cfRule>
    <cfRule type="cellIs" dxfId="7153" priority="8729" operator="equal">
      <formula>"NA"</formula>
    </cfRule>
    <cfRule type="cellIs" dxfId="7152" priority="8730" operator="equal">
      <formula>"Yes"</formula>
    </cfRule>
  </conditionalFormatting>
  <conditionalFormatting sqref="M10">
    <cfRule type="cellIs" dxfId="7151" priority="8677" operator="equal">
      <formula>"No"</formula>
    </cfRule>
    <cfRule type="cellIs" dxfId="7150" priority="8678" operator="equal">
      <formula>"NA"</formula>
    </cfRule>
    <cfRule type="cellIs" dxfId="7149" priority="8679" operator="equal">
      <formula>"Yes"</formula>
    </cfRule>
  </conditionalFormatting>
  <conditionalFormatting sqref="E17">
    <cfRule type="cellIs" dxfId="7148" priority="8584" operator="equal">
      <formula>"No"</formula>
    </cfRule>
    <cfRule type="cellIs" dxfId="7147" priority="8585" operator="equal">
      <formula>"NA"</formula>
    </cfRule>
    <cfRule type="cellIs" dxfId="7146" priority="8586" operator="equal">
      <formula>"Yes"</formula>
    </cfRule>
  </conditionalFormatting>
  <conditionalFormatting sqref="C7">
    <cfRule type="cellIs" dxfId="7145" priority="8539" operator="equal">
      <formula>"No"</formula>
    </cfRule>
    <cfRule type="cellIs" dxfId="7144" priority="8540" operator="equal">
      <formula>"NA"</formula>
    </cfRule>
    <cfRule type="cellIs" dxfId="7143" priority="8541" operator="equal">
      <formula>"Yes"</formula>
    </cfRule>
  </conditionalFormatting>
  <conditionalFormatting sqref="C9">
    <cfRule type="cellIs" dxfId="7142" priority="8536" operator="equal">
      <formula>"No"</formula>
    </cfRule>
    <cfRule type="cellIs" dxfId="7141" priority="8537" operator="equal">
      <formula>"NA"</formula>
    </cfRule>
    <cfRule type="cellIs" dxfId="7140" priority="8538" operator="equal">
      <formula>"Yes"</formula>
    </cfRule>
  </conditionalFormatting>
  <conditionalFormatting sqref="C10">
    <cfRule type="cellIs" dxfId="7139" priority="8533" operator="equal">
      <formula>"No"</formula>
    </cfRule>
    <cfRule type="cellIs" dxfId="7138" priority="8534" operator="equal">
      <formula>"NA"</formula>
    </cfRule>
    <cfRule type="cellIs" dxfId="7137" priority="8535" operator="equal">
      <formula>"Yes"</formula>
    </cfRule>
  </conditionalFormatting>
  <conditionalFormatting sqref="C11">
    <cfRule type="cellIs" dxfId="7136" priority="8530" operator="equal">
      <formula>"No"</formula>
    </cfRule>
    <cfRule type="cellIs" dxfId="7135" priority="8531" operator="equal">
      <formula>"NA"</formula>
    </cfRule>
    <cfRule type="cellIs" dxfId="7134" priority="8532" operator="equal">
      <formula>"Yes"</formula>
    </cfRule>
  </conditionalFormatting>
  <conditionalFormatting sqref="C12">
    <cfRule type="cellIs" dxfId="7133" priority="8527" operator="equal">
      <formula>"No"</formula>
    </cfRule>
    <cfRule type="cellIs" dxfId="7132" priority="8528" operator="equal">
      <formula>"NA"</formula>
    </cfRule>
    <cfRule type="cellIs" dxfId="7131" priority="8529" operator="equal">
      <formula>"Yes"</formula>
    </cfRule>
  </conditionalFormatting>
  <conditionalFormatting sqref="C13">
    <cfRule type="cellIs" dxfId="7130" priority="8524" operator="equal">
      <formula>"No"</formula>
    </cfRule>
    <cfRule type="cellIs" dxfId="7129" priority="8525" operator="equal">
      <formula>"NA"</formula>
    </cfRule>
    <cfRule type="cellIs" dxfId="7128" priority="8526" operator="equal">
      <formula>"Yes"</formula>
    </cfRule>
  </conditionalFormatting>
  <conditionalFormatting sqref="C14">
    <cfRule type="cellIs" dxfId="7127" priority="8521" operator="equal">
      <formula>"No"</formula>
    </cfRule>
    <cfRule type="cellIs" dxfId="7126" priority="8522" operator="equal">
      <formula>"NA"</formula>
    </cfRule>
    <cfRule type="cellIs" dxfId="7125" priority="8523" operator="equal">
      <formula>"Yes"</formula>
    </cfRule>
  </conditionalFormatting>
  <conditionalFormatting sqref="C15">
    <cfRule type="cellIs" dxfId="7124" priority="8518" operator="equal">
      <formula>"No"</formula>
    </cfRule>
    <cfRule type="cellIs" dxfId="7123" priority="8519" operator="equal">
      <formula>"NA"</formula>
    </cfRule>
    <cfRule type="cellIs" dxfId="7122" priority="8520" operator="equal">
      <formula>"Yes"</formula>
    </cfRule>
  </conditionalFormatting>
  <conditionalFormatting sqref="C16">
    <cfRule type="cellIs" dxfId="7121" priority="8515" operator="equal">
      <formula>"No"</formula>
    </cfRule>
    <cfRule type="cellIs" dxfId="7120" priority="8516" operator="equal">
      <formula>"NA"</formula>
    </cfRule>
    <cfRule type="cellIs" dxfId="7119" priority="8517" operator="equal">
      <formula>"Yes"</formula>
    </cfRule>
  </conditionalFormatting>
  <conditionalFormatting sqref="C17">
    <cfRule type="cellIs" dxfId="7118" priority="8512" operator="equal">
      <formula>"No"</formula>
    </cfRule>
    <cfRule type="cellIs" dxfId="7117" priority="8513" operator="equal">
      <formula>"NA"</formula>
    </cfRule>
    <cfRule type="cellIs" dxfId="7116" priority="8514" operator="equal">
      <formula>"Yes"</formula>
    </cfRule>
  </conditionalFormatting>
  <conditionalFormatting sqref="C18">
    <cfRule type="cellIs" dxfId="7115" priority="8509" operator="equal">
      <formula>"No"</formula>
    </cfRule>
    <cfRule type="cellIs" dxfId="7114" priority="8510" operator="equal">
      <formula>"NA"</formula>
    </cfRule>
    <cfRule type="cellIs" dxfId="7113" priority="8511" operator="equal">
      <formula>"Yes"</formula>
    </cfRule>
  </conditionalFormatting>
  <conditionalFormatting sqref="C19">
    <cfRule type="cellIs" dxfId="7112" priority="8506" operator="equal">
      <formula>"No"</formula>
    </cfRule>
    <cfRule type="cellIs" dxfId="7111" priority="8507" operator="equal">
      <formula>"NA"</formula>
    </cfRule>
    <cfRule type="cellIs" dxfId="7110" priority="8508" operator="equal">
      <formula>"Yes"</formula>
    </cfRule>
  </conditionalFormatting>
  <conditionalFormatting sqref="C20">
    <cfRule type="cellIs" dxfId="7109" priority="8503" operator="equal">
      <formula>"No"</formula>
    </cfRule>
    <cfRule type="cellIs" dxfId="7108" priority="8504" operator="equal">
      <formula>"NA"</formula>
    </cfRule>
    <cfRule type="cellIs" dxfId="7107" priority="8505" operator="equal">
      <formula>"Yes"</formula>
    </cfRule>
  </conditionalFormatting>
  <conditionalFormatting sqref="C21">
    <cfRule type="cellIs" dxfId="7106" priority="8500" operator="equal">
      <formula>"No"</formula>
    </cfRule>
    <cfRule type="cellIs" dxfId="7105" priority="8501" operator="equal">
      <formula>"NA"</formula>
    </cfRule>
    <cfRule type="cellIs" dxfId="7104" priority="8502" operator="equal">
      <formula>"Yes"</formula>
    </cfRule>
  </conditionalFormatting>
  <conditionalFormatting sqref="C22">
    <cfRule type="cellIs" dxfId="7103" priority="8497" operator="equal">
      <formula>"No"</formula>
    </cfRule>
    <cfRule type="cellIs" dxfId="7102" priority="8498" operator="equal">
      <formula>"NA"</formula>
    </cfRule>
    <cfRule type="cellIs" dxfId="7101" priority="8499" operator="equal">
      <formula>"Yes"</formula>
    </cfRule>
  </conditionalFormatting>
  <conditionalFormatting sqref="C23">
    <cfRule type="cellIs" dxfId="7100" priority="8494" operator="equal">
      <formula>"No"</formula>
    </cfRule>
    <cfRule type="cellIs" dxfId="7099" priority="8495" operator="equal">
      <formula>"NA"</formula>
    </cfRule>
    <cfRule type="cellIs" dxfId="7098" priority="8496" operator="equal">
      <formula>"Yes"</formula>
    </cfRule>
  </conditionalFormatting>
  <conditionalFormatting sqref="C25">
    <cfRule type="cellIs" dxfId="7097" priority="8491" operator="equal">
      <formula>"No"</formula>
    </cfRule>
    <cfRule type="cellIs" dxfId="7096" priority="8492" operator="equal">
      <formula>"NA"</formula>
    </cfRule>
    <cfRule type="cellIs" dxfId="7095" priority="8493" operator="equal">
      <formula>"Yes"</formula>
    </cfRule>
  </conditionalFormatting>
  <conditionalFormatting sqref="C26">
    <cfRule type="cellIs" dxfId="7094" priority="8488" operator="equal">
      <formula>"No"</formula>
    </cfRule>
    <cfRule type="cellIs" dxfId="7093" priority="8489" operator="equal">
      <formula>"NA"</formula>
    </cfRule>
    <cfRule type="cellIs" dxfId="7092" priority="8490" operator="equal">
      <formula>"Yes"</formula>
    </cfRule>
  </conditionalFormatting>
  <conditionalFormatting sqref="C27">
    <cfRule type="cellIs" dxfId="7091" priority="8485" operator="equal">
      <formula>"No"</formula>
    </cfRule>
    <cfRule type="cellIs" dxfId="7090" priority="8486" operator="equal">
      <formula>"NA"</formula>
    </cfRule>
    <cfRule type="cellIs" dxfId="7089" priority="8487" operator="equal">
      <formula>"Yes"</formula>
    </cfRule>
  </conditionalFormatting>
  <conditionalFormatting sqref="C28">
    <cfRule type="cellIs" dxfId="7088" priority="8482" operator="equal">
      <formula>"No"</formula>
    </cfRule>
    <cfRule type="cellIs" dxfId="7087" priority="8483" operator="equal">
      <formula>"NA"</formula>
    </cfRule>
    <cfRule type="cellIs" dxfId="7086" priority="8484" operator="equal">
      <formula>"Yes"</formula>
    </cfRule>
  </conditionalFormatting>
  <conditionalFormatting sqref="C30">
    <cfRule type="cellIs" dxfId="7085" priority="8479" operator="equal">
      <formula>"No"</formula>
    </cfRule>
    <cfRule type="cellIs" dxfId="7084" priority="8480" operator="equal">
      <formula>"NA"</formula>
    </cfRule>
    <cfRule type="cellIs" dxfId="7083" priority="8481" operator="equal">
      <formula>"Yes"</formula>
    </cfRule>
  </conditionalFormatting>
  <conditionalFormatting sqref="C31">
    <cfRule type="cellIs" dxfId="7082" priority="8476" operator="equal">
      <formula>"No"</formula>
    </cfRule>
    <cfRule type="cellIs" dxfId="7081" priority="8477" operator="equal">
      <formula>"NA"</formula>
    </cfRule>
    <cfRule type="cellIs" dxfId="7080" priority="8478" operator="equal">
      <formula>"Yes"</formula>
    </cfRule>
  </conditionalFormatting>
  <conditionalFormatting sqref="C33">
    <cfRule type="cellIs" dxfId="7079" priority="8473" operator="equal">
      <formula>"No"</formula>
    </cfRule>
    <cfRule type="cellIs" dxfId="7078" priority="8474" operator="equal">
      <formula>"NA"</formula>
    </cfRule>
    <cfRule type="cellIs" dxfId="7077" priority="8475" operator="equal">
      <formula>"Yes"</formula>
    </cfRule>
  </conditionalFormatting>
  <conditionalFormatting sqref="D10">
    <cfRule type="cellIs" dxfId="7076" priority="8461" operator="equal">
      <formula>"No"</formula>
    </cfRule>
    <cfRule type="cellIs" dxfId="7075" priority="8462" operator="equal">
      <formula>"NA"</formula>
    </cfRule>
    <cfRule type="cellIs" dxfId="7074" priority="8463" operator="equal">
      <formula>"Yes"</formula>
    </cfRule>
  </conditionalFormatting>
  <conditionalFormatting sqref="D12">
    <cfRule type="cellIs" dxfId="7073" priority="8455" operator="equal">
      <formula>"No"</formula>
    </cfRule>
    <cfRule type="cellIs" dxfId="7072" priority="8456" operator="equal">
      <formula>"NA"</formula>
    </cfRule>
    <cfRule type="cellIs" dxfId="7071" priority="8457" operator="equal">
      <formula>"Yes"</formula>
    </cfRule>
  </conditionalFormatting>
  <conditionalFormatting sqref="D15">
    <cfRule type="cellIs" dxfId="7070" priority="8446" operator="equal">
      <formula>"No"</formula>
    </cfRule>
    <cfRule type="cellIs" dxfId="7069" priority="8447" operator="equal">
      <formula>"NA"</formula>
    </cfRule>
    <cfRule type="cellIs" dxfId="7068" priority="8448" operator="equal">
      <formula>"Yes"</formula>
    </cfRule>
  </conditionalFormatting>
  <conditionalFormatting sqref="D16">
    <cfRule type="cellIs" dxfId="7067" priority="8443" operator="equal">
      <formula>"No"</formula>
    </cfRule>
    <cfRule type="cellIs" dxfId="7066" priority="8444" operator="equal">
      <formula>"NA"</formula>
    </cfRule>
    <cfRule type="cellIs" dxfId="7065" priority="8445" operator="equal">
      <formula>"Yes"</formula>
    </cfRule>
  </conditionalFormatting>
  <conditionalFormatting sqref="D17">
    <cfRule type="cellIs" dxfId="7064" priority="8440" operator="equal">
      <formula>"No"</formula>
    </cfRule>
    <cfRule type="cellIs" dxfId="7063" priority="8441" operator="equal">
      <formula>"NA"</formula>
    </cfRule>
    <cfRule type="cellIs" dxfId="7062" priority="8442" operator="equal">
      <formula>"Yes"</formula>
    </cfRule>
  </conditionalFormatting>
  <conditionalFormatting sqref="D18">
    <cfRule type="cellIs" dxfId="7061" priority="8437" operator="equal">
      <formula>"No"</formula>
    </cfRule>
    <cfRule type="cellIs" dxfId="7060" priority="8438" operator="equal">
      <formula>"NA"</formula>
    </cfRule>
    <cfRule type="cellIs" dxfId="7059" priority="8439" operator="equal">
      <formula>"Yes"</formula>
    </cfRule>
  </conditionalFormatting>
  <conditionalFormatting sqref="D19">
    <cfRule type="cellIs" dxfId="7058" priority="8434" operator="equal">
      <formula>"No"</formula>
    </cfRule>
    <cfRule type="cellIs" dxfId="7057" priority="8435" operator="equal">
      <formula>"NA"</formula>
    </cfRule>
    <cfRule type="cellIs" dxfId="7056" priority="8436" operator="equal">
      <formula>"Yes"</formula>
    </cfRule>
  </conditionalFormatting>
  <conditionalFormatting sqref="D20">
    <cfRule type="cellIs" dxfId="7055" priority="8431" operator="equal">
      <formula>"No"</formula>
    </cfRule>
    <cfRule type="cellIs" dxfId="7054" priority="8432" operator="equal">
      <formula>"NA"</formula>
    </cfRule>
    <cfRule type="cellIs" dxfId="7053" priority="8433" operator="equal">
      <formula>"Yes"</formula>
    </cfRule>
  </conditionalFormatting>
  <conditionalFormatting sqref="D21">
    <cfRule type="cellIs" dxfId="7052" priority="8428" operator="equal">
      <formula>"No"</formula>
    </cfRule>
    <cfRule type="cellIs" dxfId="7051" priority="8429" operator="equal">
      <formula>"NA"</formula>
    </cfRule>
    <cfRule type="cellIs" dxfId="7050" priority="8430" operator="equal">
      <formula>"Yes"</formula>
    </cfRule>
  </conditionalFormatting>
  <conditionalFormatting sqref="D22">
    <cfRule type="cellIs" dxfId="7049" priority="8425" operator="equal">
      <formula>"No"</formula>
    </cfRule>
    <cfRule type="cellIs" dxfId="7048" priority="8426" operator="equal">
      <formula>"NA"</formula>
    </cfRule>
    <cfRule type="cellIs" dxfId="7047" priority="8427" operator="equal">
      <formula>"Yes"</formula>
    </cfRule>
  </conditionalFormatting>
  <conditionalFormatting sqref="D23">
    <cfRule type="cellIs" dxfId="7046" priority="8422" operator="equal">
      <formula>"No"</formula>
    </cfRule>
    <cfRule type="cellIs" dxfId="7045" priority="8423" operator="equal">
      <formula>"NA"</formula>
    </cfRule>
    <cfRule type="cellIs" dxfId="7044" priority="8424" operator="equal">
      <formula>"Yes"</formula>
    </cfRule>
  </conditionalFormatting>
  <conditionalFormatting sqref="D25">
    <cfRule type="cellIs" dxfId="7043" priority="8419" operator="equal">
      <formula>"No"</formula>
    </cfRule>
    <cfRule type="cellIs" dxfId="7042" priority="8420" operator="equal">
      <formula>"NA"</formula>
    </cfRule>
    <cfRule type="cellIs" dxfId="7041" priority="8421" operator="equal">
      <formula>"Yes"</formula>
    </cfRule>
  </conditionalFormatting>
  <conditionalFormatting sqref="H10">
    <cfRule type="cellIs" dxfId="7040" priority="8389" operator="equal">
      <formula>"No"</formula>
    </cfRule>
    <cfRule type="cellIs" dxfId="7039" priority="8390" operator="equal">
      <formula>"NA"</formula>
    </cfRule>
    <cfRule type="cellIs" dxfId="7038" priority="8391" operator="equal">
      <formula>"Yes"</formula>
    </cfRule>
  </conditionalFormatting>
  <conditionalFormatting sqref="H17">
    <cfRule type="cellIs" dxfId="7037" priority="8368" operator="equal">
      <formula>"No"</formula>
    </cfRule>
    <cfRule type="cellIs" dxfId="7036" priority="8369" operator="equal">
      <formula>"NA"</formula>
    </cfRule>
    <cfRule type="cellIs" dxfId="7035" priority="8370" operator="equal">
      <formula>"Yes"</formula>
    </cfRule>
  </conditionalFormatting>
  <conditionalFormatting sqref="F17">
    <cfRule type="cellIs" dxfId="7034" priority="8296" operator="equal">
      <formula>"No"</formula>
    </cfRule>
    <cfRule type="cellIs" dxfId="7033" priority="8297" operator="equal">
      <formula>"NA"</formula>
    </cfRule>
    <cfRule type="cellIs" dxfId="7032" priority="8298" operator="equal">
      <formula>"Yes"</formula>
    </cfRule>
  </conditionalFormatting>
  <conditionalFormatting sqref="G17">
    <cfRule type="cellIs" dxfId="7031" priority="8224" operator="equal">
      <formula>"No"</formula>
    </cfRule>
    <cfRule type="cellIs" dxfId="7030" priority="8225" operator="equal">
      <formula>"NA"</formula>
    </cfRule>
    <cfRule type="cellIs" dxfId="7029" priority="8226" operator="equal">
      <formula>"Yes"</formula>
    </cfRule>
  </conditionalFormatting>
  <conditionalFormatting sqref="K12">
    <cfRule type="cellIs" dxfId="7028" priority="8167" operator="equal">
      <formula>"No"</formula>
    </cfRule>
    <cfRule type="cellIs" dxfId="7027" priority="8168" operator="equal">
      <formula>"NA"</formula>
    </cfRule>
    <cfRule type="cellIs" dxfId="7026" priority="8169" operator="equal">
      <formula>"Yes"</formula>
    </cfRule>
  </conditionalFormatting>
  <conditionalFormatting sqref="K16">
    <cfRule type="cellIs" dxfId="7025" priority="8155" operator="equal">
      <formula>"No"</formula>
    </cfRule>
    <cfRule type="cellIs" dxfId="7024" priority="8156" operator="equal">
      <formula>"NA"</formula>
    </cfRule>
    <cfRule type="cellIs" dxfId="7023" priority="8157" operator="equal">
      <formula>"Yes"</formula>
    </cfRule>
  </conditionalFormatting>
  <conditionalFormatting sqref="I10">
    <cfRule type="cellIs" dxfId="7022" priority="8101" operator="equal">
      <formula>"No"</formula>
    </cfRule>
    <cfRule type="cellIs" dxfId="7021" priority="8102" operator="equal">
      <formula>"NA"</formula>
    </cfRule>
    <cfRule type="cellIs" dxfId="7020" priority="8103" operator="equal">
      <formula>"Yes"</formula>
    </cfRule>
  </conditionalFormatting>
  <conditionalFormatting sqref="I11">
    <cfRule type="cellIs" dxfId="7019" priority="8098" operator="equal">
      <formula>"No"</formula>
    </cfRule>
    <cfRule type="cellIs" dxfId="7018" priority="8099" operator="equal">
      <formula>"NA"</formula>
    </cfRule>
    <cfRule type="cellIs" dxfId="7017" priority="8100" operator="equal">
      <formula>"Yes"</formula>
    </cfRule>
  </conditionalFormatting>
  <conditionalFormatting sqref="I17">
    <cfRule type="cellIs" dxfId="7016" priority="8080" operator="equal">
      <formula>"No"</formula>
    </cfRule>
    <cfRule type="cellIs" dxfId="7015" priority="8081" operator="equal">
      <formula>"NA"</formula>
    </cfRule>
    <cfRule type="cellIs" dxfId="7014" priority="8082" operator="equal">
      <formula>"Yes"</formula>
    </cfRule>
  </conditionalFormatting>
  <conditionalFormatting sqref="J10">
    <cfRule type="cellIs" dxfId="7013" priority="8029" operator="equal">
      <formula>"No"</formula>
    </cfRule>
    <cfRule type="cellIs" dxfId="7012" priority="8030" operator="equal">
      <formula>"NA"</formula>
    </cfRule>
    <cfRule type="cellIs" dxfId="7011" priority="8031" operator="equal">
      <formula>"Yes"</formula>
    </cfRule>
  </conditionalFormatting>
  <conditionalFormatting sqref="J17">
    <cfRule type="cellIs" dxfId="7010" priority="8008" operator="equal">
      <formula>"No"</formula>
    </cfRule>
    <cfRule type="cellIs" dxfId="7009" priority="8009" operator="equal">
      <formula>"NA"</formula>
    </cfRule>
    <cfRule type="cellIs" dxfId="7008" priority="8010" operator="equal">
      <formula>"Yes"</formula>
    </cfRule>
  </conditionalFormatting>
  <conditionalFormatting sqref="D7">
    <cfRule type="cellIs" dxfId="7007" priority="7966" operator="equal">
      <formula>"No"</formula>
    </cfRule>
    <cfRule type="cellIs" dxfId="7006" priority="7967" operator="equal">
      <formula>"NA"</formula>
    </cfRule>
    <cfRule type="cellIs" dxfId="7005" priority="7968" operator="equal">
      <formula>"Yes"</formula>
    </cfRule>
  </conditionalFormatting>
  <conditionalFormatting sqref="D9">
    <cfRule type="cellIs" dxfId="7004" priority="7963" operator="equal">
      <formula>"No"</formula>
    </cfRule>
    <cfRule type="cellIs" dxfId="7003" priority="7964" operator="equal">
      <formula>"NA"</formula>
    </cfRule>
    <cfRule type="cellIs" dxfId="7002" priority="7965" operator="equal">
      <formula>"Yes"</formula>
    </cfRule>
  </conditionalFormatting>
  <conditionalFormatting sqref="D11">
    <cfRule type="cellIs" dxfId="7001" priority="7960" operator="equal">
      <formula>"No"</formula>
    </cfRule>
    <cfRule type="cellIs" dxfId="7000" priority="7961" operator="equal">
      <formula>"NA"</formula>
    </cfRule>
    <cfRule type="cellIs" dxfId="6999" priority="7962" operator="equal">
      <formula>"Yes"</formula>
    </cfRule>
  </conditionalFormatting>
  <conditionalFormatting sqref="D13">
    <cfRule type="cellIs" dxfId="6998" priority="7957" operator="equal">
      <formula>"No"</formula>
    </cfRule>
    <cfRule type="cellIs" dxfId="6997" priority="7958" operator="equal">
      <formula>"NA"</formula>
    </cfRule>
    <cfRule type="cellIs" dxfId="6996" priority="7959" operator="equal">
      <formula>"Yes"</formula>
    </cfRule>
  </conditionalFormatting>
  <conditionalFormatting sqref="D26">
    <cfRule type="cellIs" dxfId="6995" priority="7951" operator="equal">
      <formula>"No"</formula>
    </cfRule>
    <cfRule type="cellIs" dxfId="6994" priority="7952" operator="equal">
      <formula>"NA"</formula>
    </cfRule>
    <cfRule type="cellIs" dxfId="6993" priority="7953" operator="equal">
      <formula>"Yes"</formula>
    </cfRule>
  </conditionalFormatting>
  <conditionalFormatting sqref="D27">
    <cfRule type="cellIs" dxfId="6992" priority="7948" operator="equal">
      <formula>"No"</formula>
    </cfRule>
    <cfRule type="cellIs" dxfId="6991" priority="7949" operator="equal">
      <formula>"NA"</formula>
    </cfRule>
    <cfRule type="cellIs" dxfId="6990" priority="7950" operator="equal">
      <formula>"Yes"</formula>
    </cfRule>
  </conditionalFormatting>
  <conditionalFormatting sqref="D28">
    <cfRule type="cellIs" dxfId="6989" priority="7945" operator="equal">
      <formula>"No"</formula>
    </cfRule>
    <cfRule type="cellIs" dxfId="6988" priority="7946" operator="equal">
      <formula>"NA"</formula>
    </cfRule>
    <cfRule type="cellIs" dxfId="6987" priority="7947" operator="equal">
      <formula>"Yes"</formula>
    </cfRule>
  </conditionalFormatting>
  <conditionalFormatting sqref="D30">
    <cfRule type="cellIs" dxfId="6986" priority="7942" operator="equal">
      <formula>"No"</formula>
    </cfRule>
    <cfRule type="cellIs" dxfId="6985" priority="7943" operator="equal">
      <formula>"NA"</formula>
    </cfRule>
    <cfRule type="cellIs" dxfId="6984" priority="7944" operator="equal">
      <formula>"Yes"</formula>
    </cfRule>
  </conditionalFormatting>
  <conditionalFormatting sqref="D31">
    <cfRule type="cellIs" dxfId="6983" priority="7939" operator="equal">
      <formula>"No"</formula>
    </cfRule>
    <cfRule type="cellIs" dxfId="6982" priority="7940" operator="equal">
      <formula>"NA"</formula>
    </cfRule>
    <cfRule type="cellIs" dxfId="6981" priority="7941" operator="equal">
      <formula>"Yes"</formula>
    </cfRule>
  </conditionalFormatting>
  <conditionalFormatting sqref="D33">
    <cfRule type="cellIs" dxfId="6980" priority="7936" operator="equal">
      <formula>"No"</formula>
    </cfRule>
    <cfRule type="cellIs" dxfId="6979" priority="7937" operator="equal">
      <formula>"NA"</formula>
    </cfRule>
    <cfRule type="cellIs" dxfId="6978" priority="7938" operator="equal">
      <formula>"Yes"</formula>
    </cfRule>
  </conditionalFormatting>
  <conditionalFormatting sqref="E7">
    <cfRule type="cellIs" dxfId="6977" priority="7927" operator="equal">
      <formula>"No"</formula>
    </cfRule>
    <cfRule type="cellIs" dxfId="6976" priority="7928" operator="equal">
      <formula>"NA"</formula>
    </cfRule>
    <cfRule type="cellIs" dxfId="6975" priority="7929" operator="equal">
      <formula>"Yes"</formula>
    </cfRule>
  </conditionalFormatting>
  <conditionalFormatting sqref="F7">
    <cfRule type="cellIs" dxfId="6974" priority="7924" operator="equal">
      <formula>"No"</formula>
    </cfRule>
    <cfRule type="cellIs" dxfId="6973" priority="7925" operator="equal">
      <formula>"NA"</formula>
    </cfRule>
    <cfRule type="cellIs" dxfId="6972" priority="7926" operator="equal">
      <formula>"Yes"</formula>
    </cfRule>
  </conditionalFormatting>
  <conditionalFormatting sqref="G7">
    <cfRule type="cellIs" dxfId="6971" priority="7921" operator="equal">
      <formula>"No"</formula>
    </cfRule>
    <cfRule type="cellIs" dxfId="6970" priority="7922" operator="equal">
      <formula>"NA"</formula>
    </cfRule>
    <cfRule type="cellIs" dxfId="6969" priority="7923" operator="equal">
      <formula>"Yes"</formula>
    </cfRule>
  </conditionalFormatting>
  <conditionalFormatting sqref="E9">
    <cfRule type="cellIs" dxfId="6968" priority="7918" operator="equal">
      <formula>"No"</formula>
    </cfRule>
    <cfRule type="cellIs" dxfId="6967" priority="7919" operator="equal">
      <formula>"NA"</formula>
    </cfRule>
    <cfRule type="cellIs" dxfId="6966" priority="7920" operator="equal">
      <formula>"Yes"</formula>
    </cfRule>
  </conditionalFormatting>
  <conditionalFormatting sqref="F9">
    <cfRule type="cellIs" dxfId="6965" priority="7915" operator="equal">
      <formula>"No"</formula>
    </cfRule>
    <cfRule type="cellIs" dxfId="6964" priority="7916" operator="equal">
      <formula>"NA"</formula>
    </cfRule>
    <cfRule type="cellIs" dxfId="6963" priority="7917" operator="equal">
      <formula>"Yes"</formula>
    </cfRule>
  </conditionalFormatting>
  <conditionalFormatting sqref="G9">
    <cfRule type="cellIs" dxfId="6962" priority="7912" operator="equal">
      <formula>"No"</formula>
    </cfRule>
    <cfRule type="cellIs" dxfId="6961" priority="7913" operator="equal">
      <formula>"NA"</formula>
    </cfRule>
    <cfRule type="cellIs" dxfId="6960" priority="7914" operator="equal">
      <formula>"Yes"</formula>
    </cfRule>
  </conditionalFormatting>
  <conditionalFormatting sqref="E10">
    <cfRule type="cellIs" dxfId="6959" priority="7909" operator="equal">
      <formula>"No"</formula>
    </cfRule>
    <cfRule type="cellIs" dxfId="6958" priority="7910" operator="equal">
      <formula>"NA"</formula>
    </cfRule>
    <cfRule type="cellIs" dxfId="6957" priority="7911" operator="equal">
      <formula>"Yes"</formula>
    </cfRule>
  </conditionalFormatting>
  <conditionalFormatting sqref="F10">
    <cfRule type="cellIs" dxfId="6956" priority="7906" operator="equal">
      <formula>"No"</formula>
    </cfRule>
    <cfRule type="cellIs" dxfId="6955" priority="7907" operator="equal">
      <formula>"NA"</formula>
    </cfRule>
    <cfRule type="cellIs" dxfId="6954" priority="7908" operator="equal">
      <formula>"Yes"</formula>
    </cfRule>
  </conditionalFormatting>
  <conditionalFormatting sqref="G10">
    <cfRule type="cellIs" dxfId="6953" priority="7903" operator="equal">
      <formula>"No"</formula>
    </cfRule>
    <cfRule type="cellIs" dxfId="6952" priority="7904" operator="equal">
      <formula>"NA"</formula>
    </cfRule>
    <cfRule type="cellIs" dxfId="6951" priority="7905" operator="equal">
      <formula>"Yes"</formula>
    </cfRule>
  </conditionalFormatting>
  <conditionalFormatting sqref="E11">
    <cfRule type="cellIs" dxfId="6950" priority="7900" operator="equal">
      <formula>"No"</formula>
    </cfRule>
    <cfRule type="cellIs" dxfId="6949" priority="7901" operator="equal">
      <formula>"NA"</formula>
    </cfRule>
    <cfRule type="cellIs" dxfId="6948" priority="7902" operator="equal">
      <formula>"Yes"</formula>
    </cfRule>
  </conditionalFormatting>
  <conditionalFormatting sqref="F11">
    <cfRule type="cellIs" dxfId="6947" priority="7897" operator="equal">
      <formula>"No"</formula>
    </cfRule>
    <cfRule type="cellIs" dxfId="6946" priority="7898" operator="equal">
      <formula>"NA"</formula>
    </cfRule>
    <cfRule type="cellIs" dxfId="6945" priority="7899" operator="equal">
      <formula>"Yes"</formula>
    </cfRule>
  </conditionalFormatting>
  <conditionalFormatting sqref="G11">
    <cfRule type="cellIs" dxfId="6944" priority="7894" operator="equal">
      <formula>"No"</formula>
    </cfRule>
    <cfRule type="cellIs" dxfId="6943" priority="7895" operator="equal">
      <formula>"NA"</formula>
    </cfRule>
    <cfRule type="cellIs" dxfId="6942" priority="7896" operator="equal">
      <formula>"Yes"</formula>
    </cfRule>
  </conditionalFormatting>
  <conditionalFormatting sqref="E12">
    <cfRule type="cellIs" dxfId="6941" priority="7891" operator="equal">
      <formula>"No"</formula>
    </cfRule>
    <cfRule type="cellIs" dxfId="6940" priority="7892" operator="equal">
      <formula>"NA"</formula>
    </cfRule>
    <cfRule type="cellIs" dxfId="6939" priority="7893" operator="equal">
      <formula>"Yes"</formula>
    </cfRule>
  </conditionalFormatting>
  <conditionalFormatting sqref="F12">
    <cfRule type="cellIs" dxfId="6938" priority="7888" operator="equal">
      <formula>"No"</formula>
    </cfRule>
    <cfRule type="cellIs" dxfId="6937" priority="7889" operator="equal">
      <formula>"NA"</formula>
    </cfRule>
    <cfRule type="cellIs" dxfId="6936" priority="7890" operator="equal">
      <formula>"Yes"</formula>
    </cfRule>
  </conditionalFormatting>
  <conditionalFormatting sqref="G12">
    <cfRule type="cellIs" dxfId="6935" priority="7885" operator="equal">
      <formula>"No"</formula>
    </cfRule>
    <cfRule type="cellIs" dxfId="6934" priority="7886" operator="equal">
      <formula>"NA"</formula>
    </cfRule>
    <cfRule type="cellIs" dxfId="6933" priority="7887" operator="equal">
      <formula>"Yes"</formula>
    </cfRule>
  </conditionalFormatting>
  <conditionalFormatting sqref="E13">
    <cfRule type="cellIs" dxfId="6932" priority="7882" operator="equal">
      <formula>"No"</formula>
    </cfRule>
    <cfRule type="cellIs" dxfId="6931" priority="7883" operator="equal">
      <formula>"NA"</formula>
    </cfRule>
    <cfRule type="cellIs" dxfId="6930" priority="7884" operator="equal">
      <formula>"Yes"</formula>
    </cfRule>
  </conditionalFormatting>
  <conditionalFormatting sqref="F13">
    <cfRule type="cellIs" dxfId="6929" priority="7879" operator="equal">
      <formula>"No"</formula>
    </cfRule>
    <cfRule type="cellIs" dxfId="6928" priority="7880" operator="equal">
      <formula>"NA"</formula>
    </cfRule>
    <cfRule type="cellIs" dxfId="6927" priority="7881" operator="equal">
      <formula>"Yes"</formula>
    </cfRule>
  </conditionalFormatting>
  <conditionalFormatting sqref="G13">
    <cfRule type="cellIs" dxfId="6926" priority="7876" operator="equal">
      <formula>"No"</formula>
    </cfRule>
    <cfRule type="cellIs" dxfId="6925" priority="7877" operator="equal">
      <formula>"NA"</formula>
    </cfRule>
    <cfRule type="cellIs" dxfId="6924" priority="7878" operator="equal">
      <formula>"Yes"</formula>
    </cfRule>
  </conditionalFormatting>
  <conditionalFormatting sqref="G14">
    <cfRule type="cellIs" dxfId="6923" priority="7873" operator="equal">
      <formula>"No"</formula>
    </cfRule>
    <cfRule type="cellIs" dxfId="6922" priority="7874" operator="equal">
      <formula>"NA"</formula>
    </cfRule>
    <cfRule type="cellIs" dxfId="6921" priority="7875" operator="equal">
      <formula>"Yes"</formula>
    </cfRule>
  </conditionalFormatting>
  <conditionalFormatting sqref="F14">
    <cfRule type="cellIs" dxfId="6920" priority="7870" operator="equal">
      <formula>"No"</formula>
    </cfRule>
    <cfRule type="cellIs" dxfId="6919" priority="7871" operator="equal">
      <formula>"NA"</formula>
    </cfRule>
    <cfRule type="cellIs" dxfId="6918" priority="7872" operator="equal">
      <formula>"Yes"</formula>
    </cfRule>
  </conditionalFormatting>
  <conditionalFormatting sqref="D14">
    <cfRule type="cellIs" dxfId="6917" priority="7867" operator="equal">
      <formula>"No"</formula>
    </cfRule>
    <cfRule type="cellIs" dxfId="6916" priority="7868" operator="equal">
      <formula>"NA"</formula>
    </cfRule>
    <cfRule type="cellIs" dxfId="6915" priority="7869" operator="equal">
      <formula>"Yes"</formula>
    </cfRule>
  </conditionalFormatting>
  <conditionalFormatting sqref="E14">
    <cfRule type="cellIs" dxfId="6914" priority="7864" operator="equal">
      <formula>"No"</formula>
    </cfRule>
    <cfRule type="cellIs" dxfId="6913" priority="7865" operator="equal">
      <formula>"NA"</formula>
    </cfRule>
    <cfRule type="cellIs" dxfId="6912" priority="7866" operator="equal">
      <formula>"Yes"</formula>
    </cfRule>
  </conditionalFormatting>
  <conditionalFormatting sqref="E15">
    <cfRule type="cellIs" dxfId="6911" priority="7861" operator="equal">
      <formula>"No"</formula>
    </cfRule>
    <cfRule type="cellIs" dxfId="6910" priority="7862" operator="equal">
      <formula>"NA"</formula>
    </cfRule>
    <cfRule type="cellIs" dxfId="6909" priority="7863" operator="equal">
      <formula>"Yes"</formula>
    </cfRule>
  </conditionalFormatting>
  <conditionalFormatting sqref="F15">
    <cfRule type="cellIs" dxfId="6908" priority="7858" operator="equal">
      <formula>"No"</formula>
    </cfRule>
    <cfRule type="cellIs" dxfId="6907" priority="7859" operator="equal">
      <formula>"NA"</formula>
    </cfRule>
    <cfRule type="cellIs" dxfId="6906" priority="7860" operator="equal">
      <formula>"Yes"</formula>
    </cfRule>
  </conditionalFormatting>
  <conditionalFormatting sqref="G15">
    <cfRule type="cellIs" dxfId="6905" priority="7855" operator="equal">
      <formula>"No"</formula>
    </cfRule>
    <cfRule type="cellIs" dxfId="6904" priority="7856" operator="equal">
      <formula>"NA"</formula>
    </cfRule>
    <cfRule type="cellIs" dxfId="6903" priority="7857" operator="equal">
      <formula>"Yes"</formula>
    </cfRule>
  </conditionalFormatting>
  <conditionalFormatting sqref="G16">
    <cfRule type="cellIs" dxfId="6902" priority="7852" operator="equal">
      <formula>"No"</formula>
    </cfRule>
    <cfRule type="cellIs" dxfId="6901" priority="7853" operator="equal">
      <formula>"NA"</formula>
    </cfRule>
    <cfRule type="cellIs" dxfId="6900" priority="7854" operator="equal">
      <formula>"Yes"</formula>
    </cfRule>
  </conditionalFormatting>
  <conditionalFormatting sqref="F16">
    <cfRule type="cellIs" dxfId="6899" priority="7849" operator="equal">
      <formula>"No"</formula>
    </cfRule>
    <cfRule type="cellIs" dxfId="6898" priority="7850" operator="equal">
      <formula>"NA"</formula>
    </cfRule>
    <cfRule type="cellIs" dxfId="6897" priority="7851" operator="equal">
      <formula>"Yes"</formula>
    </cfRule>
  </conditionalFormatting>
  <conditionalFormatting sqref="E16">
    <cfRule type="cellIs" dxfId="6896" priority="7846" operator="equal">
      <formula>"No"</formula>
    </cfRule>
    <cfRule type="cellIs" dxfId="6895" priority="7847" operator="equal">
      <formula>"NA"</formula>
    </cfRule>
    <cfRule type="cellIs" dxfId="6894" priority="7848" operator="equal">
      <formula>"Yes"</formula>
    </cfRule>
  </conditionalFormatting>
  <conditionalFormatting sqref="E18">
    <cfRule type="cellIs" dxfId="6893" priority="7843" operator="equal">
      <formula>"No"</formula>
    </cfRule>
    <cfRule type="cellIs" dxfId="6892" priority="7844" operator="equal">
      <formula>"NA"</formula>
    </cfRule>
    <cfRule type="cellIs" dxfId="6891" priority="7845" operator="equal">
      <formula>"Yes"</formula>
    </cfRule>
  </conditionalFormatting>
  <conditionalFormatting sqref="F18">
    <cfRule type="cellIs" dxfId="6890" priority="7840" operator="equal">
      <formula>"No"</formula>
    </cfRule>
    <cfRule type="cellIs" dxfId="6889" priority="7841" operator="equal">
      <formula>"NA"</formula>
    </cfRule>
    <cfRule type="cellIs" dxfId="6888" priority="7842" operator="equal">
      <formula>"Yes"</formula>
    </cfRule>
  </conditionalFormatting>
  <conditionalFormatting sqref="G18">
    <cfRule type="cellIs" dxfId="6887" priority="7837" operator="equal">
      <formula>"No"</formula>
    </cfRule>
    <cfRule type="cellIs" dxfId="6886" priority="7838" operator="equal">
      <formula>"NA"</formula>
    </cfRule>
    <cfRule type="cellIs" dxfId="6885" priority="7839" operator="equal">
      <formula>"Yes"</formula>
    </cfRule>
  </conditionalFormatting>
  <conditionalFormatting sqref="G19">
    <cfRule type="cellIs" dxfId="6884" priority="7834" operator="equal">
      <formula>"No"</formula>
    </cfRule>
    <cfRule type="cellIs" dxfId="6883" priority="7835" operator="equal">
      <formula>"NA"</formula>
    </cfRule>
    <cfRule type="cellIs" dxfId="6882" priority="7836" operator="equal">
      <formula>"Yes"</formula>
    </cfRule>
  </conditionalFormatting>
  <conditionalFormatting sqref="F19">
    <cfRule type="cellIs" dxfId="6881" priority="7831" operator="equal">
      <formula>"No"</formula>
    </cfRule>
    <cfRule type="cellIs" dxfId="6880" priority="7832" operator="equal">
      <formula>"NA"</formula>
    </cfRule>
    <cfRule type="cellIs" dxfId="6879" priority="7833" operator="equal">
      <formula>"Yes"</formula>
    </cfRule>
  </conditionalFormatting>
  <conditionalFormatting sqref="E19">
    <cfRule type="cellIs" dxfId="6878" priority="7828" operator="equal">
      <formula>"No"</formula>
    </cfRule>
    <cfRule type="cellIs" dxfId="6877" priority="7829" operator="equal">
      <formula>"NA"</formula>
    </cfRule>
    <cfRule type="cellIs" dxfId="6876" priority="7830" operator="equal">
      <formula>"Yes"</formula>
    </cfRule>
  </conditionalFormatting>
  <conditionalFormatting sqref="E20">
    <cfRule type="cellIs" dxfId="6875" priority="7825" operator="equal">
      <formula>"No"</formula>
    </cfRule>
    <cfRule type="cellIs" dxfId="6874" priority="7826" operator="equal">
      <formula>"NA"</formula>
    </cfRule>
    <cfRule type="cellIs" dxfId="6873" priority="7827" operator="equal">
      <formula>"Yes"</formula>
    </cfRule>
  </conditionalFormatting>
  <conditionalFormatting sqref="F20">
    <cfRule type="cellIs" dxfId="6872" priority="7822" operator="equal">
      <formula>"No"</formula>
    </cfRule>
    <cfRule type="cellIs" dxfId="6871" priority="7823" operator="equal">
      <formula>"NA"</formula>
    </cfRule>
    <cfRule type="cellIs" dxfId="6870" priority="7824" operator="equal">
      <formula>"Yes"</formula>
    </cfRule>
  </conditionalFormatting>
  <conditionalFormatting sqref="G20">
    <cfRule type="cellIs" dxfId="6869" priority="7819" operator="equal">
      <formula>"No"</formula>
    </cfRule>
    <cfRule type="cellIs" dxfId="6868" priority="7820" operator="equal">
      <formula>"NA"</formula>
    </cfRule>
    <cfRule type="cellIs" dxfId="6867" priority="7821" operator="equal">
      <formula>"Yes"</formula>
    </cfRule>
  </conditionalFormatting>
  <conditionalFormatting sqref="G21">
    <cfRule type="cellIs" dxfId="6866" priority="7816" operator="equal">
      <formula>"No"</formula>
    </cfRule>
    <cfRule type="cellIs" dxfId="6865" priority="7817" operator="equal">
      <formula>"NA"</formula>
    </cfRule>
    <cfRule type="cellIs" dxfId="6864" priority="7818" operator="equal">
      <formula>"Yes"</formula>
    </cfRule>
  </conditionalFormatting>
  <conditionalFormatting sqref="F21">
    <cfRule type="cellIs" dxfId="6863" priority="7813" operator="equal">
      <formula>"No"</formula>
    </cfRule>
    <cfRule type="cellIs" dxfId="6862" priority="7814" operator="equal">
      <formula>"NA"</formula>
    </cfRule>
    <cfRule type="cellIs" dxfId="6861" priority="7815" operator="equal">
      <formula>"Yes"</formula>
    </cfRule>
  </conditionalFormatting>
  <conditionalFormatting sqref="E21">
    <cfRule type="cellIs" dxfId="6860" priority="7810" operator="equal">
      <formula>"No"</formula>
    </cfRule>
    <cfRule type="cellIs" dxfId="6859" priority="7811" operator="equal">
      <formula>"NA"</formula>
    </cfRule>
    <cfRule type="cellIs" dxfId="6858" priority="7812" operator="equal">
      <formula>"Yes"</formula>
    </cfRule>
  </conditionalFormatting>
  <conditionalFormatting sqref="E22">
    <cfRule type="cellIs" dxfId="6857" priority="7807" operator="equal">
      <formula>"No"</formula>
    </cfRule>
    <cfRule type="cellIs" dxfId="6856" priority="7808" operator="equal">
      <formula>"NA"</formula>
    </cfRule>
    <cfRule type="cellIs" dxfId="6855" priority="7809" operator="equal">
      <formula>"Yes"</formula>
    </cfRule>
  </conditionalFormatting>
  <conditionalFormatting sqref="F22">
    <cfRule type="cellIs" dxfId="6854" priority="7804" operator="equal">
      <formula>"No"</formula>
    </cfRule>
    <cfRule type="cellIs" dxfId="6853" priority="7805" operator="equal">
      <formula>"NA"</formula>
    </cfRule>
    <cfRule type="cellIs" dxfId="6852" priority="7806" operator="equal">
      <formula>"Yes"</formula>
    </cfRule>
  </conditionalFormatting>
  <conditionalFormatting sqref="G22">
    <cfRule type="cellIs" dxfId="6851" priority="7801" operator="equal">
      <formula>"No"</formula>
    </cfRule>
    <cfRule type="cellIs" dxfId="6850" priority="7802" operator="equal">
      <formula>"NA"</formula>
    </cfRule>
    <cfRule type="cellIs" dxfId="6849" priority="7803" operator="equal">
      <formula>"Yes"</formula>
    </cfRule>
  </conditionalFormatting>
  <conditionalFormatting sqref="G23">
    <cfRule type="cellIs" dxfId="6848" priority="7798" operator="equal">
      <formula>"No"</formula>
    </cfRule>
    <cfRule type="cellIs" dxfId="6847" priority="7799" operator="equal">
      <formula>"NA"</formula>
    </cfRule>
    <cfRule type="cellIs" dxfId="6846" priority="7800" operator="equal">
      <formula>"Yes"</formula>
    </cfRule>
  </conditionalFormatting>
  <conditionalFormatting sqref="F23">
    <cfRule type="cellIs" dxfId="6845" priority="7795" operator="equal">
      <formula>"No"</formula>
    </cfRule>
    <cfRule type="cellIs" dxfId="6844" priority="7796" operator="equal">
      <formula>"NA"</formula>
    </cfRule>
    <cfRule type="cellIs" dxfId="6843" priority="7797" operator="equal">
      <formula>"Yes"</formula>
    </cfRule>
  </conditionalFormatting>
  <conditionalFormatting sqref="E23">
    <cfRule type="cellIs" dxfId="6842" priority="7792" operator="equal">
      <formula>"No"</formula>
    </cfRule>
    <cfRule type="cellIs" dxfId="6841" priority="7793" operator="equal">
      <formula>"NA"</formula>
    </cfRule>
    <cfRule type="cellIs" dxfId="6840" priority="7794" operator="equal">
      <formula>"Yes"</formula>
    </cfRule>
  </conditionalFormatting>
  <conditionalFormatting sqref="E25">
    <cfRule type="cellIs" dxfId="6839" priority="7789" operator="equal">
      <formula>"No"</formula>
    </cfRule>
    <cfRule type="cellIs" dxfId="6838" priority="7790" operator="equal">
      <formula>"NA"</formula>
    </cfRule>
    <cfRule type="cellIs" dxfId="6837" priority="7791" operator="equal">
      <formula>"Yes"</formula>
    </cfRule>
  </conditionalFormatting>
  <conditionalFormatting sqref="F25">
    <cfRule type="cellIs" dxfId="6836" priority="7786" operator="equal">
      <formula>"No"</formula>
    </cfRule>
    <cfRule type="cellIs" dxfId="6835" priority="7787" operator="equal">
      <formula>"NA"</formula>
    </cfRule>
    <cfRule type="cellIs" dxfId="6834" priority="7788" operator="equal">
      <formula>"Yes"</formula>
    </cfRule>
  </conditionalFormatting>
  <conditionalFormatting sqref="G25">
    <cfRule type="cellIs" dxfId="6833" priority="7783" operator="equal">
      <formula>"No"</formula>
    </cfRule>
    <cfRule type="cellIs" dxfId="6832" priority="7784" operator="equal">
      <formula>"NA"</formula>
    </cfRule>
    <cfRule type="cellIs" dxfId="6831" priority="7785" operator="equal">
      <formula>"Yes"</formula>
    </cfRule>
  </conditionalFormatting>
  <conditionalFormatting sqref="G26">
    <cfRule type="cellIs" dxfId="6830" priority="7780" operator="equal">
      <formula>"No"</formula>
    </cfRule>
    <cfRule type="cellIs" dxfId="6829" priority="7781" operator="equal">
      <formula>"NA"</formula>
    </cfRule>
    <cfRule type="cellIs" dxfId="6828" priority="7782" operator="equal">
      <formula>"Yes"</formula>
    </cfRule>
  </conditionalFormatting>
  <conditionalFormatting sqref="F26">
    <cfRule type="cellIs" dxfId="6827" priority="7777" operator="equal">
      <formula>"No"</formula>
    </cfRule>
    <cfRule type="cellIs" dxfId="6826" priority="7778" operator="equal">
      <formula>"NA"</formula>
    </cfRule>
    <cfRule type="cellIs" dxfId="6825" priority="7779" operator="equal">
      <formula>"Yes"</formula>
    </cfRule>
  </conditionalFormatting>
  <conditionalFormatting sqref="E26">
    <cfRule type="cellIs" dxfId="6824" priority="7774" operator="equal">
      <formula>"No"</formula>
    </cfRule>
    <cfRule type="cellIs" dxfId="6823" priority="7775" operator="equal">
      <formula>"NA"</formula>
    </cfRule>
    <cfRule type="cellIs" dxfId="6822" priority="7776" operator="equal">
      <formula>"Yes"</formula>
    </cfRule>
  </conditionalFormatting>
  <conditionalFormatting sqref="G27">
    <cfRule type="cellIs" dxfId="6821" priority="7771" operator="equal">
      <formula>"No"</formula>
    </cfRule>
    <cfRule type="cellIs" dxfId="6820" priority="7772" operator="equal">
      <formula>"NA"</formula>
    </cfRule>
    <cfRule type="cellIs" dxfId="6819" priority="7773" operator="equal">
      <formula>"Yes"</formula>
    </cfRule>
  </conditionalFormatting>
  <conditionalFormatting sqref="F27">
    <cfRule type="cellIs" dxfId="6818" priority="7768" operator="equal">
      <formula>"No"</formula>
    </cfRule>
    <cfRule type="cellIs" dxfId="6817" priority="7769" operator="equal">
      <formula>"NA"</formula>
    </cfRule>
    <cfRule type="cellIs" dxfId="6816" priority="7770" operator="equal">
      <formula>"Yes"</formula>
    </cfRule>
  </conditionalFormatting>
  <conditionalFormatting sqref="E27">
    <cfRule type="cellIs" dxfId="6815" priority="7765" operator="equal">
      <formula>"No"</formula>
    </cfRule>
    <cfRule type="cellIs" dxfId="6814" priority="7766" operator="equal">
      <formula>"NA"</formula>
    </cfRule>
    <cfRule type="cellIs" dxfId="6813" priority="7767" operator="equal">
      <formula>"Yes"</formula>
    </cfRule>
  </conditionalFormatting>
  <conditionalFormatting sqref="G28">
    <cfRule type="cellIs" dxfId="6812" priority="7762" operator="equal">
      <formula>"No"</formula>
    </cfRule>
    <cfRule type="cellIs" dxfId="6811" priority="7763" operator="equal">
      <formula>"NA"</formula>
    </cfRule>
    <cfRule type="cellIs" dxfId="6810" priority="7764" operator="equal">
      <formula>"Yes"</formula>
    </cfRule>
  </conditionalFormatting>
  <conditionalFormatting sqref="F28">
    <cfRule type="cellIs" dxfId="6809" priority="7759" operator="equal">
      <formula>"No"</formula>
    </cfRule>
    <cfRule type="cellIs" dxfId="6808" priority="7760" operator="equal">
      <formula>"NA"</formula>
    </cfRule>
    <cfRule type="cellIs" dxfId="6807" priority="7761" operator="equal">
      <formula>"Yes"</formula>
    </cfRule>
  </conditionalFormatting>
  <conditionalFormatting sqref="E28">
    <cfRule type="cellIs" dxfId="6806" priority="7756" operator="equal">
      <formula>"No"</formula>
    </cfRule>
    <cfRule type="cellIs" dxfId="6805" priority="7757" operator="equal">
      <formula>"NA"</formula>
    </cfRule>
    <cfRule type="cellIs" dxfId="6804" priority="7758" operator="equal">
      <formula>"Yes"</formula>
    </cfRule>
  </conditionalFormatting>
  <conditionalFormatting sqref="G30">
    <cfRule type="cellIs" dxfId="6803" priority="7753" operator="equal">
      <formula>"No"</formula>
    </cfRule>
    <cfRule type="cellIs" dxfId="6802" priority="7754" operator="equal">
      <formula>"NA"</formula>
    </cfRule>
    <cfRule type="cellIs" dxfId="6801" priority="7755" operator="equal">
      <formula>"Yes"</formula>
    </cfRule>
  </conditionalFormatting>
  <conditionalFormatting sqref="F30">
    <cfRule type="cellIs" dxfId="6800" priority="7750" operator="equal">
      <formula>"No"</formula>
    </cfRule>
    <cfRule type="cellIs" dxfId="6799" priority="7751" operator="equal">
      <formula>"NA"</formula>
    </cfRule>
    <cfRule type="cellIs" dxfId="6798" priority="7752" operator="equal">
      <formula>"Yes"</formula>
    </cfRule>
  </conditionalFormatting>
  <conditionalFormatting sqref="E30">
    <cfRule type="cellIs" dxfId="6797" priority="7747" operator="equal">
      <formula>"No"</formula>
    </cfRule>
    <cfRule type="cellIs" dxfId="6796" priority="7748" operator="equal">
      <formula>"NA"</formula>
    </cfRule>
    <cfRule type="cellIs" dxfId="6795" priority="7749" operator="equal">
      <formula>"Yes"</formula>
    </cfRule>
  </conditionalFormatting>
  <conditionalFormatting sqref="G31">
    <cfRule type="cellIs" dxfId="6794" priority="7744" operator="equal">
      <formula>"No"</formula>
    </cfRule>
    <cfRule type="cellIs" dxfId="6793" priority="7745" operator="equal">
      <formula>"NA"</formula>
    </cfRule>
    <cfRule type="cellIs" dxfId="6792" priority="7746" operator="equal">
      <formula>"Yes"</formula>
    </cfRule>
  </conditionalFormatting>
  <conditionalFormatting sqref="F31">
    <cfRule type="cellIs" dxfId="6791" priority="7741" operator="equal">
      <formula>"No"</formula>
    </cfRule>
    <cfRule type="cellIs" dxfId="6790" priority="7742" operator="equal">
      <formula>"NA"</formula>
    </cfRule>
    <cfRule type="cellIs" dxfId="6789" priority="7743" operator="equal">
      <formula>"Yes"</formula>
    </cfRule>
  </conditionalFormatting>
  <conditionalFormatting sqref="E31">
    <cfRule type="cellIs" dxfId="6788" priority="7738" operator="equal">
      <formula>"No"</formula>
    </cfRule>
    <cfRule type="cellIs" dxfId="6787" priority="7739" operator="equal">
      <formula>"NA"</formula>
    </cfRule>
    <cfRule type="cellIs" dxfId="6786" priority="7740" operator="equal">
      <formula>"Yes"</formula>
    </cfRule>
  </conditionalFormatting>
  <conditionalFormatting sqref="E33">
    <cfRule type="cellIs" dxfId="6785" priority="7735" operator="equal">
      <formula>"No"</formula>
    </cfRule>
    <cfRule type="cellIs" dxfId="6784" priority="7736" operator="equal">
      <formula>"NA"</formula>
    </cfRule>
    <cfRule type="cellIs" dxfId="6783" priority="7737" operator="equal">
      <formula>"Yes"</formula>
    </cfRule>
  </conditionalFormatting>
  <conditionalFormatting sqref="F33">
    <cfRule type="cellIs" dxfId="6782" priority="7732" operator="equal">
      <formula>"No"</formula>
    </cfRule>
    <cfRule type="cellIs" dxfId="6781" priority="7733" operator="equal">
      <formula>"NA"</formula>
    </cfRule>
    <cfRule type="cellIs" dxfId="6780" priority="7734" operator="equal">
      <formula>"Yes"</formula>
    </cfRule>
  </conditionalFormatting>
  <conditionalFormatting sqref="G33">
    <cfRule type="cellIs" dxfId="6779" priority="7729" operator="equal">
      <formula>"No"</formula>
    </cfRule>
    <cfRule type="cellIs" dxfId="6778" priority="7730" operator="equal">
      <formula>"NA"</formula>
    </cfRule>
    <cfRule type="cellIs" dxfId="6777" priority="7731" operator="equal">
      <formula>"Yes"</formula>
    </cfRule>
  </conditionalFormatting>
  <conditionalFormatting sqref="H7">
    <cfRule type="cellIs" dxfId="6776" priority="7720" operator="equal">
      <formula>"No"</formula>
    </cfRule>
    <cfRule type="cellIs" dxfId="6775" priority="7721" operator="equal">
      <formula>"NA"</formula>
    </cfRule>
    <cfRule type="cellIs" dxfId="6774" priority="7722" operator="equal">
      <formula>"Yes"</formula>
    </cfRule>
  </conditionalFormatting>
  <conditionalFormatting sqref="H9">
    <cfRule type="cellIs" dxfId="6773" priority="7717" operator="equal">
      <formula>"No"</formula>
    </cfRule>
    <cfRule type="cellIs" dxfId="6772" priority="7718" operator="equal">
      <formula>"NA"</formula>
    </cfRule>
    <cfRule type="cellIs" dxfId="6771" priority="7719" operator="equal">
      <formula>"Yes"</formula>
    </cfRule>
  </conditionalFormatting>
  <conditionalFormatting sqref="H11">
    <cfRule type="cellIs" dxfId="6770" priority="7714" operator="equal">
      <formula>"No"</formula>
    </cfRule>
    <cfRule type="cellIs" dxfId="6769" priority="7715" operator="equal">
      <formula>"NA"</formula>
    </cfRule>
    <cfRule type="cellIs" dxfId="6768" priority="7716" operator="equal">
      <formula>"Yes"</formula>
    </cfRule>
  </conditionalFormatting>
  <conditionalFormatting sqref="H12">
    <cfRule type="cellIs" dxfId="6767" priority="7705" operator="equal">
      <formula>"No"</formula>
    </cfRule>
    <cfRule type="cellIs" dxfId="6766" priority="7706" operator="equal">
      <formula>"NA"</formula>
    </cfRule>
    <cfRule type="cellIs" dxfId="6765" priority="7707" operator="equal">
      <formula>"Yes"</formula>
    </cfRule>
  </conditionalFormatting>
  <conditionalFormatting sqref="H13">
    <cfRule type="cellIs" dxfId="6764" priority="7702" operator="equal">
      <formula>"No"</formula>
    </cfRule>
    <cfRule type="cellIs" dxfId="6763" priority="7703" operator="equal">
      <formula>"NA"</formula>
    </cfRule>
    <cfRule type="cellIs" dxfId="6762" priority="7704" operator="equal">
      <formula>"Yes"</formula>
    </cfRule>
  </conditionalFormatting>
  <conditionalFormatting sqref="H14">
    <cfRule type="cellIs" dxfId="6761" priority="7699" operator="equal">
      <formula>"No"</formula>
    </cfRule>
    <cfRule type="cellIs" dxfId="6760" priority="7700" operator="equal">
      <formula>"NA"</formula>
    </cfRule>
    <cfRule type="cellIs" dxfId="6759" priority="7701" operator="equal">
      <formula>"Yes"</formula>
    </cfRule>
  </conditionalFormatting>
  <conditionalFormatting sqref="H15">
    <cfRule type="cellIs" dxfId="6758" priority="7696" operator="equal">
      <formula>"No"</formula>
    </cfRule>
    <cfRule type="cellIs" dxfId="6757" priority="7697" operator="equal">
      <formula>"NA"</formula>
    </cfRule>
    <cfRule type="cellIs" dxfId="6756" priority="7698" operator="equal">
      <formula>"Yes"</formula>
    </cfRule>
  </conditionalFormatting>
  <conditionalFormatting sqref="H16">
    <cfRule type="cellIs" dxfId="6755" priority="7693" operator="equal">
      <formula>"No"</formula>
    </cfRule>
    <cfRule type="cellIs" dxfId="6754" priority="7694" operator="equal">
      <formula>"NA"</formula>
    </cfRule>
    <cfRule type="cellIs" dxfId="6753" priority="7695" operator="equal">
      <formula>"Yes"</formula>
    </cfRule>
  </conditionalFormatting>
  <conditionalFormatting sqref="H18">
    <cfRule type="cellIs" dxfId="6752" priority="7690" operator="equal">
      <formula>"No"</formula>
    </cfRule>
    <cfRule type="cellIs" dxfId="6751" priority="7691" operator="equal">
      <formula>"NA"</formula>
    </cfRule>
    <cfRule type="cellIs" dxfId="6750" priority="7692" operator="equal">
      <formula>"Yes"</formula>
    </cfRule>
  </conditionalFormatting>
  <conditionalFormatting sqref="H19">
    <cfRule type="cellIs" dxfId="6749" priority="7687" operator="equal">
      <formula>"No"</formula>
    </cfRule>
    <cfRule type="cellIs" dxfId="6748" priority="7688" operator="equal">
      <formula>"NA"</formula>
    </cfRule>
    <cfRule type="cellIs" dxfId="6747" priority="7689" operator="equal">
      <formula>"Yes"</formula>
    </cfRule>
  </conditionalFormatting>
  <conditionalFormatting sqref="H20">
    <cfRule type="cellIs" dxfId="6746" priority="7684" operator="equal">
      <formula>"No"</formula>
    </cfRule>
    <cfRule type="cellIs" dxfId="6745" priority="7685" operator="equal">
      <formula>"NA"</formula>
    </cfRule>
    <cfRule type="cellIs" dxfId="6744" priority="7686" operator="equal">
      <formula>"Yes"</formula>
    </cfRule>
  </conditionalFormatting>
  <conditionalFormatting sqref="H21">
    <cfRule type="cellIs" dxfId="6743" priority="7681" operator="equal">
      <formula>"No"</formula>
    </cfRule>
    <cfRule type="cellIs" dxfId="6742" priority="7682" operator="equal">
      <formula>"NA"</formula>
    </cfRule>
    <cfRule type="cellIs" dxfId="6741" priority="7683" operator="equal">
      <formula>"Yes"</formula>
    </cfRule>
  </conditionalFormatting>
  <conditionalFormatting sqref="H22">
    <cfRule type="cellIs" dxfId="6740" priority="7678" operator="equal">
      <formula>"No"</formula>
    </cfRule>
    <cfRule type="cellIs" dxfId="6739" priority="7679" operator="equal">
      <formula>"NA"</formula>
    </cfRule>
    <cfRule type="cellIs" dxfId="6738" priority="7680" operator="equal">
      <formula>"Yes"</formula>
    </cfRule>
  </conditionalFormatting>
  <conditionalFormatting sqref="H23">
    <cfRule type="cellIs" dxfId="6737" priority="7675" operator="equal">
      <formula>"No"</formula>
    </cfRule>
    <cfRule type="cellIs" dxfId="6736" priority="7676" operator="equal">
      <formula>"NA"</formula>
    </cfRule>
    <cfRule type="cellIs" dxfId="6735" priority="7677" operator="equal">
      <formula>"Yes"</formula>
    </cfRule>
  </conditionalFormatting>
  <conditionalFormatting sqref="H25">
    <cfRule type="cellIs" dxfId="6734" priority="7672" operator="equal">
      <formula>"No"</formula>
    </cfRule>
    <cfRule type="cellIs" dxfId="6733" priority="7673" operator="equal">
      <formula>"NA"</formula>
    </cfRule>
    <cfRule type="cellIs" dxfId="6732" priority="7674" operator="equal">
      <formula>"Yes"</formula>
    </cfRule>
  </conditionalFormatting>
  <conditionalFormatting sqref="H26">
    <cfRule type="cellIs" dxfId="6731" priority="7669" operator="equal">
      <formula>"No"</formula>
    </cfRule>
    <cfRule type="cellIs" dxfId="6730" priority="7670" operator="equal">
      <formula>"NA"</formula>
    </cfRule>
    <cfRule type="cellIs" dxfId="6729" priority="7671" operator="equal">
      <formula>"Yes"</formula>
    </cfRule>
  </conditionalFormatting>
  <conditionalFormatting sqref="H27">
    <cfRule type="cellIs" dxfId="6728" priority="7666" operator="equal">
      <formula>"No"</formula>
    </cfRule>
    <cfRule type="cellIs" dxfId="6727" priority="7667" operator="equal">
      <formula>"NA"</formula>
    </cfRule>
    <cfRule type="cellIs" dxfId="6726" priority="7668" operator="equal">
      <formula>"Yes"</formula>
    </cfRule>
  </conditionalFormatting>
  <conditionalFormatting sqref="H28">
    <cfRule type="cellIs" dxfId="6725" priority="7663" operator="equal">
      <formula>"No"</formula>
    </cfRule>
    <cfRule type="cellIs" dxfId="6724" priority="7664" operator="equal">
      <formula>"NA"</formula>
    </cfRule>
    <cfRule type="cellIs" dxfId="6723" priority="7665" operator="equal">
      <formula>"Yes"</formula>
    </cfRule>
  </conditionalFormatting>
  <conditionalFormatting sqref="H30">
    <cfRule type="cellIs" dxfId="6722" priority="7660" operator="equal">
      <formula>"No"</formula>
    </cfRule>
    <cfRule type="cellIs" dxfId="6721" priority="7661" operator="equal">
      <formula>"NA"</formula>
    </cfRule>
    <cfRule type="cellIs" dxfId="6720" priority="7662" operator="equal">
      <formula>"Yes"</formula>
    </cfRule>
  </conditionalFormatting>
  <conditionalFormatting sqref="H31">
    <cfRule type="cellIs" dxfId="6719" priority="7657" operator="equal">
      <formula>"No"</formula>
    </cfRule>
    <cfRule type="cellIs" dxfId="6718" priority="7658" operator="equal">
      <formula>"NA"</formula>
    </cfRule>
    <cfRule type="cellIs" dxfId="6717" priority="7659" operator="equal">
      <formula>"Yes"</formula>
    </cfRule>
  </conditionalFormatting>
  <conditionalFormatting sqref="H33">
    <cfRule type="cellIs" dxfId="6716" priority="7654" operator="equal">
      <formula>"No"</formula>
    </cfRule>
    <cfRule type="cellIs" dxfId="6715" priority="7655" operator="equal">
      <formula>"NA"</formula>
    </cfRule>
    <cfRule type="cellIs" dxfId="6714" priority="7656" operator="equal">
      <formula>"Yes"</formula>
    </cfRule>
  </conditionalFormatting>
  <conditionalFormatting sqref="I9">
    <cfRule type="cellIs" dxfId="6713" priority="7651" operator="equal">
      <formula>"No"</formula>
    </cfRule>
    <cfRule type="cellIs" dxfId="6712" priority="7652" operator="equal">
      <formula>"NA"</formula>
    </cfRule>
    <cfRule type="cellIs" dxfId="6711" priority="7653" operator="equal">
      <formula>"Yes"</formula>
    </cfRule>
  </conditionalFormatting>
  <conditionalFormatting sqref="I7">
    <cfRule type="cellIs" dxfId="6710" priority="7648" operator="equal">
      <formula>"No"</formula>
    </cfRule>
    <cfRule type="cellIs" dxfId="6709" priority="7649" operator="equal">
      <formula>"NA"</formula>
    </cfRule>
    <cfRule type="cellIs" dxfId="6708" priority="7650" operator="equal">
      <formula>"Yes"</formula>
    </cfRule>
  </conditionalFormatting>
  <conditionalFormatting sqref="I12">
    <cfRule type="cellIs" dxfId="6707" priority="7642" operator="equal">
      <formula>"No"</formula>
    </cfRule>
    <cfRule type="cellIs" dxfId="6706" priority="7643" operator="equal">
      <formula>"NA"</formula>
    </cfRule>
    <cfRule type="cellIs" dxfId="6705" priority="7644" operator="equal">
      <formula>"Yes"</formula>
    </cfRule>
  </conditionalFormatting>
  <conditionalFormatting sqref="I13">
    <cfRule type="cellIs" dxfId="6704" priority="7639" operator="equal">
      <formula>"No"</formula>
    </cfRule>
    <cfRule type="cellIs" dxfId="6703" priority="7640" operator="equal">
      <formula>"NA"</formula>
    </cfRule>
    <cfRule type="cellIs" dxfId="6702" priority="7641" operator="equal">
      <formula>"Yes"</formula>
    </cfRule>
  </conditionalFormatting>
  <conditionalFormatting sqref="I14">
    <cfRule type="cellIs" dxfId="6701" priority="7636" operator="equal">
      <formula>"No"</formula>
    </cfRule>
    <cfRule type="cellIs" dxfId="6700" priority="7637" operator="equal">
      <formula>"NA"</formula>
    </cfRule>
    <cfRule type="cellIs" dxfId="6699" priority="7638" operator="equal">
      <formula>"Yes"</formula>
    </cfRule>
  </conditionalFormatting>
  <conditionalFormatting sqref="I15">
    <cfRule type="cellIs" dxfId="6698" priority="7633" operator="equal">
      <formula>"No"</formula>
    </cfRule>
    <cfRule type="cellIs" dxfId="6697" priority="7634" operator="equal">
      <formula>"NA"</formula>
    </cfRule>
    <cfRule type="cellIs" dxfId="6696" priority="7635" operator="equal">
      <formula>"Yes"</formula>
    </cfRule>
  </conditionalFormatting>
  <conditionalFormatting sqref="I16">
    <cfRule type="cellIs" dxfId="6695" priority="7630" operator="equal">
      <formula>"No"</formula>
    </cfRule>
    <cfRule type="cellIs" dxfId="6694" priority="7631" operator="equal">
      <formula>"NA"</formula>
    </cfRule>
    <cfRule type="cellIs" dxfId="6693" priority="7632" operator="equal">
      <formula>"Yes"</formula>
    </cfRule>
  </conditionalFormatting>
  <conditionalFormatting sqref="I18">
    <cfRule type="cellIs" dxfId="6692" priority="7627" operator="equal">
      <formula>"No"</formula>
    </cfRule>
    <cfRule type="cellIs" dxfId="6691" priority="7628" operator="equal">
      <formula>"NA"</formula>
    </cfRule>
    <cfRule type="cellIs" dxfId="6690" priority="7629" operator="equal">
      <formula>"Yes"</formula>
    </cfRule>
  </conditionalFormatting>
  <conditionalFormatting sqref="I19">
    <cfRule type="cellIs" dxfId="6689" priority="7624" operator="equal">
      <formula>"No"</formula>
    </cfRule>
    <cfRule type="cellIs" dxfId="6688" priority="7625" operator="equal">
      <formula>"NA"</formula>
    </cfRule>
    <cfRule type="cellIs" dxfId="6687" priority="7626" operator="equal">
      <formula>"Yes"</formula>
    </cfRule>
  </conditionalFormatting>
  <conditionalFormatting sqref="I20">
    <cfRule type="cellIs" dxfId="6686" priority="7621" operator="equal">
      <formula>"No"</formula>
    </cfRule>
    <cfRule type="cellIs" dxfId="6685" priority="7622" operator="equal">
      <formula>"NA"</formula>
    </cfRule>
    <cfRule type="cellIs" dxfId="6684" priority="7623" operator="equal">
      <formula>"Yes"</formula>
    </cfRule>
  </conditionalFormatting>
  <conditionalFormatting sqref="I21">
    <cfRule type="cellIs" dxfId="6683" priority="7618" operator="equal">
      <formula>"No"</formula>
    </cfRule>
    <cfRule type="cellIs" dxfId="6682" priority="7619" operator="equal">
      <formula>"NA"</formula>
    </cfRule>
    <cfRule type="cellIs" dxfId="6681" priority="7620" operator="equal">
      <formula>"Yes"</formula>
    </cfRule>
  </conditionalFormatting>
  <conditionalFormatting sqref="I22">
    <cfRule type="cellIs" dxfId="6680" priority="7615" operator="equal">
      <formula>"No"</formula>
    </cfRule>
    <cfRule type="cellIs" dxfId="6679" priority="7616" operator="equal">
      <formula>"NA"</formula>
    </cfRule>
    <cfRule type="cellIs" dxfId="6678" priority="7617" operator="equal">
      <formula>"Yes"</formula>
    </cfRule>
  </conditionalFormatting>
  <conditionalFormatting sqref="I23">
    <cfRule type="cellIs" dxfId="6677" priority="7612" operator="equal">
      <formula>"No"</formula>
    </cfRule>
    <cfRule type="cellIs" dxfId="6676" priority="7613" operator="equal">
      <formula>"NA"</formula>
    </cfRule>
    <cfRule type="cellIs" dxfId="6675" priority="7614" operator="equal">
      <formula>"Yes"</formula>
    </cfRule>
  </conditionalFormatting>
  <conditionalFormatting sqref="I25">
    <cfRule type="cellIs" dxfId="6674" priority="7609" operator="equal">
      <formula>"No"</formula>
    </cfRule>
    <cfRule type="cellIs" dxfId="6673" priority="7610" operator="equal">
      <formula>"NA"</formula>
    </cfRule>
    <cfRule type="cellIs" dxfId="6672" priority="7611" operator="equal">
      <formula>"Yes"</formula>
    </cfRule>
  </conditionalFormatting>
  <conditionalFormatting sqref="I26">
    <cfRule type="cellIs" dxfId="6671" priority="7606" operator="equal">
      <formula>"No"</formula>
    </cfRule>
    <cfRule type="cellIs" dxfId="6670" priority="7607" operator="equal">
      <formula>"NA"</formula>
    </cfRule>
    <cfRule type="cellIs" dxfId="6669" priority="7608" operator="equal">
      <formula>"Yes"</formula>
    </cfRule>
  </conditionalFormatting>
  <conditionalFormatting sqref="I27">
    <cfRule type="cellIs" dxfId="6668" priority="7603" operator="equal">
      <formula>"No"</formula>
    </cfRule>
    <cfRule type="cellIs" dxfId="6667" priority="7604" operator="equal">
      <formula>"NA"</formula>
    </cfRule>
    <cfRule type="cellIs" dxfId="6666" priority="7605" operator="equal">
      <formula>"Yes"</formula>
    </cfRule>
  </conditionalFormatting>
  <conditionalFormatting sqref="I28">
    <cfRule type="cellIs" dxfId="6665" priority="7600" operator="equal">
      <formula>"No"</formula>
    </cfRule>
    <cfRule type="cellIs" dxfId="6664" priority="7601" operator="equal">
      <formula>"NA"</formula>
    </cfRule>
    <cfRule type="cellIs" dxfId="6663" priority="7602" operator="equal">
      <formula>"Yes"</formula>
    </cfRule>
  </conditionalFormatting>
  <conditionalFormatting sqref="I30">
    <cfRule type="cellIs" dxfId="6662" priority="7597" operator="equal">
      <formula>"No"</formula>
    </cfRule>
    <cfRule type="cellIs" dxfId="6661" priority="7598" operator="equal">
      <formula>"NA"</formula>
    </cfRule>
    <cfRule type="cellIs" dxfId="6660" priority="7599" operator="equal">
      <formula>"Yes"</formula>
    </cfRule>
  </conditionalFormatting>
  <conditionalFormatting sqref="I31">
    <cfRule type="cellIs" dxfId="6659" priority="7594" operator="equal">
      <formula>"No"</formula>
    </cfRule>
    <cfRule type="cellIs" dxfId="6658" priority="7595" operator="equal">
      <formula>"NA"</formula>
    </cfRule>
    <cfRule type="cellIs" dxfId="6657" priority="7596" operator="equal">
      <formula>"Yes"</formula>
    </cfRule>
  </conditionalFormatting>
  <conditionalFormatting sqref="I33">
    <cfRule type="cellIs" dxfId="6656" priority="7591" operator="equal">
      <formula>"No"</formula>
    </cfRule>
    <cfRule type="cellIs" dxfId="6655" priority="7592" operator="equal">
      <formula>"NA"</formula>
    </cfRule>
    <cfRule type="cellIs" dxfId="6654" priority="7593" operator="equal">
      <formula>"Yes"</formula>
    </cfRule>
  </conditionalFormatting>
  <conditionalFormatting sqref="J7">
    <cfRule type="cellIs" dxfId="6653" priority="7588" operator="equal">
      <formula>"No"</formula>
    </cfRule>
    <cfRule type="cellIs" dxfId="6652" priority="7589" operator="equal">
      <formula>"NA"</formula>
    </cfRule>
    <cfRule type="cellIs" dxfId="6651" priority="7590" operator="equal">
      <formula>"Yes"</formula>
    </cfRule>
  </conditionalFormatting>
  <conditionalFormatting sqref="J9">
    <cfRule type="cellIs" dxfId="6650" priority="7585" operator="equal">
      <formula>"No"</formula>
    </cfRule>
    <cfRule type="cellIs" dxfId="6649" priority="7586" operator="equal">
      <formula>"NA"</formula>
    </cfRule>
    <cfRule type="cellIs" dxfId="6648" priority="7587" operator="equal">
      <formula>"Yes"</formula>
    </cfRule>
  </conditionalFormatting>
  <conditionalFormatting sqref="J11">
    <cfRule type="cellIs" dxfId="6647" priority="7582" operator="equal">
      <formula>"No"</formula>
    </cfRule>
    <cfRule type="cellIs" dxfId="6646" priority="7583" operator="equal">
      <formula>"NA"</formula>
    </cfRule>
    <cfRule type="cellIs" dxfId="6645" priority="7584" operator="equal">
      <formula>"Yes"</formula>
    </cfRule>
  </conditionalFormatting>
  <conditionalFormatting sqref="J12">
    <cfRule type="cellIs" dxfId="6644" priority="7579" operator="equal">
      <formula>"No"</formula>
    </cfRule>
    <cfRule type="cellIs" dxfId="6643" priority="7580" operator="equal">
      <formula>"NA"</formula>
    </cfRule>
    <cfRule type="cellIs" dxfId="6642" priority="7581" operator="equal">
      <formula>"Yes"</formula>
    </cfRule>
  </conditionalFormatting>
  <conditionalFormatting sqref="J13">
    <cfRule type="cellIs" dxfId="6641" priority="7576" operator="equal">
      <formula>"No"</formula>
    </cfRule>
    <cfRule type="cellIs" dxfId="6640" priority="7577" operator="equal">
      <formula>"NA"</formula>
    </cfRule>
    <cfRule type="cellIs" dxfId="6639" priority="7578" operator="equal">
      <formula>"Yes"</formula>
    </cfRule>
  </conditionalFormatting>
  <conditionalFormatting sqref="J14">
    <cfRule type="cellIs" dxfId="6638" priority="7573" operator="equal">
      <formula>"No"</formula>
    </cfRule>
    <cfRule type="cellIs" dxfId="6637" priority="7574" operator="equal">
      <formula>"NA"</formula>
    </cfRule>
    <cfRule type="cellIs" dxfId="6636" priority="7575" operator="equal">
      <formula>"Yes"</formula>
    </cfRule>
  </conditionalFormatting>
  <conditionalFormatting sqref="J15">
    <cfRule type="cellIs" dxfId="6635" priority="7570" operator="equal">
      <formula>"No"</formula>
    </cfRule>
    <cfRule type="cellIs" dxfId="6634" priority="7571" operator="equal">
      <formula>"NA"</formula>
    </cfRule>
    <cfRule type="cellIs" dxfId="6633" priority="7572" operator="equal">
      <formula>"Yes"</formula>
    </cfRule>
  </conditionalFormatting>
  <conditionalFormatting sqref="J16">
    <cfRule type="cellIs" dxfId="6632" priority="7567" operator="equal">
      <formula>"No"</formula>
    </cfRule>
    <cfRule type="cellIs" dxfId="6631" priority="7568" operator="equal">
      <formula>"NA"</formula>
    </cfRule>
    <cfRule type="cellIs" dxfId="6630" priority="7569" operator="equal">
      <formula>"Yes"</formula>
    </cfRule>
  </conditionalFormatting>
  <conditionalFormatting sqref="J18">
    <cfRule type="cellIs" dxfId="6629" priority="7564" operator="equal">
      <formula>"No"</formula>
    </cfRule>
    <cfRule type="cellIs" dxfId="6628" priority="7565" operator="equal">
      <formula>"NA"</formula>
    </cfRule>
    <cfRule type="cellIs" dxfId="6627" priority="7566" operator="equal">
      <formula>"Yes"</formula>
    </cfRule>
  </conditionalFormatting>
  <conditionalFormatting sqref="J19">
    <cfRule type="cellIs" dxfId="6626" priority="7561" operator="equal">
      <formula>"No"</formula>
    </cfRule>
    <cfRule type="cellIs" dxfId="6625" priority="7562" operator="equal">
      <formula>"NA"</formula>
    </cfRule>
    <cfRule type="cellIs" dxfId="6624" priority="7563" operator="equal">
      <formula>"Yes"</formula>
    </cfRule>
  </conditionalFormatting>
  <conditionalFormatting sqref="J20">
    <cfRule type="cellIs" dxfId="6623" priority="7558" operator="equal">
      <formula>"No"</formula>
    </cfRule>
    <cfRule type="cellIs" dxfId="6622" priority="7559" operator="equal">
      <formula>"NA"</formula>
    </cfRule>
    <cfRule type="cellIs" dxfId="6621" priority="7560" operator="equal">
      <formula>"Yes"</formula>
    </cfRule>
  </conditionalFormatting>
  <conditionalFormatting sqref="J21">
    <cfRule type="cellIs" dxfId="6620" priority="7555" operator="equal">
      <formula>"No"</formula>
    </cfRule>
    <cfRule type="cellIs" dxfId="6619" priority="7556" operator="equal">
      <formula>"NA"</formula>
    </cfRule>
    <cfRule type="cellIs" dxfId="6618" priority="7557" operator="equal">
      <formula>"Yes"</formula>
    </cfRule>
  </conditionalFormatting>
  <conditionalFormatting sqref="J22">
    <cfRule type="cellIs" dxfId="6617" priority="7552" operator="equal">
      <formula>"No"</formula>
    </cfRule>
    <cfRule type="cellIs" dxfId="6616" priority="7553" operator="equal">
      <formula>"NA"</formula>
    </cfRule>
    <cfRule type="cellIs" dxfId="6615" priority="7554" operator="equal">
      <formula>"Yes"</formula>
    </cfRule>
  </conditionalFormatting>
  <conditionalFormatting sqref="J23">
    <cfRule type="cellIs" dxfId="6614" priority="7549" operator="equal">
      <formula>"No"</formula>
    </cfRule>
    <cfRule type="cellIs" dxfId="6613" priority="7550" operator="equal">
      <formula>"NA"</formula>
    </cfRule>
    <cfRule type="cellIs" dxfId="6612" priority="7551" operator="equal">
      <formula>"Yes"</formula>
    </cfRule>
  </conditionalFormatting>
  <conditionalFormatting sqref="J25">
    <cfRule type="cellIs" dxfId="6611" priority="7546" operator="equal">
      <formula>"No"</formula>
    </cfRule>
    <cfRule type="cellIs" dxfId="6610" priority="7547" operator="equal">
      <formula>"NA"</formula>
    </cfRule>
    <cfRule type="cellIs" dxfId="6609" priority="7548" operator="equal">
      <formula>"Yes"</formula>
    </cfRule>
  </conditionalFormatting>
  <conditionalFormatting sqref="J26">
    <cfRule type="cellIs" dxfId="6608" priority="7543" operator="equal">
      <formula>"No"</formula>
    </cfRule>
    <cfRule type="cellIs" dxfId="6607" priority="7544" operator="equal">
      <formula>"NA"</formula>
    </cfRule>
    <cfRule type="cellIs" dxfId="6606" priority="7545" operator="equal">
      <formula>"Yes"</formula>
    </cfRule>
  </conditionalFormatting>
  <conditionalFormatting sqref="J27">
    <cfRule type="cellIs" dxfId="6605" priority="7540" operator="equal">
      <formula>"No"</formula>
    </cfRule>
    <cfRule type="cellIs" dxfId="6604" priority="7541" operator="equal">
      <formula>"NA"</formula>
    </cfRule>
    <cfRule type="cellIs" dxfId="6603" priority="7542" operator="equal">
      <formula>"Yes"</formula>
    </cfRule>
  </conditionalFormatting>
  <conditionalFormatting sqref="J28">
    <cfRule type="cellIs" dxfId="6602" priority="7537" operator="equal">
      <formula>"No"</formula>
    </cfRule>
    <cfRule type="cellIs" dxfId="6601" priority="7538" operator="equal">
      <formula>"NA"</formula>
    </cfRule>
    <cfRule type="cellIs" dxfId="6600" priority="7539" operator="equal">
      <formula>"Yes"</formula>
    </cfRule>
  </conditionalFormatting>
  <conditionalFormatting sqref="J30">
    <cfRule type="cellIs" dxfId="6599" priority="7534" operator="equal">
      <formula>"No"</formula>
    </cfRule>
    <cfRule type="cellIs" dxfId="6598" priority="7535" operator="equal">
      <formula>"NA"</formula>
    </cfRule>
    <cfRule type="cellIs" dxfId="6597" priority="7536" operator="equal">
      <formula>"Yes"</formula>
    </cfRule>
  </conditionalFormatting>
  <conditionalFormatting sqref="J31">
    <cfRule type="cellIs" dxfId="6596" priority="7531" operator="equal">
      <formula>"No"</formula>
    </cfRule>
    <cfRule type="cellIs" dxfId="6595" priority="7532" operator="equal">
      <formula>"NA"</formula>
    </cfRule>
    <cfRule type="cellIs" dxfId="6594" priority="7533" operator="equal">
      <formula>"Yes"</formula>
    </cfRule>
  </conditionalFormatting>
  <conditionalFormatting sqref="J33">
    <cfRule type="cellIs" dxfId="6593" priority="7528" operator="equal">
      <formula>"No"</formula>
    </cfRule>
    <cfRule type="cellIs" dxfId="6592" priority="7529" operator="equal">
      <formula>"NA"</formula>
    </cfRule>
    <cfRule type="cellIs" dxfId="6591" priority="7530" operator="equal">
      <formula>"Yes"</formula>
    </cfRule>
  </conditionalFormatting>
  <conditionalFormatting sqref="C6:J6">
    <cfRule type="cellIs" dxfId="6590" priority="7516" operator="equal">
      <formula>"No"</formula>
    </cfRule>
    <cfRule type="cellIs" dxfId="6589" priority="7517" operator="equal">
      <formula>"NA"</formula>
    </cfRule>
    <cfRule type="cellIs" dxfId="6588" priority="7518" operator="equal">
      <formula>"Yes"</formula>
    </cfRule>
  </conditionalFormatting>
  <conditionalFormatting sqref="K6">
    <cfRule type="cellIs" dxfId="6587" priority="7513" operator="equal">
      <formula>"No"</formula>
    </cfRule>
    <cfRule type="cellIs" dxfId="6586" priority="7514" operator="equal">
      <formula>"NA"</formula>
    </cfRule>
    <cfRule type="cellIs" dxfId="6585" priority="7515" operator="equal">
      <formula>"Yes"</formula>
    </cfRule>
  </conditionalFormatting>
  <conditionalFormatting sqref="K7">
    <cfRule type="cellIs" dxfId="6584" priority="7510" operator="equal">
      <formula>"No"</formula>
    </cfRule>
    <cfRule type="cellIs" dxfId="6583" priority="7511" operator="equal">
      <formula>"NA"</formula>
    </cfRule>
    <cfRule type="cellIs" dxfId="6582" priority="7512" operator="equal">
      <formula>"Yes"</formula>
    </cfRule>
  </conditionalFormatting>
  <conditionalFormatting sqref="K9">
    <cfRule type="cellIs" dxfId="6581" priority="7507" operator="equal">
      <formula>"No"</formula>
    </cfRule>
    <cfRule type="cellIs" dxfId="6580" priority="7508" operator="equal">
      <formula>"NA"</formula>
    </cfRule>
    <cfRule type="cellIs" dxfId="6579" priority="7509" operator="equal">
      <formula>"Yes"</formula>
    </cfRule>
  </conditionalFormatting>
  <conditionalFormatting sqref="K10">
    <cfRule type="cellIs" dxfId="6578" priority="7504" operator="equal">
      <formula>"No"</formula>
    </cfRule>
    <cfRule type="cellIs" dxfId="6577" priority="7505" operator="equal">
      <formula>"NA"</formula>
    </cfRule>
    <cfRule type="cellIs" dxfId="6576" priority="7506" operator="equal">
      <formula>"Yes"</formula>
    </cfRule>
  </conditionalFormatting>
  <conditionalFormatting sqref="K11">
    <cfRule type="cellIs" dxfId="6575" priority="7501" operator="equal">
      <formula>"No"</formula>
    </cfRule>
    <cfRule type="cellIs" dxfId="6574" priority="7502" operator="equal">
      <formula>"NA"</formula>
    </cfRule>
    <cfRule type="cellIs" dxfId="6573" priority="7503" operator="equal">
      <formula>"Yes"</formula>
    </cfRule>
  </conditionalFormatting>
  <conditionalFormatting sqref="K13">
    <cfRule type="cellIs" dxfId="6572" priority="7498" operator="equal">
      <formula>"No"</formula>
    </cfRule>
    <cfRule type="cellIs" dxfId="6571" priority="7499" operator="equal">
      <formula>"NA"</formula>
    </cfRule>
    <cfRule type="cellIs" dxfId="6570" priority="7500" operator="equal">
      <formula>"Yes"</formula>
    </cfRule>
  </conditionalFormatting>
  <conditionalFormatting sqref="K14">
    <cfRule type="cellIs" dxfId="6569" priority="7495" operator="equal">
      <formula>"No"</formula>
    </cfRule>
    <cfRule type="cellIs" dxfId="6568" priority="7496" operator="equal">
      <formula>"NA"</formula>
    </cfRule>
    <cfRule type="cellIs" dxfId="6567" priority="7497" operator="equal">
      <formula>"Yes"</formula>
    </cfRule>
  </conditionalFormatting>
  <conditionalFormatting sqref="K15">
    <cfRule type="cellIs" dxfId="6566" priority="7492" operator="equal">
      <formula>"No"</formula>
    </cfRule>
    <cfRule type="cellIs" dxfId="6565" priority="7493" operator="equal">
      <formula>"NA"</formula>
    </cfRule>
    <cfRule type="cellIs" dxfId="6564" priority="7494" operator="equal">
      <formula>"Yes"</formula>
    </cfRule>
  </conditionalFormatting>
  <conditionalFormatting sqref="K17">
    <cfRule type="cellIs" dxfId="6563" priority="7489" operator="equal">
      <formula>"No"</formula>
    </cfRule>
    <cfRule type="cellIs" dxfId="6562" priority="7490" operator="equal">
      <formula>"NA"</formula>
    </cfRule>
    <cfRule type="cellIs" dxfId="6561" priority="7491" operator="equal">
      <formula>"Yes"</formula>
    </cfRule>
  </conditionalFormatting>
  <conditionalFormatting sqref="K18">
    <cfRule type="cellIs" dxfId="6560" priority="7486" operator="equal">
      <formula>"No"</formula>
    </cfRule>
    <cfRule type="cellIs" dxfId="6559" priority="7487" operator="equal">
      <formula>"NA"</formula>
    </cfRule>
    <cfRule type="cellIs" dxfId="6558" priority="7488" operator="equal">
      <formula>"Yes"</formula>
    </cfRule>
  </conditionalFormatting>
  <conditionalFormatting sqref="K19">
    <cfRule type="cellIs" dxfId="6557" priority="7483" operator="equal">
      <formula>"No"</formula>
    </cfRule>
    <cfRule type="cellIs" dxfId="6556" priority="7484" operator="equal">
      <formula>"NA"</formula>
    </cfRule>
    <cfRule type="cellIs" dxfId="6555" priority="7485" operator="equal">
      <formula>"Yes"</formula>
    </cfRule>
  </conditionalFormatting>
  <conditionalFormatting sqref="K20">
    <cfRule type="cellIs" dxfId="6554" priority="7480" operator="equal">
      <formula>"No"</formula>
    </cfRule>
    <cfRule type="cellIs" dxfId="6553" priority="7481" operator="equal">
      <formula>"NA"</formula>
    </cfRule>
    <cfRule type="cellIs" dxfId="6552" priority="7482" operator="equal">
      <formula>"Yes"</formula>
    </cfRule>
  </conditionalFormatting>
  <conditionalFormatting sqref="K21">
    <cfRule type="cellIs" dxfId="6551" priority="7477" operator="equal">
      <formula>"No"</formula>
    </cfRule>
    <cfRule type="cellIs" dxfId="6550" priority="7478" operator="equal">
      <formula>"NA"</formula>
    </cfRule>
    <cfRule type="cellIs" dxfId="6549" priority="7479" operator="equal">
      <formula>"Yes"</formula>
    </cfRule>
  </conditionalFormatting>
  <conditionalFormatting sqref="K22">
    <cfRule type="cellIs" dxfId="6548" priority="7474" operator="equal">
      <formula>"No"</formula>
    </cfRule>
    <cfRule type="cellIs" dxfId="6547" priority="7475" operator="equal">
      <formula>"NA"</formula>
    </cfRule>
    <cfRule type="cellIs" dxfId="6546" priority="7476" operator="equal">
      <formula>"Yes"</formula>
    </cfRule>
  </conditionalFormatting>
  <conditionalFormatting sqref="K23">
    <cfRule type="cellIs" dxfId="6545" priority="7471" operator="equal">
      <formula>"No"</formula>
    </cfRule>
    <cfRule type="cellIs" dxfId="6544" priority="7472" operator="equal">
      <formula>"NA"</formula>
    </cfRule>
    <cfRule type="cellIs" dxfId="6543" priority="7473" operator="equal">
      <formula>"Yes"</formula>
    </cfRule>
  </conditionalFormatting>
  <conditionalFormatting sqref="K25">
    <cfRule type="cellIs" dxfId="6542" priority="7468" operator="equal">
      <formula>"No"</formula>
    </cfRule>
    <cfRule type="cellIs" dxfId="6541" priority="7469" operator="equal">
      <formula>"NA"</formula>
    </cfRule>
    <cfRule type="cellIs" dxfId="6540" priority="7470" operator="equal">
      <formula>"Yes"</formula>
    </cfRule>
  </conditionalFormatting>
  <conditionalFormatting sqref="K26">
    <cfRule type="cellIs" dxfId="6539" priority="7465" operator="equal">
      <formula>"No"</formula>
    </cfRule>
    <cfRule type="cellIs" dxfId="6538" priority="7466" operator="equal">
      <formula>"NA"</formula>
    </cfRule>
    <cfRule type="cellIs" dxfId="6537" priority="7467" operator="equal">
      <formula>"Yes"</formula>
    </cfRule>
  </conditionalFormatting>
  <conditionalFormatting sqref="K27">
    <cfRule type="cellIs" dxfId="6536" priority="7462" operator="equal">
      <formula>"No"</formula>
    </cfRule>
    <cfRule type="cellIs" dxfId="6535" priority="7463" operator="equal">
      <formula>"NA"</formula>
    </cfRule>
    <cfRule type="cellIs" dxfId="6534" priority="7464" operator="equal">
      <formula>"Yes"</formula>
    </cfRule>
  </conditionalFormatting>
  <conditionalFormatting sqref="K28">
    <cfRule type="cellIs" dxfId="6533" priority="7459" operator="equal">
      <formula>"No"</formula>
    </cfRule>
    <cfRule type="cellIs" dxfId="6532" priority="7460" operator="equal">
      <formula>"NA"</formula>
    </cfRule>
    <cfRule type="cellIs" dxfId="6531" priority="7461" operator="equal">
      <formula>"Yes"</formula>
    </cfRule>
  </conditionalFormatting>
  <conditionalFormatting sqref="K30">
    <cfRule type="cellIs" dxfId="6530" priority="7456" operator="equal">
      <formula>"No"</formula>
    </cfRule>
    <cfRule type="cellIs" dxfId="6529" priority="7457" operator="equal">
      <formula>"NA"</formula>
    </cfRule>
    <cfRule type="cellIs" dxfId="6528" priority="7458" operator="equal">
      <formula>"Yes"</formula>
    </cfRule>
  </conditionalFormatting>
  <conditionalFormatting sqref="K31">
    <cfRule type="cellIs" dxfId="6527" priority="7453" operator="equal">
      <formula>"No"</formula>
    </cfRule>
    <cfRule type="cellIs" dxfId="6526" priority="7454" operator="equal">
      <formula>"NA"</formula>
    </cfRule>
    <cfRule type="cellIs" dxfId="6525" priority="7455" operator="equal">
      <formula>"Yes"</formula>
    </cfRule>
  </conditionalFormatting>
  <conditionalFormatting sqref="K33">
    <cfRule type="cellIs" dxfId="6524" priority="7450" operator="equal">
      <formula>"No"</formula>
    </cfRule>
    <cfRule type="cellIs" dxfId="6523" priority="7451" operator="equal">
      <formula>"NA"</formula>
    </cfRule>
    <cfRule type="cellIs" dxfId="6522" priority="7452" operator="equal">
      <formula>"Yes"</formula>
    </cfRule>
  </conditionalFormatting>
  <conditionalFormatting sqref="L6">
    <cfRule type="cellIs" dxfId="6521" priority="7447" operator="equal">
      <formula>"No"</formula>
    </cfRule>
    <cfRule type="cellIs" dxfId="6520" priority="7448" operator="equal">
      <formula>"NA"</formula>
    </cfRule>
    <cfRule type="cellIs" dxfId="6519" priority="7449" operator="equal">
      <formula>"Yes"</formula>
    </cfRule>
  </conditionalFormatting>
  <conditionalFormatting sqref="L7">
    <cfRule type="cellIs" dxfId="6518" priority="7444" operator="equal">
      <formula>"No"</formula>
    </cfRule>
    <cfRule type="cellIs" dxfId="6517" priority="7445" operator="equal">
      <formula>"NA"</formula>
    </cfRule>
    <cfRule type="cellIs" dxfId="6516" priority="7446" operator="equal">
      <formula>"Yes"</formula>
    </cfRule>
  </conditionalFormatting>
  <conditionalFormatting sqref="L9">
    <cfRule type="cellIs" dxfId="6515" priority="7441" operator="equal">
      <formula>"No"</formula>
    </cfRule>
    <cfRule type="cellIs" dxfId="6514" priority="7442" operator="equal">
      <formula>"NA"</formula>
    </cfRule>
    <cfRule type="cellIs" dxfId="6513" priority="7443" operator="equal">
      <formula>"Yes"</formula>
    </cfRule>
  </conditionalFormatting>
  <conditionalFormatting sqref="L11">
    <cfRule type="cellIs" dxfId="6512" priority="7438" operator="equal">
      <formula>"No"</formula>
    </cfRule>
    <cfRule type="cellIs" dxfId="6511" priority="7439" operator="equal">
      <formula>"NA"</formula>
    </cfRule>
    <cfRule type="cellIs" dxfId="6510" priority="7440" operator="equal">
      <formula>"Yes"</formula>
    </cfRule>
  </conditionalFormatting>
  <conditionalFormatting sqref="L12">
    <cfRule type="cellIs" dxfId="6509" priority="7435" operator="equal">
      <formula>"No"</formula>
    </cfRule>
    <cfRule type="cellIs" dxfId="6508" priority="7436" operator="equal">
      <formula>"NA"</formula>
    </cfRule>
    <cfRule type="cellIs" dxfId="6507" priority="7437" operator="equal">
      <formula>"Yes"</formula>
    </cfRule>
  </conditionalFormatting>
  <conditionalFormatting sqref="L13">
    <cfRule type="cellIs" dxfId="6506" priority="7432" operator="equal">
      <formula>"No"</formula>
    </cfRule>
    <cfRule type="cellIs" dxfId="6505" priority="7433" operator="equal">
      <formula>"NA"</formula>
    </cfRule>
    <cfRule type="cellIs" dxfId="6504" priority="7434" operator="equal">
      <formula>"Yes"</formula>
    </cfRule>
  </conditionalFormatting>
  <conditionalFormatting sqref="L14">
    <cfRule type="cellIs" dxfId="6503" priority="7429" operator="equal">
      <formula>"No"</formula>
    </cfRule>
    <cfRule type="cellIs" dxfId="6502" priority="7430" operator="equal">
      <formula>"NA"</formula>
    </cfRule>
    <cfRule type="cellIs" dxfId="6501" priority="7431" operator="equal">
      <formula>"Yes"</formula>
    </cfRule>
  </conditionalFormatting>
  <conditionalFormatting sqref="L15">
    <cfRule type="cellIs" dxfId="6500" priority="7426" operator="equal">
      <formula>"No"</formula>
    </cfRule>
    <cfRule type="cellIs" dxfId="6499" priority="7427" operator="equal">
      <formula>"NA"</formula>
    </cfRule>
    <cfRule type="cellIs" dxfId="6498" priority="7428" operator="equal">
      <formula>"Yes"</formula>
    </cfRule>
  </conditionalFormatting>
  <conditionalFormatting sqref="L16">
    <cfRule type="cellIs" dxfId="6497" priority="7423" operator="equal">
      <formula>"No"</formula>
    </cfRule>
    <cfRule type="cellIs" dxfId="6496" priority="7424" operator="equal">
      <formula>"NA"</formula>
    </cfRule>
    <cfRule type="cellIs" dxfId="6495" priority="7425" operator="equal">
      <formula>"Yes"</formula>
    </cfRule>
  </conditionalFormatting>
  <conditionalFormatting sqref="L18">
    <cfRule type="cellIs" dxfId="6494" priority="7420" operator="equal">
      <formula>"No"</formula>
    </cfRule>
    <cfRule type="cellIs" dxfId="6493" priority="7421" operator="equal">
      <formula>"NA"</formula>
    </cfRule>
    <cfRule type="cellIs" dxfId="6492" priority="7422" operator="equal">
      <formula>"Yes"</formula>
    </cfRule>
  </conditionalFormatting>
  <conditionalFormatting sqref="L19">
    <cfRule type="cellIs" dxfId="6491" priority="7417" operator="equal">
      <formula>"No"</formula>
    </cfRule>
    <cfRule type="cellIs" dxfId="6490" priority="7418" operator="equal">
      <formula>"NA"</formula>
    </cfRule>
    <cfRule type="cellIs" dxfId="6489" priority="7419" operator="equal">
      <formula>"Yes"</formula>
    </cfRule>
  </conditionalFormatting>
  <conditionalFormatting sqref="L20">
    <cfRule type="cellIs" dxfId="6488" priority="7414" operator="equal">
      <formula>"No"</formula>
    </cfRule>
    <cfRule type="cellIs" dxfId="6487" priority="7415" operator="equal">
      <formula>"NA"</formula>
    </cfRule>
    <cfRule type="cellIs" dxfId="6486" priority="7416" operator="equal">
      <formula>"Yes"</formula>
    </cfRule>
  </conditionalFormatting>
  <conditionalFormatting sqref="L21">
    <cfRule type="cellIs" dxfId="6485" priority="7411" operator="equal">
      <formula>"No"</formula>
    </cfRule>
    <cfRule type="cellIs" dxfId="6484" priority="7412" operator="equal">
      <formula>"NA"</formula>
    </cfRule>
    <cfRule type="cellIs" dxfId="6483" priority="7413" operator="equal">
      <formula>"Yes"</formula>
    </cfRule>
  </conditionalFormatting>
  <conditionalFormatting sqref="L22">
    <cfRule type="cellIs" dxfId="6482" priority="7408" operator="equal">
      <formula>"No"</formula>
    </cfRule>
    <cfRule type="cellIs" dxfId="6481" priority="7409" operator="equal">
      <formula>"NA"</formula>
    </cfRule>
    <cfRule type="cellIs" dxfId="6480" priority="7410" operator="equal">
      <formula>"Yes"</formula>
    </cfRule>
  </conditionalFormatting>
  <conditionalFormatting sqref="L23">
    <cfRule type="cellIs" dxfId="6479" priority="7405" operator="equal">
      <formula>"No"</formula>
    </cfRule>
    <cfRule type="cellIs" dxfId="6478" priority="7406" operator="equal">
      <formula>"NA"</formula>
    </cfRule>
    <cfRule type="cellIs" dxfId="6477" priority="7407" operator="equal">
      <formula>"Yes"</formula>
    </cfRule>
  </conditionalFormatting>
  <conditionalFormatting sqref="L25">
    <cfRule type="cellIs" dxfId="6476" priority="7402" operator="equal">
      <formula>"No"</formula>
    </cfRule>
    <cfRule type="cellIs" dxfId="6475" priority="7403" operator="equal">
      <formula>"NA"</formula>
    </cfRule>
    <cfRule type="cellIs" dxfId="6474" priority="7404" operator="equal">
      <formula>"Yes"</formula>
    </cfRule>
  </conditionalFormatting>
  <conditionalFormatting sqref="L26">
    <cfRule type="cellIs" dxfId="6473" priority="7399" operator="equal">
      <formula>"No"</formula>
    </cfRule>
    <cfRule type="cellIs" dxfId="6472" priority="7400" operator="equal">
      <formula>"NA"</formula>
    </cfRule>
    <cfRule type="cellIs" dxfId="6471" priority="7401" operator="equal">
      <formula>"Yes"</formula>
    </cfRule>
  </conditionalFormatting>
  <conditionalFormatting sqref="L27">
    <cfRule type="cellIs" dxfId="6470" priority="7396" operator="equal">
      <formula>"No"</formula>
    </cfRule>
    <cfRule type="cellIs" dxfId="6469" priority="7397" operator="equal">
      <formula>"NA"</formula>
    </cfRule>
    <cfRule type="cellIs" dxfId="6468" priority="7398" operator="equal">
      <formula>"Yes"</formula>
    </cfRule>
  </conditionalFormatting>
  <conditionalFormatting sqref="L28">
    <cfRule type="cellIs" dxfId="6467" priority="7393" operator="equal">
      <formula>"No"</formula>
    </cfRule>
    <cfRule type="cellIs" dxfId="6466" priority="7394" operator="equal">
      <formula>"NA"</formula>
    </cfRule>
    <cfRule type="cellIs" dxfId="6465" priority="7395" operator="equal">
      <formula>"Yes"</formula>
    </cfRule>
  </conditionalFormatting>
  <conditionalFormatting sqref="L30">
    <cfRule type="cellIs" dxfId="6464" priority="7390" operator="equal">
      <formula>"No"</formula>
    </cfRule>
    <cfRule type="cellIs" dxfId="6463" priority="7391" operator="equal">
      <formula>"NA"</formula>
    </cfRule>
    <cfRule type="cellIs" dxfId="6462" priority="7392" operator="equal">
      <formula>"Yes"</formula>
    </cfRule>
  </conditionalFormatting>
  <conditionalFormatting sqref="L31">
    <cfRule type="cellIs" dxfId="6461" priority="7387" operator="equal">
      <formula>"No"</formula>
    </cfRule>
    <cfRule type="cellIs" dxfId="6460" priority="7388" operator="equal">
      <formula>"NA"</formula>
    </cfRule>
    <cfRule type="cellIs" dxfId="6459" priority="7389" operator="equal">
      <formula>"Yes"</formula>
    </cfRule>
  </conditionalFormatting>
  <conditionalFormatting sqref="L33">
    <cfRule type="cellIs" dxfId="6458" priority="7384" operator="equal">
      <formula>"No"</formula>
    </cfRule>
    <cfRule type="cellIs" dxfId="6457" priority="7385" operator="equal">
      <formula>"NA"</formula>
    </cfRule>
    <cfRule type="cellIs" dxfId="6456" priority="7386" operator="equal">
      <formula>"Yes"</formula>
    </cfRule>
  </conditionalFormatting>
  <conditionalFormatting sqref="M17">
    <cfRule type="cellIs" dxfId="6455" priority="7381" operator="equal">
      <formula>"No"</formula>
    </cfRule>
    <cfRule type="cellIs" dxfId="6454" priority="7382" operator="equal">
      <formula>"NA"</formula>
    </cfRule>
    <cfRule type="cellIs" dxfId="6453" priority="7383" operator="equal">
      <formula>"Yes"</formula>
    </cfRule>
  </conditionalFormatting>
  <conditionalFormatting sqref="M6">
    <cfRule type="cellIs" dxfId="6452" priority="7378" operator="equal">
      <formula>"No"</formula>
    </cfRule>
    <cfRule type="cellIs" dxfId="6451" priority="7379" operator="equal">
      <formula>"NA"</formula>
    </cfRule>
    <cfRule type="cellIs" dxfId="6450" priority="7380" operator="equal">
      <formula>"Yes"</formula>
    </cfRule>
  </conditionalFormatting>
  <conditionalFormatting sqref="M7">
    <cfRule type="cellIs" dxfId="6449" priority="7375" operator="equal">
      <formula>"No"</formula>
    </cfRule>
    <cfRule type="cellIs" dxfId="6448" priority="7376" operator="equal">
      <formula>"NA"</formula>
    </cfRule>
    <cfRule type="cellIs" dxfId="6447" priority="7377" operator="equal">
      <formula>"Yes"</formula>
    </cfRule>
  </conditionalFormatting>
  <conditionalFormatting sqref="M9">
    <cfRule type="cellIs" dxfId="6446" priority="7372" operator="equal">
      <formula>"No"</formula>
    </cfRule>
    <cfRule type="cellIs" dxfId="6445" priority="7373" operator="equal">
      <formula>"NA"</formula>
    </cfRule>
    <cfRule type="cellIs" dxfId="6444" priority="7374" operator="equal">
      <formula>"Yes"</formula>
    </cfRule>
  </conditionalFormatting>
  <conditionalFormatting sqref="M11">
    <cfRule type="cellIs" dxfId="6443" priority="7369" operator="equal">
      <formula>"No"</formula>
    </cfRule>
    <cfRule type="cellIs" dxfId="6442" priority="7370" operator="equal">
      <formula>"NA"</formula>
    </cfRule>
    <cfRule type="cellIs" dxfId="6441" priority="7371" operator="equal">
      <formula>"Yes"</formula>
    </cfRule>
  </conditionalFormatting>
  <conditionalFormatting sqref="M12">
    <cfRule type="cellIs" dxfId="6440" priority="7366" operator="equal">
      <formula>"No"</formula>
    </cfRule>
    <cfRule type="cellIs" dxfId="6439" priority="7367" operator="equal">
      <formula>"NA"</formula>
    </cfRule>
    <cfRule type="cellIs" dxfId="6438" priority="7368" operator="equal">
      <formula>"Yes"</formula>
    </cfRule>
  </conditionalFormatting>
  <conditionalFormatting sqref="M13">
    <cfRule type="cellIs" dxfId="6437" priority="7363" operator="equal">
      <formula>"No"</formula>
    </cfRule>
    <cfRule type="cellIs" dxfId="6436" priority="7364" operator="equal">
      <formula>"NA"</formula>
    </cfRule>
    <cfRule type="cellIs" dxfId="6435" priority="7365" operator="equal">
      <formula>"Yes"</formula>
    </cfRule>
  </conditionalFormatting>
  <conditionalFormatting sqref="M14">
    <cfRule type="cellIs" dxfId="6434" priority="7360" operator="equal">
      <formula>"No"</formula>
    </cfRule>
    <cfRule type="cellIs" dxfId="6433" priority="7361" operator="equal">
      <formula>"NA"</formula>
    </cfRule>
    <cfRule type="cellIs" dxfId="6432" priority="7362" operator="equal">
      <formula>"Yes"</formula>
    </cfRule>
  </conditionalFormatting>
  <conditionalFormatting sqref="M15">
    <cfRule type="cellIs" dxfId="6431" priority="7357" operator="equal">
      <formula>"No"</formula>
    </cfRule>
    <cfRule type="cellIs" dxfId="6430" priority="7358" operator="equal">
      <formula>"NA"</formula>
    </cfRule>
    <cfRule type="cellIs" dxfId="6429" priority="7359" operator="equal">
      <formula>"Yes"</formula>
    </cfRule>
  </conditionalFormatting>
  <conditionalFormatting sqref="M16">
    <cfRule type="cellIs" dxfId="6428" priority="7354" operator="equal">
      <formula>"No"</formula>
    </cfRule>
    <cfRule type="cellIs" dxfId="6427" priority="7355" operator="equal">
      <formula>"NA"</formula>
    </cfRule>
    <cfRule type="cellIs" dxfId="6426" priority="7356" operator="equal">
      <formula>"Yes"</formula>
    </cfRule>
  </conditionalFormatting>
  <conditionalFormatting sqref="M18">
    <cfRule type="cellIs" dxfId="6425" priority="7351" operator="equal">
      <formula>"No"</formula>
    </cfRule>
    <cfRule type="cellIs" dxfId="6424" priority="7352" operator="equal">
      <formula>"NA"</formula>
    </cfRule>
    <cfRule type="cellIs" dxfId="6423" priority="7353" operator="equal">
      <formula>"Yes"</formula>
    </cfRule>
  </conditionalFormatting>
  <conditionalFormatting sqref="M19">
    <cfRule type="cellIs" dxfId="6422" priority="7348" operator="equal">
      <formula>"No"</formula>
    </cfRule>
    <cfRule type="cellIs" dxfId="6421" priority="7349" operator="equal">
      <formula>"NA"</formula>
    </cfRule>
    <cfRule type="cellIs" dxfId="6420" priority="7350" operator="equal">
      <formula>"Yes"</formula>
    </cfRule>
  </conditionalFormatting>
  <conditionalFormatting sqref="M20">
    <cfRule type="cellIs" dxfId="6419" priority="7345" operator="equal">
      <formula>"No"</formula>
    </cfRule>
    <cfRule type="cellIs" dxfId="6418" priority="7346" operator="equal">
      <formula>"NA"</formula>
    </cfRule>
    <cfRule type="cellIs" dxfId="6417" priority="7347" operator="equal">
      <formula>"Yes"</formula>
    </cfRule>
  </conditionalFormatting>
  <conditionalFormatting sqref="M21">
    <cfRule type="cellIs" dxfId="6416" priority="7342" operator="equal">
      <formula>"No"</formula>
    </cfRule>
    <cfRule type="cellIs" dxfId="6415" priority="7343" operator="equal">
      <formula>"NA"</formula>
    </cfRule>
    <cfRule type="cellIs" dxfId="6414" priority="7344" operator="equal">
      <formula>"Yes"</formula>
    </cfRule>
  </conditionalFormatting>
  <conditionalFormatting sqref="M22">
    <cfRule type="cellIs" dxfId="6413" priority="7339" operator="equal">
      <formula>"No"</formula>
    </cfRule>
    <cfRule type="cellIs" dxfId="6412" priority="7340" operator="equal">
      <formula>"NA"</formula>
    </cfRule>
    <cfRule type="cellIs" dxfId="6411" priority="7341" operator="equal">
      <formula>"Yes"</formula>
    </cfRule>
  </conditionalFormatting>
  <conditionalFormatting sqref="M23">
    <cfRule type="cellIs" dxfId="6410" priority="7336" operator="equal">
      <formula>"No"</formula>
    </cfRule>
    <cfRule type="cellIs" dxfId="6409" priority="7337" operator="equal">
      <formula>"NA"</formula>
    </cfRule>
    <cfRule type="cellIs" dxfId="6408" priority="7338" operator="equal">
      <formula>"Yes"</formula>
    </cfRule>
  </conditionalFormatting>
  <conditionalFormatting sqref="M25">
    <cfRule type="cellIs" dxfId="6407" priority="7333" operator="equal">
      <formula>"No"</formula>
    </cfRule>
    <cfRule type="cellIs" dxfId="6406" priority="7334" operator="equal">
      <formula>"NA"</formula>
    </cfRule>
    <cfRule type="cellIs" dxfId="6405" priority="7335" operator="equal">
      <formula>"Yes"</formula>
    </cfRule>
  </conditionalFormatting>
  <conditionalFormatting sqref="M26:N26">
    <cfRule type="cellIs" dxfId="6404" priority="7330" operator="equal">
      <formula>"No"</formula>
    </cfRule>
    <cfRule type="cellIs" dxfId="6403" priority="7331" operator="equal">
      <formula>"NA"</formula>
    </cfRule>
    <cfRule type="cellIs" dxfId="6402" priority="7332" operator="equal">
      <formula>"Yes"</formula>
    </cfRule>
  </conditionalFormatting>
  <conditionalFormatting sqref="M27">
    <cfRule type="cellIs" dxfId="6401" priority="7327" operator="equal">
      <formula>"No"</formula>
    </cfRule>
    <cfRule type="cellIs" dxfId="6400" priority="7328" operator="equal">
      <formula>"NA"</formula>
    </cfRule>
    <cfRule type="cellIs" dxfId="6399" priority="7329" operator="equal">
      <formula>"Yes"</formula>
    </cfRule>
  </conditionalFormatting>
  <conditionalFormatting sqref="M28">
    <cfRule type="cellIs" dxfId="6398" priority="7324" operator="equal">
      <formula>"No"</formula>
    </cfRule>
    <cfRule type="cellIs" dxfId="6397" priority="7325" operator="equal">
      <formula>"NA"</formula>
    </cfRule>
    <cfRule type="cellIs" dxfId="6396" priority="7326" operator="equal">
      <formula>"Yes"</formula>
    </cfRule>
  </conditionalFormatting>
  <conditionalFormatting sqref="M30">
    <cfRule type="cellIs" dxfId="6395" priority="7321" operator="equal">
      <formula>"No"</formula>
    </cfRule>
    <cfRule type="cellIs" dxfId="6394" priority="7322" operator="equal">
      <formula>"NA"</formula>
    </cfRule>
    <cfRule type="cellIs" dxfId="6393" priority="7323" operator="equal">
      <formula>"Yes"</formula>
    </cfRule>
  </conditionalFormatting>
  <conditionalFormatting sqref="M31">
    <cfRule type="cellIs" dxfId="6392" priority="7318" operator="equal">
      <formula>"No"</formula>
    </cfRule>
    <cfRule type="cellIs" dxfId="6391" priority="7319" operator="equal">
      <formula>"NA"</formula>
    </cfRule>
    <cfRule type="cellIs" dxfId="6390" priority="7320" operator="equal">
      <formula>"Yes"</formula>
    </cfRule>
  </conditionalFormatting>
  <conditionalFormatting sqref="M33:N33">
    <cfRule type="cellIs" dxfId="6389" priority="7315" operator="equal">
      <formula>"No"</formula>
    </cfRule>
    <cfRule type="cellIs" dxfId="6388" priority="7316" operator="equal">
      <formula>"NA"</formula>
    </cfRule>
    <cfRule type="cellIs" dxfId="6387" priority="7317" operator="equal">
      <formula>"Yes"</formula>
    </cfRule>
  </conditionalFormatting>
  <conditionalFormatting sqref="N17">
    <cfRule type="cellIs" dxfId="6386" priority="7306" operator="equal">
      <formula>"No"</formula>
    </cfRule>
    <cfRule type="cellIs" dxfId="6385" priority="7307" operator="equal">
      <formula>"NA"</formula>
    </cfRule>
    <cfRule type="cellIs" dxfId="6384" priority="7308" operator="equal">
      <formula>"Yes"</formula>
    </cfRule>
  </conditionalFormatting>
  <conditionalFormatting sqref="N7">
    <cfRule type="cellIs" dxfId="6383" priority="7294" operator="equal">
      <formula>"No"</formula>
    </cfRule>
    <cfRule type="cellIs" dxfId="6382" priority="7295" operator="equal">
      <formula>"NA"</formula>
    </cfRule>
    <cfRule type="cellIs" dxfId="6381" priority="7296" operator="equal">
      <formula>"Yes"</formula>
    </cfRule>
  </conditionalFormatting>
  <conditionalFormatting sqref="N9">
    <cfRule type="cellIs" dxfId="6380" priority="7291" operator="equal">
      <formula>"No"</formula>
    </cfRule>
    <cfRule type="cellIs" dxfId="6379" priority="7292" operator="equal">
      <formula>"NA"</formula>
    </cfRule>
    <cfRule type="cellIs" dxfId="6378" priority="7293" operator="equal">
      <formula>"Yes"</formula>
    </cfRule>
  </conditionalFormatting>
  <conditionalFormatting sqref="N10">
    <cfRule type="cellIs" dxfId="6377" priority="7288" operator="equal">
      <formula>"No"</formula>
    </cfRule>
    <cfRule type="cellIs" dxfId="6376" priority="7289" operator="equal">
      <formula>"NA"</formula>
    </cfRule>
    <cfRule type="cellIs" dxfId="6375" priority="7290" operator="equal">
      <formula>"Yes"</formula>
    </cfRule>
  </conditionalFormatting>
  <conditionalFormatting sqref="N11">
    <cfRule type="cellIs" dxfId="6374" priority="7285" operator="equal">
      <formula>"No"</formula>
    </cfRule>
    <cfRule type="cellIs" dxfId="6373" priority="7286" operator="equal">
      <formula>"NA"</formula>
    </cfRule>
    <cfRule type="cellIs" dxfId="6372" priority="7287" operator="equal">
      <formula>"Yes"</formula>
    </cfRule>
  </conditionalFormatting>
  <conditionalFormatting sqref="N14">
    <cfRule type="cellIs" dxfId="6371" priority="7282" operator="equal">
      <formula>"No"</formula>
    </cfRule>
    <cfRule type="cellIs" dxfId="6370" priority="7283" operator="equal">
      <formula>"NA"</formula>
    </cfRule>
    <cfRule type="cellIs" dxfId="6369" priority="7284" operator="equal">
      <formula>"Yes"</formula>
    </cfRule>
  </conditionalFormatting>
  <conditionalFormatting sqref="N12">
    <cfRule type="cellIs" dxfId="6368" priority="7279" operator="equal">
      <formula>"No"</formula>
    </cfRule>
    <cfRule type="cellIs" dxfId="6367" priority="7280" operator="equal">
      <formula>"NA"</formula>
    </cfRule>
    <cfRule type="cellIs" dxfId="6366" priority="7281" operator="equal">
      <formula>"Yes"</formula>
    </cfRule>
  </conditionalFormatting>
  <conditionalFormatting sqref="N13">
    <cfRule type="cellIs" dxfId="6365" priority="7276" operator="equal">
      <formula>"No"</formula>
    </cfRule>
    <cfRule type="cellIs" dxfId="6364" priority="7277" operator="equal">
      <formula>"NA"</formula>
    </cfRule>
    <cfRule type="cellIs" dxfId="6363" priority="7278" operator="equal">
      <formula>"Yes"</formula>
    </cfRule>
  </conditionalFormatting>
  <conditionalFormatting sqref="N15">
    <cfRule type="cellIs" dxfId="6362" priority="7273" operator="equal">
      <formula>"No"</formula>
    </cfRule>
    <cfRule type="cellIs" dxfId="6361" priority="7274" operator="equal">
      <formula>"NA"</formula>
    </cfRule>
    <cfRule type="cellIs" dxfId="6360" priority="7275" operator="equal">
      <formula>"Yes"</formula>
    </cfRule>
  </conditionalFormatting>
  <conditionalFormatting sqref="N16">
    <cfRule type="cellIs" dxfId="6359" priority="7270" operator="equal">
      <formula>"No"</formula>
    </cfRule>
    <cfRule type="cellIs" dxfId="6358" priority="7271" operator="equal">
      <formula>"NA"</formula>
    </cfRule>
    <cfRule type="cellIs" dxfId="6357" priority="7272" operator="equal">
      <formula>"Yes"</formula>
    </cfRule>
  </conditionalFormatting>
  <conditionalFormatting sqref="N18">
    <cfRule type="cellIs" dxfId="6356" priority="7267" operator="equal">
      <formula>"No"</formula>
    </cfRule>
    <cfRule type="cellIs" dxfId="6355" priority="7268" operator="equal">
      <formula>"NA"</formula>
    </cfRule>
    <cfRule type="cellIs" dxfId="6354" priority="7269" operator="equal">
      <formula>"Yes"</formula>
    </cfRule>
  </conditionalFormatting>
  <conditionalFormatting sqref="N19">
    <cfRule type="cellIs" dxfId="6353" priority="7264" operator="equal">
      <formula>"No"</formula>
    </cfRule>
    <cfRule type="cellIs" dxfId="6352" priority="7265" operator="equal">
      <formula>"NA"</formula>
    </cfRule>
    <cfRule type="cellIs" dxfId="6351" priority="7266" operator="equal">
      <formula>"Yes"</formula>
    </cfRule>
  </conditionalFormatting>
  <conditionalFormatting sqref="N20">
    <cfRule type="cellIs" dxfId="6350" priority="7261" operator="equal">
      <formula>"No"</formula>
    </cfRule>
    <cfRule type="cellIs" dxfId="6349" priority="7262" operator="equal">
      <formula>"NA"</formula>
    </cfRule>
    <cfRule type="cellIs" dxfId="6348" priority="7263" operator="equal">
      <formula>"Yes"</formula>
    </cfRule>
  </conditionalFormatting>
  <conditionalFormatting sqref="N21">
    <cfRule type="cellIs" dxfId="6347" priority="7258" operator="equal">
      <formula>"No"</formula>
    </cfRule>
    <cfRule type="cellIs" dxfId="6346" priority="7259" operator="equal">
      <formula>"NA"</formula>
    </cfRule>
    <cfRule type="cellIs" dxfId="6345" priority="7260" operator="equal">
      <formula>"Yes"</formula>
    </cfRule>
  </conditionalFormatting>
  <conditionalFormatting sqref="N22">
    <cfRule type="cellIs" dxfId="6344" priority="7255" operator="equal">
      <formula>"No"</formula>
    </cfRule>
    <cfRule type="cellIs" dxfId="6343" priority="7256" operator="equal">
      <formula>"NA"</formula>
    </cfRule>
    <cfRule type="cellIs" dxfId="6342" priority="7257" operator="equal">
      <formula>"Yes"</formula>
    </cfRule>
  </conditionalFormatting>
  <conditionalFormatting sqref="N23">
    <cfRule type="cellIs" dxfId="6341" priority="7252" operator="equal">
      <formula>"No"</formula>
    </cfRule>
    <cfRule type="cellIs" dxfId="6340" priority="7253" operator="equal">
      <formula>"NA"</formula>
    </cfRule>
    <cfRule type="cellIs" dxfId="6339" priority="7254" operator="equal">
      <formula>"Yes"</formula>
    </cfRule>
  </conditionalFormatting>
  <conditionalFormatting sqref="N25">
    <cfRule type="cellIs" dxfId="6338" priority="7246" operator="equal">
      <formula>"No"</formula>
    </cfRule>
    <cfRule type="cellIs" dxfId="6337" priority="7247" operator="equal">
      <formula>"NA"</formula>
    </cfRule>
    <cfRule type="cellIs" dxfId="6336" priority="7248" operator="equal">
      <formula>"Yes"</formula>
    </cfRule>
  </conditionalFormatting>
  <conditionalFormatting sqref="N27">
    <cfRule type="cellIs" dxfId="6335" priority="7243" operator="equal">
      <formula>"No"</formula>
    </cfRule>
    <cfRule type="cellIs" dxfId="6334" priority="7244" operator="equal">
      <formula>"NA"</formula>
    </cfRule>
    <cfRule type="cellIs" dxfId="6333" priority="7245" operator="equal">
      <formula>"Yes"</formula>
    </cfRule>
  </conditionalFormatting>
  <conditionalFormatting sqref="N28">
    <cfRule type="cellIs" dxfId="6332" priority="7240" operator="equal">
      <formula>"No"</formula>
    </cfRule>
    <cfRule type="cellIs" dxfId="6331" priority="7241" operator="equal">
      <formula>"NA"</formula>
    </cfRule>
    <cfRule type="cellIs" dxfId="6330" priority="7242" operator="equal">
      <formula>"Yes"</formula>
    </cfRule>
  </conditionalFormatting>
  <conditionalFormatting sqref="N30">
    <cfRule type="cellIs" dxfId="6329" priority="7237" operator="equal">
      <formula>"No"</formula>
    </cfRule>
    <cfRule type="cellIs" dxfId="6328" priority="7238" operator="equal">
      <formula>"NA"</formula>
    </cfRule>
    <cfRule type="cellIs" dxfId="6327" priority="7239" operator="equal">
      <formula>"Yes"</formula>
    </cfRule>
  </conditionalFormatting>
  <conditionalFormatting sqref="N31">
    <cfRule type="cellIs" dxfId="6326" priority="7234" operator="equal">
      <formula>"No"</formula>
    </cfRule>
    <cfRule type="cellIs" dxfId="6325" priority="7235" operator="equal">
      <formula>"NA"</formula>
    </cfRule>
    <cfRule type="cellIs" dxfId="6324" priority="7236" operator="equal">
      <formula>"Yes"</formula>
    </cfRule>
  </conditionalFormatting>
  <conditionalFormatting sqref="N6">
    <cfRule type="cellIs" dxfId="6323" priority="7231" operator="equal">
      <formula>"No"</formula>
    </cfRule>
    <cfRule type="cellIs" dxfId="6322" priority="7232" operator="equal">
      <formula>"NA"</formula>
    </cfRule>
    <cfRule type="cellIs" dxfId="6321" priority="7233" operator="equal">
      <formula>"Yes"</formula>
    </cfRule>
  </conditionalFormatting>
  <conditionalFormatting sqref="O17">
    <cfRule type="cellIs" dxfId="6320" priority="7159" operator="equal">
      <formula>"No"</formula>
    </cfRule>
    <cfRule type="cellIs" dxfId="6319" priority="7160" operator="equal">
      <formula>"NA"</formula>
    </cfRule>
    <cfRule type="cellIs" dxfId="6318" priority="7161" operator="equal">
      <formula>"Yes"</formula>
    </cfRule>
  </conditionalFormatting>
  <conditionalFormatting sqref="O6">
    <cfRule type="cellIs" dxfId="6317" priority="7153" operator="equal">
      <formula>"No"</formula>
    </cfRule>
    <cfRule type="cellIs" dxfId="6316" priority="7154" operator="equal">
      <formula>"NA"</formula>
    </cfRule>
    <cfRule type="cellIs" dxfId="6315" priority="7155" operator="equal">
      <formula>"Yes"</formula>
    </cfRule>
  </conditionalFormatting>
  <conditionalFormatting sqref="O7">
    <cfRule type="cellIs" dxfId="6314" priority="7150" operator="equal">
      <formula>"No"</formula>
    </cfRule>
    <cfRule type="cellIs" dxfId="6313" priority="7151" operator="equal">
      <formula>"NA"</formula>
    </cfRule>
    <cfRule type="cellIs" dxfId="6312" priority="7152" operator="equal">
      <formula>"Yes"</formula>
    </cfRule>
  </conditionalFormatting>
  <conditionalFormatting sqref="O9">
    <cfRule type="cellIs" dxfId="6311" priority="7147" operator="equal">
      <formula>"No"</formula>
    </cfRule>
    <cfRule type="cellIs" dxfId="6310" priority="7148" operator="equal">
      <formula>"NA"</formula>
    </cfRule>
    <cfRule type="cellIs" dxfId="6309" priority="7149" operator="equal">
      <formula>"Yes"</formula>
    </cfRule>
  </conditionalFormatting>
  <conditionalFormatting sqref="O10">
    <cfRule type="cellIs" dxfId="6308" priority="7144" operator="equal">
      <formula>"No"</formula>
    </cfRule>
    <cfRule type="cellIs" dxfId="6307" priority="7145" operator="equal">
      <formula>"NA"</formula>
    </cfRule>
    <cfRule type="cellIs" dxfId="6306" priority="7146" operator="equal">
      <formula>"Yes"</formula>
    </cfRule>
  </conditionalFormatting>
  <conditionalFormatting sqref="O11">
    <cfRule type="cellIs" dxfId="6305" priority="7141" operator="equal">
      <formula>"No"</formula>
    </cfRule>
    <cfRule type="cellIs" dxfId="6304" priority="7142" operator="equal">
      <formula>"NA"</formula>
    </cfRule>
    <cfRule type="cellIs" dxfId="6303" priority="7143" operator="equal">
      <formula>"Yes"</formula>
    </cfRule>
  </conditionalFormatting>
  <conditionalFormatting sqref="O12">
    <cfRule type="cellIs" dxfId="6302" priority="7138" operator="equal">
      <formula>"No"</formula>
    </cfRule>
    <cfRule type="cellIs" dxfId="6301" priority="7139" operator="equal">
      <formula>"NA"</formula>
    </cfRule>
    <cfRule type="cellIs" dxfId="6300" priority="7140" operator="equal">
      <formula>"Yes"</formula>
    </cfRule>
  </conditionalFormatting>
  <conditionalFormatting sqref="O13">
    <cfRule type="cellIs" dxfId="6299" priority="7135" operator="equal">
      <formula>"No"</formula>
    </cfRule>
    <cfRule type="cellIs" dxfId="6298" priority="7136" operator="equal">
      <formula>"NA"</formula>
    </cfRule>
    <cfRule type="cellIs" dxfId="6297" priority="7137" operator="equal">
      <formula>"Yes"</formula>
    </cfRule>
  </conditionalFormatting>
  <conditionalFormatting sqref="O15">
    <cfRule type="cellIs" dxfId="6296" priority="7132" operator="equal">
      <formula>"No"</formula>
    </cfRule>
    <cfRule type="cellIs" dxfId="6295" priority="7133" operator="equal">
      <formula>"NA"</formula>
    </cfRule>
    <cfRule type="cellIs" dxfId="6294" priority="7134" operator="equal">
      <formula>"Yes"</formula>
    </cfRule>
  </conditionalFormatting>
  <conditionalFormatting sqref="O16">
    <cfRule type="cellIs" dxfId="6293" priority="7129" operator="equal">
      <formula>"No"</formula>
    </cfRule>
    <cfRule type="cellIs" dxfId="6292" priority="7130" operator="equal">
      <formula>"NA"</formula>
    </cfRule>
    <cfRule type="cellIs" dxfId="6291" priority="7131" operator="equal">
      <formula>"Yes"</formula>
    </cfRule>
  </conditionalFormatting>
  <conditionalFormatting sqref="O18">
    <cfRule type="cellIs" dxfId="6290" priority="7126" operator="equal">
      <formula>"No"</formula>
    </cfRule>
    <cfRule type="cellIs" dxfId="6289" priority="7127" operator="equal">
      <formula>"NA"</formula>
    </cfRule>
    <cfRule type="cellIs" dxfId="6288" priority="7128" operator="equal">
      <formula>"Yes"</formula>
    </cfRule>
  </conditionalFormatting>
  <conditionalFormatting sqref="O19">
    <cfRule type="cellIs" dxfId="6287" priority="7123" operator="equal">
      <formula>"No"</formula>
    </cfRule>
    <cfRule type="cellIs" dxfId="6286" priority="7124" operator="equal">
      <formula>"NA"</formula>
    </cfRule>
    <cfRule type="cellIs" dxfId="6285" priority="7125" operator="equal">
      <formula>"Yes"</formula>
    </cfRule>
  </conditionalFormatting>
  <conditionalFormatting sqref="O20">
    <cfRule type="cellIs" dxfId="6284" priority="7120" operator="equal">
      <formula>"No"</formula>
    </cfRule>
    <cfRule type="cellIs" dxfId="6283" priority="7121" operator="equal">
      <formula>"NA"</formula>
    </cfRule>
    <cfRule type="cellIs" dxfId="6282" priority="7122" operator="equal">
      <formula>"Yes"</formula>
    </cfRule>
  </conditionalFormatting>
  <conditionalFormatting sqref="O21">
    <cfRule type="cellIs" dxfId="6281" priority="7117" operator="equal">
      <formula>"No"</formula>
    </cfRule>
    <cfRule type="cellIs" dxfId="6280" priority="7118" operator="equal">
      <formula>"NA"</formula>
    </cfRule>
    <cfRule type="cellIs" dxfId="6279" priority="7119" operator="equal">
      <formula>"Yes"</formula>
    </cfRule>
  </conditionalFormatting>
  <conditionalFormatting sqref="O22">
    <cfRule type="cellIs" dxfId="6278" priority="7114" operator="equal">
      <formula>"No"</formula>
    </cfRule>
    <cfRule type="cellIs" dxfId="6277" priority="7115" operator="equal">
      <formula>"NA"</formula>
    </cfRule>
    <cfRule type="cellIs" dxfId="6276" priority="7116" operator="equal">
      <formula>"Yes"</formula>
    </cfRule>
  </conditionalFormatting>
  <conditionalFormatting sqref="O23">
    <cfRule type="cellIs" dxfId="6275" priority="7111" operator="equal">
      <formula>"No"</formula>
    </cfRule>
    <cfRule type="cellIs" dxfId="6274" priority="7112" operator="equal">
      <formula>"NA"</formula>
    </cfRule>
    <cfRule type="cellIs" dxfId="6273" priority="7113" operator="equal">
      <formula>"Yes"</formula>
    </cfRule>
  </conditionalFormatting>
  <conditionalFormatting sqref="O26">
    <cfRule type="cellIs" dxfId="6272" priority="7108" operator="equal">
      <formula>"No"</formula>
    </cfRule>
    <cfRule type="cellIs" dxfId="6271" priority="7109" operator="equal">
      <formula>"NA"</formula>
    </cfRule>
    <cfRule type="cellIs" dxfId="6270" priority="7110" operator="equal">
      <formula>"Yes"</formula>
    </cfRule>
  </conditionalFormatting>
  <conditionalFormatting sqref="O33">
    <cfRule type="cellIs" dxfId="6269" priority="7105" operator="equal">
      <formula>"No"</formula>
    </cfRule>
    <cfRule type="cellIs" dxfId="6268" priority="7106" operator="equal">
      <formula>"NA"</formula>
    </cfRule>
    <cfRule type="cellIs" dxfId="6267" priority="7107" operator="equal">
      <formula>"Yes"</formula>
    </cfRule>
  </conditionalFormatting>
  <conditionalFormatting sqref="O25">
    <cfRule type="cellIs" dxfId="6266" priority="7102" operator="equal">
      <formula>"No"</formula>
    </cfRule>
    <cfRule type="cellIs" dxfId="6265" priority="7103" operator="equal">
      <formula>"NA"</formula>
    </cfRule>
    <cfRule type="cellIs" dxfId="6264" priority="7104" operator="equal">
      <formula>"Yes"</formula>
    </cfRule>
  </conditionalFormatting>
  <conditionalFormatting sqref="O27">
    <cfRule type="cellIs" dxfId="6263" priority="7099" operator="equal">
      <formula>"No"</formula>
    </cfRule>
    <cfRule type="cellIs" dxfId="6262" priority="7100" operator="equal">
      <formula>"NA"</formula>
    </cfRule>
    <cfRule type="cellIs" dxfId="6261" priority="7101" operator="equal">
      <formula>"Yes"</formula>
    </cfRule>
  </conditionalFormatting>
  <conditionalFormatting sqref="O28">
    <cfRule type="cellIs" dxfId="6260" priority="7096" operator="equal">
      <formula>"No"</formula>
    </cfRule>
    <cfRule type="cellIs" dxfId="6259" priority="7097" operator="equal">
      <formula>"NA"</formula>
    </cfRule>
    <cfRule type="cellIs" dxfId="6258" priority="7098" operator="equal">
      <formula>"Yes"</formula>
    </cfRule>
  </conditionalFormatting>
  <conditionalFormatting sqref="O30">
    <cfRule type="cellIs" dxfId="6257" priority="7093" operator="equal">
      <formula>"No"</formula>
    </cfRule>
    <cfRule type="cellIs" dxfId="6256" priority="7094" operator="equal">
      <formula>"NA"</formula>
    </cfRule>
    <cfRule type="cellIs" dxfId="6255" priority="7095" operator="equal">
      <formula>"Yes"</formula>
    </cfRule>
  </conditionalFormatting>
  <conditionalFormatting sqref="O31">
    <cfRule type="cellIs" dxfId="6254" priority="7090" operator="equal">
      <formula>"No"</formula>
    </cfRule>
    <cfRule type="cellIs" dxfId="6253" priority="7091" operator="equal">
      <formula>"NA"</formula>
    </cfRule>
    <cfRule type="cellIs" dxfId="6252" priority="7092" operator="equal">
      <formula>"Yes"</formula>
    </cfRule>
  </conditionalFormatting>
  <conditionalFormatting sqref="Q33">
    <cfRule type="cellIs" dxfId="6251" priority="7018" operator="equal">
      <formula>"No"</formula>
    </cfRule>
    <cfRule type="cellIs" dxfId="6250" priority="7019" operator="equal">
      <formula>"NA"</formula>
    </cfRule>
    <cfRule type="cellIs" dxfId="6249" priority="7020" operator="equal">
      <formula>"Yes"</formula>
    </cfRule>
  </conditionalFormatting>
  <conditionalFormatting sqref="Q10">
    <cfRule type="cellIs" dxfId="6248" priority="7015" operator="equal">
      <formula>"No"</formula>
    </cfRule>
    <cfRule type="cellIs" dxfId="6247" priority="7016" operator="equal">
      <formula>"NA"</formula>
    </cfRule>
    <cfRule type="cellIs" dxfId="6246" priority="7017" operator="equal">
      <formula>"Yes"</formula>
    </cfRule>
  </conditionalFormatting>
  <conditionalFormatting sqref="Q6">
    <cfRule type="cellIs" dxfId="6245" priority="7012" operator="equal">
      <formula>"No"</formula>
    </cfRule>
    <cfRule type="cellIs" dxfId="6244" priority="7013" operator="equal">
      <formula>"NA"</formula>
    </cfRule>
    <cfRule type="cellIs" dxfId="6243" priority="7014" operator="equal">
      <formula>"Yes"</formula>
    </cfRule>
  </conditionalFormatting>
  <conditionalFormatting sqref="Q7">
    <cfRule type="cellIs" dxfId="6242" priority="7009" operator="equal">
      <formula>"No"</formula>
    </cfRule>
    <cfRule type="cellIs" dxfId="6241" priority="7010" operator="equal">
      <formula>"NA"</formula>
    </cfRule>
    <cfRule type="cellIs" dxfId="6240" priority="7011" operator="equal">
      <formula>"Yes"</formula>
    </cfRule>
  </conditionalFormatting>
  <conditionalFormatting sqref="Q9">
    <cfRule type="cellIs" dxfId="6239" priority="7006" operator="equal">
      <formula>"No"</formula>
    </cfRule>
    <cfRule type="cellIs" dxfId="6238" priority="7007" operator="equal">
      <formula>"NA"</formula>
    </cfRule>
    <cfRule type="cellIs" dxfId="6237" priority="7008" operator="equal">
      <formula>"Yes"</formula>
    </cfRule>
  </conditionalFormatting>
  <conditionalFormatting sqref="Q11">
    <cfRule type="cellIs" dxfId="6236" priority="7003" operator="equal">
      <formula>"No"</formula>
    </cfRule>
    <cfRule type="cellIs" dxfId="6235" priority="7004" operator="equal">
      <formula>"NA"</formula>
    </cfRule>
    <cfRule type="cellIs" dxfId="6234" priority="7005" operator="equal">
      <formula>"Yes"</formula>
    </cfRule>
  </conditionalFormatting>
  <conditionalFormatting sqref="Q12">
    <cfRule type="cellIs" dxfId="6233" priority="7000" operator="equal">
      <formula>"No"</formula>
    </cfRule>
    <cfRule type="cellIs" dxfId="6232" priority="7001" operator="equal">
      <formula>"NA"</formula>
    </cfRule>
    <cfRule type="cellIs" dxfId="6231" priority="7002" operator="equal">
      <formula>"Yes"</formula>
    </cfRule>
  </conditionalFormatting>
  <conditionalFormatting sqref="O14">
    <cfRule type="cellIs" dxfId="6230" priority="6994" operator="equal">
      <formula>"No"</formula>
    </cfRule>
    <cfRule type="cellIs" dxfId="6229" priority="6995" operator="equal">
      <formula>"NA"</formula>
    </cfRule>
    <cfRule type="cellIs" dxfId="6228" priority="6996" operator="equal">
      <formula>"Yes"</formula>
    </cfRule>
  </conditionalFormatting>
  <conditionalFormatting sqref="Q14">
    <cfRule type="cellIs" dxfId="6227" priority="6991" operator="equal">
      <formula>"No"</formula>
    </cfRule>
    <cfRule type="cellIs" dxfId="6226" priority="6992" operator="equal">
      <formula>"NA"</formula>
    </cfRule>
    <cfRule type="cellIs" dxfId="6225" priority="6993" operator="equal">
      <formula>"Yes"</formula>
    </cfRule>
  </conditionalFormatting>
  <conditionalFormatting sqref="Q16">
    <cfRule type="cellIs" dxfId="6224" priority="6982" operator="equal">
      <formula>"No"</formula>
    </cfRule>
    <cfRule type="cellIs" dxfId="6223" priority="6983" operator="equal">
      <formula>"NA"</formula>
    </cfRule>
    <cfRule type="cellIs" dxfId="6222" priority="6984" operator="equal">
      <formula>"Yes"</formula>
    </cfRule>
  </conditionalFormatting>
  <conditionalFormatting sqref="Q18">
    <cfRule type="cellIs" dxfId="6221" priority="6979" operator="equal">
      <formula>"No"</formula>
    </cfRule>
    <cfRule type="cellIs" dxfId="6220" priority="6980" operator="equal">
      <formula>"NA"</formula>
    </cfRule>
    <cfRule type="cellIs" dxfId="6219" priority="6981" operator="equal">
      <formula>"Yes"</formula>
    </cfRule>
  </conditionalFormatting>
  <conditionalFormatting sqref="Q19">
    <cfRule type="cellIs" dxfId="6218" priority="6976" operator="equal">
      <formula>"No"</formula>
    </cfRule>
    <cfRule type="cellIs" dxfId="6217" priority="6977" operator="equal">
      <formula>"NA"</formula>
    </cfRule>
    <cfRule type="cellIs" dxfId="6216" priority="6978" operator="equal">
      <formula>"Yes"</formula>
    </cfRule>
  </conditionalFormatting>
  <conditionalFormatting sqref="Q20">
    <cfRule type="cellIs" dxfId="6215" priority="6973" operator="equal">
      <formula>"No"</formula>
    </cfRule>
    <cfRule type="cellIs" dxfId="6214" priority="6974" operator="equal">
      <formula>"NA"</formula>
    </cfRule>
    <cfRule type="cellIs" dxfId="6213" priority="6975" operator="equal">
      <formula>"Yes"</formula>
    </cfRule>
  </conditionalFormatting>
  <conditionalFormatting sqref="Q21">
    <cfRule type="cellIs" dxfId="6212" priority="6970" operator="equal">
      <formula>"No"</formula>
    </cfRule>
    <cfRule type="cellIs" dxfId="6211" priority="6971" operator="equal">
      <formula>"NA"</formula>
    </cfRule>
    <cfRule type="cellIs" dxfId="6210" priority="6972" operator="equal">
      <formula>"Yes"</formula>
    </cfRule>
  </conditionalFormatting>
  <conditionalFormatting sqref="Q22">
    <cfRule type="cellIs" dxfId="6209" priority="6967" operator="equal">
      <formula>"No"</formula>
    </cfRule>
    <cfRule type="cellIs" dxfId="6208" priority="6968" operator="equal">
      <formula>"NA"</formula>
    </cfRule>
    <cfRule type="cellIs" dxfId="6207" priority="6969" operator="equal">
      <formula>"Yes"</formula>
    </cfRule>
  </conditionalFormatting>
  <conditionalFormatting sqref="Q23">
    <cfRule type="cellIs" dxfId="6206" priority="6964" operator="equal">
      <formula>"No"</formula>
    </cfRule>
    <cfRule type="cellIs" dxfId="6205" priority="6965" operator="equal">
      <formula>"NA"</formula>
    </cfRule>
    <cfRule type="cellIs" dxfId="6204" priority="6966" operator="equal">
      <formula>"Yes"</formula>
    </cfRule>
  </conditionalFormatting>
  <conditionalFormatting sqref="Q26">
    <cfRule type="cellIs" dxfId="6203" priority="6958" operator="equal">
      <formula>"No"</formula>
    </cfRule>
    <cfRule type="cellIs" dxfId="6202" priority="6959" operator="equal">
      <formula>"NA"</formula>
    </cfRule>
    <cfRule type="cellIs" dxfId="6201" priority="6960" operator="equal">
      <formula>"Yes"</formula>
    </cfRule>
  </conditionalFormatting>
  <conditionalFormatting sqref="Q27">
    <cfRule type="cellIs" dxfId="6200" priority="6955" operator="equal">
      <formula>"No"</formula>
    </cfRule>
    <cfRule type="cellIs" dxfId="6199" priority="6956" operator="equal">
      <formula>"NA"</formula>
    </cfRule>
    <cfRule type="cellIs" dxfId="6198" priority="6957" operator="equal">
      <formula>"Yes"</formula>
    </cfRule>
  </conditionalFormatting>
  <conditionalFormatting sqref="Q28">
    <cfRule type="cellIs" dxfId="6197" priority="6952" operator="equal">
      <formula>"No"</formula>
    </cfRule>
    <cfRule type="cellIs" dxfId="6196" priority="6953" operator="equal">
      <formula>"NA"</formula>
    </cfRule>
    <cfRule type="cellIs" dxfId="6195" priority="6954" operator="equal">
      <formula>"Yes"</formula>
    </cfRule>
  </conditionalFormatting>
  <conditionalFormatting sqref="Q30">
    <cfRule type="cellIs" dxfId="6194" priority="6949" operator="equal">
      <formula>"No"</formula>
    </cfRule>
    <cfRule type="cellIs" dxfId="6193" priority="6950" operator="equal">
      <formula>"NA"</formula>
    </cfRule>
    <cfRule type="cellIs" dxfId="6192" priority="6951" operator="equal">
      <formula>"Yes"</formula>
    </cfRule>
  </conditionalFormatting>
  <conditionalFormatting sqref="Q31">
    <cfRule type="cellIs" dxfId="6191" priority="6946" operator="equal">
      <formula>"No"</formula>
    </cfRule>
    <cfRule type="cellIs" dxfId="6190" priority="6947" operator="equal">
      <formula>"NA"</formula>
    </cfRule>
    <cfRule type="cellIs" dxfId="6189" priority="6948" operator="equal">
      <formula>"Yes"</formula>
    </cfRule>
  </conditionalFormatting>
  <conditionalFormatting sqref="P17">
    <cfRule type="cellIs" dxfId="6188" priority="6940" operator="equal">
      <formula>"No"</formula>
    </cfRule>
    <cfRule type="cellIs" dxfId="6187" priority="6941" operator="equal">
      <formula>"NA"</formula>
    </cfRule>
    <cfRule type="cellIs" dxfId="6186" priority="6942" operator="equal">
      <formula>"Yes"</formula>
    </cfRule>
  </conditionalFormatting>
  <conditionalFormatting sqref="P33">
    <cfRule type="cellIs" dxfId="6185" priority="6937" operator="equal">
      <formula>"No"</formula>
    </cfRule>
    <cfRule type="cellIs" dxfId="6184" priority="6938" operator="equal">
      <formula>"NA"</formula>
    </cfRule>
    <cfRule type="cellIs" dxfId="6183" priority="6939" operator="equal">
      <formula>"Yes"</formula>
    </cfRule>
  </conditionalFormatting>
  <conditionalFormatting sqref="P10">
    <cfRule type="cellIs" dxfId="6182" priority="6934" operator="equal">
      <formula>"No"</formula>
    </cfRule>
    <cfRule type="cellIs" dxfId="6181" priority="6935" operator="equal">
      <formula>"NA"</formula>
    </cfRule>
    <cfRule type="cellIs" dxfId="6180" priority="6936" operator="equal">
      <formula>"Yes"</formula>
    </cfRule>
  </conditionalFormatting>
  <conditionalFormatting sqref="P6">
    <cfRule type="cellIs" dxfId="6179" priority="6931" operator="equal">
      <formula>"No"</formula>
    </cfRule>
    <cfRule type="cellIs" dxfId="6178" priority="6932" operator="equal">
      <formula>"NA"</formula>
    </cfRule>
    <cfRule type="cellIs" dxfId="6177" priority="6933" operator="equal">
      <formula>"Yes"</formula>
    </cfRule>
  </conditionalFormatting>
  <conditionalFormatting sqref="P7">
    <cfRule type="cellIs" dxfId="6176" priority="6928" operator="equal">
      <formula>"No"</formula>
    </cfRule>
    <cfRule type="cellIs" dxfId="6175" priority="6929" operator="equal">
      <formula>"NA"</formula>
    </cfRule>
    <cfRule type="cellIs" dxfId="6174" priority="6930" operator="equal">
      <formula>"Yes"</formula>
    </cfRule>
  </conditionalFormatting>
  <conditionalFormatting sqref="P9">
    <cfRule type="cellIs" dxfId="6173" priority="6925" operator="equal">
      <formula>"No"</formula>
    </cfRule>
    <cfRule type="cellIs" dxfId="6172" priority="6926" operator="equal">
      <formula>"NA"</formula>
    </cfRule>
    <cfRule type="cellIs" dxfId="6171" priority="6927" operator="equal">
      <formula>"Yes"</formula>
    </cfRule>
  </conditionalFormatting>
  <conditionalFormatting sqref="P11">
    <cfRule type="cellIs" dxfId="6170" priority="6922" operator="equal">
      <formula>"No"</formula>
    </cfRule>
    <cfRule type="cellIs" dxfId="6169" priority="6923" operator="equal">
      <formula>"NA"</formula>
    </cfRule>
    <cfRule type="cellIs" dxfId="6168" priority="6924" operator="equal">
      <formula>"Yes"</formula>
    </cfRule>
  </conditionalFormatting>
  <conditionalFormatting sqref="P12">
    <cfRule type="cellIs" dxfId="6167" priority="6919" operator="equal">
      <formula>"No"</formula>
    </cfRule>
    <cfRule type="cellIs" dxfId="6166" priority="6920" operator="equal">
      <formula>"NA"</formula>
    </cfRule>
    <cfRule type="cellIs" dxfId="6165" priority="6921" operator="equal">
      <formula>"Yes"</formula>
    </cfRule>
  </conditionalFormatting>
  <conditionalFormatting sqref="P14">
    <cfRule type="cellIs" dxfId="6164" priority="6916" operator="equal">
      <formula>"No"</formula>
    </cfRule>
    <cfRule type="cellIs" dxfId="6163" priority="6917" operator="equal">
      <formula>"NA"</formula>
    </cfRule>
    <cfRule type="cellIs" dxfId="6162" priority="6918" operator="equal">
      <formula>"Yes"</formula>
    </cfRule>
  </conditionalFormatting>
  <conditionalFormatting sqref="P15">
    <cfRule type="cellIs" dxfId="6161" priority="6913" operator="equal">
      <formula>"No"</formula>
    </cfRule>
    <cfRule type="cellIs" dxfId="6160" priority="6914" operator="equal">
      <formula>"NA"</formula>
    </cfRule>
    <cfRule type="cellIs" dxfId="6159" priority="6915" operator="equal">
      <formula>"Yes"</formula>
    </cfRule>
  </conditionalFormatting>
  <conditionalFormatting sqref="P16">
    <cfRule type="cellIs" dxfId="6158" priority="6910" operator="equal">
      <formula>"No"</formula>
    </cfRule>
    <cfRule type="cellIs" dxfId="6157" priority="6911" operator="equal">
      <formula>"NA"</formula>
    </cfRule>
    <cfRule type="cellIs" dxfId="6156" priority="6912" operator="equal">
      <formula>"Yes"</formula>
    </cfRule>
  </conditionalFormatting>
  <conditionalFormatting sqref="P18">
    <cfRule type="cellIs" dxfId="6155" priority="6907" operator="equal">
      <formula>"No"</formula>
    </cfRule>
    <cfRule type="cellIs" dxfId="6154" priority="6908" operator="equal">
      <formula>"NA"</formula>
    </cfRule>
    <cfRule type="cellIs" dxfId="6153" priority="6909" operator="equal">
      <formula>"Yes"</formula>
    </cfRule>
  </conditionalFormatting>
  <conditionalFormatting sqref="P19">
    <cfRule type="cellIs" dxfId="6152" priority="6904" operator="equal">
      <formula>"No"</formula>
    </cfRule>
    <cfRule type="cellIs" dxfId="6151" priority="6905" operator="equal">
      <formula>"NA"</formula>
    </cfRule>
    <cfRule type="cellIs" dxfId="6150" priority="6906" operator="equal">
      <formula>"Yes"</formula>
    </cfRule>
  </conditionalFormatting>
  <conditionalFormatting sqref="P20">
    <cfRule type="cellIs" dxfId="6149" priority="6901" operator="equal">
      <formula>"No"</formula>
    </cfRule>
    <cfRule type="cellIs" dxfId="6148" priority="6902" operator="equal">
      <formula>"NA"</formula>
    </cfRule>
    <cfRule type="cellIs" dxfId="6147" priority="6903" operator="equal">
      <formula>"Yes"</formula>
    </cfRule>
  </conditionalFormatting>
  <conditionalFormatting sqref="P21">
    <cfRule type="cellIs" dxfId="6146" priority="6898" operator="equal">
      <formula>"No"</formula>
    </cfRule>
    <cfRule type="cellIs" dxfId="6145" priority="6899" operator="equal">
      <formula>"NA"</formula>
    </cfRule>
    <cfRule type="cellIs" dxfId="6144" priority="6900" operator="equal">
      <formula>"Yes"</formula>
    </cfRule>
  </conditionalFormatting>
  <conditionalFormatting sqref="P22">
    <cfRule type="cellIs" dxfId="6143" priority="6895" operator="equal">
      <formula>"No"</formula>
    </cfRule>
    <cfRule type="cellIs" dxfId="6142" priority="6896" operator="equal">
      <formula>"NA"</formula>
    </cfRule>
    <cfRule type="cellIs" dxfId="6141" priority="6897" operator="equal">
      <formula>"Yes"</formula>
    </cfRule>
  </conditionalFormatting>
  <conditionalFormatting sqref="P23">
    <cfRule type="cellIs" dxfId="6140" priority="6892" operator="equal">
      <formula>"No"</formula>
    </cfRule>
    <cfRule type="cellIs" dxfId="6139" priority="6893" operator="equal">
      <formula>"NA"</formula>
    </cfRule>
    <cfRule type="cellIs" dxfId="6138" priority="6894" operator="equal">
      <formula>"Yes"</formula>
    </cfRule>
  </conditionalFormatting>
  <conditionalFormatting sqref="P25">
    <cfRule type="cellIs" dxfId="6137" priority="6889" operator="equal">
      <formula>"No"</formula>
    </cfRule>
    <cfRule type="cellIs" dxfId="6136" priority="6890" operator="equal">
      <formula>"NA"</formula>
    </cfRule>
    <cfRule type="cellIs" dxfId="6135" priority="6891" operator="equal">
      <formula>"Yes"</formula>
    </cfRule>
  </conditionalFormatting>
  <conditionalFormatting sqref="P26">
    <cfRule type="cellIs" dxfId="6134" priority="6886" operator="equal">
      <formula>"No"</formula>
    </cfRule>
    <cfRule type="cellIs" dxfId="6133" priority="6887" operator="equal">
      <formula>"NA"</formula>
    </cfRule>
    <cfRule type="cellIs" dxfId="6132" priority="6888" operator="equal">
      <formula>"Yes"</formula>
    </cfRule>
  </conditionalFormatting>
  <conditionalFormatting sqref="P27">
    <cfRule type="cellIs" dxfId="6131" priority="6883" operator="equal">
      <formula>"No"</formula>
    </cfRule>
    <cfRule type="cellIs" dxfId="6130" priority="6884" operator="equal">
      <formula>"NA"</formula>
    </cfRule>
    <cfRule type="cellIs" dxfId="6129" priority="6885" operator="equal">
      <formula>"Yes"</formula>
    </cfRule>
  </conditionalFormatting>
  <conditionalFormatting sqref="P28">
    <cfRule type="cellIs" dxfId="6128" priority="6880" operator="equal">
      <formula>"No"</formula>
    </cfRule>
    <cfRule type="cellIs" dxfId="6127" priority="6881" operator="equal">
      <formula>"NA"</formula>
    </cfRule>
    <cfRule type="cellIs" dxfId="6126" priority="6882" operator="equal">
      <formula>"Yes"</formula>
    </cfRule>
  </conditionalFormatting>
  <conditionalFormatting sqref="P30">
    <cfRule type="cellIs" dxfId="6125" priority="6877" operator="equal">
      <formula>"No"</formula>
    </cfRule>
    <cfRule type="cellIs" dxfId="6124" priority="6878" operator="equal">
      <formula>"NA"</formula>
    </cfRule>
    <cfRule type="cellIs" dxfId="6123" priority="6879" operator="equal">
      <formula>"Yes"</formula>
    </cfRule>
  </conditionalFormatting>
  <conditionalFormatting sqref="P31">
    <cfRule type="cellIs" dxfId="6122" priority="6874" operator="equal">
      <formula>"No"</formula>
    </cfRule>
    <cfRule type="cellIs" dxfId="6121" priority="6875" operator="equal">
      <formula>"NA"</formula>
    </cfRule>
    <cfRule type="cellIs" dxfId="6120" priority="6876" operator="equal">
      <formula>"Yes"</formula>
    </cfRule>
  </conditionalFormatting>
  <conditionalFormatting sqref="Q13">
    <cfRule type="cellIs" dxfId="6119" priority="6871" operator="equal">
      <formula>"No"</formula>
    </cfRule>
    <cfRule type="cellIs" dxfId="6118" priority="6872" operator="equal">
      <formula>"NA"</formula>
    </cfRule>
    <cfRule type="cellIs" dxfId="6117" priority="6873" operator="equal">
      <formula>"Yes"</formula>
    </cfRule>
  </conditionalFormatting>
  <conditionalFormatting sqref="Q15">
    <cfRule type="cellIs" dxfId="6116" priority="6868" operator="equal">
      <formula>"No"</formula>
    </cfRule>
    <cfRule type="cellIs" dxfId="6115" priority="6869" operator="equal">
      <formula>"NA"</formula>
    </cfRule>
    <cfRule type="cellIs" dxfId="6114" priority="6870" operator="equal">
      <formula>"Yes"</formula>
    </cfRule>
  </conditionalFormatting>
  <conditionalFormatting sqref="Q17">
    <cfRule type="cellIs" dxfId="6113" priority="6865" operator="equal">
      <formula>"No"</formula>
    </cfRule>
    <cfRule type="cellIs" dxfId="6112" priority="6866" operator="equal">
      <formula>"NA"</formula>
    </cfRule>
    <cfRule type="cellIs" dxfId="6111" priority="6867" operator="equal">
      <formula>"Yes"</formula>
    </cfRule>
  </conditionalFormatting>
  <conditionalFormatting sqref="Q25">
    <cfRule type="cellIs" dxfId="6110" priority="6862" operator="equal">
      <formula>"No"</formula>
    </cfRule>
    <cfRule type="cellIs" dxfId="6109" priority="6863" operator="equal">
      <formula>"NA"</formula>
    </cfRule>
    <cfRule type="cellIs" dxfId="6108" priority="6864" operator="equal">
      <formula>"Yes"</formula>
    </cfRule>
  </conditionalFormatting>
  <conditionalFormatting sqref="U33">
    <cfRule type="cellIs" dxfId="6107" priority="6793" operator="equal">
      <formula>"No"</formula>
    </cfRule>
    <cfRule type="cellIs" dxfId="6106" priority="6794" operator="equal">
      <formula>"NA"</formula>
    </cfRule>
    <cfRule type="cellIs" dxfId="6105" priority="6795" operator="equal">
      <formula>"Yes"</formula>
    </cfRule>
  </conditionalFormatting>
  <conditionalFormatting sqref="U6">
    <cfRule type="cellIs" dxfId="6104" priority="6790" operator="equal">
      <formula>"No"</formula>
    </cfRule>
    <cfRule type="cellIs" dxfId="6103" priority="6791" operator="equal">
      <formula>"NA"</formula>
    </cfRule>
    <cfRule type="cellIs" dxfId="6102" priority="6792" operator="equal">
      <formula>"Yes"</formula>
    </cfRule>
  </conditionalFormatting>
  <conditionalFormatting sqref="U7">
    <cfRule type="cellIs" dxfId="6101" priority="6787" operator="equal">
      <formula>"No"</formula>
    </cfRule>
    <cfRule type="cellIs" dxfId="6100" priority="6788" operator="equal">
      <formula>"NA"</formula>
    </cfRule>
    <cfRule type="cellIs" dxfId="6099" priority="6789" operator="equal">
      <formula>"Yes"</formula>
    </cfRule>
  </conditionalFormatting>
  <conditionalFormatting sqref="U9">
    <cfRule type="cellIs" dxfId="6098" priority="6784" operator="equal">
      <formula>"No"</formula>
    </cfRule>
    <cfRule type="cellIs" dxfId="6097" priority="6785" operator="equal">
      <formula>"NA"</formula>
    </cfRule>
    <cfRule type="cellIs" dxfId="6096" priority="6786" operator="equal">
      <formula>"Yes"</formula>
    </cfRule>
  </conditionalFormatting>
  <conditionalFormatting sqref="U10:U11">
    <cfRule type="cellIs" dxfId="6095" priority="6781" operator="equal">
      <formula>"No"</formula>
    </cfRule>
    <cfRule type="cellIs" dxfId="6094" priority="6782" operator="equal">
      <formula>"NA"</formula>
    </cfRule>
    <cfRule type="cellIs" dxfId="6093" priority="6783" operator="equal">
      <formula>"Yes"</formula>
    </cfRule>
  </conditionalFormatting>
  <conditionalFormatting sqref="U12:U16">
    <cfRule type="cellIs" dxfId="6092" priority="6778" operator="equal">
      <formula>"No"</formula>
    </cfRule>
    <cfRule type="cellIs" dxfId="6091" priority="6779" operator="equal">
      <formula>"NA"</formula>
    </cfRule>
    <cfRule type="cellIs" dxfId="6090" priority="6780" operator="equal">
      <formula>"Yes"</formula>
    </cfRule>
  </conditionalFormatting>
  <conditionalFormatting sqref="U17">
    <cfRule type="cellIs" dxfId="6089" priority="6775" operator="equal">
      <formula>"No"</formula>
    </cfRule>
    <cfRule type="cellIs" dxfId="6088" priority="6776" operator="equal">
      <formula>"NA"</formula>
    </cfRule>
    <cfRule type="cellIs" dxfId="6087" priority="6777" operator="equal">
      <formula>"Yes"</formula>
    </cfRule>
  </conditionalFormatting>
  <conditionalFormatting sqref="U18">
    <cfRule type="cellIs" dxfId="6086" priority="6766" operator="equal">
      <formula>"No"</formula>
    </cfRule>
    <cfRule type="cellIs" dxfId="6085" priority="6767" operator="equal">
      <formula>"NA"</formula>
    </cfRule>
    <cfRule type="cellIs" dxfId="6084" priority="6768" operator="equal">
      <formula>"Yes"</formula>
    </cfRule>
  </conditionalFormatting>
  <conditionalFormatting sqref="U19">
    <cfRule type="cellIs" dxfId="6083" priority="6763" operator="equal">
      <formula>"No"</formula>
    </cfRule>
    <cfRule type="cellIs" dxfId="6082" priority="6764" operator="equal">
      <formula>"NA"</formula>
    </cfRule>
    <cfRule type="cellIs" dxfId="6081" priority="6765" operator="equal">
      <formula>"Yes"</formula>
    </cfRule>
  </conditionalFormatting>
  <conditionalFormatting sqref="U20">
    <cfRule type="cellIs" dxfId="6080" priority="6760" operator="equal">
      <formula>"No"</formula>
    </cfRule>
    <cfRule type="cellIs" dxfId="6079" priority="6761" operator="equal">
      <formula>"NA"</formula>
    </cfRule>
    <cfRule type="cellIs" dxfId="6078" priority="6762" operator="equal">
      <formula>"Yes"</formula>
    </cfRule>
  </conditionalFormatting>
  <conditionalFormatting sqref="U21">
    <cfRule type="cellIs" dxfId="6077" priority="6757" operator="equal">
      <formula>"No"</formula>
    </cfRule>
    <cfRule type="cellIs" dxfId="6076" priority="6758" operator="equal">
      <formula>"NA"</formula>
    </cfRule>
    <cfRule type="cellIs" dxfId="6075" priority="6759" operator="equal">
      <formula>"Yes"</formula>
    </cfRule>
  </conditionalFormatting>
  <conditionalFormatting sqref="U22">
    <cfRule type="cellIs" dxfId="6074" priority="6754" operator="equal">
      <formula>"No"</formula>
    </cfRule>
    <cfRule type="cellIs" dxfId="6073" priority="6755" operator="equal">
      <formula>"NA"</formula>
    </cfRule>
    <cfRule type="cellIs" dxfId="6072" priority="6756" operator="equal">
      <formula>"Yes"</formula>
    </cfRule>
  </conditionalFormatting>
  <conditionalFormatting sqref="U23">
    <cfRule type="cellIs" dxfId="6071" priority="6751" operator="equal">
      <formula>"No"</formula>
    </cfRule>
    <cfRule type="cellIs" dxfId="6070" priority="6752" operator="equal">
      <formula>"NA"</formula>
    </cfRule>
    <cfRule type="cellIs" dxfId="6069" priority="6753" operator="equal">
      <formula>"Yes"</formula>
    </cfRule>
  </conditionalFormatting>
  <conditionalFormatting sqref="U25">
    <cfRule type="cellIs" dxfId="6068" priority="6748" operator="equal">
      <formula>"No"</formula>
    </cfRule>
    <cfRule type="cellIs" dxfId="6067" priority="6749" operator="equal">
      <formula>"NA"</formula>
    </cfRule>
    <cfRule type="cellIs" dxfId="6066" priority="6750" operator="equal">
      <formula>"Yes"</formula>
    </cfRule>
  </conditionalFormatting>
  <conditionalFormatting sqref="U26">
    <cfRule type="cellIs" dxfId="6065" priority="6745" operator="equal">
      <formula>"No"</formula>
    </cfRule>
    <cfRule type="cellIs" dxfId="6064" priority="6746" operator="equal">
      <formula>"NA"</formula>
    </cfRule>
    <cfRule type="cellIs" dxfId="6063" priority="6747" operator="equal">
      <formula>"Yes"</formula>
    </cfRule>
  </conditionalFormatting>
  <conditionalFormatting sqref="U27">
    <cfRule type="cellIs" dxfId="6062" priority="6742" operator="equal">
      <formula>"No"</formula>
    </cfRule>
    <cfRule type="cellIs" dxfId="6061" priority="6743" operator="equal">
      <formula>"NA"</formula>
    </cfRule>
    <cfRule type="cellIs" dxfId="6060" priority="6744" operator="equal">
      <formula>"Yes"</formula>
    </cfRule>
  </conditionalFormatting>
  <conditionalFormatting sqref="U28">
    <cfRule type="cellIs" dxfId="6059" priority="6739" operator="equal">
      <formula>"No"</formula>
    </cfRule>
    <cfRule type="cellIs" dxfId="6058" priority="6740" operator="equal">
      <formula>"NA"</formula>
    </cfRule>
    <cfRule type="cellIs" dxfId="6057" priority="6741" operator="equal">
      <formula>"Yes"</formula>
    </cfRule>
  </conditionalFormatting>
  <conditionalFormatting sqref="U30">
    <cfRule type="cellIs" dxfId="6056" priority="6736" operator="equal">
      <formula>"No"</formula>
    </cfRule>
    <cfRule type="cellIs" dxfId="6055" priority="6737" operator="equal">
      <formula>"NA"</formula>
    </cfRule>
    <cfRule type="cellIs" dxfId="6054" priority="6738" operator="equal">
      <formula>"Yes"</formula>
    </cfRule>
  </conditionalFormatting>
  <conditionalFormatting sqref="U31">
    <cfRule type="cellIs" dxfId="6053" priority="6733" operator="equal">
      <formula>"No"</formula>
    </cfRule>
    <cfRule type="cellIs" dxfId="6052" priority="6734" operator="equal">
      <formula>"NA"</formula>
    </cfRule>
    <cfRule type="cellIs" dxfId="6051" priority="6735" operator="equal">
      <formula>"Yes"</formula>
    </cfRule>
  </conditionalFormatting>
  <conditionalFormatting sqref="Y33">
    <cfRule type="cellIs" dxfId="6050" priority="6730" operator="equal">
      <formula>"No"</formula>
    </cfRule>
    <cfRule type="cellIs" dxfId="6049" priority="6731" operator="equal">
      <formula>"NA"</formula>
    </cfRule>
    <cfRule type="cellIs" dxfId="6048" priority="6732" operator="equal">
      <formula>"Yes"</formula>
    </cfRule>
  </conditionalFormatting>
  <conditionalFormatting sqref="Y7">
    <cfRule type="cellIs" dxfId="6047" priority="6724" operator="equal">
      <formula>"No"</formula>
    </cfRule>
    <cfRule type="cellIs" dxfId="6046" priority="6725" operator="equal">
      <formula>"NA"</formula>
    </cfRule>
    <cfRule type="cellIs" dxfId="6045" priority="6726" operator="equal">
      <formula>"Yes"</formula>
    </cfRule>
  </conditionalFormatting>
  <conditionalFormatting sqref="Y9">
    <cfRule type="cellIs" dxfId="6044" priority="6721" operator="equal">
      <formula>"No"</formula>
    </cfRule>
    <cfRule type="cellIs" dxfId="6043" priority="6722" operator="equal">
      <formula>"NA"</formula>
    </cfRule>
    <cfRule type="cellIs" dxfId="6042" priority="6723" operator="equal">
      <formula>"Yes"</formula>
    </cfRule>
  </conditionalFormatting>
  <conditionalFormatting sqref="Y10:Y11">
    <cfRule type="cellIs" dxfId="6041" priority="6718" operator="equal">
      <formula>"No"</formula>
    </cfRule>
    <cfRule type="cellIs" dxfId="6040" priority="6719" operator="equal">
      <formula>"NA"</formula>
    </cfRule>
    <cfRule type="cellIs" dxfId="6039" priority="6720" operator="equal">
      <formula>"Yes"</formula>
    </cfRule>
  </conditionalFormatting>
  <conditionalFormatting sqref="Y12:Y16">
    <cfRule type="cellIs" dxfId="6038" priority="6715" operator="equal">
      <formula>"No"</formula>
    </cfRule>
    <cfRule type="cellIs" dxfId="6037" priority="6716" operator="equal">
      <formula>"NA"</formula>
    </cfRule>
    <cfRule type="cellIs" dxfId="6036" priority="6717" operator="equal">
      <formula>"Yes"</formula>
    </cfRule>
  </conditionalFormatting>
  <conditionalFormatting sqref="Y17">
    <cfRule type="cellIs" dxfId="6035" priority="6712" operator="equal">
      <formula>"No"</formula>
    </cfRule>
    <cfRule type="cellIs" dxfId="6034" priority="6713" operator="equal">
      <formula>"NA"</formula>
    </cfRule>
    <cfRule type="cellIs" dxfId="6033" priority="6714" operator="equal">
      <formula>"Yes"</formula>
    </cfRule>
  </conditionalFormatting>
  <conditionalFormatting sqref="Y18">
    <cfRule type="cellIs" dxfId="6032" priority="6709" operator="equal">
      <formula>"No"</formula>
    </cfRule>
    <cfRule type="cellIs" dxfId="6031" priority="6710" operator="equal">
      <formula>"NA"</formula>
    </cfRule>
    <cfRule type="cellIs" dxfId="6030" priority="6711" operator="equal">
      <formula>"Yes"</formula>
    </cfRule>
  </conditionalFormatting>
  <conditionalFormatting sqref="Y19">
    <cfRule type="cellIs" dxfId="6029" priority="6706" operator="equal">
      <formula>"No"</formula>
    </cfRule>
    <cfRule type="cellIs" dxfId="6028" priority="6707" operator="equal">
      <formula>"NA"</formula>
    </cfRule>
    <cfRule type="cellIs" dxfId="6027" priority="6708" operator="equal">
      <formula>"Yes"</formula>
    </cfRule>
  </conditionalFormatting>
  <conditionalFormatting sqref="Y20">
    <cfRule type="cellIs" dxfId="6026" priority="6703" operator="equal">
      <formula>"No"</formula>
    </cfRule>
    <cfRule type="cellIs" dxfId="6025" priority="6704" operator="equal">
      <formula>"NA"</formula>
    </cfRule>
    <cfRule type="cellIs" dxfId="6024" priority="6705" operator="equal">
      <formula>"Yes"</formula>
    </cfRule>
  </conditionalFormatting>
  <conditionalFormatting sqref="Y21">
    <cfRule type="cellIs" dxfId="6023" priority="6700" operator="equal">
      <formula>"No"</formula>
    </cfRule>
    <cfRule type="cellIs" dxfId="6022" priority="6701" operator="equal">
      <formula>"NA"</formula>
    </cfRule>
    <cfRule type="cellIs" dxfId="6021" priority="6702" operator="equal">
      <formula>"Yes"</formula>
    </cfRule>
  </conditionalFormatting>
  <conditionalFormatting sqref="Y22">
    <cfRule type="cellIs" dxfId="6020" priority="6697" operator="equal">
      <formula>"No"</formula>
    </cfRule>
    <cfRule type="cellIs" dxfId="6019" priority="6698" operator="equal">
      <formula>"NA"</formula>
    </cfRule>
    <cfRule type="cellIs" dxfId="6018" priority="6699" operator="equal">
      <formula>"Yes"</formula>
    </cfRule>
  </conditionalFormatting>
  <conditionalFormatting sqref="Y23">
    <cfRule type="cellIs" dxfId="6017" priority="6694" operator="equal">
      <formula>"No"</formula>
    </cfRule>
    <cfRule type="cellIs" dxfId="6016" priority="6695" operator="equal">
      <formula>"NA"</formula>
    </cfRule>
    <cfRule type="cellIs" dxfId="6015" priority="6696" operator="equal">
      <formula>"Yes"</formula>
    </cfRule>
  </conditionalFormatting>
  <conditionalFormatting sqref="Y25">
    <cfRule type="cellIs" dxfId="6014" priority="6691" operator="equal">
      <formula>"No"</formula>
    </cfRule>
    <cfRule type="cellIs" dxfId="6013" priority="6692" operator="equal">
      <formula>"NA"</formula>
    </cfRule>
    <cfRule type="cellIs" dxfId="6012" priority="6693" operator="equal">
      <formula>"Yes"</formula>
    </cfRule>
  </conditionalFormatting>
  <conditionalFormatting sqref="Y26">
    <cfRule type="cellIs" dxfId="6011" priority="6688" operator="equal">
      <formula>"No"</formula>
    </cfRule>
    <cfRule type="cellIs" dxfId="6010" priority="6689" operator="equal">
      <formula>"NA"</formula>
    </cfRule>
    <cfRule type="cellIs" dxfId="6009" priority="6690" operator="equal">
      <formula>"Yes"</formula>
    </cfRule>
  </conditionalFormatting>
  <conditionalFormatting sqref="Y27">
    <cfRule type="cellIs" dxfId="6008" priority="6685" operator="equal">
      <formula>"No"</formula>
    </cfRule>
    <cfRule type="cellIs" dxfId="6007" priority="6686" operator="equal">
      <formula>"NA"</formula>
    </cfRule>
    <cfRule type="cellIs" dxfId="6006" priority="6687" operator="equal">
      <formula>"Yes"</formula>
    </cfRule>
  </conditionalFormatting>
  <conditionalFormatting sqref="Y28">
    <cfRule type="cellIs" dxfId="6005" priority="6682" operator="equal">
      <formula>"No"</formula>
    </cfRule>
    <cfRule type="cellIs" dxfId="6004" priority="6683" operator="equal">
      <formula>"NA"</formula>
    </cfRule>
    <cfRule type="cellIs" dxfId="6003" priority="6684" operator="equal">
      <formula>"Yes"</formula>
    </cfRule>
  </conditionalFormatting>
  <conditionalFormatting sqref="Y30">
    <cfRule type="cellIs" dxfId="6002" priority="6679" operator="equal">
      <formula>"No"</formula>
    </cfRule>
    <cfRule type="cellIs" dxfId="6001" priority="6680" operator="equal">
      <formula>"NA"</formula>
    </cfRule>
    <cfRule type="cellIs" dxfId="6000" priority="6681" operator="equal">
      <formula>"Yes"</formula>
    </cfRule>
  </conditionalFormatting>
  <conditionalFormatting sqref="Y31">
    <cfRule type="cellIs" dxfId="5999" priority="6676" operator="equal">
      <formula>"No"</formula>
    </cfRule>
    <cfRule type="cellIs" dxfId="5998" priority="6677" operator="equal">
      <formula>"NA"</formula>
    </cfRule>
    <cfRule type="cellIs" dxfId="5997" priority="6678" operator="equal">
      <formula>"Yes"</formula>
    </cfRule>
  </conditionalFormatting>
  <conditionalFormatting sqref="Y6">
    <cfRule type="cellIs" dxfId="5996" priority="6673" operator="equal">
      <formula>"No"</formula>
    </cfRule>
    <cfRule type="cellIs" dxfId="5995" priority="6674" operator="equal">
      <formula>"NA"</formula>
    </cfRule>
    <cfRule type="cellIs" dxfId="5994" priority="6675" operator="equal">
      <formula>"Yes"</formula>
    </cfRule>
  </conditionalFormatting>
  <conditionalFormatting sqref="Z17">
    <cfRule type="cellIs" dxfId="5993" priority="6670" operator="equal">
      <formula>"No"</formula>
    </cfRule>
    <cfRule type="cellIs" dxfId="5992" priority="6671" operator="equal">
      <formula>"NA"</formula>
    </cfRule>
    <cfRule type="cellIs" dxfId="5991" priority="6672" operator="equal">
      <formula>"Yes"</formula>
    </cfRule>
  </conditionalFormatting>
  <conditionalFormatting sqref="Z7">
    <cfRule type="cellIs" dxfId="5990" priority="6667" operator="equal">
      <formula>"No"</formula>
    </cfRule>
    <cfRule type="cellIs" dxfId="5989" priority="6668" operator="equal">
      <formula>"NA"</formula>
    </cfRule>
    <cfRule type="cellIs" dxfId="5988" priority="6669" operator="equal">
      <formula>"Yes"</formula>
    </cfRule>
  </conditionalFormatting>
  <conditionalFormatting sqref="Z9">
    <cfRule type="cellIs" dxfId="5987" priority="6664" operator="equal">
      <formula>"No"</formula>
    </cfRule>
    <cfRule type="cellIs" dxfId="5986" priority="6665" operator="equal">
      <formula>"NA"</formula>
    </cfRule>
    <cfRule type="cellIs" dxfId="5985" priority="6666" operator="equal">
      <formula>"Yes"</formula>
    </cfRule>
  </conditionalFormatting>
  <conditionalFormatting sqref="Z10">
    <cfRule type="cellIs" dxfId="5984" priority="6661" operator="equal">
      <formula>"No"</formula>
    </cfRule>
    <cfRule type="cellIs" dxfId="5983" priority="6662" operator="equal">
      <formula>"NA"</formula>
    </cfRule>
    <cfRule type="cellIs" dxfId="5982" priority="6663" operator="equal">
      <formula>"Yes"</formula>
    </cfRule>
  </conditionalFormatting>
  <conditionalFormatting sqref="Z11">
    <cfRule type="cellIs" dxfId="5981" priority="6658" operator="equal">
      <formula>"No"</formula>
    </cfRule>
    <cfRule type="cellIs" dxfId="5980" priority="6659" operator="equal">
      <formula>"NA"</formula>
    </cfRule>
    <cfRule type="cellIs" dxfId="5979" priority="6660" operator="equal">
      <formula>"Yes"</formula>
    </cfRule>
  </conditionalFormatting>
  <conditionalFormatting sqref="Z12">
    <cfRule type="cellIs" dxfId="5978" priority="6655" operator="equal">
      <formula>"No"</formula>
    </cfRule>
    <cfRule type="cellIs" dxfId="5977" priority="6656" operator="equal">
      <formula>"NA"</formula>
    </cfRule>
    <cfRule type="cellIs" dxfId="5976" priority="6657" operator="equal">
      <formula>"Yes"</formula>
    </cfRule>
  </conditionalFormatting>
  <conditionalFormatting sqref="Z13">
    <cfRule type="cellIs" dxfId="5975" priority="6652" operator="equal">
      <formula>"No"</formula>
    </cfRule>
    <cfRule type="cellIs" dxfId="5974" priority="6653" operator="equal">
      <formula>"NA"</formula>
    </cfRule>
    <cfRule type="cellIs" dxfId="5973" priority="6654" operator="equal">
      <formula>"Yes"</formula>
    </cfRule>
  </conditionalFormatting>
  <conditionalFormatting sqref="Z14">
    <cfRule type="cellIs" dxfId="5972" priority="6649" operator="equal">
      <formula>"No"</formula>
    </cfRule>
    <cfRule type="cellIs" dxfId="5971" priority="6650" operator="equal">
      <formula>"NA"</formula>
    </cfRule>
    <cfRule type="cellIs" dxfId="5970" priority="6651" operator="equal">
      <formula>"Yes"</formula>
    </cfRule>
  </conditionalFormatting>
  <conditionalFormatting sqref="Z15">
    <cfRule type="cellIs" dxfId="5969" priority="6646" operator="equal">
      <formula>"No"</formula>
    </cfRule>
    <cfRule type="cellIs" dxfId="5968" priority="6647" operator="equal">
      <formula>"NA"</formula>
    </cfRule>
    <cfRule type="cellIs" dxfId="5967" priority="6648" operator="equal">
      <formula>"Yes"</formula>
    </cfRule>
  </conditionalFormatting>
  <conditionalFormatting sqref="Z16">
    <cfRule type="cellIs" dxfId="5966" priority="6643" operator="equal">
      <formula>"No"</formula>
    </cfRule>
    <cfRule type="cellIs" dxfId="5965" priority="6644" operator="equal">
      <formula>"NA"</formula>
    </cfRule>
    <cfRule type="cellIs" dxfId="5964" priority="6645" operator="equal">
      <formula>"Yes"</formula>
    </cfRule>
  </conditionalFormatting>
  <conditionalFormatting sqref="Z18">
    <cfRule type="cellIs" dxfId="5963" priority="6640" operator="equal">
      <formula>"No"</formula>
    </cfRule>
    <cfRule type="cellIs" dxfId="5962" priority="6641" operator="equal">
      <formula>"NA"</formula>
    </cfRule>
    <cfRule type="cellIs" dxfId="5961" priority="6642" operator="equal">
      <formula>"Yes"</formula>
    </cfRule>
  </conditionalFormatting>
  <conditionalFormatting sqref="Z19">
    <cfRule type="cellIs" dxfId="5960" priority="6637" operator="equal">
      <formula>"No"</formula>
    </cfRule>
    <cfRule type="cellIs" dxfId="5959" priority="6638" operator="equal">
      <formula>"NA"</formula>
    </cfRule>
    <cfRule type="cellIs" dxfId="5958" priority="6639" operator="equal">
      <formula>"Yes"</formula>
    </cfRule>
  </conditionalFormatting>
  <conditionalFormatting sqref="Z20">
    <cfRule type="cellIs" dxfId="5957" priority="6634" operator="equal">
      <formula>"No"</formula>
    </cfRule>
    <cfRule type="cellIs" dxfId="5956" priority="6635" operator="equal">
      <formula>"NA"</formula>
    </cfRule>
    <cfRule type="cellIs" dxfId="5955" priority="6636" operator="equal">
      <formula>"Yes"</formula>
    </cfRule>
  </conditionalFormatting>
  <conditionalFormatting sqref="Z21">
    <cfRule type="cellIs" dxfId="5954" priority="6631" operator="equal">
      <formula>"No"</formula>
    </cfRule>
    <cfRule type="cellIs" dxfId="5953" priority="6632" operator="equal">
      <formula>"NA"</formula>
    </cfRule>
    <cfRule type="cellIs" dxfId="5952" priority="6633" operator="equal">
      <formula>"Yes"</formula>
    </cfRule>
  </conditionalFormatting>
  <conditionalFormatting sqref="Z22">
    <cfRule type="cellIs" dxfId="5951" priority="6628" operator="equal">
      <formula>"No"</formula>
    </cfRule>
    <cfRule type="cellIs" dxfId="5950" priority="6629" operator="equal">
      <formula>"NA"</formula>
    </cfRule>
    <cfRule type="cellIs" dxfId="5949" priority="6630" operator="equal">
      <formula>"Yes"</formula>
    </cfRule>
  </conditionalFormatting>
  <conditionalFormatting sqref="Z23">
    <cfRule type="cellIs" dxfId="5948" priority="6625" operator="equal">
      <formula>"No"</formula>
    </cfRule>
    <cfRule type="cellIs" dxfId="5947" priority="6626" operator="equal">
      <formula>"NA"</formula>
    </cfRule>
    <cfRule type="cellIs" dxfId="5946" priority="6627" operator="equal">
      <formula>"Yes"</formula>
    </cfRule>
  </conditionalFormatting>
  <conditionalFormatting sqref="Z26">
    <cfRule type="cellIs" dxfId="5945" priority="6619" operator="equal">
      <formula>"No"</formula>
    </cfRule>
    <cfRule type="cellIs" dxfId="5944" priority="6620" operator="equal">
      <formula>"NA"</formula>
    </cfRule>
    <cfRule type="cellIs" dxfId="5943" priority="6621" operator="equal">
      <formula>"Yes"</formula>
    </cfRule>
  </conditionalFormatting>
  <conditionalFormatting sqref="Z27">
    <cfRule type="cellIs" dxfId="5942" priority="6616" operator="equal">
      <formula>"No"</formula>
    </cfRule>
    <cfRule type="cellIs" dxfId="5941" priority="6617" operator="equal">
      <formula>"NA"</formula>
    </cfRule>
    <cfRule type="cellIs" dxfId="5940" priority="6618" operator="equal">
      <formula>"Yes"</formula>
    </cfRule>
  </conditionalFormatting>
  <conditionalFormatting sqref="Z28">
    <cfRule type="cellIs" dxfId="5939" priority="6613" operator="equal">
      <formula>"No"</formula>
    </cfRule>
    <cfRule type="cellIs" dxfId="5938" priority="6614" operator="equal">
      <formula>"NA"</formula>
    </cfRule>
    <cfRule type="cellIs" dxfId="5937" priority="6615" operator="equal">
      <formula>"Yes"</formula>
    </cfRule>
  </conditionalFormatting>
  <conditionalFormatting sqref="Z30">
    <cfRule type="cellIs" dxfId="5936" priority="6610" operator="equal">
      <formula>"No"</formula>
    </cfRule>
    <cfRule type="cellIs" dxfId="5935" priority="6611" operator="equal">
      <formula>"NA"</formula>
    </cfRule>
    <cfRule type="cellIs" dxfId="5934" priority="6612" operator="equal">
      <formula>"Yes"</formula>
    </cfRule>
  </conditionalFormatting>
  <conditionalFormatting sqref="Z31">
    <cfRule type="cellIs" dxfId="5933" priority="6607" operator="equal">
      <formula>"No"</formula>
    </cfRule>
    <cfRule type="cellIs" dxfId="5932" priority="6608" operator="equal">
      <formula>"NA"</formula>
    </cfRule>
    <cfRule type="cellIs" dxfId="5931" priority="6609" operator="equal">
      <formula>"Yes"</formula>
    </cfRule>
  </conditionalFormatting>
  <conditionalFormatting sqref="Z33">
    <cfRule type="cellIs" dxfId="5930" priority="6604" operator="equal">
      <formula>"No"</formula>
    </cfRule>
    <cfRule type="cellIs" dxfId="5929" priority="6605" operator="equal">
      <formula>"NA"</formula>
    </cfRule>
    <cfRule type="cellIs" dxfId="5928" priority="6606" operator="equal">
      <formula>"Yes"</formula>
    </cfRule>
  </conditionalFormatting>
  <conditionalFormatting sqref="Z6">
    <cfRule type="cellIs" dxfId="5927" priority="6598" operator="equal">
      <formula>"No"</formula>
    </cfRule>
    <cfRule type="cellIs" dxfId="5926" priority="6599" operator="equal">
      <formula>"NA"</formula>
    </cfRule>
    <cfRule type="cellIs" dxfId="5925" priority="6600" operator="equal">
      <formula>"Yes"</formula>
    </cfRule>
  </conditionalFormatting>
  <conditionalFormatting sqref="Z25">
    <cfRule type="cellIs" dxfId="5924" priority="6595" operator="equal">
      <formula>"No"</formula>
    </cfRule>
    <cfRule type="cellIs" dxfId="5923" priority="6596" operator="equal">
      <formula>"NA"</formula>
    </cfRule>
    <cfRule type="cellIs" dxfId="5922" priority="6597" operator="equal">
      <formula>"Yes"</formula>
    </cfRule>
  </conditionalFormatting>
  <conditionalFormatting sqref="AA17">
    <cfRule type="cellIs" dxfId="5921" priority="6592" operator="equal">
      <formula>"No"</formula>
    </cfRule>
    <cfRule type="cellIs" dxfId="5920" priority="6593" operator="equal">
      <formula>"NA"</formula>
    </cfRule>
    <cfRule type="cellIs" dxfId="5919" priority="6594" operator="equal">
      <formula>"Yes"</formula>
    </cfRule>
  </conditionalFormatting>
  <conditionalFormatting sqref="AA7">
    <cfRule type="cellIs" dxfId="5918" priority="6589" operator="equal">
      <formula>"No"</formula>
    </cfRule>
    <cfRule type="cellIs" dxfId="5917" priority="6590" operator="equal">
      <formula>"NA"</formula>
    </cfRule>
    <cfRule type="cellIs" dxfId="5916" priority="6591" operator="equal">
      <formula>"Yes"</formula>
    </cfRule>
  </conditionalFormatting>
  <conditionalFormatting sqref="AA9">
    <cfRule type="cellIs" dxfId="5915" priority="6586" operator="equal">
      <formula>"No"</formula>
    </cfRule>
    <cfRule type="cellIs" dxfId="5914" priority="6587" operator="equal">
      <formula>"NA"</formula>
    </cfRule>
    <cfRule type="cellIs" dxfId="5913" priority="6588" operator="equal">
      <formula>"Yes"</formula>
    </cfRule>
  </conditionalFormatting>
  <conditionalFormatting sqref="AA10">
    <cfRule type="cellIs" dxfId="5912" priority="6583" operator="equal">
      <formula>"No"</formula>
    </cfRule>
    <cfRule type="cellIs" dxfId="5911" priority="6584" operator="equal">
      <formula>"NA"</formula>
    </cfRule>
    <cfRule type="cellIs" dxfId="5910" priority="6585" operator="equal">
      <formula>"Yes"</formula>
    </cfRule>
  </conditionalFormatting>
  <conditionalFormatting sqref="AA12">
    <cfRule type="cellIs" dxfId="5909" priority="6577" operator="equal">
      <formula>"No"</formula>
    </cfRule>
    <cfRule type="cellIs" dxfId="5908" priority="6578" operator="equal">
      <formula>"NA"</formula>
    </cfRule>
    <cfRule type="cellIs" dxfId="5907" priority="6579" operator="equal">
      <formula>"Yes"</formula>
    </cfRule>
  </conditionalFormatting>
  <conditionalFormatting sqref="AA13">
    <cfRule type="cellIs" dxfId="5906" priority="6574" operator="equal">
      <formula>"No"</formula>
    </cfRule>
    <cfRule type="cellIs" dxfId="5905" priority="6575" operator="equal">
      <formula>"NA"</formula>
    </cfRule>
    <cfRule type="cellIs" dxfId="5904" priority="6576" operator="equal">
      <formula>"Yes"</formula>
    </cfRule>
  </conditionalFormatting>
  <conditionalFormatting sqref="AA14">
    <cfRule type="cellIs" dxfId="5903" priority="6571" operator="equal">
      <formula>"No"</formula>
    </cfRule>
    <cfRule type="cellIs" dxfId="5902" priority="6572" operator="equal">
      <formula>"NA"</formula>
    </cfRule>
    <cfRule type="cellIs" dxfId="5901" priority="6573" operator="equal">
      <formula>"Yes"</formula>
    </cfRule>
  </conditionalFormatting>
  <conditionalFormatting sqref="AA15">
    <cfRule type="cellIs" dxfId="5900" priority="6568" operator="equal">
      <formula>"No"</formula>
    </cfRule>
    <cfRule type="cellIs" dxfId="5899" priority="6569" operator="equal">
      <formula>"NA"</formula>
    </cfRule>
    <cfRule type="cellIs" dxfId="5898" priority="6570" operator="equal">
      <formula>"Yes"</formula>
    </cfRule>
  </conditionalFormatting>
  <conditionalFormatting sqref="AA16">
    <cfRule type="cellIs" dxfId="5897" priority="6565" operator="equal">
      <formula>"No"</formula>
    </cfRule>
    <cfRule type="cellIs" dxfId="5896" priority="6566" operator="equal">
      <formula>"NA"</formula>
    </cfRule>
    <cfRule type="cellIs" dxfId="5895" priority="6567" operator="equal">
      <formula>"Yes"</formula>
    </cfRule>
  </conditionalFormatting>
  <conditionalFormatting sqref="AA18">
    <cfRule type="cellIs" dxfId="5894" priority="6562" operator="equal">
      <formula>"No"</formula>
    </cfRule>
    <cfRule type="cellIs" dxfId="5893" priority="6563" operator="equal">
      <formula>"NA"</formula>
    </cfRule>
    <cfRule type="cellIs" dxfId="5892" priority="6564" operator="equal">
      <formula>"Yes"</formula>
    </cfRule>
  </conditionalFormatting>
  <conditionalFormatting sqref="AA19">
    <cfRule type="cellIs" dxfId="5891" priority="6559" operator="equal">
      <formula>"No"</formula>
    </cfRule>
    <cfRule type="cellIs" dxfId="5890" priority="6560" operator="equal">
      <formula>"NA"</formula>
    </cfRule>
    <cfRule type="cellIs" dxfId="5889" priority="6561" operator="equal">
      <formula>"Yes"</formula>
    </cfRule>
  </conditionalFormatting>
  <conditionalFormatting sqref="AA20">
    <cfRule type="cellIs" dxfId="5888" priority="6556" operator="equal">
      <formula>"No"</formula>
    </cfRule>
    <cfRule type="cellIs" dxfId="5887" priority="6557" operator="equal">
      <formula>"NA"</formula>
    </cfRule>
    <cfRule type="cellIs" dxfId="5886" priority="6558" operator="equal">
      <formula>"Yes"</formula>
    </cfRule>
  </conditionalFormatting>
  <conditionalFormatting sqref="AA21">
    <cfRule type="cellIs" dxfId="5885" priority="6553" operator="equal">
      <formula>"No"</formula>
    </cfRule>
    <cfRule type="cellIs" dxfId="5884" priority="6554" operator="equal">
      <formula>"NA"</formula>
    </cfRule>
    <cfRule type="cellIs" dxfId="5883" priority="6555" operator="equal">
      <formula>"Yes"</formula>
    </cfRule>
  </conditionalFormatting>
  <conditionalFormatting sqref="AA22">
    <cfRule type="cellIs" dxfId="5882" priority="6550" operator="equal">
      <formula>"No"</formula>
    </cfRule>
    <cfRule type="cellIs" dxfId="5881" priority="6551" operator="equal">
      <formula>"NA"</formula>
    </cfRule>
    <cfRule type="cellIs" dxfId="5880" priority="6552" operator="equal">
      <formula>"Yes"</formula>
    </cfRule>
  </conditionalFormatting>
  <conditionalFormatting sqref="AA23">
    <cfRule type="cellIs" dxfId="5879" priority="6547" operator="equal">
      <formula>"No"</formula>
    </cfRule>
    <cfRule type="cellIs" dxfId="5878" priority="6548" operator="equal">
      <formula>"NA"</formula>
    </cfRule>
    <cfRule type="cellIs" dxfId="5877" priority="6549" operator="equal">
      <formula>"Yes"</formula>
    </cfRule>
  </conditionalFormatting>
  <conditionalFormatting sqref="AA26">
    <cfRule type="cellIs" dxfId="5876" priority="6541" operator="equal">
      <formula>"No"</formula>
    </cfRule>
    <cfRule type="cellIs" dxfId="5875" priority="6542" operator="equal">
      <formula>"NA"</formula>
    </cfRule>
    <cfRule type="cellIs" dxfId="5874" priority="6543" operator="equal">
      <formula>"Yes"</formula>
    </cfRule>
  </conditionalFormatting>
  <conditionalFormatting sqref="AA27">
    <cfRule type="cellIs" dxfId="5873" priority="6538" operator="equal">
      <formula>"No"</formula>
    </cfRule>
    <cfRule type="cellIs" dxfId="5872" priority="6539" operator="equal">
      <formula>"NA"</formula>
    </cfRule>
    <cfRule type="cellIs" dxfId="5871" priority="6540" operator="equal">
      <formula>"Yes"</formula>
    </cfRule>
  </conditionalFormatting>
  <conditionalFormatting sqref="AA28">
    <cfRule type="cellIs" dxfId="5870" priority="6535" operator="equal">
      <formula>"No"</formula>
    </cfRule>
    <cfRule type="cellIs" dxfId="5869" priority="6536" operator="equal">
      <formula>"NA"</formula>
    </cfRule>
    <cfRule type="cellIs" dxfId="5868" priority="6537" operator="equal">
      <formula>"Yes"</formula>
    </cfRule>
  </conditionalFormatting>
  <conditionalFormatting sqref="AA30">
    <cfRule type="cellIs" dxfId="5867" priority="6532" operator="equal">
      <formula>"No"</formula>
    </cfRule>
    <cfRule type="cellIs" dxfId="5866" priority="6533" operator="equal">
      <formula>"NA"</formula>
    </cfRule>
    <cfRule type="cellIs" dxfId="5865" priority="6534" operator="equal">
      <formula>"Yes"</formula>
    </cfRule>
  </conditionalFormatting>
  <conditionalFormatting sqref="AA31">
    <cfRule type="cellIs" dxfId="5864" priority="6529" operator="equal">
      <formula>"No"</formula>
    </cfRule>
    <cfRule type="cellIs" dxfId="5863" priority="6530" operator="equal">
      <formula>"NA"</formula>
    </cfRule>
    <cfRule type="cellIs" dxfId="5862" priority="6531" operator="equal">
      <formula>"Yes"</formula>
    </cfRule>
  </conditionalFormatting>
  <conditionalFormatting sqref="AA33">
    <cfRule type="cellIs" dxfId="5861" priority="6526" operator="equal">
      <formula>"No"</formula>
    </cfRule>
    <cfRule type="cellIs" dxfId="5860" priority="6527" operator="equal">
      <formula>"NA"</formula>
    </cfRule>
    <cfRule type="cellIs" dxfId="5859" priority="6528" operator="equal">
      <formula>"Yes"</formula>
    </cfRule>
  </conditionalFormatting>
  <conditionalFormatting sqref="AA6">
    <cfRule type="cellIs" dxfId="5858" priority="6520" operator="equal">
      <formula>"No"</formula>
    </cfRule>
    <cfRule type="cellIs" dxfId="5857" priority="6521" operator="equal">
      <formula>"NA"</formula>
    </cfRule>
    <cfRule type="cellIs" dxfId="5856" priority="6522" operator="equal">
      <formula>"Yes"</formula>
    </cfRule>
  </conditionalFormatting>
  <conditionalFormatting sqref="AA11">
    <cfRule type="cellIs" dxfId="5855" priority="6517" operator="equal">
      <formula>"No"</formula>
    </cfRule>
    <cfRule type="cellIs" dxfId="5854" priority="6518" operator="equal">
      <formula>"NA"</formula>
    </cfRule>
    <cfRule type="cellIs" dxfId="5853" priority="6519" operator="equal">
      <formula>"Yes"</formula>
    </cfRule>
  </conditionalFormatting>
  <conditionalFormatting sqref="AA25">
    <cfRule type="cellIs" dxfId="5852" priority="6514" operator="equal">
      <formula>"No"</formula>
    </cfRule>
    <cfRule type="cellIs" dxfId="5851" priority="6515" operator="equal">
      <formula>"NA"</formula>
    </cfRule>
    <cfRule type="cellIs" dxfId="5850" priority="6516" operator="equal">
      <formula>"Yes"</formula>
    </cfRule>
  </conditionalFormatting>
  <conditionalFormatting sqref="AB17">
    <cfRule type="cellIs" dxfId="5849" priority="6508" operator="equal">
      <formula>"No"</formula>
    </cfRule>
    <cfRule type="cellIs" dxfId="5848" priority="6509" operator="equal">
      <formula>"NA"</formula>
    </cfRule>
    <cfRule type="cellIs" dxfId="5847" priority="6510" operator="equal">
      <formula>"Yes"</formula>
    </cfRule>
  </conditionalFormatting>
  <conditionalFormatting sqref="AB7">
    <cfRule type="cellIs" dxfId="5846" priority="6496" operator="equal">
      <formula>"No"</formula>
    </cfRule>
    <cfRule type="cellIs" dxfId="5845" priority="6497" operator="equal">
      <formula>"NA"</formula>
    </cfRule>
    <cfRule type="cellIs" dxfId="5844" priority="6498" operator="equal">
      <formula>"Yes"</formula>
    </cfRule>
  </conditionalFormatting>
  <conditionalFormatting sqref="AB9">
    <cfRule type="cellIs" dxfId="5843" priority="6493" operator="equal">
      <formula>"No"</formula>
    </cfRule>
    <cfRule type="cellIs" dxfId="5842" priority="6494" operator="equal">
      <formula>"NA"</formula>
    </cfRule>
    <cfRule type="cellIs" dxfId="5841" priority="6495" operator="equal">
      <formula>"Yes"</formula>
    </cfRule>
  </conditionalFormatting>
  <conditionalFormatting sqref="AB12">
    <cfRule type="cellIs" dxfId="5840" priority="6487" operator="equal">
      <formula>"No"</formula>
    </cfRule>
    <cfRule type="cellIs" dxfId="5839" priority="6488" operator="equal">
      <formula>"NA"</formula>
    </cfRule>
    <cfRule type="cellIs" dxfId="5838" priority="6489" operator="equal">
      <formula>"Yes"</formula>
    </cfRule>
  </conditionalFormatting>
  <conditionalFormatting sqref="AB13">
    <cfRule type="cellIs" dxfId="5837" priority="6484" operator="equal">
      <formula>"No"</formula>
    </cfRule>
    <cfRule type="cellIs" dxfId="5836" priority="6485" operator="equal">
      <formula>"NA"</formula>
    </cfRule>
    <cfRule type="cellIs" dxfId="5835" priority="6486" operator="equal">
      <formula>"Yes"</formula>
    </cfRule>
  </conditionalFormatting>
  <conditionalFormatting sqref="AB14">
    <cfRule type="cellIs" dxfId="5834" priority="6481" operator="equal">
      <formula>"No"</formula>
    </cfRule>
    <cfRule type="cellIs" dxfId="5833" priority="6482" operator="equal">
      <formula>"NA"</formula>
    </cfRule>
    <cfRule type="cellIs" dxfId="5832" priority="6483" operator="equal">
      <formula>"Yes"</formula>
    </cfRule>
  </conditionalFormatting>
  <conditionalFormatting sqref="AB15">
    <cfRule type="cellIs" dxfId="5831" priority="6478" operator="equal">
      <formula>"No"</formula>
    </cfRule>
    <cfRule type="cellIs" dxfId="5830" priority="6479" operator="equal">
      <formula>"NA"</formula>
    </cfRule>
    <cfRule type="cellIs" dxfId="5829" priority="6480" operator="equal">
      <formula>"Yes"</formula>
    </cfRule>
  </conditionalFormatting>
  <conditionalFormatting sqref="AB16">
    <cfRule type="cellIs" dxfId="5828" priority="6475" operator="equal">
      <formula>"No"</formula>
    </cfRule>
    <cfRule type="cellIs" dxfId="5827" priority="6476" operator="equal">
      <formula>"NA"</formula>
    </cfRule>
    <cfRule type="cellIs" dxfId="5826" priority="6477" operator="equal">
      <formula>"Yes"</formula>
    </cfRule>
  </conditionalFormatting>
  <conditionalFormatting sqref="AB18">
    <cfRule type="cellIs" dxfId="5825" priority="6472" operator="equal">
      <formula>"No"</formula>
    </cfRule>
    <cfRule type="cellIs" dxfId="5824" priority="6473" operator="equal">
      <formula>"NA"</formula>
    </cfRule>
    <cfRule type="cellIs" dxfId="5823" priority="6474" operator="equal">
      <formula>"Yes"</formula>
    </cfRule>
  </conditionalFormatting>
  <conditionalFormatting sqref="AB19">
    <cfRule type="cellIs" dxfId="5822" priority="6469" operator="equal">
      <formula>"No"</formula>
    </cfRule>
    <cfRule type="cellIs" dxfId="5821" priority="6470" operator="equal">
      <formula>"NA"</formula>
    </cfRule>
    <cfRule type="cellIs" dxfId="5820" priority="6471" operator="equal">
      <formula>"Yes"</formula>
    </cfRule>
  </conditionalFormatting>
  <conditionalFormatting sqref="AB20">
    <cfRule type="cellIs" dxfId="5819" priority="6466" operator="equal">
      <formula>"No"</formula>
    </cfRule>
    <cfRule type="cellIs" dxfId="5818" priority="6467" operator="equal">
      <formula>"NA"</formula>
    </cfRule>
    <cfRule type="cellIs" dxfId="5817" priority="6468" operator="equal">
      <formula>"Yes"</formula>
    </cfRule>
  </conditionalFormatting>
  <conditionalFormatting sqref="AB21">
    <cfRule type="cellIs" dxfId="5816" priority="6463" operator="equal">
      <formula>"No"</formula>
    </cfRule>
    <cfRule type="cellIs" dxfId="5815" priority="6464" operator="equal">
      <formula>"NA"</formula>
    </cfRule>
    <cfRule type="cellIs" dxfId="5814" priority="6465" operator="equal">
      <formula>"Yes"</formula>
    </cfRule>
  </conditionalFormatting>
  <conditionalFormatting sqref="AB22">
    <cfRule type="cellIs" dxfId="5813" priority="6460" operator="equal">
      <formula>"No"</formula>
    </cfRule>
    <cfRule type="cellIs" dxfId="5812" priority="6461" operator="equal">
      <formula>"NA"</formula>
    </cfRule>
    <cfRule type="cellIs" dxfId="5811" priority="6462" operator="equal">
      <formula>"Yes"</formula>
    </cfRule>
  </conditionalFormatting>
  <conditionalFormatting sqref="AB23">
    <cfRule type="cellIs" dxfId="5810" priority="6457" operator="equal">
      <formula>"No"</formula>
    </cfRule>
    <cfRule type="cellIs" dxfId="5809" priority="6458" operator="equal">
      <formula>"NA"</formula>
    </cfRule>
    <cfRule type="cellIs" dxfId="5808" priority="6459" operator="equal">
      <formula>"Yes"</formula>
    </cfRule>
  </conditionalFormatting>
  <conditionalFormatting sqref="AB26">
    <cfRule type="cellIs" dxfId="5807" priority="6451" operator="equal">
      <formula>"No"</formula>
    </cfRule>
    <cfRule type="cellIs" dxfId="5806" priority="6452" operator="equal">
      <formula>"NA"</formula>
    </cfRule>
    <cfRule type="cellIs" dxfId="5805" priority="6453" operator="equal">
      <formula>"Yes"</formula>
    </cfRule>
  </conditionalFormatting>
  <conditionalFormatting sqref="AB27">
    <cfRule type="cellIs" dxfId="5804" priority="6448" operator="equal">
      <formula>"No"</formula>
    </cfRule>
    <cfRule type="cellIs" dxfId="5803" priority="6449" operator="equal">
      <formula>"NA"</formula>
    </cfRule>
    <cfRule type="cellIs" dxfId="5802" priority="6450" operator="equal">
      <formula>"Yes"</formula>
    </cfRule>
  </conditionalFormatting>
  <conditionalFormatting sqref="AB28">
    <cfRule type="cellIs" dxfId="5801" priority="6445" operator="equal">
      <formula>"No"</formula>
    </cfRule>
    <cfRule type="cellIs" dxfId="5800" priority="6446" operator="equal">
      <formula>"NA"</formula>
    </cfRule>
    <cfRule type="cellIs" dxfId="5799" priority="6447" operator="equal">
      <formula>"Yes"</formula>
    </cfRule>
  </conditionalFormatting>
  <conditionalFormatting sqref="AB30">
    <cfRule type="cellIs" dxfId="5798" priority="6442" operator="equal">
      <formula>"No"</formula>
    </cfRule>
    <cfRule type="cellIs" dxfId="5797" priority="6443" operator="equal">
      <formula>"NA"</formula>
    </cfRule>
    <cfRule type="cellIs" dxfId="5796" priority="6444" operator="equal">
      <formula>"Yes"</formula>
    </cfRule>
  </conditionalFormatting>
  <conditionalFormatting sqref="AB31">
    <cfRule type="cellIs" dxfId="5795" priority="6439" operator="equal">
      <formula>"No"</formula>
    </cfRule>
    <cfRule type="cellIs" dxfId="5794" priority="6440" operator="equal">
      <formula>"NA"</formula>
    </cfRule>
    <cfRule type="cellIs" dxfId="5793" priority="6441" operator="equal">
      <formula>"Yes"</formula>
    </cfRule>
  </conditionalFormatting>
  <conditionalFormatting sqref="AB33">
    <cfRule type="cellIs" dxfId="5792" priority="6436" operator="equal">
      <formula>"No"</formula>
    </cfRule>
    <cfRule type="cellIs" dxfId="5791" priority="6437" operator="equal">
      <formula>"NA"</formula>
    </cfRule>
    <cfRule type="cellIs" dxfId="5790" priority="6438" operator="equal">
      <formula>"Yes"</formula>
    </cfRule>
  </conditionalFormatting>
  <conditionalFormatting sqref="AF33">
    <cfRule type="cellIs" dxfId="5789" priority="6376" operator="equal">
      <formula>"No"</formula>
    </cfRule>
    <cfRule type="cellIs" dxfId="5788" priority="6377" operator="equal">
      <formula>"NA"</formula>
    </cfRule>
    <cfRule type="cellIs" dxfId="5787" priority="6378" operator="equal">
      <formula>"Yes"</formula>
    </cfRule>
  </conditionalFormatting>
  <conditionalFormatting sqref="AB6">
    <cfRule type="cellIs" dxfId="5786" priority="6370" operator="equal">
      <formula>"No"</formula>
    </cfRule>
    <cfRule type="cellIs" dxfId="5785" priority="6371" operator="equal">
      <formula>"NA"</formula>
    </cfRule>
    <cfRule type="cellIs" dxfId="5784" priority="6372" operator="equal">
      <formula>"Yes"</formula>
    </cfRule>
  </conditionalFormatting>
  <conditionalFormatting sqref="AB10:AB11">
    <cfRule type="cellIs" dxfId="5783" priority="6367" operator="equal">
      <formula>"No"</formula>
    </cfRule>
    <cfRule type="cellIs" dxfId="5782" priority="6368" operator="equal">
      <formula>"NA"</formula>
    </cfRule>
    <cfRule type="cellIs" dxfId="5781" priority="6369" operator="equal">
      <formula>"Yes"</formula>
    </cfRule>
  </conditionalFormatting>
  <conditionalFormatting sqref="AB25">
    <cfRule type="cellIs" dxfId="5780" priority="6361" operator="equal">
      <formula>"No"</formula>
    </cfRule>
    <cfRule type="cellIs" dxfId="5779" priority="6362" operator="equal">
      <formula>"NA"</formula>
    </cfRule>
    <cfRule type="cellIs" dxfId="5778" priority="6363" operator="equal">
      <formula>"Yes"</formula>
    </cfRule>
  </conditionalFormatting>
  <conditionalFormatting sqref="AF10">
    <cfRule type="cellIs" dxfId="5777" priority="6355" operator="equal">
      <formula>"No"</formula>
    </cfRule>
    <cfRule type="cellIs" dxfId="5776" priority="6356" operator="equal">
      <formula>"NA"</formula>
    </cfRule>
    <cfRule type="cellIs" dxfId="5775" priority="6357" operator="equal">
      <formula>"Yes"</formula>
    </cfRule>
  </conditionalFormatting>
  <conditionalFormatting sqref="AF25">
    <cfRule type="cellIs" dxfId="5774" priority="6352" operator="equal">
      <formula>"No"</formula>
    </cfRule>
    <cfRule type="cellIs" dxfId="5773" priority="6353" operator="equal">
      <formula>"NA"</formula>
    </cfRule>
    <cfRule type="cellIs" dxfId="5772" priority="6354" operator="equal">
      <formula>"Yes"</formula>
    </cfRule>
  </conditionalFormatting>
  <conditionalFormatting sqref="AF6">
    <cfRule type="cellIs" dxfId="5771" priority="6346" operator="equal">
      <formula>"No"</formula>
    </cfRule>
    <cfRule type="cellIs" dxfId="5770" priority="6347" operator="equal">
      <formula>"NA"</formula>
    </cfRule>
    <cfRule type="cellIs" dxfId="5769" priority="6348" operator="equal">
      <formula>"Yes"</formula>
    </cfRule>
  </conditionalFormatting>
  <conditionalFormatting sqref="AF7">
    <cfRule type="cellIs" dxfId="5768" priority="6343" operator="equal">
      <formula>"No"</formula>
    </cfRule>
    <cfRule type="cellIs" dxfId="5767" priority="6344" operator="equal">
      <formula>"NA"</formula>
    </cfRule>
    <cfRule type="cellIs" dxfId="5766" priority="6345" operator="equal">
      <formula>"Yes"</formula>
    </cfRule>
  </conditionalFormatting>
  <conditionalFormatting sqref="AF9">
    <cfRule type="cellIs" dxfId="5765" priority="6340" operator="equal">
      <formula>"No"</formula>
    </cfRule>
    <cfRule type="cellIs" dxfId="5764" priority="6341" operator="equal">
      <formula>"NA"</formula>
    </cfRule>
    <cfRule type="cellIs" dxfId="5763" priority="6342" operator="equal">
      <formula>"Yes"</formula>
    </cfRule>
  </conditionalFormatting>
  <conditionalFormatting sqref="AF11">
    <cfRule type="cellIs" dxfId="5762" priority="6337" operator="equal">
      <formula>"No"</formula>
    </cfRule>
    <cfRule type="cellIs" dxfId="5761" priority="6338" operator="equal">
      <formula>"NA"</formula>
    </cfRule>
    <cfRule type="cellIs" dxfId="5760" priority="6339" operator="equal">
      <formula>"Yes"</formula>
    </cfRule>
  </conditionalFormatting>
  <conditionalFormatting sqref="AF12">
    <cfRule type="cellIs" dxfId="5759" priority="6334" operator="equal">
      <formula>"No"</formula>
    </cfRule>
    <cfRule type="cellIs" dxfId="5758" priority="6335" operator="equal">
      <formula>"NA"</formula>
    </cfRule>
    <cfRule type="cellIs" dxfId="5757" priority="6336" operator="equal">
      <formula>"Yes"</formula>
    </cfRule>
  </conditionalFormatting>
  <conditionalFormatting sqref="AF13">
    <cfRule type="cellIs" dxfId="5756" priority="6331" operator="equal">
      <formula>"No"</formula>
    </cfRule>
    <cfRule type="cellIs" dxfId="5755" priority="6332" operator="equal">
      <formula>"NA"</formula>
    </cfRule>
    <cfRule type="cellIs" dxfId="5754" priority="6333" operator="equal">
      <formula>"Yes"</formula>
    </cfRule>
  </conditionalFormatting>
  <conditionalFormatting sqref="AF14">
    <cfRule type="cellIs" dxfId="5753" priority="6328" operator="equal">
      <formula>"No"</formula>
    </cfRule>
    <cfRule type="cellIs" dxfId="5752" priority="6329" operator="equal">
      <formula>"NA"</formula>
    </cfRule>
    <cfRule type="cellIs" dxfId="5751" priority="6330" operator="equal">
      <formula>"Yes"</formula>
    </cfRule>
  </conditionalFormatting>
  <conditionalFormatting sqref="AF15">
    <cfRule type="cellIs" dxfId="5750" priority="6325" operator="equal">
      <formula>"No"</formula>
    </cfRule>
    <cfRule type="cellIs" dxfId="5749" priority="6326" operator="equal">
      <formula>"NA"</formula>
    </cfRule>
    <cfRule type="cellIs" dxfId="5748" priority="6327" operator="equal">
      <formula>"Yes"</formula>
    </cfRule>
  </conditionalFormatting>
  <conditionalFormatting sqref="AF16">
    <cfRule type="cellIs" dxfId="5747" priority="6322" operator="equal">
      <formula>"No"</formula>
    </cfRule>
    <cfRule type="cellIs" dxfId="5746" priority="6323" operator="equal">
      <formula>"NA"</formula>
    </cfRule>
    <cfRule type="cellIs" dxfId="5745" priority="6324" operator="equal">
      <formula>"Yes"</formula>
    </cfRule>
  </conditionalFormatting>
  <conditionalFormatting sqref="AF17">
    <cfRule type="cellIs" dxfId="5744" priority="6319" operator="equal">
      <formula>"No"</formula>
    </cfRule>
    <cfRule type="cellIs" dxfId="5743" priority="6320" operator="equal">
      <formula>"NA"</formula>
    </cfRule>
    <cfRule type="cellIs" dxfId="5742" priority="6321" operator="equal">
      <formula>"Yes"</formula>
    </cfRule>
  </conditionalFormatting>
  <conditionalFormatting sqref="AF18">
    <cfRule type="cellIs" dxfId="5741" priority="6316" operator="equal">
      <formula>"No"</formula>
    </cfRule>
    <cfRule type="cellIs" dxfId="5740" priority="6317" operator="equal">
      <formula>"NA"</formula>
    </cfRule>
    <cfRule type="cellIs" dxfId="5739" priority="6318" operator="equal">
      <formula>"Yes"</formula>
    </cfRule>
  </conditionalFormatting>
  <conditionalFormatting sqref="AF19">
    <cfRule type="cellIs" dxfId="5738" priority="6313" operator="equal">
      <formula>"No"</formula>
    </cfRule>
    <cfRule type="cellIs" dxfId="5737" priority="6314" operator="equal">
      <formula>"NA"</formula>
    </cfRule>
    <cfRule type="cellIs" dxfId="5736" priority="6315" operator="equal">
      <formula>"Yes"</formula>
    </cfRule>
  </conditionalFormatting>
  <conditionalFormatting sqref="AF20">
    <cfRule type="cellIs" dxfId="5735" priority="6310" operator="equal">
      <formula>"No"</formula>
    </cfRule>
    <cfRule type="cellIs" dxfId="5734" priority="6311" operator="equal">
      <formula>"NA"</formula>
    </cfRule>
    <cfRule type="cellIs" dxfId="5733" priority="6312" operator="equal">
      <formula>"Yes"</formula>
    </cfRule>
  </conditionalFormatting>
  <conditionalFormatting sqref="AF21">
    <cfRule type="cellIs" dxfId="5732" priority="6307" operator="equal">
      <formula>"No"</formula>
    </cfRule>
    <cfRule type="cellIs" dxfId="5731" priority="6308" operator="equal">
      <formula>"NA"</formula>
    </cfRule>
    <cfRule type="cellIs" dxfId="5730" priority="6309" operator="equal">
      <formula>"Yes"</formula>
    </cfRule>
  </conditionalFormatting>
  <conditionalFormatting sqref="AF22">
    <cfRule type="cellIs" dxfId="5729" priority="6304" operator="equal">
      <formula>"No"</formula>
    </cfRule>
    <cfRule type="cellIs" dxfId="5728" priority="6305" operator="equal">
      <formula>"NA"</formula>
    </cfRule>
    <cfRule type="cellIs" dxfId="5727" priority="6306" operator="equal">
      <formula>"Yes"</formula>
    </cfRule>
  </conditionalFormatting>
  <conditionalFormatting sqref="AF23">
    <cfRule type="cellIs" dxfId="5726" priority="6301" operator="equal">
      <formula>"No"</formula>
    </cfRule>
    <cfRule type="cellIs" dxfId="5725" priority="6302" operator="equal">
      <formula>"NA"</formula>
    </cfRule>
    <cfRule type="cellIs" dxfId="5724" priority="6303" operator="equal">
      <formula>"Yes"</formula>
    </cfRule>
  </conditionalFormatting>
  <conditionalFormatting sqref="AF26">
    <cfRule type="cellIs" dxfId="5723" priority="6298" operator="equal">
      <formula>"No"</formula>
    </cfRule>
    <cfRule type="cellIs" dxfId="5722" priority="6299" operator="equal">
      <formula>"NA"</formula>
    </cfRule>
    <cfRule type="cellIs" dxfId="5721" priority="6300" operator="equal">
      <formula>"Yes"</formula>
    </cfRule>
  </conditionalFormatting>
  <conditionalFormatting sqref="AF27">
    <cfRule type="cellIs" dxfId="5720" priority="6295" operator="equal">
      <formula>"No"</formula>
    </cfRule>
    <cfRule type="cellIs" dxfId="5719" priority="6296" operator="equal">
      <formula>"NA"</formula>
    </cfRule>
    <cfRule type="cellIs" dxfId="5718" priority="6297" operator="equal">
      <formula>"Yes"</formula>
    </cfRule>
  </conditionalFormatting>
  <conditionalFormatting sqref="AF28">
    <cfRule type="cellIs" dxfId="5717" priority="6292" operator="equal">
      <formula>"No"</formula>
    </cfRule>
    <cfRule type="cellIs" dxfId="5716" priority="6293" operator="equal">
      <formula>"NA"</formula>
    </cfRule>
    <cfRule type="cellIs" dxfId="5715" priority="6294" operator="equal">
      <formula>"Yes"</formula>
    </cfRule>
  </conditionalFormatting>
  <conditionalFormatting sqref="AF30">
    <cfRule type="cellIs" dxfId="5714" priority="6289" operator="equal">
      <formula>"No"</formula>
    </cfRule>
    <cfRule type="cellIs" dxfId="5713" priority="6290" operator="equal">
      <formula>"NA"</formula>
    </cfRule>
    <cfRule type="cellIs" dxfId="5712" priority="6291" operator="equal">
      <formula>"Yes"</formula>
    </cfRule>
  </conditionalFormatting>
  <conditionalFormatting sqref="AF31">
    <cfRule type="cellIs" dxfId="5711" priority="6286" operator="equal">
      <formula>"No"</formula>
    </cfRule>
    <cfRule type="cellIs" dxfId="5710" priority="6287" operator="equal">
      <formula>"NA"</formula>
    </cfRule>
    <cfRule type="cellIs" dxfId="5709" priority="6288" operator="equal">
      <formula>"Yes"</formula>
    </cfRule>
  </conditionalFormatting>
  <conditionalFormatting sqref="T33">
    <cfRule type="cellIs" dxfId="5708" priority="6283" operator="equal">
      <formula>"No"</formula>
    </cfRule>
    <cfRule type="cellIs" dxfId="5707" priority="6284" operator="equal">
      <formula>"NA"</formula>
    </cfRule>
    <cfRule type="cellIs" dxfId="5706" priority="6285" operator="equal">
      <formula>"Yes"</formula>
    </cfRule>
  </conditionalFormatting>
  <conditionalFormatting sqref="T6">
    <cfRule type="cellIs" dxfId="5705" priority="6280" operator="equal">
      <formula>"No"</formula>
    </cfRule>
    <cfRule type="cellIs" dxfId="5704" priority="6281" operator="equal">
      <formula>"NA"</formula>
    </cfRule>
    <cfRule type="cellIs" dxfId="5703" priority="6282" operator="equal">
      <formula>"Yes"</formula>
    </cfRule>
  </conditionalFormatting>
  <conditionalFormatting sqref="T7">
    <cfRule type="cellIs" dxfId="5702" priority="6277" operator="equal">
      <formula>"No"</formula>
    </cfRule>
    <cfRule type="cellIs" dxfId="5701" priority="6278" operator="equal">
      <formula>"NA"</formula>
    </cfRule>
    <cfRule type="cellIs" dxfId="5700" priority="6279" operator="equal">
      <formula>"Yes"</formula>
    </cfRule>
  </conditionalFormatting>
  <conditionalFormatting sqref="T9">
    <cfRule type="cellIs" dxfId="5699" priority="6274" operator="equal">
      <formula>"No"</formula>
    </cfRule>
    <cfRule type="cellIs" dxfId="5698" priority="6275" operator="equal">
      <formula>"NA"</formula>
    </cfRule>
    <cfRule type="cellIs" dxfId="5697" priority="6276" operator="equal">
      <formula>"Yes"</formula>
    </cfRule>
  </conditionalFormatting>
  <conditionalFormatting sqref="T10:T11">
    <cfRule type="cellIs" dxfId="5696" priority="6271" operator="equal">
      <formula>"No"</formula>
    </cfRule>
    <cfRule type="cellIs" dxfId="5695" priority="6272" operator="equal">
      <formula>"NA"</formula>
    </cfRule>
    <cfRule type="cellIs" dxfId="5694" priority="6273" operator="equal">
      <formula>"Yes"</formula>
    </cfRule>
  </conditionalFormatting>
  <conditionalFormatting sqref="T12:T16">
    <cfRule type="cellIs" dxfId="5693" priority="6268" operator="equal">
      <formula>"No"</formula>
    </cfRule>
    <cfRule type="cellIs" dxfId="5692" priority="6269" operator="equal">
      <formula>"NA"</formula>
    </cfRule>
    <cfRule type="cellIs" dxfId="5691" priority="6270" operator="equal">
      <formula>"Yes"</formula>
    </cfRule>
  </conditionalFormatting>
  <conditionalFormatting sqref="T17">
    <cfRule type="cellIs" dxfId="5690" priority="6265" operator="equal">
      <formula>"No"</formula>
    </cfRule>
    <cfRule type="cellIs" dxfId="5689" priority="6266" operator="equal">
      <formula>"NA"</formula>
    </cfRule>
    <cfRule type="cellIs" dxfId="5688" priority="6267" operator="equal">
      <formula>"Yes"</formula>
    </cfRule>
  </conditionalFormatting>
  <conditionalFormatting sqref="T18">
    <cfRule type="cellIs" dxfId="5687" priority="6262" operator="equal">
      <formula>"No"</formula>
    </cfRule>
    <cfRule type="cellIs" dxfId="5686" priority="6263" operator="equal">
      <formula>"NA"</formula>
    </cfRule>
    <cfRule type="cellIs" dxfId="5685" priority="6264" operator="equal">
      <formula>"Yes"</formula>
    </cfRule>
  </conditionalFormatting>
  <conditionalFormatting sqref="T19">
    <cfRule type="cellIs" dxfId="5684" priority="6259" operator="equal">
      <formula>"No"</formula>
    </cfRule>
    <cfRule type="cellIs" dxfId="5683" priority="6260" operator="equal">
      <formula>"NA"</formula>
    </cfRule>
    <cfRule type="cellIs" dxfId="5682" priority="6261" operator="equal">
      <formula>"Yes"</formula>
    </cfRule>
  </conditionalFormatting>
  <conditionalFormatting sqref="T20">
    <cfRule type="cellIs" dxfId="5681" priority="6256" operator="equal">
      <formula>"No"</formula>
    </cfRule>
    <cfRule type="cellIs" dxfId="5680" priority="6257" operator="equal">
      <formula>"NA"</formula>
    </cfRule>
    <cfRule type="cellIs" dxfId="5679" priority="6258" operator="equal">
      <formula>"Yes"</formula>
    </cfRule>
  </conditionalFormatting>
  <conditionalFormatting sqref="T21">
    <cfRule type="cellIs" dxfId="5678" priority="6253" operator="equal">
      <formula>"No"</formula>
    </cfRule>
    <cfRule type="cellIs" dxfId="5677" priority="6254" operator="equal">
      <formula>"NA"</formula>
    </cfRule>
    <cfRule type="cellIs" dxfId="5676" priority="6255" operator="equal">
      <formula>"Yes"</formula>
    </cfRule>
  </conditionalFormatting>
  <conditionalFormatting sqref="T22">
    <cfRule type="cellIs" dxfId="5675" priority="6250" operator="equal">
      <formula>"No"</formula>
    </cfRule>
    <cfRule type="cellIs" dxfId="5674" priority="6251" operator="equal">
      <formula>"NA"</formula>
    </cfRule>
    <cfRule type="cellIs" dxfId="5673" priority="6252" operator="equal">
      <formula>"Yes"</formula>
    </cfRule>
  </conditionalFormatting>
  <conditionalFormatting sqref="T23">
    <cfRule type="cellIs" dxfId="5672" priority="6247" operator="equal">
      <formula>"No"</formula>
    </cfRule>
    <cfRule type="cellIs" dxfId="5671" priority="6248" operator="equal">
      <formula>"NA"</formula>
    </cfRule>
    <cfRule type="cellIs" dxfId="5670" priority="6249" operator="equal">
      <formula>"Yes"</formula>
    </cfRule>
  </conditionalFormatting>
  <conditionalFormatting sqref="T25">
    <cfRule type="cellIs" dxfId="5669" priority="6244" operator="equal">
      <formula>"No"</formula>
    </cfRule>
    <cfRule type="cellIs" dxfId="5668" priority="6245" operator="equal">
      <formula>"NA"</formula>
    </cfRule>
    <cfRule type="cellIs" dxfId="5667" priority="6246" operator="equal">
      <formula>"Yes"</formula>
    </cfRule>
  </conditionalFormatting>
  <conditionalFormatting sqref="T26">
    <cfRule type="cellIs" dxfId="5666" priority="6241" operator="equal">
      <formula>"No"</formula>
    </cfRule>
    <cfRule type="cellIs" dxfId="5665" priority="6242" operator="equal">
      <formula>"NA"</formula>
    </cfRule>
    <cfRule type="cellIs" dxfId="5664" priority="6243" operator="equal">
      <formula>"Yes"</formula>
    </cfRule>
  </conditionalFormatting>
  <conditionalFormatting sqref="T27">
    <cfRule type="cellIs" dxfId="5663" priority="6238" operator="equal">
      <formula>"No"</formula>
    </cfRule>
    <cfRule type="cellIs" dxfId="5662" priority="6239" operator="equal">
      <formula>"NA"</formula>
    </cfRule>
    <cfRule type="cellIs" dxfId="5661" priority="6240" operator="equal">
      <formula>"Yes"</formula>
    </cfRule>
  </conditionalFormatting>
  <conditionalFormatting sqref="T28">
    <cfRule type="cellIs" dxfId="5660" priority="6235" operator="equal">
      <formula>"No"</formula>
    </cfRule>
    <cfRule type="cellIs" dxfId="5659" priority="6236" operator="equal">
      <formula>"NA"</formula>
    </cfRule>
    <cfRule type="cellIs" dxfId="5658" priority="6237" operator="equal">
      <formula>"Yes"</formula>
    </cfRule>
  </conditionalFormatting>
  <conditionalFormatting sqref="T30">
    <cfRule type="cellIs" dxfId="5657" priority="6232" operator="equal">
      <formula>"No"</formula>
    </cfRule>
    <cfRule type="cellIs" dxfId="5656" priority="6233" operator="equal">
      <formula>"NA"</formula>
    </cfRule>
    <cfRule type="cellIs" dxfId="5655" priority="6234" operator="equal">
      <formula>"Yes"</formula>
    </cfRule>
  </conditionalFormatting>
  <conditionalFormatting sqref="T31">
    <cfRule type="cellIs" dxfId="5654" priority="6229" operator="equal">
      <formula>"No"</formula>
    </cfRule>
    <cfRule type="cellIs" dxfId="5653" priority="6230" operator="equal">
      <formula>"NA"</formula>
    </cfRule>
    <cfRule type="cellIs" dxfId="5652" priority="6231" operator="equal">
      <formula>"Yes"</formula>
    </cfRule>
  </conditionalFormatting>
  <conditionalFormatting sqref="S33">
    <cfRule type="cellIs" dxfId="5651" priority="6226" operator="equal">
      <formula>"No"</formula>
    </cfRule>
    <cfRule type="cellIs" dxfId="5650" priority="6227" operator="equal">
      <formula>"NA"</formula>
    </cfRule>
    <cfRule type="cellIs" dxfId="5649" priority="6228" operator="equal">
      <formula>"Yes"</formula>
    </cfRule>
  </conditionalFormatting>
  <conditionalFormatting sqref="S6">
    <cfRule type="cellIs" dxfId="5648" priority="6223" operator="equal">
      <formula>"No"</formula>
    </cfRule>
    <cfRule type="cellIs" dxfId="5647" priority="6224" operator="equal">
      <formula>"NA"</formula>
    </cfRule>
    <cfRule type="cellIs" dxfId="5646" priority="6225" operator="equal">
      <formula>"Yes"</formula>
    </cfRule>
  </conditionalFormatting>
  <conditionalFormatting sqref="S7">
    <cfRule type="cellIs" dxfId="5645" priority="6220" operator="equal">
      <formula>"No"</formula>
    </cfRule>
    <cfRule type="cellIs" dxfId="5644" priority="6221" operator="equal">
      <formula>"NA"</formula>
    </cfRule>
    <cfRule type="cellIs" dxfId="5643" priority="6222" operator="equal">
      <formula>"Yes"</formula>
    </cfRule>
  </conditionalFormatting>
  <conditionalFormatting sqref="S9">
    <cfRule type="cellIs" dxfId="5642" priority="6217" operator="equal">
      <formula>"No"</formula>
    </cfRule>
    <cfRule type="cellIs" dxfId="5641" priority="6218" operator="equal">
      <formula>"NA"</formula>
    </cfRule>
    <cfRule type="cellIs" dxfId="5640" priority="6219" operator="equal">
      <formula>"Yes"</formula>
    </cfRule>
  </conditionalFormatting>
  <conditionalFormatting sqref="S10:S11">
    <cfRule type="cellIs" dxfId="5639" priority="6214" operator="equal">
      <formula>"No"</formula>
    </cfRule>
    <cfRule type="cellIs" dxfId="5638" priority="6215" operator="equal">
      <formula>"NA"</formula>
    </cfRule>
    <cfRule type="cellIs" dxfId="5637" priority="6216" operator="equal">
      <formula>"Yes"</formula>
    </cfRule>
  </conditionalFormatting>
  <conditionalFormatting sqref="S12:S16">
    <cfRule type="cellIs" dxfId="5636" priority="6211" operator="equal">
      <formula>"No"</formula>
    </cfRule>
    <cfRule type="cellIs" dxfId="5635" priority="6212" operator="equal">
      <formula>"NA"</formula>
    </cfRule>
    <cfRule type="cellIs" dxfId="5634" priority="6213" operator="equal">
      <formula>"Yes"</formula>
    </cfRule>
  </conditionalFormatting>
  <conditionalFormatting sqref="S17">
    <cfRule type="cellIs" dxfId="5633" priority="6208" operator="equal">
      <formula>"No"</formula>
    </cfRule>
    <cfRule type="cellIs" dxfId="5632" priority="6209" operator="equal">
      <formula>"NA"</formula>
    </cfRule>
    <cfRule type="cellIs" dxfId="5631" priority="6210" operator="equal">
      <formula>"Yes"</formula>
    </cfRule>
  </conditionalFormatting>
  <conditionalFormatting sqref="S18">
    <cfRule type="cellIs" dxfId="5630" priority="6205" operator="equal">
      <formula>"No"</formula>
    </cfRule>
    <cfRule type="cellIs" dxfId="5629" priority="6206" operator="equal">
      <formula>"NA"</formula>
    </cfRule>
    <cfRule type="cellIs" dxfId="5628" priority="6207" operator="equal">
      <formula>"Yes"</formula>
    </cfRule>
  </conditionalFormatting>
  <conditionalFormatting sqref="S19">
    <cfRule type="cellIs" dxfId="5627" priority="6202" operator="equal">
      <formula>"No"</formula>
    </cfRule>
    <cfRule type="cellIs" dxfId="5626" priority="6203" operator="equal">
      <formula>"NA"</formula>
    </cfRule>
    <cfRule type="cellIs" dxfId="5625" priority="6204" operator="equal">
      <formula>"Yes"</formula>
    </cfRule>
  </conditionalFormatting>
  <conditionalFormatting sqref="S20">
    <cfRule type="cellIs" dxfId="5624" priority="6199" operator="equal">
      <formula>"No"</formula>
    </cfRule>
    <cfRule type="cellIs" dxfId="5623" priority="6200" operator="equal">
      <formula>"NA"</formula>
    </cfRule>
    <cfRule type="cellIs" dxfId="5622" priority="6201" operator="equal">
      <formula>"Yes"</formula>
    </cfRule>
  </conditionalFormatting>
  <conditionalFormatting sqref="S21">
    <cfRule type="cellIs" dxfId="5621" priority="6196" operator="equal">
      <formula>"No"</formula>
    </cfRule>
    <cfRule type="cellIs" dxfId="5620" priority="6197" operator="equal">
      <formula>"NA"</formula>
    </cfRule>
    <cfRule type="cellIs" dxfId="5619" priority="6198" operator="equal">
      <formula>"Yes"</formula>
    </cfRule>
  </conditionalFormatting>
  <conditionalFormatting sqref="S22">
    <cfRule type="cellIs" dxfId="5618" priority="6193" operator="equal">
      <formula>"No"</formula>
    </cfRule>
    <cfRule type="cellIs" dxfId="5617" priority="6194" operator="equal">
      <formula>"NA"</formula>
    </cfRule>
    <cfRule type="cellIs" dxfId="5616" priority="6195" operator="equal">
      <formula>"Yes"</formula>
    </cfRule>
  </conditionalFormatting>
  <conditionalFormatting sqref="S23">
    <cfRule type="cellIs" dxfId="5615" priority="6190" operator="equal">
      <formula>"No"</formula>
    </cfRule>
    <cfRule type="cellIs" dxfId="5614" priority="6191" operator="equal">
      <formula>"NA"</formula>
    </cfRule>
    <cfRule type="cellIs" dxfId="5613" priority="6192" operator="equal">
      <formula>"Yes"</formula>
    </cfRule>
  </conditionalFormatting>
  <conditionalFormatting sqref="S25">
    <cfRule type="cellIs" dxfId="5612" priority="6187" operator="equal">
      <formula>"No"</formula>
    </cfRule>
    <cfRule type="cellIs" dxfId="5611" priority="6188" operator="equal">
      <formula>"NA"</formula>
    </cfRule>
    <cfRule type="cellIs" dxfId="5610" priority="6189" operator="equal">
      <formula>"Yes"</formula>
    </cfRule>
  </conditionalFormatting>
  <conditionalFormatting sqref="S26">
    <cfRule type="cellIs" dxfId="5609" priority="6184" operator="equal">
      <formula>"No"</formula>
    </cfRule>
    <cfRule type="cellIs" dxfId="5608" priority="6185" operator="equal">
      <formula>"NA"</formula>
    </cfRule>
    <cfRule type="cellIs" dxfId="5607" priority="6186" operator="equal">
      <formula>"Yes"</formula>
    </cfRule>
  </conditionalFormatting>
  <conditionalFormatting sqref="S27">
    <cfRule type="cellIs" dxfId="5606" priority="6181" operator="equal">
      <formula>"No"</formula>
    </cfRule>
    <cfRule type="cellIs" dxfId="5605" priority="6182" operator="equal">
      <formula>"NA"</formula>
    </cfRule>
    <cfRule type="cellIs" dxfId="5604" priority="6183" operator="equal">
      <formula>"Yes"</formula>
    </cfRule>
  </conditionalFormatting>
  <conditionalFormatting sqref="S28">
    <cfRule type="cellIs" dxfId="5603" priority="6178" operator="equal">
      <formula>"No"</formula>
    </cfRule>
    <cfRule type="cellIs" dxfId="5602" priority="6179" operator="equal">
      <formula>"NA"</formula>
    </cfRule>
    <cfRule type="cellIs" dxfId="5601" priority="6180" operator="equal">
      <formula>"Yes"</formula>
    </cfRule>
  </conditionalFormatting>
  <conditionalFormatting sqref="S30">
    <cfRule type="cellIs" dxfId="5600" priority="6175" operator="equal">
      <formula>"No"</formula>
    </cfRule>
    <cfRule type="cellIs" dxfId="5599" priority="6176" operator="equal">
      <formula>"NA"</formula>
    </cfRule>
    <cfRule type="cellIs" dxfId="5598" priority="6177" operator="equal">
      <formula>"Yes"</formula>
    </cfRule>
  </conditionalFormatting>
  <conditionalFormatting sqref="S31">
    <cfRule type="cellIs" dxfId="5597" priority="6172" operator="equal">
      <formula>"No"</formula>
    </cfRule>
    <cfRule type="cellIs" dxfId="5596" priority="6173" operator="equal">
      <formula>"NA"</formula>
    </cfRule>
    <cfRule type="cellIs" dxfId="5595" priority="6174" operator="equal">
      <formula>"Yes"</formula>
    </cfRule>
  </conditionalFormatting>
  <conditionalFormatting sqref="R33">
    <cfRule type="cellIs" dxfId="5594" priority="6169" operator="equal">
      <formula>"No"</formula>
    </cfRule>
    <cfRule type="cellIs" dxfId="5593" priority="6170" operator="equal">
      <formula>"NA"</formula>
    </cfRule>
    <cfRule type="cellIs" dxfId="5592" priority="6171" operator="equal">
      <formula>"Yes"</formula>
    </cfRule>
  </conditionalFormatting>
  <conditionalFormatting sqref="R6">
    <cfRule type="cellIs" dxfId="5591" priority="6166" operator="equal">
      <formula>"No"</formula>
    </cfRule>
    <cfRule type="cellIs" dxfId="5590" priority="6167" operator="equal">
      <formula>"NA"</formula>
    </cfRule>
    <cfRule type="cellIs" dxfId="5589" priority="6168" operator="equal">
      <formula>"Yes"</formula>
    </cfRule>
  </conditionalFormatting>
  <conditionalFormatting sqref="R7">
    <cfRule type="cellIs" dxfId="5588" priority="6163" operator="equal">
      <formula>"No"</formula>
    </cfRule>
    <cfRule type="cellIs" dxfId="5587" priority="6164" operator="equal">
      <formula>"NA"</formula>
    </cfRule>
    <cfRule type="cellIs" dxfId="5586" priority="6165" operator="equal">
      <formula>"Yes"</formula>
    </cfRule>
  </conditionalFormatting>
  <conditionalFormatting sqref="R9">
    <cfRule type="cellIs" dxfId="5585" priority="6160" operator="equal">
      <formula>"No"</formula>
    </cfRule>
    <cfRule type="cellIs" dxfId="5584" priority="6161" operator="equal">
      <formula>"NA"</formula>
    </cfRule>
    <cfRule type="cellIs" dxfId="5583" priority="6162" operator="equal">
      <formula>"Yes"</formula>
    </cfRule>
  </conditionalFormatting>
  <conditionalFormatting sqref="R10:R11">
    <cfRule type="cellIs" dxfId="5582" priority="6157" operator="equal">
      <formula>"No"</formula>
    </cfRule>
    <cfRule type="cellIs" dxfId="5581" priority="6158" operator="equal">
      <formula>"NA"</formula>
    </cfRule>
    <cfRule type="cellIs" dxfId="5580" priority="6159" operator="equal">
      <formula>"Yes"</formula>
    </cfRule>
  </conditionalFormatting>
  <conditionalFormatting sqref="R12:R16">
    <cfRule type="cellIs" dxfId="5579" priority="6154" operator="equal">
      <formula>"No"</formula>
    </cfRule>
    <cfRule type="cellIs" dxfId="5578" priority="6155" operator="equal">
      <formula>"NA"</formula>
    </cfRule>
    <cfRule type="cellIs" dxfId="5577" priority="6156" operator="equal">
      <formula>"Yes"</formula>
    </cfRule>
  </conditionalFormatting>
  <conditionalFormatting sqref="R17">
    <cfRule type="cellIs" dxfId="5576" priority="6151" operator="equal">
      <formula>"No"</formula>
    </cfRule>
    <cfRule type="cellIs" dxfId="5575" priority="6152" operator="equal">
      <formula>"NA"</formula>
    </cfRule>
    <cfRule type="cellIs" dxfId="5574" priority="6153" operator="equal">
      <formula>"Yes"</formula>
    </cfRule>
  </conditionalFormatting>
  <conditionalFormatting sqref="R18">
    <cfRule type="cellIs" dxfId="5573" priority="6148" operator="equal">
      <formula>"No"</formula>
    </cfRule>
    <cfRule type="cellIs" dxfId="5572" priority="6149" operator="equal">
      <formula>"NA"</formula>
    </cfRule>
    <cfRule type="cellIs" dxfId="5571" priority="6150" operator="equal">
      <formula>"Yes"</formula>
    </cfRule>
  </conditionalFormatting>
  <conditionalFormatting sqref="R19">
    <cfRule type="cellIs" dxfId="5570" priority="6145" operator="equal">
      <formula>"No"</formula>
    </cfRule>
    <cfRule type="cellIs" dxfId="5569" priority="6146" operator="equal">
      <formula>"NA"</formula>
    </cfRule>
    <cfRule type="cellIs" dxfId="5568" priority="6147" operator="equal">
      <formula>"Yes"</formula>
    </cfRule>
  </conditionalFormatting>
  <conditionalFormatting sqref="R20">
    <cfRule type="cellIs" dxfId="5567" priority="6142" operator="equal">
      <formula>"No"</formula>
    </cfRule>
    <cfRule type="cellIs" dxfId="5566" priority="6143" operator="equal">
      <formula>"NA"</formula>
    </cfRule>
    <cfRule type="cellIs" dxfId="5565" priority="6144" operator="equal">
      <formula>"Yes"</formula>
    </cfRule>
  </conditionalFormatting>
  <conditionalFormatting sqref="R21">
    <cfRule type="cellIs" dxfId="5564" priority="6139" operator="equal">
      <formula>"No"</formula>
    </cfRule>
    <cfRule type="cellIs" dxfId="5563" priority="6140" operator="equal">
      <formula>"NA"</formula>
    </cfRule>
    <cfRule type="cellIs" dxfId="5562" priority="6141" operator="equal">
      <formula>"Yes"</formula>
    </cfRule>
  </conditionalFormatting>
  <conditionalFormatting sqref="R22">
    <cfRule type="cellIs" dxfId="5561" priority="6136" operator="equal">
      <formula>"No"</formula>
    </cfRule>
    <cfRule type="cellIs" dxfId="5560" priority="6137" operator="equal">
      <formula>"NA"</formula>
    </cfRule>
    <cfRule type="cellIs" dxfId="5559" priority="6138" operator="equal">
      <formula>"Yes"</formula>
    </cfRule>
  </conditionalFormatting>
  <conditionalFormatting sqref="R23">
    <cfRule type="cellIs" dxfId="5558" priority="6133" operator="equal">
      <formula>"No"</formula>
    </cfRule>
    <cfRule type="cellIs" dxfId="5557" priority="6134" operator="equal">
      <formula>"NA"</formula>
    </cfRule>
    <cfRule type="cellIs" dxfId="5556" priority="6135" operator="equal">
      <formula>"Yes"</formula>
    </cfRule>
  </conditionalFormatting>
  <conditionalFormatting sqref="R25">
    <cfRule type="cellIs" dxfId="5555" priority="6130" operator="equal">
      <formula>"No"</formula>
    </cfRule>
    <cfRule type="cellIs" dxfId="5554" priority="6131" operator="equal">
      <formula>"NA"</formula>
    </cfRule>
    <cfRule type="cellIs" dxfId="5553" priority="6132" operator="equal">
      <formula>"Yes"</formula>
    </cfRule>
  </conditionalFormatting>
  <conditionalFormatting sqref="R26">
    <cfRule type="cellIs" dxfId="5552" priority="6127" operator="equal">
      <formula>"No"</formula>
    </cfRule>
    <cfRule type="cellIs" dxfId="5551" priority="6128" operator="equal">
      <formula>"NA"</formula>
    </cfRule>
    <cfRule type="cellIs" dxfId="5550" priority="6129" operator="equal">
      <formula>"Yes"</formula>
    </cfRule>
  </conditionalFormatting>
  <conditionalFormatting sqref="R27">
    <cfRule type="cellIs" dxfId="5549" priority="6124" operator="equal">
      <formula>"No"</formula>
    </cfRule>
    <cfRule type="cellIs" dxfId="5548" priority="6125" operator="equal">
      <formula>"NA"</formula>
    </cfRule>
    <cfRule type="cellIs" dxfId="5547" priority="6126" operator="equal">
      <formula>"Yes"</formula>
    </cfRule>
  </conditionalFormatting>
  <conditionalFormatting sqref="R28">
    <cfRule type="cellIs" dxfId="5546" priority="6121" operator="equal">
      <formula>"No"</formula>
    </cfRule>
    <cfRule type="cellIs" dxfId="5545" priority="6122" operator="equal">
      <formula>"NA"</formula>
    </cfRule>
    <cfRule type="cellIs" dxfId="5544" priority="6123" operator="equal">
      <formula>"Yes"</formula>
    </cfRule>
  </conditionalFormatting>
  <conditionalFormatting sqref="R30">
    <cfRule type="cellIs" dxfId="5543" priority="6118" operator="equal">
      <formula>"No"</formula>
    </cfRule>
    <cfRule type="cellIs" dxfId="5542" priority="6119" operator="equal">
      <formula>"NA"</formula>
    </cfRule>
    <cfRule type="cellIs" dxfId="5541" priority="6120" operator="equal">
      <formula>"Yes"</formula>
    </cfRule>
  </conditionalFormatting>
  <conditionalFormatting sqref="R31">
    <cfRule type="cellIs" dxfId="5540" priority="6115" operator="equal">
      <formula>"No"</formula>
    </cfRule>
    <cfRule type="cellIs" dxfId="5539" priority="6116" operator="equal">
      <formula>"NA"</formula>
    </cfRule>
    <cfRule type="cellIs" dxfId="5538" priority="6117" operator="equal">
      <formula>"Yes"</formula>
    </cfRule>
  </conditionalFormatting>
  <conditionalFormatting sqref="X33">
    <cfRule type="cellIs" dxfId="5537" priority="6112" operator="equal">
      <formula>"No"</formula>
    </cfRule>
    <cfRule type="cellIs" dxfId="5536" priority="6113" operator="equal">
      <formula>"NA"</formula>
    </cfRule>
    <cfRule type="cellIs" dxfId="5535" priority="6114" operator="equal">
      <formula>"Yes"</formula>
    </cfRule>
  </conditionalFormatting>
  <conditionalFormatting sqref="X7">
    <cfRule type="cellIs" dxfId="5534" priority="6109" operator="equal">
      <formula>"No"</formula>
    </cfRule>
    <cfRule type="cellIs" dxfId="5533" priority="6110" operator="equal">
      <formula>"NA"</formula>
    </cfRule>
    <cfRule type="cellIs" dxfId="5532" priority="6111" operator="equal">
      <formula>"Yes"</formula>
    </cfRule>
  </conditionalFormatting>
  <conditionalFormatting sqref="X9">
    <cfRule type="cellIs" dxfId="5531" priority="6106" operator="equal">
      <formula>"No"</formula>
    </cfRule>
    <cfRule type="cellIs" dxfId="5530" priority="6107" operator="equal">
      <formula>"NA"</formula>
    </cfRule>
    <cfRule type="cellIs" dxfId="5529" priority="6108" operator="equal">
      <formula>"Yes"</formula>
    </cfRule>
  </conditionalFormatting>
  <conditionalFormatting sqref="X10:X11">
    <cfRule type="cellIs" dxfId="5528" priority="6103" operator="equal">
      <formula>"No"</formula>
    </cfRule>
    <cfRule type="cellIs" dxfId="5527" priority="6104" operator="equal">
      <formula>"NA"</formula>
    </cfRule>
    <cfRule type="cellIs" dxfId="5526" priority="6105" operator="equal">
      <formula>"Yes"</formula>
    </cfRule>
  </conditionalFormatting>
  <conditionalFormatting sqref="X12:X16">
    <cfRule type="cellIs" dxfId="5525" priority="6100" operator="equal">
      <formula>"No"</formula>
    </cfRule>
    <cfRule type="cellIs" dxfId="5524" priority="6101" operator="equal">
      <formula>"NA"</formula>
    </cfRule>
    <cfRule type="cellIs" dxfId="5523" priority="6102" operator="equal">
      <formula>"Yes"</formula>
    </cfRule>
  </conditionalFormatting>
  <conditionalFormatting sqref="X17">
    <cfRule type="cellIs" dxfId="5522" priority="6097" operator="equal">
      <formula>"No"</formula>
    </cfRule>
    <cfRule type="cellIs" dxfId="5521" priority="6098" operator="equal">
      <formula>"NA"</formula>
    </cfRule>
    <cfRule type="cellIs" dxfId="5520" priority="6099" operator="equal">
      <formula>"Yes"</formula>
    </cfRule>
  </conditionalFormatting>
  <conditionalFormatting sqref="X18">
    <cfRule type="cellIs" dxfId="5519" priority="6094" operator="equal">
      <formula>"No"</formula>
    </cfRule>
    <cfRule type="cellIs" dxfId="5518" priority="6095" operator="equal">
      <formula>"NA"</formula>
    </cfRule>
    <cfRule type="cellIs" dxfId="5517" priority="6096" operator="equal">
      <formula>"Yes"</formula>
    </cfRule>
  </conditionalFormatting>
  <conditionalFormatting sqref="X19">
    <cfRule type="cellIs" dxfId="5516" priority="6091" operator="equal">
      <formula>"No"</formula>
    </cfRule>
    <cfRule type="cellIs" dxfId="5515" priority="6092" operator="equal">
      <formula>"NA"</formula>
    </cfRule>
    <cfRule type="cellIs" dxfId="5514" priority="6093" operator="equal">
      <formula>"Yes"</formula>
    </cfRule>
  </conditionalFormatting>
  <conditionalFormatting sqref="X20">
    <cfRule type="cellIs" dxfId="5513" priority="6088" operator="equal">
      <formula>"No"</formula>
    </cfRule>
    <cfRule type="cellIs" dxfId="5512" priority="6089" operator="equal">
      <formula>"NA"</formula>
    </cfRule>
    <cfRule type="cellIs" dxfId="5511" priority="6090" operator="equal">
      <formula>"Yes"</formula>
    </cfRule>
  </conditionalFormatting>
  <conditionalFormatting sqref="X21">
    <cfRule type="cellIs" dxfId="5510" priority="6085" operator="equal">
      <formula>"No"</formula>
    </cfRule>
    <cfRule type="cellIs" dxfId="5509" priority="6086" operator="equal">
      <formula>"NA"</formula>
    </cfRule>
    <cfRule type="cellIs" dxfId="5508" priority="6087" operator="equal">
      <formula>"Yes"</formula>
    </cfRule>
  </conditionalFormatting>
  <conditionalFormatting sqref="X22">
    <cfRule type="cellIs" dxfId="5507" priority="6082" operator="equal">
      <formula>"No"</formula>
    </cfRule>
    <cfRule type="cellIs" dxfId="5506" priority="6083" operator="equal">
      <formula>"NA"</formula>
    </cfRule>
    <cfRule type="cellIs" dxfId="5505" priority="6084" operator="equal">
      <formula>"Yes"</formula>
    </cfRule>
  </conditionalFormatting>
  <conditionalFormatting sqref="X23">
    <cfRule type="cellIs" dxfId="5504" priority="6079" operator="equal">
      <formula>"No"</formula>
    </cfRule>
    <cfRule type="cellIs" dxfId="5503" priority="6080" operator="equal">
      <formula>"NA"</formula>
    </cfRule>
    <cfRule type="cellIs" dxfId="5502" priority="6081" operator="equal">
      <formula>"Yes"</formula>
    </cfRule>
  </conditionalFormatting>
  <conditionalFormatting sqref="X25">
    <cfRule type="cellIs" dxfId="5501" priority="6076" operator="equal">
      <formula>"No"</formula>
    </cfRule>
    <cfRule type="cellIs" dxfId="5500" priority="6077" operator="equal">
      <formula>"NA"</formula>
    </cfRule>
    <cfRule type="cellIs" dxfId="5499" priority="6078" operator="equal">
      <formula>"Yes"</formula>
    </cfRule>
  </conditionalFormatting>
  <conditionalFormatting sqref="X26">
    <cfRule type="cellIs" dxfId="5498" priority="6073" operator="equal">
      <formula>"No"</formula>
    </cfRule>
    <cfRule type="cellIs" dxfId="5497" priority="6074" operator="equal">
      <formula>"NA"</formula>
    </cfRule>
    <cfRule type="cellIs" dxfId="5496" priority="6075" operator="equal">
      <formula>"Yes"</formula>
    </cfRule>
  </conditionalFormatting>
  <conditionalFormatting sqref="X27">
    <cfRule type="cellIs" dxfId="5495" priority="6070" operator="equal">
      <formula>"No"</formula>
    </cfRule>
    <cfRule type="cellIs" dxfId="5494" priority="6071" operator="equal">
      <formula>"NA"</formula>
    </cfRule>
    <cfRule type="cellIs" dxfId="5493" priority="6072" operator="equal">
      <formula>"Yes"</formula>
    </cfRule>
  </conditionalFormatting>
  <conditionalFormatting sqref="X28">
    <cfRule type="cellIs" dxfId="5492" priority="6067" operator="equal">
      <formula>"No"</formula>
    </cfRule>
    <cfRule type="cellIs" dxfId="5491" priority="6068" operator="equal">
      <formula>"NA"</formula>
    </cfRule>
    <cfRule type="cellIs" dxfId="5490" priority="6069" operator="equal">
      <formula>"Yes"</formula>
    </cfRule>
  </conditionalFormatting>
  <conditionalFormatting sqref="X30">
    <cfRule type="cellIs" dxfId="5489" priority="6064" operator="equal">
      <formula>"No"</formula>
    </cfRule>
    <cfRule type="cellIs" dxfId="5488" priority="6065" operator="equal">
      <formula>"NA"</formula>
    </cfRule>
    <cfRule type="cellIs" dxfId="5487" priority="6066" operator="equal">
      <formula>"Yes"</formula>
    </cfRule>
  </conditionalFormatting>
  <conditionalFormatting sqref="X31">
    <cfRule type="cellIs" dxfId="5486" priority="6061" operator="equal">
      <formula>"No"</formula>
    </cfRule>
    <cfRule type="cellIs" dxfId="5485" priority="6062" operator="equal">
      <formula>"NA"</formula>
    </cfRule>
    <cfRule type="cellIs" dxfId="5484" priority="6063" operator="equal">
      <formula>"Yes"</formula>
    </cfRule>
  </conditionalFormatting>
  <conditionalFormatting sqref="X6">
    <cfRule type="cellIs" dxfId="5483" priority="6058" operator="equal">
      <formula>"No"</formula>
    </cfRule>
    <cfRule type="cellIs" dxfId="5482" priority="6059" operator="equal">
      <formula>"NA"</formula>
    </cfRule>
    <cfRule type="cellIs" dxfId="5481" priority="6060" operator="equal">
      <formula>"Yes"</formula>
    </cfRule>
  </conditionalFormatting>
  <conditionalFormatting sqref="W33">
    <cfRule type="cellIs" dxfId="5480" priority="6055" operator="equal">
      <formula>"No"</formula>
    </cfRule>
    <cfRule type="cellIs" dxfId="5479" priority="6056" operator="equal">
      <formula>"NA"</formula>
    </cfRule>
    <cfRule type="cellIs" dxfId="5478" priority="6057" operator="equal">
      <formula>"Yes"</formula>
    </cfRule>
  </conditionalFormatting>
  <conditionalFormatting sqref="W7">
    <cfRule type="cellIs" dxfId="5477" priority="6052" operator="equal">
      <formula>"No"</formula>
    </cfRule>
    <cfRule type="cellIs" dxfId="5476" priority="6053" operator="equal">
      <formula>"NA"</formula>
    </cfRule>
    <cfRule type="cellIs" dxfId="5475" priority="6054" operator="equal">
      <formula>"Yes"</formula>
    </cfRule>
  </conditionalFormatting>
  <conditionalFormatting sqref="W9">
    <cfRule type="cellIs" dxfId="5474" priority="6049" operator="equal">
      <formula>"No"</formula>
    </cfRule>
    <cfRule type="cellIs" dxfId="5473" priority="6050" operator="equal">
      <formula>"NA"</formula>
    </cfRule>
    <cfRule type="cellIs" dxfId="5472" priority="6051" operator="equal">
      <formula>"Yes"</formula>
    </cfRule>
  </conditionalFormatting>
  <conditionalFormatting sqref="W10:W11">
    <cfRule type="cellIs" dxfId="5471" priority="6046" operator="equal">
      <formula>"No"</formula>
    </cfRule>
    <cfRule type="cellIs" dxfId="5470" priority="6047" operator="equal">
      <formula>"NA"</formula>
    </cfRule>
    <cfRule type="cellIs" dxfId="5469" priority="6048" operator="equal">
      <formula>"Yes"</formula>
    </cfRule>
  </conditionalFormatting>
  <conditionalFormatting sqref="W12:W16">
    <cfRule type="cellIs" dxfId="5468" priority="6043" operator="equal">
      <formula>"No"</formula>
    </cfRule>
    <cfRule type="cellIs" dxfId="5467" priority="6044" operator="equal">
      <formula>"NA"</formula>
    </cfRule>
    <cfRule type="cellIs" dxfId="5466" priority="6045" operator="equal">
      <formula>"Yes"</formula>
    </cfRule>
  </conditionalFormatting>
  <conditionalFormatting sqref="W17">
    <cfRule type="cellIs" dxfId="5465" priority="6040" operator="equal">
      <formula>"No"</formula>
    </cfRule>
    <cfRule type="cellIs" dxfId="5464" priority="6041" operator="equal">
      <formula>"NA"</formula>
    </cfRule>
    <cfRule type="cellIs" dxfId="5463" priority="6042" operator="equal">
      <formula>"Yes"</formula>
    </cfRule>
  </conditionalFormatting>
  <conditionalFormatting sqref="W18">
    <cfRule type="cellIs" dxfId="5462" priority="6037" operator="equal">
      <formula>"No"</formula>
    </cfRule>
    <cfRule type="cellIs" dxfId="5461" priority="6038" operator="equal">
      <formula>"NA"</formula>
    </cfRule>
    <cfRule type="cellIs" dxfId="5460" priority="6039" operator="equal">
      <formula>"Yes"</formula>
    </cfRule>
  </conditionalFormatting>
  <conditionalFormatting sqref="W19">
    <cfRule type="cellIs" dxfId="5459" priority="6034" operator="equal">
      <formula>"No"</formula>
    </cfRule>
    <cfRule type="cellIs" dxfId="5458" priority="6035" operator="equal">
      <formula>"NA"</formula>
    </cfRule>
    <cfRule type="cellIs" dxfId="5457" priority="6036" operator="equal">
      <formula>"Yes"</formula>
    </cfRule>
  </conditionalFormatting>
  <conditionalFormatting sqref="W20">
    <cfRule type="cellIs" dxfId="5456" priority="6031" operator="equal">
      <formula>"No"</formula>
    </cfRule>
    <cfRule type="cellIs" dxfId="5455" priority="6032" operator="equal">
      <formula>"NA"</formula>
    </cfRule>
    <cfRule type="cellIs" dxfId="5454" priority="6033" operator="equal">
      <formula>"Yes"</formula>
    </cfRule>
  </conditionalFormatting>
  <conditionalFormatting sqref="W21">
    <cfRule type="cellIs" dxfId="5453" priority="6028" operator="equal">
      <formula>"No"</formula>
    </cfRule>
    <cfRule type="cellIs" dxfId="5452" priority="6029" operator="equal">
      <formula>"NA"</formula>
    </cfRule>
    <cfRule type="cellIs" dxfId="5451" priority="6030" operator="equal">
      <formula>"Yes"</formula>
    </cfRule>
  </conditionalFormatting>
  <conditionalFormatting sqref="W22">
    <cfRule type="cellIs" dxfId="5450" priority="6025" operator="equal">
      <formula>"No"</formula>
    </cfRule>
    <cfRule type="cellIs" dxfId="5449" priority="6026" operator="equal">
      <formula>"NA"</formula>
    </cfRule>
    <cfRule type="cellIs" dxfId="5448" priority="6027" operator="equal">
      <formula>"Yes"</formula>
    </cfRule>
  </conditionalFormatting>
  <conditionalFormatting sqref="W23">
    <cfRule type="cellIs" dxfId="5447" priority="6022" operator="equal">
      <formula>"No"</formula>
    </cfRule>
    <cfRule type="cellIs" dxfId="5446" priority="6023" operator="equal">
      <formula>"NA"</formula>
    </cfRule>
    <cfRule type="cellIs" dxfId="5445" priority="6024" operator="equal">
      <formula>"Yes"</formula>
    </cfRule>
  </conditionalFormatting>
  <conditionalFormatting sqref="W25">
    <cfRule type="cellIs" dxfId="5444" priority="6019" operator="equal">
      <formula>"No"</formula>
    </cfRule>
    <cfRule type="cellIs" dxfId="5443" priority="6020" operator="equal">
      <formula>"NA"</formula>
    </cfRule>
    <cfRule type="cellIs" dxfId="5442" priority="6021" operator="equal">
      <formula>"Yes"</formula>
    </cfRule>
  </conditionalFormatting>
  <conditionalFormatting sqref="W26">
    <cfRule type="cellIs" dxfId="5441" priority="6016" operator="equal">
      <formula>"No"</formula>
    </cfRule>
    <cfRule type="cellIs" dxfId="5440" priority="6017" operator="equal">
      <formula>"NA"</formula>
    </cfRule>
    <cfRule type="cellIs" dxfId="5439" priority="6018" operator="equal">
      <formula>"Yes"</formula>
    </cfRule>
  </conditionalFormatting>
  <conditionalFormatting sqref="W27">
    <cfRule type="cellIs" dxfId="5438" priority="6013" operator="equal">
      <formula>"No"</formula>
    </cfRule>
    <cfRule type="cellIs" dxfId="5437" priority="6014" operator="equal">
      <formula>"NA"</formula>
    </cfRule>
    <cfRule type="cellIs" dxfId="5436" priority="6015" operator="equal">
      <formula>"Yes"</formula>
    </cfRule>
  </conditionalFormatting>
  <conditionalFormatting sqref="W28">
    <cfRule type="cellIs" dxfId="5435" priority="6010" operator="equal">
      <formula>"No"</formula>
    </cfRule>
    <cfRule type="cellIs" dxfId="5434" priority="6011" operator="equal">
      <formula>"NA"</formula>
    </cfRule>
    <cfRule type="cellIs" dxfId="5433" priority="6012" operator="equal">
      <formula>"Yes"</formula>
    </cfRule>
  </conditionalFormatting>
  <conditionalFormatting sqref="W30">
    <cfRule type="cellIs" dxfId="5432" priority="6007" operator="equal">
      <formula>"No"</formula>
    </cfRule>
    <cfRule type="cellIs" dxfId="5431" priority="6008" operator="equal">
      <formula>"NA"</formula>
    </cfRule>
    <cfRule type="cellIs" dxfId="5430" priority="6009" operator="equal">
      <formula>"Yes"</formula>
    </cfRule>
  </conditionalFormatting>
  <conditionalFormatting sqref="W31">
    <cfRule type="cellIs" dxfId="5429" priority="6004" operator="equal">
      <formula>"No"</formula>
    </cfRule>
    <cfRule type="cellIs" dxfId="5428" priority="6005" operator="equal">
      <formula>"NA"</formula>
    </cfRule>
    <cfRule type="cellIs" dxfId="5427" priority="6006" operator="equal">
      <formula>"Yes"</formula>
    </cfRule>
  </conditionalFormatting>
  <conditionalFormatting sqref="W6">
    <cfRule type="cellIs" dxfId="5426" priority="6001" operator="equal">
      <formula>"No"</formula>
    </cfRule>
    <cfRule type="cellIs" dxfId="5425" priority="6002" operator="equal">
      <formula>"NA"</formula>
    </cfRule>
    <cfRule type="cellIs" dxfId="5424" priority="6003" operator="equal">
      <formula>"Yes"</formula>
    </cfRule>
  </conditionalFormatting>
  <conditionalFormatting sqref="V33">
    <cfRule type="cellIs" dxfId="5423" priority="5998" operator="equal">
      <formula>"No"</formula>
    </cfRule>
    <cfRule type="cellIs" dxfId="5422" priority="5999" operator="equal">
      <formula>"NA"</formula>
    </cfRule>
    <cfRule type="cellIs" dxfId="5421" priority="6000" operator="equal">
      <formula>"Yes"</formula>
    </cfRule>
  </conditionalFormatting>
  <conditionalFormatting sqref="V7">
    <cfRule type="cellIs" dxfId="5420" priority="5995" operator="equal">
      <formula>"No"</formula>
    </cfRule>
    <cfRule type="cellIs" dxfId="5419" priority="5996" operator="equal">
      <formula>"NA"</formula>
    </cfRule>
    <cfRule type="cellIs" dxfId="5418" priority="5997" operator="equal">
      <formula>"Yes"</formula>
    </cfRule>
  </conditionalFormatting>
  <conditionalFormatting sqref="V9">
    <cfRule type="cellIs" dxfId="5417" priority="5992" operator="equal">
      <formula>"No"</formula>
    </cfRule>
    <cfRule type="cellIs" dxfId="5416" priority="5993" operator="equal">
      <formula>"NA"</formula>
    </cfRule>
    <cfRule type="cellIs" dxfId="5415" priority="5994" operator="equal">
      <formula>"Yes"</formula>
    </cfRule>
  </conditionalFormatting>
  <conditionalFormatting sqref="V10:V11">
    <cfRule type="cellIs" dxfId="5414" priority="5989" operator="equal">
      <formula>"No"</formula>
    </cfRule>
    <cfRule type="cellIs" dxfId="5413" priority="5990" operator="equal">
      <formula>"NA"</formula>
    </cfRule>
    <cfRule type="cellIs" dxfId="5412" priority="5991" operator="equal">
      <formula>"Yes"</formula>
    </cfRule>
  </conditionalFormatting>
  <conditionalFormatting sqref="V12:V16">
    <cfRule type="cellIs" dxfId="5411" priority="5986" operator="equal">
      <formula>"No"</formula>
    </cfRule>
    <cfRule type="cellIs" dxfId="5410" priority="5987" operator="equal">
      <formula>"NA"</formula>
    </cfRule>
    <cfRule type="cellIs" dxfId="5409" priority="5988" operator="equal">
      <formula>"Yes"</formula>
    </cfRule>
  </conditionalFormatting>
  <conditionalFormatting sqref="V17">
    <cfRule type="cellIs" dxfId="5408" priority="5983" operator="equal">
      <formula>"No"</formula>
    </cfRule>
    <cfRule type="cellIs" dxfId="5407" priority="5984" operator="equal">
      <formula>"NA"</formula>
    </cfRule>
    <cfRule type="cellIs" dxfId="5406" priority="5985" operator="equal">
      <formula>"Yes"</formula>
    </cfRule>
  </conditionalFormatting>
  <conditionalFormatting sqref="V18">
    <cfRule type="cellIs" dxfId="5405" priority="5980" operator="equal">
      <formula>"No"</formula>
    </cfRule>
    <cfRule type="cellIs" dxfId="5404" priority="5981" operator="equal">
      <formula>"NA"</formula>
    </cfRule>
    <cfRule type="cellIs" dxfId="5403" priority="5982" operator="equal">
      <formula>"Yes"</formula>
    </cfRule>
  </conditionalFormatting>
  <conditionalFormatting sqref="V19">
    <cfRule type="cellIs" dxfId="5402" priority="5977" operator="equal">
      <formula>"No"</formula>
    </cfRule>
    <cfRule type="cellIs" dxfId="5401" priority="5978" operator="equal">
      <formula>"NA"</formula>
    </cfRule>
    <cfRule type="cellIs" dxfId="5400" priority="5979" operator="equal">
      <formula>"Yes"</formula>
    </cfRule>
  </conditionalFormatting>
  <conditionalFormatting sqref="V20">
    <cfRule type="cellIs" dxfId="5399" priority="5974" operator="equal">
      <formula>"No"</formula>
    </cfRule>
    <cfRule type="cellIs" dxfId="5398" priority="5975" operator="equal">
      <formula>"NA"</formula>
    </cfRule>
    <cfRule type="cellIs" dxfId="5397" priority="5976" operator="equal">
      <formula>"Yes"</formula>
    </cfRule>
  </conditionalFormatting>
  <conditionalFormatting sqref="V21">
    <cfRule type="cellIs" dxfId="5396" priority="5971" operator="equal">
      <formula>"No"</formula>
    </cfRule>
    <cfRule type="cellIs" dxfId="5395" priority="5972" operator="equal">
      <formula>"NA"</formula>
    </cfRule>
    <cfRule type="cellIs" dxfId="5394" priority="5973" operator="equal">
      <formula>"Yes"</formula>
    </cfRule>
  </conditionalFormatting>
  <conditionalFormatting sqref="V22">
    <cfRule type="cellIs" dxfId="5393" priority="5968" operator="equal">
      <formula>"No"</formula>
    </cfRule>
    <cfRule type="cellIs" dxfId="5392" priority="5969" operator="equal">
      <formula>"NA"</formula>
    </cfRule>
    <cfRule type="cellIs" dxfId="5391" priority="5970" operator="equal">
      <formula>"Yes"</formula>
    </cfRule>
  </conditionalFormatting>
  <conditionalFormatting sqref="V23">
    <cfRule type="cellIs" dxfId="5390" priority="5965" operator="equal">
      <formula>"No"</formula>
    </cfRule>
    <cfRule type="cellIs" dxfId="5389" priority="5966" operator="equal">
      <formula>"NA"</formula>
    </cfRule>
    <cfRule type="cellIs" dxfId="5388" priority="5967" operator="equal">
      <formula>"Yes"</formula>
    </cfRule>
  </conditionalFormatting>
  <conditionalFormatting sqref="V25">
    <cfRule type="cellIs" dxfId="5387" priority="5962" operator="equal">
      <formula>"No"</formula>
    </cfRule>
    <cfRule type="cellIs" dxfId="5386" priority="5963" operator="equal">
      <formula>"NA"</formula>
    </cfRule>
    <cfRule type="cellIs" dxfId="5385" priority="5964" operator="equal">
      <formula>"Yes"</formula>
    </cfRule>
  </conditionalFormatting>
  <conditionalFormatting sqref="V26">
    <cfRule type="cellIs" dxfId="5384" priority="5959" operator="equal">
      <formula>"No"</formula>
    </cfRule>
    <cfRule type="cellIs" dxfId="5383" priority="5960" operator="equal">
      <formula>"NA"</formula>
    </cfRule>
    <cfRule type="cellIs" dxfId="5382" priority="5961" operator="equal">
      <formula>"Yes"</formula>
    </cfRule>
  </conditionalFormatting>
  <conditionalFormatting sqref="V27">
    <cfRule type="cellIs" dxfId="5381" priority="5956" operator="equal">
      <formula>"No"</formula>
    </cfRule>
    <cfRule type="cellIs" dxfId="5380" priority="5957" operator="equal">
      <formula>"NA"</formula>
    </cfRule>
    <cfRule type="cellIs" dxfId="5379" priority="5958" operator="equal">
      <formula>"Yes"</formula>
    </cfRule>
  </conditionalFormatting>
  <conditionalFormatting sqref="V28">
    <cfRule type="cellIs" dxfId="5378" priority="5953" operator="equal">
      <formula>"No"</formula>
    </cfRule>
    <cfRule type="cellIs" dxfId="5377" priority="5954" operator="equal">
      <formula>"NA"</formula>
    </cfRule>
    <cfRule type="cellIs" dxfId="5376" priority="5955" operator="equal">
      <formula>"Yes"</formula>
    </cfRule>
  </conditionalFormatting>
  <conditionalFormatting sqref="V30">
    <cfRule type="cellIs" dxfId="5375" priority="5950" operator="equal">
      <formula>"No"</formula>
    </cfRule>
    <cfRule type="cellIs" dxfId="5374" priority="5951" operator="equal">
      <formula>"NA"</formula>
    </cfRule>
    <cfRule type="cellIs" dxfId="5373" priority="5952" operator="equal">
      <formula>"Yes"</formula>
    </cfRule>
  </conditionalFormatting>
  <conditionalFormatting sqref="V31">
    <cfRule type="cellIs" dxfId="5372" priority="5947" operator="equal">
      <formula>"No"</formula>
    </cfRule>
    <cfRule type="cellIs" dxfId="5371" priority="5948" operator="equal">
      <formula>"NA"</formula>
    </cfRule>
    <cfRule type="cellIs" dxfId="5370" priority="5949" operator="equal">
      <formula>"Yes"</formula>
    </cfRule>
  </conditionalFormatting>
  <conditionalFormatting sqref="V6">
    <cfRule type="cellIs" dxfId="5369" priority="5944" operator="equal">
      <formula>"No"</formula>
    </cfRule>
    <cfRule type="cellIs" dxfId="5368" priority="5945" operator="equal">
      <formula>"NA"</formula>
    </cfRule>
    <cfRule type="cellIs" dxfId="5367" priority="5946" operator="equal">
      <formula>"Yes"</formula>
    </cfRule>
  </conditionalFormatting>
  <conditionalFormatting sqref="AE33">
    <cfRule type="cellIs" dxfId="5366" priority="5941" operator="equal">
      <formula>"No"</formula>
    </cfRule>
    <cfRule type="cellIs" dxfId="5365" priority="5942" operator="equal">
      <formula>"NA"</formula>
    </cfRule>
    <cfRule type="cellIs" dxfId="5364" priority="5943" operator="equal">
      <formula>"Yes"</formula>
    </cfRule>
  </conditionalFormatting>
  <conditionalFormatting sqref="AE10">
    <cfRule type="cellIs" dxfId="5363" priority="5938" operator="equal">
      <formula>"No"</formula>
    </cfRule>
    <cfRule type="cellIs" dxfId="5362" priority="5939" operator="equal">
      <formula>"NA"</formula>
    </cfRule>
    <cfRule type="cellIs" dxfId="5361" priority="5940" operator="equal">
      <formula>"Yes"</formula>
    </cfRule>
  </conditionalFormatting>
  <conditionalFormatting sqref="AE25">
    <cfRule type="cellIs" dxfId="5360" priority="5935" operator="equal">
      <formula>"No"</formula>
    </cfRule>
    <cfRule type="cellIs" dxfId="5359" priority="5936" operator="equal">
      <formula>"NA"</formula>
    </cfRule>
    <cfRule type="cellIs" dxfId="5358" priority="5937" operator="equal">
      <formula>"Yes"</formula>
    </cfRule>
  </conditionalFormatting>
  <conditionalFormatting sqref="AE6">
    <cfRule type="cellIs" dxfId="5357" priority="5932" operator="equal">
      <formula>"No"</formula>
    </cfRule>
    <cfRule type="cellIs" dxfId="5356" priority="5933" operator="equal">
      <formula>"NA"</formula>
    </cfRule>
    <cfRule type="cellIs" dxfId="5355" priority="5934" operator="equal">
      <formula>"Yes"</formula>
    </cfRule>
  </conditionalFormatting>
  <conditionalFormatting sqref="AE7">
    <cfRule type="cellIs" dxfId="5354" priority="5929" operator="equal">
      <formula>"No"</formula>
    </cfRule>
    <cfRule type="cellIs" dxfId="5353" priority="5930" operator="equal">
      <formula>"NA"</formula>
    </cfRule>
    <cfRule type="cellIs" dxfId="5352" priority="5931" operator="equal">
      <formula>"Yes"</formula>
    </cfRule>
  </conditionalFormatting>
  <conditionalFormatting sqref="AE9">
    <cfRule type="cellIs" dxfId="5351" priority="5926" operator="equal">
      <formula>"No"</formula>
    </cfRule>
    <cfRule type="cellIs" dxfId="5350" priority="5927" operator="equal">
      <formula>"NA"</formula>
    </cfRule>
    <cfRule type="cellIs" dxfId="5349" priority="5928" operator="equal">
      <formula>"Yes"</formula>
    </cfRule>
  </conditionalFormatting>
  <conditionalFormatting sqref="AE11">
    <cfRule type="cellIs" dxfId="5348" priority="5923" operator="equal">
      <formula>"No"</formula>
    </cfRule>
    <cfRule type="cellIs" dxfId="5347" priority="5924" operator="equal">
      <formula>"NA"</formula>
    </cfRule>
    <cfRule type="cellIs" dxfId="5346" priority="5925" operator="equal">
      <formula>"Yes"</formula>
    </cfRule>
  </conditionalFormatting>
  <conditionalFormatting sqref="AE12">
    <cfRule type="cellIs" dxfId="5345" priority="5920" operator="equal">
      <formula>"No"</formula>
    </cfRule>
    <cfRule type="cellIs" dxfId="5344" priority="5921" operator="equal">
      <formula>"NA"</formula>
    </cfRule>
    <cfRule type="cellIs" dxfId="5343" priority="5922" operator="equal">
      <formula>"Yes"</formula>
    </cfRule>
  </conditionalFormatting>
  <conditionalFormatting sqref="AE13">
    <cfRule type="cellIs" dxfId="5342" priority="5917" operator="equal">
      <formula>"No"</formula>
    </cfRule>
    <cfRule type="cellIs" dxfId="5341" priority="5918" operator="equal">
      <formula>"NA"</formula>
    </cfRule>
    <cfRule type="cellIs" dxfId="5340" priority="5919" operator="equal">
      <formula>"Yes"</formula>
    </cfRule>
  </conditionalFormatting>
  <conditionalFormatting sqref="AE14">
    <cfRule type="cellIs" dxfId="5339" priority="5914" operator="equal">
      <formula>"No"</formula>
    </cfRule>
    <cfRule type="cellIs" dxfId="5338" priority="5915" operator="equal">
      <formula>"NA"</formula>
    </cfRule>
    <cfRule type="cellIs" dxfId="5337" priority="5916" operator="equal">
      <formula>"Yes"</formula>
    </cfRule>
  </conditionalFormatting>
  <conditionalFormatting sqref="AE15">
    <cfRule type="cellIs" dxfId="5336" priority="5911" operator="equal">
      <formula>"No"</formula>
    </cfRule>
    <cfRule type="cellIs" dxfId="5335" priority="5912" operator="equal">
      <formula>"NA"</formula>
    </cfRule>
    <cfRule type="cellIs" dxfId="5334" priority="5913" operator="equal">
      <formula>"Yes"</formula>
    </cfRule>
  </conditionalFormatting>
  <conditionalFormatting sqref="AE16">
    <cfRule type="cellIs" dxfId="5333" priority="5908" operator="equal">
      <formula>"No"</formula>
    </cfRule>
    <cfRule type="cellIs" dxfId="5332" priority="5909" operator="equal">
      <formula>"NA"</formula>
    </cfRule>
    <cfRule type="cellIs" dxfId="5331" priority="5910" operator="equal">
      <formula>"Yes"</formula>
    </cfRule>
  </conditionalFormatting>
  <conditionalFormatting sqref="AE17">
    <cfRule type="cellIs" dxfId="5330" priority="5905" operator="equal">
      <formula>"No"</formula>
    </cfRule>
    <cfRule type="cellIs" dxfId="5329" priority="5906" operator="equal">
      <formula>"NA"</formula>
    </cfRule>
    <cfRule type="cellIs" dxfId="5328" priority="5907" operator="equal">
      <formula>"Yes"</formula>
    </cfRule>
  </conditionalFormatting>
  <conditionalFormatting sqref="AE18">
    <cfRule type="cellIs" dxfId="5327" priority="5902" operator="equal">
      <formula>"No"</formula>
    </cfRule>
    <cfRule type="cellIs" dxfId="5326" priority="5903" operator="equal">
      <formula>"NA"</formula>
    </cfRule>
    <cfRule type="cellIs" dxfId="5325" priority="5904" operator="equal">
      <formula>"Yes"</formula>
    </cfRule>
  </conditionalFormatting>
  <conditionalFormatting sqref="AE19">
    <cfRule type="cellIs" dxfId="5324" priority="5899" operator="equal">
      <formula>"No"</formula>
    </cfRule>
    <cfRule type="cellIs" dxfId="5323" priority="5900" operator="equal">
      <formula>"NA"</formula>
    </cfRule>
    <cfRule type="cellIs" dxfId="5322" priority="5901" operator="equal">
      <formula>"Yes"</formula>
    </cfRule>
  </conditionalFormatting>
  <conditionalFormatting sqref="AE20">
    <cfRule type="cellIs" dxfId="5321" priority="5896" operator="equal">
      <formula>"No"</formula>
    </cfRule>
    <cfRule type="cellIs" dxfId="5320" priority="5897" operator="equal">
      <formula>"NA"</formula>
    </cfRule>
    <cfRule type="cellIs" dxfId="5319" priority="5898" operator="equal">
      <formula>"Yes"</formula>
    </cfRule>
  </conditionalFormatting>
  <conditionalFormatting sqref="AE21">
    <cfRule type="cellIs" dxfId="5318" priority="5893" operator="equal">
      <formula>"No"</formula>
    </cfRule>
    <cfRule type="cellIs" dxfId="5317" priority="5894" operator="equal">
      <formula>"NA"</formula>
    </cfRule>
    <cfRule type="cellIs" dxfId="5316" priority="5895" operator="equal">
      <formula>"Yes"</formula>
    </cfRule>
  </conditionalFormatting>
  <conditionalFormatting sqref="AE22">
    <cfRule type="cellIs" dxfId="5315" priority="5890" operator="equal">
      <formula>"No"</formula>
    </cfRule>
    <cfRule type="cellIs" dxfId="5314" priority="5891" operator="equal">
      <formula>"NA"</formula>
    </cfRule>
    <cfRule type="cellIs" dxfId="5313" priority="5892" operator="equal">
      <formula>"Yes"</formula>
    </cfRule>
  </conditionalFormatting>
  <conditionalFormatting sqref="AE23">
    <cfRule type="cellIs" dxfId="5312" priority="5887" operator="equal">
      <formula>"No"</formula>
    </cfRule>
    <cfRule type="cellIs" dxfId="5311" priority="5888" operator="equal">
      <formula>"NA"</formula>
    </cfRule>
    <cfRule type="cellIs" dxfId="5310" priority="5889" operator="equal">
      <formula>"Yes"</formula>
    </cfRule>
  </conditionalFormatting>
  <conditionalFormatting sqref="AE26">
    <cfRule type="cellIs" dxfId="5309" priority="5884" operator="equal">
      <formula>"No"</formula>
    </cfRule>
    <cfRule type="cellIs" dxfId="5308" priority="5885" operator="equal">
      <formula>"NA"</formula>
    </cfRule>
    <cfRule type="cellIs" dxfId="5307" priority="5886" operator="equal">
      <formula>"Yes"</formula>
    </cfRule>
  </conditionalFormatting>
  <conditionalFormatting sqref="AE27">
    <cfRule type="cellIs" dxfId="5306" priority="5881" operator="equal">
      <formula>"No"</formula>
    </cfRule>
    <cfRule type="cellIs" dxfId="5305" priority="5882" operator="equal">
      <formula>"NA"</formula>
    </cfRule>
    <cfRule type="cellIs" dxfId="5304" priority="5883" operator="equal">
      <formula>"Yes"</formula>
    </cfRule>
  </conditionalFormatting>
  <conditionalFormatting sqref="AE28">
    <cfRule type="cellIs" dxfId="5303" priority="5878" operator="equal">
      <formula>"No"</formula>
    </cfRule>
    <cfRule type="cellIs" dxfId="5302" priority="5879" operator="equal">
      <formula>"NA"</formula>
    </cfRule>
    <cfRule type="cellIs" dxfId="5301" priority="5880" operator="equal">
      <formula>"Yes"</formula>
    </cfRule>
  </conditionalFormatting>
  <conditionalFormatting sqref="AE30">
    <cfRule type="cellIs" dxfId="5300" priority="5875" operator="equal">
      <formula>"No"</formula>
    </cfRule>
    <cfRule type="cellIs" dxfId="5299" priority="5876" operator="equal">
      <formula>"NA"</formula>
    </cfRule>
    <cfRule type="cellIs" dxfId="5298" priority="5877" operator="equal">
      <formula>"Yes"</formula>
    </cfRule>
  </conditionalFormatting>
  <conditionalFormatting sqref="AE31">
    <cfRule type="cellIs" dxfId="5297" priority="5872" operator="equal">
      <formula>"No"</formula>
    </cfRule>
    <cfRule type="cellIs" dxfId="5296" priority="5873" operator="equal">
      <formula>"NA"</formula>
    </cfRule>
    <cfRule type="cellIs" dxfId="5295" priority="5874" operator="equal">
      <formula>"Yes"</formula>
    </cfRule>
  </conditionalFormatting>
  <conditionalFormatting sqref="AD33">
    <cfRule type="cellIs" dxfId="5294" priority="5869" operator="equal">
      <formula>"No"</formula>
    </cfRule>
    <cfRule type="cellIs" dxfId="5293" priority="5870" operator="equal">
      <formula>"NA"</formula>
    </cfRule>
    <cfRule type="cellIs" dxfId="5292" priority="5871" operator="equal">
      <formula>"Yes"</formula>
    </cfRule>
  </conditionalFormatting>
  <conditionalFormatting sqref="AD10">
    <cfRule type="cellIs" dxfId="5291" priority="5866" operator="equal">
      <formula>"No"</formula>
    </cfRule>
    <cfRule type="cellIs" dxfId="5290" priority="5867" operator="equal">
      <formula>"NA"</formula>
    </cfRule>
    <cfRule type="cellIs" dxfId="5289" priority="5868" operator="equal">
      <formula>"Yes"</formula>
    </cfRule>
  </conditionalFormatting>
  <conditionalFormatting sqref="AD25">
    <cfRule type="cellIs" dxfId="5288" priority="5863" operator="equal">
      <formula>"No"</formula>
    </cfRule>
    <cfRule type="cellIs" dxfId="5287" priority="5864" operator="equal">
      <formula>"NA"</formula>
    </cfRule>
    <cfRule type="cellIs" dxfId="5286" priority="5865" operator="equal">
      <formula>"Yes"</formula>
    </cfRule>
  </conditionalFormatting>
  <conditionalFormatting sqref="AD6">
    <cfRule type="cellIs" dxfId="5285" priority="5860" operator="equal">
      <formula>"No"</formula>
    </cfRule>
    <cfRule type="cellIs" dxfId="5284" priority="5861" operator="equal">
      <formula>"NA"</formula>
    </cfRule>
    <cfRule type="cellIs" dxfId="5283" priority="5862" operator="equal">
      <formula>"Yes"</formula>
    </cfRule>
  </conditionalFormatting>
  <conditionalFormatting sqref="AD7">
    <cfRule type="cellIs" dxfId="5282" priority="5857" operator="equal">
      <formula>"No"</formula>
    </cfRule>
    <cfRule type="cellIs" dxfId="5281" priority="5858" operator="equal">
      <formula>"NA"</formula>
    </cfRule>
    <cfRule type="cellIs" dxfId="5280" priority="5859" operator="equal">
      <formula>"Yes"</formula>
    </cfRule>
  </conditionalFormatting>
  <conditionalFormatting sqref="AD9">
    <cfRule type="cellIs" dxfId="5279" priority="5854" operator="equal">
      <formula>"No"</formula>
    </cfRule>
    <cfRule type="cellIs" dxfId="5278" priority="5855" operator="equal">
      <formula>"NA"</formula>
    </cfRule>
    <cfRule type="cellIs" dxfId="5277" priority="5856" operator="equal">
      <formula>"Yes"</formula>
    </cfRule>
  </conditionalFormatting>
  <conditionalFormatting sqref="AD11">
    <cfRule type="cellIs" dxfId="5276" priority="5851" operator="equal">
      <formula>"No"</formula>
    </cfRule>
    <cfRule type="cellIs" dxfId="5275" priority="5852" operator="equal">
      <formula>"NA"</formula>
    </cfRule>
    <cfRule type="cellIs" dxfId="5274" priority="5853" operator="equal">
      <formula>"Yes"</formula>
    </cfRule>
  </conditionalFormatting>
  <conditionalFormatting sqref="AD12">
    <cfRule type="cellIs" dxfId="5273" priority="5848" operator="equal">
      <formula>"No"</formula>
    </cfRule>
    <cfRule type="cellIs" dxfId="5272" priority="5849" operator="equal">
      <formula>"NA"</formula>
    </cfRule>
    <cfRule type="cellIs" dxfId="5271" priority="5850" operator="equal">
      <formula>"Yes"</formula>
    </cfRule>
  </conditionalFormatting>
  <conditionalFormatting sqref="AD13">
    <cfRule type="cellIs" dxfId="5270" priority="5845" operator="equal">
      <formula>"No"</formula>
    </cfRule>
    <cfRule type="cellIs" dxfId="5269" priority="5846" operator="equal">
      <formula>"NA"</formula>
    </cfRule>
    <cfRule type="cellIs" dxfId="5268" priority="5847" operator="equal">
      <formula>"Yes"</formula>
    </cfRule>
  </conditionalFormatting>
  <conditionalFormatting sqref="AD14">
    <cfRule type="cellIs" dxfId="5267" priority="5842" operator="equal">
      <formula>"No"</formula>
    </cfRule>
    <cfRule type="cellIs" dxfId="5266" priority="5843" operator="equal">
      <formula>"NA"</formula>
    </cfRule>
    <cfRule type="cellIs" dxfId="5265" priority="5844" operator="equal">
      <formula>"Yes"</formula>
    </cfRule>
  </conditionalFormatting>
  <conditionalFormatting sqref="AD15">
    <cfRule type="cellIs" dxfId="5264" priority="5839" operator="equal">
      <formula>"No"</formula>
    </cfRule>
    <cfRule type="cellIs" dxfId="5263" priority="5840" operator="equal">
      <formula>"NA"</formula>
    </cfRule>
    <cfRule type="cellIs" dxfId="5262" priority="5841" operator="equal">
      <formula>"Yes"</formula>
    </cfRule>
  </conditionalFormatting>
  <conditionalFormatting sqref="AD16">
    <cfRule type="cellIs" dxfId="5261" priority="5836" operator="equal">
      <formula>"No"</formula>
    </cfRule>
    <cfRule type="cellIs" dxfId="5260" priority="5837" operator="equal">
      <formula>"NA"</formula>
    </cfRule>
    <cfRule type="cellIs" dxfId="5259" priority="5838" operator="equal">
      <formula>"Yes"</formula>
    </cfRule>
  </conditionalFormatting>
  <conditionalFormatting sqref="AD17">
    <cfRule type="cellIs" dxfId="5258" priority="5833" operator="equal">
      <formula>"No"</formula>
    </cfRule>
    <cfRule type="cellIs" dxfId="5257" priority="5834" operator="equal">
      <formula>"NA"</formula>
    </cfRule>
    <cfRule type="cellIs" dxfId="5256" priority="5835" operator="equal">
      <formula>"Yes"</formula>
    </cfRule>
  </conditionalFormatting>
  <conditionalFormatting sqref="AD18">
    <cfRule type="cellIs" dxfId="5255" priority="5830" operator="equal">
      <formula>"No"</formula>
    </cfRule>
    <cfRule type="cellIs" dxfId="5254" priority="5831" operator="equal">
      <formula>"NA"</formula>
    </cfRule>
    <cfRule type="cellIs" dxfId="5253" priority="5832" operator="equal">
      <formula>"Yes"</formula>
    </cfRule>
  </conditionalFormatting>
  <conditionalFormatting sqref="AD19">
    <cfRule type="cellIs" dxfId="5252" priority="5827" operator="equal">
      <formula>"No"</formula>
    </cfRule>
    <cfRule type="cellIs" dxfId="5251" priority="5828" operator="equal">
      <formula>"NA"</formula>
    </cfRule>
    <cfRule type="cellIs" dxfId="5250" priority="5829" operator="equal">
      <formula>"Yes"</formula>
    </cfRule>
  </conditionalFormatting>
  <conditionalFormatting sqref="AD20">
    <cfRule type="cellIs" dxfId="5249" priority="5824" operator="equal">
      <formula>"No"</formula>
    </cfRule>
    <cfRule type="cellIs" dxfId="5248" priority="5825" operator="equal">
      <formula>"NA"</formula>
    </cfRule>
    <cfRule type="cellIs" dxfId="5247" priority="5826" operator="equal">
      <formula>"Yes"</formula>
    </cfRule>
  </conditionalFormatting>
  <conditionalFormatting sqref="AD21">
    <cfRule type="cellIs" dxfId="5246" priority="5821" operator="equal">
      <formula>"No"</formula>
    </cfRule>
    <cfRule type="cellIs" dxfId="5245" priority="5822" operator="equal">
      <formula>"NA"</formula>
    </cfRule>
    <cfRule type="cellIs" dxfId="5244" priority="5823" operator="equal">
      <formula>"Yes"</formula>
    </cfRule>
  </conditionalFormatting>
  <conditionalFormatting sqref="AD22">
    <cfRule type="cellIs" dxfId="5243" priority="5818" operator="equal">
      <formula>"No"</formula>
    </cfRule>
    <cfRule type="cellIs" dxfId="5242" priority="5819" operator="equal">
      <formula>"NA"</formula>
    </cfRule>
    <cfRule type="cellIs" dxfId="5241" priority="5820" operator="equal">
      <formula>"Yes"</formula>
    </cfRule>
  </conditionalFormatting>
  <conditionalFormatting sqref="AD23">
    <cfRule type="cellIs" dxfId="5240" priority="5815" operator="equal">
      <formula>"No"</formula>
    </cfRule>
    <cfRule type="cellIs" dxfId="5239" priority="5816" operator="equal">
      <formula>"NA"</formula>
    </cfRule>
    <cfRule type="cellIs" dxfId="5238" priority="5817" operator="equal">
      <formula>"Yes"</formula>
    </cfRule>
  </conditionalFormatting>
  <conditionalFormatting sqref="AD26">
    <cfRule type="cellIs" dxfId="5237" priority="5812" operator="equal">
      <formula>"No"</formula>
    </cfRule>
    <cfRule type="cellIs" dxfId="5236" priority="5813" operator="equal">
      <formula>"NA"</formula>
    </cfRule>
    <cfRule type="cellIs" dxfId="5235" priority="5814" operator="equal">
      <formula>"Yes"</formula>
    </cfRule>
  </conditionalFormatting>
  <conditionalFormatting sqref="AD27">
    <cfRule type="cellIs" dxfId="5234" priority="5809" operator="equal">
      <formula>"No"</formula>
    </cfRule>
    <cfRule type="cellIs" dxfId="5233" priority="5810" operator="equal">
      <formula>"NA"</formula>
    </cfRule>
    <cfRule type="cellIs" dxfId="5232" priority="5811" operator="equal">
      <formula>"Yes"</formula>
    </cfRule>
  </conditionalFormatting>
  <conditionalFormatting sqref="AD28">
    <cfRule type="cellIs" dxfId="5231" priority="5806" operator="equal">
      <formula>"No"</formula>
    </cfRule>
    <cfRule type="cellIs" dxfId="5230" priority="5807" operator="equal">
      <formula>"NA"</formula>
    </cfRule>
    <cfRule type="cellIs" dxfId="5229" priority="5808" operator="equal">
      <formula>"Yes"</formula>
    </cfRule>
  </conditionalFormatting>
  <conditionalFormatting sqref="AD30">
    <cfRule type="cellIs" dxfId="5228" priority="5803" operator="equal">
      <formula>"No"</formula>
    </cfRule>
    <cfRule type="cellIs" dxfId="5227" priority="5804" operator="equal">
      <formula>"NA"</formula>
    </cfRule>
    <cfRule type="cellIs" dxfId="5226" priority="5805" operator="equal">
      <formula>"Yes"</formula>
    </cfRule>
  </conditionalFormatting>
  <conditionalFormatting sqref="AD31">
    <cfRule type="cellIs" dxfId="5225" priority="5800" operator="equal">
      <formula>"No"</formula>
    </cfRule>
    <cfRule type="cellIs" dxfId="5224" priority="5801" operator="equal">
      <formula>"NA"</formula>
    </cfRule>
    <cfRule type="cellIs" dxfId="5223" priority="5802" operator="equal">
      <formula>"Yes"</formula>
    </cfRule>
  </conditionalFormatting>
  <conditionalFormatting sqref="AC33">
    <cfRule type="cellIs" dxfId="5222" priority="5797" operator="equal">
      <formula>"No"</formula>
    </cfRule>
    <cfRule type="cellIs" dxfId="5221" priority="5798" operator="equal">
      <formula>"NA"</formula>
    </cfRule>
    <cfRule type="cellIs" dxfId="5220" priority="5799" operator="equal">
      <formula>"Yes"</formula>
    </cfRule>
  </conditionalFormatting>
  <conditionalFormatting sqref="AC10">
    <cfRule type="cellIs" dxfId="5219" priority="5794" operator="equal">
      <formula>"No"</formula>
    </cfRule>
    <cfRule type="cellIs" dxfId="5218" priority="5795" operator="equal">
      <formula>"NA"</formula>
    </cfRule>
    <cfRule type="cellIs" dxfId="5217" priority="5796" operator="equal">
      <formula>"Yes"</formula>
    </cfRule>
  </conditionalFormatting>
  <conditionalFormatting sqref="AC25">
    <cfRule type="cellIs" dxfId="5216" priority="5791" operator="equal">
      <formula>"No"</formula>
    </cfRule>
    <cfRule type="cellIs" dxfId="5215" priority="5792" operator="equal">
      <formula>"NA"</formula>
    </cfRule>
    <cfRule type="cellIs" dxfId="5214" priority="5793" operator="equal">
      <formula>"Yes"</formula>
    </cfRule>
  </conditionalFormatting>
  <conditionalFormatting sqref="AC6">
    <cfRule type="cellIs" dxfId="5213" priority="5788" operator="equal">
      <formula>"No"</formula>
    </cfRule>
    <cfRule type="cellIs" dxfId="5212" priority="5789" operator="equal">
      <formula>"NA"</formula>
    </cfRule>
    <cfRule type="cellIs" dxfId="5211" priority="5790" operator="equal">
      <formula>"Yes"</formula>
    </cfRule>
  </conditionalFormatting>
  <conditionalFormatting sqref="AC7">
    <cfRule type="cellIs" dxfId="5210" priority="5785" operator="equal">
      <formula>"No"</formula>
    </cfRule>
    <cfRule type="cellIs" dxfId="5209" priority="5786" operator="equal">
      <formula>"NA"</formula>
    </cfRule>
    <cfRule type="cellIs" dxfId="5208" priority="5787" operator="equal">
      <formula>"Yes"</formula>
    </cfRule>
  </conditionalFormatting>
  <conditionalFormatting sqref="AC9">
    <cfRule type="cellIs" dxfId="5207" priority="5782" operator="equal">
      <formula>"No"</formula>
    </cfRule>
    <cfRule type="cellIs" dxfId="5206" priority="5783" operator="equal">
      <formula>"NA"</formula>
    </cfRule>
    <cfRule type="cellIs" dxfId="5205" priority="5784" operator="equal">
      <formula>"Yes"</formula>
    </cfRule>
  </conditionalFormatting>
  <conditionalFormatting sqref="AC11">
    <cfRule type="cellIs" dxfId="5204" priority="5779" operator="equal">
      <formula>"No"</formula>
    </cfRule>
    <cfRule type="cellIs" dxfId="5203" priority="5780" operator="equal">
      <formula>"NA"</formula>
    </cfRule>
    <cfRule type="cellIs" dxfId="5202" priority="5781" operator="equal">
      <formula>"Yes"</formula>
    </cfRule>
  </conditionalFormatting>
  <conditionalFormatting sqref="AC12">
    <cfRule type="cellIs" dxfId="5201" priority="5776" operator="equal">
      <formula>"No"</formula>
    </cfRule>
    <cfRule type="cellIs" dxfId="5200" priority="5777" operator="equal">
      <formula>"NA"</formula>
    </cfRule>
    <cfRule type="cellIs" dxfId="5199" priority="5778" operator="equal">
      <formula>"Yes"</formula>
    </cfRule>
  </conditionalFormatting>
  <conditionalFormatting sqref="AC13">
    <cfRule type="cellIs" dxfId="5198" priority="5773" operator="equal">
      <formula>"No"</formula>
    </cfRule>
    <cfRule type="cellIs" dxfId="5197" priority="5774" operator="equal">
      <formula>"NA"</formula>
    </cfRule>
    <cfRule type="cellIs" dxfId="5196" priority="5775" operator="equal">
      <formula>"Yes"</formula>
    </cfRule>
  </conditionalFormatting>
  <conditionalFormatting sqref="AC14">
    <cfRule type="cellIs" dxfId="5195" priority="5770" operator="equal">
      <formula>"No"</formula>
    </cfRule>
    <cfRule type="cellIs" dxfId="5194" priority="5771" operator="equal">
      <formula>"NA"</formula>
    </cfRule>
    <cfRule type="cellIs" dxfId="5193" priority="5772" operator="equal">
      <formula>"Yes"</formula>
    </cfRule>
  </conditionalFormatting>
  <conditionalFormatting sqref="AC15">
    <cfRule type="cellIs" dxfId="5192" priority="5767" operator="equal">
      <formula>"No"</formula>
    </cfRule>
    <cfRule type="cellIs" dxfId="5191" priority="5768" operator="equal">
      <formula>"NA"</formula>
    </cfRule>
    <cfRule type="cellIs" dxfId="5190" priority="5769" operator="equal">
      <formula>"Yes"</formula>
    </cfRule>
  </conditionalFormatting>
  <conditionalFormatting sqref="AC16">
    <cfRule type="cellIs" dxfId="5189" priority="5764" operator="equal">
      <formula>"No"</formula>
    </cfRule>
    <cfRule type="cellIs" dxfId="5188" priority="5765" operator="equal">
      <formula>"NA"</formula>
    </cfRule>
    <cfRule type="cellIs" dxfId="5187" priority="5766" operator="equal">
      <formula>"Yes"</formula>
    </cfRule>
  </conditionalFormatting>
  <conditionalFormatting sqref="AC17">
    <cfRule type="cellIs" dxfId="5186" priority="5761" operator="equal">
      <formula>"No"</formula>
    </cfRule>
    <cfRule type="cellIs" dxfId="5185" priority="5762" operator="equal">
      <formula>"NA"</formula>
    </cfRule>
    <cfRule type="cellIs" dxfId="5184" priority="5763" operator="equal">
      <formula>"Yes"</formula>
    </cfRule>
  </conditionalFormatting>
  <conditionalFormatting sqref="AC18">
    <cfRule type="cellIs" dxfId="5183" priority="5758" operator="equal">
      <formula>"No"</formula>
    </cfRule>
    <cfRule type="cellIs" dxfId="5182" priority="5759" operator="equal">
      <formula>"NA"</formula>
    </cfRule>
    <cfRule type="cellIs" dxfId="5181" priority="5760" operator="equal">
      <formula>"Yes"</formula>
    </cfRule>
  </conditionalFormatting>
  <conditionalFormatting sqref="AC19">
    <cfRule type="cellIs" dxfId="5180" priority="5755" operator="equal">
      <formula>"No"</formula>
    </cfRule>
    <cfRule type="cellIs" dxfId="5179" priority="5756" operator="equal">
      <formula>"NA"</formula>
    </cfRule>
    <cfRule type="cellIs" dxfId="5178" priority="5757" operator="equal">
      <formula>"Yes"</formula>
    </cfRule>
  </conditionalFormatting>
  <conditionalFormatting sqref="AC20">
    <cfRule type="cellIs" dxfId="5177" priority="5752" operator="equal">
      <formula>"No"</formula>
    </cfRule>
    <cfRule type="cellIs" dxfId="5176" priority="5753" operator="equal">
      <formula>"NA"</formula>
    </cfRule>
    <cfRule type="cellIs" dxfId="5175" priority="5754" operator="equal">
      <formula>"Yes"</formula>
    </cfRule>
  </conditionalFormatting>
  <conditionalFormatting sqref="AC21">
    <cfRule type="cellIs" dxfId="5174" priority="5749" operator="equal">
      <formula>"No"</formula>
    </cfRule>
    <cfRule type="cellIs" dxfId="5173" priority="5750" operator="equal">
      <formula>"NA"</formula>
    </cfRule>
    <cfRule type="cellIs" dxfId="5172" priority="5751" operator="equal">
      <formula>"Yes"</formula>
    </cfRule>
  </conditionalFormatting>
  <conditionalFormatting sqref="AC22">
    <cfRule type="cellIs" dxfId="5171" priority="5746" operator="equal">
      <formula>"No"</formula>
    </cfRule>
    <cfRule type="cellIs" dxfId="5170" priority="5747" operator="equal">
      <formula>"NA"</formula>
    </cfRule>
    <cfRule type="cellIs" dxfId="5169" priority="5748" operator="equal">
      <formula>"Yes"</formula>
    </cfRule>
  </conditionalFormatting>
  <conditionalFormatting sqref="AC23">
    <cfRule type="cellIs" dxfId="5168" priority="5743" operator="equal">
      <formula>"No"</formula>
    </cfRule>
    <cfRule type="cellIs" dxfId="5167" priority="5744" operator="equal">
      <formula>"NA"</formula>
    </cfRule>
    <cfRule type="cellIs" dxfId="5166" priority="5745" operator="equal">
      <formula>"Yes"</formula>
    </cfRule>
  </conditionalFormatting>
  <conditionalFormatting sqref="AC26">
    <cfRule type="cellIs" dxfId="5165" priority="5740" operator="equal">
      <formula>"No"</formula>
    </cfRule>
    <cfRule type="cellIs" dxfId="5164" priority="5741" operator="equal">
      <formula>"NA"</formula>
    </cfRule>
    <cfRule type="cellIs" dxfId="5163" priority="5742" operator="equal">
      <formula>"Yes"</formula>
    </cfRule>
  </conditionalFormatting>
  <conditionalFormatting sqref="AC27">
    <cfRule type="cellIs" dxfId="5162" priority="5737" operator="equal">
      <formula>"No"</formula>
    </cfRule>
    <cfRule type="cellIs" dxfId="5161" priority="5738" operator="equal">
      <formula>"NA"</formula>
    </cfRule>
    <cfRule type="cellIs" dxfId="5160" priority="5739" operator="equal">
      <formula>"Yes"</formula>
    </cfRule>
  </conditionalFormatting>
  <conditionalFormatting sqref="AC28">
    <cfRule type="cellIs" dxfId="5159" priority="5734" operator="equal">
      <formula>"No"</formula>
    </cfRule>
    <cfRule type="cellIs" dxfId="5158" priority="5735" operator="equal">
      <formula>"NA"</formula>
    </cfRule>
    <cfRule type="cellIs" dxfId="5157" priority="5736" operator="equal">
      <formula>"Yes"</formula>
    </cfRule>
  </conditionalFormatting>
  <conditionalFormatting sqref="AC30">
    <cfRule type="cellIs" dxfId="5156" priority="5731" operator="equal">
      <formula>"No"</formula>
    </cfRule>
    <cfRule type="cellIs" dxfId="5155" priority="5732" operator="equal">
      <formula>"NA"</formula>
    </cfRule>
    <cfRule type="cellIs" dxfId="5154" priority="5733" operator="equal">
      <formula>"Yes"</formula>
    </cfRule>
  </conditionalFormatting>
  <conditionalFormatting sqref="AC31">
    <cfRule type="cellIs" dxfId="5153" priority="5728" operator="equal">
      <formula>"No"</formula>
    </cfRule>
    <cfRule type="cellIs" dxfId="5152" priority="5729" operator="equal">
      <formula>"NA"</formula>
    </cfRule>
    <cfRule type="cellIs" dxfId="5151" priority="5730" operator="equal">
      <formula>"Yes"</formula>
    </cfRule>
  </conditionalFormatting>
  <conditionalFormatting sqref="AG10">
    <cfRule type="cellIs" dxfId="5150" priority="5725" operator="equal">
      <formula>"No"</formula>
    </cfRule>
    <cfRule type="cellIs" dxfId="5149" priority="5726" operator="equal">
      <formula>"NA"</formula>
    </cfRule>
    <cfRule type="cellIs" dxfId="5148" priority="5727" operator="equal">
      <formula>"Yes"</formula>
    </cfRule>
  </conditionalFormatting>
  <conditionalFormatting sqref="AG17">
    <cfRule type="cellIs" dxfId="5147" priority="5722" operator="equal">
      <formula>"No"</formula>
    </cfRule>
    <cfRule type="cellIs" dxfId="5146" priority="5723" operator="equal">
      <formula>"NA"</formula>
    </cfRule>
    <cfRule type="cellIs" dxfId="5145" priority="5724" operator="equal">
      <formula>"Yes"</formula>
    </cfRule>
  </conditionalFormatting>
  <conditionalFormatting sqref="AG7">
    <cfRule type="cellIs" dxfId="5144" priority="5719" operator="equal">
      <formula>"No"</formula>
    </cfRule>
    <cfRule type="cellIs" dxfId="5143" priority="5720" operator="equal">
      <formula>"NA"</formula>
    </cfRule>
    <cfRule type="cellIs" dxfId="5142" priority="5721" operator="equal">
      <formula>"Yes"</formula>
    </cfRule>
  </conditionalFormatting>
  <conditionalFormatting sqref="AG9">
    <cfRule type="cellIs" dxfId="5141" priority="5716" operator="equal">
      <formula>"No"</formula>
    </cfRule>
    <cfRule type="cellIs" dxfId="5140" priority="5717" operator="equal">
      <formula>"NA"</formula>
    </cfRule>
    <cfRule type="cellIs" dxfId="5139" priority="5718" operator="equal">
      <formula>"Yes"</formula>
    </cfRule>
  </conditionalFormatting>
  <conditionalFormatting sqref="AG11">
    <cfRule type="cellIs" dxfId="5138" priority="5713" operator="equal">
      <formula>"No"</formula>
    </cfRule>
    <cfRule type="cellIs" dxfId="5137" priority="5714" operator="equal">
      <formula>"NA"</formula>
    </cfRule>
    <cfRule type="cellIs" dxfId="5136" priority="5715" operator="equal">
      <formula>"Yes"</formula>
    </cfRule>
  </conditionalFormatting>
  <conditionalFormatting sqref="AG12">
    <cfRule type="cellIs" dxfId="5135" priority="5710" operator="equal">
      <formula>"No"</formula>
    </cfRule>
    <cfRule type="cellIs" dxfId="5134" priority="5711" operator="equal">
      <formula>"NA"</formula>
    </cfRule>
    <cfRule type="cellIs" dxfId="5133" priority="5712" operator="equal">
      <formula>"Yes"</formula>
    </cfRule>
  </conditionalFormatting>
  <conditionalFormatting sqref="AG13">
    <cfRule type="cellIs" dxfId="5132" priority="5707" operator="equal">
      <formula>"No"</formula>
    </cfRule>
    <cfRule type="cellIs" dxfId="5131" priority="5708" operator="equal">
      <formula>"NA"</formula>
    </cfRule>
    <cfRule type="cellIs" dxfId="5130" priority="5709" operator="equal">
      <formula>"Yes"</formula>
    </cfRule>
  </conditionalFormatting>
  <conditionalFormatting sqref="AG14">
    <cfRule type="cellIs" dxfId="5129" priority="5704" operator="equal">
      <formula>"No"</formula>
    </cfRule>
    <cfRule type="cellIs" dxfId="5128" priority="5705" operator="equal">
      <formula>"NA"</formula>
    </cfRule>
    <cfRule type="cellIs" dxfId="5127" priority="5706" operator="equal">
      <formula>"Yes"</formula>
    </cfRule>
  </conditionalFormatting>
  <conditionalFormatting sqref="AG15">
    <cfRule type="cellIs" dxfId="5126" priority="5701" operator="equal">
      <formula>"No"</formula>
    </cfRule>
    <cfRule type="cellIs" dxfId="5125" priority="5702" operator="equal">
      <formula>"NA"</formula>
    </cfRule>
    <cfRule type="cellIs" dxfId="5124" priority="5703" operator="equal">
      <formula>"Yes"</formula>
    </cfRule>
  </conditionalFormatting>
  <conditionalFormatting sqref="AG16">
    <cfRule type="cellIs" dxfId="5123" priority="5698" operator="equal">
      <formula>"No"</formula>
    </cfRule>
    <cfRule type="cellIs" dxfId="5122" priority="5699" operator="equal">
      <formula>"NA"</formula>
    </cfRule>
    <cfRule type="cellIs" dxfId="5121" priority="5700" operator="equal">
      <formula>"Yes"</formula>
    </cfRule>
  </conditionalFormatting>
  <conditionalFormatting sqref="AG18">
    <cfRule type="cellIs" dxfId="5120" priority="5695" operator="equal">
      <formula>"No"</formula>
    </cfRule>
    <cfRule type="cellIs" dxfId="5119" priority="5696" operator="equal">
      <formula>"NA"</formula>
    </cfRule>
    <cfRule type="cellIs" dxfId="5118" priority="5697" operator="equal">
      <formula>"Yes"</formula>
    </cfRule>
  </conditionalFormatting>
  <conditionalFormatting sqref="AG19">
    <cfRule type="cellIs" dxfId="5117" priority="5692" operator="equal">
      <formula>"No"</formula>
    </cfRule>
    <cfRule type="cellIs" dxfId="5116" priority="5693" operator="equal">
      <formula>"NA"</formula>
    </cfRule>
    <cfRule type="cellIs" dxfId="5115" priority="5694" operator="equal">
      <formula>"Yes"</formula>
    </cfRule>
  </conditionalFormatting>
  <conditionalFormatting sqref="AG20">
    <cfRule type="cellIs" dxfId="5114" priority="5689" operator="equal">
      <formula>"No"</formula>
    </cfRule>
    <cfRule type="cellIs" dxfId="5113" priority="5690" operator="equal">
      <formula>"NA"</formula>
    </cfRule>
    <cfRule type="cellIs" dxfId="5112" priority="5691" operator="equal">
      <formula>"Yes"</formula>
    </cfRule>
  </conditionalFormatting>
  <conditionalFormatting sqref="AG21">
    <cfRule type="cellIs" dxfId="5111" priority="5686" operator="equal">
      <formula>"No"</formula>
    </cfRule>
    <cfRule type="cellIs" dxfId="5110" priority="5687" operator="equal">
      <formula>"NA"</formula>
    </cfRule>
    <cfRule type="cellIs" dxfId="5109" priority="5688" operator="equal">
      <formula>"Yes"</formula>
    </cfRule>
  </conditionalFormatting>
  <conditionalFormatting sqref="AG22">
    <cfRule type="cellIs" dxfId="5108" priority="5683" operator="equal">
      <formula>"No"</formula>
    </cfRule>
    <cfRule type="cellIs" dxfId="5107" priority="5684" operator="equal">
      <formula>"NA"</formula>
    </cfRule>
    <cfRule type="cellIs" dxfId="5106" priority="5685" operator="equal">
      <formula>"Yes"</formula>
    </cfRule>
  </conditionalFormatting>
  <conditionalFormatting sqref="AG23">
    <cfRule type="cellIs" dxfId="5105" priority="5680" operator="equal">
      <formula>"No"</formula>
    </cfRule>
    <cfRule type="cellIs" dxfId="5104" priority="5681" operator="equal">
      <formula>"NA"</formula>
    </cfRule>
    <cfRule type="cellIs" dxfId="5103" priority="5682" operator="equal">
      <formula>"Yes"</formula>
    </cfRule>
  </conditionalFormatting>
  <conditionalFormatting sqref="AG26">
    <cfRule type="cellIs" dxfId="5102" priority="5674" operator="equal">
      <formula>"No"</formula>
    </cfRule>
    <cfRule type="cellIs" dxfId="5101" priority="5675" operator="equal">
      <formula>"NA"</formula>
    </cfRule>
    <cfRule type="cellIs" dxfId="5100" priority="5676" operator="equal">
      <formula>"Yes"</formula>
    </cfRule>
  </conditionalFormatting>
  <conditionalFormatting sqref="AG27">
    <cfRule type="cellIs" dxfId="5099" priority="5671" operator="equal">
      <formula>"No"</formula>
    </cfRule>
    <cfRule type="cellIs" dxfId="5098" priority="5672" operator="equal">
      <formula>"NA"</formula>
    </cfRule>
    <cfRule type="cellIs" dxfId="5097" priority="5673" operator="equal">
      <formula>"Yes"</formula>
    </cfRule>
  </conditionalFormatting>
  <conditionalFormatting sqref="AG28">
    <cfRule type="cellIs" dxfId="5096" priority="5668" operator="equal">
      <formula>"No"</formula>
    </cfRule>
    <cfRule type="cellIs" dxfId="5095" priority="5669" operator="equal">
      <formula>"NA"</formula>
    </cfRule>
    <cfRule type="cellIs" dxfId="5094" priority="5670" operator="equal">
      <formula>"Yes"</formula>
    </cfRule>
  </conditionalFormatting>
  <conditionalFormatting sqref="AG30">
    <cfRule type="cellIs" dxfId="5093" priority="5665" operator="equal">
      <formula>"No"</formula>
    </cfRule>
    <cfRule type="cellIs" dxfId="5092" priority="5666" operator="equal">
      <formula>"NA"</formula>
    </cfRule>
    <cfRule type="cellIs" dxfId="5091" priority="5667" operator="equal">
      <formula>"Yes"</formula>
    </cfRule>
  </conditionalFormatting>
  <conditionalFormatting sqref="AG31">
    <cfRule type="cellIs" dxfId="5090" priority="5662" operator="equal">
      <formula>"No"</formula>
    </cfRule>
    <cfRule type="cellIs" dxfId="5089" priority="5663" operator="equal">
      <formula>"NA"</formula>
    </cfRule>
    <cfRule type="cellIs" dxfId="5088" priority="5664" operator="equal">
      <formula>"Yes"</formula>
    </cfRule>
  </conditionalFormatting>
  <conditionalFormatting sqref="AG33">
    <cfRule type="cellIs" dxfId="5087" priority="5659" operator="equal">
      <formula>"No"</formula>
    </cfRule>
    <cfRule type="cellIs" dxfId="5086" priority="5660" operator="equal">
      <formula>"NA"</formula>
    </cfRule>
    <cfRule type="cellIs" dxfId="5085" priority="5661" operator="equal">
      <formula>"Yes"</formula>
    </cfRule>
  </conditionalFormatting>
  <conditionalFormatting sqref="AG6">
    <cfRule type="cellIs" dxfId="5084" priority="5653" operator="equal">
      <formula>"No"</formula>
    </cfRule>
    <cfRule type="cellIs" dxfId="5083" priority="5654" operator="equal">
      <formula>"NA"</formula>
    </cfRule>
    <cfRule type="cellIs" dxfId="5082" priority="5655" operator="equal">
      <formula>"Yes"</formula>
    </cfRule>
  </conditionalFormatting>
  <conditionalFormatting sqref="AG25">
    <cfRule type="cellIs" dxfId="5081" priority="5650" operator="equal">
      <formula>"No"</formula>
    </cfRule>
    <cfRule type="cellIs" dxfId="5080" priority="5651" operator="equal">
      <formula>"NA"</formula>
    </cfRule>
    <cfRule type="cellIs" dxfId="5079" priority="5652" operator="equal">
      <formula>"Yes"</formula>
    </cfRule>
  </conditionalFormatting>
  <conditionalFormatting sqref="AK7">
    <cfRule type="cellIs" dxfId="5078" priority="5566" operator="equal">
      <formula>"No"</formula>
    </cfRule>
    <cfRule type="cellIs" dxfId="5077" priority="5567" operator="equal">
      <formula>"NA"</formula>
    </cfRule>
    <cfRule type="cellIs" dxfId="5076" priority="5568" operator="equal">
      <formula>"Yes"</formula>
    </cfRule>
  </conditionalFormatting>
  <conditionalFormatting sqref="AK9">
    <cfRule type="cellIs" dxfId="5075" priority="5563" operator="equal">
      <formula>"No"</formula>
    </cfRule>
    <cfRule type="cellIs" dxfId="5074" priority="5564" operator="equal">
      <formula>"NA"</formula>
    </cfRule>
    <cfRule type="cellIs" dxfId="5073" priority="5565" operator="equal">
      <formula>"Yes"</formula>
    </cfRule>
  </conditionalFormatting>
  <conditionalFormatting sqref="AK10">
    <cfRule type="cellIs" dxfId="5072" priority="5560" operator="equal">
      <formula>"No"</formula>
    </cfRule>
    <cfRule type="cellIs" dxfId="5071" priority="5561" operator="equal">
      <formula>"NA"</formula>
    </cfRule>
    <cfRule type="cellIs" dxfId="5070" priority="5562" operator="equal">
      <formula>"Yes"</formula>
    </cfRule>
  </conditionalFormatting>
  <conditionalFormatting sqref="AK11">
    <cfRule type="cellIs" dxfId="5069" priority="5557" operator="equal">
      <formula>"No"</formula>
    </cfRule>
    <cfRule type="cellIs" dxfId="5068" priority="5558" operator="equal">
      <formula>"NA"</formula>
    </cfRule>
    <cfRule type="cellIs" dxfId="5067" priority="5559" operator="equal">
      <formula>"Yes"</formula>
    </cfRule>
  </conditionalFormatting>
  <conditionalFormatting sqref="AK13">
    <cfRule type="cellIs" dxfId="5066" priority="5554" operator="equal">
      <formula>"No"</formula>
    </cfRule>
    <cfRule type="cellIs" dxfId="5065" priority="5555" operator="equal">
      <formula>"NA"</formula>
    </cfRule>
    <cfRule type="cellIs" dxfId="5064" priority="5556" operator="equal">
      <formula>"Yes"</formula>
    </cfRule>
  </conditionalFormatting>
  <conditionalFormatting sqref="AK14">
    <cfRule type="cellIs" dxfId="5063" priority="5551" operator="equal">
      <formula>"No"</formula>
    </cfRule>
    <cfRule type="cellIs" dxfId="5062" priority="5552" operator="equal">
      <formula>"NA"</formula>
    </cfRule>
    <cfRule type="cellIs" dxfId="5061" priority="5553" operator="equal">
      <formula>"Yes"</formula>
    </cfRule>
  </conditionalFormatting>
  <conditionalFormatting sqref="AK15">
    <cfRule type="cellIs" dxfId="5060" priority="5548" operator="equal">
      <formula>"No"</formula>
    </cfRule>
    <cfRule type="cellIs" dxfId="5059" priority="5549" operator="equal">
      <formula>"NA"</formula>
    </cfRule>
    <cfRule type="cellIs" dxfId="5058" priority="5550" operator="equal">
      <formula>"Yes"</formula>
    </cfRule>
  </conditionalFormatting>
  <conditionalFormatting sqref="AK18">
    <cfRule type="cellIs" dxfId="5057" priority="5542" operator="equal">
      <formula>"No"</formula>
    </cfRule>
    <cfRule type="cellIs" dxfId="5056" priority="5543" operator="equal">
      <formula>"NA"</formula>
    </cfRule>
    <cfRule type="cellIs" dxfId="5055" priority="5544" operator="equal">
      <formula>"Yes"</formula>
    </cfRule>
  </conditionalFormatting>
  <conditionalFormatting sqref="AK19">
    <cfRule type="cellIs" dxfId="5054" priority="5539" operator="equal">
      <formula>"No"</formula>
    </cfRule>
    <cfRule type="cellIs" dxfId="5053" priority="5540" operator="equal">
      <formula>"NA"</formula>
    </cfRule>
    <cfRule type="cellIs" dxfId="5052" priority="5541" operator="equal">
      <formula>"Yes"</formula>
    </cfRule>
  </conditionalFormatting>
  <conditionalFormatting sqref="AK20">
    <cfRule type="cellIs" dxfId="5051" priority="5536" operator="equal">
      <formula>"No"</formula>
    </cfRule>
    <cfRule type="cellIs" dxfId="5050" priority="5537" operator="equal">
      <formula>"NA"</formula>
    </cfRule>
    <cfRule type="cellIs" dxfId="5049" priority="5538" operator="equal">
      <formula>"Yes"</formula>
    </cfRule>
  </conditionalFormatting>
  <conditionalFormatting sqref="AK21">
    <cfRule type="cellIs" dxfId="5048" priority="5533" operator="equal">
      <formula>"No"</formula>
    </cfRule>
    <cfRule type="cellIs" dxfId="5047" priority="5534" operator="equal">
      <formula>"NA"</formula>
    </cfRule>
    <cfRule type="cellIs" dxfId="5046" priority="5535" operator="equal">
      <formula>"Yes"</formula>
    </cfRule>
  </conditionalFormatting>
  <conditionalFormatting sqref="AK22">
    <cfRule type="cellIs" dxfId="5045" priority="5530" operator="equal">
      <formula>"No"</formula>
    </cfRule>
    <cfRule type="cellIs" dxfId="5044" priority="5531" operator="equal">
      <formula>"NA"</formula>
    </cfRule>
    <cfRule type="cellIs" dxfId="5043" priority="5532" operator="equal">
      <formula>"Yes"</formula>
    </cfRule>
  </conditionalFormatting>
  <conditionalFormatting sqref="AK23">
    <cfRule type="cellIs" dxfId="5042" priority="5527" operator="equal">
      <formula>"No"</formula>
    </cfRule>
    <cfRule type="cellIs" dxfId="5041" priority="5528" operator="equal">
      <formula>"NA"</formula>
    </cfRule>
    <cfRule type="cellIs" dxfId="5040" priority="5529" operator="equal">
      <formula>"Yes"</formula>
    </cfRule>
  </conditionalFormatting>
  <conditionalFormatting sqref="AK26">
    <cfRule type="cellIs" dxfId="5039" priority="5521" operator="equal">
      <formula>"No"</formula>
    </cfRule>
    <cfRule type="cellIs" dxfId="5038" priority="5522" operator="equal">
      <formula>"NA"</formula>
    </cfRule>
    <cfRule type="cellIs" dxfId="5037" priority="5523" operator="equal">
      <formula>"Yes"</formula>
    </cfRule>
  </conditionalFormatting>
  <conditionalFormatting sqref="AK27">
    <cfRule type="cellIs" dxfId="5036" priority="5518" operator="equal">
      <formula>"No"</formula>
    </cfRule>
    <cfRule type="cellIs" dxfId="5035" priority="5519" operator="equal">
      <formula>"NA"</formula>
    </cfRule>
    <cfRule type="cellIs" dxfId="5034" priority="5520" operator="equal">
      <formula>"Yes"</formula>
    </cfRule>
  </conditionalFormatting>
  <conditionalFormatting sqref="AK28">
    <cfRule type="cellIs" dxfId="5033" priority="5515" operator="equal">
      <formula>"No"</formula>
    </cfRule>
    <cfRule type="cellIs" dxfId="5032" priority="5516" operator="equal">
      <formula>"NA"</formula>
    </cfRule>
    <cfRule type="cellIs" dxfId="5031" priority="5517" operator="equal">
      <formula>"Yes"</formula>
    </cfRule>
  </conditionalFormatting>
  <conditionalFormatting sqref="AK30">
    <cfRule type="cellIs" dxfId="5030" priority="5512" operator="equal">
      <formula>"No"</formula>
    </cfRule>
    <cfRule type="cellIs" dxfId="5029" priority="5513" operator="equal">
      <formula>"NA"</formula>
    </cfRule>
    <cfRule type="cellIs" dxfId="5028" priority="5514" operator="equal">
      <formula>"Yes"</formula>
    </cfRule>
  </conditionalFormatting>
  <conditionalFormatting sqref="AK31">
    <cfRule type="cellIs" dxfId="5027" priority="5509" operator="equal">
      <formula>"No"</formula>
    </cfRule>
    <cfRule type="cellIs" dxfId="5026" priority="5510" operator="equal">
      <formula>"NA"</formula>
    </cfRule>
    <cfRule type="cellIs" dxfId="5025" priority="5511" operator="equal">
      <formula>"Yes"</formula>
    </cfRule>
  </conditionalFormatting>
  <conditionalFormatting sqref="AK33">
    <cfRule type="cellIs" dxfId="5024" priority="5506" operator="equal">
      <formula>"No"</formula>
    </cfRule>
    <cfRule type="cellIs" dxfId="5023" priority="5507" operator="equal">
      <formula>"NA"</formula>
    </cfRule>
    <cfRule type="cellIs" dxfId="5022" priority="5508" operator="equal">
      <formula>"Yes"</formula>
    </cfRule>
  </conditionalFormatting>
  <conditionalFormatting sqref="AJ12">
    <cfRule type="cellIs" dxfId="5021" priority="5431" operator="equal">
      <formula>"No"</formula>
    </cfRule>
    <cfRule type="cellIs" dxfId="5020" priority="5432" operator="equal">
      <formula>"NA"</formula>
    </cfRule>
    <cfRule type="cellIs" dxfId="5019" priority="5433" operator="equal">
      <formula>"Yes"</formula>
    </cfRule>
  </conditionalFormatting>
  <conditionalFormatting sqref="AJ16">
    <cfRule type="cellIs" dxfId="5018" priority="5428" operator="equal">
      <formula>"No"</formula>
    </cfRule>
    <cfRule type="cellIs" dxfId="5017" priority="5429" operator="equal">
      <formula>"NA"</formula>
    </cfRule>
    <cfRule type="cellIs" dxfId="5016" priority="5430" operator="equal">
      <formula>"Yes"</formula>
    </cfRule>
  </conditionalFormatting>
  <conditionalFormatting sqref="AJ6">
    <cfRule type="cellIs" dxfId="5015" priority="5425" operator="equal">
      <formula>"No"</formula>
    </cfRule>
    <cfRule type="cellIs" dxfId="5014" priority="5426" operator="equal">
      <formula>"NA"</formula>
    </cfRule>
    <cfRule type="cellIs" dxfId="5013" priority="5427" operator="equal">
      <formula>"Yes"</formula>
    </cfRule>
  </conditionalFormatting>
  <conditionalFormatting sqref="AJ7">
    <cfRule type="cellIs" dxfId="5012" priority="5422" operator="equal">
      <formula>"No"</formula>
    </cfRule>
    <cfRule type="cellIs" dxfId="5011" priority="5423" operator="equal">
      <formula>"NA"</formula>
    </cfRule>
    <cfRule type="cellIs" dxfId="5010" priority="5424" operator="equal">
      <formula>"Yes"</formula>
    </cfRule>
  </conditionalFormatting>
  <conditionalFormatting sqref="AJ9">
    <cfRule type="cellIs" dxfId="5009" priority="5419" operator="equal">
      <formula>"No"</formula>
    </cfRule>
    <cfRule type="cellIs" dxfId="5008" priority="5420" operator="equal">
      <formula>"NA"</formula>
    </cfRule>
    <cfRule type="cellIs" dxfId="5007" priority="5421" operator="equal">
      <formula>"Yes"</formula>
    </cfRule>
  </conditionalFormatting>
  <conditionalFormatting sqref="AJ10">
    <cfRule type="cellIs" dxfId="5006" priority="5416" operator="equal">
      <formula>"No"</formula>
    </cfRule>
    <cfRule type="cellIs" dxfId="5005" priority="5417" operator="equal">
      <formula>"NA"</formula>
    </cfRule>
    <cfRule type="cellIs" dxfId="5004" priority="5418" operator="equal">
      <formula>"Yes"</formula>
    </cfRule>
  </conditionalFormatting>
  <conditionalFormatting sqref="AJ11">
    <cfRule type="cellIs" dxfId="5003" priority="5413" operator="equal">
      <formula>"No"</formula>
    </cfRule>
    <cfRule type="cellIs" dxfId="5002" priority="5414" operator="equal">
      <formula>"NA"</formula>
    </cfRule>
    <cfRule type="cellIs" dxfId="5001" priority="5415" operator="equal">
      <formula>"Yes"</formula>
    </cfRule>
  </conditionalFormatting>
  <conditionalFormatting sqref="AJ13">
    <cfRule type="cellIs" dxfId="5000" priority="5410" operator="equal">
      <formula>"No"</formula>
    </cfRule>
    <cfRule type="cellIs" dxfId="4999" priority="5411" operator="equal">
      <formula>"NA"</formula>
    </cfRule>
    <cfRule type="cellIs" dxfId="4998" priority="5412" operator="equal">
      <formula>"Yes"</formula>
    </cfRule>
  </conditionalFormatting>
  <conditionalFormatting sqref="AJ14">
    <cfRule type="cellIs" dxfId="4997" priority="5407" operator="equal">
      <formula>"No"</formula>
    </cfRule>
    <cfRule type="cellIs" dxfId="4996" priority="5408" operator="equal">
      <formula>"NA"</formula>
    </cfRule>
    <cfRule type="cellIs" dxfId="4995" priority="5409" operator="equal">
      <formula>"Yes"</formula>
    </cfRule>
  </conditionalFormatting>
  <conditionalFormatting sqref="AJ15">
    <cfRule type="cellIs" dxfId="4994" priority="5404" operator="equal">
      <formula>"No"</formula>
    </cfRule>
    <cfRule type="cellIs" dxfId="4993" priority="5405" operator="equal">
      <formula>"NA"</formula>
    </cfRule>
    <cfRule type="cellIs" dxfId="4992" priority="5406" operator="equal">
      <formula>"Yes"</formula>
    </cfRule>
  </conditionalFormatting>
  <conditionalFormatting sqref="AJ17">
    <cfRule type="cellIs" dxfId="4991" priority="5401" operator="equal">
      <formula>"No"</formula>
    </cfRule>
    <cfRule type="cellIs" dxfId="4990" priority="5402" operator="equal">
      <formula>"NA"</formula>
    </cfRule>
    <cfRule type="cellIs" dxfId="4989" priority="5403" operator="equal">
      <formula>"Yes"</formula>
    </cfRule>
  </conditionalFormatting>
  <conditionalFormatting sqref="AJ18">
    <cfRule type="cellIs" dxfId="4988" priority="5398" operator="equal">
      <formula>"No"</formula>
    </cfRule>
    <cfRule type="cellIs" dxfId="4987" priority="5399" operator="equal">
      <formula>"NA"</formula>
    </cfRule>
    <cfRule type="cellIs" dxfId="4986" priority="5400" operator="equal">
      <formula>"Yes"</formula>
    </cfRule>
  </conditionalFormatting>
  <conditionalFormatting sqref="AJ19">
    <cfRule type="cellIs" dxfId="4985" priority="5395" operator="equal">
      <formula>"No"</formula>
    </cfRule>
    <cfRule type="cellIs" dxfId="4984" priority="5396" operator="equal">
      <formula>"NA"</formula>
    </cfRule>
    <cfRule type="cellIs" dxfId="4983" priority="5397" operator="equal">
      <formula>"Yes"</formula>
    </cfRule>
  </conditionalFormatting>
  <conditionalFormatting sqref="AJ20">
    <cfRule type="cellIs" dxfId="4982" priority="5392" operator="equal">
      <formula>"No"</formula>
    </cfRule>
    <cfRule type="cellIs" dxfId="4981" priority="5393" operator="equal">
      <formula>"NA"</formula>
    </cfRule>
    <cfRule type="cellIs" dxfId="4980" priority="5394" operator="equal">
      <formula>"Yes"</formula>
    </cfRule>
  </conditionalFormatting>
  <conditionalFormatting sqref="AJ21">
    <cfRule type="cellIs" dxfId="4979" priority="5389" operator="equal">
      <formula>"No"</formula>
    </cfRule>
    <cfRule type="cellIs" dxfId="4978" priority="5390" operator="equal">
      <formula>"NA"</formula>
    </cfRule>
    <cfRule type="cellIs" dxfId="4977" priority="5391" operator="equal">
      <formula>"Yes"</formula>
    </cfRule>
  </conditionalFormatting>
  <conditionalFormatting sqref="AJ22">
    <cfRule type="cellIs" dxfId="4976" priority="5386" operator="equal">
      <formula>"No"</formula>
    </cfRule>
    <cfRule type="cellIs" dxfId="4975" priority="5387" operator="equal">
      <formula>"NA"</formula>
    </cfRule>
    <cfRule type="cellIs" dxfId="4974" priority="5388" operator="equal">
      <formula>"Yes"</formula>
    </cfRule>
  </conditionalFormatting>
  <conditionalFormatting sqref="AJ23">
    <cfRule type="cellIs" dxfId="4973" priority="5383" operator="equal">
      <formula>"No"</formula>
    </cfRule>
    <cfRule type="cellIs" dxfId="4972" priority="5384" operator="equal">
      <formula>"NA"</formula>
    </cfRule>
    <cfRule type="cellIs" dxfId="4971" priority="5385" operator="equal">
      <formula>"Yes"</formula>
    </cfRule>
  </conditionalFormatting>
  <conditionalFormatting sqref="AJ25">
    <cfRule type="cellIs" dxfId="4970" priority="5380" operator="equal">
      <formula>"No"</formula>
    </cfRule>
    <cfRule type="cellIs" dxfId="4969" priority="5381" operator="equal">
      <formula>"NA"</formula>
    </cfRule>
    <cfRule type="cellIs" dxfId="4968" priority="5382" operator="equal">
      <formula>"Yes"</formula>
    </cfRule>
  </conditionalFormatting>
  <conditionalFormatting sqref="AJ26">
    <cfRule type="cellIs" dxfId="4967" priority="5377" operator="equal">
      <formula>"No"</formula>
    </cfRule>
    <cfRule type="cellIs" dxfId="4966" priority="5378" operator="equal">
      <formula>"NA"</formula>
    </cfRule>
    <cfRule type="cellIs" dxfId="4965" priority="5379" operator="equal">
      <formula>"Yes"</formula>
    </cfRule>
  </conditionalFormatting>
  <conditionalFormatting sqref="AJ27">
    <cfRule type="cellIs" dxfId="4964" priority="5374" operator="equal">
      <formula>"No"</formula>
    </cfRule>
    <cfRule type="cellIs" dxfId="4963" priority="5375" operator="equal">
      <formula>"NA"</formula>
    </cfRule>
    <cfRule type="cellIs" dxfId="4962" priority="5376" operator="equal">
      <formula>"Yes"</formula>
    </cfRule>
  </conditionalFormatting>
  <conditionalFormatting sqref="AJ28">
    <cfRule type="cellIs" dxfId="4961" priority="5371" operator="equal">
      <formula>"No"</formula>
    </cfRule>
    <cfRule type="cellIs" dxfId="4960" priority="5372" operator="equal">
      <formula>"NA"</formula>
    </cfRule>
    <cfRule type="cellIs" dxfId="4959" priority="5373" operator="equal">
      <formula>"Yes"</formula>
    </cfRule>
  </conditionalFormatting>
  <conditionalFormatting sqref="AJ30">
    <cfRule type="cellIs" dxfId="4958" priority="5368" operator="equal">
      <formula>"No"</formula>
    </cfRule>
    <cfRule type="cellIs" dxfId="4957" priority="5369" operator="equal">
      <formula>"NA"</formula>
    </cfRule>
    <cfRule type="cellIs" dxfId="4956" priority="5370" operator="equal">
      <formula>"Yes"</formula>
    </cfRule>
  </conditionalFormatting>
  <conditionalFormatting sqref="AJ31">
    <cfRule type="cellIs" dxfId="4955" priority="5365" operator="equal">
      <formula>"No"</formula>
    </cfRule>
    <cfRule type="cellIs" dxfId="4954" priority="5366" operator="equal">
      <formula>"NA"</formula>
    </cfRule>
    <cfRule type="cellIs" dxfId="4953" priority="5367" operator="equal">
      <formula>"Yes"</formula>
    </cfRule>
  </conditionalFormatting>
  <conditionalFormatting sqref="AJ33">
    <cfRule type="cellIs" dxfId="4952" priority="5362" operator="equal">
      <formula>"No"</formula>
    </cfRule>
    <cfRule type="cellIs" dxfId="4951" priority="5363" operator="equal">
      <formula>"NA"</formula>
    </cfRule>
    <cfRule type="cellIs" dxfId="4950" priority="5364" operator="equal">
      <formula>"Yes"</formula>
    </cfRule>
  </conditionalFormatting>
  <conditionalFormatting sqref="AI12">
    <cfRule type="cellIs" dxfId="4949" priority="5287" operator="equal">
      <formula>"No"</formula>
    </cfRule>
    <cfRule type="cellIs" dxfId="4948" priority="5288" operator="equal">
      <formula>"NA"</formula>
    </cfRule>
    <cfRule type="cellIs" dxfId="4947" priority="5289" operator="equal">
      <formula>"Yes"</formula>
    </cfRule>
  </conditionalFormatting>
  <conditionalFormatting sqref="AI16">
    <cfRule type="cellIs" dxfId="4946" priority="5284" operator="equal">
      <formula>"No"</formula>
    </cfRule>
    <cfRule type="cellIs" dxfId="4945" priority="5285" operator="equal">
      <formula>"NA"</formula>
    </cfRule>
    <cfRule type="cellIs" dxfId="4944" priority="5286" operator="equal">
      <formula>"Yes"</formula>
    </cfRule>
  </conditionalFormatting>
  <conditionalFormatting sqref="AI6">
    <cfRule type="cellIs" dxfId="4943" priority="5281" operator="equal">
      <formula>"No"</formula>
    </cfRule>
    <cfRule type="cellIs" dxfId="4942" priority="5282" operator="equal">
      <formula>"NA"</formula>
    </cfRule>
    <cfRule type="cellIs" dxfId="4941" priority="5283" operator="equal">
      <formula>"Yes"</formula>
    </cfRule>
  </conditionalFormatting>
  <conditionalFormatting sqref="AI7">
    <cfRule type="cellIs" dxfId="4940" priority="5278" operator="equal">
      <formula>"No"</formula>
    </cfRule>
    <cfRule type="cellIs" dxfId="4939" priority="5279" operator="equal">
      <formula>"NA"</formula>
    </cfRule>
    <cfRule type="cellIs" dxfId="4938" priority="5280" operator="equal">
      <formula>"Yes"</formula>
    </cfRule>
  </conditionalFormatting>
  <conditionalFormatting sqref="AI9">
    <cfRule type="cellIs" dxfId="4937" priority="5275" operator="equal">
      <formula>"No"</formula>
    </cfRule>
    <cfRule type="cellIs" dxfId="4936" priority="5276" operator="equal">
      <formula>"NA"</formula>
    </cfRule>
    <cfRule type="cellIs" dxfId="4935" priority="5277" operator="equal">
      <formula>"Yes"</formula>
    </cfRule>
  </conditionalFormatting>
  <conditionalFormatting sqref="AI10">
    <cfRule type="cellIs" dxfId="4934" priority="5272" operator="equal">
      <formula>"No"</formula>
    </cfRule>
    <cfRule type="cellIs" dxfId="4933" priority="5273" operator="equal">
      <formula>"NA"</formula>
    </cfRule>
    <cfRule type="cellIs" dxfId="4932" priority="5274" operator="equal">
      <formula>"Yes"</formula>
    </cfRule>
  </conditionalFormatting>
  <conditionalFormatting sqref="AI11">
    <cfRule type="cellIs" dxfId="4931" priority="5269" operator="equal">
      <formula>"No"</formula>
    </cfRule>
    <cfRule type="cellIs" dxfId="4930" priority="5270" operator="equal">
      <formula>"NA"</formula>
    </cfRule>
    <cfRule type="cellIs" dxfId="4929" priority="5271" operator="equal">
      <formula>"Yes"</formula>
    </cfRule>
  </conditionalFormatting>
  <conditionalFormatting sqref="AI13">
    <cfRule type="cellIs" dxfId="4928" priority="5266" operator="equal">
      <formula>"No"</formula>
    </cfRule>
    <cfRule type="cellIs" dxfId="4927" priority="5267" operator="equal">
      <formula>"NA"</formula>
    </cfRule>
    <cfRule type="cellIs" dxfId="4926" priority="5268" operator="equal">
      <formula>"Yes"</formula>
    </cfRule>
  </conditionalFormatting>
  <conditionalFormatting sqref="AI14">
    <cfRule type="cellIs" dxfId="4925" priority="5263" operator="equal">
      <formula>"No"</formula>
    </cfRule>
    <cfRule type="cellIs" dxfId="4924" priority="5264" operator="equal">
      <formula>"NA"</formula>
    </cfRule>
    <cfRule type="cellIs" dxfId="4923" priority="5265" operator="equal">
      <formula>"Yes"</formula>
    </cfRule>
  </conditionalFormatting>
  <conditionalFormatting sqref="AI15">
    <cfRule type="cellIs" dxfId="4922" priority="5260" operator="equal">
      <formula>"No"</formula>
    </cfRule>
    <cfRule type="cellIs" dxfId="4921" priority="5261" operator="equal">
      <formula>"NA"</formula>
    </cfRule>
    <cfRule type="cellIs" dxfId="4920" priority="5262" operator="equal">
      <formula>"Yes"</formula>
    </cfRule>
  </conditionalFormatting>
  <conditionalFormatting sqref="AI17">
    <cfRule type="cellIs" dxfId="4919" priority="5257" operator="equal">
      <formula>"No"</formula>
    </cfRule>
    <cfRule type="cellIs" dxfId="4918" priority="5258" operator="equal">
      <formula>"NA"</formula>
    </cfRule>
    <cfRule type="cellIs" dxfId="4917" priority="5259" operator="equal">
      <formula>"Yes"</formula>
    </cfRule>
  </conditionalFormatting>
  <conditionalFormatting sqref="AI18">
    <cfRule type="cellIs" dxfId="4916" priority="5254" operator="equal">
      <formula>"No"</formula>
    </cfRule>
    <cfRule type="cellIs" dxfId="4915" priority="5255" operator="equal">
      <formula>"NA"</formula>
    </cfRule>
    <cfRule type="cellIs" dxfId="4914" priority="5256" operator="equal">
      <formula>"Yes"</formula>
    </cfRule>
  </conditionalFormatting>
  <conditionalFormatting sqref="AI19">
    <cfRule type="cellIs" dxfId="4913" priority="5251" operator="equal">
      <formula>"No"</formula>
    </cfRule>
    <cfRule type="cellIs" dxfId="4912" priority="5252" operator="equal">
      <formula>"NA"</formula>
    </cfRule>
    <cfRule type="cellIs" dxfId="4911" priority="5253" operator="equal">
      <formula>"Yes"</formula>
    </cfRule>
  </conditionalFormatting>
  <conditionalFormatting sqref="AI20">
    <cfRule type="cellIs" dxfId="4910" priority="5248" operator="equal">
      <formula>"No"</formula>
    </cfRule>
    <cfRule type="cellIs" dxfId="4909" priority="5249" operator="equal">
      <formula>"NA"</formula>
    </cfRule>
    <cfRule type="cellIs" dxfId="4908" priority="5250" operator="equal">
      <formula>"Yes"</formula>
    </cfRule>
  </conditionalFormatting>
  <conditionalFormatting sqref="AI21">
    <cfRule type="cellIs" dxfId="4907" priority="5245" operator="equal">
      <formula>"No"</formula>
    </cfRule>
    <cfRule type="cellIs" dxfId="4906" priority="5246" operator="equal">
      <formula>"NA"</formula>
    </cfRule>
    <cfRule type="cellIs" dxfId="4905" priority="5247" operator="equal">
      <formula>"Yes"</formula>
    </cfRule>
  </conditionalFormatting>
  <conditionalFormatting sqref="AI22">
    <cfRule type="cellIs" dxfId="4904" priority="5242" operator="equal">
      <formula>"No"</formula>
    </cfRule>
    <cfRule type="cellIs" dxfId="4903" priority="5243" operator="equal">
      <formula>"NA"</formula>
    </cfRule>
    <cfRule type="cellIs" dxfId="4902" priority="5244" operator="equal">
      <formula>"Yes"</formula>
    </cfRule>
  </conditionalFormatting>
  <conditionalFormatting sqref="AI23">
    <cfRule type="cellIs" dxfId="4901" priority="5239" operator="equal">
      <formula>"No"</formula>
    </cfRule>
    <cfRule type="cellIs" dxfId="4900" priority="5240" operator="equal">
      <formula>"NA"</formula>
    </cfRule>
    <cfRule type="cellIs" dxfId="4899" priority="5241" operator="equal">
      <formula>"Yes"</formula>
    </cfRule>
  </conditionalFormatting>
  <conditionalFormatting sqref="AI25">
    <cfRule type="cellIs" dxfId="4898" priority="5236" operator="equal">
      <formula>"No"</formula>
    </cfRule>
    <cfRule type="cellIs" dxfId="4897" priority="5237" operator="equal">
      <formula>"NA"</formula>
    </cfRule>
    <cfRule type="cellIs" dxfId="4896" priority="5238" operator="equal">
      <formula>"Yes"</formula>
    </cfRule>
  </conditionalFormatting>
  <conditionalFormatting sqref="AI26">
    <cfRule type="cellIs" dxfId="4895" priority="5233" operator="equal">
      <formula>"No"</formula>
    </cfRule>
    <cfRule type="cellIs" dxfId="4894" priority="5234" operator="equal">
      <formula>"NA"</formula>
    </cfRule>
    <cfRule type="cellIs" dxfId="4893" priority="5235" operator="equal">
      <formula>"Yes"</formula>
    </cfRule>
  </conditionalFormatting>
  <conditionalFormatting sqref="AI27">
    <cfRule type="cellIs" dxfId="4892" priority="5230" operator="equal">
      <formula>"No"</formula>
    </cfRule>
    <cfRule type="cellIs" dxfId="4891" priority="5231" operator="equal">
      <formula>"NA"</formula>
    </cfRule>
    <cfRule type="cellIs" dxfId="4890" priority="5232" operator="equal">
      <formula>"Yes"</formula>
    </cfRule>
  </conditionalFormatting>
  <conditionalFormatting sqref="AI28">
    <cfRule type="cellIs" dxfId="4889" priority="5227" operator="equal">
      <formula>"No"</formula>
    </cfRule>
    <cfRule type="cellIs" dxfId="4888" priority="5228" operator="equal">
      <formula>"NA"</formula>
    </cfRule>
    <cfRule type="cellIs" dxfId="4887" priority="5229" operator="equal">
      <formula>"Yes"</formula>
    </cfRule>
  </conditionalFormatting>
  <conditionalFormatting sqref="AI30">
    <cfRule type="cellIs" dxfId="4886" priority="5224" operator="equal">
      <formula>"No"</formula>
    </cfRule>
    <cfRule type="cellIs" dxfId="4885" priority="5225" operator="equal">
      <formula>"NA"</formula>
    </cfRule>
    <cfRule type="cellIs" dxfId="4884" priority="5226" operator="equal">
      <formula>"Yes"</formula>
    </cfRule>
  </conditionalFormatting>
  <conditionalFormatting sqref="AI31">
    <cfRule type="cellIs" dxfId="4883" priority="5221" operator="equal">
      <formula>"No"</formula>
    </cfRule>
    <cfRule type="cellIs" dxfId="4882" priority="5222" operator="equal">
      <formula>"NA"</formula>
    </cfRule>
    <cfRule type="cellIs" dxfId="4881" priority="5223" operator="equal">
      <formula>"Yes"</formula>
    </cfRule>
  </conditionalFormatting>
  <conditionalFormatting sqref="AI33">
    <cfRule type="cellIs" dxfId="4880" priority="5218" operator="equal">
      <formula>"No"</formula>
    </cfRule>
    <cfRule type="cellIs" dxfId="4879" priority="5219" operator="equal">
      <formula>"NA"</formula>
    </cfRule>
    <cfRule type="cellIs" dxfId="4878" priority="5220" operator="equal">
      <formula>"Yes"</formula>
    </cfRule>
  </conditionalFormatting>
  <conditionalFormatting sqref="AH12">
    <cfRule type="cellIs" dxfId="4877" priority="5215" operator="equal">
      <formula>"No"</formula>
    </cfRule>
    <cfRule type="cellIs" dxfId="4876" priority="5216" operator="equal">
      <formula>"NA"</formula>
    </cfRule>
    <cfRule type="cellIs" dxfId="4875" priority="5217" operator="equal">
      <formula>"Yes"</formula>
    </cfRule>
  </conditionalFormatting>
  <conditionalFormatting sqref="AH16">
    <cfRule type="cellIs" dxfId="4874" priority="5212" operator="equal">
      <formula>"No"</formula>
    </cfRule>
    <cfRule type="cellIs" dxfId="4873" priority="5213" operator="equal">
      <formula>"NA"</formula>
    </cfRule>
    <cfRule type="cellIs" dxfId="4872" priority="5214" operator="equal">
      <formula>"Yes"</formula>
    </cfRule>
  </conditionalFormatting>
  <conditionalFormatting sqref="AH6">
    <cfRule type="cellIs" dxfId="4871" priority="5209" operator="equal">
      <formula>"No"</formula>
    </cfRule>
    <cfRule type="cellIs" dxfId="4870" priority="5210" operator="equal">
      <formula>"NA"</formula>
    </cfRule>
    <cfRule type="cellIs" dxfId="4869" priority="5211" operator="equal">
      <formula>"Yes"</formula>
    </cfRule>
  </conditionalFormatting>
  <conditionalFormatting sqref="AH7">
    <cfRule type="cellIs" dxfId="4868" priority="5206" operator="equal">
      <formula>"No"</formula>
    </cfRule>
    <cfRule type="cellIs" dxfId="4867" priority="5207" operator="equal">
      <formula>"NA"</formula>
    </cfRule>
    <cfRule type="cellIs" dxfId="4866" priority="5208" operator="equal">
      <formula>"Yes"</formula>
    </cfRule>
  </conditionalFormatting>
  <conditionalFormatting sqref="AH9">
    <cfRule type="cellIs" dxfId="4865" priority="5203" operator="equal">
      <formula>"No"</formula>
    </cfRule>
    <cfRule type="cellIs" dxfId="4864" priority="5204" operator="equal">
      <formula>"NA"</formula>
    </cfRule>
    <cfRule type="cellIs" dxfId="4863" priority="5205" operator="equal">
      <formula>"Yes"</formula>
    </cfRule>
  </conditionalFormatting>
  <conditionalFormatting sqref="AH10">
    <cfRule type="cellIs" dxfId="4862" priority="5200" operator="equal">
      <formula>"No"</formula>
    </cfRule>
    <cfRule type="cellIs" dxfId="4861" priority="5201" operator="equal">
      <formula>"NA"</formula>
    </cfRule>
    <cfRule type="cellIs" dxfId="4860" priority="5202" operator="equal">
      <formula>"Yes"</formula>
    </cfRule>
  </conditionalFormatting>
  <conditionalFormatting sqref="AH11">
    <cfRule type="cellIs" dxfId="4859" priority="5197" operator="equal">
      <formula>"No"</formula>
    </cfRule>
    <cfRule type="cellIs" dxfId="4858" priority="5198" operator="equal">
      <formula>"NA"</formula>
    </cfRule>
    <cfRule type="cellIs" dxfId="4857" priority="5199" operator="equal">
      <formula>"Yes"</formula>
    </cfRule>
  </conditionalFormatting>
  <conditionalFormatting sqref="AH13">
    <cfRule type="cellIs" dxfId="4856" priority="5194" operator="equal">
      <formula>"No"</formula>
    </cfRule>
    <cfRule type="cellIs" dxfId="4855" priority="5195" operator="equal">
      <formula>"NA"</formula>
    </cfRule>
    <cfRule type="cellIs" dxfId="4854" priority="5196" operator="equal">
      <formula>"Yes"</formula>
    </cfRule>
  </conditionalFormatting>
  <conditionalFormatting sqref="AH14">
    <cfRule type="cellIs" dxfId="4853" priority="5191" operator="equal">
      <formula>"No"</formula>
    </cfRule>
    <cfRule type="cellIs" dxfId="4852" priority="5192" operator="equal">
      <formula>"NA"</formula>
    </cfRule>
    <cfRule type="cellIs" dxfId="4851" priority="5193" operator="equal">
      <formula>"Yes"</formula>
    </cfRule>
  </conditionalFormatting>
  <conditionalFormatting sqref="AH15">
    <cfRule type="cellIs" dxfId="4850" priority="5188" operator="equal">
      <formula>"No"</formula>
    </cfRule>
    <cfRule type="cellIs" dxfId="4849" priority="5189" operator="equal">
      <formula>"NA"</formula>
    </cfRule>
    <cfRule type="cellIs" dxfId="4848" priority="5190" operator="equal">
      <formula>"Yes"</formula>
    </cfRule>
  </conditionalFormatting>
  <conditionalFormatting sqref="AH17">
    <cfRule type="cellIs" dxfId="4847" priority="5185" operator="equal">
      <formula>"No"</formula>
    </cfRule>
    <cfRule type="cellIs" dxfId="4846" priority="5186" operator="equal">
      <formula>"NA"</formula>
    </cfRule>
    <cfRule type="cellIs" dxfId="4845" priority="5187" operator="equal">
      <formula>"Yes"</formula>
    </cfRule>
  </conditionalFormatting>
  <conditionalFormatting sqref="AH18">
    <cfRule type="cellIs" dxfId="4844" priority="5182" operator="equal">
      <formula>"No"</formula>
    </cfRule>
    <cfRule type="cellIs" dxfId="4843" priority="5183" operator="equal">
      <formula>"NA"</formula>
    </cfRule>
    <cfRule type="cellIs" dxfId="4842" priority="5184" operator="equal">
      <formula>"Yes"</formula>
    </cfRule>
  </conditionalFormatting>
  <conditionalFormatting sqref="AH19">
    <cfRule type="cellIs" dxfId="4841" priority="5179" operator="equal">
      <formula>"No"</formula>
    </cfRule>
    <cfRule type="cellIs" dxfId="4840" priority="5180" operator="equal">
      <formula>"NA"</formula>
    </cfRule>
    <cfRule type="cellIs" dxfId="4839" priority="5181" operator="equal">
      <formula>"Yes"</formula>
    </cfRule>
  </conditionalFormatting>
  <conditionalFormatting sqref="AH20">
    <cfRule type="cellIs" dxfId="4838" priority="5176" operator="equal">
      <formula>"No"</formula>
    </cfRule>
    <cfRule type="cellIs" dxfId="4837" priority="5177" operator="equal">
      <formula>"NA"</formula>
    </cfRule>
    <cfRule type="cellIs" dxfId="4836" priority="5178" operator="equal">
      <formula>"Yes"</formula>
    </cfRule>
  </conditionalFormatting>
  <conditionalFormatting sqref="AH21">
    <cfRule type="cellIs" dxfId="4835" priority="5173" operator="equal">
      <formula>"No"</formula>
    </cfRule>
    <cfRule type="cellIs" dxfId="4834" priority="5174" operator="equal">
      <formula>"NA"</formula>
    </cfRule>
    <cfRule type="cellIs" dxfId="4833" priority="5175" operator="equal">
      <formula>"Yes"</formula>
    </cfRule>
  </conditionalFormatting>
  <conditionalFormatting sqref="AH22">
    <cfRule type="cellIs" dxfId="4832" priority="5170" operator="equal">
      <formula>"No"</formula>
    </cfRule>
    <cfRule type="cellIs" dxfId="4831" priority="5171" operator="equal">
      <formula>"NA"</formula>
    </cfRule>
    <cfRule type="cellIs" dxfId="4830" priority="5172" operator="equal">
      <formula>"Yes"</formula>
    </cfRule>
  </conditionalFormatting>
  <conditionalFormatting sqref="AH23">
    <cfRule type="cellIs" dxfId="4829" priority="5167" operator="equal">
      <formula>"No"</formula>
    </cfRule>
    <cfRule type="cellIs" dxfId="4828" priority="5168" operator="equal">
      <formula>"NA"</formula>
    </cfRule>
    <cfRule type="cellIs" dxfId="4827" priority="5169" operator="equal">
      <formula>"Yes"</formula>
    </cfRule>
  </conditionalFormatting>
  <conditionalFormatting sqref="AH25">
    <cfRule type="cellIs" dxfId="4826" priority="5164" operator="equal">
      <formula>"No"</formula>
    </cfRule>
    <cfRule type="cellIs" dxfId="4825" priority="5165" operator="equal">
      <formula>"NA"</formula>
    </cfRule>
    <cfRule type="cellIs" dxfId="4824" priority="5166" operator="equal">
      <formula>"Yes"</formula>
    </cfRule>
  </conditionalFormatting>
  <conditionalFormatting sqref="AH26">
    <cfRule type="cellIs" dxfId="4823" priority="5161" operator="equal">
      <formula>"No"</formula>
    </cfRule>
    <cfRule type="cellIs" dxfId="4822" priority="5162" operator="equal">
      <formula>"NA"</formula>
    </cfRule>
    <cfRule type="cellIs" dxfId="4821" priority="5163" operator="equal">
      <formula>"Yes"</formula>
    </cfRule>
  </conditionalFormatting>
  <conditionalFormatting sqref="AH27">
    <cfRule type="cellIs" dxfId="4820" priority="5158" operator="equal">
      <formula>"No"</formula>
    </cfRule>
    <cfRule type="cellIs" dxfId="4819" priority="5159" operator="equal">
      <formula>"NA"</formula>
    </cfRule>
    <cfRule type="cellIs" dxfId="4818" priority="5160" operator="equal">
      <formula>"Yes"</formula>
    </cfRule>
  </conditionalFormatting>
  <conditionalFormatting sqref="AH28">
    <cfRule type="cellIs" dxfId="4817" priority="5155" operator="equal">
      <formula>"No"</formula>
    </cfRule>
    <cfRule type="cellIs" dxfId="4816" priority="5156" operator="equal">
      <formula>"NA"</formula>
    </cfRule>
    <cfRule type="cellIs" dxfId="4815" priority="5157" operator="equal">
      <formula>"Yes"</formula>
    </cfRule>
  </conditionalFormatting>
  <conditionalFormatting sqref="AH30">
    <cfRule type="cellIs" dxfId="4814" priority="5152" operator="equal">
      <formula>"No"</formula>
    </cfRule>
    <cfRule type="cellIs" dxfId="4813" priority="5153" operator="equal">
      <formula>"NA"</formula>
    </cfRule>
    <cfRule type="cellIs" dxfId="4812" priority="5154" operator="equal">
      <formula>"Yes"</formula>
    </cfRule>
  </conditionalFormatting>
  <conditionalFormatting sqref="AH31">
    <cfRule type="cellIs" dxfId="4811" priority="5149" operator="equal">
      <formula>"No"</formula>
    </cfRule>
    <cfRule type="cellIs" dxfId="4810" priority="5150" operator="equal">
      <formula>"NA"</formula>
    </cfRule>
    <cfRule type="cellIs" dxfId="4809" priority="5151" operator="equal">
      <formula>"Yes"</formula>
    </cfRule>
  </conditionalFormatting>
  <conditionalFormatting sqref="AH33">
    <cfRule type="cellIs" dxfId="4808" priority="5146" operator="equal">
      <formula>"No"</formula>
    </cfRule>
    <cfRule type="cellIs" dxfId="4807" priority="5147" operator="equal">
      <formula>"NA"</formula>
    </cfRule>
    <cfRule type="cellIs" dxfId="4806" priority="5148" operator="equal">
      <formula>"Yes"</formula>
    </cfRule>
  </conditionalFormatting>
  <conditionalFormatting sqref="AK6">
    <cfRule type="cellIs" dxfId="4805" priority="5143" operator="equal">
      <formula>"No"</formula>
    </cfRule>
    <cfRule type="cellIs" dxfId="4804" priority="5144" operator="equal">
      <formula>"NA"</formula>
    </cfRule>
    <cfRule type="cellIs" dxfId="4803" priority="5145" operator="equal">
      <formula>"Yes"</formula>
    </cfRule>
  </conditionalFormatting>
  <conditionalFormatting sqref="AK12">
    <cfRule type="cellIs" dxfId="4802" priority="5140" operator="equal">
      <formula>"No"</formula>
    </cfRule>
    <cfRule type="cellIs" dxfId="4801" priority="5141" operator="equal">
      <formula>"NA"</formula>
    </cfRule>
    <cfRule type="cellIs" dxfId="4800" priority="5142" operator="equal">
      <formula>"Yes"</formula>
    </cfRule>
  </conditionalFormatting>
  <conditionalFormatting sqref="AK17">
    <cfRule type="cellIs" dxfId="4799" priority="5137" operator="equal">
      <formula>"No"</formula>
    </cfRule>
    <cfRule type="cellIs" dxfId="4798" priority="5138" operator="equal">
      <formula>"NA"</formula>
    </cfRule>
    <cfRule type="cellIs" dxfId="4797" priority="5139" operator="equal">
      <formula>"Yes"</formula>
    </cfRule>
  </conditionalFormatting>
  <conditionalFormatting sqref="AK16">
    <cfRule type="cellIs" dxfId="4796" priority="5134" operator="equal">
      <formula>"No"</formula>
    </cfRule>
    <cfRule type="cellIs" dxfId="4795" priority="5135" operator="equal">
      <formula>"NA"</formula>
    </cfRule>
    <cfRule type="cellIs" dxfId="4794" priority="5136" operator="equal">
      <formula>"Yes"</formula>
    </cfRule>
  </conditionalFormatting>
  <conditionalFormatting sqref="AK25">
    <cfRule type="cellIs" dxfId="4793" priority="5131" operator="equal">
      <formula>"No"</formula>
    </cfRule>
    <cfRule type="cellIs" dxfId="4792" priority="5132" operator="equal">
      <formula>"NA"</formula>
    </cfRule>
    <cfRule type="cellIs" dxfId="4791" priority="5133" operator="equal">
      <formula>"Yes"</formula>
    </cfRule>
  </conditionalFormatting>
  <conditionalFormatting sqref="AL10">
    <cfRule type="cellIs" dxfId="4790" priority="5128" operator="equal">
      <formula>"No"</formula>
    </cfRule>
    <cfRule type="cellIs" dxfId="4789" priority="5129" operator="equal">
      <formula>"NA"</formula>
    </cfRule>
    <cfRule type="cellIs" dxfId="4788" priority="5130" operator="equal">
      <formula>"Yes"</formula>
    </cfRule>
  </conditionalFormatting>
  <conditionalFormatting sqref="AL17">
    <cfRule type="cellIs" dxfId="4787" priority="5125" operator="equal">
      <formula>"No"</formula>
    </cfRule>
    <cfRule type="cellIs" dxfId="4786" priority="5126" operator="equal">
      <formula>"NA"</formula>
    </cfRule>
    <cfRule type="cellIs" dxfId="4785" priority="5127" operator="equal">
      <formula>"Yes"</formula>
    </cfRule>
  </conditionalFormatting>
  <conditionalFormatting sqref="AL7">
    <cfRule type="cellIs" dxfId="4784" priority="5119" operator="equal">
      <formula>"No"</formula>
    </cfRule>
    <cfRule type="cellIs" dxfId="4783" priority="5120" operator="equal">
      <formula>"NA"</formula>
    </cfRule>
    <cfRule type="cellIs" dxfId="4782" priority="5121" operator="equal">
      <formula>"Yes"</formula>
    </cfRule>
  </conditionalFormatting>
  <conditionalFormatting sqref="AL11">
    <cfRule type="cellIs" dxfId="4781" priority="5113" operator="equal">
      <formula>"No"</formula>
    </cfRule>
    <cfRule type="cellIs" dxfId="4780" priority="5114" operator="equal">
      <formula>"NA"</formula>
    </cfRule>
    <cfRule type="cellIs" dxfId="4779" priority="5115" operator="equal">
      <formula>"Yes"</formula>
    </cfRule>
  </conditionalFormatting>
  <conditionalFormatting sqref="AL12">
    <cfRule type="cellIs" dxfId="4778" priority="5110" operator="equal">
      <formula>"No"</formula>
    </cfRule>
    <cfRule type="cellIs" dxfId="4777" priority="5111" operator="equal">
      <formula>"NA"</formula>
    </cfRule>
    <cfRule type="cellIs" dxfId="4776" priority="5112" operator="equal">
      <formula>"Yes"</formula>
    </cfRule>
  </conditionalFormatting>
  <conditionalFormatting sqref="AL13">
    <cfRule type="cellIs" dxfId="4775" priority="5107" operator="equal">
      <formula>"No"</formula>
    </cfRule>
    <cfRule type="cellIs" dxfId="4774" priority="5108" operator="equal">
      <formula>"NA"</formula>
    </cfRule>
    <cfRule type="cellIs" dxfId="4773" priority="5109" operator="equal">
      <formula>"Yes"</formula>
    </cfRule>
  </conditionalFormatting>
  <conditionalFormatting sqref="AL14">
    <cfRule type="cellIs" dxfId="4772" priority="5104" operator="equal">
      <formula>"No"</formula>
    </cfRule>
    <cfRule type="cellIs" dxfId="4771" priority="5105" operator="equal">
      <formula>"NA"</formula>
    </cfRule>
    <cfRule type="cellIs" dxfId="4770" priority="5106" operator="equal">
      <formula>"Yes"</formula>
    </cfRule>
  </conditionalFormatting>
  <conditionalFormatting sqref="AL15">
    <cfRule type="cellIs" dxfId="4769" priority="5101" operator="equal">
      <formula>"No"</formula>
    </cfRule>
    <cfRule type="cellIs" dxfId="4768" priority="5102" operator="equal">
      <formula>"NA"</formula>
    </cfRule>
    <cfRule type="cellIs" dxfId="4767" priority="5103" operator="equal">
      <formula>"Yes"</formula>
    </cfRule>
  </conditionalFormatting>
  <conditionalFormatting sqref="AL16">
    <cfRule type="cellIs" dxfId="4766" priority="5098" operator="equal">
      <formula>"No"</formula>
    </cfRule>
    <cfRule type="cellIs" dxfId="4765" priority="5099" operator="equal">
      <formula>"NA"</formula>
    </cfRule>
    <cfRule type="cellIs" dxfId="4764" priority="5100" operator="equal">
      <formula>"Yes"</formula>
    </cfRule>
  </conditionalFormatting>
  <conditionalFormatting sqref="AL18">
    <cfRule type="cellIs" dxfId="4763" priority="5095" operator="equal">
      <formula>"No"</formula>
    </cfRule>
    <cfRule type="cellIs" dxfId="4762" priority="5096" operator="equal">
      <formula>"NA"</formula>
    </cfRule>
    <cfRule type="cellIs" dxfId="4761" priority="5097" operator="equal">
      <formula>"Yes"</formula>
    </cfRule>
  </conditionalFormatting>
  <conditionalFormatting sqref="AL19">
    <cfRule type="cellIs" dxfId="4760" priority="5092" operator="equal">
      <formula>"No"</formula>
    </cfRule>
    <cfRule type="cellIs" dxfId="4759" priority="5093" operator="equal">
      <formula>"NA"</formula>
    </cfRule>
    <cfRule type="cellIs" dxfId="4758" priority="5094" operator="equal">
      <formula>"Yes"</formula>
    </cfRule>
  </conditionalFormatting>
  <conditionalFormatting sqref="AL20">
    <cfRule type="cellIs" dxfId="4757" priority="5089" operator="equal">
      <formula>"No"</formula>
    </cfRule>
    <cfRule type="cellIs" dxfId="4756" priority="5090" operator="equal">
      <formula>"NA"</formula>
    </cfRule>
    <cfRule type="cellIs" dxfId="4755" priority="5091" operator="equal">
      <formula>"Yes"</formula>
    </cfRule>
  </conditionalFormatting>
  <conditionalFormatting sqref="AL21">
    <cfRule type="cellIs" dxfId="4754" priority="5086" operator="equal">
      <formula>"No"</formula>
    </cfRule>
    <cfRule type="cellIs" dxfId="4753" priority="5087" operator="equal">
      <formula>"NA"</formula>
    </cfRule>
    <cfRule type="cellIs" dxfId="4752" priority="5088" operator="equal">
      <formula>"Yes"</formula>
    </cfRule>
  </conditionalFormatting>
  <conditionalFormatting sqref="AL22">
    <cfRule type="cellIs" dxfId="4751" priority="5083" operator="equal">
      <formula>"No"</formula>
    </cfRule>
    <cfRule type="cellIs" dxfId="4750" priority="5084" operator="equal">
      <formula>"NA"</formula>
    </cfRule>
    <cfRule type="cellIs" dxfId="4749" priority="5085" operator="equal">
      <formula>"Yes"</formula>
    </cfRule>
  </conditionalFormatting>
  <conditionalFormatting sqref="AL23">
    <cfRule type="cellIs" dxfId="4748" priority="5080" operator="equal">
      <formula>"No"</formula>
    </cfRule>
    <cfRule type="cellIs" dxfId="4747" priority="5081" operator="equal">
      <formula>"NA"</formula>
    </cfRule>
    <cfRule type="cellIs" dxfId="4746" priority="5082" operator="equal">
      <formula>"Yes"</formula>
    </cfRule>
  </conditionalFormatting>
  <conditionalFormatting sqref="AL26">
    <cfRule type="cellIs" dxfId="4745" priority="5074" operator="equal">
      <formula>"No"</formula>
    </cfRule>
    <cfRule type="cellIs" dxfId="4744" priority="5075" operator="equal">
      <formula>"NA"</formula>
    </cfRule>
    <cfRule type="cellIs" dxfId="4743" priority="5076" operator="equal">
      <formula>"Yes"</formula>
    </cfRule>
  </conditionalFormatting>
  <conditionalFormatting sqref="AL27">
    <cfRule type="cellIs" dxfId="4742" priority="5071" operator="equal">
      <formula>"No"</formula>
    </cfRule>
    <cfRule type="cellIs" dxfId="4741" priority="5072" operator="equal">
      <formula>"NA"</formula>
    </cfRule>
    <cfRule type="cellIs" dxfId="4740" priority="5073" operator="equal">
      <formula>"Yes"</formula>
    </cfRule>
  </conditionalFormatting>
  <conditionalFormatting sqref="AL28">
    <cfRule type="cellIs" dxfId="4739" priority="5068" operator="equal">
      <formula>"No"</formula>
    </cfRule>
    <cfRule type="cellIs" dxfId="4738" priority="5069" operator="equal">
      <formula>"NA"</formula>
    </cfRule>
    <cfRule type="cellIs" dxfId="4737" priority="5070" operator="equal">
      <formula>"Yes"</formula>
    </cfRule>
  </conditionalFormatting>
  <conditionalFormatting sqref="AL30">
    <cfRule type="cellIs" dxfId="4736" priority="5065" operator="equal">
      <formula>"No"</formula>
    </cfRule>
    <cfRule type="cellIs" dxfId="4735" priority="5066" operator="equal">
      <formula>"NA"</formula>
    </cfRule>
    <cfRule type="cellIs" dxfId="4734" priority="5067" operator="equal">
      <formula>"Yes"</formula>
    </cfRule>
  </conditionalFormatting>
  <conditionalFormatting sqref="AL31">
    <cfRule type="cellIs" dxfId="4733" priority="5062" operator="equal">
      <formula>"No"</formula>
    </cfRule>
    <cfRule type="cellIs" dxfId="4732" priority="5063" operator="equal">
      <formula>"NA"</formula>
    </cfRule>
    <cfRule type="cellIs" dxfId="4731" priority="5064" operator="equal">
      <formula>"Yes"</formula>
    </cfRule>
  </conditionalFormatting>
  <conditionalFormatting sqref="AL33">
    <cfRule type="cellIs" dxfId="4730" priority="5059" operator="equal">
      <formula>"No"</formula>
    </cfRule>
    <cfRule type="cellIs" dxfId="4729" priority="5060" operator="equal">
      <formula>"NA"</formula>
    </cfRule>
    <cfRule type="cellIs" dxfId="4728" priority="5061" operator="equal">
      <formula>"Yes"</formula>
    </cfRule>
  </conditionalFormatting>
  <conditionalFormatting sqref="AL6">
    <cfRule type="cellIs" dxfId="4727" priority="5056" operator="equal">
      <formula>"No"</formula>
    </cfRule>
    <cfRule type="cellIs" dxfId="4726" priority="5057" operator="equal">
      <formula>"NA"</formula>
    </cfRule>
    <cfRule type="cellIs" dxfId="4725" priority="5058" operator="equal">
      <formula>"Yes"</formula>
    </cfRule>
  </conditionalFormatting>
  <conditionalFormatting sqref="AL9">
    <cfRule type="cellIs" dxfId="4724" priority="5053" operator="equal">
      <formula>"No"</formula>
    </cfRule>
    <cfRule type="cellIs" dxfId="4723" priority="5054" operator="equal">
      <formula>"NA"</formula>
    </cfRule>
    <cfRule type="cellIs" dxfId="4722" priority="5055" operator="equal">
      <formula>"Yes"</formula>
    </cfRule>
  </conditionalFormatting>
  <conditionalFormatting sqref="AL25">
    <cfRule type="cellIs" dxfId="4721" priority="5050" operator="equal">
      <formula>"No"</formula>
    </cfRule>
    <cfRule type="cellIs" dxfId="4720" priority="5051" operator="equal">
      <formula>"NA"</formula>
    </cfRule>
    <cfRule type="cellIs" dxfId="4719" priority="5052" operator="equal">
      <formula>"Yes"</formula>
    </cfRule>
  </conditionalFormatting>
  <conditionalFormatting sqref="AQ10">
    <cfRule type="cellIs" dxfId="4718" priority="4975" operator="equal">
      <formula>"No"</formula>
    </cfRule>
    <cfRule type="cellIs" dxfId="4717" priority="4976" operator="equal">
      <formula>"NA"</formula>
    </cfRule>
    <cfRule type="cellIs" dxfId="4716" priority="4977" operator="equal">
      <formula>"Yes"</formula>
    </cfRule>
  </conditionalFormatting>
  <conditionalFormatting sqref="AQ17">
    <cfRule type="cellIs" dxfId="4715" priority="4972" operator="equal">
      <formula>"No"</formula>
    </cfRule>
    <cfRule type="cellIs" dxfId="4714" priority="4973" operator="equal">
      <formula>"NA"</formula>
    </cfRule>
    <cfRule type="cellIs" dxfId="4713" priority="4974" operator="equal">
      <formula>"Yes"</formula>
    </cfRule>
  </conditionalFormatting>
  <conditionalFormatting sqref="AQ6">
    <cfRule type="cellIs" dxfId="4712" priority="4969" operator="equal">
      <formula>"No"</formula>
    </cfRule>
    <cfRule type="cellIs" dxfId="4711" priority="4970" operator="equal">
      <formula>"NA"</formula>
    </cfRule>
    <cfRule type="cellIs" dxfId="4710" priority="4971" operator="equal">
      <formula>"Yes"</formula>
    </cfRule>
  </conditionalFormatting>
  <conditionalFormatting sqref="AQ7">
    <cfRule type="cellIs" dxfId="4709" priority="4966" operator="equal">
      <formula>"No"</formula>
    </cfRule>
    <cfRule type="cellIs" dxfId="4708" priority="4967" operator="equal">
      <formula>"NA"</formula>
    </cfRule>
    <cfRule type="cellIs" dxfId="4707" priority="4968" operator="equal">
      <formula>"Yes"</formula>
    </cfRule>
  </conditionalFormatting>
  <conditionalFormatting sqref="AQ9">
    <cfRule type="cellIs" dxfId="4706" priority="4963" operator="equal">
      <formula>"No"</formula>
    </cfRule>
    <cfRule type="cellIs" dxfId="4705" priority="4964" operator="equal">
      <formula>"NA"</formula>
    </cfRule>
    <cfRule type="cellIs" dxfId="4704" priority="4965" operator="equal">
      <formula>"Yes"</formula>
    </cfRule>
  </conditionalFormatting>
  <conditionalFormatting sqref="AQ11">
    <cfRule type="cellIs" dxfId="4703" priority="4960" operator="equal">
      <formula>"No"</formula>
    </cfRule>
    <cfRule type="cellIs" dxfId="4702" priority="4961" operator="equal">
      <formula>"NA"</formula>
    </cfRule>
    <cfRule type="cellIs" dxfId="4701" priority="4962" operator="equal">
      <formula>"Yes"</formula>
    </cfRule>
  </conditionalFormatting>
  <conditionalFormatting sqref="AQ12">
    <cfRule type="cellIs" dxfId="4700" priority="4957" operator="equal">
      <formula>"No"</formula>
    </cfRule>
    <cfRule type="cellIs" dxfId="4699" priority="4958" operator="equal">
      <formula>"NA"</formula>
    </cfRule>
    <cfRule type="cellIs" dxfId="4698" priority="4959" operator="equal">
      <formula>"Yes"</formula>
    </cfRule>
  </conditionalFormatting>
  <conditionalFormatting sqref="AQ13">
    <cfRule type="cellIs" dxfId="4697" priority="4954" operator="equal">
      <formula>"No"</formula>
    </cfRule>
    <cfRule type="cellIs" dxfId="4696" priority="4955" operator="equal">
      <formula>"NA"</formula>
    </cfRule>
    <cfRule type="cellIs" dxfId="4695" priority="4956" operator="equal">
      <formula>"Yes"</formula>
    </cfRule>
  </conditionalFormatting>
  <conditionalFormatting sqref="AQ14">
    <cfRule type="cellIs" dxfId="4694" priority="4951" operator="equal">
      <formula>"No"</formula>
    </cfRule>
    <cfRule type="cellIs" dxfId="4693" priority="4952" operator="equal">
      <formula>"NA"</formula>
    </cfRule>
    <cfRule type="cellIs" dxfId="4692" priority="4953" operator="equal">
      <formula>"Yes"</formula>
    </cfRule>
  </conditionalFormatting>
  <conditionalFormatting sqref="AQ15">
    <cfRule type="cellIs" dxfId="4691" priority="4948" operator="equal">
      <formula>"No"</formula>
    </cfRule>
    <cfRule type="cellIs" dxfId="4690" priority="4949" operator="equal">
      <formula>"NA"</formula>
    </cfRule>
    <cfRule type="cellIs" dxfId="4689" priority="4950" operator="equal">
      <formula>"Yes"</formula>
    </cfRule>
  </conditionalFormatting>
  <conditionalFormatting sqref="AQ16">
    <cfRule type="cellIs" dxfId="4688" priority="4945" operator="equal">
      <formula>"No"</formula>
    </cfRule>
    <cfRule type="cellIs" dxfId="4687" priority="4946" operator="equal">
      <formula>"NA"</formula>
    </cfRule>
    <cfRule type="cellIs" dxfId="4686" priority="4947" operator="equal">
      <formula>"Yes"</formula>
    </cfRule>
  </conditionalFormatting>
  <conditionalFormatting sqref="AQ18">
    <cfRule type="cellIs" dxfId="4685" priority="4942" operator="equal">
      <formula>"No"</formula>
    </cfRule>
    <cfRule type="cellIs" dxfId="4684" priority="4943" operator="equal">
      <formula>"NA"</formula>
    </cfRule>
    <cfRule type="cellIs" dxfId="4683" priority="4944" operator="equal">
      <formula>"Yes"</formula>
    </cfRule>
  </conditionalFormatting>
  <conditionalFormatting sqref="AQ19">
    <cfRule type="cellIs" dxfId="4682" priority="4939" operator="equal">
      <formula>"No"</formula>
    </cfRule>
    <cfRule type="cellIs" dxfId="4681" priority="4940" operator="equal">
      <formula>"NA"</formula>
    </cfRule>
    <cfRule type="cellIs" dxfId="4680" priority="4941" operator="equal">
      <formula>"Yes"</formula>
    </cfRule>
  </conditionalFormatting>
  <conditionalFormatting sqref="AQ20">
    <cfRule type="cellIs" dxfId="4679" priority="4936" operator="equal">
      <formula>"No"</formula>
    </cfRule>
    <cfRule type="cellIs" dxfId="4678" priority="4937" operator="equal">
      <formula>"NA"</formula>
    </cfRule>
    <cfRule type="cellIs" dxfId="4677" priority="4938" operator="equal">
      <formula>"Yes"</formula>
    </cfRule>
  </conditionalFormatting>
  <conditionalFormatting sqref="AQ21">
    <cfRule type="cellIs" dxfId="4676" priority="4933" operator="equal">
      <formula>"No"</formula>
    </cfRule>
    <cfRule type="cellIs" dxfId="4675" priority="4934" operator="equal">
      <formula>"NA"</formula>
    </cfRule>
    <cfRule type="cellIs" dxfId="4674" priority="4935" operator="equal">
      <formula>"Yes"</formula>
    </cfRule>
  </conditionalFormatting>
  <conditionalFormatting sqref="AQ22">
    <cfRule type="cellIs" dxfId="4673" priority="4930" operator="equal">
      <formula>"No"</formula>
    </cfRule>
    <cfRule type="cellIs" dxfId="4672" priority="4931" operator="equal">
      <formula>"NA"</formula>
    </cfRule>
    <cfRule type="cellIs" dxfId="4671" priority="4932" operator="equal">
      <formula>"Yes"</formula>
    </cfRule>
  </conditionalFormatting>
  <conditionalFormatting sqref="AQ23">
    <cfRule type="cellIs" dxfId="4670" priority="4927" operator="equal">
      <formula>"No"</formula>
    </cfRule>
    <cfRule type="cellIs" dxfId="4669" priority="4928" operator="equal">
      <formula>"NA"</formula>
    </cfRule>
    <cfRule type="cellIs" dxfId="4668" priority="4929" operator="equal">
      <formula>"Yes"</formula>
    </cfRule>
  </conditionalFormatting>
  <conditionalFormatting sqref="AQ25">
    <cfRule type="cellIs" dxfId="4667" priority="4924" operator="equal">
      <formula>"No"</formula>
    </cfRule>
    <cfRule type="cellIs" dxfId="4666" priority="4925" operator="equal">
      <formula>"NA"</formula>
    </cfRule>
    <cfRule type="cellIs" dxfId="4665" priority="4926" operator="equal">
      <formula>"Yes"</formula>
    </cfRule>
  </conditionalFormatting>
  <conditionalFormatting sqref="AQ26">
    <cfRule type="cellIs" dxfId="4664" priority="4921" operator="equal">
      <formula>"No"</formula>
    </cfRule>
    <cfRule type="cellIs" dxfId="4663" priority="4922" operator="equal">
      <formula>"NA"</formula>
    </cfRule>
    <cfRule type="cellIs" dxfId="4662" priority="4923" operator="equal">
      <formula>"Yes"</formula>
    </cfRule>
  </conditionalFormatting>
  <conditionalFormatting sqref="AQ27">
    <cfRule type="cellIs" dxfId="4661" priority="4918" operator="equal">
      <formula>"No"</formula>
    </cfRule>
    <cfRule type="cellIs" dxfId="4660" priority="4919" operator="equal">
      <formula>"NA"</formula>
    </cfRule>
    <cfRule type="cellIs" dxfId="4659" priority="4920" operator="equal">
      <formula>"Yes"</formula>
    </cfRule>
  </conditionalFormatting>
  <conditionalFormatting sqref="AQ28">
    <cfRule type="cellIs" dxfId="4658" priority="4915" operator="equal">
      <formula>"No"</formula>
    </cfRule>
    <cfRule type="cellIs" dxfId="4657" priority="4916" operator="equal">
      <formula>"NA"</formula>
    </cfRule>
    <cfRule type="cellIs" dxfId="4656" priority="4917" operator="equal">
      <formula>"Yes"</formula>
    </cfRule>
  </conditionalFormatting>
  <conditionalFormatting sqref="AQ30">
    <cfRule type="cellIs" dxfId="4655" priority="4912" operator="equal">
      <formula>"No"</formula>
    </cfRule>
    <cfRule type="cellIs" dxfId="4654" priority="4913" operator="equal">
      <formula>"NA"</formula>
    </cfRule>
    <cfRule type="cellIs" dxfId="4653" priority="4914" operator="equal">
      <formula>"Yes"</formula>
    </cfRule>
  </conditionalFormatting>
  <conditionalFormatting sqref="AQ31">
    <cfRule type="cellIs" dxfId="4652" priority="4909" operator="equal">
      <formula>"No"</formula>
    </cfRule>
    <cfRule type="cellIs" dxfId="4651" priority="4910" operator="equal">
      <formula>"NA"</formula>
    </cfRule>
    <cfRule type="cellIs" dxfId="4650" priority="4911" operator="equal">
      <formula>"Yes"</formula>
    </cfRule>
  </conditionalFormatting>
  <conditionalFormatting sqref="AQ33">
    <cfRule type="cellIs" dxfId="4649" priority="4906" operator="equal">
      <formula>"No"</formula>
    </cfRule>
    <cfRule type="cellIs" dxfId="4648" priority="4907" operator="equal">
      <formula>"NA"</formula>
    </cfRule>
    <cfRule type="cellIs" dxfId="4647" priority="4908" operator="equal">
      <formula>"Yes"</formula>
    </cfRule>
  </conditionalFormatting>
  <conditionalFormatting sqref="AP10">
    <cfRule type="cellIs" dxfId="4646" priority="4903" operator="equal">
      <formula>"No"</formula>
    </cfRule>
    <cfRule type="cellIs" dxfId="4645" priority="4904" operator="equal">
      <formula>"NA"</formula>
    </cfRule>
    <cfRule type="cellIs" dxfId="4644" priority="4905" operator="equal">
      <formula>"Yes"</formula>
    </cfRule>
  </conditionalFormatting>
  <conditionalFormatting sqref="AP17">
    <cfRule type="cellIs" dxfId="4643" priority="4900" operator="equal">
      <formula>"No"</formula>
    </cfRule>
    <cfRule type="cellIs" dxfId="4642" priority="4901" operator="equal">
      <formula>"NA"</formula>
    </cfRule>
    <cfRule type="cellIs" dxfId="4641" priority="4902" operator="equal">
      <formula>"Yes"</formula>
    </cfRule>
  </conditionalFormatting>
  <conditionalFormatting sqref="AP6">
    <cfRule type="cellIs" dxfId="4640" priority="4897" operator="equal">
      <formula>"No"</formula>
    </cfRule>
    <cfRule type="cellIs" dxfId="4639" priority="4898" operator="equal">
      <formula>"NA"</formula>
    </cfRule>
    <cfRule type="cellIs" dxfId="4638" priority="4899" operator="equal">
      <formula>"Yes"</formula>
    </cfRule>
  </conditionalFormatting>
  <conditionalFormatting sqref="AP7">
    <cfRule type="cellIs" dxfId="4637" priority="4894" operator="equal">
      <formula>"No"</formula>
    </cfRule>
    <cfRule type="cellIs" dxfId="4636" priority="4895" operator="equal">
      <formula>"NA"</formula>
    </cfRule>
    <cfRule type="cellIs" dxfId="4635" priority="4896" operator="equal">
      <formula>"Yes"</formula>
    </cfRule>
  </conditionalFormatting>
  <conditionalFormatting sqref="AP9">
    <cfRule type="cellIs" dxfId="4634" priority="4891" operator="equal">
      <formula>"No"</formula>
    </cfRule>
    <cfRule type="cellIs" dxfId="4633" priority="4892" operator="equal">
      <formula>"NA"</formula>
    </cfRule>
    <cfRule type="cellIs" dxfId="4632" priority="4893" operator="equal">
      <formula>"Yes"</formula>
    </cfRule>
  </conditionalFormatting>
  <conditionalFormatting sqref="AP11">
    <cfRule type="cellIs" dxfId="4631" priority="4888" operator="equal">
      <formula>"No"</formula>
    </cfRule>
    <cfRule type="cellIs" dxfId="4630" priority="4889" operator="equal">
      <formula>"NA"</formula>
    </cfRule>
    <cfRule type="cellIs" dxfId="4629" priority="4890" operator="equal">
      <formula>"Yes"</formula>
    </cfRule>
  </conditionalFormatting>
  <conditionalFormatting sqref="AP12">
    <cfRule type="cellIs" dxfId="4628" priority="4885" operator="equal">
      <formula>"No"</formula>
    </cfRule>
    <cfRule type="cellIs" dxfId="4627" priority="4886" operator="equal">
      <formula>"NA"</formula>
    </cfRule>
    <cfRule type="cellIs" dxfId="4626" priority="4887" operator="equal">
      <formula>"Yes"</formula>
    </cfRule>
  </conditionalFormatting>
  <conditionalFormatting sqref="AP13">
    <cfRule type="cellIs" dxfId="4625" priority="4882" operator="equal">
      <formula>"No"</formula>
    </cfRule>
    <cfRule type="cellIs" dxfId="4624" priority="4883" operator="equal">
      <formula>"NA"</formula>
    </cfRule>
    <cfRule type="cellIs" dxfId="4623" priority="4884" operator="equal">
      <formula>"Yes"</formula>
    </cfRule>
  </conditionalFormatting>
  <conditionalFormatting sqref="AP14">
    <cfRule type="cellIs" dxfId="4622" priority="4879" operator="equal">
      <formula>"No"</formula>
    </cfRule>
    <cfRule type="cellIs" dxfId="4621" priority="4880" operator="equal">
      <formula>"NA"</formula>
    </cfRule>
    <cfRule type="cellIs" dxfId="4620" priority="4881" operator="equal">
      <formula>"Yes"</formula>
    </cfRule>
  </conditionalFormatting>
  <conditionalFormatting sqref="AP15">
    <cfRule type="cellIs" dxfId="4619" priority="4876" operator="equal">
      <formula>"No"</formula>
    </cfRule>
    <cfRule type="cellIs" dxfId="4618" priority="4877" operator="equal">
      <formula>"NA"</formula>
    </cfRule>
    <cfRule type="cellIs" dxfId="4617" priority="4878" operator="equal">
      <formula>"Yes"</formula>
    </cfRule>
  </conditionalFormatting>
  <conditionalFormatting sqref="AP16">
    <cfRule type="cellIs" dxfId="4616" priority="4873" operator="equal">
      <formula>"No"</formula>
    </cfRule>
    <cfRule type="cellIs" dxfId="4615" priority="4874" operator="equal">
      <formula>"NA"</formula>
    </cfRule>
    <cfRule type="cellIs" dxfId="4614" priority="4875" operator="equal">
      <formula>"Yes"</formula>
    </cfRule>
  </conditionalFormatting>
  <conditionalFormatting sqref="AP18">
    <cfRule type="cellIs" dxfId="4613" priority="4870" operator="equal">
      <formula>"No"</formula>
    </cfRule>
    <cfRule type="cellIs" dxfId="4612" priority="4871" operator="equal">
      <formula>"NA"</formula>
    </cfRule>
    <cfRule type="cellIs" dxfId="4611" priority="4872" operator="equal">
      <formula>"Yes"</formula>
    </cfRule>
  </conditionalFormatting>
  <conditionalFormatting sqref="AP19">
    <cfRule type="cellIs" dxfId="4610" priority="4867" operator="equal">
      <formula>"No"</formula>
    </cfRule>
    <cfRule type="cellIs" dxfId="4609" priority="4868" operator="equal">
      <formula>"NA"</formula>
    </cfRule>
    <cfRule type="cellIs" dxfId="4608" priority="4869" operator="equal">
      <formula>"Yes"</formula>
    </cfRule>
  </conditionalFormatting>
  <conditionalFormatting sqref="AP20">
    <cfRule type="cellIs" dxfId="4607" priority="4864" operator="equal">
      <formula>"No"</formula>
    </cfRule>
    <cfRule type="cellIs" dxfId="4606" priority="4865" operator="equal">
      <formula>"NA"</formula>
    </cfRule>
    <cfRule type="cellIs" dxfId="4605" priority="4866" operator="equal">
      <formula>"Yes"</formula>
    </cfRule>
  </conditionalFormatting>
  <conditionalFormatting sqref="AP21">
    <cfRule type="cellIs" dxfId="4604" priority="4861" operator="equal">
      <formula>"No"</formula>
    </cfRule>
    <cfRule type="cellIs" dxfId="4603" priority="4862" operator="equal">
      <formula>"NA"</formula>
    </cfRule>
    <cfRule type="cellIs" dxfId="4602" priority="4863" operator="equal">
      <formula>"Yes"</formula>
    </cfRule>
  </conditionalFormatting>
  <conditionalFormatting sqref="AP22">
    <cfRule type="cellIs" dxfId="4601" priority="4858" operator="equal">
      <formula>"No"</formula>
    </cfRule>
    <cfRule type="cellIs" dxfId="4600" priority="4859" operator="equal">
      <formula>"NA"</formula>
    </cfRule>
    <cfRule type="cellIs" dxfId="4599" priority="4860" operator="equal">
      <formula>"Yes"</formula>
    </cfRule>
  </conditionalFormatting>
  <conditionalFormatting sqref="AP23">
    <cfRule type="cellIs" dxfId="4598" priority="4855" operator="equal">
      <formula>"No"</formula>
    </cfRule>
    <cfRule type="cellIs" dxfId="4597" priority="4856" operator="equal">
      <formula>"NA"</formula>
    </cfRule>
    <cfRule type="cellIs" dxfId="4596" priority="4857" operator="equal">
      <formula>"Yes"</formula>
    </cfRule>
  </conditionalFormatting>
  <conditionalFormatting sqref="AP25">
    <cfRule type="cellIs" dxfId="4595" priority="4852" operator="equal">
      <formula>"No"</formula>
    </cfRule>
    <cfRule type="cellIs" dxfId="4594" priority="4853" operator="equal">
      <formula>"NA"</formula>
    </cfRule>
    <cfRule type="cellIs" dxfId="4593" priority="4854" operator="equal">
      <formula>"Yes"</formula>
    </cfRule>
  </conditionalFormatting>
  <conditionalFormatting sqref="AP26">
    <cfRule type="cellIs" dxfId="4592" priority="4849" operator="equal">
      <formula>"No"</formula>
    </cfRule>
    <cfRule type="cellIs" dxfId="4591" priority="4850" operator="equal">
      <formula>"NA"</formula>
    </cfRule>
    <cfRule type="cellIs" dxfId="4590" priority="4851" operator="equal">
      <formula>"Yes"</formula>
    </cfRule>
  </conditionalFormatting>
  <conditionalFormatting sqref="AP27">
    <cfRule type="cellIs" dxfId="4589" priority="4846" operator="equal">
      <formula>"No"</formula>
    </cfRule>
    <cfRule type="cellIs" dxfId="4588" priority="4847" operator="equal">
      <formula>"NA"</formula>
    </cfRule>
    <cfRule type="cellIs" dxfId="4587" priority="4848" operator="equal">
      <formula>"Yes"</formula>
    </cfRule>
  </conditionalFormatting>
  <conditionalFormatting sqref="AP28">
    <cfRule type="cellIs" dxfId="4586" priority="4843" operator="equal">
      <formula>"No"</formula>
    </cfRule>
    <cfRule type="cellIs" dxfId="4585" priority="4844" operator="equal">
      <formula>"NA"</formula>
    </cfRule>
    <cfRule type="cellIs" dxfId="4584" priority="4845" operator="equal">
      <formula>"Yes"</formula>
    </cfRule>
  </conditionalFormatting>
  <conditionalFormatting sqref="AP30">
    <cfRule type="cellIs" dxfId="4583" priority="4840" operator="equal">
      <formula>"No"</formula>
    </cfRule>
    <cfRule type="cellIs" dxfId="4582" priority="4841" operator="equal">
      <formula>"NA"</formula>
    </cfRule>
    <cfRule type="cellIs" dxfId="4581" priority="4842" operator="equal">
      <formula>"Yes"</formula>
    </cfRule>
  </conditionalFormatting>
  <conditionalFormatting sqref="AP31">
    <cfRule type="cellIs" dxfId="4580" priority="4837" operator="equal">
      <formula>"No"</formula>
    </cfRule>
    <cfRule type="cellIs" dxfId="4579" priority="4838" operator="equal">
      <formula>"NA"</formula>
    </cfRule>
    <cfRule type="cellIs" dxfId="4578" priority="4839" operator="equal">
      <formula>"Yes"</formula>
    </cfRule>
  </conditionalFormatting>
  <conditionalFormatting sqref="AP33">
    <cfRule type="cellIs" dxfId="4577" priority="4834" operator="equal">
      <formula>"No"</formula>
    </cfRule>
    <cfRule type="cellIs" dxfId="4576" priority="4835" operator="equal">
      <formula>"NA"</formula>
    </cfRule>
    <cfRule type="cellIs" dxfId="4575" priority="4836" operator="equal">
      <formula>"Yes"</formula>
    </cfRule>
  </conditionalFormatting>
  <conditionalFormatting sqref="AO10">
    <cfRule type="cellIs" dxfId="4574" priority="4831" operator="equal">
      <formula>"No"</formula>
    </cfRule>
    <cfRule type="cellIs" dxfId="4573" priority="4832" operator="equal">
      <formula>"NA"</formula>
    </cfRule>
    <cfRule type="cellIs" dxfId="4572" priority="4833" operator="equal">
      <formula>"Yes"</formula>
    </cfRule>
  </conditionalFormatting>
  <conditionalFormatting sqref="AO17">
    <cfRule type="cellIs" dxfId="4571" priority="4828" operator="equal">
      <formula>"No"</formula>
    </cfRule>
    <cfRule type="cellIs" dxfId="4570" priority="4829" operator="equal">
      <formula>"NA"</formula>
    </cfRule>
    <cfRule type="cellIs" dxfId="4569" priority="4830" operator="equal">
      <formula>"Yes"</formula>
    </cfRule>
  </conditionalFormatting>
  <conditionalFormatting sqref="AO6">
    <cfRule type="cellIs" dxfId="4568" priority="4825" operator="equal">
      <formula>"No"</formula>
    </cfRule>
    <cfRule type="cellIs" dxfId="4567" priority="4826" operator="equal">
      <formula>"NA"</formula>
    </cfRule>
    <cfRule type="cellIs" dxfId="4566" priority="4827" operator="equal">
      <formula>"Yes"</formula>
    </cfRule>
  </conditionalFormatting>
  <conditionalFormatting sqref="AO7">
    <cfRule type="cellIs" dxfId="4565" priority="4822" operator="equal">
      <formula>"No"</formula>
    </cfRule>
    <cfRule type="cellIs" dxfId="4564" priority="4823" operator="equal">
      <formula>"NA"</formula>
    </cfRule>
    <cfRule type="cellIs" dxfId="4563" priority="4824" operator="equal">
      <formula>"Yes"</formula>
    </cfRule>
  </conditionalFormatting>
  <conditionalFormatting sqref="AO9">
    <cfRule type="cellIs" dxfId="4562" priority="4819" operator="equal">
      <formula>"No"</formula>
    </cfRule>
    <cfRule type="cellIs" dxfId="4561" priority="4820" operator="equal">
      <formula>"NA"</formula>
    </cfRule>
    <cfRule type="cellIs" dxfId="4560" priority="4821" operator="equal">
      <formula>"Yes"</formula>
    </cfRule>
  </conditionalFormatting>
  <conditionalFormatting sqref="AO11">
    <cfRule type="cellIs" dxfId="4559" priority="4816" operator="equal">
      <formula>"No"</formula>
    </cfRule>
    <cfRule type="cellIs" dxfId="4558" priority="4817" operator="equal">
      <formula>"NA"</formula>
    </cfRule>
    <cfRule type="cellIs" dxfId="4557" priority="4818" operator="equal">
      <formula>"Yes"</formula>
    </cfRule>
  </conditionalFormatting>
  <conditionalFormatting sqref="AO12">
    <cfRule type="cellIs" dxfId="4556" priority="4813" operator="equal">
      <formula>"No"</formula>
    </cfRule>
    <cfRule type="cellIs" dxfId="4555" priority="4814" operator="equal">
      <formula>"NA"</formula>
    </cfRule>
    <cfRule type="cellIs" dxfId="4554" priority="4815" operator="equal">
      <formula>"Yes"</formula>
    </cfRule>
  </conditionalFormatting>
  <conditionalFormatting sqref="AO13">
    <cfRule type="cellIs" dxfId="4553" priority="4810" operator="equal">
      <formula>"No"</formula>
    </cfRule>
    <cfRule type="cellIs" dxfId="4552" priority="4811" operator="equal">
      <formula>"NA"</formula>
    </cfRule>
    <cfRule type="cellIs" dxfId="4551" priority="4812" operator="equal">
      <formula>"Yes"</formula>
    </cfRule>
  </conditionalFormatting>
  <conditionalFormatting sqref="AO14">
    <cfRule type="cellIs" dxfId="4550" priority="4807" operator="equal">
      <formula>"No"</formula>
    </cfRule>
    <cfRule type="cellIs" dxfId="4549" priority="4808" operator="equal">
      <formula>"NA"</formula>
    </cfRule>
    <cfRule type="cellIs" dxfId="4548" priority="4809" operator="equal">
      <formula>"Yes"</formula>
    </cfRule>
  </conditionalFormatting>
  <conditionalFormatting sqref="AO15">
    <cfRule type="cellIs" dxfId="4547" priority="4804" operator="equal">
      <formula>"No"</formula>
    </cfRule>
    <cfRule type="cellIs" dxfId="4546" priority="4805" operator="equal">
      <formula>"NA"</formula>
    </cfRule>
    <cfRule type="cellIs" dxfId="4545" priority="4806" operator="equal">
      <formula>"Yes"</formula>
    </cfRule>
  </conditionalFormatting>
  <conditionalFormatting sqref="AO16">
    <cfRule type="cellIs" dxfId="4544" priority="4801" operator="equal">
      <formula>"No"</formula>
    </cfRule>
    <cfRule type="cellIs" dxfId="4543" priority="4802" operator="equal">
      <formula>"NA"</formula>
    </cfRule>
    <cfRule type="cellIs" dxfId="4542" priority="4803" operator="equal">
      <formula>"Yes"</formula>
    </cfRule>
  </conditionalFormatting>
  <conditionalFormatting sqref="AO18">
    <cfRule type="cellIs" dxfId="4541" priority="4798" operator="equal">
      <formula>"No"</formula>
    </cfRule>
    <cfRule type="cellIs" dxfId="4540" priority="4799" operator="equal">
      <formula>"NA"</formula>
    </cfRule>
    <cfRule type="cellIs" dxfId="4539" priority="4800" operator="equal">
      <formula>"Yes"</formula>
    </cfRule>
  </conditionalFormatting>
  <conditionalFormatting sqref="AO19">
    <cfRule type="cellIs" dxfId="4538" priority="4795" operator="equal">
      <formula>"No"</formula>
    </cfRule>
    <cfRule type="cellIs" dxfId="4537" priority="4796" operator="equal">
      <formula>"NA"</formula>
    </cfRule>
    <cfRule type="cellIs" dxfId="4536" priority="4797" operator="equal">
      <formula>"Yes"</formula>
    </cfRule>
  </conditionalFormatting>
  <conditionalFormatting sqref="AO20">
    <cfRule type="cellIs" dxfId="4535" priority="4792" operator="equal">
      <formula>"No"</formula>
    </cfRule>
    <cfRule type="cellIs" dxfId="4534" priority="4793" operator="equal">
      <formula>"NA"</formula>
    </cfRule>
    <cfRule type="cellIs" dxfId="4533" priority="4794" operator="equal">
      <formula>"Yes"</formula>
    </cfRule>
  </conditionalFormatting>
  <conditionalFormatting sqref="AO21">
    <cfRule type="cellIs" dxfId="4532" priority="4789" operator="equal">
      <formula>"No"</formula>
    </cfRule>
    <cfRule type="cellIs" dxfId="4531" priority="4790" operator="equal">
      <formula>"NA"</formula>
    </cfRule>
    <cfRule type="cellIs" dxfId="4530" priority="4791" operator="equal">
      <formula>"Yes"</formula>
    </cfRule>
  </conditionalFormatting>
  <conditionalFormatting sqref="AO22">
    <cfRule type="cellIs" dxfId="4529" priority="4786" operator="equal">
      <formula>"No"</formula>
    </cfRule>
    <cfRule type="cellIs" dxfId="4528" priority="4787" operator="equal">
      <formula>"NA"</formula>
    </cfRule>
    <cfRule type="cellIs" dxfId="4527" priority="4788" operator="equal">
      <formula>"Yes"</formula>
    </cfRule>
  </conditionalFormatting>
  <conditionalFormatting sqref="AO23">
    <cfRule type="cellIs" dxfId="4526" priority="4783" operator="equal">
      <formula>"No"</formula>
    </cfRule>
    <cfRule type="cellIs" dxfId="4525" priority="4784" operator="equal">
      <formula>"NA"</formula>
    </cfRule>
    <cfRule type="cellIs" dxfId="4524" priority="4785" operator="equal">
      <formula>"Yes"</formula>
    </cfRule>
  </conditionalFormatting>
  <conditionalFormatting sqref="AO25">
    <cfRule type="cellIs" dxfId="4523" priority="4780" operator="equal">
      <formula>"No"</formula>
    </cfRule>
    <cfRule type="cellIs" dxfId="4522" priority="4781" operator="equal">
      <formula>"NA"</formula>
    </cfRule>
    <cfRule type="cellIs" dxfId="4521" priority="4782" operator="equal">
      <formula>"Yes"</formula>
    </cfRule>
  </conditionalFormatting>
  <conditionalFormatting sqref="AO26">
    <cfRule type="cellIs" dxfId="4520" priority="4777" operator="equal">
      <formula>"No"</formula>
    </cfRule>
    <cfRule type="cellIs" dxfId="4519" priority="4778" operator="equal">
      <formula>"NA"</formula>
    </cfRule>
    <cfRule type="cellIs" dxfId="4518" priority="4779" operator="equal">
      <formula>"Yes"</formula>
    </cfRule>
  </conditionalFormatting>
  <conditionalFormatting sqref="AO27">
    <cfRule type="cellIs" dxfId="4517" priority="4774" operator="equal">
      <formula>"No"</formula>
    </cfRule>
    <cfRule type="cellIs" dxfId="4516" priority="4775" operator="equal">
      <formula>"NA"</formula>
    </cfRule>
    <cfRule type="cellIs" dxfId="4515" priority="4776" operator="equal">
      <formula>"Yes"</formula>
    </cfRule>
  </conditionalFormatting>
  <conditionalFormatting sqref="AO28">
    <cfRule type="cellIs" dxfId="4514" priority="4771" operator="equal">
      <formula>"No"</formula>
    </cfRule>
    <cfRule type="cellIs" dxfId="4513" priority="4772" operator="equal">
      <formula>"NA"</formula>
    </cfRule>
    <cfRule type="cellIs" dxfId="4512" priority="4773" operator="equal">
      <formula>"Yes"</formula>
    </cfRule>
  </conditionalFormatting>
  <conditionalFormatting sqref="AO30">
    <cfRule type="cellIs" dxfId="4511" priority="4768" operator="equal">
      <formula>"No"</formula>
    </cfRule>
    <cfRule type="cellIs" dxfId="4510" priority="4769" operator="equal">
      <formula>"NA"</formula>
    </cfRule>
    <cfRule type="cellIs" dxfId="4509" priority="4770" operator="equal">
      <formula>"Yes"</formula>
    </cfRule>
  </conditionalFormatting>
  <conditionalFormatting sqref="AO31">
    <cfRule type="cellIs" dxfId="4508" priority="4765" operator="equal">
      <formula>"No"</formula>
    </cfRule>
    <cfRule type="cellIs" dxfId="4507" priority="4766" operator="equal">
      <formula>"NA"</formula>
    </cfRule>
    <cfRule type="cellIs" dxfId="4506" priority="4767" operator="equal">
      <formula>"Yes"</formula>
    </cfRule>
  </conditionalFormatting>
  <conditionalFormatting sqref="AO33">
    <cfRule type="cellIs" dxfId="4505" priority="4762" operator="equal">
      <formula>"No"</formula>
    </cfRule>
    <cfRule type="cellIs" dxfId="4504" priority="4763" operator="equal">
      <formula>"NA"</formula>
    </cfRule>
    <cfRule type="cellIs" dxfId="4503" priority="4764" operator="equal">
      <formula>"Yes"</formula>
    </cfRule>
  </conditionalFormatting>
  <conditionalFormatting sqref="AN10">
    <cfRule type="cellIs" dxfId="4502" priority="4759" operator="equal">
      <formula>"No"</formula>
    </cfRule>
    <cfRule type="cellIs" dxfId="4501" priority="4760" operator="equal">
      <formula>"NA"</formula>
    </cfRule>
    <cfRule type="cellIs" dxfId="4500" priority="4761" operator="equal">
      <formula>"Yes"</formula>
    </cfRule>
  </conditionalFormatting>
  <conditionalFormatting sqref="AN17">
    <cfRule type="cellIs" dxfId="4499" priority="4756" operator="equal">
      <formula>"No"</formula>
    </cfRule>
    <cfRule type="cellIs" dxfId="4498" priority="4757" operator="equal">
      <formula>"NA"</formula>
    </cfRule>
    <cfRule type="cellIs" dxfId="4497" priority="4758" operator="equal">
      <formula>"Yes"</formula>
    </cfRule>
  </conditionalFormatting>
  <conditionalFormatting sqref="AN6">
    <cfRule type="cellIs" dxfId="4496" priority="4753" operator="equal">
      <formula>"No"</formula>
    </cfRule>
    <cfRule type="cellIs" dxfId="4495" priority="4754" operator="equal">
      <formula>"NA"</formula>
    </cfRule>
    <cfRule type="cellIs" dxfId="4494" priority="4755" operator="equal">
      <formula>"Yes"</formula>
    </cfRule>
  </conditionalFormatting>
  <conditionalFormatting sqref="AN7">
    <cfRule type="cellIs" dxfId="4493" priority="4750" operator="equal">
      <formula>"No"</formula>
    </cfRule>
    <cfRule type="cellIs" dxfId="4492" priority="4751" operator="equal">
      <formula>"NA"</formula>
    </cfRule>
    <cfRule type="cellIs" dxfId="4491" priority="4752" operator="equal">
      <formula>"Yes"</formula>
    </cfRule>
  </conditionalFormatting>
  <conditionalFormatting sqref="AN9">
    <cfRule type="cellIs" dxfId="4490" priority="4747" operator="equal">
      <formula>"No"</formula>
    </cfRule>
    <cfRule type="cellIs" dxfId="4489" priority="4748" operator="equal">
      <formula>"NA"</formula>
    </cfRule>
    <cfRule type="cellIs" dxfId="4488" priority="4749" operator="equal">
      <formula>"Yes"</formula>
    </cfRule>
  </conditionalFormatting>
  <conditionalFormatting sqref="AN11">
    <cfRule type="cellIs" dxfId="4487" priority="4744" operator="equal">
      <formula>"No"</formula>
    </cfRule>
    <cfRule type="cellIs" dxfId="4486" priority="4745" operator="equal">
      <formula>"NA"</formula>
    </cfRule>
    <cfRule type="cellIs" dxfId="4485" priority="4746" operator="equal">
      <formula>"Yes"</formula>
    </cfRule>
  </conditionalFormatting>
  <conditionalFormatting sqref="AN12">
    <cfRule type="cellIs" dxfId="4484" priority="4741" operator="equal">
      <formula>"No"</formula>
    </cfRule>
    <cfRule type="cellIs" dxfId="4483" priority="4742" operator="equal">
      <formula>"NA"</formula>
    </cfRule>
    <cfRule type="cellIs" dxfId="4482" priority="4743" operator="equal">
      <formula>"Yes"</formula>
    </cfRule>
  </conditionalFormatting>
  <conditionalFormatting sqref="AN13">
    <cfRule type="cellIs" dxfId="4481" priority="4738" operator="equal">
      <formula>"No"</formula>
    </cfRule>
    <cfRule type="cellIs" dxfId="4480" priority="4739" operator="equal">
      <formula>"NA"</formula>
    </cfRule>
    <cfRule type="cellIs" dxfId="4479" priority="4740" operator="equal">
      <formula>"Yes"</formula>
    </cfRule>
  </conditionalFormatting>
  <conditionalFormatting sqref="AN14">
    <cfRule type="cellIs" dxfId="4478" priority="4735" operator="equal">
      <formula>"No"</formula>
    </cfRule>
    <cfRule type="cellIs" dxfId="4477" priority="4736" operator="equal">
      <formula>"NA"</formula>
    </cfRule>
    <cfRule type="cellIs" dxfId="4476" priority="4737" operator="equal">
      <formula>"Yes"</formula>
    </cfRule>
  </conditionalFormatting>
  <conditionalFormatting sqref="AN15">
    <cfRule type="cellIs" dxfId="4475" priority="4732" operator="equal">
      <formula>"No"</formula>
    </cfRule>
    <cfRule type="cellIs" dxfId="4474" priority="4733" operator="equal">
      <formula>"NA"</formula>
    </cfRule>
    <cfRule type="cellIs" dxfId="4473" priority="4734" operator="equal">
      <formula>"Yes"</formula>
    </cfRule>
  </conditionalFormatting>
  <conditionalFormatting sqref="AN16">
    <cfRule type="cellIs" dxfId="4472" priority="4729" operator="equal">
      <formula>"No"</formula>
    </cfRule>
    <cfRule type="cellIs" dxfId="4471" priority="4730" operator="equal">
      <formula>"NA"</formula>
    </cfRule>
    <cfRule type="cellIs" dxfId="4470" priority="4731" operator="equal">
      <formula>"Yes"</formula>
    </cfRule>
  </conditionalFormatting>
  <conditionalFormatting sqref="AN18">
    <cfRule type="cellIs" dxfId="4469" priority="4726" operator="equal">
      <formula>"No"</formula>
    </cfRule>
    <cfRule type="cellIs" dxfId="4468" priority="4727" operator="equal">
      <formula>"NA"</formula>
    </cfRule>
    <cfRule type="cellIs" dxfId="4467" priority="4728" operator="equal">
      <formula>"Yes"</formula>
    </cfRule>
  </conditionalFormatting>
  <conditionalFormatting sqref="AN19">
    <cfRule type="cellIs" dxfId="4466" priority="4723" operator="equal">
      <formula>"No"</formula>
    </cfRule>
    <cfRule type="cellIs" dxfId="4465" priority="4724" operator="equal">
      <formula>"NA"</formula>
    </cfRule>
    <cfRule type="cellIs" dxfId="4464" priority="4725" operator="equal">
      <formula>"Yes"</formula>
    </cfRule>
  </conditionalFormatting>
  <conditionalFormatting sqref="AN20">
    <cfRule type="cellIs" dxfId="4463" priority="4720" operator="equal">
      <formula>"No"</formula>
    </cfRule>
    <cfRule type="cellIs" dxfId="4462" priority="4721" operator="equal">
      <formula>"NA"</formula>
    </cfRule>
    <cfRule type="cellIs" dxfId="4461" priority="4722" operator="equal">
      <formula>"Yes"</formula>
    </cfRule>
  </conditionalFormatting>
  <conditionalFormatting sqref="AN21">
    <cfRule type="cellIs" dxfId="4460" priority="4717" operator="equal">
      <formula>"No"</formula>
    </cfRule>
    <cfRule type="cellIs" dxfId="4459" priority="4718" operator="equal">
      <formula>"NA"</formula>
    </cfRule>
    <cfRule type="cellIs" dxfId="4458" priority="4719" operator="equal">
      <formula>"Yes"</formula>
    </cfRule>
  </conditionalFormatting>
  <conditionalFormatting sqref="AN22">
    <cfRule type="cellIs" dxfId="4457" priority="4714" operator="equal">
      <formula>"No"</formula>
    </cfRule>
    <cfRule type="cellIs" dxfId="4456" priority="4715" operator="equal">
      <formula>"NA"</formula>
    </cfRule>
    <cfRule type="cellIs" dxfId="4455" priority="4716" operator="equal">
      <formula>"Yes"</formula>
    </cfRule>
  </conditionalFormatting>
  <conditionalFormatting sqref="AN23">
    <cfRule type="cellIs" dxfId="4454" priority="4711" operator="equal">
      <formula>"No"</formula>
    </cfRule>
    <cfRule type="cellIs" dxfId="4453" priority="4712" operator="equal">
      <formula>"NA"</formula>
    </cfRule>
    <cfRule type="cellIs" dxfId="4452" priority="4713" operator="equal">
      <formula>"Yes"</formula>
    </cfRule>
  </conditionalFormatting>
  <conditionalFormatting sqref="AN25">
    <cfRule type="cellIs" dxfId="4451" priority="4708" operator="equal">
      <formula>"No"</formula>
    </cfRule>
    <cfRule type="cellIs" dxfId="4450" priority="4709" operator="equal">
      <formula>"NA"</formula>
    </cfRule>
    <cfRule type="cellIs" dxfId="4449" priority="4710" operator="equal">
      <formula>"Yes"</formula>
    </cfRule>
  </conditionalFormatting>
  <conditionalFormatting sqref="AN26">
    <cfRule type="cellIs" dxfId="4448" priority="4705" operator="equal">
      <formula>"No"</formula>
    </cfRule>
    <cfRule type="cellIs" dxfId="4447" priority="4706" operator="equal">
      <formula>"NA"</formula>
    </cfRule>
    <cfRule type="cellIs" dxfId="4446" priority="4707" operator="equal">
      <formula>"Yes"</formula>
    </cfRule>
  </conditionalFormatting>
  <conditionalFormatting sqref="AN27">
    <cfRule type="cellIs" dxfId="4445" priority="4702" operator="equal">
      <formula>"No"</formula>
    </cfRule>
    <cfRule type="cellIs" dxfId="4444" priority="4703" operator="equal">
      <formula>"NA"</formula>
    </cfRule>
    <cfRule type="cellIs" dxfId="4443" priority="4704" operator="equal">
      <formula>"Yes"</formula>
    </cfRule>
  </conditionalFormatting>
  <conditionalFormatting sqref="AN28">
    <cfRule type="cellIs" dxfId="4442" priority="4699" operator="equal">
      <formula>"No"</formula>
    </cfRule>
    <cfRule type="cellIs" dxfId="4441" priority="4700" operator="equal">
      <formula>"NA"</formula>
    </cfRule>
    <cfRule type="cellIs" dxfId="4440" priority="4701" operator="equal">
      <formula>"Yes"</formula>
    </cfRule>
  </conditionalFormatting>
  <conditionalFormatting sqref="AN30">
    <cfRule type="cellIs" dxfId="4439" priority="4696" operator="equal">
      <formula>"No"</formula>
    </cfRule>
    <cfRule type="cellIs" dxfId="4438" priority="4697" operator="equal">
      <formula>"NA"</formula>
    </cfRule>
    <cfRule type="cellIs" dxfId="4437" priority="4698" operator="equal">
      <formula>"Yes"</formula>
    </cfRule>
  </conditionalFormatting>
  <conditionalFormatting sqref="AN31">
    <cfRule type="cellIs" dxfId="4436" priority="4693" operator="equal">
      <formula>"No"</formula>
    </cfRule>
    <cfRule type="cellIs" dxfId="4435" priority="4694" operator="equal">
      <formula>"NA"</formula>
    </cfRule>
    <cfRule type="cellIs" dxfId="4434" priority="4695" operator="equal">
      <formula>"Yes"</formula>
    </cfRule>
  </conditionalFormatting>
  <conditionalFormatting sqref="AN33">
    <cfRule type="cellIs" dxfId="4433" priority="4690" operator="equal">
      <formula>"No"</formula>
    </cfRule>
    <cfRule type="cellIs" dxfId="4432" priority="4691" operator="equal">
      <formula>"NA"</formula>
    </cfRule>
    <cfRule type="cellIs" dxfId="4431" priority="4692" operator="equal">
      <formula>"Yes"</formula>
    </cfRule>
  </conditionalFormatting>
  <conditionalFormatting sqref="AM10">
    <cfRule type="cellIs" dxfId="4430" priority="4687" operator="equal">
      <formula>"No"</formula>
    </cfRule>
    <cfRule type="cellIs" dxfId="4429" priority="4688" operator="equal">
      <formula>"NA"</formula>
    </cfRule>
    <cfRule type="cellIs" dxfId="4428" priority="4689" operator="equal">
      <formula>"Yes"</formula>
    </cfRule>
  </conditionalFormatting>
  <conditionalFormatting sqref="AM17">
    <cfRule type="cellIs" dxfId="4427" priority="4684" operator="equal">
      <formula>"No"</formula>
    </cfRule>
    <cfRule type="cellIs" dxfId="4426" priority="4685" operator="equal">
      <formula>"NA"</formula>
    </cfRule>
    <cfRule type="cellIs" dxfId="4425" priority="4686" operator="equal">
      <formula>"Yes"</formula>
    </cfRule>
  </conditionalFormatting>
  <conditionalFormatting sqref="AM6">
    <cfRule type="cellIs" dxfId="4424" priority="4681" operator="equal">
      <formula>"No"</formula>
    </cfRule>
    <cfRule type="cellIs" dxfId="4423" priority="4682" operator="equal">
      <formula>"NA"</formula>
    </cfRule>
    <cfRule type="cellIs" dxfId="4422" priority="4683" operator="equal">
      <formula>"Yes"</formula>
    </cfRule>
  </conditionalFormatting>
  <conditionalFormatting sqref="AM7">
    <cfRule type="cellIs" dxfId="4421" priority="4678" operator="equal">
      <formula>"No"</formula>
    </cfRule>
    <cfRule type="cellIs" dxfId="4420" priority="4679" operator="equal">
      <formula>"NA"</formula>
    </cfRule>
    <cfRule type="cellIs" dxfId="4419" priority="4680" operator="equal">
      <formula>"Yes"</formula>
    </cfRule>
  </conditionalFormatting>
  <conditionalFormatting sqref="AM9">
    <cfRule type="cellIs" dxfId="4418" priority="4675" operator="equal">
      <formula>"No"</formula>
    </cfRule>
    <cfRule type="cellIs" dxfId="4417" priority="4676" operator="equal">
      <formula>"NA"</formula>
    </cfRule>
    <cfRule type="cellIs" dxfId="4416" priority="4677" operator="equal">
      <formula>"Yes"</formula>
    </cfRule>
  </conditionalFormatting>
  <conditionalFormatting sqref="AM11">
    <cfRule type="cellIs" dxfId="4415" priority="4672" operator="equal">
      <formula>"No"</formula>
    </cfRule>
    <cfRule type="cellIs" dxfId="4414" priority="4673" operator="equal">
      <formula>"NA"</formula>
    </cfRule>
    <cfRule type="cellIs" dxfId="4413" priority="4674" operator="equal">
      <formula>"Yes"</formula>
    </cfRule>
  </conditionalFormatting>
  <conditionalFormatting sqref="AM12">
    <cfRule type="cellIs" dxfId="4412" priority="4669" operator="equal">
      <formula>"No"</formula>
    </cfRule>
    <cfRule type="cellIs" dxfId="4411" priority="4670" operator="equal">
      <formula>"NA"</formula>
    </cfRule>
    <cfRule type="cellIs" dxfId="4410" priority="4671" operator="equal">
      <formula>"Yes"</formula>
    </cfRule>
  </conditionalFormatting>
  <conditionalFormatting sqref="AM13">
    <cfRule type="cellIs" dxfId="4409" priority="4666" operator="equal">
      <formula>"No"</formula>
    </cfRule>
    <cfRule type="cellIs" dxfId="4408" priority="4667" operator="equal">
      <formula>"NA"</formula>
    </cfRule>
    <cfRule type="cellIs" dxfId="4407" priority="4668" operator="equal">
      <formula>"Yes"</formula>
    </cfRule>
  </conditionalFormatting>
  <conditionalFormatting sqref="AM14">
    <cfRule type="cellIs" dxfId="4406" priority="4663" operator="equal">
      <formula>"No"</formula>
    </cfRule>
    <cfRule type="cellIs" dxfId="4405" priority="4664" operator="equal">
      <formula>"NA"</formula>
    </cfRule>
    <cfRule type="cellIs" dxfId="4404" priority="4665" operator="equal">
      <formula>"Yes"</formula>
    </cfRule>
  </conditionalFormatting>
  <conditionalFormatting sqref="AM15">
    <cfRule type="cellIs" dxfId="4403" priority="4660" operator="equal">
      <formula>"No"</formula>
    </cfRule>
    <cfRule type="cellIs" dxfId="4402" priority="4661" operator="equal">
      <formula>"NA"</formula>
    </cfRule>
    <cfRule type="cellIs" dxfId="4401" priority="4662" operator="equal">
      <formula>"Yes"</formula>
    </cfRule>
  </conditionalFormatting>
  <conditionalFormatting sqref="AM16">
    <cfRule type="cellIs" dxfId="4400" priority="4657" operator="equal">
      <formula>"No"</formula>
    </cfRule>
    <cfRule type="cellIs" dxfId="4399" priority="4658" operator="equal">
      <formula>"NA"</formula>
    </cfRule>
    <cfRule type="cellIs" dxfId="4398" priority="4659" operator="equal">
      <formula>"Yes"</formula>
    </cfRule>
  </conditionalFormatting>
  <conditionalFormatting sqref="AM18">
    <cfRule type="cellIs" dxfId="4397" priority="4654" operator="equal">
      <formula>"No"</formula>
    </cfRule>
    <cfRule type="cellIs" dxfId="4396" priority="4655" operator="equal">
      <formula>"NA"</formula>
    </cfRule>
    <cfRule type="cellIs" dxfId="4395" priority="4656" operator="equal">
      <formula>"Yes"</formula>
    </cfRule>
  </conditionalFormatting>
  <conditionalFormatting sqref="AM19">
    <cfRule type="cellIs" dxfId="4394" priority="4651" operator="equal">
      <formula>"No"</formula>
    </cfRule>
    <cfRule type="cellIs" dxfId="4393" priority="4652" operator="equal">
      <formula>"NA"</formula>
    </cfRule>
    <cfRule type="cellIs" dxfId="4392" priority="4653" operator="equal">
      <formula>"Yes"</formula>
    </cfRule>
  </conditionalFormatting>
  <conditionalFormatting sqref="AM20">
    <cfRule type="cellIs" dxfId="4391" priority="4648" operator="equal">
      <formula>"No"</formula>
    </cfRule>
    <cfRule type="cellIs" dxfId="4390" priority="4649" operator="equal">
      <formula>"NA"</formula>
    </cfRule>
    <cfRule type="cellIs" dxfId="4389" priority="4650" operator="equal">
      <formula>"Yes"</formula>
    </cfRule>
  </conditionalFormatting>
  <conditionalFormatting sqref="AM21">
    <cfRule type="cellIs" dxfId="4388" priority="4645" operator="equal">
      <formula>"No"</formula>
    </cfRule>
    <cfRule type="cellIs" dxfId="4387" priority="4646" operator="equal">
      <formula>"NA"</formula>
    </cfRule>
    <cfRule type="cellIs" dxfId="4386" priority="4647" operator="equal">
      <formula>"Yes"</formula>
    </cfRule>
  </conditionalFormatting>
  <conditionalFormatting sqref="AM22">
    <cfRule type="cellIs" dxfId="4385" priority="4642" operator="equal">
      <formula>"No"</formula>
    </cfRule>
    <cfRule type="cellIs" dxfId="4384" priority="4643" operator="equal">
      <formula>"NA"</formula>
    </cfRule>
    <cfRule type="cellIs" dxfId="4383" priority="4644" operator="equal">
      <formula>"Yes"</formula>
    </cfRule>
  </conditionalFormatting>
  <conditionalFormatting sqref="AM23">
    <cfRule type="cellIs" dxfId="4382" priority="4639" operator="equal">
      <formula>"No"</formula>
    </cfRule>
    <cfRule type="cellIs" dxfId="4381" priority="4640" operator="equal">
      <formula>"NA"</formula>
    </cfRule>
    <cfRule type="cellIs" dxfId="4380" priority="4641" operator="equal">
      <formula>"Yes"</formula>
    </cfRule>
  </conditionalFormatting>
  <conditionalFormatting sqref="AM25">
    <cfRule type="cellIs" dxfId="4379" priority="4636" operator="equal">
      <formula>"No"</formula>
    </cfRule>
    <cfRule type="cellIs" dxfId="4378" priority="4637" operator="equal">
      <formula>"NA"</formula>
    </cfRule>
    <cfRule type="cellIs" dxfId="4377" priority="4638" operator="equal">
      <formula>"Yes"</formula>
    </cfRule>
  </conditionalFormatting>
  <conditionalFormatting sqref="AM26">
    <cfRule type="cellIs" dxfId="4376" priority="4633" operator="equal">
      <formula>"No"</formula>
    </cfRule>
    <cfRule type="cellIs" dxfId="4375" priority="4634" operator="equal">
      <formula>"NA"</formula>
    </cfRule>
    <cfRule type="cellIs" dxfId="4374" priority="4635" operator="equal">
      <formula>"Yes"</formula>
    </cfRule>
  </conditionalFormatting>
  <conditionalFormatting sqref="AM27">
    <cfRule type="cellIs" dxfId="4373" priority="4630" operator="equal">
      <formula>"No"</formula>
    </cfRule>
    <cfRule type="cellIs" dxfId="4372" priority="4631" operator="equal">
      <formula>"NA"</formula>
    </cfRule>
    <cfRule type="cellIs" dxfId="4371" priority="4632" operator="equal">
      <formula>"Yes"</formula>
    </cfRule>
  </conditionalFormatting>
  <conditionalFormatting sqref="AM28">
    <cfRule type="cellIs" dxfId="4370" priority="4627" operator="equal">
      <formula>"No"</formula>
    </cfRule>
    <cfRule type="cellIs" dxfId="4369" priority="4628" operator="equal">
      <formula>"NA"</formula>
    </cfRule>
    <cfRule type="cellIs" dxfId="4368" priority="4629" operator="equal">
      <formula>"Yes"</formula>
    </cfRule>
  </conditionalFormatting>
  <conditionalFormatting sqref="AM30">
    <cfRule type="cellIs" dxfId="4367" priority="4624" operator="equal">
      <formula>"No"</formula>
    </cfRule>
    <cfRule type="cellIs" dxfId="4366" priority="4625" operator="equal">
      <formula>"NA"</formula>
    </cfRule>
    <cfRule type="cellIs" dxfId="4365" priority="4626" operator="equal">
      <formula>"Yes"</formula>
    </cfRule>
  </conditionalFormatting>
  <conditionalFormatting sqref="AM31">
    <cfRule type="cellIs" dxfId="4364" priority="4621" operator="equal">
      <formula>"No"</formula>
    </cfRule>
    <cfRule type="cellIs" dxfId="4363" priority="4622" operator="equal">
      <formula>"NA"</formula>
    </cfRule>
    <cfRule type="cellIs" dxfId="4362" priority="4623" operator="equal">
      <formula>"Yes"</formula>
    </cfRule>
  </conditionalFormatting>
  <conditionalFormatting sqref="AM33">
    <cfRule type="cellIs" dxfId="4361" priority="4618" operator="equal">
      <formula>"No"</formula>
    </cfRule>
    <cfRule type="cellIs" dxfId="4360" priority="4619" operator="equal">
      <formula>"NA"</formula>
    </cfRule>
    <cfRule type="cellIs" dxfId="4359" priority="4620" operator="equal">
      <formula>"Yes"</formula>
    </cfRule>
  </conditionalFormatting>
  <conditionalFormatting sqref="AR7">
    <cfRule type="cellIs" dxfId="4358" priority="4606" operator="equal">
      <formula>"No"</formula>
    </cfRule>
    <cfRule type="cellIs" dxfId="4357" priority="4607" operator="equal">
      <formula>"NA"</formula>
    </cfRule>
    <cfRule type="cellIs" dxfId="4356" priority="4608" operator="equal">
      <formula>"Yes"</formula>
    </cfRule>
  </conditionalFormatting>
  <conditionalFormatting sqref="AR9">
    <cfRule type="cellIs" dxfId="4355" priority="4603" operator="equal">
      <formula>"No"</formula>
    </cfRule>
    <cfRule type="cellIs" dxfId="4354" priority="4604" operator="equal">
      <formula>"NA"</formula>
    </cfRule>
    <cfRule type="cellIs" dxfId="4353" priority="4605" operator="equal">
      <formula>"Yes"</formula>
    </cfRule>
  </conditionalFormatting>
  <conditionalFormatting sqref="AR12">
    <cfRule type="cellIs" dxfId="4352" priority="4597" operator="equal">
      <formula>"No"</formula>
    </cfRule>
    <cfRule type="cellIs" dxfId="4351" priority="4598" operator="equal">
      <formula>"NA"</formula>
    </cfRule>
    <cfRule type="cellIs" dxfId="4350" priority="4599" operator="equal">
      <formula>"Yes"</formula>
    </cfRule>
  </conditionalFormatting>
  <conditionalFormatting sqref="AR13">
    <cfRule type="cellIs" dxfId="4349" priority="4594" operator="equal">
      <formula>"No"</formula>
    </cfRule>
    <cfRule type="cellIs" dxfId="4348" priority="4595" operator="equal">
      <formula>"NA"</formula>
    </cfRule>
    <cfRule type="cellIs" dxfId="4347" priority="4596" operator="equal">
      <formula>"Yes"</formula>
    </cfRule>
  </conditionalFormatting>
  <conditionalFormatting sqref="AR14">
    <cfRule type="cellIs" dxfId="4346" priority="4591" operator="equal">
      <formula>"No"</formula>
    </cfRule>
    <cfRule type="cellIs" dxfId="4345" priority="4592" operator="equal">
      <formula>"NA"</formula>
    </cfRule>
    <cfRule type="cellIs" dxfId="4344" priority="4593" operator="equal">
      <formula>"Yes"</formula>
    </cfRule>
  </conditionalFormatting>
  <conditionalFormatting sqref="AR16">
    <cfRule type="cellIs" dxfId="4343" priority="4585" operator="equal">
      <formula>"No"</formula>
    </cfRule>
    <cfRule type="cellIs" dxfId="4342" priority="4586" operator="equal">
      <formula>"NA"</formula>
    </cfRule>
    <cfRule type="cellIs" dxfId="4341" priority="4587" operator="equal">
      <formula>"Yes"</formula>
    </cfRule>
  </conditionalFormatting>
  <conditionalFormatting sqref="AR18">
    <cfRule type="cellIs" dxfId="4340" priority="4582" operator="equal">
      <formula>"No"</formula>
    </cfRule>
    <cfRule type="cellIs" dxfId="4339" priority="4583" operator="equal">
      <formula>"NA"</formula>
    </cfRule>
    <cfRule type="cellIs" dxfId="4338" priority="4584" operator="equal">
      <formula>"Yes"</formula>
    </cfRule>
  </conditionalFormatting>
  <conditionalFormatting sqref="AR19">
    <cfRule type="cellIs" dxfId="4337" priority="4579" operator="equal">
      <formula>"No"</formula>
    </cfRule>
    <cfRule type="cellIs" dxfId="4336" priority="4580" operator="equal">
      <formula>"NA"</formula>
    </cfRule>
    <cfRule type="cellIs" dxfId="4335" priority="4581" operator="equal">
      <formula>"Yes"</formula>
    </cfRule>
  </conditionalFormatting>
  <conditionalFormatting sqref="AR20">
    <cfRule type="cellIs" dxfId="4334" priority="4576" operator="equal">
      <formula>"No"</formula>
    </cfRule>
    <cfRule type="cellIs" dxfId="4333" priority="4577" operator="equal">
      <formula>"NA"</formula>
    </cfRule>
    <cfRule type="cellIs" dxfId="4332" priority="4578" operator="equal">
      <formula>"Yes"</formula>
    </cfRule>
  </conditionalFormatting>
  <conditionalFormatting sqref="AR21">
    <cfRule type="cellIs" dxfId="4331" priority="4573" operator="equal">
      <formula>"No"</formula>
    </cfRule>
    <cfRule type="cellIs" dxfId="4330" priority="4574" operator="equal">
      <formula>"NA"</formula>
    </cfRule>
    <cfRule type="cellIs" dxfId="4329" priority="4575" operator="equal">
      <formula>"Yes"</formula>
    </cfRule>
  </conditionalFormatting>
  <conditionalFormatting sqref="AR22">
    <cfRule type="cellIs" dxfId="4328" priority="4570" operator="equal">
      <formula>"No"</formula>
    </cfRule>
    <cfRule type="cellIs" dxfId="4327" priority="4571" operator="equal">
      <formula>"NA"</formula>
    </cfRule>
    <cfRule type="cellIs" dxfId="4326" priority="4572" operator="equal">
      <formula>"Yes"</formula>
    </cfRule>
  </conditionalFormatting>
  <conditionalFormatting sqref="AR23">
    <cfRule type="cellIs" dxfId="4325" priority="4567" operator="equal">
      <formula>"No"</formula>
    </cfRule>
    <cfRule type="cellIs" dxfId="4324" priority="4568" operator="equal">
      <formula>"NA"</formula>
    </cfRule>
    <cfRule type="cellIs" dxfId="4323" priority="4569" operator="equal">
      <formula>"Yes"</formula>
    </cfRule>
  </conditionalFormatting>
  <conditionalFormatting sqref="AR26">
    <cfRule type="cellIs" dxfId="4322" priority="4561" operator="equal">
      <formula>"No"</formula>
    </cfRule>
    <cfRule type="cellIs" dxfId="4321" priority="4562" operator="equal">
      <formula>"NA"</formula>
    </cfRule>
    <cfRule type="cellIs" dxfId="4320" priority="4563" operator="equal">
      <formula>"Yes"</formula>
    </cfRule>
  </conditionalFormatting>
  <conditionalFormatting sqref="AR27">
    <cfRule type="cellIs" dxfId="4319" priority="4558" operator="equal">
      <formula>"No"</formula>
    </cfRule>
    <cfRule type="cellIs" dxfId="4318" priority="4559" operator="equal">
      <formula>"NA"</formula>
    </cfRule>
    <cfRule type="cellIs" dxfId="4317" priority="4560" operator="equal">
      <formula>"Yes"</formula>
    </cfRule>
  </conditionalFormatting>
  <conditionalFormatting sqref="AR28">
    <cfRule type="cellIs" dxfId="4316" priority="4555" operator="equal">
      <formula>"No"</formula>
    </cfRule>
    <cfRule type="cellIs" dxfId="4315" priority="4556" operator="equal">
      <formula>"NA"</formula>
    </cfRule>
    <cfRule type="cellIs" dxfId="4314" priority="4557" operator="equal">
      <formula>"Yes"</formula>
    </cfRule>
  </conditionalFormatting>
  <conditionalFormatting sqref="AR30">
    <cfRule type="cellIs" dxfId="4313" priority="4552" operator="equal">
      <formula>"No"</formula>
    </cfRule>
    <cfRule type="cellIs" dxfId="4312" priority="4553" operator="equal">
      <formula>"NA"</formula>
    </cfRule>
    <cfRule type="cellIs" dxfId="4311" priority="4554" operator="equal">
      <formula>"Yes"</formula>
    </cfRule>
  </conditionalFormatting>
  <conditionalFormatting sqref="AR31">
    <cfRule type="cellIs" dxfId="4310" priority="4549" operator="equal">
      <formula>"No"</formula>
    </cfRule>
    <cfRule type="cellIs" dxfId="4309" priority="4550" operator="equal">
      <formula>"NA"</formula>
    </cfRule>
    <cfRule type="cellIs" dxfId="4308" priority="4551" operator="equal">
      <formula>"Yes"</formula>
    </cfRule>
  </conditionalFormatting>
  <conditionalFormatting sqref="AR33">
    <cfRule type="cellIs" dxfId="4307" priority="4546" operator="equal">
      <formula>"No"</formula>
    </cfRule>
    <cfRule type="cellIs" dxfId="4306" priority="4547" operator="equal">
      <formula>"NA"</formula>
    </cfRule>
    <cfRule type="cellIs" dxfId="4305" priority="4548" operator="equal">
      <formula>"Yes"</formula>
    </cfRule>
  </conditionalFormatting>
  <conditionalFormatting sqref="AR6">
    <cfRule type="cellIs" dxfId="4304" priority="4543" operator="equal">
      <formula>"No"</formula>
    </cfRule>
    <cfRule type="cellIs" dxfId="4303" priority="4544" operator="equal">
      <formula>"NA"</formula>
    </cfRule>
    <cfRule type="cellIs" dxfId="4302" priority="4545" operator="equal">
      <formula>"Yes"</formula>
    </cfRule>
  </conditionalFormatting>
  <conditionalFormatting sqref="AR10">
    <cfRule type="cellIs" dxfId="4301" priority="4540" operator="equal">
      <formula>"No"</formula>
    </cfRule>
    <cfRule type="cellIs" dxfId="4300" priority="4541" operator="equal">
      <formula>"NA"</formula>
    </cfRule>
    <cfRule type="cellIs" dxfId="4299" priority="4542" operator="equal">
      <formula>"Yes"</formula>
    </cfRule>
  </conditionalFormatting>
  <conditionalFormatting sqref="AR11">
    <cfRule type="cellIs" dxfId="4298" priority="4537" operator="equal">
      <formula>"No"</formula>
    </cfRule>
    <cfRule type="cellIs" dxfId="4297" priority="4538" operator="equal">
      <formula>"NA"</formula>
    </cfRule>
    <cfRule type="cellIs" dxfId="4296" priority="4539" operator="equal">
      <formula>"Yes"</formula>
    </cfRule>
  </conditionalFormatting>
  <conditionalFormatting sqref="AR15">
    <cfRule type="cellIs" dxfId="4295" priority="4534" operator="equal">
      <formula>"No"</formula>
    </cfRule>
    <cfRule type="cellIs" dxfId="4294" priority="4535" operator="equal">
      <formula>"NA"</formula>
    </cfRule>
    <cfRule type="cellIs" dxfId="4293" priority="4536" operator="equal">
      <formula>"Yes"</formula>
    </cfRule>
  </conditionalFormatting>
  <conditionalFormatting sqref="AR25">
    <cfRule type="cellIs" dxfId="4292" priority="4531" operator="equal">
      <formula>"No"</formula>
    </cfRule>
    <cfRule type="cellIs" dxfId="4291" priority="4532" operator="equal">
      <formula>"NA"</formula>
    </cfRule>
    <cfRule type="cellIs" dxfId="4290" priority="4533" operator="equal">
      <formula>"Yes"</formula>
    </cfRule>
  </conditionalFormatting>
  <conditionalFormatting sqref="AR17">
    <cfRule type="cellIs" dxfId="4289" priority="4528" operator="equal">
      <formula>"No"</formula>
    </cfRule>
    <cfRule type="cellIs" dxfId="4288" priority="4529" operator="equal">
      <formula>"NA"</formula>
    </cfRule>
    <cfRule type="cellIs" dxfId="4287" priority="4530" operator="equal">
      <formula>"Yes"</formula>
    </cfRule>
  </conditionalFormatting>
  <conditionalFormatting sqref="AS26">
    <cfRule type="cellIs" dxfId="4286" priority="4525" operator="equal">
      <formula>"No"</formula>
    </cfRule>
    <cfRule type="cellIs" dxfId="4285" priority="4526" operator="equal">
      <formula>"NA"</formula>
    </cfRule>
    <cfRule type="cellIs" dxfId="4284" priority="4527" operator="equal">
      <formula>"Yes"</formula>
    </cfRule>
  </conditionalFormatting>
  <conditionalFormatting sqref="AS33">
    <cfRule type="cellIs" dxfId="4283" priority="4522" operator="equal">
      <formula>"No"</formula>
    </cfRule>
    <cfRule type="cellIs" dxfId="4282" priority="4523" operator="equal">
      <formula>"NA"</formula>
    </cfRule>
    <cfRule type="cellIs" dxfId="4281" priority="4524" operator="equal">
      <formula>"Yes"</formula>
    </cfRule>
  </conditionalFormatting>
  <conditionalFormatting sqref="AS17">
    <cfRule type="cellIs" dxfId="4280" priority="4519" operator="equal">
      <formula>"No"</formula>
    </cfRule>
    <cfRule type="cellIs" dxfId="4279" priority="4520" operator="equal">
      <formula>"NA"</formula>
    </cfRule>
    <cfRule type="cellIs" dxfId="4278" priority="4521" operator="equal">
      <formula>"Yes"</formula>
    </cfRule>
  </conditionalFormatting>
  <conditionalFormatting sqref="AS7">
    <cfRule type="cellIs" dxfId="4277" priority="4516" operator="equal">
      <formula>"No"</formula>
    </cfRule>
    <cfRule type="cellIs" dxfId="4276" priority="4517" operator="equal">
      <formula>"NA"</formula>
    </cfRule>
    <cfRule type="cellIs" dxfId="4275" priority="4518" operator="equal">
      <formula>"Yes"</formula>
    </cfRule>
  </conditionalFormatting>
  <conditionalFormatting sqref="AS9">
    <cfRule type="cellIs" dxfId="4274" priority="4513" operator="equal">
      <formula>"No"</formula>
    </cfRule>
    <cfRule type="cellIs" dxfId="4273" priority="4514" operator="equal">
      <formula>"NA"</formula>
    </cfRule>
    <cfRule type="cellIs" dxfId="4272" priority="4515" operator="equal">
      <formula>"Yes"</formula>
    </cfRule>
  </conditionalFormatting>
  <conditionalFormatting sqref="AS10">
    <cfRule type="cellIs" dxfId="4271" priority="4510" operator="equal">
      <formula>"No"</formula>
    </cfRule>
    <cfRule type="cellIs" dxfId="4270" priority="4511" operator="equal">
      <formula>"NA"</formula>
    </cfRule>
    <cfRule type="cellIs" dxfId="4269" priority="4512" operator="equal">
      <formula>"Yes"</formula>
    </cfRule>
  </conditionalFormatting>
  <conditionalFormatting sqref="AS11">
    <cfRule type="cellIs" dxfId="4268" priority="4507" operator="equal">
      <formula>"No"</formula>
    </cfRule>
    <cfRule type="cellIs" dxfId="4267" priority="4508" operator="equal">
      <formula>"NA"</formula>
    </cfRule>
    <cfRule type="cellIs" dxfId="4266" priority="4509" operator="equal">
      <formula>"Yes"</formula>
    </cfRule>
  </conditionalFormatting>
  <conditionalFormatting sqref="AS14">
    <cfRule type="cellIs" dxfId="4265" priority="4504" operator="equal">
      <formula>"No"</formula>
    </cfRule>
    <cfRule type="cellIs" dxfId="4264" priority="4505" operator="equal">
      <formula>"NA"</formula>
    </cfRule>
    <cfRule type="cellIs" dxfId="4263" priority="4506" operator="equal">
      <formula>"Yes"</formula>
    </cfRule>
  </conditionalFormatting>
  <conditionalFormatting sqref="AS12">
    <cfRule type="cellIs" dxfId="4262" priority="4501" operator="equal">
      <formula>"No"</formula>
    </cfRule>
    <cfRule type="cellIs" dxfId="4261" priority="4502" operator="equal">
      <formula>"NA"</formula>
    </cfRule>
    <cfRule type="cellIs" dxfId="4260" priority="4503" operator="equal">
      <formula>"Yes"</formula>
    </cfRule>
  </conditionalFormatting>
  <conditionalFormatting sqref="AS13">
    <cfRule type="cellIs" dxfId="4259" priority="4498" operator="equal">
      <formula>"No"</formula>
    </cfRule>
    <cfRule type="cellIs" dxfId="4258" priority="4499" operator="equal">
      <formula>"NA"</formula>
    </cfRule>
    <cfRule type="cellIs" dxfId="4257" priority="4500" operator="equal">
      <formula>"Yes"</formula>
    </cfRule>
  </conditionalFormatting>
  <conditionalFormatting sqref="AS15">
    <cfRule type="cellIs" dxfId="4256" priority="4495" operator="equal">
      <formula>"No"</formula>
    </cfRule>
    <cfRule type="cellIs" dxfId="4255" priority="4496" operator="equal">
      <formula>"NA"</formula>
    </cfRule>
    <cfRule type="cellIs" dxfId="4254" priority="4497" operator="equal">
      <formula>"Yes"</formula>
    </cfRule>
  </conditionalFormatting>
  <conditionalFormatting sqref="AS16">
    <cfRule type="cellIs" dxfId="4253" priority="4492" operator="equal">
      <formula>"No"</formula>
    </cfRule>
    <cfRule type="cellIs" dxfId="4252" priority="4493" operator="equal">
      <formula>"NA"</formula>
    </cfRule>
    <cfRule type="cellIs" dxfId="4251" priority="4494" operator="equal">
      <formula>"Yes"</formula>
    </cfRule>
  </conditionalFormatting>
  <conditionalFormatting sqref="AS18">
    <cfRule type="cellIs" dxfId="4250" priority="4489" operator="equal">
      <formula>"No"</formula>
    </cfRule>
    <cfRule type="cellIs" dxfId="4249" priority="4490" operator="equal">
      <formula>"NA"</formula>
    </cfRule>
    <cfRule type="cellIs" dxfId="4248" priority="4491" operator="equal">
      <formula>"Yes"</formula>
    </cfRule>
  </conditionalFormatting>
  <conditionalFormatting sqref="AS19">
    <cfRule type="cellIs" dxfId="4247" priority="4486" operator="equal">
      <formula>"No"</formula>
    </cfRule>
    <cfRule type="cellIs" dxfId="4246" priority="4487" operator="equal">
      <formula>"NA"</formula>
    </cfRule>
    <cfRule type="cellIs" dxfId="4245" priority="4488" operator="equal">
      <formula>"Yes"</formula>
    </cfRule>
  </conditionalFormatting>
  <conditionalFormatting sqref="AS20">
    <cfRule type="cellIs" dxfId="4244" priority="4483" operator="equal">
      <formula>"No"</formula>
    </cfRule>
    <cfRule type="cellIs" dxfId="4243" priority="4484" operator="equal">
      <formula>"NA"</formula>
    </cfRule>
    <cfRule type="cellIs" dxfId="4242" priority="4485" operator="equal">
      <formula>"Yes"</formula>
    </cfRule>
  </conditionalFormatting>
  <conditionalFormatting sqref="AS21">
    <cfRule type="cellIs" dxfId="4241" priority="4480" operator="equal">
      <formula>"No"</formula>
    </cfRule>
    <cfRule type="cellIs" dxfId="4240" priority="4481" operator="equal">
      <formula>"NA"</formula>
    </cfRule>
    <cfRule type="cellIs" dxfId="4239" priority="4482" operator="equal">
      <formula>"Yes"</formula>
    </cfRule>
  </conditionalFormatting>
  <conditionalFormatting sqref="AS22">
    <cfRule type="cellIs" dxfId="4238" priority="4477" operator="equal">
      <formula>"No"</formula>
    </cfRule>
    <cfRule type="cellIs" dxfId="4237" priority="4478" operator="equal">
      <formula>"NA"</formula>
    </cfRule>
    <cfRule type="cellIs" dxfId="4236" priority="4479" operator="equal">
      <formula>"Yes"</formula>
    </cfRule>
  </conditionalFormatting>
  <conditionalFormatting sqref="AS23">
    <cfRule type="cellIs" dxfId="4235" priority="4474" operator="equal">
      <formula>"No"</formula>
    </cfRule>
    <cfRule type="cellIs" dxfId="4234" priority="4475" operator="equal">
      <formula>"NA"</formula>
    </cfRule>
    <cfRule type="cellIs" dxfId="4233" priority="4476" operator="equal">
      <formula>"Yes"</formula>
    </cfRule>
  </conditionalFormatting>
  <conditionalFormatting sqref="AS27">
    <cfRule type="cellIs" dxfId="4232" priority="4468" operator="equal">
      <formula>"No"</formula>
    </cfRule>
    <cfRule type="cellIs" dxfId="4231" priority="4469" operator="equal">
      <formula>"NA"</formula>
    </cfRule>
    <cfRule type="cellIs" dxfId="4230" priority="4470" operator="equal">
      <formula>"Yes"</formula>
    </cfRule>
  </conditionalFormatting>
  <conditionalFormatting sqref="AS28">
    <cfRule type="cellIs" dxfId="4229" priority="4465" operator="equal">
      <formula>"No"</formula>
    </cfRule>
    <cfRule type="cellIs" dxfId="4228" priority="4466" operator="equal">
      <formula>"NA"</formula>
    </cfRule>
    <cfRule type="cellIs" dxfId="4227" priority="4467" operator="equal">
      <formula>"Yes"</formula>
    </cfRule>
  </conditionalFormatting>
  <conditionalFormatting sqref="AS30">
    <cfRule type="cellIs" dxfId="4226" priority="4462" operator="equal">
      <formula>"No"</formula>
    </cfRule>
    <cfRule type="cellIs" dxfId="4225" priority="4463" operator="equal">
      <formula>"NA"</formula>
    </cfRule>
    <cfRule type="cellIs" dxfId="4224" priority="4464" operator="equal">
      <formula>"Yes"</formula>
    </cfRule>
  </conditionalFormatting>
  <conditionalFormatting sqref="AS31">
    <cfRule type="cellIs" dxfId="4223" priority="4459" operator="equal">
      <formula>"No"</formula>
    </cfRule>
    <cfRule type="cellIs" dxfId="4222" priority="4460" operator="equal">
      <formula>"NA"</formula>
    </cfRule>
    <cfRule type="cellIs" dxfId="4221" priority="4461" operator="equal">
      <formula>"Yes"</formula>
    </cfRule>
  </conditionalFormatting>
  <conditionalFormatting sqref="AS6">
    <cfRule type="cellIs" dxfId="4220" priority="4453" operator="equal">
      <formula>"No"</formula>
    </cfRule>
    <cfRule type="cellIs" dxfId="4219" priority="4454" operator="equal">
      <formula>"NA"</formula>
    </cfRule>
    <cfRule type="cellIs" dxfId="4218" priority="4455" operator="equal">
      <formula>"Yes"</formula>
    </cfRule>
  </conditionalFormatting>
  <conditionalFormatting sqref="AS25">
    <cfRule type="cellIs" dxfId="4217" priority="4450" operator="equal">
      <formula>"No"</formula>
    </cfRule>
    <cfRule type="cellIs" dxfId="4216" priority="4451" operator="equal">
      <formula>"NA"</formula>
    </cfRule>
    <cfRule type="cellIs" dxfId="4215" priority="4452" operator="equal">
      <formula>"Yes"</formula>
    </cfRule>
  </conditionalFormatting>
  <conditionalFormatting sqref="AW7">
    <cfRule type="cellIs" dxfId="4214" priority="4441" operator="equal">
      <formula>"No"</formula>
    </cfRule>
    <cfRule type="cellIs" dxfId="4213" priority="4442" operator="equal">
      <formula>"NA"</formula>
    </cfRule>
    <cfRule type="cellIs" dxfId="4212" priority="4443" operator="equal">
      <formula>"Yes"</formula>
    </cfRule>
  </conditionalFormatting>
  <conditionalFormatting sqref="AW9">
    <cfRule type="cellIs" dxfId="4211" priority="4438" operator="equal">
      <formula>"No"</formula>
    </cfRule>
    <cfRule type="cellIs" dxfId="4210" priority="4439" operator="equal">
      <formula>"NA"</formula>
    </cfRule>
    <cfRule type="cellIs" dxfId="4209" priority="4440" operator="equal">
      <formula>"Yes"</formula>
    </cfRule>
  </conditionalFormatting>
  <conditionalFormatting sqref="AW10">
    <cfRule type="cellIs" dxfId="4208" priority="4435" operator="equal">
      <formula>"No"</formula>
    </cfRule>
    <cfRule type="cellIs" dxfId="4207" priority="4436" operator="equal">
      <formula>"NA"</formula>
    </cfRule>
    <cfRule type="cellIs" dxfId="4206" priority="4437" operator="equal">
      <formula>"Yes"</formula>
    </cfRule>
  </conditionalFormatting>
  <conditionalFormatting sqref="AW11">
    <cfRule type="cellIs" dxfId="4205" priority="4432" operator="equal">
      <formula>"No"</formula>
    </cfRule>
    <cfRule type="cellIs" dxfId="4204" priority="4433" operator="equal">
      <formula>"NA"</formula>
    </cfRule>
    <cfRule type="cellIs" dxfId="4203" priority="4434" operator="equal">
      <formula>"Yes"</formula>
    </cfRule>
  </conditionalFormatting>
  <conditionalFormatting sqref="AW12">
    <cfRule type="cellIs" dxfId="4202" priority="4429" operator="equal">
      <formula>"No"</formula>
    </cfRule>
    <cfRule type="cellIs" dxfId="4201" priority="4430" operator="equal">
      <formula>"NA"</formula>
    </cfRule>
    <cfRule type="cellIs" dxfId="4200" priority="4431" operator="equal">
      <formula>"Yes"</formula>
    </cfRule>
  </conditionalFormatting>
  <conditionalFormatting sqref="AW13">
    <cfRule type="cellIs" dxfId="4199" priority="4426" operator="equal">
      <formula>"No"</formula>
    </cfRule>
    <cfRule type="cellIs" dxfId="4198" priority="4427" operator="equal">
      <formula>"NA"</formula>
    </cfRule>
    <cfRule type="cellIs" dxfId="4197" priority="4428" operator="equal">
      <formula>"Yes"</formula>
    </cfRule>
  </conditionalFormatting>
  <conditionalFormatting sqref="AW15">
    <cfRule type="cellIs" dxfId="4196" priority="4423" operator="equal">
      <formula>"No"</formula>
    </cfRule>
    <cfRule type="cellIs" dxfId="4195" priority="4424" operator="equal">
      <formula>"NA"</formula>
    </cfRule>
    <cfRule type="cellIs" dxfId="4194" priority="4425" operator="equal">
      <formula>"Yes"</formula>
    </cfRule>
  </conditionalFormatting>
  <conditionalFormatting sqref="AW16">
    <cfRule type="cellIs" dxfId="4193" priority="4420" operator="equal">
      <formula>"No"</formula>
    </cfRule>
    <cfRule type="cellIs" dxfId="4192" priority="4421" operator="equal">
      <formula>"NA"</formula>
    </cfRule>
    <cfRule type="cellIs" dxfId="4191" priority="4422" operator="equal">
      <formula>"Yes"</formula>
    </cfRule>
  </conditionalFormatting>
  <conditionalFormatting sqref="AW18">
    <cfRule type="cellIs" dxfId="4190" priority="4417" operator="equal">
      <formula>"No"</formula>
    </cfRule>
    <cfRule type="cellIs" dxfId="4189" priority="4418" operator="equal">
      <formula>"NA"</formula>
    </cfRule>
    <cfRule type="cellIs" dxfId="4188" priority="4419" operator="equal">
      <formula>"Yes"</formula>
    </cfRule>
  </conditionalFormatting>
  <conditionalFormatting sqref="AW19">
    <cfRule type="cellIs" dxfId="4187" priority="4414" operator="equal">
      <formula>"No"</formula>
    </cfRule>
    <cfRule type="cellIs" dxfId="4186" priority="4415" operator="equal">
      <formula>"NA"</formula>
    </cfRule>
    <cfRule type="cellIs" dxfId="4185" priority="4416" operator="equal">
      <formula>"Yes"</formula>
    </cfRule>
  </conditionalFormatting>
  <conditionalFormatting sqref="AW20">
    <cfRule type="cellIs" dxfId="4184" priority="4411" operator="equal">
      <formula>"No"</formula>
    </cfRule>
    <cfRule type="cellIs" dxfId="4183" priority="4412" operator="equal">
      <formula>"NA"</formula>
    </cfRule>
    <cfRule type="cellIs" dxfId="4182" priority="4413" operator="equal">
      <formula>"Yes"</formula>
    </cfRule>
  </conditionalFormatting>
  <conditionalFormatting sqref="AW21">
    <cfRule type="cellIs" dxfId="4181" priority="4408" operator="equal">
      <formula>"No"</formula>
    </cfRule>
    <cfRule type="cellIs" dxfId="4180" priority="4409" operator="equal">
      <formula>"NA"</formula>
    </cfRule>
    <cfRule type="cellIs" dxfId="4179" priority="4410" operator="equal">
      <formula>"Yes"</formula>
    </cfRule>
  </conditionalFormatting>
  <conditionalFormatting sqref="AW22">
    <cfRule type="cellIs" dxfId="4178" priority="4405" operator="equal">
      <formula>"No"</formula>
    </cfRule>
    <cfRule type="cellIs" dxfId="4177" priority="4406" operator="equal">
      <formula>"NA"</formula>
    </cfRule>
    <cfRule type="cellIs" dxfId="4176" priority="4407" operator="equal">
      <formula>"Yes"</formula>
    </cfRule>
  </conditionalFormatting>
  <conditionalFormatting sqref="AW23">
    <cfRule type="cellIs" dxfId="4175" priority="4402" operator="equal">
      <formula>"No"</formula>
    </cfRule>
    <cfRule type="cellIs" dxfId="4174" priority="4403" operator="equal">
      <formula>"NA"</formula>
    </cfRule>
    <cfRule type="cellIs" dxfId="4173" priority="4404" operator="equal">
      <formula>"Yes"</formula>
    </cfRule>
  </conditionalFormatting>
  <conditionalFormatting sqref="AW26">
    <cfRule type="cellIs" dxfId="4172" priority="4399" operator="equal">
      <formula>"No"</formula>
    </cfRule>
    <cfRule type="cellIs" dxfId="4171" priority="4400" operator="equal">
      <formula>"NA"</formula>
    </cfRule>
    <cfRule type="cellIs" dxfId="4170" priority="4401" operator="equal">
      <formula>"Yes"</formula>
    </cfRule>
  </conditionalFormatting>
  <conditionalFormatting sqref="AW33">
    <cfRule type="cellIs" dxfId="4169" priority="4396" operator="equal">
      <formula>"No"</formula>
    </cfRule>
    <cfRule type="cellIs" dxfId="4168" priority="4397" operator="equal">
      <formula>"NA"</formula>
    </cfRule>
    <cfRule type="cellIs" dxfId="4167" priority="4398" operator="equal">
      <formula>"Yes"</formula>
    </cfRule>
  </conditionalFormatting>
  <conditionalFormatting sqref="AW27">
    <cfRule type="cellIs" dxfId="4166" priority="4390" operator="equal">
      <formula>"No"</formula>
    </cfRule>
    <cfRule type="cellIs" dxfId="4165" priority="4391" operator="equal">
      <formula>"NA"</formula>
    </cfRule>
    <cfRule type="cellIs" dxfId="4164" priority="4392" operator="equal">
      <formula>"Yes"</formula>
    </cfRule>
  </conditionalFormatting>
  <conditionalFormatting sqref="AW28">
    <cfRule type="cellIs" dxfId="4163" priority="4387" operator="equal">
      <formula>"No"</formula>
    </cfRule>
    <cfRule type="cellIs" dxfId="4162" priority="4388" operator="equal">
      <formula>"NA"</formula>
    </cfRule>
    <cfRule type="cellIs" dxfId="4161" priority="4389" operator="equal">
      <formula>"Yes"</formula>
    </cfRule>
  </conditionalFormatting>
  <conditionalFormatting sqref="AW30">
    <cfRule type="cellIs" dxfId="4160" priority="4384" operator="equal">
      <formula>"No"</formula>
    </cfRule>
    <cfRule type="cellIs" dxfId="4159" priority="4385" operator="equal">
      <formula>"NA"</formula>
    </cfRule>
    <cfRule type="cellIs" dxfId="4158" priority="4386" operator="equal">
      <formula>"Yes"</formula>
    </cfRule>
  </conditionalFormatting>
  <conditionalFormatting sqref="AW31">
    <cfRule type="cellIs" dxfId="4157" priority="4381" operator="equal">
      <formula>"No"</formula>
    </cfRule>
    <cfRule type="cellIs" dxfId="4156" priority="4382" operator="equal">
      <formula>"NA"</formula>
    </cfRule>
    <cfRule type="cellIs" dxfId="4155" priority="4383" operator="equal">
      <formula>"Yes"</formula>
    </cfRule>
  </conditionalFormatting>
  <conditionalFormatting sqref="AW14">
    <cfRule type="cellIs" dxfId="4154" priority="4378" operator="equal">
      <formula>"No"</formula>
    </cfRule>
    <cfRule type="cellIs" dxfId="4153" priority="4379" operator="equal">
      <formula>"NA"</formula>
    </cfRule>
    <cfRule type="cellIs" dxfId="4152" priority="4380" operator="equal">
      <formula>"Yes"</formula>
    </cfRule>
  </conditionalFormatting>
  <conditionalFormatting sqref="AV17">
    <cfRule type="cellIs" dxfId="4151" priority="4375" operator="equal">
      <formula>"No"</formula>
    </cfRule>
    <cfRule type="cellIs" dxfId="4150" priority="4376" operator="equal">
      <formula>"NA"</formula>
    </cfRule>
    <cfRule type="cellIs" dxfId="4149" priority="4377" operator="equal">
      <formula>"Yes"</formula>
    </cfRule>
  </conditionalFormatting>
  <conditionalFormatting sqref="AV6">
    <cfRule type="cellIs" dxfId="4148" priority="4372" operator="equal">
      <formula>"No"</formula>
    </cfRule>
    <cfRule type="cellIs" dxfId="4147" priority="4373" operator="equal">
      <formula>"NA"</formula>
    </cfRule>
    <cfRule type="cellIs" dxfId="4146" priority="4374" operator="equal">
      <formula>"Yes"</formula>
    </cfRule>
  </conditionalFormatting>
  <conditionalFormatting sqref="AV7">
    <cfRule type="cellIs" dxfId="4145" priority="4369" operator="equal">
      <formula>"No"</formula>
    </cfRule>
    <cfRule type="cellIs" dxfId="4144" priority="4370" operator="equal">
      <formula>"NA"</formula>
    </cfRule>
    <cfRule type="cellIs" dxfId="4143" priority="4371" operator="equal">
      <formula>"Yes"</formula>
    </cfRule>
  </conditionalFormatting>
  <conditionalFormatting sqref="AV9">
    <cfRule type="cellIs" dxfId="4142" priority="4366" operator="equal">
      <formula>"No"</formula>
    </cfRule>
    <cfRule type="cellIs" dxfId="4141" priority="4367" operator="equal">
      <formula>"NA"</formula>
    </cfRule>
    <cfRule type="cellIs" dxfId="4140" priority="4368" operator="equal">
      <formula>"Yes"</formula>
    </cfRule>
  </conditionalFormatting>
  <conditionalFormatting sqref="AV10">
    <cfRule type="cellIs" dxfId="4139" priority="4363" operator="equal">
      <formula>"No"</formula>
    </cfRule>
    <cfRule type="cellIs" dxfId="4138" priority="4364" operator="equal">
      <formula>"NA"</formula>
    </cfRule>
    <cfRule type="cellIs" dxfId="4137" priority="4365" operator="equal">
      <formula>"Yes"</formula>
    </cfRule>
  </conditionalFormatting>
  <conditionalFormatting sqref="AV11">
    <cfRule type="cellIs" dxfId="4136" priority="4360" operator="equal">
      <formula>"No"</formula>
    </cfRule>
    <cfRule type="cellIs" dxfId="4135" priority="4361" operator="equal">
      <formula>"NA"</formula>
    </cfRule>
    <cfRule type="cellIs" dxfId="4134" priority="4362" operator="equal">
      <formula>"Yes"</formula>
    </cfRule>
  </conditionalFormatting>
  <conditionalFormatting sqref="AV12">
    <cfRule type="cellIs" dxfId="4133" priority="4357" operator="equal">
      <formula>"No"</formula>
    </cfRule>
    <cfRule type="cellIs" dxfId="4132" priority="4358" operator="equal">
      <formula>"NA"</formula>
    </cfRule>
    <cfRule type="cellIs" dxfId="4131" priority="4359" operator="equal">
      <formula>"Yes"</formula>
    </cfRule>
  </conditionalFormatting>
  <conditionalFormatting sqref="AV13">
    <cfRule type="cellIs" dxfId="4130" priority="4354" operator="equal">
      <formula>"No"</formula>
    </cfRule>
    <cfRule type="cellIs" dxfId="4129" priority="4355" operator="equal">
      <formula>"NA"</formula>
    </cfRule>
    <cfRule type="cellIs" dxfId="4128" priority="4356" operator="equal">
      <formula>"Yes"</formula>
    </cfRule>
  </conditionalFormatting>
  <conditionalFormatting sqref="AV15">
    <cfRule type="cellIs" dxfId="4127" priority="4351" operator="equal">
      <formula>"No"</formula>
    </cfRule>
    <cfRule type="cellIs" dxfId="4126" priority="4352" operator="equal">
      <formula>"NA"</formula>
    </cfRule>
    <cfRule type="cellIs" dxfId="4125" priority="4353" operator="equal">
      <formula>"Yes"</formula>
    </cfRule>
  </conditionalFormatting>
  <conditionalFormatting sqref="AV16">
    <cfRule type="cellIs" dxfId="4124" priority="4348" operator="equal">
      <formula>"No"</formula>
    </cfRule>
    <cfRule type="cellIs" dxfId="4123" priority="4349" operator="equal">
      <formula>"NA"</formula>
    </cfRule>
    <cfRule type="cellIs" dxfId="4122" priority="4350" operator="equal">
      <formula>"Yes"</formula>
    </cfRule>
  </conditionalFormatting>
  <conditionalFormatting sqref="AV18">
    <cfRule type="cellIs" dxfId="4121" priority="4345" operator="equal">
      <formula>"No"</formula>
    </cfRule>
    <cfRule type="cellIs" dxfId="4120" priority="4346" operator="equal">
      <formula>"NA"</formula>
    </cfRule>
    <cfRule type="cellIs" dxfId="4119" priority="4347" operator="equal">
      <formula>"Yes"</formula>
    </cfRule>
  </conditionalFormatting>
  <conditionalFormatting sqref="AV19">
    <cfRule type="cellIs" dxfId="4118" priority="4342" operator="equal">
      <formula>"No"</formula>
    </cfRule>
    <cfRule type="cellIs" dxfId="4117" priority="4343" operator="equal">
      <formula>"NA"</formula>
    </cfRule>
    <cfRule type="cellIs" dxfId="4116" priority="4344" operator="equal">
      <formula>"Yes"</formula>
    </cfRule>
  </conditionalFormatting>
  <conditionalFormatting sqref="AV20">
    <cfRule type="cellIs" dxfId="4115" priority="4339" operator="equal">
      <formula>"No"</formula>
    </cfRule>
    <cfRule type="cellIs" dxfId="4114" priority="4340" operator="equal">
      <formula>"NA"</formula>
    </cfRule>
    <cfRule type="cellIs" dxfId="4113" priority="4341" operator="equal">
      <formula>"Yes"</formula>
    </cfRule>
  </conditionalFormatting>
  <conditionalFormatting sqref="AV21">
    <cfRule type="cellIs" dxfId="4112" priority="4336" operator="equal">
      <formula>"No"</formula>
    </cfRule>
    <cfRule type="cellIs" dxfId="4111" priority="4337" operator="equal">
      <formula>"NA"</formula>
    </cfRule>
    <cfRule type="cellIs" dxfId="4110" priority="4338" operator="equal">
      <formula>"Yes"</formula>
    </cfRule>
  </conditionalFormatting>
  <conditionalFormatting sqref="AV22">
    <cfRule type="cellIs" dxfId="4109" priority="4333" operator="equal">
      <formula>"No"</formula>
    </cfRule>
    <cfRule type="cellIs" dxfId="4108" priority="4334" operator="equal">
      <formula>"NA"</formula>
    </cfRule>
    <cfRule type="cellIs" dxfId="4107" priority="4335" operator="equal">
      <formula>"Yes"</formula>
    </cfRule>
  </conditionalFormatting>
  <conditionalFormatting sqref="AV23">
    <cfRule type="cellIs" dxfId="4106" priority="4330" operator="equal">
      <formula>"No"</formula>
    </cfRule>
    <cfRule type="cellIs" dxfId="4105" priority="4331" operator="equal">
      <formula>"NA"</formula>
    </cfRule>
    <cfRule type="cellIs" dxfId="4104" priority="4332" operator="equal">
      <formula>"Yes"</formula>
    </cfRule>
  </conditionalFormatting>
  <conditionalFormatting sqref="AV26">
    <cfRule type="cellIs" dxfId="4103" priority="4327" operator="equal">
      <formula>"No"</formula>
    </cfRule>
    <cfRule type="cellIs" dxfId="4102" priority="4328" operator="equal">
      <formula>"NA"</formula>
    </cfRule>
    <cfRule type="cellIs" dxfId="4101" priority="4329" operator="equal">
      <formula>"Yes"</formula>
    </cfRule>
  </conditionalFormatting>
  <conditionalFormatting sqref="AV33">
    <cfRule type="cellIs" dxfId="4100" priority="4324" operator="equal">
      <formula>"No"</formula>
    </cfRule>
    <cfRule type="cellIs" dxfId="4099" priority="4325" operator="equal">
      <formula>"NA"</formula>
    </cfRule>
    <cfRule type="cellIs" dxfId="4098" priority="4326" operator="equal">
      <formula>"Yes"</formula>
    </cfRule>
  </conditionalFormatting>
  <conditionalFormatting sqref="AV25">
    <cfRule type="cellIs" dxfId="4097" priority="4321" operator="equal">
      <formula>"No"</formula>
    </cfRule>
    <cfRule type="cellIs" dxfId="4096" priority="4322" operator="equal">
      <formula>"NA"</formula>
    </cfRule>
    <cfRule type="cellIs" dxfId="4095" priority="4323" operator="equal">
      <formula>"Yes"</formula>
    </cfRule>
  </conditionalFormatting>
  <conditionalFormatting sqref="AV27">
    <cfRule type="cellIs" dxfId="4094" priority="4318" operator="equal">
      <formula>"No"</formula>
    </cfRule>
    <cfRule type="cellIs" dxfId="4093" priority="4319" operator="equal">
      <formula>"NA"</formula>
    </cfRule>
    <cfRule type="cellIs" dxfId="4092" priority="4320" operator="equal">
      <formula>"Yes"</formula>
    </cfRule>
  </conditionalFormatting>
  <conditionalFormatting sqref="AV28">
    <cfRule type="cellIs" dxfId="4091" priority="4315" operator="equal">
      <formula>"No"</formula>
    </cfRule>
    <cfRule type="cellIs" dxfId="4090" priority="4316" operator="equal">
      <formula>"NA"</formula>
    </cfRule>
    <cfRule type="cellIs" dxfId="4089" priority="4317" operator="equal">
      <formula>"Yes"</formula>
    </cfRule>
  </conditionalFormatting>
  <conditionalFormatting sqref="AV30">
    <cfRule type="cellIs" dxfId="4088" priority="4312" operator="equal">
      <formula>"No"</formula>
    </cfRule>
    <cfRule type="cellIs" dxfId="4087" priority="4313" operator="equal">
      <formula>"NA"</formula>
    </cfRule>
    <cfRule type="cellIs" dxfId="4086" priority="4314" operator="equal">
      <formula>"Yes"</formula>
    </cfRule>
  </conditionalFormatting>
  <conditionalFormatting sqref="AV31">
    <cfRule type="cellIs" dxfId="4085" priority="4309" operator="equal">
      <formula>"No"</formula>
    </cfRule>
    <cfRule type="cellIs" dxfId="4084" priority="4310" operator="equal">
      <formula>"NA"</formula>
    </cfRule>
    <cfRule type="cellIs" dxfId="4083" priority="4311" operator="equal">
      <formula>"Yes"</formula>
    </cfRule>
  </conditionalFormatting>
  <conditionalFormatting sqref="AV14">
    <cfRule type="cellIs" dxfId="4082" priority="4306" operator="equal">
      <formula>"No"</formula>
    </cfRule>
    <cfRule type="cellIs" dxfId="4081" priority="4307" operator="equal">
      <formula>"NA"</formula>
    </cfRule>
    <cfRule type="cellIs" dxfId="4080" priority="4308" operator="equal">
      <formula>"Yes"</formula>
    </cfRule>
  </conditionalFormatting>
  <conditionalFormatting sqref="AU17">
    <cfRule type="cellIs" dxfId="4079" priority="4303" operator="equal">
      <formula>"No"</formula>
    </cfRule>
    <cfRule type="cellIs" dxfId="4078" priority="4304" operator="equal">
      <formula>"NA"</formula>
    </cfRule>
    <cfRule type="cellIs" dxfId="4077" priority="4305" operator="equal">
      <formula>"Yes"</formula>
    </cfRule>
  </conditionalFormatting>
  <conditionalFormatting sqref="AU6">
    <cfRule type="cellIs" dxfId="4076" priority="4300" operator="equal">
      <formula>"No"</formula>
    </cfRule>
    <cfRule type="cellIs" dxfId="4075" priority="4301" operator="equal">
      <formula>"NA"</formula>
    </cfRule>
    <cfRule type="cellIs" dxfId="4074" priority="4302" operator="equal">
      <formula>"Yes"</formula>
    </cfRule>
  </conditionalFormatting>
  <conditionalFormatting sqref="AU7">
    <cfRule type="cellIs" dxfId="4073" priority="4297" operator="equal">
      <formula>"No"</formula>
    </cfRule>
    <cfRule type="cellIs" dxfId="4072" priority="4298" operator="equal">
      <formula>"NA"</formula>
    </cfRule>
    <cfRule type="cellIs" dxfId="4071" priority="4299" operator="equal">
      <formula>"Yes"</formula>
    </cfRule>
  </conditionalFormatting>
  <conditionalFormatting sqref="AU9">
    <cfRule type="cellIs" dxfId="4070" priority="4294" operator="equal">
      <formula>"No"</formula>
    </cfRule>
    <cfRule type="cellIs" dxfId="4069" priority="4295" operator="equal">
      <formula>"NA"</formula>
    </cfRule>
    <cfRule type="cellIs" dxfId="4068" priority="4296" operator="equal">
      <formula>"Yes"</formula>
    </cfRule>
  </conditionalFormatting>
  <conditionalFormatting sqref="AU10">
    <cfRule type="cellIs" dxfId="4067" priority="4291" operator="equal">
      <formula>"No"</formula>
    </cfRule>
    <cfRule type="cellIs" dxfId="4066" priority="4292" operator="equal">
      <formula>"NA"</formula>
    </cfRule>
    <cfRule type="cellIs" dxfId="4065" priority="4293" operator="equal">
      <formula>"Yes"</formula>
    </cfRule>
  </conditionalFormatting>
  <conditionalFormatting sqref="AU11">
    <cfRule type="cellIs" dxfId="4064" priority="4288" operator="equal">
      <formula>"No"</formula>
    </cfRule>
    <cfRule type="cellIs" dxfId="4063" priority="4289" operator="equal">
      <formula>"NA"</formula>
    </cfRule>
    <cfRule type="cellIs" dxfId="4062" priority="4290" operator="equal">
      <formula>"Yes"</formula>
    </cfRule>
  </conditionalFormatting>
  <conditionalFormatting sqref="AU12">
    <cfRule type="cellIs" dxfId="4061" priority="4285" operator="equal">
      <formula>"No"</formula>
    </cfRule>
    <cfRule type="cellIs" dxfId="4060" priority="4286" operator="equal">
      <formula>"NA"</formula>
    </cfRule>
    <cfRule type="cellIs" dxfId="4059" priority="4287" operator="equal">
      <formula>"Yes"</formula>
    </cfRule>
  </conditionalFormatting>
  <conditionalFormatting sqref="AU13">
    <cfRule type="cellIs" dxfId="4058" priority="4282" operator="equal">
      <formula>"No"</formula>
    </cfRule>
    <cfRule type="cellIs" dxfId="4057" priority="4283" operator="equal">
      <formula>"NA"</formula>
    </cfRule>
    <cfRule type="cellIs" dxfId="4056" priority="4284" operator="equal">
      <formula>"Yes"</formula>
    </cfRule>
  </conditionalFormatting>
  <conditionalFormatting sqref="AU15">
    <cfRule type="cellIs" dxfId="4055" priority="4279" operator="equal">
      <formula>"No"</formula>
    </cfRule>
    <cfRule type="cellIs" dxfId="4054" priority="4280" operator="equal">
      <formula>"NA"</formula>
    </cfRule>
    <cfRule type="cellIs" dxfId="4053" priority="4281" operator="equal">
      <formula>"Yes"</formula>
    </cfRule>
  </conditionalFormatting>
  <conditionalFormatting sqref="AU16">
    <cfRule type="cellIs" dxfId="4052" priority="4276" operator="equal">
      <formula>"No"</formula>
    </cfRule>
    <cfRule type="cellIs" dxfId="4051" priority="4277" operator="equal">
      <formula>"NA"</formula>
    </cfRule>
    <cfRule type="cellIs" dxfId="4050" priority="4278" operator="equal">
      <formula>"Yes"</formula>
    </cfRule>
  </conditionalFormatting>
  <conditionalFormatting sqref="AU18">
    <cfRule type="cellIs" dxfId="4049" priority="4273" operator="equal">
      <formula>"No"</formula>
    </cfRule>
    <cfRule type="cellIs" dxfId="4048" priority="4274" operator="equal">
      <formula>"NA"</formula>
    </cfRule>
    <cfRule type="cellIs" dxfId="4047" priority="4275" operator="equal">
      <formula>"Yes"</formula>
    </cfRule>
  </conditionalFormatting>
  <conditionalFormatting sqref="AU19">
    <cfRule type="cellIs" dxfId="4046" priority="4270" operator="equal">
      <formula>"No"</formula>
    </cfRule>
    <cfRule type="cellIs" dxfId="4045" priority="4271" operator="equal">
      <formula>"NA"</formula>
    </cfRule>
    <cfRule type="cellIs" dxfId="4044" priority="4272" operator="equal">
      <formula>"Yes"</formula>
    </cfRule>
  </conditionalFormatting>
  <conditionalFormatting sqref="AU20">
    <cfRule type="cellIs" dxfId="4043" priority="4267" operator="equal">
      <formula>"No"</formula>
    </cfRule>
    <cfRule type="cellIs" dxfId="4042" priority="4268" operator="equal">
      <formula>"NA"</formula>
    </cfRule>
    <cfRule type="cellIs" dxfId="4041" priority="4269" operator="equal">
      <formula>"Yes"</formula>
    </cfRule>
  </conditionalFormatting>
  <conditionalFormatting sqref="AU21">
    <cfRule type="cellIs" dxfId="4040" priority="4264" operator="equal">
      <formula>"No"</formula>
    </cfRule>
    <cfRule type="cellIs" dxfId="4039" priority="4265" operator="equal">
      <formula>"NA"</formula>
    </cfRule>
    <cfRule type="cellIs" dxfId="4038" priority="4266" operator="equal">
      <formula>"Yes"</formula>
    </cfRule>
  </conditionalFormatting>
  <conditionalFormatting sqref="AU22">
    <cfRule type="cellIs" dxfId="4037" priority="4261" operator="equal">
      <formula>"No"</formula>
    </cfRule>
    <cfRule type="cellIs" dxfId="4036" priority="4262" operator="equal">
      <formula>"NA"</formula>
    </cfRule>
    <cfRule type="cellIs" dxfId="4035" priority="4263" operator="equal">
      <formula>"Yes"</formula>
    </cfRule>
  </conditionalFormatting>
  <conditionalFormatting sqref="AU23">
    <cfRule type="cellIs" dxfId="4034" priority="4258" operator="equal">
      <formula>"No"</formula>
    </cfRule>
    <cfRule type="cellIs" dxfId="4033" priority="4259" operator="equal">
      <formula>"NA"</formula>
    </cfRule>
    <cfRule type="cellIs" dxfId="4032" priority="4260" operator="equal">
      <formula>"Yes"</formula>
    </cfRule>
  </conditionalFormatting>
  <conditionalFormatting sqref="AU26">
    <cfRule type="cellIs" dxfId="4031" priority="4255" operator="equal">
      <formula>"No"</formula>
    </cfRule>
    <cfRule type="cellIs" dxfId="4030" priority="4256" operator="equal">
      <formula>"NA"</formula>
    </cfRule>
    <cfRule type="cellIs" dxfId="4029" priority="4257" operator="equal">
      <formula>"Yes"</formula>
    </cfRule>
  </conditionalFormatting>
  <conditionalFormatting sqref="AU33">
    <cfRule type="cellIs" dxfId="4028" priority="4252" operator="equal">
      <formula>"No"</formula>
    </cfRule>
    <cfRule type="cellIs" dxfId="4027" priority="4253" operator="equal">
      <formula>"NA"</formula>
    </cfRule>
    <cfRule type="cellIs" dxfId="4026" priority="4254" operator="equal">
      <formula>"Yes"</formula>
    </cfRule>
  </conditionalFormatting>
  <conditionalFormatting sqref="AU25">
    <cfRule type="cellIs" dxfId="4025" priority="4249" operator="equal">
      <formula>"No"</formula>
    </cfRule>
    <cfRule type="cellIs" dxfId="4024" priority="4250" operator="equal">
      <formula>"NA"</formula>
    </cfRule>
    <cfRule type="cellIs" dxfId="4023" priority="4251" operator="equal">
      <formula>"Yes"</formula>
    </cfRule>
  </conditionalFormatting>
  <conditionalFormatting sqref="AU27">
    <cfRule type="cellIs" dxfId="4022" priority="4246" operator="equal">
      <formula>"No"</formula>
    </cfRule>
    <cfRule type="cellIs" dxfId="4021" priority="4247" operator="equal">
      <formula>"NA"</formula>
    </cfRule>
    <cfRule type="cellIs" dxfId="4020" priority="4248" operator="equal">
      <formula>"Yes"</formula>
    </cfRule>
  </conditionalFormatting>
  <conditionalFormatting sqref="AU28">
    <cfRule type="cellIs" dxfId="4019" priority="4243" operator="equal">
      <formula>"No"</formula>
    </cfRule>
    <cfRule type="cellIs" dxfId="4018" priority="4244" operator="equal">
      <formula>"NA"</formula>
    </cfRule>
    <cfRule type="cellIs" dxfId="4017" priority="4245" operator="equal">
      <formula>"Yes"</formula>
    </cfRule>
  </conditionalFormatting>
  <conditionalFormatting sqref="AU30">
    <cfRule type="cellIs" dxfId="4016" priority="4240" operator="equal">
      <formula>"No"</formula>
    </cfRule>
    <cfRule type="cellIs" dxfId="4015" priority="4241" operator="equal">
      <formula>"NA"</formula>
    </cfRule>
    <cfRule type="cellIs" dxfId="4014" priority="4242" operator="equal">
      <formula>"Yes"</formula>
    </cfRule>
  </conditionalFormatting>
  <conditionalFormatting sqref="AU31">
    <cfRule type="cellIs" dxfId="4013" priority="4237" operator="equal">
      <formula>"No"</formula>
    </cfRule>
    <cfRule type="cellIs" dxfId="4012" priority="4238" operator="equal">
      <formula>"NA"</formula>
    </cfRule>
    <cfRule type="cellIs" dxfId="4011" priority="4239" operator="equal">
      <formula>"Yes"</formula>
    </cfRule>
  </conditionalFormatting>
  <conditionalFormatting sqref="AU14">
    <cfRule type="cellIs" dxfId="4010" priority="4234" operator="equal">
      <formula>"No"</formula>
    </cfRule>
    <cfRule type="cellIs" dxfId="4009" priority="4235" operator="equal">
      <formula>"NA"</formula>
    </cfRule>
    <cfRule type="cellIs" dxfId="4008" priority="4236" operator="equal">
      <formula>"Yes"</formula>
    </cfRule>
  </conditionalFormatting>
  <conditionalFormatting sqref="AT17">
    <cfRule type="cellIs" dxfId="4007" priority="4231" operator="equal">
      <formula>"No"</formula>
    </cfRule>
    <cfRule type="cellIs" dxfId="4006" priority="4232" operator="equal">
      <formula>"NA"</formula>
    </cfRule>
    <cfRule type="cellIs" dxfId="4005" priority="4233" operator="equal">
      <formula>"Yes"</formula>
    </cfRule>
  </conditionalFormatting>
  <conditionalFormatting sqref="AT6">
    <cfRule type="cellIs" dxfId="4004" priority="4228" operator="equal">
      <formula>"No"</formula>
    </cfRule>
    <cfRule type="cellIs" dxfId="4003" priority="4229" operator="equal">
      <formula>"NA"</formula>
    </cfRule>
    <cfRule type="cellIs" dxfId="4002" priority="4230" operator="equal">
      <formula>"Yes"</formula>
    </cfRule>
  </conditionalFormatting>
  <conditionalFormatting sqref="AT7">
    <cfRule type="cellIs" dxfId="4001" priority="4225" operator="equal">
      <formula>"No"</formula>
    </cfRule>
    <cfRule type="cellIs" dxfId="4000" priority="4226" operator="equal">
      <formula>"NA"</formula>
    </cfRule>
    <cfRule type="cellIs" dxfId="3999" priority="4227" operator="equal">
      <formula>"Yes"</formula>
    </cfRule>
  </conditionalFormatting>
  <conditionalFormatting sqref="AT9">
    <cfRule type="cellIs" dxfId="3998" priority="4222" operator="equal">
      <formula>"No"</formula>
    </cfRule>
    <cfRule type="cellIs" dxfId="3997" priority="4223" operator="equal">
      <formula>"NA"</formula>
    </cfRule>
    <cfRule type="cellIs" dxfId="3996" priority="4224" operator="equal">
      <formula>"Yes"</formula>
    </cfRule>
  </conditionalFormatting>
  <conditionalFormatting sqref="AT10">
    <cfRule type="cellIs" dxfId="3995" priority="4219" operator="equal">
      <formula>"No"</formula>
    </cfRule>
    <cfRule type="cellIs" dxfId="3994" priority="4220" operator="equal">
      <formula>"NA"</formula>
    </cfRule>
    <cfRule type="cellIs" dxfId="3993" priority="4221" operator="equal">
      <formula>"Yes"</formula>
    </cfRule>
  </conditionalFormatting>
  <conditionalFormatting sqref="AT11">
    <cfRule type="cellIs" dxfId="3992" priority="4216" operator="equal">
      <formula>"No"</formula>
    </cfRule>
    <cfRule type="cellIs" dxfId="3991" priority="4217" operator="equal">
      <formula>"NA"</formula>
    </cfRule>
    <cfRule type="cellIs" dxfId="3990" priority="4218" operator="equal">
      <formula>"Yes"</formula>
    </cfRule>
  </conditionalFormatting>
  <conditionalFormatting sqref="AT12">
    <cfRule type="cellIs" dxfId="3989" priority="4213" operator="equal">
      <formula>"No"</formula>
    </cfRule>
    <cfRule type="cellIs" dxfId="3988" priority="4214" operator="equal">
      <formula>"NA"</formula>
    </cfRule>
    <cfRule type="cellIs" dxfId="3987" priority="4215" operator="equal">
      <formula>"Yes"</formula>
    </cfRule>
  </conditionalFormatting>
  <conditionalFormatting sqref="AT13">
    <cfRule type="cellIs" dxfId="3986" priority="4210" operator="equal">
      <formula>"No"</formula>
    </cfRule>
    <cfRule type="cellIs" dxfId="3985" priority="4211" operator="equal">
      <formula>"NA"</formula>
    </cfRule>
    <cfRule type="cellIs" dxfId="3984" priority="4212" operator="equal">
      <formula>"Yes"</formula>
    </cfRule>
  </conditionalFormatting>
  <conditionalFormatting sqref="AT15">
    <cfRule type="cellIs" dxfId="3983" priority="4207" operator="equal">
      <formula>"No"</formula>
    </cfRule>
    <cfRule type="cellIs" dxfId="3982" priority="4208" operator="equal">
      <formula>"NA"</formula>
    </cfRule>
    <cfRule type="cellIs" dxfId="3981" priority="4209" operator="equal">
      <formula>"Yes"</formula>
    </cfRule>
  </conditionalFormatting>
  <conditionalFormatting sqref="AT16">
    <cfRule type="cellIs" dxfId="3980" priority="4204" operator="equal">
      <formula>"No"</formula>
    </cfRule>
    <cfRule type="cellIs" dxfId="3979" priority="4205" operator="equal">
      <formula>"NA"</formula>
    </cfRule>
    <cfRule type="cellIs" dxfId="3978" priority="4206" operator="equal">
      <formula>"Yes"</formula>
    </cfRule>
  </conditionalFormatting>
  <conditionalFormatting sqref="AT18">
    <cfRule type="cellIs" dxfId="3977" priority="4201" operator="equal">
      <formula>"No"</formula>
    </cfRule>
    <cfRule type="cellIs" dxfId="3976" priority="4202" operator="equal">
      <formula>"NA"</formula>
    </cfRule>
    <cfRule type="cellIs" dxfId="3975" priority="4203" operator="equal">
      <formula>"Yes"</formula>
    </cfRule>
  </conditionalFormatting>
  <conditionalFormatting sqref="AT19">
    <cfRule type="cellIs" dxfId="3974" priority="4198" operator="equal">
      <formula>"No"</formula>
    </cfRule>
    <cfRule type="cellIs" dxfId="3973" priority="4199" operator="equal">
      <formula>"NA"</formula>
    </cfRule>
    <cfRule type="cellIs" dxfId="3972" priority="4200" operator="equal">
      <formula>"Yes"</formula>
    </cfRule>
  </conditionalFormatting>
  <conditionalFormatting sqref="AT20">
    <cfRule type="cellIs" dxfId="3971" priority="4195" operator="equal">
      <formula>"No"</formula>
    </cfRule>
    <cfRule type="cellIs" dxfId="3970" priority="4196" operator="equal">
      <formula>"NA"</formula>
    </cfRule>
    <cfRule type="cellIs" dxfId="3969" priority="4197" operator="equal">
      <formula>"Yes"</formula>
    </cfRule>
  </conditionalFormatting>
  <conditionalFormatting sqref="AT21">
    <cfRule type="cellIs" dxfId="3968" priority="4192" operator="equal">
      <formula>"No"</formula>
    </cfRule>
    <cfRule type="cellIs" dxfId="3967" priority="4193" operator="equal">
      <formula>"NA"</formula>
    </cfRule>
    <cfRule type="cellIs" dxfId="3966" priority="4194" operator="equal">
      <formula>"Yes"</formula>
    </cfRule>
  </conditionalFormatting>
  <conditionalFormatting sqref="AT22">
    <cfRule type="cellIs" dxfId="3965" priority="4189" operator="equal">
      <formula>"No"</formula>
    </cfRule>
    <cfRule type="cellIs" dxfId="3964" priority="4190" operator="equal">
      <formula>"NA"</formula>
    </cfRule>
    <cfRule type="cellIs" dxfId="3963" priority="4191" operator="equal">
      <formula>"Yes"</formula>
    </cfRule>
  </conditionalFormatting>
  <conditionalFormatting sqref="AT23">
    <cfRule type="cellIs" dxfId="3962" priority="4186" operator="equal">
      <formula>"No"</formula>
    </cfRule>
    <cfRule type="cellIs" dxfId="3961" priority="4187" operator="equal">
      <formula>"NA"</formula>
    </cfRule>
    <cfRule type="cellIs" dxfId="3960" priority="4188" operator="equal">
      <formula>"Yes"</formula>
    </cfRule>
  </conditionalFormatting>
  <conditionalFormatting sqref="AT26">
    <cfRule type="cellIs" dxfId="3959" priority="4183" operator="equal">
      <formula>"No"</formula>
    </cfRule>
    <cfRule type="cellIs" dxfId="3958" priority="4184" operator="equal">
      <formula>"NA"</formula>
    </cfRule>
    <cfRule type="cellIs" dxfId="3957" priority="4185" operator="equal">
      <formula>"Yes"</formula>
    </cfRule>
  </conditionalFormatting>
  <conditionalFormatting sqref="AT33">
    <cfRule type="cellIs" dxfId="3956" priority="4180" operator="equal">
      <formula>"No"</formula>
    </cfRule>
    <cfRule type="cellIs" dxfId="3955" priority="4181" operator="equal">
      <formula>"NA"</formula>
    </cfRule>
    <cfRule type="cellIs" dxfId="3954" priority="4182" operator="equal">
      <formula>"Yes"</formula>
    </cfRule>
  </conditionalFormatting>
  <conditionalFormatting sqref="AT25">
    <cfRule type="cellIs" dxfId="3953" priority="4177" operator="equal">
      <formula>"No"</formula>
    </cfRule>
    <cfRule type="cellIs" dxfId="3952" priority="4178" operator="equal">
      <formula>"NA"</formula>
    </cfRule>
    <cfRule type="cellIs" dxfId="3951" priority="4179" operator="equal">
      <formula>"Yes"</formula>
    </cfRule>
  </conditionalFormatting>
  <conditionalFormatting sqref="AT27">
    <cfRule type="cellIs" dxfId="3950" priority="4174" operator="equal">
      <formula>"No"</formula>
    </cfRule>
    <cfRule type="cellIs" dxfId="3949" priority="4175" operator="equal">
      <formula>"NA"</formula>
    </cfRule>
    <cfRule type="cellIs" dxfId="3948" priority="4176" operator="equal">
      <formula>"Yes"</formula>
    </cfRule>
  </conditionalFormatting>
  <conditionalFormatting sqref="AT28">
    <cfRule type="cellIs" dxfId="3947" priority="4171" operator="equal">
      <formula>"No"</formula>
    </cfRule>
    <cfRule type="cellIs" dxfId="3946" priority="4172" operator="equal">
      <formula>"NA"</formula>
    </cfRule>
    <cfRule type="cellIs" dxfId="3945" priority="4173" operator="equal">
      <formula>"Yes"</formula>
    </cfRule>
  </conditionalFormatting>
  <conditionalFormatting sqref="AT30">
    <cfRule type="cellIs" dxfId="3944" priority="4168" operator="equal">
      <formula>"No"</formula>
    </cfRule>
    <cfRule type="cellIs" dxfId="3943" priority="4169" operator="equal">
      <formula>"NA"</formula>
    </cfRule>
    <cfRule type="cellIs" dxfId="3942" priority="4170" operator="equal">
      <formula>"Yes"</formula>
    </cfRule>
  </conditionalFormatting>
  <conditionalFormatting sqref="AT31">
    <cfRule type="cellIs" dxfId="3941" priority="4165" operator="equal">
      <formula>"No"</formula>
    </cfRule>
    <cfRule type="cellIs" dxfId="3940" priority="4166" operator="equal">
      <formula>"NA"</formula>
    </cfRule>
    <cfRule type="cellIs" dxfId="3939" priority="4167" operator="equal">
      <formula>"Yes"</formula>
    </cfRule>
  </conditionalFormatting>
  <conditionalFormatting sqref="AT14">
    <cfRule type="cellIs" dxfId="3938" priority="4162" operator="equal">
      <formula>"No"</formula>
    </cfRule>
    <cfRule type="cellIs" dxfId="3937" priority="4163" operator="equal">
      <formula>"NA"</formula>
    </cfRule>
    <cfRule type="cellIs" dxfId="3936" priority="4164" operator="equal">
      <formula>"Yes"</formula>
    </cfRule>
  </conditionalFormatting>
  <conditionalFormatting sqref="AW6">
    <cfRule type="cellIs" dxfId="3935" priority="4159" operator="equal">
      <formula>"No"</formula>
    </cfRule>
    <cfRule type="cellIs" dxfId="3934" priority="4160" operator="equal">
      <formula>"NA"</formula>
    </cfRule>
    <cfRule type="cellIs" dxfId="3933" priority="4161" operator="equal">
      <formula>"Yes"</formula>
    </cfRule>
  </conditionalFormatting>
  <conditionalFormatting sqref="AW17">
    <cfRule type="cellIs" dxfId="3932" priority="4156" operator="equal">
      <formula>"No"</formula>
    </cfRule>
    <cfRule type="cellIs" dxfId="3931" priority="4157" operator="equal">
      <formula>"NA"</formula>
    </cfRule>
    <cfRule type="cellIs" dxfId="3930" priority="4158" operator="equal">
      <formula>"Yes"</formula>
    </cfRule>
  </conditionalFormatting>
  <conditionalFormatting sqref="AW25">
    <cfRule type="cellIs" dxfId="3929" priority="4153" operator="equal">
      <formula>"No"</formula>
    </cfRule>
    <cfRule type="cellIs" dxfId="3928" priority="4154" operator="equal">
      <formula>"NA"</formula>
    </cfRule>
    <cfRule type="cellIs" dxfId="3927" priority="4155" operator="equal">
      <formula>"Yes"</formula>
    </cfRule>
  </conditionalFormatting>
  <conditionalFormatting sqref="BA13">
    <cfRule type="cellIs" dxfId="3926" priority="4150" operator="equal">
      <formula>"No"</formula>
    </cfRule>
    <cfRule type="cellIs" dxfId="3925" priority="4151" operator="equal">
      <formula>"NA"</formula>
    </cfRule>
    <cfRule type="cellIs" dxfId="3924" priority="4152" operator="equal">
      <formula>"Yes"</formula>
    </cfRule>
  </conditionalFormatting>
  <conditionalFormatting sqref="BA33">
    <cfRule type="cellIs" dxfId="3923" priority="4144" operator="equal">
      <formula>"No"</formula>
    </cfRule>
    <cfRule type="cellIs" dxfId="3922" priority="4145" operator="equal">
      <formula>"NA"</formula>
    </cfRule>
    <cfRule type="cellIs" dxfId="3921" priority="4146" operator="equal">
      <formula>"Yes"</formula>
    </cfRule>
  </conditionalFormatting>
  <conditionalFormatting sqref="BA10">
    <cfRule type="cellIs" dxfId="3920" priority="4141" operator="equal">
      <formula>"No"</formula>
    </cfRule>
    <cfRule type="cellIs" dxfId="3919" priority="4142" operator="equal">
      <formula>"NA"</formula>
    </cfRule>
    <cfRule type="cellIs" dxfId="3918" priority="4143" operator="equal">
      <formula>"Yes"</formula>
    </cfRule>
  </conditionalFormatting>
  <conditionalFormatting sqref="BA7">
    <cfRule type="cellIs" dxfId="3917" priority="4135" operator="equal">
      <formula>"No"</formula>
    </cfRule>
    <cfRule type="cellIs" dxfId="3916" priority="4136" operator="equal">
      <formula>"NA"</formula>
    </cfRule>
    <cfRule type="cellIs" dxfId="3915" priority="4137" operator="equal">
      <formula>"Yes"</formula>
    </cfRule>
  </conditionalFormatting>
  <conditionalFormatting sqref="BA9">
    <cfRule type="cellIs" dxfId="3914" priority="4132" operator="equal">
      <formula>"No"</formula>
    </cfRule>
    <cfRule type="cellIs" dxfId="3913" priority="4133" operator="equal">
      <formula>"NA"</formula>
    </cfRule>
    <cfRule type="cellIs" dxfId="3912" priority="4134" operator="equal">
      <formula>"Yes"</formula>
    </cfRule>
  </conditionalFormatting>
  <conditionalFormatting sqref="BA11">
    <cfRule type="cellIs" dxfId="3911" priority="4129" operator="equal">
      <formula>"No"</formula>
    </cfRule>
    <cfRule type="cellIs" dxfId="3910" priority="4130" operator="equal">
      <formula>"NA"</formula>
    </cfRule>
    <cfRule type="cellIs" dxfId="3909" priority="4131" operator="equal">
      <formula>"Yes"</formula>
    </cfRule>
  </conditionalFormatting>
  <conditionalFormatting sqref="BA12">
    <cfRule type="cellIs" dxfId="3908" priority="4126" operator="equal">
      <formula>"No"</formula>
    </cfRule>
    <cfRule type="cellIs" dxfId="3907" priority="4127" operator="equal">
      <formula>"NA"</formula>
    </cfRule>
    <cfRule type="cellIs" dxfId="3906" priority="4128" operator="equal">
      <formula>"Yes"</formula>
    </cfRule>
  </conditionalFormatting>
  <conditionalFormatting sqref="BA14">
    <cfRule type="cellIs" dxfId="3905" priority="4123" operator="equal">
      <formula>"No"</formula>
    </cfRule>
    <cfRule type="cellIs" dxfId="3904" priority="4124" operator="equal">
      <formula>"NA"</formula>
    </cfRule>
    <cfRule type="cellIs" dxfId="3903" priority="4125" operator="equal">
      <formula>"Yes"</formula>
    </cfRule>
  </conditionalFormatting>
  <conditionalFormatting sqref="BA15">
    <cfRule type="cellIs" dxfId="3902" priority="4120" operator="equal">
      <formula>"No"</formula>
    </cfRule>
    <cfRule type="cellIs" dxfId="3901" priority="4121" operator="equal">
      <formula>"NA"</formula>
    </cfRule>
    <cfRule type="cellIs" dxfId="3900" priority="4122" operator="equal">
      <formula>"Yes"</formula>
    </cfRule>
  </conditionalFormatting>
  <conditionalFormatting sqref="BA16">
    <cfRule type="cellIs" dxfId="3899" priority="4117" operator="equal">
      <formula>"No"</formula>
    </cfRule>
    <cfRule type="cellIs" dxfId="3898" priority="4118" operator="equal">
      <formula>"NA"</formula>
    </cfRule>
    <cfRule type="cellIs" dxfId="3897" priority="4119" operator="equal">
      <formula>"Yes"</formula>
    </cfRule>
  </conditionalFormatting>
  <conditionalFormatting sqref="BA18">
    <cfRule type="cellIs" dxfId="3896" priority="4114" operator="equal">
      <formula>"No"</formula>
    </cfRule>
    <cfRule type="cellIs" dxfId="3895" priority="4115" operator="equal">
      <formula>"NA"</formula>
    </cfRule>
    <cfRule type="cellIs" dxfId="3894" priority="4116" operator="equal">
      <formula>"Yes"</formula>
    </cfRule>
  </conditionalFormatting>
  <conditionalFormatting sqref="BA19">
    <cfRule type="cellIs" dxfId="3893" priority="4111" operator="equal">
      <formula>"No"</formula>
    </cfRule>
    <cfRule type="cellIs" dxfId="3892" priority="4112" operator="equal">
      <formula>"NA"</formula>
    </cfRule>
    <cfRule type="cellIs" dxfId="3891" priority="4113" operator="equal">
      <formula>"Yes"</formula>
    </cfRule>
  </conditionalFormatting>
  <conditionalFormatting sqref="BA20">
    <cfRule type="cellIs" dxfId="3890" priority="4108" operator="equal">
      <formula>"No"</formula>
    </cfRule>
    <cfRule type="cellIs" dxfId="3889" priority="4109" operator="equal">
      <formula>"NA"</formula>
    </cfRule>
    <cfRule type="cellIs" dxfId="3888" priority="4110" operator="equal">
      <formula>"Yes"</formula>
    </cfRule>
  </conditionalFormatting>
  <conditionalFormatting sqref="BA21">
    <cfRule type="cellIs" dxfId="3887" priority="4105" operator="equal">
      <formula>"No"</formula>
    </cfRule>
    <cfRule type="cellIs" dxfId="3886" priority="4106" operator="equal">
      <formula>"NA"</formula>
    </cfRule>
    <cfRule type="cellIs" dxfId="3885" priority="4107" operator="equal">
      <formula>"Yes"</formula>
    </cfRule>
  </conditionalFormatting>
  <conditionalFormatting sqref="BA22">
    <cfRule type="cellIs" dxfId="3884" priority="4102" operator="equal">
      <formula>"No"</formula>
    </cfRule>
    <cfRule type="cellIs" dxfId="3883" priority="4103" operator="equal">
      <formula>"NA"</formula>
    </cfRule>
    <cfRule type="cellIs" dxfId="3882" priority="4104" operator="equal">
      <formula>"Yes"</formula>
    </cfRule>
  </conditionalFormatting>
  <conditionalFormatting sqref="BA23">
    <cfRule type="cellIs" dxfId="3881" priority="4099" operator="equal">
      <formula>"No"</formula>
    </cfRule>
    <cfRule type="cellIs" dxfId="3880" priority="4100" operator="equal">
      <formula>"NA"</formula>
    </cfRule>
    <cfRule type="cellIs" dxfId="3879" priority="4101" operator="equal">
      <formula>"Yes"</formula>
    </cfRule>
  </conditionalFormatting>
  <conditionalFormatting sqref="BA25">
    <cfRule type="cellIs" dxfId="3878" priority="4096" operator="equal">
      <formula>"No"</formula>
    </cfRule>
    <cfRule type="cellIs" dxfId="3877" priority="4097" operator="equal">
      <formula>"NA"</formula>
    </cfRule>
    <cfRule type="cellIs" dxfId="3876" priority="4098" operator="equal">
      <formula>"Yes"</formula>
    </cfRule>
  </conditionalFormatting>
  <conditionalFormatting sqref="BA26">
    <cfRule type="cellIs" dxfId="3875" priority="4093" operator="equal">
      <formula>"No"</formula>
    </cfRule>
    <cfRule type="cellIs" dxfId="3874" priority="4094" operator="equal">
      <formula>"NA"</formula>
    </cfRule>
    <cfRule type="cellIs" dxfId="3873" priority="4095" operator="equal">
      <formula>"Yes"</formula>
    </cfRule>
  </conditionalFormatting>
  <conditionalFormatting sqref="BA27">
    <cfRule type="cellIs" dxfId="3872" priority="4090" operator="equal">
      <formula>"No"</formula>
    </cfRule>
    <cfRule type="cellIs" dxfId="3871" priority="4091" operator="equal">
      <formula>"NA"</formula>
    </cfRule>
    <cfRule type="cellIs" dxfId="3870" priority="4092" operator="equal">
      <formula>"Yes"</formula>
    </cfRule>
  </conditionalFormatting>
  <conditionalFormatting sqref="BA28">
    <cfRule type="cellIs" dxfId="3869" priority="4087" operator="equal">
      <formula>"No"</formula>
    </cfRule>
    <cfRule type="cellIs" dxfId="3868" priority="4088" operator="equal">
      <formula>"NA"</formula>
    </cfRule>
    <cfRule type="cellIs" dxfId="3867" priority="4089" operator="equal">
      <formula>"Yes"</formula>
    </cfRule>
  </conditionalFormatting>
  <conditionalFormatting sqref="BA30">
    <cfRule type="cellIs" dxfId="3866" priority="4084" operator="equal">
      <formula>"No"</formula>
    </cfRule>
    <cfRule type="cellIs" dxfId="3865" priority="4085" operator="equal">
      <formula>"NA"</formula>
    </cfRule>
    <cfRule type="cellIs" dxfId="3864" priority="4086" operator="equal">
      <formula>"Yes"</formula>
    </cfRule>
  </conditionalFormatting>
  <conditionalFormatting sqref="BA31">
    <cfRule type="cellIs" dxfId="3863" priority="4081" operator="equal">
      <formula>"No"</formula>
    </cfRule>
    <cfRule type="cellIs" dxfId="3862" priority="4082" operator="equal">
      <formula>"NA"</formula>
    </cfRule>
    <cfRule type="cellIs" dxfId="3861" priority="4083" operator="equal">
      <formula>"Yes"</formula>
    </cfRule>
  </conditionalFormatting>
  <conditionalFormatting sqref="AZ17">
    <cfRule type="cellIs" dxfId="3860" priority="4075" operator="equal">
      <formula>"No"</formula>
    </cfRule>
    <cfRule type="cellIs" dxfId="3859" priority="4076" operator="equal">
      <formula>"NA"</formula>
    </cfRule>
    <cfRule type="cellIs" dxfId="3858" priority="4077" operator="equal">
      <formula>"Yes"</formula>
    </cfRule>
  </conditionalFormatting>
  <conditionalFormatting sqref="AZ33">
    <cfRule type="cellIs" dxfId="3857" priority="4072" operator="equal">
      <formula>"No"</formula>
    </cfRule>
    <cfRule type="cellIs" dxfId="3856" priority="4073" operator="equal">
      <formula>"NA"</formula>
    </cfRule>
    <cfRule type="cellIs" dxfId="3855" priority="4074" operator="equal">
      <formula>"Yes"</formula>
    </cfRule>
  </conditionalFormatting>
  <conditionalFormatting sqref="AZ10">
    <cfRule type="cellIs" dxfId="3854" priority="4069" operator="equal">
      <formula>"No"</formula>
    </cfRule>
    <cfRule type="cellIs" dxfId="3853" priority="4070" operator="equal">
      <formula>"NA"</formula>
    </cfRule>
    <cfRule type="cellIs" dxfId="3852" priority="4071" operator="equal">
      <formula>"Yes"</formula>
    </cfRule>
  </conditionalFormatting>
  <conditionalFormatting sqref="AZ6">
    <cfRule type="cellIs" dxfId="3851" priority="4066" operator="equal">
      <formula>"No"</formula>
    </cfRule>
    <cfRule type="cellIs" dxfId="3850" priority="4067" operator="equal">
      <formula>"NA"</formula>
    </cfRule>
    <cfRule type="cellIs" dxfId="3849" priority="4068" operator="equal">
      <formula>"Yes"</formula>
    </cfRule>
  </conditionalFormatting>
  <conditionalFormatting sqref="AZ7">
    <cfRule type="cellIs" dxfId="3848" priority="4063" operator="equal">
      <formula>"No"</formula>
    </cfRule>
    <cfRule type="cellIs" dxfId="3847" priority="4064" operator="equal">
      <formula>"NA"</formula>
    </cfRule>
    <cfRule type="cellIs" dxfId="3846" priority="4065" operator="equal">
      <formula>"Yes"</formula>
    </cfRule>
  </conditionalFormatting>
  <conditionalFormatting sqref="AZ9">
    <cfRule type="cellIs" dxfId="3845" priority="4060" operator="equal">
      <formula>"No"</formula>
    </cfRule>
    <cfRule type="cellIs" dxfId="3844" priority="4061" operator="equal">
      <formula>"NA"</formula>
    </cfRule>
    <cfRule type="cellIs" dxfId="3843" priority="4062" operator="equal">
      <formula>"Yes"</formula>
    </cfRule>
  </conditionalFormatting>
  <conditionalFormatting sqref="AZ11">
    <cfRule type="cellIs" dxfId="3842" priority="4057" operator="equal">
      <formula>"No"</formula>
    </cfRule>
    <cfRule type="cellIs" dxfId="3841" priority="4058" operator="equal">
      <formula>"NA"</formula>
    </cfRule>
    <cfRule type="cellIs" dxfId="3840" priority="4059" operator="equal">
      <formula>"Yes"</formula>
    </cfRule>
  </conditionalFormatting>
  <conditionalFormatting sqref="AZ12">
    <cfRule type="cellIs" dxfId="3839" priority="4054" operator="equal">
      <formula>"No"</formula>
    </cfRule>
    <cfRule type="cellIs" dxfId="3838" priority="4055" operator="equal">
      <formula>"NA"</formula>
    </cfRule>
    <cfRule type="cellIs" dxfId="3837" priority="4056" operator="equal">
      <formula>"Yes"</formula>
    </cfRule>
  </conditionalFormatting>
  <conditionalFormatting sqref="AZ14">
    <cfRule type="cellIs" dxfId="3836" priority="4051" operator="equal">
      <formula>"No"</formula>
    </cfRule>
    <cfRule type="cellIs" dxfId="3835" priority="4052" operator="equal">
      <formula>"NA"</formula>
    </cfRule>
    <cfRule type="cellIs" dxfId="3834" priority="4053" operator="equal">
      <formula>"Yes"</formula>
    </cfRule>
  </conditionalFormatting>
  <conditionalFormatting sqref="AZ15">
    <cfRule type="cellIs" dxfId="3833" priority="4048" operator="equal">
      <formula>"No"</formula>
    </cfRule>
    <cfRule type="cellIs" dxfId="3832" priority="4049" operator="equal">
      <formula>"NA"</formula>
    </cfRule>
    <cfRule type="cellIs" dxfId="3831" priority="4050" operator="equal">
      <formula>"Yes"</formula>
    </cfRule>
  </conditionalFormatting>
  <conditionalFormatting sqref="AZ16">
    <cfRule type="cellIs" dxfId="3830" priority="4045" operator="equal">
      <formula>"No"</formula>
    </cfRule>
    <cfRule type="cellIs" dxfId="3829" priority="4046" operator="equal">
      <formula>"NA"</formula>
    </cfRule>
    <cfRule type="cellIs" dxfId="3828" priority="4047" operator="equal">
      <formula>"Yes"</formula>
    </cfRule>
  </conditionalFormatting>
  <conditionalFormatting sqref="AZ18">
    <cfRule type="cellIs" dxfId="3827" priority="4042" operator="equal">
      <formula>"No"</formula>
    </cfRule>
    <cfRule type="cellIs" dxfId="3826" priority="4043" operator="equal">
      <formula>"NA"</formula>
    </cfRule>
    <cfRule type="cellIs" dxfId="3825" priority="4044" operator="equal">
      <formula>"Yes"</formula>
    </cfRule>
  </conditionalFormatting>
  <conditionalFormatting sqref="AZ19">
    <cfRule type="cellIs" dxfId="3824" priority="4039" operator="equal">
      <formula>"No"</formula>
    </cfRule>
    <cfRule type="cellIs" dxfId="3823" priority="4040" operator="equal">
      <formula>"NA"</formula>
    </cfRule>
    <cfRule type="cellIs" dxfId="3822" priority="4041" operator="equal">
      <formula>"Yes"</formula>
    </cfRule>
  </conditionalFormatting>
  <conditionalFormatting sqref="AZ20">
    <cfRule type="cellIs" dxfId="3821" priority="4036" operator="equal">
      <formula>"No"</formula>
    </cfRule>
    <cfRule type="cellIs" dxfId="3820" priority="4037" operator="equal">
      <formula>"NA"</formula>
    </cfRule>
    <cfRule type="cellIs" dxfId="3819" priority="4038" operator="equal">
      <formula>"Yes"</formula>
    </cfRule>
  </conditionalFormatting>
  <conditionalFormatting sqref="AZ21">
    <cfRule type="cellIs" dxfId="3818" priority="4033" operator="equal">
      <formula>"No"</formula>
    </cfRule>
    <cfRule type="cellIs" dxfId="3817" priority="4034" operator="equal">
      <formula>"NA"</formula>
    </cfRule>
    <cfRule type="cellIs" dxfId="3816" priority="4035" operator="equal">
      <formula>"Yes"</formula>
    </cfRule>
  </conditionalFormatting>
  <conditionalFormatting sqref="AZ22">
    <cfRule type="cellIs" dxfId="3815" priority="4030" operator="equal">
      <formula>"No"</formula>
    </cfRule>
    <cfRule type="cellIs" dxfId="3814" priority="4031" operator="equal">
      <formula>"NA"</formula>
    </cfRule>
    <cfRule type="cellIs" dxfId="3813" priority="4032" operator="equal">
      <formula>"Yes"</formula>
    </cfRule>
  </conditionalFormatting>
  <conditionalFormatting sqref="AZ23">
    <cfRule type="cellIs" dxfId="3812" priority="4027" operator="equal">
      <formula>"No"</formula>
    </cfRule>
    <cfRule type="cellIs" dxfId="3811" priority="4028" operator="equal">
      <formula>"NA"</formula>
    </cfRule>
    <cfRule type="cellIs" dxfId="3810" priority="4029" operator="equal">
      <formula>"Yes"</formula>
    </cfRule>
  </conditionalFormatting>
  <conditionalFormatting sqref="AZ25">
    <cfRule type="cellIs" dxfId="3809" priority="4024" operator="equal">
      <formula>"No"</formula>
    </cfRule>
    <cfRule type="cellIs" dxfId="3808" priority="4025" operator="equal">
      <formula>"NA"</formula>
    </cfRule>
    <cfRule type="cellIs" dxfId="3807" priority="4026" operator="equal">
      <formula>"Yes"</formula>
    </cfRule>
  </conditionalFormatting>
  <conditionalFormatting sqref="AZ26">
    <cfRule type="cellIs" dxfId="3806" priority="4021" operator="equal">
      <formula>"No"</formula>
    </cfRule>
    <cfRule type="cellIs" dxfId="3805" priority="4022" operator="equal">
      <formula>"NA"</formula>
    </cfRule>
    <cfRule type="cellIs" dxfId="3804" priority="4023" operator="equal">
      <formula>"Yes"</formula>
    </cfRule>
  </conditionalFormatting>
  <conditionalFormatting sqref="AZ27">
    <cfRule type="cellIs" dxfId="3803" priority="4018" operator="equal">
      <formula>"No"</formula>
    </cfRule>
    <cfRule type="cellIs" dxfId="3802" priority="4019" operator="equal">
      <formula>"NA"</formula>
    </cfRule>
    <cfRule type="cellIs" dxfId="3801" priority="4020" operator="equal">
      <formula>"Yes"</formula>
    </cfRule>
  </conditionalFormatting>
  <conditionalFormatting sqref="AZ28">
    <cfRule type="cellIs" dxfId="3800" priority="4015" operator="equal">
      <formula>"No"</formula>
    </cfRule>
    <cfRule type="cellIs" dxfId="3799" priority="4016" operator="equal">
      <formula>"NA"</formula>
    </cfRule>
    <cfRule type="cellIs" dxfId="3798" priority="4017" operator="equal">
      <formula>"Yes"</formula>
    </cfRule>
  </conditionalFormatting>
  <conditionalFormatting sqref="AZ30">
    <cfRule type="cellIs" dxfId="3797" priority="4012" operator="equal">
      <formula>"No"</formula>
    </cfRule>
    <cfRule type="cellIs" dxfId="3796" priority="4013" operator="equal">
      <formula>"NA"</formula>
    </cfRule>
    <cfRule type="cellIs" dxfId="3795" priority="4014" operator="equal">
      <formula>"Yes"</formula>
    </cfRule>
  </conditionalFormatting>
  <conditionalFormatting sqref="AZ31">
    <cfRule type="cellIs" dxfId="3794" priority="4009" operator="equal">
      <formula>"No"</formula>
    </cfRule>
    <cfRule type="cellIs" dxfId="3793" priority="4010" operator="equal">
      <formula>"NA"</formula>
    </cfRule>
    <cfRule type="cellIs" dxfId="3792" priority="4011" operator="equal">
      <formula>"Yes"</formula>
    </cfRule>
  </conditionalFormatting>
  <conditionalFormatting sqref="AY17">
    <cfRule type="cellIs" dxfId="3791" priority="4003" operator="equal">
      <formula>"No"</formula>
    </cfRule>
    <cfRule type="cellIs" dxfId="3790" priority="4004" operator="equal">
      <formula>"NA"</formula>
    </cfRule>
    <cfRule type="cellIs" dxfId="3789" priority="4005" operator="equal">
      <formula>"Yes"</formula>
    </cfRule>
  </conditionalFormatting>
  <conditionalFormatting sqref="AY33">
    <cfRule type="cellIs" dxfId="3788" priority="4000" operator="equal">
      <formula>"No"</formula>
    </cfRule>
    <cfRule type="cellIs" dxfId="3787" priority="4001" operator="equal">
      <formula>"NA"</formula>
    </cfRule>
    <cfRule type="cellIs" dxfId="3786" priority="4002" operator="equal">
      <formula>"Yes"</formula>
    </cfRule>
  </conditionalFormatting>
  <conditionalFormatting sqref="AY10">
    <cfRule type="cellIs" dxfId="3785" priority="3997" operator="equal">
      <formula>"No"</formula>
    </cfRule>
    <cfRule type="cellIs" dxfId="3784" priority="3998" operator="equal">
      <formula>"NA"</formula>
    </cfRule>
    <cfRule type="cellIs" dxfId="3783" priority="3999" operator="equal">
      <formula>"Yes"</formula>
    </cfRule>
  </conditionalFormatting>
  <conditionalFormatting sqref="AY6">
    <cfRule type="cellIs" dxfId="3782" priority="3994" operator="equal">
      <formula>"No"</formula>
    </cfRule>
    <cfRule type="cellIs" dxfId="3781" priority="3995" operator="equal">
      <formula>"NA"</formula>
    </cfRule>
    <cfRule type="cellIs" dxfId="3780" priority="3996" operator="equal">
      <formula>"Yes"</formula>
    </cfRule>
  </conditionalFormatting>
  <conditionalFormatting sqref="AY7">
    <cfRule type="cellIs" dxfId="3779" priority="3991" operator="equal">
      <formula>"No"</formula>
    </cfRule>
    <cfRule type="cellIs" dxfId="3778" priority="3992" operator="equal">
      <formula>"NA"</formula>
    </cfRule>
    <cfRule type="cellIs" dxfId="3777" priority="3993" operator="equal">
      <formula>"Yes"</formula>
    </cfRule>
  </conditionalFormatting>
  <conditionalFormatting sqref="AY9">
    <cfRule type="cellIs" dxfId="3776" priority="3988" operator="equal">
      <formula>"No"</formula>
    </cfRule>
    <cfRule type="cellIs" dxfId="3775" priority="3989" operator="equal">
      <formula>"NA"</formula>
    </cfRule>
    <cfRule type="cellIs" dxfId="3774" priority="3990" operator="equal">
      <formula>"Yes"</formula>
    </cfRule>
  </conditionalFormatting>
  <conditionalFormatting sqref="AY11">
    <cfRule type="cellIs" dxfId="3773" priority="3985" operator="equal">
      <formula>"No"</formula>
    </cfRule>
    <cfRule type="cellIs" dxfId="3772" priority="3986" operator="equal">
      <formula>"NA"</formula>
    </cfRule>
    <cfRule type="cellIs" dxfId="3771" priority="3987" operator="equal">
      <formula>"Yes"</formula>
    </cfRule>
  </conditionalFormatting>
  <conditionalFormatting sqref="AY12">
    <cfRule type="cellIs" dxfId="3770" priority="3982" operator="equal">
      <formula>"No"</formula>
    </cfRule>
    <cfRule type="cellIs" dxfId="3769" priority="3983" operator="equal">
      <formula>"NA"</formula>
    </cfRule>
    <cfRule type="cellIs" dxfId="3768" priority="3984" operator="equal">
      <formula>"Yes"</formula>
    </cfRule>
  </conditionalFormatting>
  <conditionalFormatting sqref="AY14">
    <cfRule type="cellIs" dxfId="3767" priority="3979" operator="equal">
      <formula>"No"</formula>
    </cfRule>
    <cfRule type="cellIs" dxfId="3766" priority="3980" operator="equal">
      <formula>"NA"</formula>
    </cfRule>
    <cfRule type="cellIs" dxfId="3765" priority="3981" operator="equal">
      <formula>"Yes"</formula>
    </cfRule>
  </conditionalFormatting>
  <conditionalFormatting sqref="AY15">
    <cfRule type="cellIs" dxfId="3764" priority="3976" operator="equal">
      <formula>"No"</formula>
    </cfRule>
    <cfRule type="cellIs" dxfId="3763" priority="3977" operator="equal">
      <formula>"NA"</formula>
    </cfRule>
    <cfRule type="cellIs" dxfId="3762" priority="3978" operator="equal">
      <formula>"Yes"</formula>
    </cfRule>
  </conditionalFormatting>
  <conditionalFormatting sqref="AY16">
    <cfRule type="cellIs" dxfId="3761" priority="3973" operator="equal">
      <formula>"No"</formula>
    </cfRule>
    <cfRule type="cellIs" dxfId="3760" priority="3974" operator="equal">
      <formula>"NA"</formula>
    </cfRule>
    <cfRule type="cellIs" dxfId="3759" priority="3975" operator="equal">
      <formula>"Yes"</formula>
    </cfRule>
  </conditionalFormatting>
  <conditionalFormatting sqref="AY18">
    <cfRule type="cellIs" dxfId="3758" priority="3970" operator="equal">
      <formula>"No"</formula>
    </cfRule>
    <cfRule type="cellIs" dxfId="3757" priority="3971" operator="equal">
      <formula>"NA"</formula>
    </cfRule>
    <cfRule type="cellIs" dxfId="3756" priority="3972" operator="equal">
      <formula>"Yes"</formula>
    </cfRule>
  </conditionalFormatting>
  <conditionalFormatting sqref="AY19">
    <cfRule type="cellIs" dxfId="3755" priority="3967" operator="equal">
      <formula>"No"</formula>
    </cfRule>
    <cfRule type="cellIs" dxfId="3754" priority="3968" operator="equal">
      <formula>"NA"</formula>
    </cfRule>
    <cfRule type="cellIs" dxfId="3753" priority="3969" operator="equal">
      <formula>"Yes"</formula>
    </cfRule>
  </conditionalFormatting>
  <conditionalFormatting sqref="AY20">
    <cfRule type="cellIs" dxfId="3752" priority="3964" operator="equal">
      <formula>"No"</formula>
    </cfRule>
    <cfRule type="cellIs" dxfId="3751" priority="3965" operator="equal">
      <formula>"NA"</formula>
    </cfRule>
    <cfRule type="cellIs" dxfId="3750" priority="3966" operator="equal">
      <formula>"Yes"</formula>
    </cfRule>
  </conditionalFormatting>
  <conditionalFormatting sqref="AY21">
    <cfRule type="cellIs" dxfId="3749" priority="3961" operator="equal">
      <formula>"No"</formula>
    </cfRule>
    <cfRule type="cellIs" dxfId="3748" priority="3962" operator="equal">
      <formula>"NA"</formula>
    </cfRule>
    <cfRule type="cellIs" dxfId="3747" priority="3963" operator="equal">
      <formula>"Yes"</formula>
    </cfRule>
  </conditionalFormatting>
  <conditionalFormatting sqref="AY22">
    <cfRule type="cellIs" dxfId="3746" priority="3958" operator="equal">
      <formula>"No"</formula>
    </cfRule>
    <cfRule type="cellIs" dxfId="3745" priority="3959" operator="equal">
      <formula>"NA"</formula>
    </cfRule>
    <cfRule type="cellIs" dxfId="3744" priority="3960" operator="equal">
      <formula>"Yes"</formula>
    </cfRule>
  </conditionalFormatting>
  <conditionalFormatting sqref="AY23">
    <cfRule type="cellIs" dxfId="3743" priority="3955" operator="equal">
      <formula>"No"</formula>
    </cfRule>
    <cfRule type="cellIs" dxfId="3742" priority="3956" operator="equal">
      <formula>"NA"</formula>
    </cfRule>
    <cfRule type="cellIs" dxfId="3741" priority="3957" operator="equal">
      <formula>"Yes"</formula>
    </cfRule>
  </conditionalFormatting>
  <conditionalFormatting sqref="AY25">
    <cfRule type="cellIs" dxfId="3740" priority="3952" operator="equal">
      <formula>"No"</formula>
    </cfRule>
    <cfRule type="cellIs" dxfId="3739" priority="3953" operator="equal">
      <formula>"NA"</formula>
    </cfRule>
    <cfRule type="cellIs" dxfId="3738" priority="3954" operator="equal">
      <formula>"Yes"</formula>
    </cfRule>
  </conditionalFormatting>
  <conditionalFormatting sqref="AY26">
    <cfRule type="cellIs" dxfId="3737" priority="3949" operator="equal">
      <formula>"No"</formula>
    </cfRule>
    <cfRule type="cellIs" dxfId="3736" priority="3950" operator="equal">
      <formula>"NA"</formula>
    </cfRule>
    <cfRule type="cellIs" dxfId="3735" priority="3951" operator="equal">
      <formula>"Yes"</formula>
    </cfRule>
  </conditionalFormatting>
  <conditionalFormatting sqref="AY27">
    <cfRule type="cellIs" dxfId="3734" priority="3946" operator="equal">
      <formula>"No"</formula>
    </cfRule>
    <cfRule type="cellIs" dxfId="3733" priority="3947" operator="equal">
      <formula>"NA"</formula>
    </cfRule>
    <cfRule type="cellIs" dxfId="3732" priority="3948" operator="equal">
      <formula>"Yes"</formula>
    </cfRule>
  </conditionalFormatting>
  <conditionalFormatting sqref="AY28">
    <cfRule type="cellIs" dxfId="3731" priority="3943" operator="equal">
      <formula>"No"</formula>
    </cfRule>
    <cfRule type="cellIs" dxfId="3730" priority="3944" operator="equal">
      <formula>"NA"</formula>
    </cfRule>
    <cfRule type="cellIs" dxfId="3729" priority="3945" operator="equal">
      <formula>"Yes"</formula>
    </cfRule>
  </conditionalFormatting>
  <conditionalFormatting sqref="AY30">
    <cfRule type="cellIs" dxfId="3728" priority="3940" operator="equal">
      <formula>"No"</formula>
    </cfRule>
    <cfRule type="cellIs" dxfId="3727" priority="3941" operator="equal">
      <formula>"NA"</formula>
    </cfRule>
    <cfRule type="cellIs" dxfId="3726" priority="3942" operator="equal">
      <formula>"Yes"</formula>
    </cfRule>
  </conditionalFormatting>
  <conditionalFormatting sqref="AY31">
    <cfRule type="cellIs" dxfId="3725" priority="3937" operator="equal">
      <formula>"No"</formula>
    </cfRule>
    <cfRule type="cellIs" dxfId="3724" priority="3938" operator="equal">
      <formula>"NA"</formula>
    </cfRule>
    <cfRule type="cellIs" dxfId="3723" priority="3939" operator="equal">
      <formula>"Yes"</formula>
    </cfRule>
  </conditionalFormatting>
  <conditionalFormatting sqref="AX17">
    <cfRule type="cellIs" dxfId="3722" priority="3931" operator="equal">
      <formula>"No"</formula>
    </cfRule>
    <cfRule type="cellIs" dxfId="3721" priority="3932" operator="equal">
      <formula>"NA"</formula>
    </cfRule>
    <cfRule type="cellIs" dxfId="3720" priority="3933" operator="equal">
      <formula>"Yes"</formula>
    </cfRule>
  </conditionalFormatting>
  <conditionalFormatting sqref="AX33">
    <cfRule type="cellIs" dxfId="3719" priority="3928" operator="equal">
      <formula>"No"</formula>
    </cfRule>
    <cfRule type="cellIs" dxfId="3718" priority="3929" operator="equal">
      <formula>"NA"</formula>
    </cfRule>
    <cfRule type="cellIs" dxfId="3717" priority="3930" operator="equal">
      <formula>"Yes"</formula>
    </cfRule>
  </conditionalFormatting>
  <conditionalFormatting sqref="AX10">
    <cfRule type="cellIs" dxfId="3716" priority="3925" operator="equal">
      <formula>"No"</formula>
    </cfRule>
    <cfRule type="cellIs" dxfId="3715" priority="3926" operator="equal">
      <formula>"NA"</formula>
    </cfRule>
    <cfRule type="cellIs" dxfId="3714" priority="3927" operator="equal">
      <formula>"Yes"</formula>
    </cfRule>
  </conditionalFormatting>
  <conditionalFormatting sqref="AX6">
    <cfRule type="cellIs" dxfId="3713" priority="3922" operator="equal">
      <formula>"No"</formula>
    </cfRule>
    <cfRule type="cellIs" dxfId="3712" priority="3923" operator="equal">
      <formula>"NA"</formula>
    </cfRule>
    <cfRule type="cellIs" dxfId="3711" priority="3924" operator="equal">
      <formula>"Yes"</formula>
    </cfRule>
  </conditionalFormatting>
  <conditionalFormatting sqref="AX7">
    <cfRule type="cellIs" dxfId="3710" priority="3919" operator="equal">
      <formula>"No"</formula>
    </cfRule>
    <cfRule type="cellIs" dxfId="3709" priority="3920" operator="equal">
      <formula>"NA"</formula>
    </cfRule>
    <cfRule type="cellIs" dxfId="3708" priority="3921" operator="equal">
      <formula>"Yes"</formula>
    </cfRule>
  </conditionalFormatting>
  <conditionalFormatting sqref="AX9">
    <cfRule type="cellIs" dxfId="3707" priority="3916" operator="equal">
      <formula>"No"</formula>
    </cfRule>
    <cfRule type="cellIs" dxfId="3706" priority="3917" operator="equal">
      <formula>"NA"</formula>
    </cfRule>
    <cfRule type="cellIs" dxfId="3705" priority="3918" operator="equal">
      <formula>"Yes"</formula>
    </cfRule>
  </conditionalFormatting>
  <conditionalFormatting sqref="AX11">
    <cfRule type="cellIs" dxfId="3704" priority="3913" operator="equal">
      <formula>"No"</formula>
    </cfRule>
    <cfRule type="cellIs" dxfId="3703" priority="3914" operator="equal">
      <formula>"NA"</formula>
    </cfRule>
    <cfRule type="cellIs" dxfId="3702" priority="3915" operator="equal">
      <formula>"Yes"</formula>
    </cfRule>
  </conditionalFormatting>
  <conditionalFormatting sqref="AX12">
    <cfRule type="cellIs" dxfId="3701" priority="3910" operator="equal">
      <formula>"No"</formula>
    </cfRule>
    <cfRule type="cellIs" dxfId="3700" priority="3911" operator="equal">
      <formula>"NA"</formula>
    </cfRule>
    <cfRule type="cellIs" dxfId="3699" priority="3912" operator="equal">
      <formula>"Yes"</formula>
    </cfRule>
  </conditionalFormatting>
  <conditionalFormatting sqref="AX14">
    <cfRule type="cellIs" dxfId="3698" priority="3907" operator="equal">
      <formula>"No"</formula>
    </cfRule>
    <cfRule type="cellIs" dxfId="3697" priority="3908" operator="equal">
      <formula>"NA"</formula>
    </cfRule>
    <cfRule type="cellIs" dxfId="3696" priority="3909" operator="equal">
      <formula>"Yes"</formula>
    </cfRule>
  </conditionalFormatting>
  <conditionalFormatting sqref="AX15">
    <cfRule type="cellIs" dxfId="3695" priority="3904" operator="equal">
      <formula>"No"</formula>
    </cfRule>
    <cfRule type="cellIs" dxfId="3694" priority="3905" operator="equal">
      <formula>"NA"</formula>
    </cfRule>
    <cfRule type="cellIs" dxfId="3693" priority="3906" operator="equal">
      <formula>"Yes"</formula>
    </cfRule>
  </conditionalFormatting>
  <conditionalFormatting sqref="AX16">
    <cfRule type="cellIs" dxfId="3692" priority="3901" operator="equal">
      <formula>"No"</formula>
    </cfRule>
    <cfRule type="cellIs" dxfId="3691" priority="3902" operator="equal">
      <formula>"NA"</formula>
    </cfRule>
    <cfRule type="cellIs" dxfId="3690" priority="3903" operator="equal">
      <formula>"Yes"</formula>
    </cfRule>
  </conditionalFormatting>
  <conditionalFormatting sqref="AX18">
    <cfRule type="cellIs" dxfId="3689" priority="3898" operator="equal">
      <formula>"No"</formula>
    </cfRule>
    <cfRule type="cellIs" dxfId="3688" priority="3899" operator="equal">
      <formula>"NA"</formula>
    </cfRule>
    <cfRule type="cellIs" dxfId="3687" priority="3900" operator="equal">
      <formula>"Yes"</formula>
    </cfRule>
  </conditionalFormatting>
  <conditionalFormatting sqref="AX19">
    <cfRule type="cellIs" dxfId="3686" priority="3895" operator="equal">
      <formula>"No"</formula>
    </cfRule>
    <cfRule type="cellIs" dxfId="3685" priority="3896" operator="equal">
      <formula>"NA"</formula>
    </cfRule>
    <cfRule type="cellIs" dxfId="3684" priority="3897" operator="equal">
      <formula>"Yes"</formula>
    </cfRule>
  </conditionalFormatting>
  <conditionalFormatting sqref="AX20">
    <cfRule type="cellIs" dxfId="3683" priority="3892" operator="equal">
      <formula>"No"</formula>
    </cfRule>
    <cfRule type="cellIs" dxfId="3682" priority="3893" operator="equal">
      <formula>"NA"</formula>
    </cfRule>
    <cfRule type="cellIs" dxfId="3681" priority="3894" operator="equal">
      <formula>"Yes"</formula>
    </cfRule>
  </conditionalFormatting>
  <conditionalFormatting sqref="AX21">
    <cfRule type="cellIs" dxfId="3680" priority="3889" operator="equal">
      <formula>"No"</formula>
    </cfRule>
    <cfRule type="cellIs" dxfId="3679" priority="3890" operator="equal">
      <formula>"NA"</formula>
    </cfRule>
    <cfRule type="cellIs" dxfId="3678" priority="3891" operator="equal">
      <formula>"Yes"</formula>
    </cfRule>
  </conditionalFormatting>
  <conditionalFormatting sqref="AX22">
    <cfRule type="cellIs" dxfId="3677" priority="3886" operator="equal">
      <formula>"No"</formula>
    </cfRule>
    <cfRule type="cellIs" dxfId="3676" priority="3887" operator="equal">
      <formula>"NA"</formula>
    </cfRule>
    <cfRule type="cellIs" dxfId="3675" priority="3888" operator="equal">
      <formula>"Yes"</formula>
    </cfRule>
  </conditionalFormatting>
  <conditionalFormatting sqref="AX23">
    <cfRule type="cellIs" dxfId="3674" priority="3883" operator="equal">
      <formula>"No"</formula>
    </cfRule>
    <cfRule type="cellIs" dxfId="3673" priority="3884" operator="equal">
      <formula>"NA"</formula>
    </cfRule>
    <cfRule type="cellIs" dxfId="3672" priority="3885" operator="equal">
      <formula>"Yes"</formula>
    </cfRule>
  </conditionalFormatting>
  <conditionalFormatting sqref="AX25">
    <cfRule type="cellIs" dxfId="3671" priority="3880" operator="equal">
      <formula>"No"</formula>
    </cfRule>
    <cfRule type="cellIs" dxfId="3670" priority="3881" operator="equal">
      <formula>"NA"</formula>
    </cfRule>
    <cfRule type="cellIs" dxfId="3669" priority="3882" operator="equal">
      <formula>"Yes"</formula>
    </cfRule>
  </conditionalFormatting>
  <conditionalFormatting sqref="AX26">
    <cfRule type="cellIs" dxfId="3668" priority="3877" operator="equal">
      <formula>"No"</formula>
    </cfRule>
    <cfRule type="cellIs" dxfId="3667" priority="3878" operator="equal">
      <formula>"NA"</formula>
    </cfRule>
    <cfRule type="cellIs" dxfId="3666" priority="3879" operator="equal">
      <formula>"Yes"</formula>
    </cfRule>
  </conditionalFormatting>
  <conditionalFormatting sqref="AX27">
    <cfRule type="cellIs" dxfId="3665" priority="3874" operator="equal">
      <formula>"No"</formula>
    </cfRule>
    <cfRule type="cellIs" dxfId="3664" priority="3875" operator="equal">
      <formula>"NA"</formula>
    </cfRule>
    <cfRule type="cellIs" dxfId="3663" priority="3876" operator="equal">
      <formula>"Yes"</formula>
    </cfRule>
  </conditionalFormatting>
  <conditionalFormatting sqref="AX28">
    <cfRule type="cellIs" dxfId="3662" priority="3871" operator="equal">
      <formula>"No"</formula>
    </cfRule>
    <cfRule type="cellIs" dxfId="3661" priority="3872" operator="equal">
      <formula>"NA"</formula>
    </cfRule>
    <cfRule type="cellIs" dxfId="3660" priority="3873" operator="equal">
      <formula>"Yes"</formula>
    </cfRule>
  </conditionalFormatting>
  <conditionalFormatting sqref="AX30">
    <cfRule type="cellIs" dxfId="3659" priority="3868" operator="equal">
      <formula>"No"</formula>
    </cfRule>
    <cfRule type="cellIs" dxfId="3658" priority="3869" operator="equal">
      <formula>"NA"</formula>
    </cfRule>
    <cfRule type="cellIs" dxfId="3657" priority="3870" operator="equal">
      <formula>"Yes"</formula>
    </cfRule>
  </conditionalFormatting>
  <conditionalFormatting sqref="AX31">
    <cfRule type="cellIs" dxfId="3656" priority="3865" operator="equal">
      <formula>"No"</formula>
    </cfRule>
    <cfRule type="cellIs" dxfId="3655" priority="3866" operator="equal">
      <formula>"NA"</formula>
    </cfRule>
    <cfRule type="cellIs" dxfId="3654" priority="3867" operator="equal">
      <formula>"Yes"</formula>
    </cfRule>
  </conditionalFormatting>
  <conditionalFormatting sqref="AZ13">
    <cfRule type="cellIs" dxfId="3653" priority="3859" operator="equal">
      <formula>"No"</formula>
    </cfRule>
    <cfRule type="cellIs" dxfId="3652" priority="3860" operator="equal">
      <formula>"NA"</formula>
    </cfRule>
    <cfRule type="cellIs" dxfId="3651" priority="3861" operator="equal">
      <formula>"Yes"</formula>
    </cfRule>
  </conditionalFormatting>
  <conditionalFormatting sqref="AY13">
    <cfRule type="cellIs" dxfId="3650" priority="3856" operator="equal">
      <formula>"No"</formula>
    </cfRule>
    <cfRule type="cellIs" dxfId="3649" priority="3857" operator="equal">
      <formula>"NA"</formula>
    </cfRule>
    <cfRule type="cellIs" dxfId="3648" priority="3858" operator="equal">
      <formula>"Yes"</formula>
    </cfRule>
  </conditionalFormatting>
  <conditionalFormatting sqref="AX13">
    <cfRule type="cellIs" dxfId="3647" priority="3853" operator="equal">
      <formula>"No"</formula>
    </cfRule>
    <cfRule type="cellIs" dxfId="3646" priority="3854" operator="equal">
      <formula>"NA"</formula>
    </cfRule>
    <cfRule type="cellIs" dxfId="3645" priority="3855" operator="equal">
      <formula>"Yes"</formula>
    </cfRule>
  </conditionalFormatting>
  <conditionalFormatting sqref="P13">
    <cfRule type="cellIs" dxfId="3644" priority="3850" operator="equal">
      <formula>"No"</formula>
    </cfRule>
    <cfRule type="cellIs" dxfId="3643" priority="3851" operator="equal">
      <formula>"NA"</formula>
    </cfRule>
    <cfRule type="cellIs" dxfId="3642" priority="3852" operator="equal">
      <formula>"Yes"</formula>
    </cfRule>
  </conditionalFormatting>
  <conditionalFormatting sqref="BA6">
    <cfRule type="cellIs" dxfId="3641" priority="3847" operator="equal">
      <formula>"No"</formula>
    </cfRule>
    <cfRule type="cellIs" dxfId="3640" priority="3848" operator="equal">
      <formula>"NA"</formula>
    </cfRule>
    <cfRule type="cellIs" dxfId="3639" priority="3849" operator="equal">
      <formula>"Yes"</formula>
    </cfRule>
  </conditionalFormatting>
  <conditionalFormatting sqref="BA17">
    <cfRule type="cellIs" dxfId="3638" priority="3844" operator="equal">
      <formula>"No"</formula>
    </cfRule>
    <cfRule type="cellIs" dxfId="3637" priority="3845" operator="equal">
      <formula>"NA"</formula>
    </cfRule>
    <cfRule type="cellIs" dxfId="3636" priority="3846" operator="equal">
      <formula>"Yes"</formula>
    </cfRule>
  </conditionalFormatting>
  <conditionalFormatting sqref="BB33">
    <cfRule type="cellIs" dxfId="3635" priority="3772" operator="equal">
      <formula>"No"</formula>
    </cfRule>
    <cfRule type="cellIs" dxfId="3634" priority="3773" operator="equal">
      <formula>"NA"</formula>
    </cfRule>
    <cfRule type="cellIs" dxfId="3633" priority="3774" operator="equal">
      <formula>"Yes"</formula>
    </cfRule>
  </conditionalFormatting>
  <conditionalFormatting sqref="BB7">
    <cfRule type="cellIs" dxfId="3632" priority="3769" operator="equal">
      <formula>"No"</formula>
    </cfRule>
    <cfRule type="cellIs" dxfId="3631" priority="3770" operator="equal">
      <formula>"NA"</formula>
    </cfRule>
    <cfRule type="cellIs" dxfId="3630" priority="3771" operator="equal">
      <formula>"Yes"</formula>
    </cfRule>
  </conditionalFormatting>
  <conditionalFormatting sqref="BB9">
    <cfRule type="cellIs" dxfId="3629" priority="3766" operator="equal">
      <formula>"No"</formula>
    </cfRule>
    <cfRule type="cellIs" dxfId="3628" priority="3767" operator="equal">
      <formula>"NA"</formula>
    </cfRule>
    <cfRule type="cellIs" dxfId="3627" priority="3768" operator="equal">
      <formula>"Yes"</formula>
    </cfRule>
  </conditionalFormatting>
  <conditionalFormatting sqref="BB12">
    <cfRule type="cellIs" dxfId="3626" priority="3763" operator="equal">
      <formula>"No"</formula>
    </cfRule>
    <cfRule type="cellIs" dxfId="3625" priority="3764" operator="equal">
      <formula>"NA"</formula>
    </cfRule>
    <cfRule type="cellIs" dxfId="3624" priority="3765" operator="equal">
      <formula>"Yes"</formula>
    </cfRule>
  </conditionalFormatting>
  <conditionalFormatting sqref="BB13">
    <cfRule type="cellIs" dxfId="3623" priority="3760" operator="equal">
      <formula>"No"</formula>
    </cfRule>
    <cfRule type="cellIs" dxfId="3622" priority="3761" operator="equal">
      <formula>"NA"</formula>
    </cfRule>
    <cfRule type="cellIs" dxfId="3621" priority="3762" operator="equal">
      <formula>"Yes"</formula>
    </cfRule>
  </conditionalFormatting>
  <conditionalFormatting sqref="BB14">
    <cfRule type="cellIs" dxfId="3620" priority="3757" operator="equal">
      <formula>"No"</formula>
    </cfRule>
    <cfRule type="cellIs" dxfId="3619" priority="3758" operator="equal">
      <formula>"NA"</formula>
    </cfRule>
    <cfRule type="cellIs" dxfId="3618" priority="3759" operator="equal">
      <formula>"Yes"</formula>
    </cfRule>
  </conditionalFormatting>
  <conditionalFormatting sqref="BB16">
    <cfRule type="cellIs" dxfId="3617" priority="3754" operator="equal">
      <formula>"No"</formula>
    </cfRule>
    <cfRule type="cellIs" dxfId="3616" priority="3755" operator="equal">
      <formula>"NA"</formula>
    </cfRule>
    <cfRule type="cellIs" dxfId="3615" priority="3756" operator="equal">
      <formula>"Yes"</formula>
    </cfRule>
  </conditionalFormatting>
  <conditionalFormatting sqref="BB18">
    <cfRule type="cellIs" dxfId="3614" priority="3751" operator="equal">
      <formula>"No"</formula>
    </cfRule>
    <cfRule type="cellIs" dxfId="3613" priority="3752" operator="equal">
      <formula>"NA"</formula>
    </cfRule>
    <cfRule type="cellIs" dxfId="3612" priority="3753" operator="equal">
      <formula>"Yes"</formula>
    </cfRule>
  </conditionalFormatting>
  <conditionalFormatting sqref="BB19">
    <cfRule type="cellIs" dxfId="3611" priority="3748" operator="equal">
      <formula>"No"</formula>
    </cfRule>
    <cfRule type="cellIs" dxfId="3610" priority="3749" operator="equal">
      <formula>"NA"</formula>
    </cfRule>
    <cfRule type="cellIs" dxfId="3609" priority="3750" operator="equal">
      <formula>"Yes"</formula>
    </cfRule>
  </conditionalFormatting>
  <conditionalFormatting sqref="BB20">
    <cfRule type="cellIs" dxfId="3608" priority="3745" operator="equal">
      <formula>"No"</formula>
    </cfRule>
    <cfRule type="cellIs" dxfId="3607" priority="3746" operator="equal">
      <formula>"NA"</formula>
    </cfRule>
    <cfRule type="cellIs" dxfId="3606" priority="3747" operator="equal">
      <formula>"Yes"</formula>
    </cfRule>
  </conditionalFormatting>
  <conditionalFormatting sqref="BB21">
    <cfRule type="cellIs" dxfId="3605" priority="3742" operator="equal">
      <formula>"No"</formula>
    </cfRule>
    <cfRule type="cellIs" dxfId="3604" priority="3743" operator="equal">
      <formula>"NA"</formula>
    </cfRule>
    <cfRule type="cellIs" dxfId="3603" priority="3744" operator="equal">
      <formula>"Yes"</formula>
    </cfRule>
  </conditionalFormatting>
  <conditionalFormatting sqref="BB22">
    <cfRule type="cellIs" dxfId="3602" priority="3739" operator="equal">
      <formula>"No"</formula>
    </cfRule>
    <cfRule type="cellIs" dxfId="3601" priority="3740" operator="equal">
      <formula>"NA"</formula>
    </cfRule>
    <cfRule type="cellIs" dxfId="3600" priority="3741" operator="equal">
      <formula>"Yes"</formula>
    </cfRule>
  </conditionalFormatting>
  <conditionalFormatting sqref="BB23">
    <cfRule type="cellIs" dxfId="3599" priority="3736" operator="equal">
      <formula>"No"</formula>
    </cfRule>
    <cfRule type="cellIs" dxfId="3598" priority="3737" operator="equal">
      <formula>"NA"</formula>
    </cfRule>
    <cfRule type="cellIs" dxfId="3597" priority="3738" operator="equal">
      <formula>"Yes"</formula>
    </cfRule>
  </conditionalFormatting>
  <conditionalFormatting sqref="BB26">
    <cfRule type="cellIs" dxfId="3596" priority="3733" operator="equal">
      <formula>"No"</formula>
    </cfRule>
    <cfRule type="cellIs" dxfId="3595" priority="3734" operator="equal">
      <formula>"NA"</formula>
    </cfRule>
    <cfRule type="cellIs" dxfId="3594" priority="3735" operator="equal">
      <formula>"Yes"</formula>
    </cfRule>
  </conditionalFormatting>
  <conditionalFormatting sqref="BB27">
    <cfRule type="cellIs" dxfId="3593" priority="3730" operator="equal">
      <formula>"No"</formula>
    </cfRule>
    <cfRule type="cellIs" dxfId="3592" priority="3731" operator="equal">
      <formula>"NA"</formula>
    </cfRule>
    <cfRule type="cellIs" dxfId="3591" priority="3732" operator="equal">
      <formula>"Yes"</formula>
    </cfRule>
  </conditionalFormatting>
  <conditionalFormatting sqref="BB28">
    <cfRule type="cellIs" dxfId="3590" priority="3727" operator="equal">
      <formula>"No"</formula>
    </cfRule>
    <cfRule type="cellIs" dxfId="3589" priority="3728" operator="equal">
      <formula>"NA"</formula>
    </cfRule>
    <cfRule type="cellIs" dxfId="3588" priority="3729" operator="equal">
      <formula>"Yes"</formula>
    </cfRule>
  </conditionalFormatting>
  <conditionalFormatting sqref="BB30">
    <cfRule type="cellIs" dxfId="3587" priority="3724" operator="equal">
      <formula>"No"</formula>
    </cfRule>
    <cfRule type="cellIs" dxfId="3586" priority="3725" operator="equal">
      <formula>"NA"</formula>
    </cfRule>
    <cfRule type="cellIs" dxfId="3585" priority="3726" operator="equal">
      <formula>"Yes"</formula>
    </cfRule>
  </conditionalFormatting>
  <conditionalFormatting sqref="BB31">
    <cfRule type="cellIs" dxfId="3584" priority="3721" operator="equal">
      <formula>"No"</formula>
    </cfRule>
    <cfRule type="cellIs" dxfId="3583" priority="3722" operator="equal">
      <formula>"NA"</formula>
    </cfRule>
    <cfRule type="cellIs" dxfId="3582" priority="3723" operator="equal">
      <formula>"Yes"</formula>
    </cfRule>
  </conditionalFormatting>
  <conditionalFormatting sqref="BB6">
    <cfRule type="cellIs" dxfId="3581" priority="3718" operator="equal">
      <formula>"No"</formula>
    </cfRule>
    <cfRule type="cellIs" dxfId="3580" priority="3719" operator="equal">
      <formula>"NA"</formula>
    </cfRule>
    <cfRule type="cellIs" dxfId="3579" priority="3720" operator="equal">
      <formula>"Yes"</formula>
    </cfRule>
  </conditionalFormatting>
  <conditionalFormatting sqref="BB10">
    <cfRule type="cellIs" dxfId="3578" priority="3715" operator="equal">
      <formula>"No"</formula>
    </cfRule>
    <cfRule type="cellIs" dxfId="3577" priority="3716" operator="equal">
      <formula>"NA"</formula>
    </cfRule>
    <cfRule type="cellIs" dxfId="3576" priority="3717" operator="equal">
      <formula>"Yes"</formula>
    </cfRule>
  </conditionalFormatting>
  <conditionalFormatting sqref="BB11">
    <cfRule type="cellIs" dxfId="3575" priority="3712" operator="equal">
      <formula>"No"</formula>
    </cfRule>
    <cfRule type="cellIs" dxfId="3574" priority="3713" operator="equal">
      <formula>"NA"</formula>
    </cfRule>
    <cfRule type="cellIs" dxfId="3573" priority="3714" operator="equal">
      <formula>"Yes"</formula>
    </cfRule>
  </conditionalFormatting>
  <conditionalFormatting sqref="BB15">
    <cfRule type="cellIs" dxfId="3572" priority="3709" operator="equal">
      <formula>"No"</formula>
    </cfRule>
    <cfRule type="cellIs" dxfId="3571" priority="3710" operator="equal">
      <formula>"NA"</formula>
    </cfRule>
    <cfRule type="cellIs" dxfId="3570" priority="3711" operator="equal">
      <formula>"Yes"</formula>
    </cfRule>
  </conditionalFormatting>
  <conditionalFormatting sqref="BB25">
    <cfRule type="cellIs" dxfId="3569" priority="3706" operator="equal">
      <formula>"No"</formula>
    </cfRule>
    <cfRule type="cellIs" dxfId="3568" priority="3707" operator="equal">
      <formula>"NA"</formula>
    </cfRule>
    <cfRule type="cellIs" dxfId="3567" priority="3708" operator="equal">
      <formula>"Yes"</formula>
    </cfRule>
  </conditionalFormatting>
  <conditionalFormatting sqref="BB17">
    <cfRule type="cellIs" dxfId="3566" priority="3703" operator="equal">
      <formula>"No"</formula>
    </cfRule>
    <cfRule type="cellIs" dxfId="3565" priority="3704" operator="equal">
      <formula>"NA"</formula>
    </cfRule>
    <cfRule type="cellIs" dxfId="3564" priority="3705" operator="equal">
      <formula>"Yes"</formula>
    </cfRule>
  </conditionalFormatting>
  <conditionalFormatting sqref="BD7">
    <cfRule type="cellIs" dxfId="3563" priority="3700" operator="equal">
      <formula>"No"</formula>
    </cfRule>
    <cfRule type="cellIs" dxfId="3562" priority="3701" operator="equal">
      <formula>"NA"</formula>
    </cfRule>
    <cfRule type="cellIs" dxfId="3561" priority="3702" operator="equal">
      <formula>"Yes"</formula>
    </cfRule>
  </conditionalFormatting>
  <conditionalFormatting sqref="BD9">
    <cfRule type="cellIs" dxfId="3560" priority="3697" operator="equal">
      <formula>"No"</formula>
    </cfRule>
    <cfRule type="cellIs" dxfId="3559" priority="3698" operator="equal">
      <formula>"NA"</formula>
    </cfRule>
    <cfRule type="cellIs" dxfId="3558" priority="3699" operator="equal">
      <formula>"Yes"</formula>
    </cfRule>
  </conditionalFormatting>
  <conditionalFormatting sqref="BD10">
    <cfRule type="cellIs" dxfId="3557" priority="3694" operator="equal">
      <formula>"No"</formula>
    </cfRule>
    <cfRule type="cellIs" dxfId="3556" priority="3695" operator="equal">
      <formula>"NA"</formula>
    </cfRule>
    <cfRule type="cellIs" dxfId="3555" priority="3696" operator="equal">
      <formula>"Yes"</formula>
    </cfRule>
  </conditionalFormatting>
  <conditionalFormatting sqref="BD11">
    <cfRule type="cellIs" dxfId="3554" priority="3691" operator="equal">
      <formula>"No"</formula>
    </cfRule>
    <cfRule type="cellIs" dxfId="3553" priority="3692" operator="equal">
      <formula>"NA"</formula>
    </cfRule>
    <cfRule type="cellIs" dxfId="3552" priority="3693" operator="equal">
      <formula>"Yes"</formula>
    </cfRule>
  </conditionalFormatting>
  <conditionalFormatting sqref="BD12">
    <cfRule type="cellIs" dxfId="3551" priority="3688" operator="equal">
      <formula>"No"</formula>
    </cfRule>
    <cfRule type="cellIs" dxfId="3550" priority="3689" operator="equal">
      <formula>"NA"</formula>
    </cfRule>
    <cfRule type="cellIs" dxfId="3549" priority="3690" operator="equal">
      <formula>"Yes"</formula>
    </cfRule>
  </conditionalFormatting>
  <conditionalFormatting sqref="BD13">
    <cfRule type="cellIs" dxfId="3548" priority="3685" operator="equal">
      <formula>"No"</formula>
    </cfRule>
    <cfRule type="cellIs" dxfId="3547" priority="3686" operator="equal">
      <formula>"NA"</formula>
    </cfRule>
    <cfRule type="cellIs" dxfId="3546" priority="3687" operator="equal">
      <formula>"Yes"</formula>
    </cfRule>
  </conditionalFormatting>
  <conditionalFormatting sqref="BD15">
    <cfRule type="cellIs" dxfId="3545" priority="3682" operator="equal">
      <formula>"No"</formula>
    </cfRule>
    <cfRule type="cellIs" dxfId="3544" priority="3683" operator="equal">
      <formula>"NA"</formula>
    </cfRule>
    <cfRule type="cellIs" dxfId="3543" priority="3684" operator="equal">
      <formula>"Yes"</formula>
    </cfRule>
  </conditionalFormatting>
  <conditionalFormatting sqref="BD16">
    <cfRule type="cellIs" dxfId="3542" priority="3679" operator="equal">
      <formula>"No"</formula>
    </cfRule>
    <cfRule type="cellIs" dxfId="3541" priority="3680" operator="equal">
      <formula>"NA"</formula>
    </cfRule>
    <cfRule type="cellIs" dxfId="3540" priority="3681" operator="equal">
      <formula>"Yes"</formula>
    </cfRule>
  </conditionalFormatting>
  <conditionalFormatting sqref="BD18">
    <cfRule type="cellIs" dxfId="3539" priority="3676" operator="equal">
      <formula>"No"</formula>
    </cfRule>
    <cfRule type="cellIs" dxfId="3538" priority="3677" operator="equal">
      <formula>"NA"</formula>
    </cfRule>
    <cfRule type="cellIs" dxfId="3537" priority="3678" operator="equal">
      <formula>"Yes"</formula>
    </cfRule>
  </conditionalFormatting>
  <conditionalFormatting sqref="BD19">
    <cfRule type="cellIs" dxfId="3536" priority="3673" operator="equal">
      <formula>"No"</formula>
    </cfRule>
    <cfRule type="cellIs" dxfId="3535" priority="3674" operator="equal">
      <formula>"NA"</formula>
    </cfRule>
    <cfRule type="cellIs" dxfId="3534" priority="3675" operator="equal">
      <formula>"Yes"</formula>
    </cfRule>
  </conditionalFormatting>
  <conditionalFormatting sqref="BD20">
    <cfRule type="cellIs" dxfId="3533" priority="3670" operator="equal">
      <formula>"No"</formula>
    </cfRule>
    <cfRule type="cellIs" dxfId="3532" priority="3671" operator="equal">
      <formula>"NA"</formula>
    </cfRule>
    <cfRule type="cellIs" dxfId="3531" priority="3672" operator="equal">
      <formula>"Yes"</formula>
    </cfRule>
  </conditionalFormatting>
  <conditionalFormatting sqref="BD21">
    <cfRule type="cellIs" dxfId="3530" priority="3667" operator="equal">
      <formula>"No"</formula>
    </cfRule>
    <cfRule type="cellIs" dxfId="3529" priority="3668" operator="equal">
      <formula>"NA"</formula>
    </cfRule>
    <cfRule type="cellIs" dxfId="3528" priority="3669" operator="equal">
      <formula>"Yes"</formula>
    </cfRule>
  </conditionalFormatting>
  <conditionalFormatting sqref="BD22">
    <cfRule type="cellIs" dxfId="3527" priority="3664" operator="equal">
      <formula>"No"</formula>
    </cfRule>
    <cfRule type="cellIs" dxfId="3526" priority="3665" operator="equal">
      <formula>"NA"</formula>
    </cfRule>
    <cfRule type="cellIs" dxfId="3525" priority="3666" operator="equal">
      <formula>"Yes"</formula>
    </cfRule>
  </conditionalFormatting>
  <conditionalFormatting sqref="BD23">
    <cfRule type="cellIs" dxfId="3524" priority="3661" operator="equal">
      <formula>"No"</formula>
    </cfRule>
    <cfRule type="cellIs" dxfId="3523" priority="3662" operator="equal">
      <formula>"NA"</formula>
    </cfRule>
    <cfRule type="cellIs" dxfId="3522" priority="3663" operator="equal">
      <formula>"Yes"</formula>
    </cfRule>
  </conditionalFormatting>
  <conditionalFormatting sqref="BD26">
    <cfRule type="cellIs" dxfId="3521" priority="3658" operator="equal">
      <formula>"No"</formula>
    </cfRule>
    <cfRule type="cellIs" dxfId="3520" priority="3659" operator="equal">
      <formula>"NA"</formula>
    </cfRule>
    <cfRule type="cellIs" dxfId="3519" priority="3660" operator="equal">
      <formula>"Yes"</formula>
    </cfRule>
  </conditionalFormatting>
  <conditionalFormatting sqref="BD33">
    <cfRule type="cellIs" dxfId="3518" priority="3655" operator="equal">
      <formula>"No"</formula>
    </cfRule>
    <cfRule type="cellIs" dxfId="3517" priority="3656" operator="equal">
      <formula>"NA"</formula>
    </cfRule>
    <cfRule type="cellIs" dxfId="3516" priority="3657" operator="equal">
      <formula>"Yes"</formula>
    </cfRule>
  </conditionalFormatting>
  <conditionalFormatting sqref="BD27">
    <cfRule type="cellIs" dxfId="3515" priority="3652" operator="equal">
      <formula>"No"</formula>
    </cfRule>
    <cfRule type="cellIs" dxfId="3514" priority="3653" operator="equal">
      <formula>"NA"</formula>
    </cfRule>
    <cfRule type="cellIs" dxfId="3513" priority="3654" operator="equal">
      <formula>"Yes"</formula>
    </cfRule>
  </conditionalFormatting>
  <conditionalFormatting sqref="BD28">
    <cfRule type="cellIs" dxfId="3512" priority="3649" operator="equal">
      <formula>"No"</formula>
    </cfRule>
    <cfRule type="cellIs" dxfId="3511" priority="3650" operator="equal">
      <formula>"NA"</formula>
    </cfRule>
    <cfRule type="cellIs" dxfId="3510" priority="3651" operator="equal">
      <formula>"Yes"</formula>
    </cfRule>
  </conditionalFormatting>
  <conditionalFormatting sqref="BD30">
    <cfRule type="cellIs" dxfId="3509" priority="3646" operator="equal">
      <formula>"No"</formula>
    </cfRule>
    <cfRule type="cellIs" dxfId="3508" priority="3647" operator="equal">
      <formula>"NA"</formula>
    </cfRule>
    <cfRule type="cellIs" dxfId="3507" priority="3648" operator="equal">
      <formula>"Yes"</formula>
    </cfRule>
  </conditionalFormatting>
  <conditionalFormatting sqref="BD31">
    <cfRule type="cellIs" dxfId="3506" priority="3643" operator="equal">
      <formula>"No"</formula>
    </cfRule>
    <cfRule type="cellIs" dxfId="3505" priority="3644" operator="equal">
      <formula>"NA"</formula>
    </cfRule>
    <cfRule type="cellIs" dxfId="3504" priority="3645" operator="equal">
      <formula>"Yes"</formula>
    </cfRule>
  </conditionalFormatting>
  <conditionalFormatting sqref="BD14">
    <cfRule type="cellIs" dxfId="3503" priority="3640" operator="equal">
      <formula>"No"</formula>
    </cfRule>
    <cfRule type="cellIs" dxfId="3502" priority="3641" operator="equal">
      <formula>"NA"</formula>
    </cfRule>
    <cfRule type="cellIs" dxfId="3501" priority="3642" operator="equal">
      <formula>"Yes"</formula>
    </cfRule>
  </conditionalFormatting>
  <conditionalFormatting sqref="BD6">
    <cfRule type="cellIs" dxfId="3500" priority="3637" operator="equal">
      <formula>"No"</formula>
    </cfRule>
    <cfRule type="cellIs" dxfId="3499" priority="3638" operator="equal">
      <formula>"NA"</formula>
    </cfRule>
    <cfRule type="cellIs" dxfId="3498" priority="3639" operator="equal">
      <formula>"Yes"</formula>
    </cfRule>
  </conditionalFormatting>
  <conditionalFormatting sqref="BD17">
    <cfRule type="cellIs" dxfId="3497" priority="3634" operator="equal">
      <formula>"No"</formula>
    </cfRule>
    <cfRule type="cellIs" dxfId="3496" priority="3635" operator="equal">
      <formula>"NA"</formula>
    </cfRule>
    <cfRule type="cellIs" dxfId="3495" priority="3636" operator="equal">
      <formula>"Yes"</formula>
    </cfRule>
  </conditionalFormatting>
  <conditionalFormatting sqref="BD25">
    <cfRule type="cellIs" dxfId="3494" priority="3631" operator="equal">
      <formula>"No"</formula>
    </cfRule>
    <cfRule type="cellIs" dxfId="3493" priority="3632" operator="equal">
      <formula>"NA"</formula>
    </cfRule>
    <cfRule type="cellIs" dxfId="3492" priority="3633" operator="equal">
      <formula>"Yes"</formula>
    </cfRule>
  </conditionalFormatting>
  <conditionalFormatting sqref="BC7">
    <cfRule type="cellIs" dxfId="3491" priority="3628" operator="equal">
      <formula>"No"</formula>
    </cfRule>
    <cfRule type="cellIs" dxfId="3490" priority="3629" operator="equal">
      <formula>"NA"</formula>
    </cfRule>
    <cfRule type="cellIs" dxfId="3489" priority="3630" operator="equal">
      <formula>"Yes"</formula>
    </cfRule>
  </conditionalFormatting>
  <conditionalFormatting sqref="BC9">
    <cfRule type="cellIs" dxfId="3488" priority="3625" operator="equal">
      <formula>"No"</formula>
    </cfRule>
    <cfRule type="cellIs" dxfId="3487" priority="3626" operator="equal">
      <formula>"NA"</formula>
    </cfRule>
    <cfRule type="cellIs" dxfId="3486" priority="3627" operator="equal">
      <formula>"Yes"</formula>
    </cfRule>
  </conditionalFormatting>
  <conditionalFormatting sqref="BC10">
    <cfRule type="cellIs" dxfId="3485" priority="3622" operator="equal">
      <formula>"No"</formula>
    </cfRule>
    <cfRule type="cellIs" dxfId="3484" priority="3623" operator="equal">
      <formula>"NA"</formula>
    </cfRule>
    <cfRule type="cellIs" dxfId="3483" priority="3624" operator="equal">
      <formula>"Yes"</formula>
    </cfRule>
  </conditionalFormatting>
  <conditionalFormatting sqref="BC11">
    <cfRule type="cellIs" dxfId="3482" priority="3619" operator="equal">
      <formula>"No"</formula>
    </cfRule>
    <cfRule type="cellIs" dxfId="3481" priority="3620" operator="equal">
      <formula>"NA"</formula>
    </cfRule>
    <cfRule type="cellIs" dxfId="3480" priority="3621" operator="equal">
      <formula>"Yes"</formula>
    </cfRule>
  </conditionalFormatting>
  <conditionalFormatting sqref="BC12">
    <cfRule type="cellIs" dxfId="3479" priority="3616" operator="equal">
      <formula>"No"</formula>
    </cfRule>
    <cfRule type="cellIs" dxfId="3478" priority="3617" operator="equal">
      <formula>"NA"</formula>
    </cfRule>
    <cfRule type="cellIs" dxfId="3477" priority="3618" operator="equal">
      <formula>"Yes"</formula>
    </cfRule>
  </conditionalFormatting>
  <conditionalFormatting sqref="BC13">
    <cfRule type="cellIs" dxfId="3476" priority="3613" operator="equal">
      <formula>"No"</formula>
    </cfRule>
    <cfRule type="cellIs" dxfId="3475" priority="3614" operator="equal">
      <formula>"NA"</formula>
    </cfRule>
    <cfRule type="cellIs" dxfId="3474" priority="3615" operator="equal">
      <formula>"Yes"</formula>
    </cfRule>
  </conditionalFormatting>
  <conditionalFormatting sqref="BC15">
    <cfRule type="cellIs" dxfId="3473" priority="3610" operator="equal">
      <formula>"No"</formula>
    </cfRule>
    <cfRule type="cellIs" dxfId="3472" priority="3611" operator="equal">
      <formula>"NA"</formula>
    </cfRule>
    <cfRule type="cellIs" dxfId="3471" priority="3612" operator="equal">
      <formula>"Yes"</formula>
    </cfRule>
  </conditionalFormatting>
  <conditionalFormatting sqref="BC16">
    <cfRule type="cellIs" dxfId="3470" priority="3607" operator="equal">
      <formula>"No"</formula>
    </cfRule>
    <cfRule type="cellIs" dxfId="3469" priority="3608" operator="equal">
      <formula>"NA"</formula>
    </cfRule>
    <cfRule type="cellIs" dxfId="3468" priority="3609" operator="equal">
      <formula>"Yes"</formula>
    </cfRule>
  </conditionalFormatting>
  <conditionalFormatting sqref="BC18">
    <cfRule type="cellIs" dxfId="3467" priority="3604" operator="equal">
      <formula>"No"</formula>
    </cfRule>
    <cfRule type="cellIs" dxfId="3466" priority="3605" operator="equal">
      <formula>"NA"</formula>
    </cfRule>
    <cfRule type="cellIs" dxfId="3465" priority="3606" operator="equal">
      <formula>"Yes"</formula>
    </cfRule>
  </conditionalFormatting>
  <conditionalFormatting sqref="BC19">
    <cfRule type="cellIs" dxfId="3464" priority="3601" operator="equal">
      <formula>"No"</formula>
    </cfRule>
    <cfRule type="cellIs" dxfId="3463" priority="3602" operator="equal">
      <formula>"NA"</formula>
    </cfRule>
    <cfRule type="cellIs" dxfId="3462" priority="3603" operator="equal">
      <formula>"Yes"</formula>
    </cfRule>
  </conditionalFormatting>
  <conditionalFormatting sqref="BC20">
    <cfRule type="cellIs" dxfId="3461" priority="3598" operator="equal">
      <formula>"No"</formula>
    </cfRule>
    <cfRule type="cellIs" dxfId="3460" priority="3599" operator="equal">
      <formula>"NA"</formula>
    </cfRule>
    <cfRule type="cellIs" dxfId="3459" priority="3600" operator="equal">
      <formula>"Yes"</formula>
    </cfRule>
  </conditionalFormatting>
  <conditionalFormatting sqref="BC21">
    <cfRule type="cellIs" dxfId="3458" priority="3595" operator="equal">
      <formula>"No"</formula>
    </cfRule>
    <cfRule type="cellIs" dxfId="3457" priority="3596" operator="equal">
      <formula>"NA"</formula>
    </cfRule>
    <cfRule type="cellIs" dxfId="3456" priority="3597" operator="equal">
      <formula>"Yes"</formula>
    </cfRule>
  </conditionalFormatting>
  <conditionalFormatting sqref="BC22">
    <cfRule type="cellIs" dxfId="3455" priority="3592" operator="equal">
      <formula>"No"</formula>
    </cfRule>
    <cfRule type="cellIs" dxfId="3454" priority="3593" operator="equal">
      <formula>"NA"</formula>
    </cfRule>
    <cfRule type="cellIs" dxfId="3453" priority="3594" operator="equal">
      <formula>"Yes"</formula>
    </cfRule>
  </conditionalFormatting>
  <conditionalFormatting sqref="BC23">
    <cfRule type="cellIs" dxfId="3452" priority="3589" operator="equal">
      <formula>"No"</formula>
    </cfRule>
    <cfRule type="cellIs" dxfId="3451" priority="3590" operator="equal">
      <formula>"NA"</formula>
    </cfRule>
    <cfRule type="cellIs" dxfId="3450" priority="3591" operator="equal">
      <formula>"Yes"</formula>
    </cfRule>
  </conditionalFormatting>
  <conditionalFormatting sqref="BC26">
    <cfRule type="cellIs" dxfId="3449" priority="3586" operator="equal">
      <formula>"No"</formula>
    </cfRule>
    <cfRule type="cellIs" dxfId="3448" priority="3587" operator="equal">
      <formula>"NA"</formula>
    </cfRule>
    <cfRule type="cellIs" dxfId="3447" priority="3588" operator="equal">
      <formula>"Yes"</formula>
    </cfRule>
  </conditionalFormatting>
  <conditionalFormatting sqref="BC33">
    <cfRule type="cellIs" dxfId="3446" priority="3583" operator="equal">
      <formula>"No"</formula>
    </cfRule>
    <cfRule type="cellIs" dxfId="3445" priority="3584" operator="equal">
      <formula>"NA"</formula>
    </cfRule>
    <cfRule type="cellIs" dxfId="3444" priority="3585" operator="equal">
      <formula>"Yes"</formula>
    </cfRule>
  </conditionalFormatting>
  <conditionalFormatting sqref="BC27">
    <cfRule type="cellIs" dxfId="3443" priority="3580" operator="equal">
      <formula>"No"</formula>
    </cfRule>
    <cfRule type="cellIs" dxfId="3442" priority="3581" operator="equal">
      <formula>"NA"</formula>
    </cfRule>
    <cfRule type="cellIs" dxfId="3441" priority="3582" operator="equal">
      <formula>"Yes"</formula>
    </cfRule>
  </conditionalFormatting>
  <conditionalFormatting sqref="BC28">
    <cfRule type="cellIs" dxfId="3440" priority="3577" operator="equal">
      <formula>"No"</formula>
    </cfRule>
    <cfRule type="cellIs" dxfId="3439" priority="3578" operator="equal">
      <formula>"NA"</formula>
    </cfRule>
    <cfRule type="cellIs" dxfId="3438" priority="3579" operator="equal">
      <formula>"Yes"</formula>
    </cfRule>
  </conditionalFormatting>
  <conditionalFormatting sqref="BC30">
    <cfRule type="cellIs" dxfId="3437" priority="3574" operator="equal">
      <formula>"No"</formula>
    </cfRule>
    <cfRule type="cellIs" dxfId="3436" priority="3575" operator="equal">
      <formula>"NA"</formula>
    </cfRule>
    <cfRule type="cellIs" dxfId="3435" priority="3576" operator="equal">
      <formula>"Yes"</formula>
    </cfRule>
  </conditionalFormatting>
  <conditionalFormatting sqref="BC31">
    <cfRule type="cellIs" dxfId="3434" priority="3571" operator="equal">
      <formula>"No"</formula>
    </cfRule>
    <cfRule type="cellIs" dxfId="3433" priority="3572" operator="equal">
      <formula>"NA"</formula>
    </cfRule>
    <cfRule type="cellIs" dxfId="3432" priority="3573" operator="equal">
      <formula>"Yes"</formula>
    </cfRule>
  </conditionalFormatting>
  <conditionalFormatting sqref="BC14">
    <cfRule type="cellIs" dxfId="3431" priority="3568" operator="equal">
      <formula>"No"</formula>
    </cfRule>
    <cfRule type="cellIs" dxfId="3430" priority="3569" operator="equal">
      <formula>"NA"</formula>
    </cfRule>
    <cfRule type="cellIs" dxfId="3429" priority="3570" operator="equal">
      <formula>"Yes"</formula>
    </cfRule>
  </conditionalFormatting>
  <conditionalFormatting sqref="BC6">
    <cfRule type="cellIs" dxfId="3428" priority="3565" operator="equal">
      <formula>"No"</formula>
    </cfRule>
    <cfRule type="cellIs" dxfId="3427" priority="3566" operator="equal">
      <formula>"NA"</formula>
    </cfRule>
    <cfRule type="cellIs" dxfId="3426" priority="3567" operator="equal">
      <formula>"Yes"</formula>
    </cfRule>
  </conditionalFormatting>
  <conditionalFormatting sqref="BC17">
    <cfRule type="cellIs" dxfId="3425" priority="3562" operator="equal">
      <formula>"No"</formula>
    </cfRule>
    <cfRule type="cellIs" dxfId="3424" priority="3563" operator="equal">
      <formula>"NA"</formula>
    </cfRule>
    <cfRule type="cellIs" dxfId="3423" priority="3564" operator="equal">
      <formula>"Yes"</formula>
    </cfRule>
  </conditionalFormatting>
  <conditionalFormatting sqref="BC25">
    <cfRule type="cellIs" dxfId="3422" priority="3559" operator="equal">
      <formula>"No"</formula>
    </cfRule>
    <cfRule type="cellIs" dxfId="3421" priority="3560" operator="equal">
      <formula>"NA"</formula>
    </cfRule>
    <cfRule type="cellIs" dxfId="3420" priority="3561" operator="equal">
      <formula>"Yes"</formula>
    </cfRule>
  </conditionalFormatting>
  <conditionalFormatting sqref="BE7">
    <cfRule type="cellIs" dxfId="3419" priority="3556" operator="equal">
      <formula>"No"</formula>
    </cfRule>
    <cfRule type="cellIs" dxfId="3418" priority="3557" operator="equal">
      <formula>"NA"</formula>
    </cfRule>
    <cfRule type="cellIs" dxfId="3417" priority="3558" operator="equal">
      <formula>"Yes"</formula>
    </cfRule>
  </conditionalFormatting>
  <conditionalFormatting sqref="BE9">
    <cfRule type="cellIs" dxfId="3416" priority="3553" operator="equal">
      <formula>"No"</formula>
    </cfRule>
    <cfRule type="cellIs" dxfId="3415" priority="3554" operator="equal">
      <formula>"NA"</formula>
    </cfRule>
    <cfRule type="cellIs" dxfId="3414" priority="3555" operator="equal">
      <formula>"Yes"</formula>
    </cfRule>
  </conditionalFormatting>
  <conditionalFormatting sqref="BE11">
    <cfRule type="cellIs" dxfId="3413" priority="3547" operator="equal">
      <formula>"No"</formula>
    </cfRule>
    <cfRule type="cellIs" dxfId="3412" priority="3548" operator="equal">
      <formula>"NA"</formula>
    </cfRule>
    <cfRule type="cellIs" dxfId="3411" priority="3549" operator="equal">
      <formula>"Yes"</formula>
    </cfRule>
  </conditionalFormatting>
  <conditionalFormatting sqref="BE12">
    <cfRule type="cellIs" dxfId="3410" priority="3544" operator="equal">
      <formula>"No"</formula>
    </cfRule>
    <cfRule type="cellIs" dxfId="3409" priority="3545" operator="equal">
      <formula>"NA"</formula>
    </cfRule>
    <cfRule type="cellIs" dxfId="3408" priority="3546" operator="equal">
      <formula>"Yes"</formula>
    </cfRule>
  </conditionalFormatting>
  <conditionalFormatting sqref="BE13">
    <cfRule type="cellIs" dxfId="3407" priority="3541" operator="equal">
      <formula>"No"</formula>
    </cfRule>
    <cfRule type="cellIs" dxfId="3406" priority="3542" operator="equal">
      <formula>"NA"</formula>
    </cfRule>
    <cfRule type="cellIs" dxfId="3405" priority="3543" operator="equal">
      <formula>"Yes"</formula>
    </cfRule>
  </conditionalFormatting>
  <conditionalFormatting sqref="BE16">
    <cfRule type="cellIs" dxfId="3404" priority="3535" operator="equal">
      <formula>"No"</formula>
    </cfRule>
    <cfRule type="cellIs" dxfId="3403" priority="3536" operator="equal">
      <formula>"NA"</formula>
    </cfRule>
    <cfRule type="cellIs" dxfId="3402" priority="3537" operator="equal">
      <formula>"Yes"</formula>
    </cfRule>
  </conditionalFormatting>
  <conditionalFormatting sqref="BE18">
    <cfRule type="cellIs" dxfId="3401" priority="3532" operator="equal">
      <formula>"No"</formula>
    </cfRule>
    <cfRule type="cellIs" dxfId="3400" priority="3533" operator="equal">
      <formula>"NA"</formula>
    </cfRule>
    <cfRule type="cellIs" dxfId="3399" priority="3534" operator="equal">
      <formula>"Yes"</formula>
    </cfRule>
  </conditionalFormatting>
  <conditionalFormatting sqref="BE19">
    <cfRule type="cellIs" dxfId="3398" priority="3529" operator="equal">
      <formula>"No"</formula>
    </cfRule>
    <cfRule type="cellIs" dxfId="3397" priority="3530" operator="equal">
      <formula>"NA"</formula>
    </cfRule>
    <cfRule type="cellIs" dxfId="3396" priority="3531" operator="equal">
      <formula>"Yes"</formula>
    </cfRule>
  </conditionalFormatting>
  <conditionalFormatting sqref="BE20">
    <cfRule type="cellIs" dxfId="3395" priority="3526" operator="equal">
      <formula>"No"</formula>
    </cfRule>
    <cfRule type="cellIs" dxfId="3394" priority="3527" operator="equal">
      <formula>"NA"</formula>
    </cfRule>
    <cfRule type="cellIs" dxfId="3393" priority="3528" operator="equal">
      <formula>"Yes"</formula>
    </cfRule>
  </conditionalFormatting>
  <conditionalFormatting sqref="BE21">
    <cfRule type="cellIs" dxfId="3392" priority="3523" operator="equal">
      <formula>"No"</formula>
    </cfRule>
    <cfRule type="cellIs" dxfId="3391" priority="3524" operator="equal">
      <formula>"NA"</formula>
    </cfRule>
    <cfRule type="cellIs" dxfId="3390" priority="3525" operator="equal">
      <formula>"Yes"</formula>
    </cfRule>
  </conditionalFormatting>
  <conditionalFormatting sqref="BE22">
    <cfRule type="cellIs" dxfId="3389" priority="3520" operator="equal">
      <formula>"No"</formula>
    </cfRule>
    <cfRule type="cellIs" dxfId="3388" priority="3521" operator="equal">
      <formula>"NA"</formula>
    </cfRule>
    <cfRule type="cellIs" dxfId="3387" priority="3522" operator="equal">
      <formula>"Yes"</formula>
    </cfRule>
  </conditionalFormatting>
  <conditionalFormatting sqref="BE23">
    <cfRule type="cellIs" dxfId="3386" priority="3517" operator="equal">
      <formula>"No"</formula>
    </cfRule>
    <cfRule type="cellIs" dxfId="3385" priority="3518" operator="equal">
      <formula>"NA"</formula>
    </cfRule>
    <cfRule type="cellIs" dxfId="3384" priority="3519" operator="equal">
      <formula>"Yes"</formula>
    </cfRule>
  </conditionalFormatting>
  <conditionalFormatting sqref="BE26">
    <cfRule type="cellIs" dxfId="3383" priority="3514" operator="equal">
      <formula>"No"</formula>
    </cfRule>
    <cfRule type="cellIs" dxfId="3382" priority="3515" operator="equal">
      <formula>"NA"</formula>
    </cfRule>
    <cfRule type="cellIs" dxfId="3381" priority="3516" operator="equal">
      <formula>"Yes"</formula>
    </cfRule>
  </conditionalFormatting>
  <conditionalFormatting sqref="BE33">
    <cfRule type="cellIs" dxfId="3380" priority="3511" operator="equal">
      <formula>"No"</formula>
    </cfRule>
    <cfRule type="cellIs" dxfId="3379" priority="3512" operator="equal">
      <formula>"NA"</formula>
    </cfRule>
    <cfRule type="cellIs" dxfId="3378" priority="3513" operator="equal">
      <formula>"Yes"</formula>
    </cfRule>
  </conditionalFormatting>
  <conditionalFormatting sqref="BE27">
    <cfRule type="cellIs" dxfId="3377" priority="3508" operator="equal">
      <formula>"No"</formula>
    </cfRule>
    <cfRule type="cellIs" dxfId="3376" priority="3509" operator="equal">
      <formula>"NA"</formula>
    </cfRule>
    <cfRule type="cellIs" dxfId="3375" priority="3510" operator="equal">
      <formula>"Yes"</formula>
    </cfRule>
  </conditionalFormatting>
  <conditionalFormatting sqref="BE28">
    <cfRule type="cellIs" dxfId="3374" priority="3505" operator="equal">
      <formula>"No"</formula>
    </cfRule>
    <cfRule type="cellIs" dxfId="3373" priority="3506" operator="equal">
      <formula>"NA"</formula>
    </cfRule>
    <cfRule type="cellIs" dxfId="3372" priority="3507" operator="equal">
      <formula>"Yes"</formula>
    </cfRule>
  </conditionalFormatting>
  <conditionalFormatting sqref="BE30">
    <cfRule type="cellIs" dxfId="3371" priority="3502" operator="equal">
      <formula>"No"</formula>
    </cfRule>
    <cfRule type="cellIs" dxfId="3370" priority="3503" operator="equal">
      <formula>"NA"</formula>
    </cfRule>
    <cfRule type="cellIs" dxfId="3369" priority="3504" operator="equal">
      <formula>"Yes"</formula>
    </cfRule>
  </conditionalFormatting>
  <conditionalFormatting sqref="BE31">
    <cfRule type="cellIs" dxfId="3368" priority="3499" operator="equal">
      <formula>"No"</formula>
    </cfRule>
    <cfRule type="cellIs" dxfId="3367" priority="3500" operator="equal">
      <formula>"NA"</formula>
    </cfRule>
    <cfRule type="cellIs" dxfId="3366" priority="3501" operator="equal">
      <formula>"Yes"</formula>
    </cfRule>
  </conditionalFormatting>
  <conditionalFormatting sqref="BE14">
    <cfRule type="cellIs" dxfId="3365" priority="3496" operator="equal">
      <formula>"No"</formula>
    </cfRule>
    <cfRule type="cellIs" dxfId="3364" priority="3497" operator="equal">
      <formula>"NA"</formula>
    </cfRule>
    <cfRule type="cellIs" dxfId="3363" priority="3498" operator="equal">
      <formula>"Yes"</formula>
    </cfRule>
  </conditionalFormatting>
  <conditionalFormatting sqref="BE6">
    <cfRule type="cellIs" dxfId="3362" priority="3493" operator="equal">
      <formula>"No"</formula>
    </cfRule>
    <cfRule type="cellIs" dxfId="3361" priority="3494" operator="equal">
      <formula>"NA"</formula>
    </cfRule>
    <cfRule type="cellIs" dxfId="3360" priority="3495" operator="equal">
      <formula>"Yes"</formula>
    </cfRule>
  </conditionalFormatting>
  <conditionalFormatting sqref="BE25">
    <cfRule type="cellIs" dxfId="3359" priority="3487" operator="equal">
      <formula>"No"</formula>
    </cfRule>
    <cfRule type="cellIs" dxfId="3358" priority="3488" operator="equal">
      <formula>"NA"</formula>
    </cfRule>
    <cfRule type="cellIs" dxfId="3357" priority="3489" operator="equal">
      <formula>"Yes"</formula>
    </cfRule>
  </conditionalFormatting>
  <conditionalFormatting sqref="BE10">
    <cfRule type="cellIs" dxfId="3356" priority="3484" operator="equal">
      <formula>"No"</formula>
    </cfRule>
    <cfRule type="cellIs" dxfId="3355" priority="3485" operator="equal">
      <formula>"NA"</formula>
    </cfRule>
    <cfRule type="cellIs" dxfId="3354" priority="3486" operator="equal">
      <formula>"Yes"</formula>
    </cfRule>
  </conditionalFormatting>
  <conditionalFormatting sqref="BE15">
    <cfRule type="cellIs" dxfId="3353" priority="3481" operator="equal">
      <formula>"No"</formula>
    </cfRule>
    <cfRule type="cellIs" dxfId="3352" priority="3482" operator="equal">
      <formula>"NA"</formula>
    </cfRule>
    <cfRule type="cellIs" dxfId="3351" priority="3483" operator="equal">
      <formula>"Yes"</formula>
    </cfRule>
  </conditionalFormatting>
  <conditionalFormatting sqref="BE17">
    <cfRule type="cellIs" dxfId="3350" priority="3478" operator="equal">
      <formula>"No"</formula>
    </cfRule>
    <cfRule type="cellIs" dxfId="3349" priority="3479" operator="equal">
      <formula>"NA"</formula>
    </cfRule>
    <cfRule type="cellIs" dxfId="3348" priority="3480" operator="equal">
      <formula>"Yes"</formula>
    </cfRule>
  </conditionalFormatting>
  <conditionalFormatting sqref="BF7">
    <cfRule type="cellIs" dxfId="3347" priority="3475" operator="equal">
      <formula>"No"</formula>
    </cfRule>
    <cfRule type="cellIs" dxfId="3346" priority="3476" operator="equal">
      <formula>"NA"</formula>
    </cfRule>
    <cfRule type="cellIs" dxfId="3345" priority="3477" operator="equal">
      <formula>"Yes"</formula>
    </cfRule>
  </conditionalFormatting>
  <conditionalFormatting sqref="BF11">
    <cfRule type="cellIs" dxfId="3344" priority="3469" operator="equal">
      <formula>"No"</formula>
    </cfRule>
    <cfRule type="cellIs" dxfId="3343" priority="3470" operator="equal">
      <formula>"NA"</formula>
    </cfRule>
    <cfRule type="cellIs" dxfId="3342" priority="3471" operator="equal">
      <formula>"Yes"</formula>
    </cfRule>
  </conditionalFormatting>
  <conditionalFormatting sqref="BF12">
    <cfRule type="cellIs" dxfId="3341" priority="3466" operator="equal">
      <formula>"No"</formula>
    </cfRule>
    <cfRule type="cellIs" dxfId="3340" priority="3467" operator="equal">
      <formula>"NA"</formula>
    </cfRule>
    <cfRule type="cellIs" dxfId="3339" priority="3468" operator="equal">
      <formula>"Yes"</formula>
    </cfRule>
  </conditionalFormatting>
  <conditionalFormatting sqref="BF13">
    <cfRule type="cellIs" dxfId="3338" priority="3463" operator="equal">
      <formula>"No"</formula>
    </cfRule>
    <cfRule type="cellIs" dxfId="3337" priority="3464" operator="equal">
      <formula>"NA"</formula>
    </cfRule>
    <cfRule type="cellIs" dxfId="3336" priority="3465" operator="equal">
      <formula>"Yes"</formula>
    </cfRule>
  </conditionalFormatting>
  <conditionalFormatting sqref="BF16">
    <cfRule type="cellIs" dxfId="3335" priority="3460" operator="equal">
      <formula>"No"</formula>
    </cfRule>
    <cfRule type="cellIs" dxfId="3334" priority="3461" operator="equal">
      <formula>"NA"</formula>
    </cfRule>
    <cfRule type="cellIs" dxfId="3333" priority="3462" operator="equal">
      <formula>"Yes"</formula>
    </cfRule>
  </conditionalFormatting>
  <conditionalFormatting sqref="BF18">
    <cfRule type="cellIs" dxfId="3332" priority="3457" operator="equal">
      <formula>"No"</formula>
    </cfRule>
    <cfRule type="cellIs" dxfId="3331" priority="3458" operator="equal">
      <formula>"NA"</formula>
    </cfRule>
    <cfRule type="cellIs" dxfId="3330" priority="3459" operator="equal">
      <formula>"Yes"</formula>
    </cfRule>
  </conditionalFormatting>
  <conditionalFormatting sqref="BF19">
    <cfRule type="cellIs" dxfId="3329" priority="3454" operator="equal">
      <formula>"No"</formula>
    </cfRule>
    <cfRule type="cellIs" dxfId="3328" priority="3455" operator="equal">
      <formula>"NA"</formula>
    </cfRule>
    <cfRule type="cellIs" dxfId="3327" priority="3456" operator="equal">
      <formula>"Yes"</formula>
    </cfRule>
  </conditionalFormatting>
  <conditionalFormatting sqref="BF20">
    <cfRule type="cellIs" dxfId="3326" priority="3451" operator="equal">
      <formula>"No"</formula>
    </cfRule>
    <cfRule type="cellIs" dxfId="3325" priority="3452" operator="equal">
      <formula>"NA"</formula>
    </cfRule>
    <cfRule type="cellIs" dxfId="3324" priority="3453" operator="equal">
      <formula>"Yes"</formula>
    </cfRule>
  </conditionalFormatting>
  <conditionalFormatting sqref="BF21">
    <cfRule type="cellIs" dxfId="3323" priority="3448" operator="equal">
      <formula>"No"</formula>
    </cfRule>
    <cfRule type="cellIs" dxfId="3322" priority="3449" operator="equal">
      <formula>"NA"</formula>
    </cfRule>
    <cfRule type="cellIs" dxfId="3321" priority="3450" operator="equal">
      <formula>"Yes"</formula>
    </cfRule>
  </conditionalFormatting>
  <conditionalFormatting sqref="BF22">
    <cfRule type="cellIs" dxfId="3320" priority="3445" operator="equal">
      <formula>"No"</formula>
    </cfRule>
    <cfRule type="cellIs" dxfId="3319" priority="3446" operator="equal">
      <formula>"NA"</formula>
    </cfRule>
    <cfRule type="cellIs" dxfId="3318" priority="3447" operator="equal">
      <formula>"Yes"</formula>
    </cfRule>
  </conditionalFormatting>
  <conditionalFormatting sqref="BF23">
    <cfRule type="cellIs" dxfId="3317" priority="3442" operator="equal">
      <formula>"No"</formula>
    </cfRule>
    <cfRule type="cellIs" dxfId="3316" priority="3443" operator="equal">
      <formula>"NA"</formula>
    </cfRule>
    <cfRule type="cellIs" dxfId="3315" priority="3444" operator="equal">
      <formula>"Yes"</formula>
    </cfRule>
  </conditionalFormatting>
  <conditionalFormatting sqref="BF26">
    <cfRule type="cellIs" dxfId="3314" priority="3439" operator="equal">
      <formula>"No"</formula>
    </cfRule>
    <cfRule type="cellIs" dxfId="3313" priority="3440" operator="equal">
      <formula>"NA"</formula>
    </cfRule>
    <cfRule type="cellIs" dxfId="3312" priority="3441" operator="equal">
      <formula>"Yes"</formula>
    </cfRule>
  </conditionalFormatting>
  <conditionalFormatting sqref="BF33">
    <cfRule type="cellIs" dxfId="3311" priority="3436" operator="equal">
      <formula>"No"</formula>
    </cfRule>
    <cfRule type="cellIs" dxfId="3310" priority="3437" operator="equal">
      <formula>"NA"</formula>
    </cfRule>
    <cfRule type="cellIs" dxfId="3309" priority="3438" operator="equal">
      <formula>"Yes"</formula>
    </cfRule>
  </conditionalFormatting>
  <conditionalFormatting sqref="BF27">
    <cfRule type="cellIs" dxfId="3308" priority="3433" operator="equal">
      <formula>"No"</formula>
    </cfRule>
    <cfRule type="cellIs" dxfId="3307" priority="3434" operator="equal">
      <formula>"NA"</formula>
    </cfRule>
    <cfRule type="cellIs" dxfId="3306" priority="3435" operator="equal">
      <formula>"Yes"</formula>
    </cfRule>
  </conditionalFormatting>
  <conditionalFormatting sqref="BF28">
    <cfRule type="cellIs" dxfId="3305" priority="3430" operator="equal">
      <formula>"No"</formula>
    </cfRule>
    <cfRule type="cellIs" dxfId="3304" priority="3431" operator="equal">
      <formula>"NA"</formula>
    </cfRule>
    <cfRule type="cellIs" dxfId="3303" priority="3432" operator="equal">
      <formula>"Yes"</formula>
    </cfRule>
  </conditionalFormatting>
  <conditionalFormatting sqref="BF30">
    <cfRule type="cellIs" dxfId="3302" priority="3427" operator="equal">
      <formula>"No"</formula>
    </cfRule>
    <cfRule type="cellIs" dxfId="3301" priority="3428" operator="equal">
      <formula>"NA"</formula>
    </cfRule>
    <cfRule type="cellIs" dxfId="3300" priority="3429" operator="equal">
      <formula>"Yes"</formula>
    </cfRule>
  </conditionalFormatting>
  <conditionalFormatting sqref="BF31">
    <cfRule type="cellIs" dxfId="3299" priority="3424" operator="equal">
      <formula>"No"</formula>
    </cfRule>
    <cfRule type="cellIs" dxfId="3298" priority="3425" operator="equal">
      <formula>"NA"</formula>
    </cfRule>
    <cfRule type="cellIs" dxfId="3297" priority="3426" operator="equal">
      <formula>"Yes"</formula>
    </cfRule>
  </conditionalFormatting>
  <conditionalFormatting sqref="BF14">
    <cfRule type="cellIs" dxfId="3296" priority="3421" operator="equal">
      <formula>"No"</formula>
    </cfRule>
    <cfRule type="cellIs" dxfId="3295" priority="3422" operator="equal">
      <formula>"NA"</formula>
    </cfRule>
    <cfRule type="cellIs" dxfId="3294" priority="3423" operator="equal">
      <formula>"Yes"</formula>
    </cfRule>
  </conditionalFormatting>
  <conditionalFormatting sqref="BF6">
    <cfRule type="cellIs" dxfId="3293" priority="3418" operator="equal">
      <formula>"No"</formula>
    </cfRule>
    <cfRule type="cellIs" dxfId="3292" priority="3419" operator="equal">
      <formula>"NA"</formula>
    </cfRule>
    <cfRule type="cellIs" dxfId="3291" priority="3420" operator="equal">
      <formula>"Yes"</formula>
    </cfRule>
  </conditionalFormatting>
  <conditionalFormatting sqref="BF25">
    <cfRule type="cellIs" dxfId="3290" priority="3415" operator="equal">
      <formula>"No"</formula>
    </cfRule>
    <cfRule type="cellIs" dxfId="3289" priority="3416" operator="equal">
      <formula>"NA"</formula>
    </cfRule>
    <cfRule type="cellIs" dxfId="3288" priority="3417" operator="equal">
      <formula>"Yes"</formula>
    </cfRule>
  </conditionalFormatting>
  <conditionalFormatting sqref="BF10">
    <cfRule type="cellIs" dxfId="3287" priority="3412" operator="equal">
      <formula>"No"</formula>
    </cfRule>
    <cfRule type="cellIs" dxfId="3286" priority="3413" operator="equal">
      <formula>"NA"</formula>
    </cfRule>
    <cfRule type="cellIs" dxfId="3285" priority="3414" operator="equal">
      <formula>"Yes"</formula>
    </cfRule>
  </conditionalFormatting>
  <conditionalFormatting sqref="BF15">
    <cfRule type="cellIs" dxfId="3284" priority="3409" operator="equal">
      <formula>"No"</formula>
    </cfRule>
    <cfRule type="cellIs" dxfId="3283" priority="3410" operator="equal">
      <formula>"NA"</formula>
    </cfRule>
    <cfRule type="cellIs" dxfId="3282" priority="3411" operator="equal">
      <formula>"Yes"</formula>
    </cfRule>
  </conditionalFormatting>
  <conditionalFormatting sqref="BF17">
    <cfRule type="cellIs" dxfId="3281" priority="3406" operator="equal">
      <formula>"No"</formula>
    </cfRule>
    <cfRule type="cellIs" dxfId="3280" priority="3407" operator="equal">
      <formula>"NA"</formula>
    </cfRule>
    <cfRule type="cellIs" dxfId="3279" priority="3408" operator="equal">
      <formula>"Yes"</formula>
    </cfRule>
  </conditionalFormatting>
  <conditionalFormatting sqref="BF9">
    <cfRule type="cellIs" dxfId="3278" priority="3403" operator="equal">
      <formula>"No"</formula>
    </cfRule>
    <cfRule type="cellIs" dxfId="3277" priority="3404" operator="equal">
      <formula>"NA"</formula>
    </cfRule>
    <cfRule type="cellIs" dxfId="3276" priority="3405" operator="equal">
      <formula>"Yes"</formula>
    </cfRule>
  </conditionalFormatting>
  <conditionalFormatting sqref="BG7">
    <cfRule type="cellIs" dxfId="3275" priority="3400" operator="equal">
      <formula>"No"</formula>
    </cfRule>
    <cfRule type="cellIs" dxfId="3274" priority="3401" operator="equal">
      <formula>"NA"</formula>
    </cfRule>
    <cfRule type="cellIs" dxfId="3273" priority="3402" operator="equal">
      <formula>"Yes"</formula>
    </cfRule>
  </conditionalFormatting>
  <conditionalFormatting sqref="BG11">
    <cfRule type="cellIs" dxfId="3272" priority="3397" operator="equal">
      <formula>"No"</formula>
    </cfRule>
    <cfRule type="cellIs" dxfId="3271" priority="3398" operator="equal">
      <formula>"NA"</formula>
    </cfRule>
    <cfRule type="cellIs" dxfId="3270" priority="3399" operator="equal">
      <formula>"Yes"</formula>
    </cfRule>
  </conditionalFormatting>
  <conditionalFormatting sqref="BG12">
    <cfRule type="cellIs" dxfId="3269" priority="3394" operator="equal">
      <formula>"No"</formula>
    </cfRule>
    <cfRule type="cellIs" dxfId="3268" priority="3395" operator="equal">
      <formula>"NA"</formula>
    </cfRule>
    <cfRule type="cellIs" dxfId="3267" priority="3396" operator="equal">
      <formula>"Yes"</formula>
    </cfRule>
  </conditionalFormatting>
  <conditionalFormatting sqref="BG13">
    <cfRule type="cellIs" dxfId="3266" priority="3391" operator="equal">
      <formula>"No"</formula>
    </cfRule>
    <cfRule type="cellIs" dxfId="3265" priority="3392" operator="equal">
      <formula>"NA"</formula>
    </cfRule>
    <cfRule type="cellIs" dxfId="3264" priority="3393" operator="equal">
      <formula>"Yes"</formula>
    </cfRule>
  </conditionalFormatting>
  <conditionalFormatting sqref="BG16">
    <cfRule type="cellIs" dxfId="3263" priority="3388" operator="equal">
      <formula>"No"</formula>
    </cfRule>
    <cfRule type="cellIs" dxfId="3262" priority="3389" operator="equal">
      <formula>"NA"</formula>
    </cfRule>
    <cfRule type="cellIs" dxfId="3261" priority="3390" operator="equal">
      <formula>"Yes"</formula>
    </cfRule>
  </conditionalFormatting>
  <conditionalFormatting sqref="BG18">
    <cfRule type="cellIs" dxfId="3260" priority="3385" operator="equal">
      <formula>"No"</formula>
    </cfRule>
    <cfRule type="cellIs" dxfId="3259" priority="3386" operator="equal">
      <formula>"NA"</formula>
    </cfRule>
    <cfRule type="cellIs" dxfId="3258" priority="3387" operator="equal">
      <formula>"Yes"</formula>
    </cfRule>
  </conditionalFormatting>
  <conditionalFormatting sqref="BG19">
    <cfRule type="cellIs" dxfId="3257" priority="3382" operator="equal">
      <formula>"No"</formula>
    </cfRule>
    <cfRule type="cellIs" dxfId="3256" priority="3383" operator="equal">
      <formula>"NA"</formula>
    </cfRule>
    <cfRule type="cellIs" dxfId="3255" priority="3384" operator="equal">
      <formula>"Yes"</formula>
    </cfRule>
  </conditionalFormatting>
  <conditionalFormatting sqref="BG20">
    <cfRule type="cellIs" dxfId="3254" priority="3379" operator="equal">
      <formula>"No"</formula>
    </cfRule>
    <cfRule type="cellIs" dxfId="3253" priority="3380" operator="equal">
      <formula>"NA"</formula>
    </cfRule>
    <cfRule type="cellIs" dxfId="3252" priority="3381" operator="equal">
      <formula>"Yes"</formula>
    </cfRule>
  </conditionalFormatting>
  <conditionalFormatting sqref="BG21">
    <cfRule type="cellIs" dxfId="3251" priority="3376" operator="equal">
      <formula>"No"</formula>
    </cfRule>
    <cfRule type="cellIs" dxfId="3250" priority="3377" operator="equal">
      <formula>"NA"</formula>
    </cfRule>
    <cfRule type="cellIs" dxfId="3249" priority="3378" operator="equal">
      <formula>"Yes"</formula>
    </cfRule>
  </conditionalFormatting>
  <conditionalFormatting sqref="BG22">
    <cfRule type="cellIs" dxfId="3248" priority="3373" operator="equal">
      <formula>"No"</formula>
    </cfRule>
    <cfRule type="cellIs" dxfId="3247" priority="3374" operator="equal">
      <formula>"NA"</formula>
    </cfRule>
    <cfRule type="cellIs" dxfId="3246" priority="3375" operator="equal">
      <formula>"Yes"</formula>
    </cfRule>
  </conditionalFormatting>
  <conditionalFormatting sqref="BG23">
    <cfRule type="cellIs" dxfId="3245" priority="3370" operator="equal">
      <formula>"No"</formula>
    </cfRule>
    <cfRule type="cellIs" dxfId="3244" priority="3371" operator="equal">
      <formula>"NA"</formula>
    </cfRule>
    <cfRule type="cellIs" dxfId="3243" priority="3372" operator="equal">
      <formula>"Yes"</formula>
    </cfRule>
  </conditionalFormatting>
  <conditionalFormatting sqref="BG26">
    <cfRule type="cellIs" dxfId="3242" priority="3367" operator="equal">
      <formula>"No"</formula>
    </cfRule>
    <cfRule type="cellIs" dxfId="3241" priority="3368" operator="equal">
      <formula>"NA"</formula>
    </cfRule>
    <cfRule type="cellIs" dxfId="3240" priority="3369" operator="equal">
      <formula>"Yes"</formula>
    </cfRule>
  </conditionalFormatting>
  <conditionalFormatting sqref="BG33">
    <cfRule type="cellIs" dxfId="3239" priority="3364" operator="equal">
      <formula>"No"</formula>
    </cfRule>
    <cfRule type="cellIs" dxfId="3238" priority="3365" operator="equal">
      <formula>"NA"</formula>
    </cfRule>
    <cfRule type="cellIs" dxfId="3237" priority="3366" operator="equal">
      <formula>"Yes"</formula>
    </cfRule>
  </conditionalFormatting>
  <conditionalFormatting sqref="BG27">
    <cfRule type="cellIs" dxfId="3236" priority="3361" operator="equal">
      <formula>"No"</formula>
    </cfRule>
    <cfRule type="cellIs" dxfId="3235" priority="3362" operator="equal">
      <formula>"NA"</formula>
    </cfRule>
    <cfRule type="cellIs" dxfId="3234" priority="3363" operator="equal">
      <formula>"Yes"</formula>
    </cfRule>
  </conditionalFormatting>
  <conditionalFormatting sqref="BG28">
    <cfRule type="cellIs" dxfId="3233" priority="3358" operator="equal">
      <formula>"No"</formula>
    </cfRule>
    <cfRule type="cellIs" dxfId="3232" priority="3359" operator="equal">
      <formula>"NA"</formula>
    </cfRule>
    <cfRule type="cellIs" dxfId="3231" priority="3360" operator="equal">
      <formula>"Yes"</formula>
    </cfRule>
  </conditionalFormatting>
  <conditionalFormatting sqref="BG30">
    <cfRule type="cellIs" dxfId="3230" priority="3355" operator="equal">
      <formula>"No"</formula>
    </cfRule>
    <cfRule type="cellIs" dxfId="3229" priority="3356" operator="equal">
      <formula>"NA"</formula>
    </cfRule>
    <cfRule type="cellIs" dxfId="3228" priority="3357" operator="equal">
      <formula>"Yes"</formula>
    </cfRule>
  </conditionalFormatting>
  <conditionalFormatting sqref="BG31">
    <cfRule type="cellIs" dxfId="3227" priority="3352" operator="equal">
      <formula>"No"</formula>
    </cfRule>
    <cfRule type="cellIs" dxfId="3226" priority="3353" operator="equal">
      <formula>"NA"</formula>
    </cfRule>
    <cfRule type="cellIs" dxfId="3225" priority="3354" operator="equal">
      <formula>"Yes"</formula>
    </cfRule>
  </conditionalFormatting>
  <conditionalFormatting sqref="BG14">
    <cfRule type="cellIs" dxfId="3224" priority="3349" operator="equal">
      <formula>"No"</formula>
    </cfRule>
    <cfRule type="cellIs" dxfId="3223" priority="3350" operator="equal">
      <formula>"NA"</formula>
    </cfRule>
    <cfRule type="cellIs" dxfId="3222" priority="3351" operator="equal">
      <formula>"Yes"</formula>
    </cfRule>
  </conditionalFormatting>
  <conditionalFormatting sqref="BG6">
    <cfRule type="cellIs" dxfId="3221" priority="3346" operator="equal">
      <formula>"No"</formula>
    </cfRule>
    <cfRule type="cellIs" dxfId="3220" priority="3347" operator="equal">
      <formula>"NA"</formula>
    </cfRule>
    <cfRule type="cellIs" dxfId="3219" priority="3348" operator="equal">
      <formula>"Yes"</formula>
    </cfRule>
  </conditionalFormatting>
  <conditionalFormatting sqref="BG25">
    <cfRule type="cellIs" dxfId="3218" priority="3343" operator="equal">
      <formula>"No"</formula>
    </cfRule>
    <cfRule type="cellIs" dxfId="3217" priority="3344" operator="equal">
      <formula>"NA"</formula>
    </cfRule>
    <cfRule type="cellIs" dxfId="3216" priority="3345" operator="equal">
      <formula>"Yes"</formula>
    </cfRule>
  </conditionalFormatting>
  <conditionalFormatting sqref="BG10">
    <cfRule type="cellIs" dxfId="3215" priority="3340" operator="equal">
      <formula>"No"</formula>
    </cfRule>
    <cfRule type="cellIs" dxfId="3214" priority="3341" operator="equal">
      <formula>"NA"</formula>
    </cfRule>
    <cfRule type="cellIs" dxfId="3213" priority="3342" operator="equal">
      <formula>"Yes"</formula>
    </cfRule>
  </conditionalFormatting>
  <conditionalFormatting sqref="BG15">
    <cfRule type="cellIs" dxfId="3212" priority="3337" operator="equal">
      <formula>"No"</formula>
    </cfRule>
    <cfRule type="cellIs" dxfId="3211" priority="3338" operator="equal">
      <formula>"NA"</formula>
    </cfRule>
    <cfRule type="cellIs" dxfId="3210" priority="3339" operator="equal">
      <formula>"Yes"</formula>
    </cfRule>
  </conditionalFormatting>
  <conditionalFormatting sqref="BG9">
    <cfRule type="cellIs" dxfId="3209" priority="3331" operator="equal">
      <formula>"No"</formula>
    </cfRule>
    <cfRule type="cellIs" dxfId="3208" priority="3332" operator="equal">
      <formula>"NA"</formula>
    </cfRule>
    <cfRule type="cellIs" dxfId="3207" priority="3333" operator="equal">
      <formula>"Yes"</formula>
    </cfRule>
  </conditionalFormatting>
  <conditionalFormatting sqref="BG17">
    <cfRule type="cellIs" dxfId="3206" priority="3325" operator="equal">
      <formula>"No"</formula>
    </cfRule>
    <cfRule type="cellIs" dxfId="3205" priority="3326" operator="equal">
      <formula>"NA"</formula>
    </cfRule>
    <cfRule type="cellIs" dxfId="3204" priority="3327" operator="equal">
      <formula>"Yes"</formula>
    </cfRule>
  </conditionalFormatting>
  <conditionalFormatting sqref="BI7">
    <cfRule type="cellIs" dxfId="3203" priority="3250" operator="equal">
      <formula>"No"</formula>
    </cfRule>
    <cfRule type="cellIs" dxfId="3202" priority="3251" operator="equal">
      <formula>"NA"</formula>
    </cfRule>
    <cfRule type="cellIs" dxfId="3201" priority="3252" operator="equal">
      <formula>"Yes"</formula>
    </cfRule>
  </conditionalFormatting>
  <conditionalFormatting sqref="BI11">
    <cfRule type="cellIs" dxfId="3200" priority="3247" operator="equal">
      <formula>"No"</formula>
    </cfRule>
    <cfRule type="cellIs" dxfId="3199" priority="3248" operator="equal">
      <formula>"NA"</formula>
    </cfRule>
    <cfRule type="cellIs" dxfId="3198" priority="3249" operator="equal">
      <formula>"Yes"</formula>
    </cfRule>
  </conditionalFormatting>
  <conditionalFormatting sqref="BI12">
    <cfRule type="cellIs" dxfId="3197" priority="3244" operator="equal">
      <formula>"No"</formula>
    </cfRule>
    <cfRule type="cellIs" dxfId="3196" priority="3245" operator="equal">
      <formula>"NA"</formula>
    </cfRule>
    <cfRule type="cellIs" dxfId="3195" priority="3246" operator="equal">
      <formula>"Yes"</formula>
    </cfRule>
  </conditionalFormatting>
  <conditionalFormatting sqref="BI13">
    <cfRule type="cellIs" dxfId="3194" priority="3241" operator="equal">
      <formula>"No"</formula>
    </cfRule>
    <cfRule type="cellIs" dxfId="3193" priority="3242" operator="equal">
      <formula>"NA"</formula>
    </cfRule>
    <cfRule type="cellIs" dxfId="3192" priority="3243" operator="equal">
      <formula>"Yes"</formula>
    </cfRule>
  </conditionalFormatting>
  <conditionalFormatting sqref="BI16">
    <cfRule type="cellIs" dxfId="3191" priority="3238" operator="equal">
      <formula>"No"</formula>
    </cfRule>
    <cfRule type="cellIs" dxfId="3190" priority="3239" operator="equal">
      <formula>"NA"</formula>
    </cfRule>
    <cfRule type="cellIs" dxfId="3189" priority="3240" operator="equal">
      <formula>"Yes"</formula>
    </cfRule>
  </conditionalFormatting>
  <conditionalFormatting sqref="BI18">
    <cfRule type="cellIs" dxfId="3188" priority="3235" operator="equal">
      <formula>"No"</formula>
    </cfRule>
    <cfRule type="cellIs" dxfId="3187" priority="3236" operator="equal">
      <formula>"NA"</formula>
    </cfRule>
    <cfRule type="cellIs" dxfId="3186" priority="3237" operator="equal">
      <formula>"Yes"</formula>
    </cfRule>
  </conditionalFormatting>
  <conditionalFormatting sqref="BI19">
    <cfRule type="cellIs" dxfId="3185" priority="3232" operator="equal">
      <formula>"No"</formula>
    </cfRule>
    <cfRule type="cellIs" dxfId="3184" priority="3233" operator="equal">
      <formula>"NA"</formula>
    </cfRule>
    <cfRule type="cellIs" dxfId="3183" priority="3234" operator="equal">
      <formula>"Yes"</formula>
    </cfRule>
  </conditionalFormatting>
  <conditionalFormatting sqref="BI20">
    <cfRule type="cellIs" dxfId="3182" priority="3229" operator="equal">
      <formula>"No"</formula>
    </cfRule>
    <cfRule type="cellIs" dxfId="3181" priority="3230" operator="equal">
      <formula>"NA"</formula>
    </cfRule>
    <cfRule type="cellIs" dxfId="3180" priority="3231" operator="equal">
      <formula>"Yes"</formula>
    </cfRule>
  </conditionalFormatting>
  <conditionalFormatting sqref="BI21">
    <cfRule type="cellIs" dxfId="3179" priority="3226" operator="equal">
      <formula>"No"</formula>
    </cfRule>
    <cfRule type="cellIs" dxfId="3178" priority="3227" operator="equal">
      <formula>"NA"</formula>
    </cfRule>
    <cfRule type="cellIs" dxfId="3177" priority="3228" operator="equal">
      <formula>"Yes"</formula>
    </cfRule>
  </conditionalFormatting>
  <conditionalFormatting sqref="BI22">
    <cfRule type="cellIs" dxfId="3176" priority="3223" operator="equal">
      <formula>"No"</formula>
    </cfRule>
    <cfRule type="cellIs" dxfId="3175" priority="3224" operator="equal">
      <formula>"NA"</formula>
    </cfRule>
    <cfRule type="cellIs" dxfId="3174" priority="3225" operator="equal">
      <formula>"Yes"</formula>
    </cfRule>
  </conditionalFormatting>
  <conditionalFormatting sqref="BI23">
    <cfRule type="cellIs" dxfId="3173" priority="3220" operator="equal">
      <formula>"No"</formula>
    </cfRule>
    <cfRule type="cellIs" dxfId="3172" priority="3221" operator="equal">
      <formula>"NA"</formula>
    </cfRule>
    <cfRule type="cellIs" dxfId="3171" priority="3222" operator="equal">
      <formula>"Yes"</formula>
    </cfRule>
  </conditionalFormatting>
  <conditionalFormatting sqref="BI26">
    <cfRule type="cellIs" dxfId="3170" priority="3217" operator="equal">
      <formula>"No"</formula>
    </cfRule>
    <cfRule type="cellIs" dxfId="3169" priority="3218" operator="equal">
      <formula>"NA"</formula>
    </cfRule>
    <cfRule type="cellIs" dxfId="3168" priority="3219" operator="equal">
      <formula>"Yes"</formula>
    </cfRule>
  </conditionalFormatting>
  <conditionalFormatting sqref="BI33">
    <cfRule type="cellIs" dxfId="3167" priority="3214" operator="equal">
      <formula>"No"</formula>
    </cfRule>
    <cfRule type="cellIs" dxfId="3166" priority="3215" operator="equal">
      <formula>"NA"</formula>
    </cfRule>
    <cfRule type="cellIs" dxfId="3165" priority="3216" operator="equal">
      <formula>"Yes"</formula>
    </cfRule>
  </conditionalFormatting>
  <conditionalFormatting sqref="BI27">
    <cfRule type="cellIs" dxfId="3164" priority="3211" operator="equal">
      <formula>"No"</formula>
    </cfRule>
    <cfRule type="cellIs" dxfId="3163" priority="3212" operator="equal">
      <formula>"NA"</formula>
    </cfRule>
    <cfRule type="cellIs" dxfId="3162" priority="3213" operator="equal">
      <formula>"Yes"</formula>
    </cfRule>
  </conditionalFormatting>
  <conditionalFormatting sqref="BI28">
    <cfRule type="cellIs" dxfId="3161" priority="3208" operator="equal">
      <formula>"No"</formula>
    </cfRule>
    <cfRule type="cellIs" dxfId="3160" priority="3209" operator="equal">
      <formula>"NA"</formula>
    </cfRule>
    <cfRule type="cellIs" dxfId="3159" priority="3210" operator="equal">
      <formula>"Yes"</formula>
    </cfRule>
  </conditionalFormatting>
  <conditionalFormatting sqref="BI30">
    <cfRule type="cellIs" dxfId="3158" priority="3205" operator="equal">
      <formula>"No"</formula>
    </cfRule>
    <cfRule type="cellIs" dxfId="3157" priority="3206" operator="equal">
      <formula>"NA"</formula>
    </cfRule>
    <cfRule type="cellIs" dxfId="3156" priority="3207" operator="equal">
      <formula>"Yes"</formula>
    </cfRule>
  </conditionalFormatting>
  <conditionalFormatting sqref="BI31">
    <cfRule type="cellIs" dxfId="3155" priority="3202" operator="equal">
      <formula>"No"</formula>
    </cfRule>
    <cfRule type="cellIs" dxfId="3154" priority="3203" operator="equal">
      <formula>"NA"</formula>
    </cfRule>
    <cfRule type="cellIs" dxfId="3153" priority="3204" operator="equal">
      <formula>"Yes"</formula>
    </cfRule>
  </conditionalFormatting>
  <conditionalFormatting sqref="BI14">
    <cfRule type="cellIs" dxfId="3152" priority="3199" operator="equal">
      <formula>"No"</formula>
    </cfRule>
    <cfRule type="cellIs" dxfId="3151" priority="3200" operator="equal">
      <formula>"NA"</formula>
    </cfRule>
    <cfRule type="cellIs" dxfId="3150" priority="3201" operator="equal">
      <formula>"Yes"</formula>
    </cfRule>
  </conditionalFormatting>
  <conditionalFormatting sqref="BI6">
    <cfRule type="cellIs" dxfId="3149" priority="3196" operator="equal">
      <formula>"No"</formula>
    </cfRule>
    <cfRule type="cellIs" dxfId="3148" priority="3197" operator="equal">
      <formula>"NA"</formula>
    </cfRule>
    <cfRule type="cellIs" dxfId="3147" priority="3198" operator="equal">
      <formula>"Yes"</formula>
    </cfRule>
  </conditionalFormatting>
  <conditionalFormatting sqref="BI25">
    <cfRule type="cellIs" dxfId="3146" priority="3193" operator="equal">
      <formula>"No"</formula>
    </cfRule>
    <cfRule type="cellIs" dxfId="3145" priority="3194" operator="equal">
      <formula>"NA"</formula>
    </cfRule>
    <cfRule type="cellIs" dxfId="3144" priority="3195" operator="equal">
      <formula>"Yes"</formula>
    </cfRule>
  </conditionalFormatting>
  <conditionalFormatting sqref="BI10">
    <cfRule type="cellIs" dxfId="3143" priority="3190" operator="equal">
      <formula>"No"</formula>
    </cfRule>
    <cfRule type="cellIs" dxfId="3142" priority="3191" operator="equal">
      <formula>"NA"</formula>
    </cfRule>
    <cfRule type="cellIs" dxfId="3141" priority="3192" operator="equal">
      <formula>"Yes"</formula>
    </cfRule>
  </conditionalFormatting>
  <conditionalFormatting sqref="BI15">
    <cfRule type="cellIs" dxfId="3140" priority="3187" operator="equal">
      <formula>"No"</formula>
    </cfRule>
    <cfRule type="cellIs" dxfId="3139" priority="3188" operator="equal">
      <formula>"NA"</formula>
    </cfRule>
    <cfRule type="cellIs" dxfId="3138" priority="3189" operator="equal">
      <formula>"Yes"</formula>
    </cfRule>
  </conditionalFormatting>
  <conditionalFormatting sqref="BI9">
    <cfRule type="cellIs" dxfId="3137" priority="3184" operator="equal">
      <formula>"No"</formula>
    </cfRule>
    <cfRule type="cellIs" dxfId="3136" priority="3185" operator="equal">
      <formula>"NA"</formula>
    </cfRule>
    <cfRule type="cellIs" dxfId="3135" priority="3186" operator="equal">
      <formula>"Yes"</formula>
    </cfRule>
  </conditionalFormatting>
  <conditionalFormatting sqref="BI17">
    <cfRule type="cellIs" dxfId="3134" priority="3181" operator="equal">
      <formula>"No"</formula>
    </cfRule>
    <cfRule type="cellIs" dxfId="3133" priority="3182" operator="equal">
      <formula>"NA"</formula>
    </cfRule>
    <cfRule type="cellIs" dxfId="3132" priority="3183" operator="equal">
      <formula>"Yes"</formula>
    </cfRule>
  </conditionalFormatting>
  <conditionalFormatting sqref="BJ7">
    <cfRule type="cellIs" dxfId="3131" priority="3178" operator="equal">
      <formula>"No"</formula>
    </cfRule>
    <cfRule type="cellIs" dxfId="3130" priority="3179" operator="equal">
      <formula>"NA"</formula>
    </cfRule>
    <cfRule type="cellIs" dxfId="3129" priority="3180" operator="equal">
      <formula>"Yes"</formula>
    </cfRule>
  </conditionalFormatting>
  <conditionalFormatting sqref="BJ11">
    <cfRule type="cellIs" dxfId="3128" priority="3175" operator="equal">
      <formula>"No"</formula>
    </cfRule>
    <cfRule type="cellIs" dxfId="3127" priority="3176" operator="equal">
      <formula>"NA"</formula>
    </cfRule>
    <cfRule type="cellIs" dxfId="3126" priority="3177" operator="equal">
      <formula>"Yes"</formula>
    </cfRule>
  </conditionalFormatting>
  <conditionalFormatting sqref="BJ12">
    <cfRule type="cellIs" dxfId="3125" priority="3172" operator="equal">
      <formula>"No"</formula>
    </cfRule>
    <cfRule type="cellIs" dxfId="3124" priority="3173" operator="equal">
      <formula>"NA"</formula>
    </cfRule>
    <cfRule type="cellIs" dxfId="3123" priority="3174" operator="equal">
      <formula>"Yes"</formula>
    </cfRule>
  </conditionalFormatting>
  <conditionalFormatting sqref="BJ13">
    <cfRule type="cellIs" dxfId="3122" priority="3169" operator="equal">
      <formula>"No"</formula>
    </cfRule>
    <cfRule type="cellIs" dxfId="3121" priority="3170" operator="equal">
      <formula>"NA"</formula>
    </cfRule>
    <cfRule type="cellIs" dxfId="3120" priority="3171" operator="equal">
      <formula>"Yes"</formula>
    </cfRule>
  </conditionalFormatting>
  <conditionalFormatting sqref="BJ16">
    <cfRule type="cellIs" dxfId="3119" priority="3166" operator="equal">
      <formula>"No"</formula>
    </cfRule>
    <cfRule type="cellIs" dxfId="3118" priority="3167" operator="equal">
      <formula>"NA"</formula>
    </cfRule>
    <cfRule type="cellIs" dxfId="3117" priority="3168" operator="equal">
      <formula>"Yes"</formula>
    </cfRule>
  </conditionalFormatting>
  <conditionalFormatting sqref="BJ18">
    <cfRule type="cellIs" dxfId="3116" priority="3163" operator="equal">
      <formula>"No"</formula>
    </cfRule>
    <cfRule type="cellIs" dxfId="3115" priority="3164" operator="equal">
      <formula>"NA"</formula>
    </cfRule>
    <cfRule type="cellIs" dxfId="3114" priority="3165" operator="equal">
      <formula>"Yes"</formula>
    </cfRule>
  </conditionalFormatting>
  <conditionalFormatting sqref="BJ19">
    <cfRule type="cellIs" dxfId="3113" priority="3160" operator="equal">
      <formula>"No"</formula>
    </cfRule>
    <cfRule type="cellIs" dxfId="3112" priority="3161" operator="equal">
      <formula>"NA"</formula>
    </cfRule>
    <cfRule type="cellIs" dxfId="3111" priority="3162" operator="equal">
      <formula>"Yes"</formula>
    </cfRule>
  </conditionalFormatting>
  <conditionalFormatting sqref="BJ20">
    <cfRule type="cellIs" dxfId="3110" priority="3157" operator="equal">
      <formula>"No"</formula>
    </cfRule>
    <cfRule type="cellIs" dxfId="3109" priority="3158" operator="equal">
      <formula>"NA"</formula>
    </cfRule>
    <cfRule type="cellIs" dxfId="3108" priority="3159" operator="equal">
      <formula>"Yes"</formula>
    </cfRule>
  </conditionalFormatting>
  <conditionalFormatting sqref="BJ21">
    <cfRule type="cellIs" dxfId="3107" priority="3154" operator="equal">
      <formula>"No"</formula>
    </cfRule>
    <cfRule type="cellIs" dxfId="3106" priority="3155" operator="equal">
      <formula>"NA"</formula>
    </cfRule>
    <cfRule type="cellIs" dxfId="3105" priority="3156" operator="equal">
      <formula>"Yes"</formula>
    </cfRule>
  </conditionalFormatting>
  <conditionalFormatting sqref="BJ22">
    <cfRule type="cellIs" dxfId="3104" priority="3151" operator="equal">
      <formula>"No"</formula>
    </cfRule>
    <cfRule type="cellIs" dxfId="3103" priority="3152" operator="equal">
      <formula>"NA"</formula>
    </cfRule>
    <cfRule type="cellIs" dxfId="3102" priority="3153" operator="equal">
      <formula>"Yes"</formula>
    </cfRule>
  </conditionalFormatting>
  <conditionalFormatting sqref="BJ23">
    <cfRule type="cellIs" dxfId="3101" priority="3148" operator="equal">
      <formula>"No"</formula>
    </cfRule>
    <cfRule type="cellIs" dxfId="3100" priority="3149" operator="equal">
      <formula>"NA"</formula>
    </cfRule>
    <cfRule type="cellIs" dxfId="3099" priority="3150" operator="equal">
      <formula>"Yes"</formula>
    </cfRule>
  </conditionalFormatting>
  <conditionalFormatting sqref="BJ26">
    <cfRule type="cellIs" dxfId="3098" priority="3145" operator="equal">
      <formula>"No"</formula>
    </cfRule>
    <cfRule type="cellIs" dxfId="3097" priority="3146" operator="equal">
      <formula>"NA"</formula>
    </cfRule>
    <cfRule type="cellIs" dxfId="3096" priority="3147" operator="equal">
      <formula>"Yes"</formula>
    </cfRule>
  </conditionalFormatting>
  <conditionalFormatting sqref="BJ33">
    <cfRule type="cellIs" dxfId="3095" priority="3142" operator="equal">
      <formula>"No"</formula>
    </cfRule>
    <cfRule type="cellIs" dxfId="3094" priority="3143" operator="equal">
      <formula>"NA"</formula>
    </cfRule>
    <cfRule type="cellIs" dxfId="3093" priority="3144" operator="equal">
      <formula>"Yes"</formula>
    </cfRule>
  </conditionalFormatting>
  <conditionalFormatting sqref="BJ27">
    <cfRule type="cellIs" dxfId="3092" priority="3139" operator="equal">
      <formula>"No"</formula>
    </cfRule>
    <cfRule type="cellIs" dxfId="3091" priority="3140" operator="equal">
      <formula>"NA"</formula>
    </cfRule>
    <cfRule type="cellIs" dxfId="3090" priority="3141" operator="equal">
      <formula>"Yes"</formula>
    </cfRule>
  </conditionalFormatting>
  <conditionalFormatting sqref="BJ28">
    <cfRule type="cellIs" dxfId="3089" priority="3136" operator="equal">
      <formula>"No"</formula>
    </cfRule>
    <cfRule type="cellIs" dxfId="3088" priority="3137" operator="equal">
      <formula>"NA"</formula>
    </cfRule>
    <cfRule type="cellIs" dxfId="3087" priority="3138" operator="equal">
      <formula>"Yes"</formula>
    </cfRule>
  </conditionalFormatting>
  <conditionalFormatting sqref="BJ30">
    <cfRule type="cellIs" dxfId="3086" priority="3133" operator="equal">
      <formula>"No"</formula>
    </cfRule>
    <cfRule type="cellIs" dxfId="3085" priority="3134" operator="equal">
      <formula>"NA"</formula>
    </cfRule>
    <cfRule type="cellIs" dxfId="3084" priority="3135" operator="equal">
      <formula>"Yes"</formula>
    </cfRule>
  </conditionalFormatting>
  <conditionalFormatting sqref="BJ31">
    <cfRule type="cellIs" dxfId="3083" priority="3130" operator="equal">
      <formula>"No"</formula>
    </cfRule>
    <cfRule type="cellIs" dxfId="3082" priority="3131" operator="equal">
      <formula>"NA"</formula>
    </cfRule>
    <cfRule type="cellIs" dxfId="3081" priority="3132" operator="equal">
      <formula>"Yes"</formula>
    </cfRule>
  </conditionalFormatting>
  <conditionalFormatting sqref="BJ14">
    <cfRule type="cellIs" dxfId="3080" priority="3127" operator="equal">
      <formula>"No"</formula>
    </cfRule>
    <cfRule type="cellIs" dxfId="3079" priority="3128" operator="equal">
      <formula>"NA"</formula>
    </cfRule>
    <cfRule type="cellIs" dxfId="3078" priority="3129" operator="equal">
      <formula>"Yes"</formula>
    </cfRule>
  </conditionalFormatting>
  <conditionalFormatting sqref="BJ6">
    <cfRule type="cellIs" dxfId="3077" priority="3124" operator="equal">
      <formula>"No"</formula>
    </cfRule>
    <cfRule type="cellIs" dxfId="3076" priority="3125" operator="equal">
      <formula>"NA"</formula>
    </cfRule>
    <cfRule type="cellIs" dxfId="3075" priority="3126" operator="equal">
      <formula>"Yes"</formula>
    </cfRule>
  </conditionalFormatting>
  <conditionalFormatting sqref="BJ25">
    <cfRule type="cellIs" dxfId="3074" priority="3121" operator="equal">
      <formula>"No"</formula>
    </cfRule>
    <cfRule type="cellIs" dxfId="3073" priority="3122" operator="equal">
      <formula>"NA"</formula>
    </cfRule>
    <cfRule type="cellIs" dxfId="3072" priority="3123" operator="equal">
      <formula>"Yes"</formula>
    </cfRule>
  </conditionalFormatting>
  <conditionalFormatting sqref="BJ10">
    <cfRule type="cellIs" dxfId="3071" priority="3118" operator="equal">
      <formula>"No"</formula>
    </cfRule>
    <cfRule type="cellIs" dxfId="3070" priority="3119" operator="equal">
      <formula>"NA"</formula>
    </cfRule>
    <cfRule type="cellIs" dxfId="3069" priority="3120" operator="equal">
      <formula>"Yes"</formula>
    </cfRule>
  </conditionalFormatting>
  <conditionalFormatting sqref="BJ15">
    <cfRule type="cellIs" dxfId="3068" priority="3115" operator="equal">
      <formula>"No"</formula>
    </cfRule>
    <cfRule type="cellIs" dxfId="3067" priority="3116" operator="equal">
      <formula>"NA"</formula>
    </cfRule>
    <cfRule type="cellIs" dxfId="3066" priority="3117" operator="equal">
      <formula>"Yes"</formula>
    </cfRule>
  </conditionalFormatting>
  <conditionalFormatting sqref="BJ9">
    <cfRule type="cellIs" dxfId="3065" priority="3112" operator="equal">
      <formula>"No"</formula>
    </cfRule>
    <cfRule type="cellIs" dxfId="3064" priority="3113" operator="equal">
      <formula>"NA"</formula>
    </cfRule>
    <cfRule type="cellIs" dxfId="3063" priority="3114" operator="equal">
      <formula>"Yes"</formula>
    </cfRule>
  </conditionalFormatting>
  <conditionalFormatting sqref="BJ17">
    <cfRule type="cellIs" dxfId="3062" priority="3109" operator="equal">
      <formula>"No"</formula>
    </cfRule>
    <cfRule type="cellIs" dxfId="3061" priority="3110" operator="equal">
      <formula>"NA"</formula>
    </cfRule>
    <cfRule type="cellIs" dxfId="3060" priority="3111" operator="equal">
      <formula>"Yes"</formula>
    </cfRule>
  </conditionalFormatting>
  <conditionalFormatting sqref="BK7">
    <cfRule type="cellIs" dxfId="3059" priority="3106" operator="equal">
      <formula>"No"</formula>
    </cfRule>
    <cfRule type="cellIs" dxfId="3058" priority="3107" operator="equal">
      <formula>"NA"</formula>
    </cfRule>
    <cfRule type="cellIs" dxfId="3057" priority="3108" operator="equal">
      <formula>"Yes"</formula>
    </cfRule>
  </conditionalFormatting>
  <conditionalFormatting sqref="BK11">
    <cfRule type="cellIs" dxfId="3056" priority="3103" operator="equal">
      <formula>"No"</formula>
    </cfRule>
    <cfRule type="cellIs" dxfId="3055" priority="3104" operator="equal">
      <formula>"NA"</formula>
    </cfRule>
    <cfRule type="cellIs" dxfId="3054" priority="3105" operator="equal">
      <formula>"Yes"</formula>
    </cfRule>
  </conditionalFormatting>
  <conditionalFormatting sqref="BK12">
    <cfRule type="cellIs" dxfId="3053" priority="3100" operator="equal">
      <formula>"No"</formula>
    </cfRule>
    <cfRule type="cellIs" dxfId="3052" priority="3101" operator="equal">
      <formula>"NA"</formula>
    </cfRule>
    <cfRule type="cellIs" dxfId="3051" priority="3102" operator="equal">
      <formula>"Yes"</formula>
    </cfRule>
  </conditionalFormatting>
  <conditionalFormatting sqref="BK13">
    <cfRule type="cellIs" dxfId="3050" priority="3097" operator="equal">
      <formula>"No"</formula>
    </cfRule>
    <cfRule type="cellIs" dxfId="3049" priority="3098" operator="equal">
      <formula>"NA"</formula>
    </cfRule>
    <cfRule type="cellIs" dxfId="3048" priority="3099" operator="equal">
      <formula>"Yes"</formula>
    </cfRule>
  </conditionalFormatting>
  <conditionalFormatting sqref="BK16">
    <cfRule type="cellIs" dxfId="3047" priority="3094" operator="equal">
      <formula>"No"</formula>
    </cfRule>
    <cfRule type="cellIs" dxfId="3046" priority="3095" operator="equal">
      <formula>"NA"</formula>
    </cfRule>
    <cfRule type="cellIs" dxfId="3045" priority="3096" operator="equal">
      <formula>"Yes"</formula>
    </cfRule>
  </conditionalFormatting>
  <conditionalFormatting sqref="BK18">
    <cfRule type="cellIs" dxfId="3044" priority="3091" operator="equal">
      <formula>"No"</formula>
    </cfRule>
    <cfRule type="cellIs" dxfId="3043" priority="3092" operator="equal">
      <formula>"NA"</formula>
    </cfRule>
    <cfRule type="cellIs" dxfId="3042" priority="3093" operator="equal">
      <formula>"Yes"</formula>
    </cfRule>
  </conditionalFormatting>
  <conditionalFormatting sqref="BK19">
    <cfRule type="cellIs" dxfId="3041" priority="3088" operator="equal">
      <formula>"No"</formula>
    </cfRule>
    <cfRule type="cellIs" dxfId="3040" priority="3089" operator="equal">
      <formula>"NA"</formula>
    </cfRule>
    <cfRule type="cellIs" dxfId="3039" priority="3090" operator="equal">
      <formula>"Yes"</formula>
    </cfRule>
  </conditionalFormatting>
  <conditionalFormatting sqref="BK20">
    <cfRule type="cellIs" dxfId="3038" priority="3085" operator="equal">
      <formula>"No"</formula>
    </cfRule>
    <cfRule type="cellIs" dxfId="3037" priority="3086" operator="equal">
      <formula>"NA"</formula>
    </cfRule>
    <cfRule type="cellIs" dxfId="3036" priority="3087" operator="equal">
      <formula>"Yes"</formula>
    </cfRule>
  </conditionalFormatting>
  <conditionalFormatting sqref="BK21">
    <cfRule type="cellIs" dxfId="3035" priority="3082" operator="equal">
      <formula>"No"</formula>
    </cfRule>
    <cfRule type="cellIs" dxfId="3034" priority="3083" operator="equal">
      <formula>"NA"</formula>
    </cfRule>
    <cfRule type="cellIs" dxfId="3033" priority="3084" operator="equal">
      <formula>"Yes"</formula>
    </cfRule>
  </conditionalFormatting>
  <conditionalFormatting sqref="BK22">
    <cfRule type="cellIs" dxfId="3032" priority="3079" operator="equal">
      <formula>"No"</formula>
    </cfRule>
    <cfRule type="cellIs" dxfId="3031" priority="3080" operator="equal">
      <formula>"NA"</formula>
    </cfRule>
    <cfRule type="cellIs" dxfId="3030" priority="3081" operator="equal">
      <formula>"Yes"</formula>
    </cfRule>
  </conditionalFormatting>
  <conditionalFormatting sqref="BK23">
    <cfRule type="cellIs" dxfId="3029" priority="3076" operator="equal">
      <formula>"No"</formula>
    </cfRule>
    <cfRule type="cellIs" dxfId="3028" priority="3077" operator="equal">
      <formula>"NA"</formula>
    </cfRule>
    <cfRule type="cellIs" dxfId="3027" priority="3078" operator="equal">
      <formula>"Yes"</formula>
    </cfRule>
  </conditionalFormatting>
  <conditionalFormatting sqref="BK26">
    <cfRule type="cellIs" dxfId="3026" priority="3073" operator="equal">
      <formula>"No"</formula>
    </cfRule>
    <cfRule type="cellIs" dxfId="3025" priority="3074" operator="equal">
      <formula>"NA"</formula>
    </cfRule>
    <cfRule type="cellIs" dxfId="3024" priority="3075" operator="equal">
      <formula>"Yes"</formula>
    </cfRule>
  </conditionalFormatting>
  <conditionalFormatting sqref="BK33">
    <cfRule type="cellIs" dxfId="3023" priority="3070" operator="equal">
      <formula>"No"</formula>
    </cfRule>
    <cfRule type="cellIs" dxfId="3022" priority="3071" operator="equal">
      <formula>"NA"</formula>
    </cfRule>
    <cfRule type="cellIs" dxfId="3021" priority="3072" operator="equal">
      <formula>"Yes"</formula>
    </cfRule>
  </conditionalFormatting>
  <conditionalFormatting sqref="BK27">
    <cfRule type="cellIs" dxfId="3020" priority="3067" operator="equal">
      <formula>"No"</formula>
    </cfRule>
    <cfRule type="cellIs" dxfId="3019" priority="3068" operator="equal">
      <formula>"NA"</formula>
    </cfRule>
    <cfRule type="cellIs" dxfId="3018" priority="3069" operator="equal">
      <formula>"Yes"</formula>
    </cfRule>
  </conditionalFormatting>
  <conditionalFormatting sqref="BK28">
    <cfRule type="cellIs" dxfId="3017" priority="3064" operator="equal">
      <formula>"No"</formula>
    </cfRule>
    <cfRule type="cellIs" dxfId="3016" priority="3065" operator="equal">
      <formula>"NA"</formula>
    </cfRule>
    <cfRule type="cellIs" dxfId="3015" priority="3066" operator="equal">
      <formula>"Yes"</formula>
    </cfRule>
  </conditionalFormatting>
  <conditionalFormatting sqref="BK30">
    <cfRule type="cellIs" dxfId="3014" priority="3061" operator="equal">
      <formula>"No"</formula>
    </cfRule>
    <cfRule type="cellIs" dxfId="3013" priority="3062" operator="equal">
      <formula>"NA"</formula>
    </cfRule>
    <cfRule type="cellIs" dxfId="3012" priority="3063" operator="equal">
      <formula>"Yes"</formula>
    </cfRule>
  </conditionalFormatting>
  <conditionalFormatting sqref="BK31">
    <cfRule type="cellIs" dxfId="3011" priority="3058" operator="equal">
      <formula>"No"</formula>
    </cfRule>
    <cfRule type="cellIs" dxfId="3010" priority="3059" operator="equal">
      <formula>"NA"</formula>
    </cfRule>
    <cfRule type="cellIs" dxfId="3009" priority="3060" operator="equal">
      <formula>"Yes"</formula>
    </cfRule>
  </conditionalFormatting>
  <conditionalFormatting sqref="BK14">
    <cfRule type="cellIs" dxfId="3008" priority="3055" operator="equal">
      <formula>"No"</formula>
    </cfRule>
    <cfRule type="cellIs" dxfId="3007" priority="3056" operator="equal">
      <formula>"NA"</formula>
    </cfRule>
    <cfRule type="cellIs" dxfId="3006" priority="3057" operator="equal">
      <formula>"Yes"</formula>
    </cfRule>
  </conditionalFormatting>
  <conditionalFormatting sqref="BK6">
    <cfRule type="cellIs" dxfId="3005" priority="3052" operator="equal">
      <formula>"No"</formula>
    </cfRule>
    <cfRule type="cellIs" dxfId="3004" priority="3053" operator="equal">
      <formula>"NA"</formula>
    </cfRule>
    <cfRule type="cellIs" dxfId="3003" priority="3054" operator="equal">
      <formula>"Yes"</formula>
    </cfRule>
  </conditionalFormatting>
  <conditionalFormatting sqref="BK25">
    <cfRule type="cellIs" dxfId="3002" priority="3049" operator="equal">
      <formula>"No"</formula>
    </cfRule>
    <cfRule type="cellIs" dxfId="3001" priority="3050" operator="equal">
      <formula>"NA"</formula>
    </cfRule>
    <cfRule type="cellIs" dxfId="3000" priority="3051" operator="equal">
      <formula>"Yes"</formula>
    </cfRule>
  </conditionalFormatting>
  <conditionalFormatting sqref="BK10">
    <cfRule type="cellIs" dxfId="2999" priority="3046" operator="equal">
      <formula>"No"</formula>
    </cfRule>
    <cfRule type="cellIs" dxfId="2998" priority="3047" operator="equal">
      <formula>"NA"</formula>
    </cfRule>
    <cfRule type="cellIs" dxfId="2997" priority="3048" operator="equal">
      <formula>"Yes"</formula>
    </cfRule>
  </conditionalFormatting>
  <conditionalFormatting sqref="BK15">
    <cfRule type="cellIs" dxfId="2996" priority="3043" operator="equal">
      <formula>"No"</formula>
    </cfRule>
    <cfRule type="cellIs" dxfId="2995" priority="3044" operator="equal">
      <formula>"NA"</formula>
    </cfRule>
    <cfRule type="cellIs" dxfId="2994" priority="3045" operator="equal">
      <formula>"Yes"</formula>
    </cfRule>
  </conditionalFormatting>
  <conditionalFormatting sqref="BK9">
    <cfRule type="cellIs" dxfId="2993" priority="3040" operator="equal">
      <formula>"No"</formula>
    </cfRule>
    <cfRule type="cellIs" dxfId="2992" priority="3041" operator="equal">
      <formula>"NA"</formula>
    </cfRule>
    <cfRule type="cellIs" dxfId="2991" priority="3042" operator="equal">
      <formula>"Yes"</formula>
    </cfRule>
  </conditionalFormatting>
  <conditionalFormatting sqref="BK17">
    <cfRule type="cellIs" dxfId="2990" priority="3037" operator="equal">
      <formula>"No"</formula>
    </cfRule>
    <cfRule type="cellIs" dxfId="2989" priority="3038" operator="equal">
      <formula>"NA"</formula>
    </cfRule>
    <cfRule type="cellIs" dxfId="2988" priority="3039" operator="equal">
      <formula>"Yes"</formula>
    </cfRule>
  </conditionalFormatting>
  <conditionalFormatting sqref="BL7">
    <cfRule type="cellIs" dxfId="2987" priority="3034" operator="equal">
      <formula>"No"</formula>
    </cfRule>
    <cfRule type="cellIs" dxfId="2986" priority="3035" operator="equal">
      <formula>"NA"</formula>
    </cfRule>
    <cfRule type="cellIs" dxfId="2985" priority="3036" operator="equal">
      <formula>"Yes"</formula>
    </cfRule>
  </conditionalFormatting>
  <conditionalFormatting sqref="BL11">
    <cfRule type="cellIs" dxfId="2984" priority="3028" operator="equal">
      <formula>"No"</formula>
    </cfRule>
    <cfRule type="cellIs" dxfId="2983" priority="3029" operator="equal">
      <formula>"NA"</formula>
    </cfRule>
    <cfRule type="cellIs" dxfId="2982" priority="3030" operator="equal">
      <formula>"Yes"</formula>
    </cfRule>
  </conditionalFormatting>
  <conditionalFormatting sqref="BL12">
    <cfRule type="cellIs" dxfId="2981" priority="3025" operator="equal">
      <formula>"No"</formula>
    </cfRule>
    <cfRule type="cellIs" dxfId="2980" priority="3026" operator="equal">
      <formula>"NA"</formula>
    </cfRule>
    <cfRule type="cellIs" dxfId="2979" priority="3027" operator="equal">
      <formula>"Yes"</formula>
    </cfRule>
  </conditionalFormatting>
  <conditionalFormatting sqref="BL13">
    <cfRule type="cellIs" dxfId="2978" priority="3022" operator="equal">
      <formula>"No"</formula>
    </cfRule>
    <cfRule type="cellIs" dxfId="2977" priority="3023" operator="equal">
      <formula>"NA"</formula>
    </cfRule>
    <cfRule type="cellIs" dxfId="2976" priority="3024" operator="equal">
      <formula>"Yes"</formula>
    </cfRule>
  </conditionalFormatting>
  <conditionalFormatting sqref="BL16">
    <cfRule type="cellIs" dxfId="2975" priority="3019" operator="equal">
      <formula>"No"</formula>
    </cfRule>
    <cfRule type="cellIs" dxfId="2974" priority="3020" operator="equal">
      <formula>"NA"</formula>
    </cfRule>
    <cfRule type="cellIs" dxfId="2973" priority="3021" operator="equal">
      <formula>"Yes"</formula>
    </cfRule>
  </conditionalFormatting>
  <conditionalFormatting sqref="BL18">
    <cfRule type="cellIs" dxfId="2972" priority="3016" operator="equal">
      <formula>"No"</formula>
    </cfRule>
    <cfRule type="cellIs" dxfId="2971" priority="3017" operator="equal">
      <formula>"NA"</formula>
    </cfRule>
    <cfRule type="cellIs" dxfId="2970" priority="3018" operator="equal">
      <formula>"Yes"</formula>
    </cfRule>
  </conditionalFormatting>
  <conditionalFormatting sqref="BL19">
    <cfRule type="cellIs" dxfId="2969" priority="3013" operator="equal">
      <formula>"No"</formula>
    </cfRule>
    <cfRule type="cellIs" dxfId="2968" priority="3014" operator="equal">
      <formula>"NA"</formula>
    </cfRule>
    <cfRule type="cellIs" dxfId="2967" priority="3015" operator="equal">
      <formula>"Yes"</formula>
    </cfRule>
  </conditionalFormatting>
  <conditionalFormatting sqref="BL20">
    <cfRule type="cellIs" dxfId="2966" priority="3010" operator="equal">
      <formula>"No"</formula>
    </cfRule>
    <cfRule type="cellIs" dxfId="2965" priority="3011" operator="equal">
      <formula>"NA"</formula>
    </cfRule>
    <cfRule type="cellIs" dxfId="2964" priority="3012" operator="equal">
      <formula>"Yes"</formula>
    </cfRule>
  </conditionalFormatting>
  <conditionalFormatting sqref="BL21">
    <cfRule type="cellIs" dxfId="2963" priority="3007" operator="equal">
      <formula>"No"</formula>
    </cfRule>
    <cfRule type="cellIs" dxfId="2962" priority="3008" operator="equal">
      <formula>"NA"</formula>
    </cfRule>
    <cfRule type="cellIs" dxfId="2961" priority="3009" operator="equal">
      <formula>"Yes"</formula>
    </cfRule>
  </conditionalFormatting>
  <conditionalFormatting sqref="BL22">
    <cfRule type="cellIs" dxfId="2960" priority="3004" operator="equal">
      <formula>"No"</formula>
    </cfRule>
    <cfRule type="cellIs" dxfId="2959" priority="3005" operator="equal">
      <formula>"NA"</formula>
    </cfRule>
    <cfRule type="cellIs" dxfId="2958" priority="3006" operator="equal">
      <formula>"Yes"</formula>
    </cfRule>
  </conditionalFormatting>
  <conditionalFormatting sqref="BL23">
    <cfRule type="cellIs" dxfId="2957" priority="3001" operator="equal">
      <formula>"No"</formula>
    </cfRule>
    <cfRule type="cellIs" dxfId="2956" priority="3002" operator="equal">
      <formula>"NA"</formula>
    </cfRule>
    <cfRule type="cellIs" dxfId="2955" priority="3003" operator="equal">
      <formula>"Yes"</formula>
    </cfRule>
  </conditionalFormatting>
  <conditionalFormatting sqref="BL26">
    <cfRule type="cellIs" dxfId="2954" priority="2998" operator="equal">
      <formula>"No"</formula>
    </cfRule>
    <cfRule type="cellIs" dxfId="2953" priority="2999" operator="equal">
      <formula>"NA"</formula>
    </cfRule>
    <cfRule type="cellIs" dxfId="2952" priority="3000" operator="equal">
      <formula>"Yes"</formula>
    </cfRule>
  </conditionalFormatting>
  <conditionalFormatting sqref="BL33">
    <cfRule type="cellIs" dxfId="2951" priority="2995" operator="equal">
      <formula>"No"</formula>
    </cfRule>
    <cfRule type="cellIs" dxfId="2950" priority="2996" operator="equal">
      <formula>"NA"</formula>
    </cfRule>
    <cfRule type="cellIs" dxfId="2949" priority="2997" operator="equal">
      <formula>"Yes"</formula>
    </cfRule>
  </conditionalFormatting>
  <conditionalFormatting sqref="BL27">
    <cfRule type="cellIs" dxfId="2948" priority="2992" operator="equal">
      <formula>"No"</formula>
    </cfRule>
    <cfRule type="cellIs" dxfId="2947" priority="2993" operator="equal">
      <formula>"NA"</formula>
    </cfRule>
    <cfRule type="cellIs" dxfId="2946" priority="2994" operator="equal">
      <formula>"Yes"</formula>
    </cfRule>
  </conditionalFormatting>
  <conditionalFormatting sqref="BL28">
    <cfRule type="cellIs" dxfId="2945" priority="2989" operator="equal">
      <formula>"No"</formula>
    </cfRule>
    <cfRule type="cellIs" dxfId="2944" priority="2990" operator="equal">
      <formula>"NA"</formula>
    </cfRule>
    <cfRule type="cellIs" dxfId="2943" priority="2991" operator="equal">
      <formula>"Yes"</formula>
    </cfRule>
  </conditionalFormatting>
  <conditionalFormatting sqref="BL30">
    <cfRule type="cellIs" dxfId="2942" priority="2986" operator="equal">
      <formula>"No"</formula>
    </cfRule>
    <cfRule type="cellIs" dxfId="2941" priority="2987" operator="equal">
      <formula>"NA"</formula>
    </cfRule>
    <cfRule type="cellIs" dxfId="2940" priority="2988" operator="equal">
      <formula>"Yes"</formula>
    </cfRule>
  </conditionalFormatting>
  <conditionalFormatting sqref="BL31">
    <cfRule type="cellIs" dxfId="2939" priority="2983" operator="equal">
      <formula>"No"</formula>
    </cfRule>
    <cfRule type="cellIs" dxfId="2938" priority="2984" operator="equal">
      <formula>"NA"</formula>
    </cfRule>
    <cfRule type="cellIs" dxfId="2937" priority="2985" operator="equal">
      <formula>"Yes"</formula>
    </cfRule>
  </conditionalFormatting>
  <conditionalFormatting sqref="BL14">
    <cfRule type="cellIs" dxfId="2936" priority="2980" operator="equal">
      <formula>"No"</formula>
    </cfRule>
    <cfRule type="cellIs" dxfId="2935" priority="2981" operator="equal">
      <formula>"NA"</formula>
    </cfRule>
    <cfRule type="cellIs" dxfId="2934" priority="2982" operator="equal">
      <formula>"Yes"</formula>
    </cfRule>
  </conditionalFormatting>
  <conditionalFormatting sqref="BL6">
    <cfRule type="cellIs" dxfId="2933" priority="2977" operator="equal">
      <formula>"No"</formula>
    </cfRule>
    <cfRule type="cellIs" dxfId="2932" priority="2978" operator="equal">
      <formula>"NA"</formula>
    </cfRule>
    <cfRule type="cellIs" dxfId="2931" priority="2979" operator="equal">
      <formula>"Yes"</formula>
    </cfRule>
  </conditionalFormatting>
  <conditionalFormatting sqref="BL25">
    <cfRule type="cellIs" dxfId="2930" priority="2974" operator="equal">
      <formula>"No"</formula>
    </cfRule>
    <cfRule type="cellIs" dxfId="2929" priority="2975" operator="equal">
      <formula>"NA"</formula>
    </cfRule>
    <cfRule type="cellIs" dxfId="2928" priority="2976" operator="equal">
      <formula>"Yes"</formula>
    </cfRule>
  </conditionalFormatting>
  <conditionalFormatting sqref="BL10">
    <cfRule type="cellIs" dxfId="2927" priority="2971" operator="equal">
      <formula>"No"</formula>
    </cfRule>
    <cfRule type="cellIs" dxfId="2926" priority="2972" operator="equal">
      <formula>"NA"</formula>
    </cfRule>
    <cfRule type="cellIs" dxfId="2925" priority="2973" operator="equal">
      <formula>"Yes"</formula>
    </cfRule>
  </conditionalFormatting>
  <conditionalFormatting sqref="BL15">
    <cfRule type="cellIs" dxfId="2924" priority="2968" operator="equal">
      <formula>"No"</formula>
    </cfRule>
    <cfRule type="cellIs" dxfId="2923" priority="2969" operator="equal">
      <formula>"NA"</formula>
    </cfRule>
    <cfRule type="cellIs" dxfId="2922" priority="2970" operator="equal">
      <formula>"Yes"</formula>
    </cfRule>
  </conditionalFormatting>
  <conditionalFormatting sqref="BL17">
    <cfRule type="cellIs" dxfId="2921" priority="2965" operator="equal">
      <formula>"No"</formula>
    </cfRule>
    <cfRule type="cellIs" dxfId="2920" priority="2966" operator="equal">
      <formula>"NA"</formula>
    </cfRule>
    <cfRule type="cellIs" dxfId="2919" priority="2967" operator="equal">
      <formula>"Yes"</formula>
    </cfRule>
  </conditionalFormatting>
  <conditionalFormatting sqref="BL9">
    <cfRule type="cellIs" dxfId="2918" priority="2962" operator="equal">
      <formula>"No"</formula>
    </cfRule>
    <cfRule type="cellIs" dxfId="2917" priority="2963" operator="equal">
      <formula>"NA"</formula>
    </cfRule>
    <cfRule type="cellIs" dxfId="2916" priority="2964" operator="equal">
      <formula>"Yes"</formula>
    </cfRule>
  </conditionalFormatting>
  <conditionalFormatting sqref="BM7">
    <cfRule type="cellIs" dxfId="2915" priority="2959" operator="equal">
      <formula>"No"</formula>
    </cfRule>
    <cfRule type="cellIs" dxfId="2914" priority="2960" operator="equal">
      <formula>"NA"</formula>
    </cfRule>
    <cfRule type="cellIs" dxfId="2913" priority="2961" operator="equal">
      <formula>"Yes"</formula>
    </cfRule>
  </conditionalFormatting>
  <conditionalFormatting sqref="BM11">
    <cfRule type="cellIs" dxfId="2912" priority="2956" operator="equal">
      <formula>"No"</formula>
    </cfRule>
    <cfRule type="cellIs" dxfId="2911" priority="2957" operator="equal">
      <formula>"NA"</formula>
    </cfRule>
    <cfRule type="cellIs" dxfId="2910" priority="2958" operator="equal">
      <formula>"Yes"</formula>
    </cfRule>
  </conditionalFormatting>
  <conditionalFormatting sqref="BM12">
    <cfRule type="cellIs" dxfId="2909" priority="2953" operator="equal">
      <formula>"No"</formula>
    </cfRule>
    <cfRule type="cellIs" dxfId="2908" priority="2954" operator="equal">
      <formula>"NA"</formula>
    </cfRule>
    <cfRule type="cellIs" dxfId="2907" priority="2955" operator="equal">
      <formula>"Yes"</formula>
    </cfRule>
  </conditionalFormatting>
  <conditionalFormatting sqref="BM13">
    <cfRule type="cellIs" dxfId="2906" priority="2950" operator="equal">
      <formula>"No"</formula>
    </cfRule>
    <cfRule type="cellIs" dxfId="2905" priority="2951" operator="equal">
      <formula>"NA"</formula>
    </cfRule>
    <cfRule type="cellIs" dxfId="2904" priority="2952" operator="equal">
      <formula>"Yes"</formula>
    </cfRule>
  </conditionalFormatting>
  <conditionalFormatting sqref="BM16">
    <cfRule type="cellIs" dxfId="2903" priority="2947" operator="equal">
      <formula>"No"</formula>
    </cfRule>
    <cfRule type="cellIs" dxfId="2902" priority="2948" operator="equal">
      <formula>"NA"</formula>
    </cfRule>
    <cfRule type="cellIs" dxfId="2901" priority="2949" operator="equal">
      <formula>"Yes"</formula>
    </cfRule>
  </conditionalFormatting>
  <conditionalFormatting sqref="BM18">
    <cfRule type="cellIs" dxfId="2900" priority="2944" operator="equal">
      <formula>"No"</formula>
    </cfRule>
    <cfRule type="cellIs" dxfId="2899" priority="2945" operator="equal">
      <formula>"NA"</formula>
    </cfRule>
    <cfRule type="cellIs" dxfId="2898" priority="2946" operator="equal">
      <formula>"Yes"</formula>
    </cfRule>
  </conditionalFormatting>
  <conditionalFormatting sqref="BM19">
    <cfRule type="cellIs" dxfId="2897" priority="2941" operator="equal">
      <formula>"No"</formula>
    </cfRule>
    <cfRule type="cellIs" dxfId="2896" priority="2942" operator="equal">
      <formula>"NA"</formula>
    </cfRule>
    <cfRule type="cellIs" dxfId="2895" priority="2943" operator="equal">
      <formula>"Yes"</formula>
    </cfRule>
  </conditionalFormatting>
  <conditionalFormatting sqref="BM20">
    <cfRule type="cellIs" dxfId="2894" priority="2938" operator="equal">
      <formula>"No"</formula>
    </cfRule>
    <cfRule type="cellIs" dxfId="2893" priority="2939" operator="equal">
      <formula>"NA"</formula>
    </cfRule>
    <cfRule type="cellIs" dxfId="2892" priority="2940" operator="equal">
      <formula>"Yes"</formula>
    </cfRule>
  </conditionalFormatting>
  <conditionalFormatting sqref="BM21">
    <cfRule type="cellIs" dxfId="2891" priority="2935" operator="equal">
      <formula>"No"</formula>
    </cfRule>
    <cfRule type="cellIs" dxfId="2890" priority="2936" operator="equal">
      <formula>"NA"</formula>
    </cfRule>
    <cfRule type="cellIs" dxfId="2889" priority="2937" operator="equal">
      <formula>"Yes"</formula>
    </cfRule>
  </conditionalFormatting>
  <conditionalFormatting sqref="BM22">
    <cfRule type="cellIs" dxfId="2888" priority="2932" operator="equal">
      <formula>"No"</formula>
    </cfRule>
    <cfRule type="cellIs" dxfId="2887" priority="2933" operator="equal">
      <formula>"NA"</formula>
    </cfRule>
    <cfRule type="cellIs" dxfId="2886" priority="2934" operator="equal">
      <formula>"Yes"</formula>
    </cfRule>
  </conditionalFormatting>
  <conditionalFormatting sqref="BM23">
    <cfRule type="cellIs" dxfId="2885" priority="2929" operator="equal">
      <formula>"No"</formula>
    </cfRule>
    <cfRule type="cellIs" dxfId="2884" priority="2930" operator="equal">
      <formula>"NA"</formula>
    </cfRule>
    <cfRule type="cellIs" dxfId="2883" priority="2931" operator="equal">
      <formula>"Yes"</formula>
    </cfRule>
  </conditionalFormatting>
  <conditionalFormatting sqref="BM26">
    <cfRule type="cellIs" dxfId="2882" priority="2926" operator="equal">
      <formula>"No"</formula>
    </cfRule>
    <cfRule type="cellIs" dxfId="2881" priority="2927" operator="equal">
      <formula>"NA"</formula>
    </cfRule>
    <cfRule type="cellIs" dxfId="2880" priority="2928" operator="equal">
      <formula>"Yes"</formula>
    </cfRule>
  </conditionalFormatting>
  <conditionalFormatting sqref="BM33">
    <cfRule type="cellIs" dxfId="2879" priority="2923" operator="equal">
      <formula>"No"</formula>
    </cfRule>
    <cfRule type="cellIs" dxfId="2878" priority="2924" operator="equal">
      <formula>"NA"</formula>
    </cfRule>
    <cfRule type="cellIs" dxfId="2877" priority="2925" operator="equal">
      <formula>"Yes"</formula>
    </cfRule>
  </conditionalFormatting>
  <conditionalFormatting sqref="BM27">
    <cfRule type="cellIs" dxfId="2876" priority="2920" operator="equal">
      <formula>"No"</formula>
    </cfRule>
    <cfRule type="cellIs" dxfId="2875" priority="2921" operator="equal">
      <formula>"NA"</formula>
    </cfRule>
    <cfRule type="cellIs" dxfId="2874" priority="2922" operator="equal">
      <formula>"Yes"</formula>
    </cfRule>
  </conditionalFormatting>
  <conditionalFormatting sqref="BM28">
    <cfRule type="cellIs" dxfId="2873" priority="2917" operator="equal">
      <formula>"No"</formula>
    </cfRule>
    <cfRule type="cellIs" dxfId="2872" priority="2918" operator="equal">
      <formula>"NA"</formula>
    </cfRule>
    <cfRule type="cellIs" dxfId="2871" priority="2919" operator="equal">
      <formula>"Yes"</formula>
    </cfRule>
  </conditionalFormatting>
  <conditionalFormatting sqref="BM30">
    <cfRule type="cellIs" dxfId="2870" priority="2914" operator="equal">
      <formula>"No"</formula>
    </cfRule>
    <cfRule type="cellIs" dxfId="2869" priority="2915" operator="equal">
      <formula>"NA"</formula>
    </cfRule>
    <cfRule type="cellIs" dxfId="2868" priority="2916" operator="equal">
      <formula>"Yes"</formula>
    </cfRule>
  </conditionalFormatting>
  <conditionalFormatting sqref="BM31">
    <cfRule type="cellIs" dxfId="2867" priority="2911" operator="equal">
      <formula>"No"</formula>
    </cfRule>
    <cfRule type="cellIs" dxfId="2866" priority="2912" operator="equal">
      <formula>"NA"</formula>
    </cfRule>
    <cfRule type="cellIs" dxfId="2865" priority="2913" operator="equal">
      <formula>"Yes"</formula>
    </cfRule>
  </conditionalFormatting>
  <conditionalFormatting sqref="BM14">
    <cfRule type="cellIs" dxfId="2864" priority="2908" operator="equal">
      <formula>"No"</formula>
    </cfRule>
    <cfRule type="cellIs" dxfId="2863" priority="2909" operator="equal">
      <formula>"NA"</formula>
    </cfRule>
    <cfRule type="cellIs" dxfId="2862" priority="2910" operator="equal">
      <formula>"Yes"</formula>
    </cfRule>
  </conditionalFormatting>
  <conditionalFormatting sqref="BM6">
    <cfRule type="cellIs" dxfId="2861" priority="2905" operator="equal">
      <formula>"No"</formula>
    </cfRule>
    <cfRule type="cellIs" dxfId="2860" priority="2906" operator="equal">
      <formula>"NA"</formula>
    </cfRule>
    <cfRule type="cellIs" dxfId="2859" priority="2907" operator="equal">
      <formula>"Yes"</formula>
    </cfRule>
  </conditionalFormatting>
  <conditionalFormatting sqref="BM25">
    <cfRule type="cellIs" dxfId="2858" priority="2902" operator="equal">
      <formula>"No"</formula>
    </cfRule>
    <cfRule type="cellIs" dxfId="2857" priority="2903" operator="equal">
      <formula>"NA"</formula>
    </cfRule>
    <cfRule type="cellIs" dxfId="2856" priority="2904" operator="equal">
      <formula>"Yes"</formula>
    </cfRule>
  </conditionalFormatting>
  <conditionalFormatting sqref="BM10">
    <cfRule type="cellIs" dxfId="2855" priority="2899" operator="equal">
      <formula>"No"</formula>
    </cfRule>
    <cfRule type="cellIs" dxfId="2854" priority="2900" operator="equal">
      <formula>"NA"</formula>
    </cfRule>
    <cfRule type="cellIs" dxfId="2853" priority="2901" operator="equal">
      <formula>"Yes"</formula>
    </cfRule>
  </conditionalFormatting>
  <conditionalFormatting sqref="BM15">
    <cfRule type="cellIs" dxfId="2852" priority="2896" operator="equal">
      <formula>"No"</formula>
    </cfRule>
    <cfRule type="cellIs" dxfId="2851" priority="2897" operator="equal">
      <formula>"NA"</formula>
    </cfRule>
    <cfRule type="cellIs" dxfId="2850" priority="2898" operator="equal">
      <formula>"Yes"</formula>
    </cfRule>
  </conditionalFormatting>
  <conditionalFormatting sqref="BM17">
    <cfRule type="cellIs" dxfId="2849" priority="2893" operator="equal">
      <formula>"No"</formula>
    </cfRule>
    <cfRule type="cellIs" dxfId="2848" priority="2894" operator="equal">
      <formula>"NA"</formula>
    </cfRule>
    <cfRule type="cellIs" dxfId="2847" priority="2895" operator="equal">
      <formula>"Yes"</formula>
    </cfRule>
  </conditionalFormatting>
  <conditionalFormatting sqref="BM9">
    <cfRule type="cellIs" dxfId="2846" priority="2890" operator="equal">
      <formula>"No"</formula>
    </cfRule>
    <cfRule type="cellIs" dxfId="2845" priority="2891" operator="equal">
      <formula>"NA"</formula>
    </cfRule>
    <cfRule type="cellIs" dxfId="2844" priority="2892" operator="equal">
      <formula>"Yes"</formula>
    </cfRule>
  </conditionalFormatting>
  <conditionalFormatting sqref="BN7">
    <cfRule type="cellIs" dxfId="2843" priority="2887" operator="equal">
      <formula>"No"</formula>
    </cfRule>
    <cfRule type="cellIs" dxfId="2842" priority="2888" operator="equal">
      <formula>"NA"</formula>
    </cfRule>
    <cfRule type="cellIs" dxfId="2841" priority="2889" operator="equal">
      <formula>"Yes"</formula>
    </cfRule>
  </conditionalFormatting>
  <conditionalFormatting sqref="BN11">
    <cfRule type="cellIs" dxfId="2840" priority="2884" operator="equal">
      <formula>"No"</formula>
    </cfRule>
    <cfRule type="cellIs" dxfId="2839" priority="2885" operator="equal">
      <formula>"NA"</formula>
    </cfRule>
    <cfRule type="cellIs" dxfId="2838" priority="2886" operator="equal">
      <formula>"Yes"</formula>
    </cfRule>
  </conditionalFormatting>
  <conditionalFormatting sqref="BN12">
    <cfRule type="cellIs" dxfId="2837" priority="2881" operator="equal">
      <formula>"No"</formula>
    </cfRule>
    <cfRule type="cellIs" dxfId="2836" priority="2882" operator="equal">
      <formula>"NA"</formula>
    </cfRule>
    <cfRule type="cellIs" dxfId="2835" priority="2883" operator="equal">
      <formula>"Yes"</formula>
    </cfRule>
  </conditionalFormatting>
  <conditionalFormatting sqref="BN13">
    <cfRule type="cellIs" dxfId="2834" priority="2878" operator="equal">
      <formula>"No"</formula>
    </cfRule>
    <cfRule type="cellIs" dxfId="2833" priority="2879" operator="equal">
      <formula>"NA"</formula>
    </cfRule>
    <cfRule type="cellIs" dxfId="2832" priority="2880" operator="equal">
      <formula>"Yes"</formula>
    </cfRule>
  </conditionalFormatting>
  <conditionalFormatting sqref="BN16">
    <cfRule type="cellIs" dxfId="2831" priority="2875" operator="equal">
      <formula>"No"</formula>
    </cfRule>
    <cfRule type="cellIs" dxfId="2830" priority="2876" operator="equal">
      <formula>"NA"</formula>
    </cfRule>
    <cfRule type="cellIs" dxfId="2829" priority="2877" operator="equal">
      <formula>"Yes"</formula>
    </cfRule>
  </conditionalFormatting>
  <conditionalFormatting sqref="BN18">
    <cfRule type="cellIs" dxfId="2828" priority="2872" operator="equal">
      <formula>"No"</formula>
    </cfRule>
    <cfRule type="cellIs" dxfId="2827" priority="2873" operator="equal">
      <formula>"NA"</formula>
    </cfRule>
    <cfRule type="cellIs" dxfId="2826" priority="2874" operator="equal">
      <formula>"Yes"</formula>
    </cfRule>
  </conditionalFormatting>
  <conditionalFormatting sqref="BN19">
    <cfRule type="cellIs" dxfId="2825" priority="2869" operator="equal">
      <formula>"No"</formula>
    </cfRule>
    <cfRule type="cellIs" dxfId="2824" priority="2870" operator="equal">
      <formula>"NA"</formula>
    </cfRule>
    <cfRule type="cellIs" dxfId="2823" priority="2871" operator="equal">
      <formula>"Yes"</formula>
    </cfRule>
  </conditionalFormatting>
  <conditionalFormatting sqref="BN20">
    <cfRule type="cellIs" dxfId="2822" priority="2866" operator="equal">
      <formula>"No"</formula>
    </cfRule>
    <cfRule type="cellIs" dxfId="2821" priority="2867" operator="equal">
      <formula>"NA"</formula>
    </cfRule>
    <cfRule type="cellIs" dxfId="2820" priority="2868" operator="equal">
      <formula>"Yes"</formula>
    </cfRule>
  </conditionalFormatting>
  <conditionalFormatting sqref="BN21">
    <cfRule type="cellIs" dxfId="2819" priority="2863" operator="equal">
      <formula>"No"</formula>
    </cfRule>
    <cfRule type="cellIs" dxfId="2818" priority="2864" operator="equal">
      <formula>"NA"</formula>
    </cfRule>
    <cfRule type="cellIs" dxfId="2817" priority="2865" operator="equal">
      <formula>"Yes"</formula>
    </cfRule>
  </conditionalFormatting>
  <conditionalFormatting sqref="BN22">
    <cfRule type="cellIs" dxfId="2816" priority="2860" operator="equal">
      <formula>"No"</formula>
    </cfRule>
    <cfRule type="cellIs" dxfId="2815" priority="2861" operator="equal">
      <formula>"NA"</formula>
    </cfRule>
    <cfRule type="cellIs" dxfId="2814" priority="2862" operator="equal">
      <formula>"Yes"</formula>
    </cfRule>
  </conditionalFormatting>
  <conditionalFormatting sqref="BN23">
    <cfRule type="cellIs" dxfId="2813" priority="2857" operator="equal">
      <formula>"No"</formula>
    </cfRule>
    <cfRule type="cellIs" dxfId="2812" priority="2858" operator="equal">
      <formula>"NA"</formula>
    </cfRule>
    <cfRule type="cellIs" dxfId="2811" priority="2859" operator="equal">
      <formula>"Yes"</formula>
    </cfRule>
  </conditionalFormatting>
  <conditionalFormatting sqref="BN26">
    <cfRule type="cellIs" dxfId="2810" priority="2854" operator="equal">
      <formula>"No"</formula>
    </cfRule>
    <cfRule type="cellIs" dxfId="2809" priority="2855" operator="equal">
      <formula>"NA"</formula>
    </cfRule>
    <cfRule type="cellIs" dxfId="2808" priority="2856" operator="equal">
      <formula>"Yes"</formula>
    </cfRule>
  </conditionalFormatting>
  <conditionalFormatting sqref="BN33">
    <cfRule type="cellIs" dxfId="2807" priority="2851" operator="equal">
      <formula>"No"</formula>
    </cfRule>
    <cfRule type="cellIs" dxfId="2806" priority="2852" operator="equal">
      <formula>"NA"</formula>
    </cfRule>
    <cfRule type="cellIs" dxfId="2805" priority="2853" operator="equal">
      <formula>"Yes"</formula>
    </cfRule>
  </conditionalFormatting>
  <conditionalFormatting sqref="BN27">
    <cfRule type="cellIs" dxfId="2804" priority="2848" operator="equal">
      <formula>"No"</formula>
    </cfRule>
    <cfRule type="cellIs" dxfId="2803" priority="2849" operator="equal">
      <formula>"NA"</formula>
    </cfRule>
    <cfRule type="cellIs" dxfId="2802" priority="2850" operator="equal">
      <formula>"Yes"</formula>
    </cfRule>
  </conditionalFormatting>
  <conditionalFormatting sqref="BN28">
    <cfRule type="cellIs" dxfId="2801" priority="2845" operator="equal">
      <formula>"No"</formula>
    </cfRule>
    <cfRule type="cellIs" dxfId="2800" priority="2846" operator="equal">
      <formula>"NA"</formula>
    </cfRule>
    <cfRule type="cellIs" dxfId="2799" priority="2847" operator="equal">
      <formula>"Yes"</formula>
    </cfRule>
  </conditionalFormatting>
  <conditionalFormatting sqref="BN30">
    <cfRule type="cellIs" dxfId="2798" priority="2842" operator="equal">
      <formula>"No"</formula>
    </cfRule>
    <cfRule type="cellIs" dxfId="2797" priority="2843" operator="equal">
      <formula>"NA"</formula>
    </cfRule>
    <cfRule type="cellIs" dxfId="2796" priority="2844" operator="equal">
      <formula>"Yes"</formula>
    </cfRule>
  </conditionalFormatting>
  <conditionalFormatting sqref="BN31">
    <cfRule type="cellIs" dxfId="2795" priority="2839" operator="equal">
      <formula>"No"</formula>
    </cfRule>
    <cfRule type="cellIs" dxfId="2794" priority="2840" operator="equal">
      <formula>"NA"</formula>
    </cfRule>
    <cfRule type="cellIs" dxfId="2793" priority="2841" operator="equal">
      <formula>"Yes"</formula>
    </cfRule>
  </conditionalFormatting>
  <conditionalFormatting sqref="BN14">
    <cfRule type="cellIs" dxfId="2792" priority="2836" operator="equal">
      <formula>"No"</formula>
    </cfRule>
    <cfRule type="cellIs" dxfId="2791" priority="2837" operator="equal">
      <formula>"NA"</formula>
    </cfRule>
    <cfRule type="cellIs" dxfId="2790" priority="2838" operator="equal">
      <formula>"Yes"</formula>
    </cfRule>
  </conditionalFormatting>
  <conditionalFormatting sqref="BN6">
    <cfRule type="cellIs" dxfId="2789" priority="2833" operator="equal">
      <formula>"No"</formula>
    </cfRule>
    <cfRule type="cellIs" dxfId="2788" priority="2834" operator="equal">
      <formula>"NA"</formula>
    </cfRule>
    <cfRule type="cellIs" dxfId="2787" priority="2835" operator="equal">
      <formula>"Yes"</formula>
    </cfRule>
  </conditionalFormatting>
  <conditionalFormatting sqref="BN25">
    <cfRule type="cellIs" dxfId="2786" priority="2830" operator="equal">
      <formula>"No"</formula>
    </cfRule>
    <cfRule type="cellIs" dxfId="2785" priority="2831" operator="equal">
      <formula>"NA"</formula>
    </cfRule>
    <cfRule type="cellIs" dxfId="2784" priority="2832" operator="equal">
      <formula>"Yes"</formula>
    </cfRule>
  </conditionalFormatting>
  <conditionalFormatting sqref="BN10">
    <cfRule type="cellIs" dxfId="2783" priority="2827" operator="equal">
      <formula>"No"</formula>
    </cfRule>
    <cfRule type="cellIs" dxfId="2782" priority="2828" operator="equal">
      <formula>"NA"</formula>
    </cfRule>
    <cfRule type="cellIs" dxfId="2781" priority="2829" operator="equal">
      <formula>"Yes"</formula>
    </cfRule>
  </conditionalFormatting>
  <conditionalFormatting sqref="BN15">
    <cfRule type="cellIs" dxfId="2780" priority="2824" operator="equal">
      <formula>"No"</formula>
    </cfRule>
    <cfRule type="cellIs" dxfId="2779" priority="2825" operator="equal">
      <formula>"NA"</formula>
    </cfRule>
    <cfRule type="cellIs" dxfId="2778" priority="2826" operator="equal">
      <formula>"Yes"</formula>
    </cfRule>
  </conditionalFormatting>
  <conditionalFormatting sqref="BN17">
    <cfRule type="cellIs" dxfId="2777" priority="2818" operator="equal">
      <formula>"No"</formula>
    </cfRule>
    <cfRule type="cellIs" dxfId="2776" priority="2819" operator="equal">
      <formula>"NA"</formula>
    </cfRule>
    <cfRule type="cellIs" dxfId="2775" priority="2820" operator="equal">
      <formula>"Yes"</formula>
    </cfRule>
  </conditionalFormatting>
  <conditionalFormatting sqref="BN9">
    <cfRule type="cellIs" dxfId="2774" priority="2815" operator="equal">
      <formula>"No"</formula>
    </cfRule>
    <cfRule type="cellIs" dxfId="2773" priority="2816" operator="equal">
      <formula>"NA"</formula>
    </cfRule>
    <cfRule type="cellIs" dxfId="2772" priority="2817" operator="equal">
      <formula>"Yes"</formula>
    </cfRule>
  </conditionalFormatting>
  <conditionalFormatting sqref="BW7:CB7">
    <cfRule type="cellIs" dxfId="2771" priority="2662" operator="equal">
      <formula>"No"</formula>
    </cfRule>
    <cfRule type="cellIs" dxfId="2770" priority="2663" operator="equal">
      <formula>"NA"</formula>
    </cfRule>
    <cfRule type="cellIs" dxfId="2769" priority="2664" operator="equal">
      <formula>"Yes"</formula>
    </cfRule>
  </conditionalFormatting>
  <conditionalFormatting sqref="BW11:CB11">
    <cfRule type="cellIs" dxfId="2768" priority="2659" operator="equal">
      <formula>"No"</formula>
    </cfRule>
    <cfRule type="cellIs" dxfId="2767" priority="2660" operator="equal">
      <formula>"NA"</formula>
    </cfRule>
    <cfRule type="cellIs" dxfId="2766" priority="2661" operator="equal">
      <formula>"Yes"</formula>
    </cfRule>
  </conditionalFormatting>
  <conditionalFormatting sqref="BW12:CB12">
    <cfRule type="cellIs" dxfId="2765" priority="2656" operator="equal">
      <formula>"No"</formula>
    </cfRule>
    <cfRule type="cellIs" dxfId="2764" priority="2657" operator="equal">
      <formula>"NA"</formula>
    </cfRule>
    <cfRule type="cellIs" dxfId="2763" priority="2658" operator="equal">
      <formula>"Yes"</formula>
    </cfRule>
  </conditionalFormatting>
  <conditionalFormatting sqref="BW13:CB13">
    <cfRule type="cellIs" dxfId="2762" priority="2653" operator="equal">
      <formula>"No"</formula>
    </cfRule>
    <cfRule type="cellIs" dxfId="2761" priority="2654" operator="equal">
      <formula>"NA"</formula>
    </cfRule>
    <cfRule type="cellIs" dxfId="2760" priority="2655" operator="equal">
      <formula>"Yes"</formula>
    </cfRule>
  </conditionalFormatting>
  <conditionalFormatting sqref="BW16:CB16">
    <cfRule type="cellIs" dxfId="2759" priority="2650" operator="equal">
      <formula>"No"</formula>
    </cfRule>
    <cfRule type="cellIs" dxfId="2758" priority="2651" operator="equal">
      <formula>"NA"</formula>
    </cfRule>
    <cfRule type="cellIs" dxfId="2757" priority="2652" operator="equal">
      <formula>"Yes"</formula>
    </cfRule>
  </conditionalFormatting>
  <conditionalFormatting sqref="BW18:CB18">
    <cfRule type="cellIs" dxfId="2756" priority="2647" operator="equal">
      <formula>"No"</formula>
    </cfRule>
    <cfRule type="cellIs" dxfId="2755" priority="2648" operator="equal">
      <formula>"NA"</formula>
    </cfRule>
    <cfRule type="cellIs" dxfId="2754" priority="2649" operator="equal">
      <formula>"Yes"</formula>
    </cfRule>
  </conditionalFormatting>
  <conditionalFormatting sqref="BW19:CB19">
    <cfRule type="cellIs" dxfId="2753" priority="2644" operator="equal">
      <formula>"No"</formula>
    </cfRule>
    <cfRule type="cellIs" dxfId="2752" priority="2645" operator="equal">
      <formula>"NA"</formula>
    </cfRule>
    <cfRule type="cellIs" dxfId="2751" priority="2646" operator="equal">
      <formula>"Yes"</formula>
    </cfRule>
  </conditionalFormatting>
  <conditionalFormatting sqref="BW20:CB20">
    <cfRule type="cellIs" dxfId="2750" priority="2641" operator="equal">
      <formula>"No"</formula>
    </cfRule>
    <cfRule type="cellIs" dxfId="2749" priority="2642" operator="equal">
      <formula>"NA"</formula>
    </cfRule>
    <cfRule type="cellIs" dxfId="2748" priority="2643" operator="equal">
      <formula>"Yes"</formula>
    </cfRule>
  </conditionalFormatting>
  <conditionalFormatting sqref="BW21:CB21">
    <cfRule type="cellIs" dxfId="2747" priority="2638" operator="equal">
      <formula>"No"</formula>
    </cfRule>
    <cfRule type="cellIs" dxfId="2746" priority="2639" operator="equal">
      <formula>"NA"</formula>
    </cfRule>
    <cfRule type="cellIs" dxfId="2745" priority="2640" operator="equal">
      <formula>"Yes"</formula>
    </cfRule>
  </conditionalFormatting>
  <conditionalFormatting sqref="BW22:CB22">
    <cfRule type="cellIs" dxfId="2744" priority="2635" operator="equal">
      <formula>"No"</formula>
    </cfRule>
    <cfRule type="cellIs" dxfId="2743" priority="2636" operator="equal">
      <formula>"NA"</formula>
    </cfRule>
    <cfRule type="cellIs" dxfId="2742" priority="2637" operator="equal">
      <formula>"Yes"</formula>
    </cfRule>
  </conditionalFormatting>
  <conditionalFormatting sqref="BW23:CB23">
    <cfRule type="cellIs" dxfId="2741" priority="2632" operator="equal">
      <formula>"No"</formula>
    </cfRule>
    <cfRule type="cellIs" dxfId="2740" priority="2633" operator="equal">
      <formula>"NA"</formula>
    </cfRule>
    <cfRule type="cellIs" dxfId="2739" priority="2634" operator="equal">
      <formula>"Yes"</formula>
    </cfRule>
  </conditionalFormatting>
  <conditionalFormatting sqref="BW26:CB26">
    <cfRule type="cellIs" dxfId="2738" priority="2629" operator="equal">
      <formula>"No"</formula>
    </cfRule>
    <cfRule type="cellIs" dxfId="2737" priority="2630" operator="equal">
      <formula>"NA"</formula>
    </cfRule>
    <cfRule type="cellIs" dxfId="2736" priority="2631" operator="equal">
      <formula>"Yes"</formula>
    </cfRule>
  </conditionalFormatting>
  <conditionalFormatting sqref="BW33:CB33">
    <cfRule type="cellIs" dxfId="2735" priority="2626" operator="equal">
      <formula>"No"</formula>
    </cfRule>
    <cfRule type="cellIs" dxfId="2734" priority="2627" operator="equal">
      <formula>"NA"</formula>
    </cfRule>
    <cfRule type="cellIs" dxfId="2733" priority="2628" operator="equal">
      <formula>"Yes"</formula>
    </cfRule>
  </conditionalFormatting>
  <conditionalFormatting sqref="BW27:CB27">
    <cfRule type="cellIs" dxfId="2732" priority="2623" operator="equal">
      <formula>"No"</formula>
    </cfRule>
    <cfRule type="cellIs" dxfId="2731" priority="2624" operator="equal">
      <formula>"NA"</formula>
    </cfRule>
    <cfRule type="cellIs" dxfId="2730" priority="2625" operator="equal">
      <formula>"Yes"</formula>
    </cfRule>
  </conditionalFormatting>
  <conditionalFormatting sqref="BW28:CB28">
    <cfRule type="cellIs" dxfId="2729" priority="2620" operator="equal">
      <formula>"No"</formula>
    </cfRule>
    <cfRule type="cellIs" dxfId="2728" priority="2621" operator="equal">
      <formula>"NA"</formula>
    </cfRule>
    <cfRule type="cellIs" dxfId="2727" priority="2622" operator="equal">
      <formula>"Yes"</formula>
    </cfRule>
  </conditionalFormatting>
  <conditionalFormatting sqref="BW30:CB30">
    <cfRule type="cellIs" dxfId="2726" priority="2617" operator="equal">
      <formula>"No"</formula>
    </cfRule>
    <cfRule type="cellIs" dxfId="2725" priority="2618" operator="equal">
      <formula>"NA"</formula>
    </cfRule>
    <cfRule type="cellIs" dxfId="2724" priority="2619" operator="equal">
      <formula>"Yes"</formula>
    </cfRule>
  </conditionalFormatting>
  <conditionalFormatting sqref="BW31:CB31">
    <cfRule type="cellIs" dxfId="2723" priority="2614" operator="equal">
      <formula>"No"</formula>
    </cfRule>
    <cfRule type="cellIs" dxfId="2722" priority="2615" operator="equal">
      <formula>"NA"</formula>
    </cfRule>
    <cfRule type="cellIs" dxfId="2721" priority="2616" operator="equal">
      <formula>"Yes"</formula>
    </cfRule>
  </conditionalFormatting>
  <conditionalFormatting sqref="BW6:CB6">
    <cfRule type="cellIs" dxfId="2720" priority="2611" operator="equal">
      <formula>"No"</formula>
    </cfRule>
    <cfRule type="cellIs" dxfId="2719" priority="2612" operator="equal">
      <formula>"NA"</formula>
    </cfRule>
    <cfRule type="cellIs" dxfId="2718" priority="2613" operator="equal">
      <formula>"Yes"</formula>
    </cfRule>
  </conditionalFormatting>
  <conditionalFormatting sqref="BW25:CB25">
    <cfRule type="cellIs" dxfId="2717" priority="2608" operator="equal">
      <formula>"No"</formula>
    </cfRule>
    <cfRule type="cellIs" dxfId="2716" priority="2609" operator="equal">
      <formula>"NA"</formula>
    </cfRule>
    <cfRule type="cellIs" dxfId="2715" priority="2610" operator="equal">
      <formula>"Yes"</formula>
    </cfRule>
  </conditionalFormatting>
  <conditionalFormatting sqref="BW10:CB10">
    <cfRule type="cellIs" dxfId="2714" priority="2605" operator="equal">
      <formula>"No"</formula>
    </cfRule>
    <cfRule type="cellIs" dxfId="2713" priority="2606" operator="equal">
      <formula>"NA"</formula>
    </cfRule>
    <cfRule type="cellIs" dxfId="2712" priority="2607" operator="equal">
      <formula>"Yes"</formula>
    </cfRule>
  </conditionalFormatting>
  <conditionalFormatting sqref="BW15:CB15">
    <cfRule type="cellIs" dxfId="2711" priority="2602" operator="equal">
      <formula>"No"</formula>
    </cfRule>
    <cfRule type="cellIs" dxfId="2710" priority="2603" operator="equal">
      <formula>"NA"</formula>
    </cfRule>
    <cfRule type="cellIs" dxfId="2709" priority="2604" operator="equal">
      <formula>"Yes"</formula>
    </cfRule>
  </conditionalFormatting>
  <conditionalFormatting sqref="BW9:CB9">
    <cfRule type="cellIs" dxfId="2708" priority="2599" operator="equal">
      <formula>"No"</formula>
    </cfRule>
    <cfRule type="cellIs" dxfId="2707" priority="2600" operator="equal">
      <formula>"NA"</formula>
    </cfRule>
    <cfRule type="cellIs" dxfId="2706" priority="2601" operator="equal">
      <formula>"Yes"</formula>
    </cfRule>
  </conditionalFormatting>
  <conditionalFormatting sqref="BW17:CB17">
    <cfRule type="cellIs" dxfId="2705" priority="2596" operator="equal">
      <formula>"No"</formula>
    </cfRule>
    <cfRule type="cellIs" dxfId="2704" priority="2597" operator="equal">
      <formula>"NA"</formula>
    </cfRule>
    <cfRule type="cellIs" dxfId="2703" priority="2598" operator="equal">
      <formula>"Yes"</formula>
    </cfRule>
  </conditionalFormatting>
  <conditionalFormatting sqref="BW14:CB14">
    <cfRule type="cellIs" dxfId="2702" priority="2593" operator="equal">
      <formula>"No"</formula>
    </cfRule>
    <cfRule type="cellIs" dxfId="2701" priority="2594" operator="equal">
      <formula>"NA"</formula>
    </cfRule>
    <cfRule type="cellIs" dxfId="2700" priority="2595" operator="equal">
      <formula>"Yes"</formula>
    </cfRule>
  </conditionalFormatting>
  <conditionalFormatting sqref="CC7:CI7">
    <cfRule type="cellIs" dxfId="2699" priority="2590" operator="equal">
      <formula>"No"</formula>
    </cfRule>
    <cfRule type="cellIs" dxfId="2698" priority="2591" operator="equal">
      <formula>"NA"</formula>
    </cfRule>
    <cfRule type="cellIs" dxfId="2697" priority="2592" operator="equal">
      <formula>"Yes"</formula>
    </cfRule>
  </conditionalFormatting>
  <conditionalFormatting sqref="CC11:CI11">
    <cfRule type="cellIs" dxfId="2696" priority="2587" operator="equal">
      <formula>"No"</formula>
    </cfRule>
    <cfRule type="cellIs" dxfId="2695" priority="2588" operator="equal">
      <formula>"NA"</formula>
    </cfRule>
    <cfRule type="cellIs" dxfId="2694" priority="2589" operator="equal">
      <formula>"Yes"</formula>
    </cfRule>
  </conditionalFormatting>
  <conditionalFormatting sqref="CC12:CI12">
    <cfRule type="cellIs" dxfId="2693" priority="2584" operator="equal">
      <formula>"No"</formula>
    </cfRule>
    <cfRule type="cellIs" dxfId="2692" priority="2585" operator="equal">
      <formula>"NA"</formula>
    </cfRule>
    <cfRule type="cellIs" dxfId="2691" priority="2586" operator="equal">
      <formula>"Yes"</formula>
    </cfRule>
  </conditionalFormatting>
  <conditionalFormatting sqref="CC13:CI13">
    <cfRule type="cellIs" dxfId="2690" priority="2581" operator="equal">
      <formula>"No"</formula>
    </cfRule>
    <cfRule type="cellIs" dxfId="2689" priority="2582" operator="equal">
      <formula>"NA"</formula>
    </cfRule>
    <cfRule type="cellIs" dxfId="2688" priority="2583" operator="equal">
      <formula>"Yes"</formula>
    </cfRule>
  </conditionalFormatting>
  <conditionalFormatting sqref="CC16:CI16">
    <cfRule type="cellIs" dxfId="2687" priority="2578" operator="equal">
      <formula>"No"</formula>
    </cfRule>
    <cfRule type="cellIs" dxfId="2686" priority="2579" operator="equal">
      <formula>"NA"</formula>
    </cfRule>
    <cfRule type="cellIs" dxfId="2685" priority="2580" operator="equal">
      <formula>"Yes"</formula>
    </cfRule>
  </conditionalFormatting>
  <conditionalFormatting sqref="CC18:CI18">
    <cfRule type="cellIs" dxfId="2684" priority="2575" operator="equal">
      <formula>"No"</formula>
    </cfRule>
    <cfRule type="cellIs" dxfId="2683" priority="2576" operator="equal">
      <formula>"NA"</formula>
    </cfRule>
    <cfRule type="cellIs" dxfId="2682" priority="2577" operator="equal">
      <formula>"Yes"</formula>
    </cfRule>
  </conditionalFormatting>
  <conditionalFormatting sqref="CC19:CI19">
    <cfRule type="cellIs" dxfId="2681" priority="2572" operator="equal">
      <formula>"No"</formula>
    </cfRule>
    <cfRule type="cellIs" dxfId="2680" priority="2573" operator="equal">
      <formula>"NA"</formula>
    </cfRule>
    <cfRule type="cellIs" dxfId="2679" priority="2574" operator="equal">
      <formula>"Yes"</formula>
    </cfRule>
  </conditionalFormatting>
  <conditionalFormatting sqref="CC20:CI20">
    <cfRule type="cellIs" dxfId="2678" priority="2569" operator="equal">
      <formula>"No"</formula>
    </cfRule>
    <cfRule type="cellIs" dxfId="2677" priority="2570" operator="equal">
      <formula>"NA"</formula>
    </cfRule>
    <cfRule type="cellIs" dxfId="2676" priority="2571" operator="equal">
      <formula>"Yes"</formula>
    </cfRule>
  </conditionalFormatting>
  <conditionalFormatting sqref="CC21:CI21">
    <cfRule type="cellIs" dxfId="2675" priority="2566" operator="equal">
      <formula>"No"</formula>
    </cfRule>
    <cfRule type="cellIs" dxfId="2674" priority="2567" operator="equal">
      <formula>"NA"</formula>
    </cfRule>
    <cfRule type="cellIs" dxfId="2673" priority="2568" operator="equal">
      <formula>"Yes"</formula>
    </cfRule>
  </conditionalFormatting>
  <conditionalFormatting sqref="CC22:CI22">
    <cfRule type="cellIs" dxfId="2672" priority="2563" operator="equal">
      <formula>"No"</formula>
    </cfRule>
    <cfRule type="cellIs" dxfId="2671" priority="2564" operator="equal">
      <formula>"NA"</formula>
    </cfRule>
    <cfRule type="cellIs" dxfId="2670" priority="2565" operator="equal">
      <formula>"Yes"</formula>
    </cfRule>
  </conditionalFormatting>
  <conditionalFormatting sqref="CC23:CI23">
    <cfRule type="cellIs" dxfId="2669" priority="2560" operator="equal">
      <formula>"No"</formula>
    </cfRule>
    <cfRule type="cellIs" dxfId="2668" priority="2561" operator="equal">
      <formula>"NA"</formula>
    </cfRule>
    <cfRule type="cellIs" dxfId="2667" priority="2562" operator="equal">
      <formula>"Yes"</formula>
    </cfRule>
  </conditionalFormatting>
  <conditionalFormatting sqref="CC26:CI26">
    <cfRule type="cellIs" dxfId="2666" priority="2557" operator="equal">
      <formula>"No"</formula>
    </cfRule>
    <cfRule type="cellIs" dxfId="2665" priority="2558" operator="equal">
      <formula>"NA"</formula>
    </cfRule>
    <cfRule type="cellIs" dxfId="2664" priority="2559" operator="equal">
      <formula>"Yes"</formula>
    </cfRule>
  </conditionalFormatting>
  <conditionalFormatting sqref="CC33:CI33">
    <cfRule type="cellIs" dxfId="2663" priority="2554" operator="equal">
      <formula>"No"</formula>
    </cfRule>
    <cfRule type="cellIs" dxfId="2662" priority="2555" operator="equal">
      <formula>"NA"</formula>
    </cfRule>
    <cfRule type="cellIs" dxfId="2661" priority="2556" operator="equal">
      <formula>"Yes"</formula>
    </cfRule>
  </conditionalFormatting>
  <conditionalFormatting sqref="CC27:CI27">
    <cfRule type="cellIs" dxfId="2660" priority="2551" operator="equal">
      <formula>"No"</formula>
    </cfRule>
    <cfRule type="cellIs" dxfId="2659" priority="2552" operator="equal">
      <formula>"NA"</formula>
    </cfRule>
    <cfRule type="cellIs" dxfId="2658" priority="2553" operator="equal">
      <formula>"Yes"</formula>
    </cfRule>
  </conditionalFormatting>
  <conditionalFormatting sqref="CC28:CI28">
    <cfRule type="cellIs" dxfId="2657" priority="2548" operator="equal">
      <formula>"No"</formula>
    </cfRule>
    <cfRule type="cellIs" dxfId="2656" priority="2549" operator="equal">
      <formula>"NA"</formula>
    </cfRule>
    <cfRule type="cellIs" dxfId="2655" priority="2550" operator="equal">
      <formula>"Yes"</formula>
    </cfRule>
  </conditionalFormatting>
  <conditionalFormatting sqref="CC30:CI30">
    <cfRule type="cellIs" dxfId="2654" priority="2545" operator="equal">
      <formula>"No"</formula>
    </cfRule>
    <cfRule type="cellIs" dxfId="2653" priority="2546" operator="equal">
      <formula>"NA"</formula>
    </cfRule>
    <cfRule type="cellIs" dxfId="2652" priority="2547" operator="equal">
      <formula>"Yes"</formula>
    </cfRule>
  </conditionalFormatting>
  <conditionalFormatting sqref="CC31:CI31">
    <cfRule type="cellIs" dxfId="2651" priority="2542" operator="equal">
      <formula>"No"</formula>
    </cfRule>
    <cfRule type="cellIs" dxfId="2650" priority="2543" operator="equal">
      <formula>"NA"</formula>
    </cfRule>
    <cfRule type="cellIs" dxfId="2649" priority="2544" operator="equal">
      <formula>"Yes"</formula>
    </cfRule>
  </conditionalFormatting>
  <conditionalFormatting sqref="CC6:CI6">
    <cfRule type="cellIs" dxfId="2648" priority="2539" operator="equal">
      <formula>"No"</formula>
    </cfRule>
    <cfRule type="cellIs" dxfId="2647" priority="2540" operator="equal">
      <formula>"NA"</formula>
    </cfRule>
    <cfRule type="cellIs" dxfId="2646" priority="2541" operator="equal">
      <formula>"Yes"</formula>
    </cfRule>
  </conditionalFormatting>
  <conditionalFormatting sqref="CC25:CI25">
    <cfRule type="cellIs" dxfId="2645" priority="2536" operator="equal">
      <formula>"No"</formula>
    </cfRule>
    <cfRule type="cellIs" dxfId="2644" priority="2537" operator="equal">
      <formula>"NA"</formula>
    </cfRule>
    <cfRule type="cellIs" dxfId="2643" priority="2538" operator="equal">
      <formula>"Yes"</formula>
    </cfRule>
  </conditionalFormatting>
  <conditionalFormatting sqref="CC10:CI10">
    <cfRule type="cellIs" dxfId="2642" priority="2533" operator="equal">
      <formula>"No"</formula>
    </cfRule>
    <cfRule type="cellIs" dxfId="2641" priority="2534" operator="equal">
      <formula>"NA"</formula>
    </cfRule>
    <cfRule type="cellIs" dxfId="2640" priority="2535" operator="equal">
      <formula>"Yes"</formula>
    </cfRule>
  </conditionalFormatting>
  <conditionalFormatting sqref="CC15:CI15">
    <cfRule type="cellIs" dxfId="2639" priority="2530" operator="equal">
      <formula>"No"</formula>
    </cfRule>
    <cfRule type="cellIs" dxfId="2638" priority="2531" operator="equal">
      <formula>"NA"</formula>
    </cfRule>
    <cfRule type="cellIs" dxfId="2637" priority="2532" operator="equal">
      <formula>"Yes"</formula>
    </cfRule>
  </conditionalFormatting>
  <conditionalFormatting sqref="CC9:CI9">
    <cfRule type="cellIs" dxfId="2636" priority="2527" operator="equal">
      <formula>"No"</formula>
    </cfRule>
    <cfRule type="cellIs" dxfId="2635" priority="2528" operator="equal">
      <formula>"NA"</formula>
    </cfRule>
    <cfRule type="cellIs" dxfId="2634" priority="2529" operator="equal">
      <formula>"Yes"</formula>
    </cfRule>
  </conditionalFormatting>
  <conditionalFormatting sqref="CC17:CI17">
    <cfRule type="cellIs" dxfId="2633" priority="2524" operator="equal">
      <formula>"No"</formula>
    </cfRule>
    <cfRule type="cellIs" dxfId="2632" priority="2525" operator="equal">
      <formula>"NA"</formula>
    </cfRule>
    <cfRule type="cellIs" dxfId="2631" priority="2526" operator="equal">
      <formula>"Yes"</formula>
    </cfRule>
  </conditionalFormatting>
  <conditionalFormatting sqref="CC14:CI14">
    <cfRule type="cellIs" dxfId="2630" priority="2521" operator="equal">
      <formula>"No"</formula>
    </cfRule>
    <cfRule type="cellIs" dxfId="2629" priority="2522" operator="equal">
      <formula>"NA"</formula>
    </cfRule>
    <cfRule type="cellIs" dxfId="2628" priority="2523" operator="equal">
      <formula>"Yes"</formula>
    </cfRule>
  </conditionalFormatting>
  <conditionalFormatting sqref="CJ7">
    <cfRule type="cellIs" dxfId="2627" priority="2518" operator="equal">
      <formula>"No"</formula>
    </cfRule>
    <cfRule type="cellIs" dxfId="2626" priority="2519" operator="equal">
      <formula>"NA"</formula>
    </cfRule>
    <cfRule type="cellIs" dxfId="2625" priority="2520" operator="equal">
      <formula>"Yes"</formula>
    </cfRule>
  </conditionalFormatting>
  <conditionalFormatting sqref="CJ11">
    <cfRule type="cellIs" dxfId="2624" priority="2515" operator="equal">
      <formula>"No"</formula>
    </cfRule>
    <cfRule type="cellIs" dxfId="2623" priority="2516" operator="equal">
      <formula>"NA"</formula>
    </cfRule>
    <cfRule type="cellIs" dxfId="2622" priority="2517" operator="equal">
      <formula>"Yes"</formula>
    </cfRule>
  </conditionalFormatting>
  <conditionalFormatting sqref="CJ12">
    <cfRule type="cellIs" dxfId="2621" priority="2512" operator="equal">
      <formula>"No"</formula>
    </cfRule>
    <cfRule type="cellIs" dxfId="2620" priority="2513" operator="equal">
      <formula>"NA"</formula>
    </cfRule>
    <cfRule type="cellIs" dxfId="2619" priority="2514" operator="equal">
      <formula>"Yes"</formula>
    </cfRule>
  </conditionalFormatting>
  <conditionalFormatting sqref="CJ13">
    <cfRule type="cellIs" dxfId="2618" priority="2509" operator="equal">
      <formula>"No"</formula>
    </cfRule>
    <cfRule type="cellIs" dxfId="2617" priority="2510" operator="equal">
      <formula>"NA"</formula>
    </cfRule>
    <cfRule type="cellIs" dxfId="2616" priority="2511" operator="equal">
      <formula>"Yes"</formula>
    </cfRule>
  </conditionalFormatting>
  <conditionalFormatting sqref="CJ16">
    <cfRule type="cellIs" dxfId="2615" priority="2506" operator="equal">
      <formula>"No"</formula>
    </cfRule>
    <cfRule type="cellIs" dxfId="2614" priority="2507" operator="equal">
      <formula>"NA"</formula>
    </cfRule>
    <cfRule type="cellIs" dxfId="2613" priority="2508" operator="equal">
      <formula>"Yes"</formula>
    </cfRule>
  </conditionalFormatting>
  <conditionalFormatting sqref="CJ18">
    <cfRule type="cellIs" dxfId="2612" priority="2503" operator="equal">
      <formula>"No"</formula>
    </cfRule>
    <cfRule type="cellIs" dxfId="2611" priority="2504" operator="equal">
      <formula>"NA"</formula>
    </cfRule>
    <cfRule type="cellIs" dxfId="2610" priority="2505" operator="equal">
      <formula>"Yes"</formula>
    </cfRule>
  </conditionalFormatting>
  <conditionalFormatting sqref="CJ19">
    <cfRule type="cellIs" dxfId="2609" priority="2500" operator="equal">
      <formula>"No"</formula>
    </cfRule>
    <cfRule type="cellIs" dxfId="2608" priority="2501" operator="equal">
      <formula>"NA"</formula>
    </cfRule>
    <cfRule type="cellIs" dxfId="2607" priority="2502" operator="equal">
      <formula>"Yes"</formula>
    </cfRule>
  </conditionalFormatting>
  <conditionalFormatting sqref="CJ20">
    <cfRule type="cellIs" dxfId="2606" priority="2497" operator="equal">
      <formula>"No"</formula>
    </cfRule>
    <cfRule type="cellIs" dxfId="2605" priority="2498" operator="equal">
      <formula>"NA"</formula>
    </cfRule>
    <cfRule type="cellIs" dxfId="2604" priority="2499" operator="equal">
      <formula>"Yes"</formula>
    </cfRule>
  </conditionalFormatting>
  <conditionalFormatting sqref="CJ21">
    <cfRule type="cellIs" dxfId="2603" priority="2494" operator="equal">
      <formula>"No"</formula>
    </cfRule>
    <cfRule type="cellIs" dxfId="2602" priority="2495" operator="equal">
      <formula>"NA"</formula>
    </cfRule>
    <cfRule type="cellIs" dxfId="2601" priority="2496" operator="equal">
      <formula>"Yes"</formula>
    </cfRule>
  </conditionalFormatting>
  <conditionalFormatting sqref="CJ22">
    <cfRule type="cellIs" dxfId="2600" priority="2491" operator="equal">
      <formula>"No"</formula>
    </cfRule>
    <cfRule type="cellIs" dxfId="2599" priority="2492" operator="equal">
      <formula>"NA"</formula>
    </cfRule>
    <cfRule type="cellIs" dxfId="2598" priority="2493" operator="equal">
      <formula>"Yes"</formula>
    </cfRule>
  </conditionalFormatting>
  <conditionalFormatting sqref="CJ23">
    <cfRule type="cellIs" dxfId="2597" priority="2488" operator="equal">
      <formula>"No"</formula>
    </cfRule>
    <cfRule type="cellIs" dxfId="2596" priority="2489" operator="equal">
      <formula>"NA"</formula>
    </cfRule>
    <cfRule type="cellIs" dxfId="2595" priority="2490" operator="equal">
      <formula>"Yes"</formula>
    </cfRule>
  </conditionalFormatting>
  <conditionalFormatting sqref="CJ26">
    <cfRule type="cellIs" dxfId="2594" priority="2485" operator="equal">
      <formula>"No"</formula>
    </cfRule>
    <cfRule type="cellIs" dxfId="2593" priority="2486" operator="equal">
      <formula>"NA"</formula>
    </cfRule>
    <cfRule type="cellIs" dxfId="2592" priority="2487" operator="equal">
      <formula>"Yes"</formula>
    </cfRule>
  </conditionalFormatting>
  <conditionalFormatting sqref="CJ33">
    <cfRule type="cellIs" dxfId="2591" priority="2482" operator="equal">
      <formula>"No"</formula>
    </cfRule>
    <cfRule type="cellIs" dxfId="2590" priority="2483" operator="equal">
      <formula>"NA"</formula>
    </cfRule>
    <cfRule type="cellIs" dxfId="2589" priority="2484" operator="equal">
      <formula>"Yes"</formula>
    </cfRule>
  </conditionalFormatting>
  <conditionalFormatting sqref="CJ27">
    <cfRule type="cellIs" dxfId="2588" priority="2479" operator="equal">
      <formula>"No"</formula>
    </cfRule>
    <cfRule type="cellIs" dxfId="2587" priority="2480" operator="equal">
      <formula>"NA"</formula>
    </cfRule>
    <cfRule type="cellIs" dxfId="2586" priority="2481" operator="equal">
      <formula>"Yes"</formula>
    </cfRule>
  </conditionalFormatting>
  <conditionalFormatting sqref="CJ28">
    <cfRule type="cellIs" dxfId="2585" priority="2476" operator="equal">
      <formula>"No"</formula>
    </cfRule>
    <cfRule type="cellIs" dxfId="2584" priority="2477" operator="equal">
      <formula>"NA"</formula>
    </cfRule>
    <cfRule type="cellIs" dxfId="2583" priority="2478" operator="equal">
      <formula>"Yes"</formula>
    </cfRule>
  </conditionalFormatting>
  <conditionalFormatting sqref="CJ30">
    <cfRule type="cellIs" dxfId="2582" priority="2473" operator="equal">
      <formula>"No"</formula>
    </cfRule>
    <cfRule type="cellIs" dxfId="2581" priority="2474" operator="equal">
      <formula>"NA"</formula>
    </cfRule>
    <cfRule type="cellIs" dxfId="2580" priority="2475" operator="equal">
      <formula>"Yes"</formula>
    </cfRule>
  </conditionalFormatting>
  <conditionalFormatting sqref="CJ31">
    <cfRule type="cellIs" dxfId="2579" priority="2470" operator="equal">
      <formula>"No"</formula>
    </cfRule>
    <cfRule type="cellIs" dxfId="2578" priority="2471" operator="equal">
      <formula>"NA"</formula>
    </cfRule>
    <cfRule type="cellIs" dxfId="2577" priority="2472" operator="equal">
      <formula>"Yes"</formula>
    </cfRule>
  </conditionalFormatting>
  <conditionalFormatting sqref="CJ14">
    <cfRule type="cellIs" dxfId="2576" priority="2467" operator="equal">
      <formula>"No"</formula>
    </cfRule>
    <cfRule type="cellIs" dxfId="2575" priority="2468" operator="equal">
      <formula>"NA"</formula>
    </cfRule>
    <cfRule type="cellIs" dxfId="2574" priority="2469" operator="equal">
      <formula>"Yes"</formula>
    </cfRule>
  </conditionalFormatting>
  <conditionalFormatting sqref="CJ6">
    <cfRule type="cellIs" dxfId="2573" priority="2464" operator="equal">
      <formula>"No"</formula>
    </cfRule>
    <cfRule type="cellIs" dxfId="2572" priority="2465" operator="equal">
      <formula>"NA"</formula>
    </cfRule>
    <cfRule type="cellIs" dxfId="2571" priority="2466" operator="equal">
      <formula>"Yes"</formula>
    </cfRule>
  </conditionalFormatting>
  <conditionalFormatting sqref="CJ25">
    <cfRule type="cellIs" dxfId="2570" priority="2461" operator="equal">
      <formula>"No"</formula>
    </cfRule>
    <cfRule type="cellIs" dxfId="2569" priority="2462" operator="equal">
      <formula>"NA"</formula>
    </cfRule>
    <cfRule type="cellIs" dxfId="2568" priority="2463" operator="equal">
      <formula>"Yes"</formula>
    </cfRule>
  </conditionalFormatting>
  <conditionalFormatting sqref="CJ10">
    <cfRule type="cellIs" dxfId="2567" priority="2458" operator="equal">
      <formula>"No"</formula>
    </cfRule>
    <cfRule type="cellIs" dxfId="2566" priority="2459" operator="equal">
      <formula>"NA"</formula>
    </cfRule>
    <cfRule type="cellIs" dxfId="2565" priority="2460" operator="equal">
      <formula>"Yes"</formula>
    </cfRule>
  </conditionalFormatting>
  <conditionalFormatting sqref="CJ15">
    <cfRule type="cellIs" dxfId="2564" priority="2455" operator="equal">
      <formula>"No"</formula>
    </cfRule>
    <cfRule type="cellIs" dxfId="2563" priority="2456" operator="equal">
      <formula>"NA"</formula>
    </cfRule>
    <cfRule type="cellIs" dxfId="2562" priority="2457" operator="equal">
      <formula>"Yes"</formula>
    </cfRule>
  </conditionalFormatting>
  <conditionalFormatting sqref="CJ17">
    <cfRule type="cellIs" dxfId="2561" priority="2452" operator="equal">
      <formula>"No"</formula>
    </cfRule>
    <cfRule type="cellIs" dxfId="2560" priority="2453" operator="equal">
      <formula>"NA"</formula>
    </cfRule>
    <cfRule type="cellIs" dxfId="2559" priority="2454" operator="equal">
      <formula>"Yes"</formula>
    </cfRule>
  </conditionalFormatting>
  <conditionalFormatting sqref="CJ9">
    <cfRule type="cellIs" dxfId="2558" priority="2449" operator="equal">
      <formula>"No"</formula>
    </cfRule>
    <cfRule type="cellIs" dxfId="2557" priority="2450" operator="equal">
      <formula>"NA"</formula>
    </cfRule>
    <cfRule type="cellIs" dxfId="2556" priority="2451" operator="equal">
      <formula>"Yes"</formula>
    </cfRule>
  </conditionalFormatting>
  <conditionalFormatting sqref="CK7">
    <cfRule type="cellIs" dxfId="2555" priority="2446" operator="equal">
      <formula>"No"</formula>
    </cfRule>
    <cfRule type="cellIs" dxfId="2554" priority="2447" operator="equal">
      <formula>"NA"</formula>
    </cfRule>
    <cfRule type="cellIs" dxfId="2553" priority="2448" operator="equal">
      <formula>"Yes"</formula>
    </cfRule>
  </conditionalFormatting>
  <conditionalFormatting sqref="CK11">
    <cfRule type="cellIs" dxfId="2552" priority="2443" operator="equal">
      <formula>"No"</formula>
    </cfRule>
    <cfRule type="cellIs" dxfId="2551" priority="2444" operator="equal">
      <formula>"NA"</formula>
    </cfRule>
    <cfRule type="cellIs" dxfId="2550" priority="2445" operator="equal">
      <formula>"Yes"</formula>
    </cfRule>
  </conditionalFormatting>
  <conditionalFormatting sqref="CK12">
    <cfRule type="cellIs" dxfId="2549" priority="2440" operator="equal">
      <formula>"No"</formula>
    </cfRule>
    <cfRule type="cellIs" dxfId="2548" priority="2441" operator="equal">
      <formula>"NA"</formula>
    </cfRule>
    <cfRule type="cellIs" dxfId="2547" priority="2442" operator="equal">
      <formula>"Yes"</formula>
    </cfRule>
  </conditionalFormatting>
  <conditionalFormatting sqref="CK13">
    <cfRule type="cellIs" dxfId="2546" priority="2437" operator="equal">
      <formula>"No"</formula>
    </cfRule>
    <cfRule type="cellIs" dxfId="2545" priority="2438" operator="equal">
      <formula>"NA"</formula>
    </cfRule>
    <cfRule type="cellIs" dxfId="2544" priority="2439" operator="equal">
      <formula>"Yes"</formula>
    </cfRule>
  </conditionalFormatting>
  <conditionalFormatting sqref="CK16">
    <cfRule type="cellIs" dxfId="2543" priority="2434" operator="equal">
      <formula>"No"</formula>
    </cfRule>
    <cfRule type="cellIs" dxfId="2542" priority="2435" operator="equal">
      <formula>"NA"</formula>
    </cfRule>
    <cfRule type="cellIs" dxfId="2541" priority="2436" operator="equal">
      <formula>"Yes"</formula>
    </cfRule>
  </conditionalFormatting>
  <conditionalFormatting sqref="CK18">
    <cfRule type="cellIs" dxfId="2540" priority="2431" operator="equal">
      <formula>"No"</formula>
    </cfRule>
    <cfRule type="cellIs" dxfId="2539" priority="2432" operator="equal">
      <formula>"NA"</formula>
    </cfRule>
    <cfRule type="cellIs" dxfId="2538" priority="2433" operator="equal">
      <formula>"Yes"</formula>
    </cfRule>
  </conditionalFormatting>
  <conditionalFormatting sqref="CK19">
    <cfRule type="cellIs" dxfId="2537" priority="2428" operator="equal">
      <formula>"No"</formula>
    </cfRule>
    <cfRule type="cellIs" dxfId="2536" priority="2429" operator="equal">
      <formula>"NA"</formula>
    </cfRule>
    <cfRule type="cellIs" dxfId="2535" priority="2430" operator="equal">
      <formula>"Yes"</formula>
    </cfRule>
  </conditionalFormatting>
  <conditionalFormatting sqref="CK20">
    <cfRule type="cellIs" dxfId="2534" priority="2425" operator="equal">
      <formula>"No"</formula>
    </cfRule>
    <cfRule type="cellIs" dxfId="2533" priority="2426" operator="equal">
      <formula>"NA"</formula>
    </cfRule>
    <cfRule type="cellIs" dxfId="2532" priority="2427" operator="equal">
      <formula>"Yes"</formula>
    </cfRule>
  </conditionalFormatting>
  <conditionalFormatting sqref="CK21">
    <cfRule type="cellIs" dxfId="2531" priority="2422" operator="equal">
      <formula>"No"</formula>
    </cfRule>
    <cfRule type="cellIs" dxfId="2530" priority="2423" operator="equal">
      <formula>"NA"</formula>
    </cfRule>
    <cfRule type="cellIs" dxfId="2529" priority="2424" operator="equal">
      <formula>"Yes"</formula>
    </cfRule>
  </conditionalFormatting>
  <conditionalFormatting sqref="CK22">
    <cfRule type="cellIs" dxfId="2528" priority="2419" operator="equal">
      <formula>"No"</formula>
    </cfRule>
    <cfRule type="cellIs" dxfId="2527" priority="2420" operator="equal">
      <formula>"NA"</formula>
    </cfRule>
    <cfRule type="cellIs" dxfId="2526" priority="2421" operator="equal">
      <formula>"Yes"</formula>
    </cfRule>
  </conditionalFormatting>
  <conditionalFormatting sqref="CK23">
    <cfRule type="cellIs" dxfId="2525" priority="2416" operator="equal">
      <formula>"No"</formula>
    </cfRule>
    <cfRule type="cellIs" dxfId="2524" priority="2417" operator="equal">
      <formula>"NA"</formula>
    </cfRule>
    <cfRule type="cellIs" dxfId="2523" priority="2418" operator="equal">
      <formula>"Yes"</formula>
    </cfRule>
  </conditionalFormatting>
  <conditionalFormatting sqref="CK26">
    <cfRule type="cellIs" dxfId="2522" priority="2413" operator="equal">
      <formula>"No"</formula>
    </cfRule>
    <cfRule type="cellIs" dxfId="2521" priority="2414" operator="equal">
      <formula>"NA"</formula>
    </cfRule>
    <cfRule type="cellIs" dxfId="2520" priority="2415" operator="equal">
      <formula>"Yes"</formula>
    </cfRule>
  </conditionalFormatting>
  <conditionalFormatting sqref="CK33">
    <cfRule type="cellIs" dxfId="2519" priority="2410" operator="equal">
      <formula>"No"</formula>
    </cfRule>
    <cfRule type="cellIs" dxfId="2518" priority="2411" operator="equal">
      <formula>"NA"</formula>
    </cfRule>
    <cfRule type="cellIs" dxfId="2517" priority="2412" operator="equal">
      <formula>"Yes"</formula>
    </cfRule>
  </conditionalFormatting>
  <conditionalFormatting sqref="CK27">
    <cfRule type="cellIs" dxfId="2516" priority="2407" operator="equal">
      <formula>"No"</formula>
    </cfRule>
    <cfRule type="cellIs" dxfId="2515" priority="2408" operator="equal">
      <formula>"NA"</formula>
    </cfRule>
    <cfRule type="cellIs" dxfId="2514" priority="2409" operator="equal">
      <formula>"Yes"</formula>
    </cfRule>
  </conditionalFormatting>
  <conditionalFormatting sqref="CK28">
    <cfRule type="cellIs" dxfId="2513" priority="2404" operator="equal">
      <formula>"No"</formula>
    </cfRule>
    <cfRule type="cellIs" dxfId="2512" priority="2405" operator="equal">
      <formula>"NA"</formula>
    </cfRule>
    <cfRule type="cellIs" dxfId="2511" priority="2406" operator="equal">
      <formula>"Yes"</formula>
    </cfRule>
  </conditionalFormatting>
  <conditionalFormatting sqref="CK30">
    <cfRule type="cellIs" dxfId="2510" priority="2401" operator="equal">
      <formula>"No"</formula>
    </cfRule>
    <cfRule type="cellIs" dxfId="2509" priority="2402" operator="equal">
      <formula>"NA"</formula>
    </cfRule>
    <cfRule type="cellIs" dxfId="2508" priority="2403" operator="equal">
      <formula>"Yes"</formula>
    </cfRule>
  </conditionalFormatting>
  <conditionalFormatting sqref="CK31">
    <cfRule type="cellIs" dxfId="2507" priority="2398" operator="equal">
      <formula>"No"</formula>
    </cfRule>
    <cfRule type="cellIs" dxfId="2506" priority="2399" operator="equal">
      <formula>"NA"</formula>
    </cfRule>
    <cfRule type="cellIs" dxfId="2505" priority="2400" operator="equal">
      <formula>"Yes"</formula>
    </cfRule>
  </conditionalFormatting>
  <conditionalFormatting sqref="CK6">
    <cfRule type="cellIs" dxfId="2504" priority="2395" operator="equal">
      <formula>"No"</formula>
    </cfRule>
    <cfRule type="cellIs" dxfId="2503" priority="2396" operator="equal">
      <formula>"NA"</formula>
    </cfRule>
    <cfRule type="cellIs" dxfId="2502" priority="2397" operator="equal">
      <formula>"Yes"</formula>
    </cfRule>
  </conditionalFormatting>
  <conditionalFormatting sqref="CK25">
    <cfRule type="cellIs" dxfId="2501" priority="2392" operator="equal">
      <formula>"No"</formula>
    </cfRule>
    <cfRule type="cellIs" dxfId="2500" priority="2393" operator="equal">
      <formula>"NA"</formula>
    </cfRule>
    <cfRule type="cellIs" dxfId="2499" priority="2394" operator="equal">
      <formula>"Yes"</formula>
    </cfRule>
  </conditionalFormatting>
  <conditionalFormatting sqref="CK10">
    <cfRule type="cellIs" dxfId="2498" priority="2389" operator="equal">
      <formula>"No"</formula>
    </cfRule>
    <cfRule type="cellIs" dxfId="2497" priority="2390" operator="equal">
      <formula>"NA"</formula>
    </cfRule>
    <cfRule type="cellIs" dxfId="2496" priority="2391" operator="equal">
      <formula>"Yes"</formula>
    </cfRule>
  </conditionalFormatting>
  <conditionalFormatting sqref="CK15">
    <cfRule type="cellIs" dxfId="2495" priority="2386" operator="equal">
      <formula>"No"</formula>
    </cfRule>
    <cfRule type="cellIs" dxfId="2494" priority="2387" operator="equal">
      <formula>"NA"</formula>
    </cfRule>
    <cfRule type="cellIs" dxfId="2493" priority="2388" operator="equal">
      <formula>"Yes"</formula>
    </cfRule>
  </conditionalFormatting>
  <conditionalFormatting sqref="CK9">
    <cfRule type="cellIs" dxfId="2492" priority="2383" operator="equal">
      <formula>"No"</formula>
    </cfRule>
    <cfRule type="cellIs" dxfId="2491" priority="2384" operator="equal">
      <formula>"NA"</formula>
    </cfRule>
    <cfRule type="cellIs" dxfId="2490" priority="2385" operator="equal">
      <formula>"Yes"</formula>
    </cfRule>
  </conditionalFormatting>
  <conditionalFormatting sqref="CK17">
    <cfRule type="cellIs" dxfId="2489" priority="2380" operator="equal">
      <formula>"No"</formula>
    </cfRule>
    <cfRule type="cellIs" dxfId="2488" priority="2381" operator="equal">
      <formula>"NA"</formula>
    </cfRule>
    <cfRule type="cellIs" dxfId="2487" priority="2382" operator="equal">
      <formula>"Yes"</formula>
    </cfRule>
  </conditionalFormatting>
  <conditionalFormatting sqref="CK14">
    <cfRule type="cellIs" dxfId="2486" priority="2377" operator="equal">
      <formula>"No"</formula>
    </cfRule>
    <cfRule type="cellIs" dxfId="2485" priority="2378" operator="equal">
      <formula>"NA"</formula>
    </cfRule>
    <cfRule type="cellIs" dxfId="2484" priority="2379" operator="equal">
      <formula>"Yes"</formula>
    </cfRule>
  </conditionalFormatting>
  <conditionalFormatting sqref="CL7">
    <cfRule type="cellIs" dxfId="2483" priority="2374" operator="equal">
      <formula>"No"</formula>
    </cfRule>
    <cfRule type="cellIs" dxfId="2482" priority="2375" operator="equal">
      <formula>"NA"</formula>
    </cfRule>
    <cfRule type="cellIs" dxfId="2481" priority="2376" operator="equal">
      <formula>"Yes"</formula>
    </cfRule>
  </conditionalFormatting>
  <conditionalFormatting sqref="CL12">
    <cfRule type="cellIs" dxfId="2480" priority="2368" operator="equal">
      <formula>"No"</formula>
    </cfRule>
    <cfRule type="cellIs" dxfId="2479" priority="2369" operator="equal">
      <formula>"NA"</formula>
    </cfRule>
    <cfRule type="cellIs" dxfId="2478" priority="2370" operator="equal">
      <formula>"Yes"</formula>
    </cfRule>
  </conditionalFormatting>
  <conditionalFormatting sqref="CL13">
    <cfRule type="cellIs" dxfId="2477" priority="2365" operator="equal">
      <formula>"No"</formula>
    </cfRule>
    <cfRule type="cellIs" dxfId="2476" priority="2366" operator="equal">
      <formula>"NA"</formula>
    </cfRule>
    <cfRule type="cellIs" dxfId="2475" priority="2367" operator="equal">
      <formula>"Yes"</formula>
    </cfRule>
  </conditionalFormatting>
  <conditionalFormatting sqref="CL16">
    <cfRule type="cellIs" dxfId="2474" priority="2362" operator="equal">
      <formula>"No"</formula>
    </cfRule>
    <cfRule type="cellIs" dxfId="2473" priority="2363" operator="equal">
      <formula>"NA"</formula>
    </cfRule>
    <cfRule type="cellIs" dxfId="2472" priority="2364" operator="equal">
      <formula>"Yes"</formula>
    </cfRule>
  </conditionalFormatting>
  <conditionalFormatting sqref="CL18">
    <cfRule type="cellIs" dxfId="2471" priority="2359" operator="equal">
      <formula>"No"</formula>
    </cfRule>
    <cfRule type="cellIs" dxfId="2470" priority="2360" operator="equal">
      <formula>"NA"</formula>
    </cfRule>
    <cfRule type="cellIs" dxfId="2469" priority="2361" operator="equal">
      <formula>"Yes"</formula>
    </cfRule>
  </conditionalFormatting>
  <conditionalFormatting sqref="CL19">
    <cfRule type="cellIs" dxfId="2468" priority="2356" operator="equal">
      <formula>"No"</formula>
    </cfRule>
    <cfRule type="cellIs" dxfId="2467" priority="2357" operator="equal">
      <formula>"NA"</formula>
    </cfRule>
    <cfRule type="cellIs" dxfId="2466" priority="2358" operator="equal">
      <formula>"Yes"</formula>
    </cfRule>
  </conditionalFormatting>
  <conditionalFormatting sqref="CL20">
    <cfRule type="cellIs" dxfId="2465" priority="2353" operator="equal">
      <formula>"No"</formula>
    </cfRule>
    <cfRule type="cellIs" dxfId="2464" priority="2354" operator="equal">
      <formula>"NA"</formula>
    </cfRule>
    <cfRule type="cellIs" dxfId="2463" priority="2355" operator="equal">
      <formula>"Yes"</formula>
    </cfRule>
  </conditionalFormatting>
  <conditionalFormatting sqref="CL21">
    <cfRule type="cellIs" dxfId="2462" priority="2350" operator="equal">
      <formula>"No"</formula>
    </cfRule>
    <cfRule type="cellIs" dxfId="2461" priority="2351" operator="equal">
      <formula>"NA"</formula>
    </cfRule>
    <cfRule type="cellIs" dxfId="2460" priority="2352" operator="equal">
      <formula>"Yes"</formula>
    </cfRule>
  </conditionalFormatting>
  <conditionalFormatting sqref="CL22">
    <cfRule type="cellIs" dxfId="2459" priority="2347" operator="equal">
      <formula>"No"</formula>
    </cfRule>
    <cfRule type="cellIs" dxfId="2458" priority="2348" operator="equal">
      <formula>"NA"</formula>
    </cfRule>
    <cfRule type="cellIs" dxfId="2457" priority="2349" operator="equal">
      <formula>"Yes"</formula>
    </cfRule>
  </conditionalFormatting>
  <conditionalFormatting sqref="CL23">
    <cfRule type="cellIs" dxfId="2456" priority="2344" operator="equal">
      <formula>"No"</formula>
    </cfRule>
    <cfRule type="cellIs" dxfId="2455" priority="2345" operator="equal">
      <formula>"NA"</formula>
    </cfRule>
    <cfRule type="cellIs" dxfId="2454" priority="2346" operator="equal">
      <formula>"Yes"</formula>
    </cfRule>
  </conditionalFormatting>
  <conditionalFormatting sqref="CL26">
    <cfRule type="cellIs" dxfId="2453" priority="2341" operator="equal">
      <formula>"No"</formula>
    </cfRule>
    <cfRule type="cellIs" dxfId="2452" priority="2342" operator="equal">
      <formula>"NA"</formula>
    </cfRule>
    <cfRule type="cellIs" dxfId="2451" priority="2343" operator="equal">
      <formula>"Yes"</formula>
    </cfRule>
  </conditionalFormatting>
  <conditionalFormatting sqref="CL33">
    <cfRule type="cellIs" dxfId="2450" priority="2338" operator="equal">
      <formula>"No"</formula>
    </cfRule>
    <cfRule type="cellIs" dxfId="2449" priority="2339" operator="equal">
      <formula>"NA"</formula>
    </cfRule>
    <cfRule type="cellIs" dxfId="2448" priority="2340" operator="equal">
      <formula>"Yes"</formula>
    </cfRule>
  </conditionalFormatting>
  <conditionalFormatting sqref="CL27">
    <cfRule type="cellIs" dxfId="2447" priority="2335" operator="equal">
      <formula>"No"</formula>
    </cfRule>
    <cfRule type="cellIs" dxfId="2446" priority="2336" operator="equal">
      <formula>"NA"</formula>
    </cfRule>
    <cfRule type="cellIs" dxfId="2445" priority="2337" operator="equal">
      <formula>"Yes"</formula>
    </cfRule>
  </conditionalFormatting>
  <conditionalFormatting sqref="CL28">
    <cfRule type="cellIs" dxfId="2444" priority="2332" operator="equal">
      <formula>"No"</formula>
    </cfRule>
    <cfRule type="cellIs" dxfId="2443" priority="2333" operator="equal">
      <formula>"NA"</formula>
    </cfRule>
    <cfRule type="cellIs" dxfId="2442" priority="2334" operator="equal">
      <formula>"Yes"</formula>
    </cfRule>
  </conditionalFormatting>
  <conditionalFormatting sqref="CL30">
    <cfRule type="cellIs" dxfId="2441" priority="2329" operator="equal">
      <formula>"No"</formula>
    </cfRule>
    <cfRule type="cellIs" dxfId="2440" priority="2330" operator="equal">
      <formula>"NA"</formula>
    </cfRule>
    <cfRule type="cellIs" dxfId="2439" priority="2331" operator="equal">
      <formula>"Yes"</formula>
    </cfRule>
  </conditionalFormatting>
  <conditionalFormatting sqref="CL31">
    <cfRule type="cellIs" dxfId="2438" priority="2326" operator="equal">
      <formula>"No"</formula>
    </cfRule>
    <cfRule type="cellIs" dxfId="2437" priority="2327" operator="equal">
      <formula>"NA"</formula>
    </cfRule>
    <cfRule type="cellIs" dxfId="2436" priority="2328" operator="equal">
      <formula>"Yes"</formula>
    </cfRule>
  </conditionalFormatting>
  <conditionalFormatting sqref="CL6">
    <cfRule type="cellIs" dxfId="2435" priority="2323" operator="equal">
      <formula>"No"</formula>
    </cfRule>
    <cfRule type="cellIs" dxfId="2434" priority="2324" operator="equal">
      <formula>"NA"</formula>
    </cfRule>
    <cfRule type="cellIs" dxfId="2433" priority="2325" operator="equal">
      <formula>"Yes"</formula>
    </cfRule>
  </conditionalFormatting>
  <conditionalFormatting sqref="CL25">
    <cfRule type="cellIs" dxfId="2432" priority="2320" operator="equal">
      <formula>"No"</formula>
    </cfRule>
    <cfRule type="cellIs" dxfId="2431" priority="2321" operator="equal">
      <formula>"NA"</formula>
    </cfRule>
    <cfRule type="cellIs" dxfId="2430" priority="2322" operator="equal">
      <formula>"Yes"</formula>
    </cfRule>
  </conditionalFormatting>
  <conditionalFormatting sqref="CL15">
    <cfRule type="cellIs" dxfId="2429" priority="2314" operator="equal">
      <formula>"No"</formula>
    </cfRule>
    <cfRule type="cellIs" dxfId="2428" priority="2315" operator="equal">
      <formula>"NA"</formula>
    </cfRule>
    <cfRule type="cellIs" dxfId="2427" priority="2316" operator="equal">
      <formula>"Yes"</formula>
    </cfRule>
  </conditionalFormatting>
  <conditionalFormatting sqref="CL17">
    <cfRule type="cellIs" dxfId="2426" priority="2308" operator="equal">
      <formula>"No"</formula>
    </cfRule>
    <cfRule type="cellIs" dxfId="2425" priority="2309" operator="equal">
      <formula>"NA"</formula>
    </cfRule>
    <cfRule type="cellIs" dxfId="2424" priority="2310" operator="equal">
      <formula>"Yes"</formula>
    </cfRule>
  </conditionalFormatting>
  <conditionalFormatting sqref="CL14">
    <cfRule type="cellIs" dxfId="2423" priority="2305" operator="equal">
      <formula>"No"</formula>
    </cfRule>
    <cfRule type="cellIs" dxfId="2422" priority="2306" operator="equal">
      <formula>"NA"</formula>
    </cfRule>
    <cfRule type="cellIs" dxfId="2421" priority="2307" operator="equal">
      <formula>"Yes"</formula>
    </cfRule>
  </conditionalFormatting>
  <conditionalFormatting sqref="CL9">
    <cfRule type="cellIs" dxfId="2420" priority="2302" operator="equal">
      <formula>"No"</formula>
    </cfRule>
    <cfRule type="cellIs" dxfId="2419" priority="2303" operator="equal">
      <formula>"NA"</formula>
    </cfRule>
    <cfRule type="cellIs" dxfId="2418" priority="2304" operator="equal">
      <formula>"Yes"</formula>
    </cfRule>
  </conditionalFormatting>
  <conditionalFormatting sqref="CL11">
    <cfRule type="cellIs" dxfId="2417" priority="2299" operator="equal">
      <formula>"No"</formula>
    </cfRule>
    <cfRule type="cellIs" dxfId="2416" priority="2300" operator="equal">
      <formula>"NA"</formula>
    </cfRule>
    <cfRule type="cellIs" dxfId="2415" priority="2301" operator="equal">
      <formula>"Yes"</formula>
    </cfRule>
  </conditionalFormatting>
  <conditionalFormatting sqref="CL10">
    <cfRule type="cellIs" dxfId="2414" priority="2296" operator="equal">
      <formula>"No"</formula>
    </cfRule>
    <cfRule type="cellIs" dxfId="2413" priority="2297" operator="equal">
      <formula>"NA"</formula>
    </cfRule>
    <cfRule type="cellIs" dxfId="2412" priority="2298" operator="equal">
      <formula>"Yes"</formula>
    </cfRule>
  </conditionalFormatting>
  <conditionalFormatting sqref="CM7">
    <cfRule type="cellIs" dxfId="2411" priority="2293" operator="equal">
      <formula>"No"</formula>
    </cfRule>
    <cfRule type="cellIs" dxfId="2410" priority="2294" operator="equal">
      <formula>"NA"</formula>
    </cfRule>
    <cfRule type="cellIs" dxfId="2409" priority="2295" operator="equal">
      <formula>"Yes"</formula>
    </cfRule>
  </conditionalFormatting>
  <conditionalFormatting sqref="CM12">
    <cfRule type="cellIs" dxfId="2408" priority="2287" operator="equal">
      <formula>"No"</formula>
    </cfRule>
    <cfRule type="cellIs" dxfId="2407" priority="2288" operator="equal">
      <formula>"NA"</formula>
    </cfRule>
    <cfRule type="cellIs" dxfId="2406" priority="2289" operator="equal">
      <formula>"Yes"</formula>
    </cfRule>
  </conditionalFormatting>
  <conditionalFormatting sqref="CM13">
    <cfRule type="cellIs" dxfId="2405" priority="2284" operator="equal">
      <formula>"No"</formula>
    </cfRule>
    <cfRule type="cellIs" dxfId="2404" priority="2285" operator="equal">
      <formula>"NA"</formula>
    </cfRule>
    <cfRule type="cellIs" dxfId="2403" priority="2286" operator="equal">
      <formula>"Yes"</formula>
    </cfRule>
  </conditionalFormatting>
  <conditionalFormatting sqref="CM16">
    <cfRule type="cellIs" dxfId="2402" priority="2281" operator="equal">
      <formula>"No"</formula>
    </cfRule>
    <cfRule type="cellIs" dxfId="2401" priority="2282" operator="equal">
      <formula>"NA"</formula>
    </cfRule>
    <cfRule type="cellIs" dxfId="2400" priority="2283" operator="equal">
      <formula>"Yes"</formula>
    </cfRule>
  </conditionalFormatting>
  <conditionalFormatting sqref="CM18">
    <cfRule type="cellIs" dxfId="2399" priority="2278" operator="equal">
      <formula>"No"</formula>
    </cfRule>
    <cfRule type="cellIs" dxfId="2398" priority="2279" operator="equal">
      <formula>"NA"</formula>
    </cfRule>
    <cfRule type="cellIs" dxfId="2397" priority="2280" operator="equal">
      <formula>"Yes"</formula>
    </cfRule>
  </conditionalFormatting>
  <conditionalFormatting sqref="CM19">
    <cfRule type="cellIs" dxfId="2396" priority="2275" operator="equal">
      <formula>"No"</formula>
    </cfRule>
    <cfRule type="cellIs" dxfId="2395" priority="2276" operator="equal">
      <formula>"NA"</formula>
    </cfRule>
    <cfRule type="cellIs" dxfId="2394" priority="2277" operator="equal">
      <formula>"Yes"</formula>
    </cfRule>
  </conditionalFormatting>
  <conditionalFormatting sqref="CM20">
    <cfRule type="cellIs" dxfId="2393" priority="2272" operator="equal">
      <formula>"No"</formula>
    </cfRule>
    <cfRule type="cellIs" dxfId="2392" priority="2273" operator="equal">
      <formula>"NA"</formula>
    </cfRule>
    <cfRule type="cellIs" dxfId="2391" priority="2274" operator="equal">
      <formula>"Yes"</formula>
    </cfRule>
  </conditionalFormatting>
  <conditionalFormatting sqref="CM21">
    <cfRule type="cellIs" dxfId="2390" priority="2269" operator="equal">
      <formula>"No"</formula>
    </cfRule>
    <cfRule type="cellIs" dxfId="2389" priority="2270" operator="equal">
      <formula>"NA"</formula>
    </cfRule>
    <cfRule type="cellIs" dxfId="2388" priority="2271" operator="equal">
      <formula>"Yes"</formula>
    </cfRule>
  </conditionalFormatting>
  <conditionalFormatting sqref="CM22">
    <cfRule type="cellIs" dxfId="2387" priority="2266" operator="equal">
      <formula>"No"</formula>
    </cfRule>
    <cfRule type="cellIs" dxfId="2386" priority="2267" operator="equal">
      <formula>"NA"</formula>
    </cfRule>
    <cfRule type="cellIs" dxfId="2385" priority="2268" operator="equal">
      <formula>"Yes"</formula>
    </cfRule>
  </conditionalFormatting>
  <conditionalFormatting sqref="CM23">
    <cfRule type="cellIs" dxfId="2384" priority="2263" operator="equal">
      <formula>"No"</formula>
    </cfRule>
    <cfRule type="cellIs" dxfId="2383" priority="2264" operator="equal">
      <formula>"NA"</formula>
    </cfRule>
    <cfRule type="cellIs" dxfId="2382" priority="2265" operator="equal">
      <formula>"Yes"</formula>
    </cfRule>
  </conditionalFormatting>
  <conditionalFormatting sqref="CM26">
    <cfRule type="cellIs" dxfId="2381" priority="2260" operator="equal">
      <formula>"No"</formula>
    </cfRule>
    <cfRule type="cellIs" dxfId="2380" priority="2261" operator="equal">
      <formula>"NA"</formula>
    </cfRule>
    <cfRule type="cellIs" dxfId="2379" priority="2262" operator="equal">
      <formula>"Yes"</formula>
    </cfRule>
  </conditionalFormatting>
  <conditionalFormatting sqref="CM33">
    <cfRule type="cellIs" dxfId="2378" priority="2257" operator="equal">
      <formula>"No"</formula>
    </cfRule>
    <cfRule type="cellIs" dxfId="2377" priority="2258" operator="equal">
      <formula>"NA"</formula>
    </cfRule>
    <cfRule type="cellIs" dxfId="2376" priority="2259" operator="equal">
      <formula>"Yes"</formula>
    </cfRule>
  </conditionalFormatting>
  <conditionalFormatting sqref="CM27">
    <cfRule type="cellIs" dxfId="2375" priority="2254" operator="equal">
      <formula>"No"</formula>
    </cfRule>
    <cfRule type="cellIs" dxfId="2374" priority="2255" operator="equal">
      <formula>"NA"</formula>
    </cfRule>
    <cfRule type="cellIs" dxfId="2373" priority="2256" operator="equal">
      <formula>"Yes"</formula>
    </cfRule>
  </conditionalFormatting>
  <conditionalFormatting sqref="CM28">
    <cfRule type="cellIs" dxfId="2372" priority="2251" operator="equal">
      <formula>"No"</formula>
    </cfRule>
    <cfRule type="cellIs" dxfId="2371" priority="2252" operator="equal">
      <formula>"NA"</formula>
    </cfRule>
    <cfRule type="cellIs" dxfId="2370" priority="2253" operator="equal">
      <formula>"Yes"</formula>
    </cfRule>
  </conditionalFormatting>
  <conditionalFormatting sqref="CM30">
    <cfRule type="cellIs" dxfId="2369" priority="2248" operator="equal">
      <formula>"No"</formula>
    </cfRule>
    <cfRule type="cellIs" dxfId="2368" priority="2249" operator="equal">
      <formula>"NA"</formula>
    </cfRule>
    <cfRule type="cellIs" dxfId="2367" priority="2250" operator="equal">
      <formula>"Yes"</formula>
    </cfRule>
  </conditionalFormatting>
  <conditionalFormatting sqref="CM31">
    <cfRule type="cellIs" dxfId="2366" priority="2245" operator="equal">
      <formula>"No"</formula>
    </cfRule>
    <cfRule type="cellIs" dxfId="2365" priority="2246" operator="equal">
      <formula>"NA"</formula>
    </cfRule>
    <cfRule type="cellIs" dxfId="2364" priority="2247" operator="equal">
      <formula>"Yes"</formula>
    </cfRule>
  </conditionalFormatting>
  <conditionalFormatting sqref="CM6">
    <cfRule type="cellIs" dxfId="2363" priority="2242" operator="equal">
      <formula>"No"</formula>
    </cfRule>
    <cfRule type="cellIs" dxfId="2362" priority="2243" operator="equal">
      <formula>"NA"</formula>
    </cfRule>
    <cfRule type="cellIs" dxfId="2361" priority="2244" operator="equal">
      <formula>"Yes"</formula>
    </cfRule>
  </conditionalFormatting>
  <conditionalFormatting sqref="CM25">
    <cfRule type="cellIs" dxfId="2360" priority="2239" operator="equal">
      <formula>"No"</formula>
    </cfRule>
    <cfRule type="cellIs" dxfId="2359" priority="2240" operator="equal">
      <formula>"NA"</formula>
    </cfRule>
    <cfRule type="cellIs" dxfId="2358" priority="2241" operator="equal">
      <formula>"Yes"</formula>
    </cfRule>
  </conditionalFormatting>
  <conditionalFormatting sqref="CM15">
    <cfRule type="cellIs" dxfId="2357" priority="2233" operator="equal">
      <formula>"No"</formula>
    </cfRule>
    <cfRule type="cellIs" dxfId="2356" priority="2234" operator="equal">
      <formula>"NA"</formula>
    </cfRule>
    <cfRule type="cellIs" dxfId="2355" priority="2235" operator="equal">
      <formula>"Yes"</formula>
    </cfRule>
  </conditionalFormatting>
  <conditionalFormatting sqref="CM14">
    <cfRule type="cellIs" dxfId="2354" priority="2224" operator="equal">
      <formula>"No"</formula>
    </cfRule>
    <cfRule type="cellIs" dxfId="2353" priority="2225" operator="equal">
      <formula>"NA"</formula>
    </cfRule>
    <cfRule type="cellIs" dxfId="2352" priority="2226" operator="equal">
      <formula>"Yes"</formula>
    </cfRule>
  </conditionalFormatting>
  <conditionalFormatting sqref="CM9">
    <cfRule type="cellIs" dxfId="2351" priority="2221" operator="equal">
      <formula>"No"</formula>
    </cfRule>
    <cfRule type="cellIs" dxfId="2350" priority="2222" operator="equal">
      <formula>"NA"</formula>
    </cfRule>
    <cfRule type="cellIs" dxfId="2349" priority="2223" operator="equal">
      <formula>"Yes"</formula>
    </cfRule>
  </conditionalFormatting>
  <conditionalFormatting sqref="CM10">
    <cfRule type="cellIs" dxfId="2348" priority="2218" operator="equal">
      <formula>"No"</formula>
    </cfRule>
    <cfRule type="cellIs" dxfId="2347" priority="2219" operator="equal">
      <formula>"NA"</formula>
    </cfRule>
    <cfRule type="cellIs" dxfId="2346" priority="2220" operator="equal">
      <formula>"Yes"</formula>
    </cfRule>
  </conditionalFormatting>
  <conditionalFormatting sqref="CM11">
    <cfRule type="cellIs" dxfId="2345" priority="2215" operator="equal">
      <formula>"No"</formula>
    </cfRule>
    <cfRule type="cellIs" dxfId="2344" priority="2216" operator="equal">
      <formula>"NA"</formula>
    </cfRule>
    <cfRule type="cellIs" dxfId="2343" priority="2217" operator="equal">
      <formula>"Yes"</formula>
    </cfRule>
  </conditionalFormatting>
  <conditionalFormatting sqref="CM17">
    <cfRule type="cellIs" dxfId="2342" priority="2212" operator="equal">
      <formula>"No"</formula>
    </cfRule>
    <cfRule type="cellIs" dxfId="2341" priority="2213" operator="equal">
      <formula>"NA"</formula>
    </cfRule>
    <cfRule type="cellIs" dxfId="2340" priority="2214" operator="equal">
      <formula>"Yes"</formula>
    </cfRule>
  </conditionalFormatting>
  <conditionalFormatting sqref="CN7">
    <cfRule type="cellIs" dxfId="2339" priority="2209" operator="equal">
      <formula>"No"</formula>
    </cfRule>
    <cfRule type="cellIs" dxfId="2338" priority="2210" operator="equal">
      <formula>"NA"</formula>
    </cfRule>
    <cfRule type="cellIs" dxfId="2337" priority="2211" operator="equal">
      <formula>"Yes"</formula>
    </cfRule>
  </conditionalFormatting>
  <conditionalFormatting sqref="CN11">
    <cfRule type="cellIs" dxfId="2336" priority="2206" operator="equal">
      <formula>"No"</formula>
    </cfRule>
    <cfRule type="cellIs" dxfId="2335" priority="2207" operator="equal">
      <formula>"NA"</formula>
    </cfRule>
    <cfRule type="cellIs" dxfId="2334" priority="2208" operator="equal">
      <formula>"Yes"</formula>
    </cfRule>
  </conditionalFormatting>
  <conditionalFormatting sqref="CN12">
    <cfRule type="cellIs" dxfId="2333" priority="2203" operator="equal">
      <formula>"No"</formula>
    </cfRule>
    <cfRule type="cellIs" dxfId="2332" priority="2204" operator="equal">
      <formula>"NA"</formula>
    </cfRule>
    <cfRule type="cellIs" dxfId="2331" priority="2205" operator="equal">
      <formula>"Yes"</formula>
    </cfRule>
  </conditionalFormatting>
  <conditionalFormatting sqref="CN13">
    <cfRule type="cellIs" dxfId="2330" priority="2200" operator="equal">
      <formula>"No"</formula>
    </cfRule>
    <cfRule type="cellIs" dxfId="2329" priority="2201" operator="equal">
      <formula>"NA"</formula>
    </cfRule>
    <cfRule type="cellIs" dxfId="2328" priority="2202" operator="equal">
      <formula>"Yes"</formula>
    </cfRule>
  </conditionalFormatting>
  <conditionalFormatting sqref="CN16">
    <cfRule type="cellIs" dxfId="2327" priority="2197" operator="equal">
      <formula>"No"</formula>
    </cfRule>
    <cfRule type="cellIs" dxfId="2326" priority="2198" operator="equal">
      <formula>"NA"</formula>
    </cfRule>
    <cfRule type="cellIs" dxfId="2325" priority="2199" operator="equal">
      <formula>"Yes"</formula>
    </cfRule>
  </conditionalFormatting>
  <conditionalFormatting sqref="CN18">
    <cfRule type="cellIs" dxfId="2324" priority="2194" operator="equal">
      <formula>"No"</formula>
    </cfRule>
    <cfRule type="cellIs" dxfId="2323" priority="2195" operator="equal">
      <formula>"NA"</formula>
    </cfRule>
    <cfRule type="cellIs" dxfId="2322" priority="2196" operator="equal">
      <formula>"Yes"</formula>
    </cfRule>
  </conditionalFormatting>
  <conditionalFormatting sqref="CN19">
    <cfRule type="cellIs" dxfId="2321" priority="2191" operator="equal">
      <formula>"No"</formula>
    </cfRule>
    <cfRule type="cellIs" dxfId="2320" priority="2192" operator="equal">
      <formula>"NA"</formula>
    </cfRule>
    <cfRule type="cellIs" dxfId="2319" priority="2193" operator="equal">
      <formula>"Yes"</formula>
    </cfRule>
  </conditionalFormatting>
  <conditionalFormatting sqref="CN20">
    <cfRule type="cellIs" dxfId="2318" priority="2188" operator="equal">
      <formula>"No"</formula>
    </cfRule>
    <cfRule type="cellIs" dxfId="2317" priority="2189" operator="equal">
      <formula>"NA"</formula>
    </cfRule>
    <cfRule type="cellIs" dxfId="2316" priority="2190" operator="equal">
      <formula>"Yes"</formula>
    </cfRule>
  </conditionalFormatting>
  <conditionalFormatting sqref="CN21">
    <cfRule type="cellIs" dxfId="2315" priority="2185" operator="equal">
      <formula>"No"</formula>
    </cfRule>
    <cfRule type="cellIs" dxfId="2314" priority="2186" operator="equal">
      <formula>"NA"</formula>
    </cfRule>
    <cfRule type="cellIs" dxfId="2313" priority="2187" operator="equal">
      <formula>"Yes"</formula>
    </cfRule>
  </conditionalFormatting>
  <conditionalFormatting sqref="CN22">
    <cfRule type="cellIs" dxfId="2312" priority="2182" operator="equal">
      <formula>"No"</formula>
    </cfRule>
    <cfRule type="cellIs" dxfId="2311" priority="2183" operator="equal">
      <formula>"NA"</formula>
    </cfRule>
    <cfRule type="cellIs" dxfId="2310" priority="2184" operator="equal">
      <formula>"Yes"</formula>
    </cfRule>
  </conditionalFormatting>
  <conditionalFormatting sqref="CN23">
    <cfRule type="cellIs" dxfId="2309" priority="2179" operator="equal">
      <formula>"No"</formula>
    </cfRule>
    <cfRule type="cellIs" dxfId="2308" priority="2180" operator="equal">
      <formula>"NA"</formula>
    </cfRule>
    <cfRule type="cellIs" dxfId="2307" priority="2181" operator="equal">
      <formula>"Yes"</formula>
    </cfRule>
  </conditionalFormatting>
  <conditionalFormatting sqref="CN26">
    <cfRule type="cellIs" dxfId="2306" priority="2176" operator="equal">
      <formula>"No"</formula>
    </cfRule>
    <cfRule type="cellIs" dxfId="2305" priority="2177" operator="equal">
      <formula>"NA"</formula>
    </cfRule>
    <cfRule type="cellIs" dxfId="2304" priority="2178" operator="equal">
      <formula>"Yes"</formula>
    </cfRule>
  </conditionalFormatting>
  <conditionalFormatting sqref="CN33">
    <cfRule type="cellIs" dxfId="2303" priority="2173" operator="equal">
      <formula>"No"</formula>
    </cfRule>
    <cfRule type="cellIs" dxfId="2302" priority="2174" operator="equal">
      <formula>"NA"</formula>
    </cfRule>
    <cfRule type="cellIs" dxfId="2301" priority="2175" operator="equal">
      <formula>"Yes"</formula>
    </cfRule>
  </conditionalFormatting>
  <conditionalFormatting sqref="CN27">
    <cfRule type="cellIs" dxfId="2300" priority="2170" operator="equal">
      <formula>"No"</formula>
    </cfRule>
    <cfRule type="cellIs" dxfId="2299" priority="2171" operator="equal">
      <formula>"NA"</formula>
    </cfRule>
    <cfRule type="cellIs" dxfId="2298" priority="2172" operator="equal">
      <formula>"Yes"</formula>
    </cfRule>
  </conditionalFormatting>
  <conditionalFormatting sqref="CN28">
    <cfRule type="cellIs" dxfId="2297" priority="2167" operator="equal">
      <formula>"No"</formula>
    </cfRule>
    <cfRule type="cellIs" dxfId="2296" priority="2168" operator="equal">
      <formula>"NA"</formula>
    </cfRule>
    <cfRule type="cellIs" dxfId="2295" priority="2169" operator="equal">
      <formula>"Yes"</formula>
    </cfRule>
  </conditionalFormatting>
  <conditionalFormatting sqref="CN30">
    <cfRule type="cellIs" dxfId="2294" priority="2164" operator="equal">
      <formula>"No"</formula>
    </cfRule>
    <cfRule type="cellIs" dxfId="2293" priority="2165" operator="equal">
      <formula>"NA"</formula>
    </cfRule>
    <cfRule type="cellIs" dxfId="2292" priority="2166" operator="equal">
      <formula>"Yes"</formula>
    </cfRule>
  </conditionalFormatting>
  <conditionalFormatting sqref="CN31">
    <cfRule type="cellIs" dxfId="2291" priority="2161" operator="equal">
      <formula>"No"</formula>
    </cfRule>
    <cfRule type="cellIs" dxfId="2290" priority="2162" operator="equal">
      <formula>"NA"</formula>
    </cfRule>
    <cfRule type="cellIs" dxfId="2289" priority="2163" operator="equal">
      <formula>"Yes"</formula>
    </cfRule>
  </conditionalFormatting>
  <conditionalFormatting sqref="CN6">
    <cfRule type="cellIs" dxfId="2288" priority="2158" operator="equal">
      <formula>"No"</formula>
    </cfRule>
    <cfRule type="cellIs" dxfId="2287" priority="2159" operator="equal">
      <formula>"NA"</formula>
    </cfRule>
    <cfRule type="cellIs" dxfId="2286" priority="2160" operator="equal">
      <formula>"Yes"</formula>
    </cfRule>
  </conditionalFormatting>
  <conditionalFormatting sqref="CN25">
    <cfRule type="cellIs" dxfId="2285" priority="2155" operator="equal">
      <formula>"No"</formula>
    </cfRule>
    <cfRule type="cellIs" dxfId="2284" priority="2156" operator="equal">
      <formula>"NA"</formula>
    </cfRule>
    <cfRule type="cellIs" dxfId="2283" priority="2157" operator="equal">
      <formula>"Yes"</formula>
    </cfRule>
  </conditionalFormatting>
  <conditionalFormatting sqref="CN10">
    <cfRule type="cellIs" dxfId="2282" priority="2152" operator="equal">
      <formula>"No"</formula>
    </cfRule>
    <cfRule type="cellIs" dxfId="2281" priority="2153" operator="equal">
      <formula>"NA"</formula>
    </cfRule>
    <cfRule type="cellIs" dxfId="2280" priority="2154" operator="equal">
      <formula>"Yes"</formula>
    </cfRule>
  </conditionalFormatting>
  <conditionalFormatting sqref="CN15">
    <cfRule type="cellIs" dxfId="2279" priority="2149" operator="equal">
      <formula>"No"</formula>
    </cfRule>
    <cfRule type="cellIs" dxfId="2278" priority="2150" operator="equal">
      <formula>"NA"</formula>
    </cfRule>
    <cfRule type="cellIs" dxfId="2277" priority="2151" operator="equal">
      <formula>"Yes"</formula>
    </cfRule>
  </conditionalFormatting>
  <conditionalFormatting sqref="CN9">
    <cfRule type="cellIs" dxfId="2276" priority="2146" operator="equal">
      <formula>"No"</formula>
    </cfRule>
    <cfRule type="cellIs" dxfId="2275" priority="2147" operator="equal">
      <formula>"NA"</formula>
    </cfRule>
    <cfRule type="cellIs" dxfId="2274" priority="2148" operator="equal">
      <formula>"Yes"</formula>
    </cfRule>
  </conditionalFormatting>
  <conditionalFormatting sqref="CN17">
    <cfRule type="cellIs" dxfId="2273" priority="2143" operator="equal">
      <formula>"No"</formula>
    </cfRule>
    <cfRule type="cellIs" dxfId="2272" priority="2144" operator="equal">
      <formula>"NA"</formula>
    </cfRule>
    <cfRule type="cellIs" dxfId="2271" priority="2145" operator="equal">
      <formula>"Yes"</formula>
    </cfRule>
  </conditionalFormatting>
  <conditionalFormatting sqref="CN14">
    <cfRule type="cellIs" dxfId="2270" priority="2140" operator="equal">
      <formula>"No"</formula>
    </cfRule>
    <cfRule type="cellIs" dxfId="2269" priority="2141" operator="equal">
      <formula>"NA"</formula>
    </cfRule>
    <cfRule type="cellIs" dxfId="2268" priority="2142" operator="equal">
      <formula>"Yes"</formula>
    </cfRule>
  </conditionalFormatting>
  <conditionalFormatting sqref="CO7">
    <cfRule type="cellIs" dxfId="2267" priority="2137" operator="equal">
      <formula>"No"</formula>
    </cfRule>
    <cfRule type="cellIs" dxfId="2266" priority="2138" operator="equal">
      <formula>"NA"</formula>
    </cfRule>
    <cfRule type="cellIs" dxfId="2265" priority="2139" operator="equal">
      <formula>"Yes"</formula>
    </cfRule>
  </conditionalFormatting>
  <conditionalFormatting sqref="CO12">
    <cfRule type="cellIs" dxfId="2264" priority="2131" operator="equal">
      <formula>"No"</formula>
    </cfRule>
    <cfRule type="cellIs" dxfId="2263" priority="2132" operator="equal">
      <formula>"NA"</formula>
    </cfRule>
    <cfRule type="cellIs" dxfId="2262" priority="2133" operator="equal">
      <formula>"Yes"</formula>
    </cfRule>
  </conditionalFormatting>
  <conditionalFormatting sqref="CO13">
    <cfRule type="cellIs" dxfId="2261" priority="2128" operator="equal">
      <formula>"No"</formula>
    </cfRule>
    <cfRule type="cellIs" dxfId="2260" priority="2129" operator="equal">
      <formula>"NA"</formula>
    </cfRule>
    <cfRule type="cellIs" dxfId="2259" priority="2130" operator="equal">
      <formula>"Yes"</formula>
    </cfRule>
  </conditionalFormatting>
  <conditionalFormatting sqref="CO16">
    <cfRule type="cellIs" dxfId="2258" priority="2125" operator="equal">
      <formula>"No"</formula>
    </cfRule>
    <cfRule type="cellIs" dxfId="2257" priority="2126" operator="equal">
      <formula>"NA"</formula>
    </cfRule>
    <cfRule type="cellIs" dxfId="2256" priority="2127" operator="equal">
      <formula>"Yes"</formula>
    </cfRule>
  </conditionalFormatting>
  <conditionalFormatting sqref="CO18">
    <cfRule type="cellIs" dxfId="2255" priority="2122" operator="equal">
      <formula>"No"</formula>
    </cfRule>
    <cfRule type="cellIs" dxfId="2254" priority="2123" operator="equal">
      <formula>"NA"</formula>
    </cfRule>
    <cfRule type="cellIs" dxfId="2253" priority="2124" operator="equal">
      <formula>"Yes"</formula>
    </cfRule>
  </conditionalFormatting>
  <conditionalFormatting sqref="CO19">
    <cfRule type="cellIs" dxfId="2252" priority="2119" operator="equal">
      <formula>"No"</formula>
    </cfRule>
    <cfRule type="cellIs" dxfId="2251" priority="2120" operator="equal">
      <formula>"NA"</formula>
    </cfRule>
    <cfRule type="cellIs" dxfId="2250" priority="2121" operator="equal">
      <formula>"Yes"</formula>
    </cfRule>
  </conditionalFormatting>
  <conditionalFormatting sqref="CO20">
    <cfRule type="cellIs" dxfId="2249" priority="2116" operator="equal">
      <formula>"No"</formula>
    </cfRule>
    <cfRule type="cellIs" dxfId="2248" priority="2117" operator="equal">
      <formula>"NA"</formula>
    </cfRule>
    <cfRule type="cellIs" dxfId="2247" priority="2118" operator="equal">
      <formula>"Yes"</formula>
    </cfRule>
  </conditionalFormatting>
  <conditionalFormatting sqref="CO21">
    <cfRule type="cellIs" dxfId="2246" priority="2113" operator="equal">
      <formula>"No"</formula>
    </cfRule>
    <cfRule type="cellIs" dxfId="2245" priority="2114" operator="equal">
      <formula>"NA"</formula>
    </cfRule>
    <cfRule type="cellIs" dxfId="2244" priority="2115" operator="equal">
      <formula>"Yes"</formula>
    </cfRule>
  </conditionalFormatting>
  <conditionalFormatting sqref="CO22">
    <cfRule type="cellIs" dxfId="2243" priority="2110" operator="equal">
      <formula>"No"</formula>
    </cfRule>
    <cfRule type="cellIs" dxfId="2242" priority="2111" operator="equal">
      <formula>"NA"</formula>
    </cfRule>
    <cfRule type="cellIs" dxfId="2241" priority="2112" operator="equal">
      <formula>"Yes"</formula>
    </cfRule>
  </conditionalFormatting>
  <conditionalFormatting sqref="CO23">
    <cfRule type="cellIs" dxfId="2240" priority="2107" operator="equal">
      <formula>"No"</formula>
    </cfRule>
    <cfRule type="cellIs" dxfId="2239" priority="2108" operator="equal">
      <formula>"NA"</formula>
    </cfRule>
    <cfRule type="cellIs" dxfId="2238" priority="2109" operator="equal">
      <formula>"Yes"</formula>
    </cfRule>
  </conditionalFormatting>
  <conditionalFormatting sqref="CO26">
    <cfRule type="cellIs" dxfId="2237" priority="2104" operator="equal">
      <formula>"No"</formula>
    </cfRule>
    <cfRule type="cellIs" dxfId="2236" priority="2105" operator="equal">
      <formula>"NA"</formula>
    </cfRule>
    <cfRule type="cellIs" dxfId="2235" priority="2106" operator="equal">
      <formula>"Yes"</formula>
    </cfRule>
  </conditionalFormatting>
  <conditionalFormatting sqref="CO33">
    <cfRule type="cellIs" dxfId="2234" priority="2101" operator="equal">
      <formula>"No"</formula>
    </cfRule>
    <cfRule type="cellIs" dxfId="2233" priority="2102" operator="equal">
      <formula>"NA"</formula>
    </cfRule>
    <cfRule type="cellIs" dxfId="2232" priority="2103" operator="equal">
      <formula>"Yes"</formula>
    </cfRule>
  </conditionalFormatting>
  <conditionalFormatting sqref="CO27">
    <cfRule type="cellIs" dxfId="2231" priority="2098" operator="equal">
      <formula>"No"</formula>
    </cfRule>
    <cfRule type="cellIs" dxfId="2230" priority="2099" operator="equal">
      <formula>"NA"</formula>
    </cfRule>
    <cfRule type="cellIs" dxfId="2229" priority="2100" operator="equal">
      <formula>"Yes"</formula>
    </cfRule>
  </conditionalFormatting>
  <conditionalFormatting sqref="CO28">
    <cfRule type="cellIs" dxfId="2228" priority="2095" operator="equal">
      <formula>"No"</formula>
    </cfRule>
    <cfRule type="cellIs" dxfId="2227" priority="2096" operator="equal">
      <formula>"NA"</formula>
    </cfRule>
    <cfRule type="cellIs" dxfId="2226" priority="2097" operator="equal">
      <formula>"Yes"</formula>
    </cfRule>
  </conditionalFormatting>
  <conditionalFormatting sqref="CO30">
    <cfRule type="cellIs" dxfId="2225" priority="2092" operator="equal">
      <formula>"No"</formula>
    </cfRule>
    <cfRule type="cellIs" dxfId="2224" priority="2093" operator="equal">
      <formula>"NA"</formula>
    </cfRule>
    <cfRule type="cellIs" dxfId="2223" priority="2094" operator="equal">
      <formula>"Yes"</formula>
    </cfRule>
  </conditionalFormatting>
  <conditionalFormatting sqref="CO31">
    <cfRule type="cellIs" dxfId="2222" priority="2089" operator="equal">
      <formula>"No"</formula>
    </cfRule>
    <cfRule type="cellIs" dxfId="2221" priority="2090" operator="equal">
      <formula>"NA"</formula>
    </cfRule>
    <cfRule type="cellIs" dxfId="2220" priority="2091" operator="equal">
      <formula>"Yes"</formula>
    </cfRule>
  </conditionalFormatting>
  <conditionalFormatting sqref="CO6">
    <cfRule type="cellIs" dxfId="2219" priority="2086" operator="equal">
      <formula>"No"</formula>
    </cfRule>
    <cfRule type="cellIs" dxfId="2218" priority="2087" operator="equal">
      <formula>"NA"</formula>
    </cfRule>
    <cfRule type="cellIs" dxfId="2217" priority="2088" operator="equal">
      <formula>"Yes"</formula>
    </cfRule>
  </conditionalFormatting>
  <conditionalFormatting sqref="CO25">
    <cfRule type="cellIs" dxfId="2216" priority="2083" operator="equal">
      <formula>"No"</formula>
    </cfRule>
    <cfRule type="cellIs" dxfId="2215" priority="2084" operator="equal">
      <formula>"NA"</formula>
    </cfRule>
    <cfRule type="cellIs" dxfId="2214" priority="2085" operator="equal">
      <formula>"Yes"</formula>
    </cfRule>
  </conditionalFormatting>
  <conditionalFormatting sqref="CO15">
    <cfRule type="cellIs" dxfId="2213" priority="2077" operator="equal">
      <formula>"No"</formula>
    </cfRule>
    <cfRule type="cellIs" dxfId="2212" priority="2078" operator="equal">
      <formula>"NA"</formula>
    </cfRule>
    <cfRule type="cellIs" dxfId="2211" priority="2079" operator="equal">
      <formula>"Yes"</formula>
    </cfRule>
  </conditionalFormatting>
  <conditionalFormatting sqref="CO9">
    <cfRule type="cellIs" dxfId="2210" priority="2074" operator="equal">
      <formula>"No"</formula>
    </cfRule>
    <cfRule type="cellIs" dxfId="2209" priority="2075" operator="equal">
      <formula>"NA"</formula>
    </cfRule>
    <cfRule type="cellIs" dxfId="2208" priority="2076" operator="equal">
      <formula>"Yes"</formula>
    </cfRule>
  </conditionalFormatting>
  <conditionalFormatting sqref="CO17">
    <cfRule type="cellIs" dxfId="2207" priority="2071" operator="equal">
      <formula>"No"</formula>
    </cfRule>
    <cfRule type="cellIs" dxfId="2206" priority="2072" operator="equal">
      <formula>"NA"</formula>
    </cfRule>
    <cfRule type="cellIs" dxfId="2205" priority="2073" operator="equal">
      <formula>"Yes"</formula>
    </cfRule>
  </conditionalFormatting>
  <conditionalFormatting sqref="CO14">
    <cfRule type="cellIs" dxfId="2204" priority="2068" operator="equal">
      <formula>"No"</formula>
    </cfRule>
    <cfRule type="cellIs" dxfId="2203" priority="2069" operator="equal">
      <formula>"NA"</formula>
    </cfRule>
    <cfRule type="cellIs" dxfId="2202" priority="2070" operator="equal">
      <formula>"Yes"</formula>
    </cfRule>
  </conditionalFormatting>
  <conditionalFormatting sqref="CO10:CO11">
    <cfRule type="cellIs" dxfId="2201" priority="2065" operator="equal">
      <formula>"No"</formula>
    </cfRule>
    <cfRule type="cellIs" dxfId="2200" priority="2066" operator="equal">
      <formula>"NA"</formula>
    </cfRule>
    <cfRule type="cellIs" dxfId="2199" priority="2067" operator="equal">
      <formula>"Yes"</formula>
    </cfRule>
  </conditionalFormatting>
  <conditionalFormatting sqref="CP7">
    <cfRule type="cellIs" dxfId="2198" priority="2062" operator="equal">
      <formula>"No"</formula>
    </cfRule>
    <cfRule type="cellIs" dxfId="2197" priority="2063" operator="equal">
      <formula>"NA"</formula>
    </cfRule>
    <cfRule type="cellIs" dxfId="2196" priority="2064" operator="equal">
      <formula>"Yes"</formula>
    </cfRule>
  </conditionalFormatting>
  <conditionalFormatting sqref="CP12">
    <cfRule type="cellIs" dxfId="2195" priority="2059" operator="equal">
      <formula>"No"</formula>
    </cfRule>
    <cfRule type="cellIs" dxfId="2194" priority="2060" operator="equal">
      <formula>"NA"</formula>
    </cfRule>
    <cfRule type="cellIs" dxfId="2193" priority="2061" operator="equal">
      <formula>"Yes"</formula>
    </cfRule>
  </conditionalFormatting>
  <conditionalFormatting sqref="CP13">
    <cfRule type="cellIs" dxfId="2192" priority="2056" operator="equal">
      <formula>"No"</formula>
    </cfRule>
    <cfRule type="cellIs" dxfId="2191" priority="2057" operator="equal">
      <formula>"NA"</formula>
    </cfRule>
    <cfRule type="cellIs" dxfId="2190" priority="2058" operator="equal">
      <formula>"Yes"</formula>
    </cfRule>
  </conditionalFormatting>
  <conditionalFormatting sqref="CP16">
    <cfRule type="cellIs" dxfId="2189" priority="2053" operator="equal">
      <formula>"No"</formula>
    </cfRule>
    <cfRule type="cellIs" dxfId="2188" priority="2054" operator="equal">
      <formula>"NA"</formula>
    </cfRule>
    <cfRule type="cellIs" dxfId="2187" priority="2055" operator="equal">
      <formula>"Yes"</formula>
    </cfRule>
  </conditionalFormatting>
  <conditionalFormatting sqref="CP18">
    <cfRule type="cellIs" dxfId="2186" priority="2050" operator="equal">
      <formula>"No"</formula>
    </cfRule>
    <cfRule type="cellIs" dxfId="2185" priority="2051" operator="equal">
      <formula>"NA"</formula>
    </cfRule>
    <cfRule type="cellIs" dxfId="2184" priority="2052" operator="equal">
      <formula>"Yes"</formula>
    </cfRule>
  </conditionalFormatting>
  <conditionalFormatting sqref="CP19">
    <cfRule type="cellIs" dxfId="2183" priority="2047" operator="equal">
      <formula>"No"</formula>
    </cfRule>
    <cfRule type="cellIs" dxfId="2182" priority="2048" operator="equal">
      <formula>"NA"</formula>
    </cfRule>
    <cfRule type="cellIs" dxfId="2181" priority="2049" operator="equal">
      <formula>"Yes"</formula>
    </cfRule>
  </conditionalFormatting>
  <conditionalFormatting sqref="CP20">
    <cfRule type="cellIs" dxfId="2180" priority="2044" operator="equal">
      <formula>"No"</formula>
    </cfRule>
    <cfRule type="cellIs" dxfId="2179" priority="2045" operator="equal">
      <formula>"NA"</formula>
    </cfRule>
    <cfRule type="cellIs" dxfId="2178" priority="2046" operator="equal">
      <formula>"Yes"</formula>
    </cfRule>
  </conditionalFormatting>
  <conditionalFormatting sqref="CP21">
    <cfRule type="cellIs" dxfId="2177" priority="2041" operator="equal">
      <formula>"No"</formula>
    </cfRule>
    <cfRule type="cellIs" dxfId="2176" priority="2042" operator="equal">
      <formula>"NA"</formula>
    </cfRule>
    <cfRule type="cellIs" dxfId="2175" priority="2043" operator="equal">
      <formula>"Yes"</formula>
    </cfRule>
  </conditionalFormatting>
  <conditionalFormatting sqref="CP22">
    <cfRule type="cellIs" dxfId="2174" priority="2038" operator="equal">
      <formula>"No"</formula>
    </cfRule>
    <cfRule type="cellIs" dxfId="2173" priority="2039" operator="equal">
      <formula>"NA"</formula>
    </cfRule>
    <cfRule type="cellIs" dxfId="2172" priority="2040" operator="equal">
      <formula>"Yes"</formula>
    </cfRule>
  </conditionalFormatting>
  <conditionalFormatting sqref="CP23">
    <cfRule type="cellIs" dxfId="2171" priority="2035" operator="equal">
      <formula>"No"</formula>
    </cfRule>
    <cfRule type="cellIs" dxfId="2170" priority="2036" operator="equal">
      <formula>"NA"</formula>
    </cfRule>
    <cfRule type="cellIs" dxfId="2169" priority="2037" operator="equal">
      <formula>"Yes"</formula>
    </cfRule>
  </conditionalFormatting>
  <conditionalFormatting sqref="CP26">
    <cfRule type="cellIs" dxfId="2168" priority="2032" operator="equal">
      <formula>"No"</formula>
    </cfRule>
    <cfRule type="cellIs" dxfId="2167" priority="2033" operator="equal">
      <formula>"NA"</formula>
    </cfRule>
    <cfRule type="cellIs" dxfId="2166" priority="2034" operator="equal">
      <formula>"Yes"</formula>
    </cfRule>
  </conditionalFormatting>
  <conditionalFormatting sqref="CP33">
    <cfRule type="cellIs" dxfId="2165" priority="2029" operator="equal">
      <formula>"No"</formula>
    </cfRule>
    <cfRule type="cellIs" dxfId="2164" priority="2030" operator="equal">
      <formula>"NA"</formula>
    </cfRule>
    <cfRule type="cellIs" dxfId="2163" priority="2031" operator="equal">
      <formula>"Yes"</formula>
    </cfRule>
  </conditionalFormatting>
  <conditionalFormatting sqref="CP27">
    <cfRule type="cellIs" dxfId="2162" priority="2026" operator="equal">
      <formula>"No"</formula>
    </cfRule>
    <cfRule type="cellIs" dxfId="2161" priority="2027" operator="equal">
      <formula>"NA"</formula>
    </cfRule>
    <cfRule type="cellIs" dxfId="2160" priority="2028" operator="equal">
      <formula>"Yes"</formula>
    </cfRule>
  </conditionalFormatting>
  <conditionalFormatting sqref="CP28">
    <cfRule type="cellIs" dxfId="2159" priority="2023" operator="equal">
      <formula>"No"</formula>
    </cfRule>
    <cfRule type="cellIs" dxfId="2158" priority="2024" operator="equal">
      <formula>"NA"</formula>
    </cfRule>
    <cfRule type="cellIs" dxfId="2157" priority="2025" operator="equal">
      <formula>"Yes"</formula>
    </cfRule>
  </conditionalFormatting>
  <conditionalFormatting sqref="CP30">
    <cfRule type="cellIs" dxfId="2156" priority="2020" operator="equal">
      <formula>"No"</formula>
    </cfRule>
    <cfRule type="cellIs" dxfId="2155" priority="2021" operator="equal">
      <formula>"NA"</formula>
    </cfRule>
    <cfRule type="cellIs" dxfId="2154" priority="2022" operator="equal">
      <formula>"Yes"</formula>
    </cfRule>
  </conditionalFormatting>
  <conditionalFormatting sqref="CP31">
    <cfRule type="cellIs" dxfId="2153" priority="2017" operator="equal">
      <formula>"No"</formula>
    </cfRule>
    <cfRule type="cellIs" dxfId="2152" priority="2018" operator="equal">
      <formula>"NA"</formula>
    </cfRule>
    <cfRule type="cellIs" dxfId="2151" priority="2019" operator="equal">
      <formula>"Yes"</formula>
    </cfRule>
  </conditionalFormatting>
  <conditionalFormatting sqref="CP6">
    <cfRule type="cellIs" dxfId="2150" priority="2014" operator="equal">
      <formula>"No"</formula>
    </cfRule>
    <cfRule type="cellIs" dxfId="2149" priority="2015" operator="equal">
      <formula>"NA"</formula>
    </cfRule>
    <cfRule type="cellIs" dxfId="2148" priority="2016" operator="equal">
      <formula>"Yes"</formula>
    </cfRule>
  </conditionalFormatting>
  <conditionalFormatting sqref="CP25">
    <cfRule type="cellIs" dxfId="2147" priority="2011" operator="equal">
      <formula>"No"</formula>
    </cfRule>
    <cfRule type="cellIs" dxfId="2146" priority="2012" operator="equal">
      <formula>"NA"</formula>
    </cfRule>
    <cfRule type="cellIs" dxfId="2145" priority="2013" operator="equal">
      <formula>"Yes"</formula>
    </cfRule>
  </conditionalFormatting>
  <conditionalFormatting sqref="CP15">
    <cfRule type="cellIs" dxfId="2144" priority="2008" operator="equal">
      <formula>"No"</formula>
    </cfRule>
    <cfRule type="cellIs" dxfId="2143" priority="2009" operator="equal">
      <formula>"NA"</formula>
    </cfRule>
    <cfRule type="cellIs" dxfId="2142" priority="2010" operator="equal">
      <formula>"Yes"</formula>
    </cfRule>
  </conditionalFormatting>
  <conditionalFormatting sqref="CP17">
    <cfRule type="cellIs" dxfId="2141" priority="2005" operator="equal">
      <formula>"No"</formula>
    </cfRule>
    <cfRule type="cellIs" dxfId="2140" priority="2006" operator="equal">
      <formula>"NA"</formula>
    </cfRule>
    <cfRule type="cellIs" dxfId="2139" priority="2007" operator="equal">
      <formula>"Yes"</formula>
    </cfRule>
  </conditionalFormatting>
  <conditionalFormatting sqref="CP14">
    <cfRule type="cellIs" dxfId="2138" priority="2002" operator="equal">
      <formula>"No"</formula>
    </cfRule>
    <cfRule type="cellIs" dxfId="2137" priority="2003" operator="equal">
      <formula>"NA"</formula>
    </cfRule>
    <cfRule type="cellIs" dxfId="2136" priority="2004" operator="equal">
      <formula>"Yes"</formula>
    </cfRule>
  </conditionalFormatting>
  <conditionalFormatting sqref="CP11">
    <cfRule type="cellIs" dxfId="2135" priority="1996" operator="equal">
      <formula>"No"</formula>
    </cfRule>
    <cfRule type="cellIs" dxfId="2134" priority="1997" operator="equal">
      <formula>"NA"</formula>
    </cfRule>
    <cfRule type="cellIs" dxfId="2133" priority="1998" operator="equal">
      <formula>"Yes"</formula>
    </cfRule>
  </conditionalFormatting>
  <conditionalFormatting sqref="CP9">
    <cfRule type="cellIs" dxfId="2132" priority="1990" operator="equal">
      <formula>"No"</formula>
    </cfRule>
    <cfRule type="cellIs" dxfId="2131" priority="1991" operator="equal">
      <formula>"NA"</formula>
    </cfRule>
    <cfRule type="cellIs" dxfId="2130" priority="1992" operator="equal">
      <formula>"Yes"</formula>
    </cfRule>
  </conditionalFormatting>
  <conditionalFormatting sqref="CP10">
    <cfRule type="cellIs" dxfId="2129" priority="1987" operator="equal">
      <formula>"No"</formula>
    </cfRule>
    <cfRule type="cellIs" dxfId="2128" priority="1988" operator="equal">
      <formula>"NA"</formula>
    </cfRule>
    <cfRule type="cellIs" dxfId="2127" priority="1989" operator="equal">
      <formula>"Yes"</formula>
    </cfRule>
  </conditionalFormatting>
  <conditionalFormatting sqref="CQ7">
    <cfRule type="cellIs" dxfId="2126" priority="1984" operator="equal">
      <formula>"No"</formula>
    </cfRule>
    <cfRule type="cellIs" dxfId="2125" priority="1985" operator="equal">
      <formula>"NA"</formula>
    </cfRule>
    <cfRule type="cellIs" dxfId="2124" priority="1986" operator="equal">
      <formula>"Yes"</formula>
    </cfRule>
  </conditionalFormatting>
  <conditionalFormatting sqref="CQ12">
    <cfRule type="cellIs" dxfId="2123" priority="1981" operator="equal">
      <formula>"No"</formula>
    </cfRule>
    <cfRule type="cellIs" dxfId="2122" priority="1982" operator="equal">
      <formula>"NA"</formula>
    </cfRule>
    <cfRule type="cellIs" dxfId="2121" priority="1983" operator="equal">
      <formula>"Yes"</formula>
    </cfRule>
  </conditionalFormatting>
  <conditionalFormatting sqref="CQ13">
    <cfRule type="cellIs" dxfId="2120" priority="1978" operator="equal">
      <formula>"No"</formula>
    </cfRule>
    <cfRule type="cellIs" dxfId="2119" priority="1979" operator="equal">
      <formula>"NA"</formula>
    </cfRule>
    <cfRule type="cellIs" dxfId="2118" priority="1980" operator="equal">
      <formula>"Yes"</formula>
    </cfRule>
  </conditionalFormatting>
  <conditionalFormatting sqref="CQ16">
    <cfRule type="cellIs" dxfId="2117" priority="1975" operator="equal">
      <formula>"No"</formula>
    </cfRule>
    <cfRule type="cellIs" dxfId="2116" priority="1976" operator="equal">
      <formula>"NA"</formula>
    </cfRule>
    <cfRule type="cellIs" dxfId="2115" priority="1977" operator="equal">
      <formula>"Yes"</formula>
    </cfRule>
  </conditionalFormatting>
  <conditionalFormatting sqref="CQ18">
    <cfRule type="cellIs" dxfId="2114" priority="1972" operator="equal">
      <formula>"No"</formula>
    </cfRule>
    <cfRule type="cellIs" dxfId="2113" priority="1973" operator="equal">
      <formula>"NA"</formula>
    </cfRule>
    <cfRule type="cellIs" dxfId="2112" priority="1974" operator="equal">
      <formula>"Yes"</formula>
    </cfRule>
  </conditionalFormatting>
  <conditionalFormatting sqref="CQ19">
    <cfRule type="cellIs" dxfId="2111" priority="1969" operator="equal">
      <formula>"No"</formula>
    </cfRule>
    <cfRule type="cellIs" dxfId="2110" priority="1970" operator="equal">
      <formula>"NA"</formula>
    </cfRule>
    <cfRule type="cellIs" dxfId="2109" priority="1971" operator="equal">
      <formula>"Yes"</formula>
    </cfRule>
  </conditionalFormatting>
  <conditionalFormatting sqref="CQ20">
    <cfRule type="cellIs" dxfId="2108" priority="1966" operator="equal">
      <formula>"No"</formula>
    </cfRule>
    <cfRule type="cellIs" dxfId="2107" priority="1967" operator="equal">
      <formula>"NA"</formula>
    </cfRule>
    <cfRule type="cellIs" dxfId="2106" priority="1968" operator="equal">
      <formula>"Yes"</formula>
    </cfRule>
  </conditionalFormatting>
  <conditionalFormatting sqref="CQ21">
    <cfRule type="cellIs" dxfId="2105" priority="1963" operator="equal">
      <formula>"No"</formula>
    </cfRule>
    <cfRule type="cellIs" dxfId="2104" priority="1964" operator="equal">
      <formula>"NA"</formula>
    </cfRule>
    <cfRule type="cellIs" dxfId="2103" priority="1965" operator="equal">
      <formula>"Yes"</formula>
    </cfRule>
  </conditionalFormatting>
  <conditionalFormatting sqref="CQ22">
    <cfRule type="cellIs" dxfId="2102" priority="1960" operator="equal">
      <formula>"No"</formula>
    </cfRule>
    <cfRule type="cellIs" dxfId="2101" priority="1961" operator="equal">
      <formula>"NA"</formula>
    </cfRule>
    <cfRule type="cellIs" dxfId="2100" priority="1962" operator="equal">
      <formula>"Yes"</formula>
    </cfRule>
  </conditionalFormatting>
  <conditionalFormatting sqref="CQ23">
    <cfRule type="cellIs" dxfId="2099" priority="1957" operator="equal">
      <formula>"No"</formula>
    </cfRule>
    <cfRule type="cellIs" dxfId="2098" priority="1958" operator="equal">
      <formula>"NA"</formula>
    </cfRule>
    <cfRule type="cellIs" dxfId="2097" priority="1959" operator="equal">
      <formula>"Yes"</formula>
    </cfRule>
  </conditionalFormatting>
  <conditionalFormatting sqref="CQ26">
    <cfRule type="cellIs" dxfId="2096" priority="1954" operator="equal">
      <formula>"No"</formula>
    </cfRule>
    <cfRule type="cellIs" dxfId="2095" priority="1955" operator="equal">
      <formula>"NA"</formula>
    </cfRule>
    <cfRule type="cellIs" dxfId="2094" priority="1956" operator="equal">
      <formula>"Yes"</formula>
    </cfRule>
  </conditionalFormatting>
  <conditionalFormatting sqref="CQ33">
    <cfRule type="cellIs" dxfId="2093" priority="1951" operator="equal">
      <formula>"No"</formula>
    </cfRule>
    <cfRule type="cellIs" dxfId="2092" priority="1952" operator="equal">
      <formula>"NA"</formula>
    </cfRule>
    <cfRule type="cellIs" dxfId="2091" priority="1953" operator="equal">
      <formula>"Yes"</formula>
    </cfRule>
  </conditionalFormatting>
  <conditionalFormatting sqref="CQ27">
    <cfRule type="cellIs" dxfId="2090" priority="1948" operator="equal">
      <formula>"No"</formula>
    </cfRule>
    <cfRule type="cellIs" dxfId="2089" priority="1949" operator="equal">
      <formula>"NA"</formula>
    </cfRule>
    <cfRule type="cellIs" dxfId="2088" priority="1950" operator="equal">
      <formula>"Yes"</formula>
    </cfRule>
  </conditionalFormatting>
  <conditionalFormatting sqref="CQ28">
    <cfRule type="cellIs" dxfId="2087" priority="1945" operator="equal">
      <formula>"No"</formula>
    </cfRule>
    <cfRule type="cellIs" dxfId="2086" priority="1946" operator="equal">
      <formula>"NA"</formula>
    </cfRule>
    <cfRule type="cellIs" dxfId="2085" priority="1947" operator="equal">
      <formula>"Yes"</formula>
    </cfRule>
  </conditionalFormatting>
  <conditionalFormatting sqref="CQ30">
    <cfRule type="cellIs" dxfId="2084" priority="1942" operator="equal">
      <formula>"No"</formula>
    </cfRule>
    <cfRule type="cellIs" dxfId="2083" priority="1943" operator="equal">
      <formula>"NA"</formula>
    </cfRule>
    <cfRule type="cellIs" dxfId="2082" priority="1944" operator="equal">
      <formula>"Yes"</formula>
    </cfRule>
  </conditionalFormatting>
  <conditionalFormatting sqref="CQ31">
    <cfRule type="cellIs" dxfId="2081" priority="1939" operator="equal">
      <formula>"No"</formula>
    </cfRule>
    <cfRule type="cellIs" dxfId="2080" priority="1940" operator="equal">
      <formula>"NA"</formula>
    </cfRule>
    <cfRule type="cellIs" dxfId="2079" priority="1941" operator="equal">
      <formula>"Yes"</formula>
    </cfRule>
  </conditionalFormatting>
  <conditionalFormatting sqref="CQ6">
    <cfRule type="cellIs" dxfId="2078" priority="1936" operator="equal">
      <formula>"No"</formula>
    </cfRule>
    <cfRule type="cellIs" dxfId="2077" priority="1937" operator="equal">
      <formula>"NA"</formula>
    </cfRule>
    <cfRule type="cellIs" dxfId="2076" priority="1938" operator="equal">
      <formula>"Yes"</formula>
    </cfRule>
  </conditionalFormatting>
  <conditionalFormatting sqref="CQ25">
    <cfRule type="cellIs" dxfId="2075" priority="1933" operator="equal">
      <formula>"No"</formula>
    </cfRule>
    <cfRule type="cellIs" dxfId="2074" priority="1934" operator="equal">
      <formula>"NA"</formula>
    </cfRule>
    <cfRule type="cellIs" dxfId="2073" priority="1935" operator="equal">
      <formula>"Yes"</formula>
    </cfRule>
  </conditionalFormatting>
  <conditionalFormatting sqref="CQ15">
    <cfRule type="cellIs" dxfId="2072" priority="1930" operator="equal">
      <formula>"No"</formula>
    </cfRule>
    <cfRule type="cellIs" dxfId="2071" priority="1931" operator="equal">
      <formula>"NA"</formula>
    </cfRule>
    <cfRule type="cellIs" dxfId="2070" priority="1932" operator="equal">
      <formula>"Yes"</formula>
    </cfRule>
  </conditionalFormatting>
  <conditionalFormatting sqref="CQ14">
    <cfRule type="cellIs" dxfId="2069" priority="1927" operator="equal">
      <formula>"No"</formula>
    </cfRule>
    <cfRule type="cellIs" dxfId="2068" priority="1928" operator="equal">
      <formula>"NA"</formula>
    </cfRule>
    <cfRule type="cellIs" dxfId="2067" priority="1929" operator="equal">
      <formula>"Yes"</formula>
    </cfRule>
  </conditionalFormatting>
  <conditionalFormatting sqref="CQ11">
    <cfRule type="cellIs" dxfId="2066" priority="1918" operator="equal">
      <formula>"No"</formula>
    </cfRule>
    <cfRule type="cellIs" dxfId="2065" priority="1919" operator="equal">
      <formula>"NA"</formula>
    </cfRule>
    <cfRule type="cellIs" dxfId="2064" priority="1920" operator="equal">
      <formula>"Yes"</formula>
    </cfRule>
  </conditionalFormatting>
  <conditionalFormatting sqref="CQ17">
    <cfRule type="cellIs" dxfId="2063" priority="1915" operator="equal">
      <formula>"No"</formula>
    </cfRule>
    <cfRule type="cellIs" dxfId="2062" priority="1916" operator="equal">
      <formula>"NA"</formula>
    </cfRule>
    <cfRule type="cellIs" dxfId="2061" priority="1917" operator="equal">
      <formula>"Yes"</formula>
    </cfRule>
  </conditionalFormatting>
  <conditionalFormatting sqref="CQ9">
    <cfRule type="cellIs" dxfId="2060" priority="1912" operator="equal">
      <formula>"No"</formula>
    </cfRule>
    <cfRule type="cellIs" dxfId="2059" priority="1913" operator="equal">
      <formula>"NA"</formula>
    </cfRule>
    <cfRule type="cellIs" dxfId="2058" priority="1914" operator="equal">
      <formula>"Yes"</formula>
    </cfRule>
  </conditionalFormatting>
  <conditionalFormatting sqref="CQ10">
    <cfRule type="cellIs" dxfId="2057" priority="1909" operator="equal">
      <formula>"No"</formula>
    </cfRule>
    <cfRule type="cellIs" dxfId="2056" priority="1910" operator="equal">
      <formula>"NA"</formula>
    </cfRule>
    <cfRule type="cellIs" dxfId="2055" priority="1911" operator="equal">
      <formula>"Yes"</formula>
    </cfRule>
  </conditionalFormatting>
  <conditionalFormatting sqref="CR7">
    <cfRule type="cellIs" dxfId="2054" priority="1906" operator="equal">
      <formula>"No"</formula>
    </cfRule>
    <cfRule type="cellIs" dxfId="2053" priority="1907" operator="equal">
      <formula>"NA"</formula>
    </cfRule>
    <cfRule type="cellIs" dxfId="2052" priority="1908" operator="equal">
      <formula>"Yes"</formula>
    </cfRule>
  </conditionalFormatting>
  <conditionalFormatting sqref="CR12">
    <cfRule type="cellIs" dxfId="2051" priority="1903" operator="equal">
      <formula>"No"</formula>
    </cfRule>
    <cfRule type="cellIs" dxfId="2050" priority="1904" operator="equal">
      <formula>"NA"</formula>
    </cfRule>
    <cfRule type="cellIs" dxfId="2049" priority="1905" operator="equal">
      <formula>"Yes"</formula>
    </cfRule>
  </conditionalFormatting>
  <conditionalFormatting sqref="CR13">
    <cfRule type="cellIs" dxfId="2048" priority="1900" operator="equal">
      <formula>"No"</formula>
    </cfRule>
    <cfRule type="cellIs" dxfId="2047" priority="1901" operator="equal">
      <formula>"NA"</formula>
    </cfRule>
    <cfRule type="cellIs" dxfId="2046" priority="1902" operator="equal">
      <formula>"Yes"</formula>
    </cfRule>
  </conditionalFormatting>
  <conditionalFormatting sqref="CR16">
    <cfRule type="cellIs" dxfId="2045" priority="1897" operator="equal">
      <formula>"No"</formula>
    </cfRule>
    <cfRule type="cellIs" dxfId="2044" priority="1898" operator="equal">
      <formula>"NA"</formula>
    </cfRule>
    <cfRule type="cellIs" dxfId="2043" priority="1899" operator="equal">
      <formula>"Yes"</formula>
    </cfRule>
  </conditionalFormatting>
  <conditionalFormatting sqref="CR18">
    <cfRule type="cellIs" dxfId="2042" priority="1894" operator="equal">
      <formula>"No"</formula>
    </cfRule>
    <cfRule type="cellIs" dxfId="2041" priority="1895" operator="equal">
      <formula>"NA"</formula>
    </cfRule>
    <cfRule type="cellIs" dxfId="2040" priority="1896" operator="equal">
      <formula>"Yes"</formula>
    </cfRule>
  </conditionalFormatting>
  <conditionalFormatting sqref="CR19">
    <cfRule type="cellIs" dxfId="2039" priority="1891" operator="equal">
      <formula>"No"</formula>
    </cfRule>
    <cfRule type="cellIs" dxfId="2038" priority="1892" operator="equal">
      <formula>"NA"</formula>
    </cfRule>
    <cfRule type="cellIs" dxfId="2037" priority="1893" operator="equal">
      <formula>"Yes"</formula>
    </cfRule>
  </conditionalFormatting>
  <conditionalFormatting sqref="CR20">
    <cfRule type="cellIs" dxfId="2036" priority="1888" operator="equal">
      <formula>"No"</formula>
    </cfRule>
    <cfRule type="cellIs" dxfId="2035" priority="1889" operator="equal">
      <formula>"NA"</formula>
    </cfRule>
    <cfRule type="cellIs" dxfId="2034" priority="1890" operator="equal">
      <formula>"Yes"</formula>
    </cfRule>
  </conditionalFormatting>
  <conditionalFormatting sqref="CR21">
    <cfRule type="cellIs" dxfId="2033" priority="1885" operator="equal">
      <formula>"No"</formula>
    </cfRule>
    <cfRule type="cellIs" dxfId="2032" priority="1886" operator="equal">
      <formula>"NA"</formula>
    </cfRule>
    <cfRule type="cellIs" dxfId="2031" priority="1887" operator="equal">
      <formula>"Yes"</formula>
    </cfRule>
  </conditionalFormatting>
  <conditionalFormatting sqref="CR22">
    <cfRule type="cellIs" dxfId="2030" priority="1882" operator="equal">
      <formula>"No"</formula>
    </cfRule>
    <cfRule type="cellIs" dxfId="2029" priority="1883" operator="equal">
      <formula>"NA"</formula>
    </cfRule>
    <cfRule type="cellIs" dxfId="2028" priority="1884" operator="equal">
      <formula>"Yes"</formula>
    </cfRule>
  </conditionalFormatting>
  <conditionalFormatting sqref="CR23">
    <cfRule type="cellIs" dxfId="2027" priority="1879" operator="equal">
      <formula>"No"</formula>
    </cfRule>
    <cfRule type="cellIs" dxfId="2026" priority="1880" operator="equal">
      <formula>"NA"</formula>
    </cfRule>
    <cfRule type="cellIs" dxfId="2025" priority="1881" operator="equal">
      <formula>"Yes"</formula>
    </cfRule>
  </conditionalFormatting>
  <conditionalFormatting sqref="CR26">
    <cfRule type="cellIs" dxfId="2024" priority="1876" operator="equal">
      <formula>"No"</formula>
    </cfRule>
    <cfRule type="cellIs" dxfId="2023" priority="1877" operator="equal">
      <formula>"NA"</formula>
    </cfRule>
    <cfRule type="cellIs" dxfId="2022" priority="1878" operator="equal">
      <formula>"Yes"</formula>
    </cfRule>
  </conditionalFormatting>
  <conditionalFormatting sqref="CR33">
    <cfRule type="cellIs" dxfId="2021" priority="1873" operator="equal">
      <formula>"No"</formula>
    </cfRule>
    <cfRule type="cellIs" dxfId="2020" priority="1874" operator="equal">
      <formula>"NA"</formula>
    </cfRule>
    <cfRule type="cellIs" dxfId="2019" priority="1875" operator="equal">
      <formula>"Yes"</formula>
    </cfRule>
  </conditionalFormatting>
  <conditionalFormatting sqref="CR27">
    <cfRule type="cellIs" dxfId="2018" priority="1870" operator="equal">
      <formula>"No"</formula>
    </cfRule>
    <cfRule type="cellIs" dxfId="2017" priority="1871" operator="equal">
      <formula>"NA"</formula>
    </cfRule>
    <cfRule type="cellIs" dxfId="2016" priority="1872" operator="equal">
      <formula>"Yes"</formula>
    </cfRule>
  </conditionalFormatting>
  <conditionalFormatting sqref="CR28">
    <cfRule type="cellIs" dxfId="2015" priority="1867" operator="equal">
      <formula>"No"</formula>
    </cfRule>
    <cfRule type="cellIs" dxfId="2014" priority="1868" operator="equal">
      <formula>"NA"</formula>
    </cfRule>
    <cfRule type="cellIs" dxfId="2013" priority="1869" operator="equal">
      <formula>"Yes"</formula>
    </cfRule>
  </conditionalFormatting>
  <conditionalFormatting sqref="CR30">
    <cfRule type="cellIs" dxfId="2012" priority="1864" operator="equal">
      <formula>"No"</formula>
    </cfRule>
    <cfRule type="cellIs" dxfId="2011" priority="1865" operator="equal">
      <formula>"NA"</formula>
    </cfRule>
    <cfRule type="cellIs" dxfId="2010" priority="1866" operator="equal">
      <formula>"Yes"</formula>
    </cfRule>
  </conditionalFormatting>
  <conditionalFormatting sqref="CR31">
    <cfRule type="cellIs" dxfId="2009" priority="1861" operator="equal">
      <formula>"No"</formula>
    </cfRule>
    <cfRule type="cellIs" dxfId="2008" priority="1862" operator="equal">
      <formula>"NA"</formula>
    </cfRule>
    <cfRule type="cellIs" dxfId="2007" priority="1863" operator="equal">
      <formula>"Yes"</formula>
    </cfRule>
  </conditionalFormatting>
  <conditionalFormatting sqref="CR6">
    <cfRule type="cellIs" dxfId="2006" priority="1858" operator="equal">
      <formula>"No"</formula>
    </cfRule>
    <cfRule type="cellIs" dxfId="2005" priority="1859" operator="equal">
      <formula>"NA"</formula>
    </cfRule>
    <cfRule type="cellIs" dxfId="2004" priority="1860" operator="equal">
      <formula>"Yes"</formula>
    </cfRule>
  </conditionalFormatting>
  <conditionalFormatting sqref="CR25">
    <cfRule type="cellIs" dxfId="2003" priority="1855" operator="equal">
      <formula>"No"</formula>
    </cfRule>
    <cfRule type="cellIs" dxfId="2002" priority="1856" operator="equal">
      <formula>"NA"</formula>
    </cfRule>
    <cfRule type="cellIs" dxfId="2001" priority="1857" operator="equal">
      <formula>"Yes"</formula>
    </cfRule>
  </conditionalFormatting>
  <conditionalFormatting sqref="CR15">
    <cfRule type="cellIs" dxfId="2000" priority="1852" operator="equal">
      <formula>"No"</formula>
    </cfRule>
    <cfRule type="cellIs" dxfId="1999" priority="1853" operator="equal">
      <formula>"NA"</formula>
    </cfRule>
    <cfRule type="cellIs" dxfId="1998" priority="1854" operator="equal">
      <formula>"Yes"</formula>
    </cfRule>
  </conditionalFormatting>
  <conditionalFormatting sqref="CR17">
    <cfRule type="cellIs" dxfId="1997" priority="1846" operator="equal">
      <formula>"No"</formula>
    </cfRule>
    <cfRule type="cellIs" dxfId="1996" priority="1847" operator="equal">
      <formula>"NA"</formula>
    </cfRule>
    <cfRule type="cellIs" dxfId="1995" priority="1848" operator="equal">
      <formula>"Yes"</formula>
    </cfRule>
  </conditionalFormatting>
  <conditionalFormatting sqref="CR14">
    <cfRule type="cellIs" dxfId="1994" priority="1843" operator="equal">
      <formula>"No"</formula>
    </cfRule>
    <cfRule type="cellIs" dxfId="1993" priority="1844" operator="equal">
      <formula>"NA"</formula>
    </cfRule>
    <cfRule type="cellIs" dxfId="1992" priority="1845" operator="equal">
      <formula>"Yes"</formula>
    </cfRule>
  </conditionalFormatting>
  <conditionalFormatting sqref="CR11">
    <cfRule type="cellIs" dxfId="1991" priority="1840" operator="equal">
      <formula>"No"</formula>
    </cfRule>
    <cfRule type="cellIs" dxfId="1990" priority="1841" operator="equal">
      <formula>"NA"</formula>
    </cfRule>
    <cfRule type="cellIs" dxfId="1989" priority="1842" operator="equal">
      <formula>"Yes"</formula>
    </cfRule>
  </conditionalFormatting>
  <conditionalFormatting sqref="CR9">
    <cfRule type="cellIs" dxfId="1988" priority="1837" operator="equal">
      <formula>"No"</formula>
    </cfRule>
    <cfRule type="cellIs" dxfId="1987" priority="1838" operator="equal">
      <formula>"NA"</formula>
    </cfRule>
    <cfRule type="cellIs" dxfId="1986" priority="1839" operator="equal">
      <formula>"Yes"</formula>
    </cfRule>
  </conditionalFormatting>
  <conditionalFormatting sqref="CR10">
    <cfRule type="cellIs" dxfId="1985" priority="1834" operator="equal">
      <formula>"No"</formula>
    </cfRule>
    <cfRule type="cellIs" dxfId="1984" priority="1835" operator="equal">
      <formula>"NA"</formula>
    </cfRule>
    <cfRule type="cellIs" dxfId="1983" priority="1836" operator="equal">
      <formula>"Yes"</formula>
    </cfRule>
  </conditionalFormatting>
  <conditionalFormatting sqref="CS7">
    <cfRule type="cellIs" dxfId="1982" priority="1831" operator="equal">
      <formula>"No"</formula>
    </cfRule>
    <cfRule type="cellIs" dxfId="1981" priority="1832" operator="equal">
      <formula>"NA"</formula>
    </cfRule>
    <cfRule type="cellIs" dxfId="1980" priority="1833" operator="equal">
      <formula>"Yes"</formula>
    </cfRule>
  </conditionalFormatting>
  <conditionalFormatting sqref="CS12">
    <cfRule type="cellIs" dxfId="1979" priority="1825" operator="equal">
      <formula>"No"</formula>
    </cfRule>
    <cfRule type="cellIs" dxfId="1978" priority="1826" operator="equal">
      <formula>"NA"</formula>
    </cfRule>
    <cfRule type="cellIs" dxfId="1977" priority="1827" operator="equal">
      <formula>"Yes"</formula>
    </cfRule>
  </conditionalFormatting>
  <conditionalFormatting sqref="CS13">
    <cfRule type="cellIs" dxfId="1976" priority="1822" operator="equal">
      <formula>"No"</formula>
    </cfRule>
    <cfRule type="cellIs" dxfId="1975" priority="1823" operator="equal">
      <formula>"NA"</formula>
    </cfRule>
    <cfRule type="cellIs" dxfId="1974" priority="1824" operator="equal">
      <formula>"Yes"</formula>
    </cfRule>
  </conditionalFormatting>
  <conditionalFormatting sqref="CS16">
    <cfRule type="cellIs" dxfId="1973" priority="1819" operator="equal">
      <formula>"No"</formula>
    </cfRule>
    <cfRule type="cellIs" dxfId="1972" priority="1820" operator="equal">
      <formula>"NA"</formula>
    </cfRule>
    <cfRule type="cellIs" dxfId="1971" priority="1821" operator="equal">
      <formula>"Yes"</formula>
    </cfRule>
  </conditionalFormatting>
  <conditionalFormatting sqref="CS18">
    <cfRule type="cellIs" dxfId="1970" priority="1816" operator="equal">
      <formula>"No"</formula>
    </cfRule>
    <cfRule type="cellIs" dxfId="1969" priority="1817" operator="equal">
      <formula>"NA"</formula>
    </cfRule>
    <cfRule type="cellIs" dxfId="1968" priority="1818" operator="equal">
      <formula>"Yes"</formula>
    </cfRule>
  </conditionalFormatting>
  <conditionalFormatting sqref="CS19">
    <cfRule type="cellIs" dxfId="1967" priority="1813" operator="equal">
      <formula>"No"</formula>
    </cfRule>
    <cfRule type="cellIs" dxfId="1966" priority="1814" operator="equal">
      <formula>"NA"</formula>
    </cfRule>
    <cfRule type="cellIs" dxfId="1965" priority="1815" operator="equal">
      <formula>"Yes"</formula>
    </cfRule>
  </conditionalFormatting>
  <conditionalFormatting sqref="CS20">
    <cfRule type="cellIs" dxfId="1964" priority="1810" operator="equal">
      <formula>"No"</formula>
    </cfRule>
    <cfRule type="cellIs" dxfId="1963" priority="1811" operator="equal">
      <formula>"NA"</formula>
    </cfRule>
    <cfRule type="cellIs" dxfId="1962" priority="1812" operator="equal">
      <formula>"Yes"</formula>
    </cfRule>
  </conditionalFormatting>
  <conditionalFormatting sqref="CS21">
    <cfRule type="cellIs" dxfId="1961" priority="1807" operator="equal">
      <formula>"No"</formula>
    </cfRule>
    <cfRule type="cellIs" dxfId="1960" priority="1808" operator="equal">
      <formula>"NA"</formula>
    </cfRule>
    <cfRule type="cellIs" dxfId="1959" priority="1809" operator="equal">
      <formula>"Yes"</formula>
    </cfRule>
  </conditionalFormatting>
  <conditionalFormatting sqref="CS22">
    <cfRule type="cellIs" dxfId="1958" priority="1804" operator="equal">
      <formula>"No"</formula>
    </cfRule>
    <cfRule type="cellIs" dxfId="1957" priority="1805" operator="equal">
      <formula>"NA"</formula>
    </cfRule>
    <cfRule type="cellIs" dxfId="1956" priority="1806" operator="equal">
      <formula>"Yes"</formula>
    </cfRule>
  </conditionalFormatting>
  <conditionalFormatting sqref="CS23">
    <cfRule type="cellIs" dxfId="1955" priority="1801" operator="equal">
      <formula>"No"</formula>
    </cfRule>
    <cfRule type="cellIs" dxfId="1954" priority="1802" operator="equal">
      <formula>"NA"</formula>
    </cfRule>
    <cfRule type="cellIs" dxfId="1953" priority="1803" operator="equal">
      <formula>"Yes"</formula>
    </cfRule>
  </conditionalFormatting>
  <conditionalFormatting sqref="CS26">
    <cfRule type="cellIs" dxfId="1952" priority="1798" operator="equal">
      <formula>"No"</formula>
    </cfRule>
    <cfRule type="cellIs" dxfId="1951" priority="1799" operator="equal">
      <formula>"NA"</formula>
    </cfRule>
    <cfRule type="cellIs" dxfId="1950" priority="1800" operator="equal">
      <formula>"Yes"</formula>
    </cfRule>
  </conditionalFormatting>
  <conditionalFormatting sqref="CS33">
    <cfRule type="cellIs" dxfId="1949" priority="1795" operator="equal">
      <formula>"No"</formula>
    </cfRule>
    <cfRule type="cellIs" dxfId="1948" priority="1796" operator="equal">
      <formula>"NA"</formula>
    </cfRule>
    <cfRule type="cellIs" dxfId="1947" priority="1797" operator="equal">
      <formula>"Yes"</formula>
    </cfRule>
  </conditionalFormatting>
  <conditionalFormatting sqref="CS27">
    <cfRule type="cellIs" dxfId="1946" priority="1792" operator="equal">
      <formula>"No"</formula>
    </cfRule>
    <cfRule type="cellIs" dxfId="1945" priority="1793" operator="equal">
      <formula>"NA"</formula>
    </cfRule>
    <cfRule type="cellIs" dxfId="1944" priority="1794" operator="equal">
      <formula>"Yes"</formula>
    </cfRule>
  </conditionalFormatting>
  <conditionalFormatting sqref="CS28">
    <cfRule type="cellIs" dxfId="1943" priority="1789" operator="equal">
      <formula>"No"</formula>
    </cfRule>
    <cfRule type="cellIs" dxfId="1942" priority="1790" operator="equal">
      <formula>"NA"</formula>
    </cfRule>
    <cfRule type="cellIs" dxfId="1941" priority="1791" operator="equal">
      <formula>"Yes"</formula>
    </cfRule>
  </conditionalFormatting>
  <conditionalFormatting sqref="CS30">
    <cfRule type="cellIs" dxfId="1940" priority="1786" operator="equal">
      <formula>"No"</formula>
    </cfRule>
    <cfRule type="cellIs" dxfId="1939" priority="1787" operator="equal">
      <formula>"NA"</formula>
    </cfRule>
    <cfRule type="cellIs" dxfId="1938" priority="1788" operator="equal">
      <formula>"Yes"</formula>
    </cfRule>
  </conditionalFormatting>
  <conditionalFormatting sqref="CS31">
    <cfRule type="cellIs" dxfId="1937" priority="1783" operator="equal">
      <formula>"No"</formula>
    </cfRule>
    <cfRule type="cellIs" dxfId="1936" priority="1784" operator="equal">
      <formula>"NA"</formula>
    </cfRule>
    <cfRule type="cellIs" dxfId="1935" priority="1785" operator="equal">
      <formula>"Yes"</formula>
    </cfRule>
  </conditionalFormatting>
  <conditionalFormatting sqref="CS6">
    <cfRule type="cellIs" dxfId="1934" priority="1780" operator="equal">
      <formula>"No"</formula>
    </cfRule>
    <cfRule type="cellIs" dxfId="1933" priority="1781" operator="equal">
      <formula>"NA"</formula>
    </cfRule>
    <cfRule type="cellIs" dxfId="1932" priority="1782" operator="equal">
      <formula>"Yes"</formula>
    </cfRule>
  </conditionalFormatting>
  <conditionalFormatting sqref="CS25">
    <cfRule type="cellIs" dxfId="1931" priority="1777" operator="equal">
      <formula>"No"</formula>
    </cfRule>
    <cfRule type="cellIs" dxfId="1930" priority="1778" operator="equal">
      <formula>"NA"</formula>
    </cfRule>
    <cfRule type="cellIs" dxfId="1929" priority="1779" operator="equal">
      <formula>"Yes"</formula>
    </cfRule>
  </conditionalFormatting>
  <conditionalFormatting sqref="CS15">
    <cfRule type="cellIs" dxfId="1928" priority="1771" operator="equal">
      <formula>"No"</formula>
    </cfRule>
    <cfRule type="cellIs" dxfId="1927" priority="1772" operator="equal">
      <formula>"NA"</formula>
    </cfRule>
    <cfRule type="cellIs" dxfId="1926" priority="1773" operator="equal">
      <formula>"Yes"</formula>
    </cfRule>
  </conditionalFormatting>
  <conditionalFormatting sqref="CS9">
    <cfRule type="cellIs" dxfId="1925" priority="1768" operator="equal">
      <formula>"No"</formula>
    </cfRule>
    <cfRule type="cellIs" dxfId="1924" priority="1769" operator="equal">
      <formula>"NA"</formula>
    </cfRule>
    <cfRule type="cellIs" dxfId="1923" priority="1770" operator="equal">
      <formula>"Yes"</formula>
    </cfRule>
  </conditionalFormatting>
  <conditionalFormatting sqref="CS17">
    <cfRule type="cellIs" dxfId="1922" priority="1765" operator="equal">
      <formula>"No"</formula>
    </cfRule>
    <cfRule type="cellIs" dxfId="1921" priority="1766" operator="equal">
      <formula>"NA"</formula>
    </cfRule>
    <cfRule type="cellIs" dxfId="1920" priority="1767" operator="equal">
      <formula>"Yes"</formula>
    </cfRule>
  </conditionalFormatting>
  <conditionalFormatting sqref="CS14">
    <cfRule type="cellIs" dxfId="1919" priority="1762" operator="equal">
      <formula>"No"</formula>
    </cfRule>
    <cfRule type="cellIs" dxfId="1918" priority="1763" operator="equal">
      <formula>"NA"</formula>
    </cfRule>
    <cfRule type="cellIs" dxfId="1917" priority="1764" operator="equal">
      <formula>"Yes"</formula>
    </cfRule>
  </conditionalFormatting>
  <conditionalFormatting sqref="CS10">
    <cfRule type="cellIs" dxfId="1916" priority="1759" operator="equal">
      <formula>"No"</formula>
    </cfRule>
    <cfRule type="cellIs" dxfId="1915" priority="1760" operator="equal">
      <formula>"NA"</formula>
    </cfRule>
    <cfRule type="cellIs" dxfId="1914" priority="1761" operator="equal">
      <formula>"Yes"</formula>
    </cfRule>
  </conditionalFormatting>
  <conditionalFormatting sqref="CT7">
    <cfRule type="cellIs" dxfId="1913" priority="1756" operator="equal">
      <formula>"No"</formula>
    </cfRule>
    <cfRule type="cellIs" dxfId="1912" priority="1757" operator="equal">
      <formula>"NA"</formula>
    </cfRule>
    <cfRule type="cellIs" dxfId="1911" priority="1758" operator="equal">
      <formula>"Yes"</formula>
    </cfRule>
  </conditionalFormatting>
  <conditionalFormatting sqref="CT12">
    <cfRule type="cellIs" dxfId="1910" priority="1750" operator="equal">
      <formula>"No"</formula>
    </cfRule>
    <cfRule type="cellIs" dxfId="1909" priority="1751" operator="equal">
      <formula>"NA"</formula>
    </cfRule>
    <cfRule type="cellIs" dxfId="1908" priority="1752" operator="equal">
      <formula>"Yes"</formula>
    </cfRule>
  </conditionalFormatting>
  <conditionalFormatting sqref="CT13">
    <cfRule type="cellIs" dxfId="1907" priority="1747" operator="equal">
      <formula>"No"</formula>
    </cfRule>
    <cfRule type="cellIs" dxfId="1906" priority="1748" operator="equal">
      <formula>"NA"</formula>
    </cfRule>
    <cfRule type="cellIs" dxfId="1905" priority="1749" operator="equal">
      <formula>"Yes"</formula>
    </cfRule>
  </conditionalFormatting>
  <conditionalFormatting sqref="CT16">
    <cfRule type="cellIs" dxfId="1904" priority="1744" operator="equal">
      <formula>"No"</formula>
    </cfRule>
    <cfRule type="cellIs" dxfId="1903" priority="1745" operator="equal">
      <formula>"NA"</formula>
    </cfRule>
    <cfRule type="cellIs" dxfId="1902" priority="1746" operator="equal">
      <formula>"Yes"</formula>
    </cfRule>
  </conditionalFormatting>
  <conditionalFormatting sqref="CT18">
    <cfRule type="cellIs" dxfId="1901" priority="1741" operator="equal">
      <formula>"No"</formula>
    </cfRule>
    <cfRule type="cellIs" dxfId="1900" priority="1742" operator="equal">
      <formula>"NA"</formula>
    </cfRule>
    <cfRule type="cellIs" dxfId="1899" priority="1743" operator="equal">
      <formula>"Yes"</formula>
    </cfRule>
  </conditionalFormatting>
  <conditionalFormatting sqref="CT19">
    <cfRule type="cellIs" dxfId="1898" priority="1738" operator="equal">
      <formula>"No"</formula>
    </cfRule>
    <cfRule type="cellIs" dxfId="1897" priority="1739" operator="equal">
      <formula>"NA"</formula>
    </cfRule>
    <cfRule type="cellIs" dxfId="1896" priority="1740" operator="equal">
      <formula>"Yes"</formula>
    </cfRule>
  </conditionalFormatting>
  <conditionalFormatting sqref="CT20">
    <cfRule type="cellIs" dxfId="1895" priority="1735" operator="equal">
      <formula>"No"</formula>
    </cfRule>
    <cfRule type="cellIs" dxfId="1894" priority="1736" operator="equal">
      <formula>"NA"</formula>
    </cfRule>
    <cfRule type="cellIs" dxfId="1893" priority="1737" operator="equal">
      <formula>"Yes"</formula>
    </cfRule>
  </conditionalFormatting>
  <conditionalFormatting sqref="CT21">
    <cfRule type="cellIs" dxfId="1892" priority="1732" operator="equal">
      <formula>"No"</formula>
    </cfRule>
    <cfRule type="cellIs" dxfId="1891" priority="1733" operator="equal">
      <formula>"NA"</formula>
    </cfRule>
    <cfRule type="cellIs" dxfId="1890" priority="1734" operator="equal">
      <formula>"Yes"</formula>
    </cfRule>
  </conditionalFormatting>
  <conditionalFormatting sqref="CT22">
    <cfRule type="cellIs" dxfId="1889" priority="1729" operator="equal">
      <formula>"No"</formula>
    </cfRule>
    <cfRule type="cellIs" dxfId="1888" priority="1730" operator="equal">
      <formula>"NA"</formula>
    </cfRule>
    <cfRule type="cellIs" dxfId="1887" priority="1731" operator="equal">
      <formula>"Yes"</formula>
    </cfRule>
  </conditionalFormatting>
  <conditionalFormatting sqref="CT23">
    <cfRule type="cellIs" dxfId="1886" priority="1726" operator="equal">
      <formula>"No"</formula>
    </cfRule>
    <cfRule type="cellIs" dxfId="1885" priority="1727" operator="equal">
      <formula>"NA"</formula>
    </cfRule>
    <cfRule type="cellIs" dxfId="1884" priority="1728" operator="equal">
      <formula>"Yes"</formula>
    </cfRule>
  </conditionalFormatting>
  <conditionalFormatting sqref="CT26">
    <cfRule type="cellIs" dxfId="1883" priority="1723" operator="equal">
      <formula>"No"</formula>
    </cfRule>
    <cfRule type="cellIs" dxfId="1882" priority="1724" operator="equal">
      <formula>"NA"</formula>
    </cfRule>
    <cfRule type="cellIs" dxfId="1881" priority="1725" operator="equal">
      <formula>"Yes"</formula>
    </cfRule>
  </conditionalFormatting>
  <conditionalFormatting sqref="CT33">
    <cfRule type="cellIs" dxfId="1880" priority="1720" operator="equal">
      <formula>"No"</formula>
    </cfRule>
    <cfRule type="cellIs" dxfId="1879" priority="1721" operator="equal">
      <formula>"NA"</formula>
    </cfRule>
    <cfRule type="cellIs" dxfId="1878" priority="1722" operator="equal">
      <formula>"Yes"</formula>
    </cfRule>
  </conditionalFormatting>
  <conditionalFormatting sqref="CT27">
    <cfRule type="cellIs" dxfId="1877" priority="1717" operator="equal">
      <formula>"No"</formula>
    </cfRule>
    <cfRule type="cellIs" dxfId="1876" priority="1718" operator="equal">
      <formula>"NA"</formula>
    </cfRule>
    <cfRule type="cellIs" dxfId="1875" priority="1719" operator="equal">
      <formula>"Yes"</formula>
    </cfRule>
  </conditionalFormatting>
  <conditionalFormatting sqref="CT28">
    <cfRule type="cellIs" dxfId="1874" priority="1714" operator="equal">
      <formula>"No"</formula>
    </cfRule>
    <cfRule type="cellIs" dxfId="1873" priority="1715" operator="equal">
      <formula>"NA"</formula>
    </cfRule>
    <cfRule type="cellIs" dxfId="1872" priority="1716" operator="equal">
      <formula>"Yes"</formula>
    </cfRule>
  </conditionalFormatting>
  <conditionalFormatting sqref="CT30">
    <cfRule type="cellIs" dxfId="1871" priority="1711" operator="equal">
      <formula>"No"</formula>
    </cfRule>
    <cfRule type="cellIs" dxfId="1870" priority="1712" operator="equal">
      <formula>"NA"</formula>
    </cfRule>
    <cfRule type="cellIs" dxfId="1869" priority="1713" operator="equal">
      <formula>"Yes"</formula>
    </cfRule>
  </conditionalFormatting>
  <conditionalFormatting sqref="CT31">
    <cfRule type="cellIs" dxfId="1868" priority="1708" operator="equal">
      <formula>"No"</formula>
    </cfRule>
    <cfRule type="cellIs" dxfId="1867" priority="1709" operator="equal">
      <formula>"NA"</formula>
    </cfRule>
    <cfRule type="cellIs" dxfId="1866" priority="1710" operator="equal">
      <formula>"Yes"</formula>
    </cfRule>
  </conditionalFormatting>
  <conditionalFormatting sqref="CT6">
    <cfRule type="cellIs" dxfId="1865" priority="1705" operator="equal">
      <formula>"No"</formula>
    </cfRule>
    <cfRule type="cellIs" dxfId="1864" priority="1706" operator="equal">
      <formula>"NA"</formula>
    </cfRule>
    <cfRule type="cellIs" dxfId="1863" priority="1707" operator="equal">
      <formula>"Yes"</formula>
    </cfRule>
  </conditionalFormatting>
  <conditionalFormatting sqref="CT25">
    <cfRule type="cellIs" dxfId="1862" priority="1702" operator="equal">
      <formula>"No"</formula>
    </cfRule>
    <cfRule type="cellIs" dxfId="1861" priority="1703" operator="equal">
      <formula>"NA"</formula>
    </cfRule>
    <cfRule type="cellIs" dxfId="1860" priority="1704" operator="equal">
      <formula>"Yes"</formula>
    </cfRule>
  </conditionalFormatting>
  <conditionalFormatting sqref="CT10">
    <cfRule type="cellIs" dxfId="1859" priority="1699" operator="equal">
      <formula>"No"</formula>
    </cfRule>
    <cfRule type="cellIs" dxfId="1858" priority="1700" operator="equal">
      <formula>"NA"</formula>
    </cfRule>
    <cfRule type="cellIs" dxfId="1857" priority="1701" operator="equal">
      <formula>"Yes"</formula>
    </cfRule>
  </conditionalFormatting>
  <conditionalFormatting sqref="CT15">
    <cfRule type="cellIs" dxfId="1856" priority="1696" operator="equal">
      <formula>"No"</formula>
    </cfRule>
    <cfRule type="cellIs" dxfId="1855" priority="1697" operator="equal">
      <formula>"NA"</formula>
    </cfRule>
    <cfRule type="cellIs" dxfId="1854" priority="1698" operator="equal">
      <formula>"Yes"</formula>
    </cfRule>
  </conditionalFormatting>
  <conditionalFormatting sqref="CT17">
    <cfRule type="cellIs" dxfId="1853" priority="1690" operator="equal">
      <formula>"No"</formula>
    </cfRule>
    <cfRule type="cellIs" dxfId="1852" priority="1691" operator="equal">
      <formula>"NA"</formula>
    </cfRule>
    <cfRule type="cellIs" dxfId="1851" priority="1692" operator="equal">
      <formula>"Yes"</formula>
    </cfRule>
  </conditionalFormatting>
  <conditionalFormatting sqref="CT14">
    <cfRule type="cellIs" dxfId="1850" priority="1687" operator="equal">
      <formula>"No"</formula>
    </cfRule>
    <cfRule type="cellIs" dxfId="1849" priority="1688" operator="equal">
      <formula>"NA"</formula>
    </cfRule>
    <cfRule type="cellIs" dxfId="1848" priority="1689" operator="equal">
      <formula>"Yes"</formula>
    </cfRule>
  </conditionalFormatting>
  <conditionalFormatting sqref="CT9">
    <cfRule type="cellIs" dxfId="1847" priority="1684" operator="equal">
      <formula>"No"</formula>
    </cfRule>
    <cfRule type="cellIs" dxfId="1846" priority="1685" operator="equal">
      <formula>"NA"</formula>
    </cfRule>
    <cfRule type="cellIs" dxfId="1845" priority="1686" operator="equal">
      <formula>"Yes"</formula>
    </cfRule>
  </conditionalFormatting>
  <conditionalFormatting sqref="CT11">
    <cfRule type="cellIs" dxfId="1844" priority="1681" operator="equal">
      <formula>"No"</formula>
    </cfRule>
    <cfRule type="cellIs" dxfId="1843" priority="1682" operator="equal">
      <formula>"NA"</formula>
    </cfRule>
    <cfRule type="cellIs" dxfId="1842" priority="1683" operator="equal">
      <formula>"Yes"</formula>
    </cfRule>
  </conditionalFormatting>
  <conditionalFormatting sqref="CS11">
    <cfRule type="cellIs" dxfId="1841" priority="1678" operator="equal">
      <formula>"No"</formula>
    </cfRule>
    <cfRule type="cellIs" dxfId="1840" priority="1679" operator="equal">
      <formula>"NA"</formula>
    </cfRule>
    <cfRule type="cellIs" dxfId="1839" priority="1680" operator="equal">
      <formula>"Yes"</formula>
    </cfRule>
  </conditionalFormatting>
  <conditionalFormatting sqref="CU7">
    <cfRule type="cellIs" dxfId="1838" priority="1675" operator="equal">
      <formula>"No"</formula>
    </cfRule>
    <cfRule type="cellIs" dxfId="1837" priority="1676" operator="equal">
      <formula>"NA"</formula>
    </cfRule>
    <cfRule type="cellIs" dxfId="1836" priority="1677" operator="equal">
      <formula>"Yes"</formula>
    </cfRule>
  </conditionalFormatting>
  <conditionalFormatting sqref="CU12">
    <cfRule type="cellIs" dxfId="1835" priority="1669" operator="equal">
      <formula>"No"</formula>
    </cfRule>
    <cfRule type="cellIs" dxfId="1834" priority="1670" operator="equal">
      <formula>"NA"</formula>
    </cfRule>
    <cfRule type="cellIs" dxfId="1833" priority="1671" operator="equal">
      <formula>"Yes"</formula>
    </cfRule>
  </conditionalFormatting>
  <conditionalFormatting sqref="CU13">
    <cfRule type="cellIs" dxfId="1832" priority="1666" operator="equal">
      <formula>"No"</formula>
    </cfRule>
    <cfRule type="cellIs" dxfId="1831" priority="1667" operator="equal">
      <formula>"NA"</formula>
    </cfRule>
    <cfRule type="cellIs" dxfId="1830" priority="1668" operator="equal">
      <formula>"Yes"</formula>
    </cfRule>
  </conditionalFormatting>
  <conditionalFormatting sqref="CU16">
    <cfRule type="cellIs" dxfId="1829" priority="1663" operator="equal">
      <formula>"No"</formula>
    </cfRule>
    <cfRule type="cellIs" dxfId="1828" priority="1664" operator="equal">
      <formula>"NA"</formula>
    </cfRule>
    <cfRule type="cellIs" dxfId="1827" priority="1665" operator="equal">
      <formula>"Yes"</formula>
    </cfRule>
  </conditionalFormatting>
  <conditionalFormatting sqref="CU18">
    <cfRule type="cellIs" dxfId="1826" priority="1660" operator="equal">
      <formula>"No"</formula>
    </cfRule>
    <cfRule type="cellIs" dxfId="1825" priority="1661" operator="equal">
      <formula>"NA"</formula>
    </cfRule>
    <cfRule type="cellIs" dxfId="1824" priority="1662" operator="equal">
      <formula>"Yes"</formula>
    </cfRule>
  </conditionalFormatting>
  <conditionalFormatting sqref="CU19">
    <cfRule type="cellIs" dxfId="1823" priority="1657" operator="equal">
      <formula>"No"</formula>
    </cfRule>
    <cfRule type="cellIs" dxfId="1822" priority="1658" operator="equal">
      <formula>"NA"</formula>
    </cfRule>
    <cfRule type="cellIs" dxfId="1821" priority="1659" operator="equal">
      <formula>"Yes"</formula>
    </cfRule>
  </conditionalFormatting>
  <conditionalFormatting sqref="CU20">
    <cfRule type="cellIs" dxfId="1820" priority="1654" operator="equal">
      <formula>"No"</formula>
    </cfRule>
    <cfRule type="cellIs" dxfId="1819" priority="1655" operator="equal">
      <formula>"NA"</formula>
    </cfRule>
    <cfRule type="cellIs" dxfId="1818" priority="1656" operator="equal">
      <formula>"Yes"</formula>
    </cfRule>
  </conditionalFormatting>
  <conditionalFormatting sqref="CU21">
    <cfRule type="cellIs" dxfId="1817" priority="1651" operator="equal">
      <formula>"No"</formula>
    </cfRule>
    <cfRule type="cellIs" dxfId="1816" priority="1652" operator="equal">
      <formula>"NA"</formula>
    </cfRule>
    <cfRule type="cellIs" dxfId="1815" priority="1653" operator="equal">
      <formula>"Yes"</formula>
    </cfRule>
  </conditionalFormatting>
  <conditionalFormatting sqref="CU22">
    <cfRule type="cellIs" dxfId="1814" priority="1648" operator="equal">
      <formula>"No"</formula>
    </cfRule>
    <cfRule type="cellIs" dxfId="1813" priority="1649" operator="equal">
      <formula>"NA"</formula>
    </cfRule>
    <cfRule type="cellIs" dxfId="1812" priority="1650" operator="equal">
      <formula>"Yes"</formula>
    </cfRule>
  </conditionalFormatting>
  <conditionalFormatting sqref="CU23">
    <cfRule type="cellIs" dxfId="1811" priority="1645" operator="equal">
      <formula>"No"</formula>
    </cfRule>
    <cfRule type="cellIs" dxfId="1810" priority="1646" operator="equal">
      <formula>"NA"</formula>
    </cfRule>
    <cfRule type="cellIs" dxfId="1809" priority="1647" operator="equal">
      <formula>"Yes"</formula>
    </cfRule>
  </conditionalFormatting>
  <conditionalFormatting sqref="CU26">
    <cfRule type="cellIs" dxfId="1808" priority="1642" operator="equal">
      <formula>"No"</formula>
    </cfRule>
    <cfRule type="cellIs" dxfId="1807" priority="1643" operator="equal">
      <formula>"NA"</formula>
    </cfRule>
    <cfRule type="cellIs" dxfId="1806" priority="1644" operator="equal">
      <formula>"Yes"</formula>
    </cfRule>
  </conditionalFormatting>
  <conditionalFormatting sqref="CU33">
    <cfRule type="cellIs" dxfId="1805" priority="1639" operator="equal">
      <formula>"No"</formula>
    </cfRule>
    <cfRule type="cellIs" dxfId="1804" priority="1640" operator="equal">
      <formula>"NA"</formula>
    </cfRule>
    <cfRule type="cellIs" dxfId="1803" priority="1641" operator="equal">
      <formula>"Yes"</formula>
    </cfRule>
  </conditionalFormatting>
  <conditionalFormatting sqref="CU27">
    <cfRule type="cellIs" dxfId="1802" priority="1636" operator="equal">
      <formula>"No"</formula>
    </cfRule>
    <cfRule type="cellIs" dxfId="1801" priority="1637" operator="equal">
      <formula>"NA"</formula>
    </cfRule>
    <cfRule type="cellIs" dxfId="1800" priority="1638" operator="equal">
      <formula>"Yes"</formula>
    </cfRule>
  </conditionalFormatting>
  <conditionalFormatting sqref="CU28">
    <cfRule type="cellIs" dxfId="1799" priority="1633" operator="equal">
      <formula>"No"</formula>
    </cfRule>
    <cfRule type="cellIs" dxfId="1798" priority="1634" operator="equal">
      <formula>"NA"</formula>
    </cfRule>
    <cfRule type="cellIs" dxfId="1797" priority="1635" operator="equal">
      <formula>"Yes"</formula>
    </cfRule>
  </conditionalFormatting>
  <conditionalFormatting sqref="CU30">
    <cfRule type="cellIs" dxfId="1796" priority="1630" operator="equal">
      <formula>"No"</formula>
    </cfRule>
    <cfRule type="cellIs" dxfId="1795" priority="1631" operator="equal">
      <formula>"NA"</formula>
    </cfRule>
    <cfRule type="cellIs" dxfId="1794" priority="1632" operator="equal">
      <formula>"Yes"</formula>
    </cfRule>
  </conditionalFormatting>
  <conditionalFormatting sqref="CU31">
    <cfRule type="cellIs" dxfId="1793" priority="1627" operator="equal">
      <formula>"No"</formula>
    </cfRule>
    <cfRule type="cellIs" dxfId="1792" priority="1628" operator="equal">
      <formula>"NA"</formula>
    </cfRule>
    <cfRule type="cellIs" dxfId="1791" priority="1629" operator="equal">
      <formula>"Yes"</formula>
    </cfRule>
  </conditionalFormatting>
  <conditionalFormatting sqref="CU6">
    <cfRule type="cellIs" dxfId="1790" priority="1624" operator="equal">
      <formula>"No"</formula>
    </cfRule>
    <cfRule type="cellIs" dxfId="1789" priority="1625" operator="equal">
      <formula>"NA"</formula>
    </cfRule>
    <cfRule type="cellIs" dxfId="1788" priority="1626" operator="equal">
      <formula>"Yes"</formula>
    </cfRule>
  </conditionalFormatting>
  <conditionalFormatting sqref="CU25">
    <cfRule type="cellIs" dxfId="1787" priority="1621" operator="equal">
      <formula>"No"</formula>
    </cfRule>
    <cfRule type="cellIs" dxfId="1786" priority="1622" operator="equal">
      <formula>"NA"</formula>
    </cfRule>
    <cfRule type="cellIs" dxfId="1785" priority="1623" operator="equal">
      <formula>"Yes"</formula>
    </cfRule>
  </conditionalFormatting>
  <conditionalFormatting sqref="CU10">
    <cfRule type="cellIs" dxfId="1784" priority="1618" operator="equal">
      <formula>"No"</formula>
    </cfRule>
    <cfRule type="cellIs" dxfId="1783" priority="1619" operator="equal">
      <formula>"NA"</formula>
    </cfRule>
    <cfRule type="cellIs" dxfId="1782" priority="1620" operator="equal">
      <formula>"Yes"</formula>
    </cfRule>
  </conditionalFormatting>
  <conditionalFormatting sqref="CU15">
    <cfRule type="cellIs" dxfId="1781" priority="1615" operator="equal">
      <formula>"No"</formula>
    </cfRule>
    <cfRule type="cellIs" dxfId="1780" priority="1616" operator="equal">
      <formula>"NA"</formula>
    </cfRule>
    <cfRule type="cellIs" dxfId="1779" priority="1617" operator="equal">
      <formula>"Yes"</formula>
    </cfRule>
  </conditionalFormatting>
  <conditionalFormatting sqref="CU9">
    <cfRule type="cellIs" dxfId="1778" priority="1612" operator="equal">
      <formula>"No"</formula>
    </cfRule>
    <cfRule type="cellIs" dxfId="1777" priority="1613" operator="equal">
      <formula>"NA"</formula>
    </cfRule>
    <cfRule type="cellIs" dxfId="1776" priority="1614" operator="equal">
      <formula>"Yes"</formula>
    </cfRule>
  </conditionalFormatting>
  <conditionalFormatting sqref="CU17">
    <cfRule type="cellIs" dxfId="1775" priority="1609" operator="equal">
      <formula>"No"</formula>
    </cfRule>
    <cfRule type="cellIs" dxfId="1774" priority="1610" operator="equal">
      <formula>"NA"</formula>
    </cfRule>
    <cfRule type="cellIs" dxfId="1773" priority="1611" operator="equal">
      <formula>"Yes"</formula>
    </cfRule>
  </conditionalFormatting>
  <conditionalFormatting sqref="CU14">
    <cfRule type="cellIs" dxfId="1772" priority="1606" operator="equal">
      <formula>"No"</formula>
    </cfRule>
    <cfRule type="cellIs" dxfId="1771" priority="1607" operator="equal">
      <formula>"NA"</formula>
    </cfRule>
    <cfRule type="cellIs" dxfId="1770" priority="1608" operator="equal">
      <formula>"Yes"</formula>
    </cfRule>
  </conditionalFormatting>
  <conditionalFormatting sqref="CU11">
    <cfRule type="cellIs" dxfId="1769" priority="1603" operator="equal">
      <formula>"No"</formula>
    </cfRule>
    <cfRule type="cellIs" dxfId="1768" priority="1604" operator="equal">
      <formula>"NA"</formula>
    </cfRule>
    <cfRule type="cellIs" dxfId="1767" priority="1605" operator="equal">
      <formula>"Yes"</formula>
    </cfRule>
  </conditionalFormatting>
  <conditionalFormatting sqref="CV7">
    <cfRule type="cellIs" dxfId="1766" priority="1600" operator="equal">
      <formula>"No"</formula>
    </cfRule>
    <cfRule type="cellIs" dxfId="1765" priority="1601" operator="equal">
      <formula>"NA"</formula>
    </cfRule>
    <cfRule type="cellIs" dxfId="1764" priority="1602" operator="equal">
      <formula>"Yes"</formula>
    </cfRule>
  </conditionalFormatting>
  <conditionalFormatting sqref="CV12">
    <cfRule type="cellIs" dxfId="1763" priority="1594" operator="equal">
      <formula>"No"</formula>
    </cfRule>
    <cfRule type="cellIs" dxfId="1762" priority="1595" operator="equal">
      <formula>"NA"</formula>
    </cfRule>
    <cfRule type="cellIs" dxfId="1761" priority="1596" operator="equal">
      <formula>"Yes"</formula>
    </cfRule>
  </conditionalFormatting>
  <conditionalFormatting sqref="CV13">
    <cfRule type="cellIs" dxfId="1760" priority="1591" operator="equal">
      <formula>"No"</formula>
    </cfRule>
    <cfRule type="cellIs" dxfId="1759" priority="1592" operator="equal">
      <formula>"NA"</formula>
    </cfRule>
    <cfRule type="cellIs" dxfId="1758" priority="1593" operator="equal">
      <formula>"Yes"</formula>
    </cfRule>
  </conditionalFormatting>
  <conditionalFormatting sqref="CV16">
    <cfRule type="cellIs" dxfId="1757" priority="1588" operator="equal">
      <formula>"No"</formula>
    </cfRule>
    <cfRule type="cellIs" dxfId="1756" priority="1589" operator="equal">
      <formula>"NA"</formula>
    </cfRule>
    <cfRule type="cellIs" dxfId="1755" priority="1590" operator="equal">
      <formula>"Yes"</formula>
    </cfRule>
  </conditionalFormatting>
  <conditionalFormatting sqref="CV18">
    <cfRule type="cellIs" dxfId="1754" priority="1585" operator="equal">
      <formula>"No"</formula>
    </cfRule>
    <cfRule type="cellIs" dxfId="1753" priority="1586" operator="equal">
      <formula>"NA"</formula>
    </cfRule>
    <cfRule type="cellIs" dxfId="1752" priority="1587" operator="equal">
      <formula>"Yes"</formula>
    </cfRule>
  </conditionalFormatting>
  <conditionalFormatting sqref="CV19">
    <cfRule type="cellIs" dxfId="1751" priority="1582" operator="equal">
      <formula>"No"</formula>
    </cfRule>
    <cfRule type="cellIs" dxfId="1750" priority="1583" operator="equal">
      <formula>"NA"</formula>
    </cfRule>
    <cfRule type="cellIs" dxfId="1749" priority="1584" operator="equal">
      <formula>"Yes"</formula>
    </cfRule>
  </conditionalFormatting>
  <conditionalFormatting sqref="CV20">
    <cfRule type="cellIs" dxfId="1748" priority="1579" operator="equal">
      <formula>"No"</formula>
    </cfRule>
    <cfRule type="cellIs" dxfId="1747" priority="1580" operator="equal">
      <formula>"NA"</formula>
    </cfRule>
    <cfRule type="cellIs" dxfId="1746" priority="1581" operator="equal">
      <formula>"Yes"</formula>
    </cfRule>
  </conditionalFormatting>
  <conditionalFormatting sqref="CV21">
    <cfRule type="cellIs" dxfId="1745" priority="1576" operator="equal">
      <formula>"No"</formula>
    </cfRule>
    <cfRule type="cellIs" dxfId="1744" priority="1577" operator="equal">
      <formula>"NA"</formula>
    </cfRule>
    <cfRule type="cellIs" dxfId="1743" priority="1578" operator="equal">
      <formula>"Yes"</formula>
    </cfRule>
  </conditionalFormatting>
  <conditionalFormatting sqref="CV22">
    <cfRule type="cellIs" dxfId="1742" priority="1573" operator="equal">
      <formula>"No"</formula>
    </cfRule>
    <cfRule type="cellIs" dxfId="1741" priority="1574" operator="equal">
      <formula>"NA"</formula>
    </cfRule>
    <cfRule type="cellIs" dxfId="1740" priority="1575" operator="equal">
      <formula>"Yes"</formula>
    </cfRule>
  </conditionalFormatting>
  <conditionalFormatting sqref="CV23">
    <cfRule type="cellIs" dxfId="1739" priority="1570" operator="equal">
      <formula>"No"</formula>
    </cfRule>
    <cfRule type="cellIs" dxfId="1738" priority="1571" operator="equal">
      <formula>"NA"</formula>
    </cfRule>
    <cfRule type="cellIs" dxfId="1737" priority="1572" operator="equal">
      <formula>"Yes"</formula>
    </cfRule>
  </conditionalFormatting>
  <conditionalFormatting sqref="CV26">
    <cfRule type="cellIs" dxfId="1736" priority="1567" operator="equal">
      <formula>"No"</formula>
    </cfRule>
    <cfRule type="cellIs" dxfId="1735" priority="1568" operator="equal">
      <formula>"NA"</formula>
    </cfRule>
    <cfRule type="cellIs" dxfId="1734" priority="1569" operator="equal">
      <formula>"Yes"</formula>
    </cfRule>
  </conditionalFormatting>
  <conditionalFormatting sqref="CV33">
    <cfRule type="cellIs" dxfId="1733" priority="1564" operator="equal">
      <formula>"No"</formula>
    </cfRule>
    <cfRule type="cellIs" dxfId="1732" priority="1565" operator="equal">
      <formula>"NA"</formula>
    </cfRule>
    <cfRule type="cellIs" dxfId="1731" priority="1566" operator="equal">
      <formula>"Yes"</formula>
    </cfRule>
  </conditionalFormatting>
  <conditionalFormatting sqref="CV27">
    <cfRule type="cellIs" dxfId="1730" priority="1561" operator="equal">
      <formula>"No"</formula>
    </cfRule>
    <cfRule type="cellIs" dxfId="1729" priority="1562" operator="equal">
      <formula>"NA"</formula>
    </cfRule>
    <cfRule type="cellIs" dxfId="1728" priority="1563" operator="equal">
      <formula>"Yes"</formula>
    </cfRule>
  </conditionalFormatting>
  <conditionalFormatting sqref="CV28">
    <cfRule type="cellIs" dxfId="1727" priority="1558" operator="equal">
      <formula>"No"</formula>
    </cfRule>
    <cfRule type="cellIs" dxfId="1726" priority="1559" operator="equal">
      <formula>"NA"</formula>
    </cfRule>
    <cfRule type="cellIs" dxfId="1725" priority="1560" operator="equal">
      <formula>"Yes"</formula>
    </cfRule>
  </conditionalFormatting>
  <conditionalFormatting sqref="CV30">
    <cfRule type="cellIs" dxfId="1724" priority="1555" operator="equal">
      <formula>"No"</formula>
    </cfRule>
    <cfRule type="cellIs" dxfId="1723" priority="1556" operator="equal">
      <formula>"NA"</formula>
    </cfRule>
    <cfRule type="cellIs" dxfId="1722" priority="1557" operator="equal">
      <formula>"Yes"</formula>
    </cfRule>
  </conditionalFormatting>
  <conditionalFormatting sqref="CV31">
    <cfRule type="cellIs" dxfId="1721" priority="1552" operator="equal">
      <formula>"No"</formula>
    </cfRule>
    <cfRule type="cellIs" dxfId="1720" priority="1553" operator="equal">
      <formula>"NA"</formula>
    </cfRule>
    <cfRule type="cellIs" dxfId="1719" priority="1554" operator="equal">
      <formula>"Yes"</formula>
    </cfRule>
  </conditionalFormatting>
  <conditionalFormatting sqref="CV14">
    <cfRule type="cellIs" dxfId="1718" priority="1549" operator="equal">
      <formula>"No"</formula>
    </cfRule>
    <cfRule type="cellIs" dxfId="1717" priority="1550" operator="equal">
      <formula>"NA"</formula>
    </cfRule>
    <cfRule type="cellIs" dxfId="1716" priority="1551" operator="equal">
      <formula>"Yes"</formula>
    </cfRule>
  </conditionalFormatting>
  <conditionalFormatting sqref="CV6">
    <cfRule type="cellIs" dxfId="1715" priority="1546" operator="equal">
      <formula>"No"</formula>
    </cfRule>
    <cfRule type="cellIs" dxfId="1714" priority="1547" operator="equal">
      <formula>"NA"</formula>
    </cfRule>
    <cfRule type="cellIs" dxfId="1713" priority="1548" operator="equal">
      <formula>"Yes"</formula>
    </cfRule>
  </conditionalFormatting>
  <conditionalFormatting sqref="CV25">
    <cfRule type="cellIs" dxfId="1712" priority="1543" operator="equal">
      <formula>"No"</formula>
    </cfRule>
    <cfRule type="cellIs" dxfId="1711" priority="1544" operator="equal">
      <formula>"NA"</formula>
    </cfRule>
    <cfRule type="cellIs" dxfId="1710" priority="1545" operator="equal">
      <formula>"Yes"</formula>
    </cfRule>
  </conditionalFormatting>
  <conditionalFormatting sqref="CV10">
    <cfRule type="cellIs" dxfId="1709" priority="1540" operator="equal">
      <formula>"No"</formula>
    </cfRule>
    <cfRule type="cellIs" dxfId="1708" priority="1541" operator="equal">
      <formula>"NA"</formula>
    </cfRule>
    <cfRule type="cellIs" dxfId="1707" priority="1542" operator="equal">
      <formula>"Yes"</formula>
    </cfRule>
  </conditionalFormatting>
  <conditionalFormatting sqref="CV15">
    <cfRule type="cellIs" dxfId="1706" priority="1537" operator="equal">
      <formula>"No"</formula>
    </cfRule>
    <cfRule type="cellIs" dxfId="1705" priority="1538" operator="equal">
      <formula>"NA"</formula>
    </cfRule>
    <cfRule type="cellIs" dxfId="1704" priority="1539" operator="equal">
      <formula>"Yes"</formula>
    </cfRule>
  </conditionalFormatting>
  <conditionalFormatting sqref="CV17">
    <cfRule type="cellIs" dxfId="1703" priority="1534" operator="equal">
      <formula>"No"</formula>
    </cfRule>
    <cfRule type="cellIs" dxfId="1702" priority="1535" operator="equal">
      <formula>"NA"</formula>
    </cfRule>
    <cfRule type="cellIs" dxfId="1701" priority="1536" operator="equal">
      <formula>"Yes"</formula>
    </cfRule>
  </conditionalFormatting>
  <conditionalFormatting sqref="CV11">
    <cfRule type="cellIs" dxfId="1700" priority="1528" operator="equal">
      <formula>"No"</formula>
    </cfRule>
    <cfRule type="cellIs" dxfId="1699" priority="1529" operator="equal">
      <formula>"NA"</formula>
    </cfRule>
    <cfRule type="cellIs" dxfId="1698" priority="1530" operator="equal">
      <formula>"Yes"</formula>
    </cfRule>
  </conditionalFormatting>
  <conditionalFormatting sqref="CV9">
    <cfRule type="cellIs" dxfId="1697" priority="1525" operator="equal">
      <formula>"No"</formula>
    </cfRule>
    <cfRule type="cellIs" dxfId="1696" priority="1526" operator="equal">
      <formula>"NA"</formula>
    </cfRule>
    <cfRule type="cellIs" dxfId="1695" priority="1527" operator="equal">
      <formula>"Yes"</formula>
    </cfRule>
  </conditionalFormatting>
  <conditionalFormatting sqref="CW7">
    <cfRule type="cellIs" dxfId="1694" priority="1522" operator="equal">
      <formula>"No"</formula>
    </cfRule>
    <cfRule type="cellIs" dxfId="1693" priority="1523" operator="equal">
      <formula>"NA"</formula>
    </cfRule>
    <cfRule type="cellIs" dxfId="1692" priority="1524" operator="equal">
      <formula>"Yes"</formula>
    </cfRule>
  </conditionalFormatting>
  <conditionalFormatting sqref="CW12">
    <cfRule type="cellIs" dxfId="1691" priority="1519" operator="equal">
      <formula>"No"</formula>
    </cfRule>
    <cfRule type="cellIs" dxfId="1690" priority="1520" operator="equal">
      <formula>"NA"</formula>
    </cfRule>
    <cfRule type="cellIs" dxfId="1689" priority="1521" operator="equal">
      <formula>"Yes"</formula>
    </cfRule>
  </conditionalFormatting>
  <conditionalFormatting sqref="CW13">
    <cfRule type="cellIs" dxfId="1688" priority="1516" operator="equal">
      <formula>"No"</formula>
    </cfRule>
    <cfRule type="cellIs" dxfId="1687" priority="1517" operator="equal">
      <formula>"NA"</formula>
    </cfRule>
    <cfRule type="cellIs" dxfId="1686" priority="1518" operator="equal">
      <formula>"Yes"</formula>
    </cfRule>
  </conditionalFormatting>
  <conditionalFormatting sqref="CW16">
    <cfRule type="cellIs" dxfId="1685" priority="1513" operator="equal">
      <formula>"No"</formula>
    </cfRule>
    <cfRule type="cellIs" dxfId="1684" priority="1514" operator="equal">
      <formula>"NA"</formula>
    </cfRule>
    <cfRule type="cellIs" dxfId="1683" priority="1515" operator="equal">
      <formula>"Yes"</formula>
    </cfRule>
  </conditionalFormatting>
  <conditionalFormatting sqref="CW18">
    <cfRule type="cellIs" dxfId="1682" priority="1510" operator="equal">
      <formula>"No"</formula>
    </cfRule>
    <cfRule type="cellIs" dxfId="1681" priority="1511" operator="equal">
      <formula>"NA"</formula>
    </cfRule>
    <cfRule type="cellIs" dxfId="1680" priority="1512" operator="equal">
      <formula>"Yes"</formula>
    </cfRule>
  </conditionalFormatting>
  <conditionalFormatting sqref="CW19">
    <cfRule type="cellIs" dxfId="1679" priority="1507" operator="equal">
      <formula>"No"</formula>
    </cfRule>
    <cfRule type="cellIs" dxfId="1678" priority="1508" operator="equal">
      <formula>"NA"</formula>
    </cfRule>
    <cfRule type="cellIs" dxfId="1677" priority="1509" operator="equal">
      <formula>"Yes"</formula>
    </cfRule>
  </conditionalFormatting>
  <conditionalFormatting sqref="CW20">
    <cfRule type="cellIs" dxfId="1676" priority="1504" operator="equal">
      <formula>"No"</formula>
    </cfRule>
    <cfRule type="cellIs" dxfId="1675" priority="1505" operator="equal">
      <formula>"NA"</formula>
    </cfRule>
    <cfRule type="cellIs" dxfId="1674" priority="1506" operator="equal">
      <formula>"Yes"</formula>
    </cfRule>
  </conditionalFormatting>
  <conditionalFormatting sqref="CW21">
    <cfRule type="cellIs" dxfId="1673" priority="1501" operator="equal">
      <formula>"No"</formula>
    </cfRule>
    <cfRule type="cellIs" dxfId="1672" priority="1502" operator="equal">
      <formula>"NA"</formula>
    </cfRule>
    <cfRule type="cellIs" dxfId="1671" priority="1503" operator="equal">
      <formula>"Yes"</formula>
    </cfRule>
  </conditionalFormatting>
  <conditionalFormatting sqref="CW22">
    <cfRule type="cellIs" dxfId="1670" priority="1498" operator="equal">
      <formula>"No"</formula>
    </cfRule>
    <cfRule type="cellIs" dxfId="1669" priority="1499" operator="equal">
      <formula>"NA"</formula>
    </cfRule>
    <cfRule type="cellIs" dxfId="1668" priority="1500" operator="equal">
      <formula>"Yes"</formula>
    </cfRule>
  </conditionalFormatting>
  <conditionalFormatting sqref="CW23">
    <cfRule type="cellIs" dxfId="1667" priority="1495" operator="equal">
      <formula>"No"</formula>
    </cfRule>
    <cfRule type="cellIs" dxfId="1666" priority="1496" operator="equal">
      <formula>"NA"</formula>
    </cfRule>
    <cfRule type="cellIs" dxfId="1665" priority="1497" operator="equal">
      <formula>"Yes"</formula>
    </cfRule>
  </conditionalFormatting>
  <conditionalFormatting sqref="CW26">
    <cfRule type="cellIs" dxfId="1664" priority="1492" operator="equal">
      <formula>"No"</formula>
    </cfRule>
    <cfRule type="cellIs" dxfId="1663" priority="1493" operator="equal">
      <formula>"NA"</formula>
    </cfRule>
    <cfRule type="cellIs" dxfId="1662" priority="1494" operator="equal">
      <formula>"Yes"</formula>
    </cfRule>
  </conditionalFormatting>
  <conditionalFormatting sqref="CW33">
    <cfRule type="cellIs" dxfId="1661" priority="1489" operator="equal">
      <formula>"No"</formula>
    </cfRule>
    <cfRule type="cellIs" dxfId="1660" priority="1490" operator="equal">
      <formula>"NA"</formula>
    </cfRule>
    <cfRule type="cellIs" dxfId="1659" priority="1491" operator="equal">
      <formula>"Yes"</formula>
    </cfRule>
  </conditionalFormatting>
  <conditionalFormatting sqref="CW27">
    <cfRule type="cellIs" dxfId="1658" priority="1486" operator="equal">
      <formula>"No"</formula>
    </cfRule>
    <cfRule type="cellIs" dxfId="1657" priority="1487" operator="equal">
      <formula>"NA"</formula>
    </cfRule>
    <cfRule type="cellIs" dxfId="1656" priority="1488" operator="equal">
      <formula>"Yes"</formula>
    </cfRule>
  </conditionalFormatting>
  <conditionalFormatting sqref="CW28">
    <cfRule type="cellIs" dxfId="1655" priority="1483" operator="equal">
      <formula>"No"</formula>
    </cfRule>
    <cfRule type="cellIs" dxfId="1654" priority="1484" operator="equal">
      <formula>"NA"</formula>
    </cfRule>
    <cfRule type="cellIs" dxfId="1653" priority="1485" operator="equal">
      <formula>"Yes"</formula>
    </cfRule>
  </conditionalFormatting>
  <conditionalFormatting sqref="CW30">
    <cfRule type="cellIs" dxfId="1652" priority="1480" operator="equal">
      <formula>"No"</formula>
    </cfRule>
    <cfRule type="cellIs" dxfId="1651" priority="1481" operator="equal">
      <formula>"NA"</formula>
    </cfRule>
    <cfRule type="cellIs" dxfId="1650" priority="1482" operator="equal">
      <formula>"Yes"</formula>
    </cfRule>
  </conditionalFormatting>
  <conditionalFormatting sqref="CW31">
    <cfRule type="cellIs" dxfId="1649" priority="1477" operator="equal">
      <formula>"No"</formula>
    </cfRule>
    <cfRule type="cellIs" dxfId="1648" priority="1478" operator="equal">
      <formula>"NA"</formula>
    </cfRule>
    <cfRule type="cellIs" dxfId="1647" priority="1479" operator="equal">
      <formula>"Yes"</formula>
    </cfRule>
  </conditionalFormatting>
  <conditionalFormatting sqref="CW14">
    <cfRule type="cellIs" dxfId="1646" priority="1474" operator="equal">
      <formula>"No"</formula>
    </cfRule>
    <cfRule type="cellIs" dxfId="1645" priority="1475" operator="equal">
      <formula>"NA"</formula>
    </cfRule>
    <cfRule type="cellIs" dxfId="1644" priority="1476" operator="equal">
      <formula>"Yes"</formula>
    </cfRule>
  </conditionalFormatting>
  <conditionalFormatting sqref="CW6">
    <cfRule type="cellIs" dxfId="1643" priority="1471" operator="equal">
      <formula>"No"</formula>
    </cfRule>
    <cfRule type="cellIs" dxfId="1642" priority="1472" operator="equal">
      <formula>"NA"</formula>
    </cfRule>
    <cfRule type="cellIs" dxfId="1641" priority="1473" operator="equal">
      <formula>"Yes"</formula>
    </cfRule>
  </conditionalFormatting>
  <conditionalFormatting sqref="CW25">
    <cfRule type="cellIs" dxfId="1640" priority="1468" operator="equal">
      <formula>"No"</formula>
    </cfRule>
    <cfRule type="cellIs" dxfId="1639" priority="1469" operator="equal">
      <formula>"NA"</formula>
    </cfRule>
    <cfRule type="cellIs" dxfId="1638" priority="1470" operator="equal">
      <formula>"Yes"</formula>
    </cfRule>
  </conditionalFormatting>
  <conditionalFormatting sqref="CW10">
    <cfRule type="cellIs" dxfId="1637" priority="1465" operator="equal">
      <formula>"No"</formula>
    </cfRule>
    <cfRule type="cellIs" dxfId="1636" priority="1466" operator="equal">
      <formula>"NA"</formula>
    </cfRule>
    <cfRule type="cellIs" dxfId="1635" priority="1467" operator="equal">
      <formula>"Yes"</formula>
    </cfRule>
  </conditionalFormatting>
  <conditionalFormatting sqref="CW15">
    <cfRule type="cellIs" dxfId="1634" priority="1462" operator="equal">
      <formula>"No"</formula>
    </cfRule>
    <cfRule type="cellIs" dxfId="1633" priority="1463" operator="equal">
      <formula>"NA"</formula>
    </cfRule>
    <cfRule type="cellIs" dxfId="1632" priority="1464" operator="equal">
      <formula>"Yes"</formula>
    </cfRule>
  </conditionalFormatting>
  <conditionalFormatting sqref="CW17">
    <cfRule type="cellIs" dxfId="1631" priority="1459" operator="equal">
      <formula>"No"</formula>
    </cfRule>
    <cfRule type="cellIs" dxfId="1630" priority="1460" operator="equal">
      <formula>"NA"</formula>
    </cfRule>
    <cfRule type="cellIs" dxfId="1629" priority="1461" operator="equal">
      <formula>"Yes"</formula>
    </cfRule>
  </conditionalFormatting>
  <conditionalFormatting sqref="CW11">
    <cfRule type="cellIs" dxfId="1628" priority="1456" operator="equal">
      <formula>"No"</formula>
    </cfRule>
    <cfRule type="cellIs" dxfId="1627" priority="1457" operator="equal">
      <formula>"NA"</formula>
    </cfRule>
    <cfRule type="cellIs" dxfId="1626" priority="1458" operator="equal">
      <formula>"Yes"</formula>
    </cfRule>
  </conditionalFormatting>
  <conditionalFormatting sqref="CW9">
    <cfRule type="cellIs" dxfId="1625" priority="1453" operator="equal">
      <formula>"No"</formula>
    </cfRule>
    <cfRule type="cellIs" dxfId="1624" priority="1454" operator="equal">
      <formula>"NA"</formula>
    </cfRule>
    <cfRule type="cellIs" dxfId="1623" priority="1455" operator="equal">
      <formula>"Yes"</formula>
    </cfRule>
  </conditionalFormatting>
  <conditionalFormatting sqref="CX7">
    <cfRule type="cellIs" dxfId="1622" priority="1450" operator="equal">
      <formula>"No"</formula>
    </cfRule>
    <cfRule type="cellIs" dxfId="1621" priority="1451" operator="equal">
      <formula>"NA"</formula>
    </cfRule>
    <cfRule type="cellIs" dxfId="1620" priority="1452" operator="equal">
      <formula>"Yes"</formula>
    </cfRule>
  </conditionalFormatting>
  <conditionalFormatting sqref="CX12">
    <cfRule type="cellIs" dxfId="1619" priority="1447" operator="equal">
      <formula>"No"</formula>
    </cfRule>
    <cfRule type="cellIs" dxfId="1618" priority="1448" operator="equal">
      <formula>"NA"</formula>
    </cfRule>
    <cfRule type="cellIs" dxfId="1617" priority="1449" operator="equal">
      <formula>"Yes"</formula>
    </cfRule>
  </conditionalFormatting>
  <conditionalFormatting sqref="CX13">
    <cfRule type="cellIs" dxfId="1616" priority="1444" operator="equal">
      <formula>"No"</formula>
    </cfRule>
    <cfRule type="cellIs" dxfId="1615" priority="1445" operator="equal">
      <formula>"NA"</formula>
    </cfRule>
    <cfRule type="cellIs" dxfId="1614" priority="1446" operator="equal">
      <formula>"Yes"</formula>
    </cfRule>
  </conditionalFormatting>
  <conditionalFormatting sqref="CX16">
    <cfRule type="cellIs" dxfId="1613" priority="1441" operator="equal">
      <formula>"No"</formula>
    </cfRule>
    <cfRule type="cellIs" dxfId="1612" priority="1442" operator="equal">
      <formula>"NA"</formula>
    </cfRule>
    <cfRule type="cellIs" dxfId="1611" priority="1443" operator="equal">
      <formula>"Yes"</formula>
    </cfRule>
  </conditionalFormatting>
  <conditionalFormatting sqref="CX18">
    <cfRule type="cellIs" dxfId="1610" priority="1438" operator="equal">
      <formula>"No"</formula>
    </cfRule>
    <cfRule type="cellIs" dxfId="1609" priority="1439" operator="equal">
      <formula>"NA"</formula>
    </cfRule>
    <cfRule type="cellIs" dxfId="1608" priority="1440" operator="equal">
      <formula>"Yes"</formula>
    </cfRule>
  </conditionalFormatting>
  <conditionalFormatting sqref="CX19">
    <cfRule type="cellIs" dxfId="1607" priority="1435" operator="equal">
      <formula>"No"</formula>
    </cfRule>
    <cfRule type="cellIs" dxfId="1606" priority="1436" operator="equal">
      <formula>"NA"</formula>
    </cfRule>
    <cfRule type="cellIs" dxfId="1605" priority="1437" operator="equal">
      <formula>"Yes"</formula>
    </cfRule>
  </conditionalFormatting>
  <conditionalFormatting sqref="CX20">
    <cfRule type="cellIs" dxfId="1604" priority="1432" operator="equal">
      <formula>"No"</formula>
    </cfRule>
    <cfRule type="cellIs" dxfId="1603" priority="1433" operator="equal">
      <formula>"NA"</formula>
    </cfRule>
    <cfRule type="cellIs" dxfId="1602" priority="1434" operator="equal">
      <formula>"Yes"</formula>
    </cfRule>
  </conditionalFormatting>
  <conditionalFormatting sqref="CX21">
    <cfRule type="cellIs" dxfId="1601" priority="1429" operator="equal">
      <formula>"No"</formula>
    </cfRule>
    <cfRule type="cellIs" dxfId="1600" priority="1430" operator="equal">
      <formula>"NA"</formula>
    </cfRule>
    <cfRule type="cellIs" dxfId="1599" priority="1431" operator="equal">
      <formula>"Yes"</formula>
    </cfRule>
  </conditionalFormatting>
  <conditionalFormatting sqref="CX22">
    <cfRule type="cellIs" dxfId="1598" priority="1426" operator="equal">
      <formula>"No"</formula>
    </cfRule>
    <cfRule type="cellIs" dxfId="1597" priority="1427" operator="equal">
      <formula>"NA"</formula>
    </cfRule>
    <cfRule type="cellIs" dxfId="1596" priority="1428" operator="equal">
      <formula>"Yes"</formula>
    </cfRule>
  </conditionalFormatting>
  <conditionalFormatting sqref="CX23">
    <cfRule type="cellIs" dxfId="1595" priority="1423" operator="equal">
      <formula>"No"</formula>
    </cfRule>
    <cfRule type="cellIs" dxfId="1594" priority="1424" operator="equal">
      <formula>"NA"</formula>
    </cfRule>
    <cfRule type="cellIs" dxfId="1593" priority="1425" operator="equal">
      <formula>"Yes"</formula>
    </cfRule>
  </conditionalFormatting>
  <conditionalFormatting sqref="CX26">
    <cfRule type="cellIs" dxfId="1592" priority="1420" operator="equal">
      <formula>"No"</formula>
    </cfRule>
    <cfRule type="cellIs" dxfId="1591" priority="1421" operator="equal">
      <formula>"NA"</formula>
    </cfRule>
    <cfRule type="cellIs" dxfId="1590" priority="1422" operator="equal">
      <formula>"Yes"</formula>
    </cfRule>
  </conditionalFormatting>
  <conditionalFormatting sqref="CX33">
    <cfRule type="cellIs" dxfId="1589" priority="1417" operator="equal">
      <formula>"No"</formula>
    </cfRule>
    <cfRule type="cellIs" dxfId="1588" priority="1418" operator="equal">
      <formula>"NA"</formula>
    </cfRule>
    <cfRule type="cellIs" dxfId="1587" priority="1419" operator="equal">
      <formula>"Yes"</formula>
    </cfRule>
  </conditionalFormatting>
  <conditionalFormatting sqref="CX27">
    <cfRule type="cellIs" dxfId="1586" priority="1414" operator="equal">
      <formula>"No"</formula>
    </cfRule>
    <cfRule type="cellIs" dxfId="1585" priority="1415" operator="equal">
      <formula>"NA"</formula>
    </cfRule>
    <cfRule type="cellIs" dxfId="1584" priority="1416" operator="equal">
      <formula>"Yes"</formula>
    </cfRule>
  </conditionalFormatting>
  <conditionalFormatting sqref="CX28">
    <cfRule type="cellIs" dxfId="1583" priority="1411" operator="equal">
      <formula>"No"</formula>
    </cfRule>
    <cfRule type="cellIs" dxfId="1582" priority="1412" operator="equal">
      <formula>"NA"</formula>
    </cfRule>
    <cfRule type="cellIs" dxfId="1581" priority="1413" operator="equal">
      <formula>"Yes"</formula>
    </cfRule>
  </conditionalFormatting>
  <conditionalFormatting sqref="CX30">
    <cfRule type="cellIs" dxfId="1580" priority="1408" operator="equal">
      <formula>"No"</formula>
    </cfRule>
    <cfRule type="cellIs" dxfId="1579" priority="1409" operator="equal">
      <formula>"NA"</formula>
    </cfRule>
    <cfRule type="cellIs" dxfId="1578" priority="1410" operator="equal">
      <formula>"Yes"</formula>
    </cfRule>
  </conditionalFormatting>
  <conditionalFormatting sqref="CX31">
    <cfRule type="cellIs" dxfId="1577" priority="1405" operator="equal">
      <formula>"No"</formula>
    </cfRule>
    <cfRule type="cellIs" dxfId="1576" priority="1406" operator="equal">
      <formula>"NA"</formula>
    </cfRule>
    <cfRule type="cellIs" dxfId="1575" priority="1407" operator="equal">
      <formula>"Yes"</formula>
    </cfRule>
  </conditionalFormatting>
  <conditionalFormatting sqref="CX6">
    <cfRule type="cellIs" dxfId="1574" priority="1402" operator="equal">
      <formula>"No"</formula>
    </cfRule>
    <cfRule type="cellIs" dxfId="1573" priority="1403" operator="equal">
      <formula>"NA"</formula>
    </cfRule>
    <cfRule type="cellIs" dxfId="1572" priority="1404" operator="equal">
      <formula>"Yes"</formula>
    </cfRule>
  </conditionalFormatting>
  <conditionalFormatting sqref="CX25">
    <cfRule type="cellIs" dxfId="1571" priority="1399" operator="equal">
      <formula>"No"</formula>
    </cfRule>
    <cfRule type="cellIs" dxfId="1570" priority="1400" operator="equal">
      <formula>"NA"</formula>
    </cfRule>
    <cfRule type="cellIs" dxfId="1569" priority="1401" operator="equal">
      <formula>"Yes"</formula>
    </cfRule>
  </conditionalFormatting>
  <conditionalFormatting sqref="CX15">
    <cfRule type="cellIs" dxfId="1568" priority="1396" operator="equal">
      <formula>"No"</formula>
    </cfRule>
    <cfRule type="cellIs" dxfId="1567" priority="1397" operator="equal">
      <formula>"NA"</formula>
    </cfRule>
    <cfRule type="cellIs" dxfId="1566" priority="1398" operator="equal">
      <formula>"Yes"</formula>
    </cfRule>
  </conditionalFormatting>
  <conditionalFormatting sqref="CX17">
    <cfRule type="cellIs" dxfId="1565" priority="1393" operator="equal">
      <formula>"No"</formula>
    </cfRule>
    <cfRule type="cellIs" dxfId="1564" priority="1394" operator="equal">
      <formula>"NA"</formula>
    </cfRule>
    <cfRule type="cellIs" dxfId="1563" priority="1395" operator="equal">
      <formula>"Yes"</formula>
    </cfRule>
  </conditionalFormatting>
  <conditionalFormatting sqref="CX14">
    <cfRule type="cellIs" dxfId="1562" priority="1390" operator="equal">
      <formula>"No"</formula>
    </cfRule>
    <cfRule type="cellIs" dxfId="1561" priority="1391" operator="equal">
      <formula>"NA"</formula>
    </cfRule>
    <cfRule type="cellIs" dxfId="1560" priority="1392" operator="equal">
      <formula>"Yes"</formula>
    </cfRule>
  </conditionalFormatting>
  <conditionalFormatting sqref="CX11">
    <cfRule type="cellIs" dxfId="1559" priority="1387" operator="equal">
      <formula>"No"</formula>
    </cfRule>
    <cfRule type="cellIs" dxfId="1558" priority="1388" operator="equal">
      <formula>"NA"</formula>
    </cfRule>
    <cfRule type="cellIs" dxfId="1557" priority="1389" operator="equal">
      <formula>"Yes"</formula>
    </cfRule>
  </conditionalFormatting>
  <conditionalFormatting sqref="CX9">
    <cfRule type="cellIs" dxfId="1556" priority="1384" operator="equal">
      <formula>"No"</formula>
    </cfRule>
    <cfRule type="cellIs" dxfId="1555" priority="1385" operator="equal">
      <formula>"NA"</formula>
    </cfRule>
    <cfRule type="cellIs" dxfId="1554" priority="1386" operator="equal">
      <formula>"Yes"</formula>
    </cfRule>
  </conditionalFormatting>
  <conditionalFormatting sqref="CX10">
    <cfRule type="cellIs" dxfId="1553" priority="1381" operator="equal">
      <formula>"No"</formula>
    </cfRule>
    <cfRule type="cellIs" dxfId="1552" priority="1382" operator="equal">
      <formula>"NA"</formula>
    </cfRule>
    <cfRule type="cellIs" dxfId="1551" priority="1383" operator="equal">
      <formula>"Yes"</formula>
    </cfRule>
  </conditionalFormatting>
  <conditionalFormatting sqref="CY7">
    <cfRule type="cellIs" dxfId="1550" priority="1378" operator="equal">
      <formula>"No"</formula>
    </cfRule>
    <cfRule type="cellIs" dxfId="1549" priority="1379" operator="equal">
      <formula>"NA"</formula>
    </cfRule>
    <cfRule type="cellIs" dxfId="1548" priority="1380" operator="equal">
      <formula>"Yes"</formula>
    </cfRule>
  </conditionalFormatting>
  <conditionalFormatting sqref="CY12">
    <cfRule type="cellIs" dxfId="1547" priority="1375" operator="equal">
      <formula>"No"</formula>
    </cfRule>
    <cfRule type="cellIs" dxfId="1546" priority="1376" operator="equal">
      <formula>"NA"</formula>
    </cfRule>
    <cfRule type="cellIs" dxfId="1545" priority="1377" operator="equal">
      <formula>"Yes"</formula>
    </cfRule>
  </conditionalFormatting>
  <conditionalFormatting sqref="CY13">
    <cfRule type="cellIs" dxfId="1544" priority="1372" operator="equal">
      <formula>"No"</formula>
    </cfRule>
    <cfRule type="cellIs" dxfId="1543" priority="1373" operator="equal">
      <formula>"NA"</formula>
    </cfRule>
    <cfRule type="cellIs" dxfId="1542" priority="1374" operator="equal">
      <formula>"Yes"</formula>
    </cfRule>
  </conditionalFormatting>
  <conditionalFormatting sqref="CY16">
    <cfRule type="cellIs" dxfId="1541" priority="1369" operator="equal">
      <formula>"No"</formula>
    </cfRule>
    <cfRule type="cellIs" dxfId="1540" priority="1370" operator="equal">
      <formula>"NA"</formula>
    </cfRule>
    <cfRule type="cellIs" dxfId="1539" priority="1371" operator="equal">
      <formula>"Yes"</formula>
    </cfRule>
  </conditionalFormatting>
  <conditionalFormatting sqref="CY18">
    <cfRule type="cellIs" dxfId="1538" priority="1366" operator="equal">
      <formula>"No"</formula>
    </cfRule>
    <cfRule type="cellIs" dxfId="1537" priority="1367" operator="equal">
      <formula>"NA"</formula>
    </cfRule>
    <cfRule type="cellIs" dxfId="1536" priority="1368" operator="equal">
      <formula>"Yes"</formula>
    </cfRule>
  </conditionalFormatting>
  <conditionalFormatting sqref="CY19">
    <cfRule type="cellIs" dxfId="1535" priority="1363" operator="equal">
      <formula>"No"</formula>
    </cfRule>
    <cfRule type="cellIs" dxfId="1534" priority="1364" operator="equal">
      <formula>"NA"</formula>
    </cfRule>
    <cfRule type="cellIs" dxfId="1533" priority="1365" operator="equal">
      <formula>"Yes"</formula>
    </cfRule>
  </conditionalFormatting>
  <conditionalFormatting sqref="CY20">
    <cfRule type="cellIs" dxfId="1532" priority="1360" operator="equal">
      <formula>"No"</formula>
    </cfRule>
    <cfRule type="cellIs" dxfId="1531" priority="1361" operator="equal">
      <formula>"NA"</formula>
    </cfRule>
    <cfRule type="cellIs" dxfId="1530" priority="1362" operator="equal">
      <formula>"Yes"</formula>
    </cfRule>
  </conditionalFormatting>
  <conditionalFormatting sqref="CY21">
    <cfRule type="cellIs" dxfId="1529" priority="1357" operator="equal">
      <formula>"No"</formula>
    </cfRule>
    <cfRule type="cellIs" dxfId="1528" priority="1358" operator="equal">
      <formula>"NA"</formula>
    </cfRule>
    <cfRule type="cellIs" dxfId="1527" priority="1359" operator="equal">
      <formula>"Yes"</formula>
    </cfRule>
  </conditionalFormatting>
  <conditionalFormatting sqref="CY22">
    <cfRule type="cellIs" dxfId="1526" priority="1354" operator="equal">
      <formula>"No"</formula>
    </cfRule>
    <cfRule type="cellIs" dxfId="1525" priority="1355" operator="equal">
      <formula>"NA"</formula>
    </cfRule>
    <cfRule type="cellIs" dxfId="1524" priority="1356" operator="equal">
      <formula>"Yes"</formula>
    </cfRule>
  </conditionalFormatting>
  <conditionalFormatting sqref="CY23">
    <cfRule type="cellIs" dxfId="1523" priority="1351" operator="equal">
      <formula>"No"</formula>
    </cfRule>
    <cfRule type="cellIs" dxfId="1522" priority="1352" operator="equal">
      <formula>"NA"</formula>
    </cfRule>
    <cfRule type="cellIs" dxfId="1521" priority="1353" operator="equal">
      <formula>"Yes"</formula>
    </cfRule>
  </conditionalFormatting>
  <conditionalFormatting sqref="CY26">
    <cfRule type="cellIs" dxfId="1520" priority="1348" operator="equal">
      <formula>"No"</formula>
    </cfRule>
    <cfRule type="cellIs" dxfId="1519" priority="1349" operator="equal">
      <formula>"NA"</formula>
    </cfRule>
    <cfRule type="cellIs" dxfId="1518" priority="1350" operator="equal">
      <formula>"Yes"</formula>
    </cfRule>
  </conditionalFormatting>
  <conditionalFormatting sqref="CY33">
    <cfRule type="cellIs" dxfId="1517" priority="1345" operator="equal">
      <formula>"No"</formula>
    </cfRule>
    <cfRule type="cellIs" dxfId="1516" priority="1346" operator="equal">
      <formula>"NA"</formula>
    </cfRule>
    <cfRule type="cellIs" dxfId="1515" priority="1347" operator="equal">
      <formula>"Yes"</formula>
    </cfRule>
  </conditionalFormatting>
  <conditionalFormatting sqref="CY27">
    <cfRule type="cellIs" dxfId="1514" priority="1342" operator="equal">
      <formula>"No"</formula>
    </cfRule>
    <cfRule type="cellIs" dxfId="1513" priority="1343" operator="equal">
      <formula>"NA"</formula>
    </cfRule>
    <cfRule type="cellIs" dxfId="1512" priority="1344" operator="equal">
      <formula>"Yes"</formula>
    </cfRule>
  </conditionalFormatting>
  <conditionalFormatting sqref="CY28">
    <cfRule type="cellIs" dxfId="1511" priority="1339" operator="equal">
      <formula>"No"</formula>
    </cfRule>
    <cfRule type="cellIs" dxfId="1510" priority="1340" operator="equal">
      <formula>"NA"</formula>
    </cfRule>
    <cfRule type="cellIs" dxfId="1509" priority="1341" operator="equal">
      <formula>"Yes"</formula>
    </cfRule>
  </conditionalFormatting>
  <conditionalFormatting sqref="CY30">
    <cfRule type="cellIs" dxfId="1508" priority="1336" operator="equal">
      <formula>"No"</formula>
    </cfRule>
    <cfRule type="cellIs" dxfId="1507" priority="1337" operator="equal">
      <formula>"NA"</formula>
    </cfRule>
    <cfRule type="cellIs" dxfId="1506" priority="1338" operator="equal">
      <formula>"Yes"</formula>
    </cfRule>
  </conditionalFormatting>
  <conditionalFormatting sqref="CY31">
    <cfRule type="cellIs" dxfId="1505" priority="1333" operator="equal">
      <formula>"No"</formula>
    </cfRule>
    <cfRule type="cellIs" dxfId="1504" priority="1334" operator="equal">
      <formula>"NA"</formula>
    </cfRule>
    <cfRule type="cellIs" dxfId="1503" priority="1335" operator="equal">
      <formula>"Yes"</formula>
    </cfRule>
  </conditionalFormatting>
  <conditionalFormatting sqref="CY6">
    <cfRule type="cellIs" dxfId="1502" priority="1330" operator="equal">
      <formula>"No"</formula>
    </cfRule>
    <cfRule type="cellIs" dxfId="1501" priority="1331" operator="equal">
      <formula>"NA"</formula>
    </cfRule>
    <cfRule type="cellIs" dxfId="1500" priority="1332" operator="equal">
      <formula>"Yes"</formula>
    </cfRule>
  </conditionalFormatting>
  <conditionalFormatting sqref="CY25">
    <cfRule type="cellIs" dxfId="1499" priority="1327" operator="equal">
      <formula>"No"</formula>
    </cfRule>
    <cfRule type="cellIs" dxfId="1498" priority="1328" operator="equal">
      <formula>"NA"</formula>
    </cfRule>
    <cfRule type="cellIs" dxfId="1497" priority="1329" operator="equal">
      <formula>"Yes"</formula>
    </cfRule>
  </conditionalFormatting>
  <conditionalFormatting sqref="CY15">
    <cfRule type="cellIs" dxfId="1496" priority="1324" operator="equal">
      <formula>"No"</formula>
    </cfRule>
    <cfRule type="cellIs" dxfId="1495" priority="1325" operator="equal">
      <formula>"NA"</formula>
    </cfRule>
    <cfRule type="cellIs" dxfId="1494" priority="1326" operator="equal">
      <formula>"Yes"</formula>
    </cfRule>
  </conditionalFormatting>
  <conditionalFormatting sqref="CY17">
    <cfRule type="cellIs" dxfId="1493" priority="1321" operator="equal">
      <formula>"No"</formula>
    </cfRule>
    <cfRule type="cellIs" dxfId="1492" priority="1322" operator="equal">
      <formula>"NA"</formula>
    </cfRule>
    <cfRule type="cellIs" dxfId="1491" priority="1323" operator="equal">
      <formula>"Yes"</formula>
    </cfRule>
  </conditionalFormatting>
  <conditionalFormatting sqref="CY14">
    <cfRule type="cellIs" dxfId="1490" priority="1318" operator="equal">
      <formula>"No"</formula>
    </cfRule>
    <cfRule type="cellIs" dxfId="1489" priority="1319" operator="equal">
      <formula>"NA"</formula>
    </cfRule>
    <cfRule type="cellIs" dxfId="1488" priority="1320" operator="equal">
      <formula>"Yes"</formula>
    </cfRule>
  </conditionalFormatting>
  <conditionalFormatting sqref="CY11">
    <cfRule type="cellIs" dxfId="1487" priority="1315" operator="equal">
      <formula>"No"</formula>
    </cfRule>
    <cfRule type="cellIs" dxfId="1486" priority="1316" operator="equal">
      <formula>"NA"</formula>
    </cfRule>
    <cfRule type="cellIs" dxfId="1485" priority="1317" operator="equal">
      <formula>"Yes"</formula>
    </cfRule>
  </conditionalFormatting>
  <conditionalFormatting sqref="CY9">
    <cfRule type="cellIs" dxfId="1484" priority="1312" operator="equal">
      <formula>"No"</formula>
    </cfRule>
    <cfRule type="cellIs" dxfId="1483" priority="1313" operator="equal">
      <formula>"NA"</formula>
    </cfRule>
    <cfRule type="cellIs" dxfId="1482" priority="1314" operator="equal">
      <formula>"Yes"</formula>
    </cfRule>
  </conditionalFormatting>
  <conditionalFormatting sqref="CY10">
    <cfRule type="cellIs" dxfId="1481" priority="1309" operator="equal">
      <formula>"No"</formula>
    </cfRule>
    <cfRule type="cellIs" dxfId="1480" priority="1310" operator="equal">
      <formula>"NA"</formula>
    </cfRule>
    <cfRule type="cellIs" dxfId="1479" priority="1311" operator="equal">
      <formula>"Yes"</formula>
    </cfRule>
  </conditionalFormatting>
  <conditionalFormatting sqref="CZ7">
    <cfRule type="cellIs" dxfId="1478" priority="1306" operator="equal">
      <formula>"No"</formula>
    </cfRule>
    <cfRule type="cellIs" dxfId="1477" priority="1307" operator="equal">
      <formula>"NA"</formula>
    </cfRule>
    <cfRule type="cellIs" dxfId="1476" priority="1308" operator="equal">
      <formula>"Yes"</formula>
    </cfRule>
  </conditionalFormatting>
  <conditionalFormatting sqref="CZ11">
    <cfRule type="cellIs" dxfId="1475" priority="1303" operator="equal">
      <formula>"No"</formula>
    </cfRule>
    <cfRule type="cellIs" dxfId="1474" priority="1304" operator="equal">
      <formula>"NA"</formula>
    </cfRule>
    <cfRule type="cellIs" dxfId="1473" priority="1305" operator="equal">
      <formula>"Yes"</formula>
    </cfRule>
  </conditionalFormatting>
  <conditionalFormatting sqref="CZ12">
    <cfRule type="cellIs" dxfId="1472" priority="1300" operator="equal">
      <formula>"No"</formula>
    </cfRule>
    <cfRule type="cellIs" dxfId="1471" priority="1301" operator="equal">
      <formula>"NA"</formula>
    </cfRule>
    <cfRule type="cellIs" dxfId="1470" priority="1302" operator="equal">
      <formula>"Yes"</formula>
    </cfRule>
  </conditionalFormatting>
  <conditionalFormatting sqref="CZ13">
    <cfRule type="cellIs" dxfId="1469" priority="1297" operator="equal">
      <formula>"No"</formula>
    </cfRule>
    <cfRule type="cellIs" dxfId="1468" priority="1298" operator="equal">
      <formula>"NA"</formula>
    </cfRule>
    <cfRule type="cellIs" dxfId="1467" priority="1299" operator="equal">
      <formula>"Yes"</formula>
    </cfRule>
  </conditionalFormatting>
  <conditionalFormatting sqref="CZ16">
    <cfRule type="cellIs" dxfId="1466" priority="1294" operator="equal">
      <formula>"No"</formula>
    </cfRule>
    <cfRule type="cellIs" dxfId="1465" priority="1295" operator="equal">
      <formula>"NA"</formula>
    </cfRule>
    <cfRule type="cellIs" dxfId="1464" priority="1296" operator="equal">
      <formula>"Yes"</formula>
    </cfRule>
  </conditionalFormatting>
  <conditionalFormatting sqref="CZ18">
    <cfRule type="cellIs" dxfId="1463" priority="1291" operator="equal">
      <formula>"No"</formula>
    </cfRule>
    <cfRule type="cellIs" dxfId="1462" priority="1292" operator="equal">
      <formula>"NA"</formula>
    </cfRule>
    <cfRule type="cellIs" dxfId="1461" priority="1293" operator="equal">
      <formula>"Yes"</formula>
    </cfRule>
  </conditionalFormatting>
  <conditionalFormatting sqref="CZ19">
    <cfRule type="cellIs" dxfId="1460" priority="1288" operator="equal">
      <formula>"No"</formula>
    </cfRule>
    <cfRule type="cellIs" dxfId="1459" priority="1289" operator="equal">
      <formula>"NA"</formula>
    </cfRule>
    <cfRule type="cellIs" dxfId="1458" priority="1290" operator="equal">
      <formula>"Yes"</formula>
    </cfRule>
  </conditionalFormatting>
  <conditionalFormatting sqref="CZ20">
    <cfRule type="cellIs" dxfId="1457" priority="1285" operator="equal">
      <formula>"No"</formula>
    </cfRule>
    <cfRule type="cellIs" dxfId="1456" priority="1286" operator="equal">
      <formula>"NA"</formula>
    </cfRule>
    <cfRule type="cellIs" dxfId="1455" priority="1287" operator="equal">
      <formula>"Yes"</formula>
    </cfRule>
  </conditionalFormatting>
  <conditionalFormatting sqref="CZ21">
    <cfRule type="cellIs" dxfId="1454" priority="1282" operator="equal">
      <formula>"No"</formula>
    </cfRule>
    <cfRule type="cellIs" dxfId="1453" priority="1283" operator="equal">
      <formula>"NA"</formula>
    </cfRule>
    <cfRule type="cellIs" dxfId="1452" priority="1284" operator="equal">
      <formula>"Yes"</formula>
    </cfRule>
  </conditionalFormatting>
  <conditionalFormatting sqref="CZ22">
    <cfRule type="cellIs" dxfId="1451" priority="1279" operator="equal">
      <formula>"No"</formula>
    </cfRule>
    <cfRule type="cellIs" dxfId="1450" priority="1280" operator="equal">
      <formula>"NA"</formula>
    </cfRule>
    <cfRule type="cellIs" dxfId="1449" priority="1281" operator="equal">
      <formula>"Yes"</formula>
    </cfRule>
  </conditionalFormatting>
  <conditionalFormatting sqref="CZ23">
    <cfRule type="cellIs" dxfId="1448" priority="1276" operator="equal">
      <formula>"No"</formula>
    </cfRule>
    <cfRule type="cellIs" dxfId="1447" priority="1277" operator="equal">
      <formula>"NA"</formula>
    </cfRule>
    <cfRule type="cellIs" dxfId="1446" priority="1278" operator="equal">
      <formula>"Yes"</formula>
    </cfRule>
  </conditionalFormatting>
  <conditionalFormatting sqref="CZ26">
    <cfRule type="cellIs" dxfId="1445" priority="1273" operator="equal">
      <formula>"No"</formula>
    </cfRule>
    <cfRule type="cellIs" dxfId="1444" priority="1274" operator="equal">
      <formula>"NA"</formula>
    </cfRule>
    <cfRule type="cellIs" dxfId="1443" priority="1275" operator="equal">
      <formula>"Yes"</formula>
    </cfRule>
  </conditionalFormatting>
  <conditionalFormatting sqref="CZ33">
    <cfRule type="cellIs" dxfId="1442" priority="1270" operator="equal">
      <formula>"No"</formula>
    </cfRule>
    <cfRule type="cellIs" dxfId="1441" priority="1271" operator="equal">
      <formula>"NA"</formula>
    </cfRule>
    <cfRule type="cellIs" dxfId="1440" priority="1272" operator="equal">
      <formula>"Yes"</formula>
    </cfRule>
  </conditionalFormatting>
  <conditionalFormatting sqref="CZ27">
    <cfRule type="cellIs" dxfId="1439" priority="1267" operator="equal">
      <formula>"No"</formula>
    </cfRule>
    <cfRule type="cellIs" dxfId="1438" priority="1268" operator="equal">
      <formula>"NA"</formula>
    </cfRule>
    <cfRule type="cellIs" dxfId="1437" priority="1269" operator="equal">
      <formula>"Yes"</formula>
    </cfRule>
  </conditionalFormatting>
  <conditionalFormatting sqref="CZ28">
    <cfRule type="cellIs" dxfId="1436" priority="1264" operator="equal">
      <formula>"No"</formula>
    </cfRule>
    <cfRule type="cellIs" dxfId="1435" priority="1265" operator="equal">
      <formula>"NA"</formula>
    </cfRule>
    <cfRule type="cellIs" dxfId="1434" priority="1266" operator="equal">
      <formula>"Yes"</formula>
    </cfRule>
  </conditionalFormatting>
  <conditionalFormatting sqref="CZ30">
    <cfRule type="cellIs" dxfId="1433" priority="1261" operator="equal">
      <formula>"No"</formula>
    </cfRule>
    <cfRule type="cellIs" dxfId="1432" priority="1262" operator="equal">
      <formula>"NA"</formula>
    </cfRule>
    <cfRule type="cellIs" dxfId="1431" priority="1263" operator="equal">
      <formula>"Yes"</formula>
    </cfRule>
  </conditionalFormatting>
  <conditionalFormatting sqref="CZ31">
    <cfRule type="cellIs" dxfId="1430" priority="1258" operator="equal">
      <formula>"No"</formula>
    </cfRule>
    <cfRule type="cellIs" dxfId="1429" priority="1259" operator="equal">
      <formula>"NA"</formula>
    </cfRule>
    <cfRule type="cellIs" dxfId="1428" priority="1260" operator="equal">
      <formula>"Yes"</formula>
    </cfRule>
  </conditionalFormatting>
  <conditionalFormatting sqref="CZ6">
    <cfRule type="cellIs" dxfId="1427" priority="1255" operator="equal">
      <formula>"No"</formula>
    </cfRule>
    <cfRule type="cellIs" dxfId="1426" priority="1256" operator="equal">
      <formula>"NA"</formula>
    </cfRule>
    <cfRule type="cellIs" dxfId="1425" priority="1257" operator="equal">
      <formula>"Yes"</formula>
    </cfRule>
  </conditionalFormatting>
  <conditionalFormatting sqref="CZ25">
    <cfRule type="cellIs" dxfId="1424" priority="1252" operator="equal">
      <formula>"No"</formula>
    </cfRule>
    <cfRule type="cellIs" dxfId="1423" priority="1253" operator="equal">
      <formula>"NA"</formula>
    </cfRule>
    <cfRule type="cellIs" dxfId="1422" priority="1254" operator="equal">
      <formula>"Yes"</formula>
    </cfRule>
  </conditionalFormatting>
  <conditionalFormatting sqref="CZ10">
    <cfRule type="cellIs" dxfId="1421" priority="1249" operator="equal">
      <formula>"No"</formula>
    </cfRule>
    <cfRule type="cellIs" dxfId="1420" priority="1250" operator="equal">
      <formula>"NA"</formula>
    </cfRule>
    <cfRule type="cellIs" dxfId="1419" priority="1251" operator="equal">
      <formula>"Yes"</formula>
    </cfRule>
  </conditionalFormatting>
  <conditionalFormatting sqref="CZ15">
    <cfRule type="cellIs" dxfId="1418" priority="1246" operator="equal">
      <formula>"No"</formula>
    </cfRule>
    <cfRule type="cellIs" dxfId="1417" priority="1247" operator="equal">
      <formula>"NA"</formula>
    </cfRule>
    <cfRule type="cellIs" dxfId="1416" priority="1248" operator="equal">
      <formula>"Yes"</formula>
    </cfRule>
  </conditionalFormatting>
  <conditionalFormatting sqref="CZ9">
    <cfRule type="cellIs" dxfId="1415" priority="1243" operator="equal">
      <formula>"No"</formula>
    </cfRule>
    <cfRule type="cellIs" dxfId="1414" priority="1244" operator="equal">
      <formula>"NA"</formula>
    </cfRule>
    <cfRule type="cellIs" dxfId="1413" priority="1245" operator="equal">
      <formula>"Yes"</formula>
    </cfRule>
  </conditionalFormatting>
  <conditionalFormatting sqref="CZ17">
    <cfRule type="cellIs" dxfId="1412" priority="1240" operator="equal">
      <formula>"No"</formula>
    </cfRule>
    <cfRule type="cellIs" dxfId="1411" priority="1241" operator="equal">
      <formula>"NA"</formula>
    </cfRule>
    <cfRule type="cellIs" dxfId="1410" priority="1242" operator="equal">
      <formula>"Yes"</formula>
    </cfRule>
  </conditionalFormatting>
  <conditionalFormatting sqref="CZ14">
    <cfRule type="cellIs" dxfId="1409" priority="1237" operator="equal">
      <formula>"No"</formula>
    </cfRule>
    <cfRule type="cellIs" dxfId="1408" priority="1238" operator="equal">
      <formula>"NA"</formula>
    </cfRule>
    <cfRule type="cellIs" dxfId="1407" priority="1239" operator="equal">
      <formula>"Yes"</formula>
    </cfRule>
  </conditionalFormatting>
  <conditionalFormatting sqref="DA7">
    <cfRule type="cellIs" dxfId="1406" priority="1234" operator="equal">
      <formula>"No"</formula>
    </cfRule>
    <cfRule type="cellIs" dxfId="1405" priority="1235" operator="equal">
      <formula>"NA"</formula>
    </cfRule>
    <cfRule type="cellIs" dxfId="1404" priority="1236" operator="equal">
      <formula>"Yes"</formula>
    </cfRule>
  </conditionalFormatting>
  <conditionalFormatting sqref="DA12">
    <cfRule type="cellIs" dxfId="1403" priority="1231" operator="equal">
      <formula>"No"</formula>
    </cfRule>
    <cfRule type="cellIs" dxfId="1402" priority="1232" operator="equal">
      <formula>"NA"</formula>
    </cfRule>
    <cfRule type="cellIs" dxfId="1401" priority="1233" operator="equal">
      <formula>"Yes"</formula>
    </cfRule>
  </conditionalFormatting>
  <conditionalFormatting sqref="DA13">
    <cfRule type="cellIs" dxfId="1400" priority="1228" operator="equal">
      <formula>"No"</formula>
    </cfRule>
    <cfRule type="cellIs" dxfId="1399" priority="1229" operator="equal">
      <formula>"NA"</formula>
    </cfRule>
    <cfRule type="cellIs" dxfId="1398" priority="1230" operator="equal">
      <formula>"Yes"</formula>
    </cfRule>
  </conditionalFormatting>
  <conditionalFormatting sqref="DA16">
    <cfRule type="cellIs" dxfId="1397" priority="1225" operator="equal">
      <formula>"No"</formula>
    </cfRule>
    <cfRule type="cellIs" dxfId="1396" priority="1226" operator="equal">
      <formula>"NA"</formula>
    </cfRule>
    <cfRule type="cellIs" dxfId="1395" priority="1227" operator="equal">
      <formula>"Yes"</formula>
    </cfRule>
  </conditionalFormatting>
  <conditionalFormatting sqref="DA18">
    <cfRule type="cellIs" dxfId="1394" priority="1222" operator="equal">
      <formula>"No"</formula>
    </cfRule>
    <cfRule type="cellIs" dxfId="1393" priority="1223" operator="equal">
      <formula>"NA"</formula>
    </cfRule>
    <cfRule type="cellIs" dxfId="1392" priority="1224" operator="equal">
      <formula>"Yes"</formula>
    </cfRule>
  </conditionalFormatting>
  <conditionalFormatting sqref="DA19">
    <cfRule type="cellIs" dxfId="1391" priority="1219" operator="equal">
      <formula>"No"</formula>
    </cfRule>
    <cfRule type="cellIs" dxfId="1390" priority="1220" operator="equal">
      <formula>"NA"</formula>
    </cfRule>
    <cfRule type="cellIs" dxfId="1389" priority="1221" operator="equal">
      <formula>"Yes"</formula>
    </cfRule>
  </conditionalFormatting>
  <conditionalFormatting sqref="DA20">
    <cfRule type="cellIs" dxfId="1388" priority="1216" operator="equal">
      <formula>"No"</formula>
    </cfRule>
    <cfRule type="cellIs" dxfId="1387" priority="1217" operator="equal">
      <formula>"NA"</formula>
    </cfRule>
    <cfRule type="cellIs" dxfId="1386" priority="1218" operator="equal">
      <formula>"Yes"</formula>
    </cfRule>
  </conditionalFormatting>
  <conditionalFormatting sqref="DA21">
    <cfRule type="cellIs" dxfId="1385" priority="1213" operator="equal">
      <formula>"No"</formula>
    </cfRule>
    <cfRule type="cellIs" dxfId="1384" priority="1214" operator="equal">
      <formula>"NA"</formula>
    </cfRule>
    <cfRule type="cellIs" dxfId="1383" priority="1215" operator="equal">
      <formula>"Yes"</formula>
    </cfRule>
  </conditionalFormatting>
  <conditionalFormatting sqref="DA22">
    <cfRule type="cellIs" dxfId="1382" priority="1210" operator="equal">
      <formula>"No"</formula>
    </cfRule>
    <cfRule type="cellIs" dxfId="1381" priority="1211" operator="equal">
      <formula>"NA"</formula>
    </cfRule>
    <cfRule type="cellIs" dxfId="1380" priority="1212" operator="equal">
      <formula>"Yes"</formula>
    </cfRule>
  </conditionalFormatting>
  <conditionalFormatting sqref="DA23">
    <cfRule type="cellIs" dxfId="1379" priority="1207" operator="equal">
      <formula>"No"</formula>
    </cfRule>
    <cfRule type="cellIs" dxfId="1378" priority="1208" operator="equal">
      <formula>"NA"</formula>
    </cfRule>
    <cfRule type="cellIs" dxfId="1377" priority="1209" operator="equal">
      <formula>"Yes"</formula>
    </cfRule>
  </conditionalFormatting>
  <conditionalFormatting sqref="DA26">
    <cfRule type="cellIs" dxfId="1376" priority="1204" operator="equal">
      <formula>"No"</formula>
    </cfRule>
    <cfRule type="cellIs" dxfId="1375" priority="1205" operator="equal">
      <formula>"NA"</formula>
    </cfRule>
    <cfRule type="cellIs" dxfId="1374" priority="1206" operator="equal">
      <formula>"Yes"</formula>
    </cfRule>
  </conditionalFormatting>
  <conditionalFormatting sqref="DA33">
    <cfRule type="cellIs" dxfId="1373" priority="1201" operator="equal">
      <formula>"No"</formula>
    </cfRule>
    <cfRule type="cellIs" dxfId="1372" priority="1202" operator="equal">
      <formula>"NA"</formula>
    </cfRule>
    <cfRule type="cellIs" dxfId="1371" priority="1203" operator="equal">
      <formula>"Yes"</formula>
    </cfRule>
  </conditionalFormatting>
  <conditionalFormatting sqref="DA27">
    <cfRule type="cellIs" dxfId="1370" priority="1198" operator="equal">
      <formula>"No"</formula>
    </cfRule>
    <cfRule type="cellIs" dxfId="1369" priority="1199" operator="equal">
      <formula>"NA"</formula>
    </cfRule>
    <cfRule type="cellIs" dxfId="1368" priority="1200" operator="equal">
      <formula>"Yes"</formula>
    </cfRule>
  </conditionalFormatting>
  <conditionalFormatting sqref="DA28">
    <cfRule type="cellIs" dxfId="1367" priority="1195" operator="equal">
      <formula>"No"</formula>
    </cfRule>
    <cfRule type="cellIs" dxfId="1366" priority="1196" operator="equal">
      <formula>"NA"</formula>
    </cfRule>
    <cfRule type="cellIs" dxfId="1365" priority="1197" operator="equal">
      <formula>"Yes"</formula>
    </cfRule>
  </conditionalFormatting>
  <conditionalFormatting sqref="DA30">
    <cfRule type="cellIs" dxfId="1364" priority="1192" operator="equal">
      <formula>"No"</formula>
    </cfRule>
    <cfRule type="cellIs" dxfId="1363" priority="1193" operator="equal">
      <formula>"NA"</formula>
    </cfRule>
    <cfRule type="cellIs" dxfId="1362" priority="1194" operator="equal">
      <formula>"Yes"</formula>
    </cfRule>
  </conditionalFormatting>
  <conditionalFormatting sqref="DA31">
    <cfRule type="cellIs" dxfId="1361" priority="1189" operator="equal">
      <formula>"No"</formula>
    </cfRule>
    <cfRule type="cellIs" dxfId="1360" priority="1190" operator="equal">
      <formula>"NA"</formula>
    </cfRule>
    <cfRule type="cellIs" dxfId="1359" priority="1191" operator="equal">
      <formula>"Yes"</formula>
    </cfRule>
  </conditionalFormatting>
  <conditionalFormatting sqref="DA6">
    <cfRule type="cellIs" dxfId="1358" priority="1186" operator="equal">
      <formula>"No"</formula>
    </cfRule>
    <cfRule type="cellIs" dxfId="1357" priority="1187" operator="equal">
      <formula>"NA"</formula>
    </cfRule>
    <cfRule type="cellIs" dxfId="1356" priority="1188" operator="equal">
      <formula>"Yes"</formula>
    </cfRule>
  </conditionalFormatting>
  <conditionalFormatting sqref="DA25">
    <cfRule type="cellIs" dxfId="1355" priority="1183" operator="equal">
      <formula>"No"</formula>
    </cfRule>
    <cfRule type="cellIs" dxfId="1354" priority="1184" operator="equal">
      <formula>"NA"</formula>
    </cfRule>
    <cfRule type="cellIs" dxfId="1353" priority="1185" operator="equal">
      <formula>"Yes"</formula>
    </cfRule>
  </conditionalFormatting>
  <conditionalFormatting sqref="DA15">
    <cfRule type="cellIs" dxfId="1352" priority="1180" operator="equal">
      <formula>"No"</formula>
    </cfRule>
    <cfRule type="cellIs" dxfId="1351" priority="1181" operator="equal">
      <formula>"NA"</formula>
    </cfRule>
    <cfRule type="cellIs" dxfId="1350" priority="1182" operator="equal">
      <formula>"Yes"</formula>
    </cfRule>
  </conditionalFormatting>
  <conditionalFormatting sqref="DA9">
    <cfRule type="cellIs" dxfId="1349" priority="1177" operator="equal">
      <formula>"No"</formula>
    </cfRule>
    <cfRule type="cellIs" dxfId="1348" priority="1178" operator="equal">
      <formula>"NA"</formula>
    </cfRule>
    <cfRule type="cellIs" dxfId="1347" priority="1179" operator="equal">
      <formula>"Yes"</formula>
    </cfRule>
  </conditionalFormatting>
  <conditionalFormatting sqref="DA17">
    <cfRule type="cellIs" dxfId="1346" priority="1174" operator="equal">
      <formula>"No"</formula>
    </cfRule>
    <cfRule type="cellIs" dxfId="1345" priority="1175" operator="equal">
      <formula>"NA"</formula>
    </cfRule>
    <cfRule type="cellIs" dxfId="1344" priority="1176" operator="equal">
      <formula>"Yes"</formula>
    </cfRule>
  </conditionalFormatting>
  <conditionalFormatting sqref="DA14">
    <cfRule type="cellIs" dxfId="1343" priority="1171" operator="equal">
      <formula>"No"</formula>
    </cfRule>
    <cfRule type="cellIs" dxfId="1342" priority="1172" operator="equal">
      <formula>"NA"</formula>
    </cfRule>
    <cfRule type="cellIs" dxfId="1341" priority="1173" operator="equal">
      <formula>"Yes"</formula>
    </cfRule>
  </conditionalFormatting>
  <conditionalFormatting sqref="DA10">
    <cfRule type="cellIs" dxfId="1340" priority="1168" operator="equal">
      <formula>"No"</formula>
    </cfRule>
    <cfRule type="cellIs" dxfId="1339" priority="1169" operator="equal">
      <formula>"NA"</formula>
    </cfRule>
    <cfRule type="cellIs" dxfId="1338" priority="1170" operator="equal">
      <formula>"Yes"</formula>
    </cfRule>
  </conditionalFormatting>
  <conditionalFormatting sqref="DA11">
    <cfRule type="cellIs" dxfId="1337" priority="1165" operator="equal">
      <formula>"No"</formula>
    </cfRule>
    <cfRule type="cellIs" dxfId="1336" priority="1166" operator="equal">
      <formula>"NA"</formula>
    </cfRule>
    <cfRule type="cellIs" dxfId="1335" priority="1167" operator="equal">
      <formula>"Yes"</formula>
    </cfRule>
  </conditionalFormatting>
  <conditionalFormatting sqref="DB7">
    <cfRule type="cellIs" dxfId="1334" priority="1162" operator="equal">
      <formula>"No"</formula>
    </cfRule>
    <cfRule type="cellIs" dxfId="1333" priority="1163" operator="equal">
      <formula>"NA"</formula>
    </cfRule>
    <cfRule type="cellIs" dxfId="1332" priority="1164" operator="equal">
      <formula>"Yes"</formula>
    </cfRule>
  </conditionalFormatting>
  <conditionalFormatting sqref="DB12">
    <cfRule type="cellIs" dxfId="1331" priority="1159" operator="equal">
      <formula>"No"</formula>
    </cfRule>
    <cfRule type="cellIs" dxfId="1330" priority="1160" operator="equal">
      <formula>"NA"</formula>
    </cfRule>
    <cfRule type="cellIs" dxfId="1329" priority="1161" operator="equal">
      <formula>"Yes"</formula>
    </cfRule>
  </conditionalFormatting>
  <conditionalFormatting sqref="DB13">
    <cfRule type="cellIs" dxfId="1328" priority="1156" operator="equal">
      <formula>"No"</formula>
    </cfRule>
    <cfRule type="cellIs" dxfId="1327" priority="1157" operator="equal">
      <formula>"NA"</formula>
    </cfRule>
    <cfRule type="cellIs" dxfId="1326" priority="1158" operator="equal">
      <formula>"Yes"</formula>
    </cfRule>
  </conditionalFormatting>
  <conditionalFormatting sqref="DB16">
    <cfRule type="cellIs" dxfId="1325" priority="1153" operator="equal">
      <formula>"No"</formula>
    </cfRule>
    <cfRule type="cellIs" dxfId="1324" priority="1154" operator="equal">
      <formula>"NA"</formula>
    </cfRule>
    <cfRule type="cellIs" dxfId="1323" priority="1155" operator="equal">
      <formula>"Yes"</formula>
    </cfRule>
  </conditionalFormatting>
  <conditionalFormatting sqref="DB18">
    <cfRule type="cellIs" dxfId="1322" priority="1150" operator="equal">
      <formula>"No"</formula>
    </cfRule>
    <cfRule type="cellIs" dxfId="1321" priority="1151" operator="equal">
      <formula>"NA"</formula>
    </cfRule>
    <cfRule type="cellIs" dxfId="1320" priority="1152" operator="equal">
      <formula>"Yes"</formula>
    </cfRule>
  </conditionalFormatting>
  <conditionalFormatting sqref="DB19">
    <cfRule type="cellIs" dxfId="1319" priority="1147" operator="equal">
      <formula>"No"</formula>
    </cfRule>
    <cfRule type="cellIs" dxfId="1318" priority="1148" operator="equal">
      <formula>"NA"</formula>
    </cfRule>
    <cfRule type="cellIs" dxfId="1317" priority="1149" operator="equal">
      <formula>"Yes"</formula>
    </cfRule>
  </conditionalFormatting>
  <conditionalFormatting sqref="DB20">
    <cfRule type="cellIs" dxfId="1316" priority="1144" operator="equal">
      <formula>"No"</formula>
    </cfRule>
    <cfRule type="cellIs" dxfId="1315" priority="1145" operator="equal">
      <formula>"NA"</formula>
    </cfRule>
    <cfRule type="cellIs" dxfId="1314" priority="1146" operator="equal">
      <formula>"Yes"</formula>
    </cfRule>
  </conditionalFormatting>
  <conditionalFormatting sqref="DB21">
    <cfRule type="cellIs" dxfId="1313" priority="1141" operator="equal">
      <formula>"No"</formula>
    </cfRule>
    <cfRule type="cellIs" dxfId="1312" priority="1142" operator="equal">
      <formula>"NA"</formula>
    </cfRule>
    <cfRule type="cellIs" dxfId="1311" priority="1143" operator="equal">
      <formula>"Yes"</formula>
    </cfRule>
  </conditionalFormatting>
  <conditionalFormatting sqref="DB22">
    <cfRule type="cellIs" dxfId="1310" priority="1138" operator="equal">
      <formula>"No"</formula>
    </cfRule>
    <cfRule type="cellIs" dxfId="1309" priority="1139" operator="equal">
      <formula>"NA"</formula>
    </cfRule>
    <cfRule type="cellIs" dxfId="1308" priority="1140" operator="equal">
      <formula>"Yes"</formula>
    </cfRule>
  </conditionalFormatting>
  <conditionalFormatting sqref="DB23">
    <cfRule type="cellIs" dxfId="1307" priority="1135" operator="equal">
      <formula>"No"</formula>
    </cfRule>
    <cfRule type="cellIs" dxfId="1306" priority="1136" operator="equal">
      <formula>"NA"</formula>
    </cfRule>
    <cfRule type="cellIs" dxfId="1305" priority="1137" operator="equal">
      <formula>"Yes"</formula>
    </cfRule>
  </conditionalFormatting>
  <conditionalFormatting sqref="DB26">
    <cfRule type="cellIs" dxfId="1304" priority="1132" operator="equal">
      <formula>"No"</formula>
    </cfRule>
    <cfRule type="cellIs" dxfId="1303" priority="1133" operator="equal">
      <formula>"NA"</formula>
    </cfRule>
    <cfRule type="cellIs" dxfId="1302" priority="1134" operator="equal">
      <formula>"Yes"</formula>
    </cfRule>
  </conditionalFormatting>
  <conditionalFormatting sqref="DB33">
    <cfRule type="cellIs" dxfId="1301" priority="1129" operator="equal">
      <formula>"No"</formula>
    </cfRule>
    <cfRule type="cellIs" dxfId="1300" priority="1130" operator="equal">
      <formula>"NA"</formula>
    </cfRule>
    <cfRule type="cellIs" dxfId="1299" priority="1131" operator="equal">
      <formula>"Yes"</formula>
    </cfRule>
  </conditionalFormatting>
  <conditionalFormatting sqref="DB27">
    <cfRule type="cellIs" dxfId="1298" priority="1126" operator="equal">
      <formula>"No"</formula>
    </cfRule>
    <cfRule type="cellIs" dxfId="1297" priority="1127" operator="equal">
      <formula>"NA"</formula>
    </cfRule>
    <cfRule type="cellIs" dxfId="1296" priority="1128" operator="equal">
      <formula>"Yes"</formula>
    </cfRule>
  </conditionalFormatting>
  <conditionalFormatting sqref="DB28">
    <cfRule type="cellIs" dxfId="1295" priority="1123" operator="equal">
      <formula>"No"</formula>
    </cfRule>
    <cfRule type="cellIs" dxfId="1294" priority="1124" operator="equal">
      <formula>"NA"</formula>
    </cfRule>
    <cfRule type="cellIs" dxfId="1293" priority="1125" operator="equal">
      <formula>"Yes"</formula>
    </cfRule>
  </conditionalFormatting>
  <conditionalFormatting sqref="DB30">
    <cfRule type="cellIs" dxfId="1292" priority="1120" operator="equal">
      <formula>"No"</formula>
    </cfRule>
    <cfRule type="cellIs" dxfId="1291" priority="1121" operator="equal">
      <formula>"NA"</formula>
    </cfRule>
    <cfRule type="cellIs" dxfId="1290" priority="1122" operator="equal">
      <formula>"Yes"</formula>
    </cfRule>
  </conditionalFormatting>
  <conditionalFormatting sqref="DB31">
    <cfRule type="cellIs" dxfId="1289" priority="1117" operator="equal">
      <formula>"No"</formula>
    </cfRule>
    <cfRule type="cellIs" dxfId="1288" priority="1118" operator="equal">
      <formula>"NA"</formula>
    </cfRule>
    <cfRule type="cellIs" dxfId="1287" priority="1119" operator="equal">
      <formula>"Yes"</formula>
    </cfRule>
  </conditionalFormatting>
  <conditionalFormatting sqref="DB6">
    <cfRule type="cellIs" dxfId="1286" priority="1114" operator="equal">
      <formula>"No"</formula>
    </cfRule>
    <cfRule type="cellIs" dxfId="1285" priority="1115" operator="equal">
      <formula>"NA"</formula>
    </cfRule>
    <cfRule type="cellIs" dxfId="1284" priority="1116" operator="equal">
      <formula>"Yes"</formula>
    </cfRule>
  </conditionalFormatting>
  <conditionalFormatting sqref="DB25">
    <cfRule type="cellIs" dxfId="1283" priority="1111" operator="equal">
      <formula>"No"</formula>
    </cfRule>
    <cfRule type="cellIs" dxfId="1282" priority="1112" operator="equal">
      <formula>"NA"</formula>
    </cfRule>
    <cfRule type="cellIs" dxfId="1281" priority="1113" operator="equal">
      <formula>"Yes"</formula>
    </cfRule>
  </conditionalFormatting>
  <conditionalFormatting sqref="DB15">
    <cfRule type="cellIs" dxfId="1280" priority="1108" operator="equal">
      <formula>"No"</formula>
    </cfRule>
    <cfRule type="cellIs" dxfId="1279" priority="1109" operator="equal">
      <formula>"NA"</formula>
    </cfRule>
    <cfRule type="cellIs" dxfId="1278" priority="1110" operator="equal">
      <formula>"Yes"</formula>
    </cfRule>
  </conditionalFormatting>
  <conditionalFormatting sqref="DB14">
    <cfRule type="cellIs" dxfId="1277" priority="1105" operator="equal">
      <formula>"No"</formula>
    </cfRule>
    <cfRule type="cellIs" dxfId="1276" priority="1106" operator="equal">
      <formula>"NA"</formula>
    </cfRule>
    <cfRule type="cellIs" dxfId="1275" priority="1107" operator="equal">
      <formula>"Yes"</formula>
    </cfRule>
  </conditionalFormatting>
  <conditionalFormatting sqref="DB11">
    <cfRule type="cellIs" dxfId="1274" priority="1102" operator="equal">
      <formula>"No"</formula>
    </cfRule>
    <cfRule type="cellIs" dxfId="1273" priority="1103" operator="equal">
      <formula>"NA"</formula>
    </cfRule>
    <cfRule type="cellIs" dxfId="1272" priority="1104" operator="equal">
      <formula>"Yes"</formula>
    </cfRule>
  </conditionalFormatting>
  <conditionalFormatting sqref="DB17">
    <cfRule type="cellIs" dxfId="1271" priority="1099" operator="equal">
      <formula>"No"</formula>
    </cfRule>
    <cfRule type="cellIs" dxfId="1270" priority="1100" operator="equal">
      <formula>"NA"</formula>
    </cfRule>
    <cfRule type="cellIs" dxfId="1269" priority="1101" operator="equal">
      <formula>"Yes"</formula>
    </cfRule>
  </conditionalFormatting>
  <conditionalFormatting sqref="DB9">
    <cfRule type="cellIs" dxfId="1268" priority="1096" operator="equal">
      <formula>"No"</formula>
    </cfRule>
    <cfRule type="cellIs" dxfId="1267" priority="1097" operator="equal">
      <formula>"NA"</formula>
    </cfRule>
    <cfRule type="cellIs" dxfId="1266" priority="1098" operator="equal">
      <formula>"Yes"</formula>
    </cfRule>
  </conditionalFormatting>
  <conditionalFormatting sqref="DB10">
    <cfRule type="cellIs" dxfId="1265" priority="1093" operator="equal">
      <formula>"No"</formula>
    </cfRule>
    <cfRule type="cellIs" dxfId="1264" priority="1094" operator="equal">
      <formula>"NA"</formula>
    </cfRule>
    <cfRule type="cellIs" dxfId="1263" priority="1095" operator="equal">
      <formula>"Yes"</formula>
    </cfRule>
  </conditionalFormatting>
  <conditionalFormatting sqref="DC33 DC30:DC31 DC6:DC7 DC25:DC28 DC9:DC23">
    <cfRule type="cellIs" dxfId="1262" priority="1090" operator="equal">
      <formula>"No"</formula>
    </cfRule>
    <cfRule type="cellIs" dxfId="1261" priority="1091" operator="equal">
      <formula>"NA"</formula>
    </cfRule>
    <cfRule type="cellIs" dxfId="1260" priority="1092" operator="equal">
      <formula>"Yes"</formula>
    </cfRule>
  </conditionalFormatting>
  <conditionalFormatting sqref="DD7">
    <cfRule type="cellIs" dxfId="1259" priority="1087" operator="equal">
      <formula>"No"</formula>
    </cfRule>
    <cfRule type="cellIs" dxfId="1258" priority="1088" operator="equal">
      <formula>"NA"</formula>
    </cfRule>
    <cfRule type="cellIs" dxfId="1257" priority="1089" operator="equal">
      <formula>"Yes"</formula>
    </cfRule>
  </conditionalFormatting>
  <conditionalFormatting sqref="DD12">
    <cfRule type="cellIs" dxfId="1256" priority="1084" operator="equal">
      <formula>"No"</formula>
    </cfRule>
    <cfRule type="cellIs" dxfId="1255" priority="1085" operator="equal">
      <formula>"NA"</formula>
    </cfRule>
    <cfRule type="cellIs" dxfId="1254" priority="1086" operator="equal">
      <formula>"Yes"</formula>
    </cfRule>
  </conditionalFormatting>
  <conditionalFormatting sqref="DD13">
    <cfRule type="cellIs" dxfId="1253" priority="1081" operator="equal">
      <formula>"No"</formula>
    </cfRule>
    <cfRule type="cellIs" dxfId="1252" priority="1082" operator="equal">
      <formula>"NA"</formula>
    </cfRule>
    <cfRule type="cellIs" dxfId="1251" priority="1083" operator="equal">
      <formula>"Yes"</formula>
    </cfRule>
  </conditionalFormatting>
  <conditionalFormatting sqref="DD16">
    <cfRule type="cellIs" dxfId="1250" priority="1078" operator="equal">
      <formula>"No"</formula>
    </cfRule>
    <cfRule type="cellIs" dxfId="1249" priority="1079" operator="equal">
      <formula>"NA"</formula>
    </cfRule>
    <cfRule type="cellIs" dxfId="1248" priority="1080" operator="equal">
      <formula>"Yes"</formula>
    </cfRule>
  </conditionalFormatting>
  <conditionalFormatting sqref="DD18">
    <cfRule type="cellIs" dxfId="1247" priority="1075" operator="equal">
      <formula>"No"</formula>
    </cfRule>
    <cfRule type="cellIs" dxfId="1246" priority="1076" operator="equal">
      <formula>"NA"</formula>
    </cfRule>
    <cfRule type="cellIs" dxfId="1245" priority="1077" operator="equal">
      <formula>"Yes"</formula>
    </cfRule>
  </conditionalFormatting>
  <conditionalFormatting sqref="DD19">
    <cfRule type="cellIs" dxfId="1244" priority="1072" operator="equal">
      <formula>"No"</formula>
    </cfRule>
    <cfRule type="cellIs" dxfId="1243" priority="1073" operator="equal">
      <formula>"NA"</formula>
    </cfRule>
    <cfRule type="cellIs" dxfId="1242" priority="1074" operator="equal">
      <formula>"Yes"</formula>
    </cfRule>
  </conditionalFormatting>
  <conditionalFormatting sqref="DD20">
    <cfRule type="cellIs" dxfId="1241" priority="1069" operator="equal">
      <formula>"No"</formula>
    </cfRule>
    <cfRule type="cellIs" dxfId="1240" priority="1070" operator="equal">
      <formula>"NA"</formula>
    </cfRule>
    <cfRule type="cellIs" dxfId="1239" priority="1071" operator="equal">
      <formula>"Yes"</formula>
    </cfRule>
  </conditionalFormatting>
  <conditionalFormatting sqref="DD21">
    <cfRule type="cellIs" dxfId="1238" priority="1066" operator="equal">
      <formula>"No"</formula>
    </cfRule>
    <cfRule type="cellIs" dxfId="1237" priority="1067" operator="equal">
      <formula>"NA"</formula>
    </cfRule>
    <cfRule type="cellIs" dxfId="1236" priority="1068" operator="equal">
      <formula>"Yes"</formula>
    </cfRule>
  </conditionalFormatting>
  <conditionalFormatting sqref="DD22">
    <cfRule type="cellIs" dxfId="1235" priority="1063" operator="equal">
      <formula>"No"</formula>
    </cfRule>
    <cfRule type="cellIs" dxfId="1234" priority="1064" operator="equal">
      <formula>"NA"</formula>
    </cfRule>
    <cfRule type="cellIs" dxfId="1233" priority="1065" operator="equal">
      <formula>"Yes"</formula>
    </cfRule>
  </conditionalFormatting>
  <conditionalFormatting sqref="DD23">
    <cfRule type="cellIs" dxfId="1232" priority="1060" operator="equal">
      <formula>"No"</formula>
    </cfRule>
    <cfRule type="cellIs" dxfId="1231" priority="1061" operator="equal">
      <formula>"NA"</formula>
    </cfRule>
    <cfRule type="cellIs" dxfId="1230" priority="1062" operator="equal">
      <formula>"Yes"</formula>
    </cfRule>
  </conditionalFormatting>
  <conditionalFormatting sqref="DD26">
    <cfRule type="cellIs" dxfId="1229" priority="1057" operator="equal">
      <formula>"No"</formula>
    </cfRule>
    <cfRule type="cellIs" dxfId="1228" priority="1058" operator="equal">
      <formula>"NA"</formula>
    </cfRule>
    <cfRule type="cellIs" dxfId="1227" priority="1059" operator="equal">
      <formula>"Yes"</formula>
    </cfRule>
  </conditionalFormatting>
  <conditionalFormatting sqref="DD33">
    <cfRule type="cellIs" dxfId="1226" priority="1054" operator="equal">
      <formula>"No"</formula>
    </cfRule>
    <cfRule type="cellIs" dxfId="1225" priority="1055" operator="equal">
      <formula>"NA"</formula>
    </cfRule>
    <cfRule type="cellIs" dxfId="1224" priority="1056" operator="equal">
      <formula>"Yes"</formula>
    </cfRule>
  </conditionalFormatting>
  <conditionalFormatting sqref="DD27">
    <cfRule type="cellIs" dxfId="1223" priority="1051" operator="equal">
      <formula>"No"</formula>
    </cfRule>
    <cfRule type="cellIs" dxfId="1222" priority="1052" operator="equal">
      <formula>"NA"</formula>
    </cfRule>
    <cfRule type="cellIs" dxfId="1221" priority="1053" operator="equal">
      <formula>"Yes"</formula>
    </cfRule>
  </conditionalFormatting>
  <conditionalFormatting sqref="DD28">
    <cfRule type="cellIs" dxfId="1220" priority="1048" operator="equal">
      <formula>"No"</formula>
    </cfRule>
    <cfRule type="cellIs" dxfId="1219" priority="1049" operator="equal">
      <formula>"NA"</formula>
    </cfRule>
    <cfRule type="cellIs" dxfId="1218" priority="1050" operator="equal">
      <formula>"Yes"</formula>
    </cfRule>
  </conditionalFormatting>
  <conditionalFormatting sqref="DD30">
    <cfRule type="cellIs" dxfId="1217" priority="1045" operator="equal">
      <formula>"No"</formula>
    </cfRule>
    <cfRule type="cellIs" dxfId="1216" priority="1046" operator="equal">
      <formula>"NA"</formula>
    </cfRule>
    <cfRule type="cellIs" dxfId="1215" priority="1047" operator="equal">
      <formula>"Yes"</formula>
    </cfRule>
  </conditionalFormatting>
  <conditionalFormatting sqref="DD31">
    <cfRule type="cellIs" dxfId="1214" priority="1042" operator="equal">
      <formula>"No"</formula>
    </cfRule>
    <cfRule type="cellIs" dxfId="1213" priority="1043" operator="equal">
      <formula>"NA"</formula>
    </cfRule>
    <cfRule type="cellIs" dxfId="1212" priority="1044" operator="equal">
      <formula>"Yes"</formula>
    </cfRule>
  </conditionalFormatting>
  <conditionalFormatting sqref="DD14">
    <cfRule type="cellIs" dxfId="1211" priority="1039" operator="equal">
      <formula>"No"</formula>
    </cfRule>
    <cfRule type="cellIs" dxfId="1210" priority="1040" operator="equal">
      <formula>"NA"</formula>
    </cfRule>
    <cfRule type="cellIs" dxfId="1209" priority="1041" operator="equal">
      <formula>"Yes"</formula>
    </cfRule>
  </conditionalFormatting>
  <conditionalFormatting sqref="DD6">
    <cfRule type="cellIs" dxfId="1208" priority="1036" operator="equal">
      <formula>"No"</formula>
    </cfRule>
    <cfRule type="cellIs" dxfId="1207" priority="1037" operator="equal">
      <formula>"NA"</formula>
    </cfRule>
    <cfRule type="cellIs" dxfId="1206" priority="1038" operator="equal">
      <formula>"Yes"</formula>
    </cfRule>
  </conditionalFormatting>
  <conditionalFormatting sqref="DD25">
    <cfRule type="cellIs" dxfId="1205" priority="1033" operator="equal">
      <formula>"No"</formula>
    </cfRule>
    <cfRule type="cellIs" dxfId="1204" priority="1034" operator="equal">
      <formula>"NA"</formula>
    </cfRule>
    <cfRule type="cellIs" dxfId="1203" priority="1035" operator="equal">
      <formula>"Yes"</formula>
    </cfRule>
  </conditionalFormatting>
  <conditionalFormatting sqref="DD10">
    <cfRule type="cellIs" dxfId="1202" priority="1030" operator="equal">
      <formula>"No"</formula>
    </cfRule>
    <cfRule type="cellIs" dxfId="1201" priority="1031" operator="equal">
      <formula>"NA"</formula>
    </cfRule>
    <cfRule type="cellIs" dxfId="1200" priority="1032" operator="equal">
      <formula>"Yes"</formula>
    </cfRule>
  </conditionalFormatting>
  <conditionalFormatting sqref="DD15">
    <cfRule type="cellIs" dxfId="1199" priority="1027" operator="equal">
      <formula>"No"</formula>
    </cfRule>
    <cfRule type="cellIs" dxfId="1198" priority="1028" operator="equal">
      <formula>"NA"</formula>
    </cfRule>
    <cfRule type="cellIs" dxfId="1197" priority="1029" operator="equal">
      <formula>"Yes"</formula>
    </cfRule>
  </conditionalFormatting>
  <conditionalFormatting sqref="DD17">
    <cfRule type="cellIs" dxfId="1196" priority="1024" operator="equal">
      <formula>"No"</formula>
    </cfRule>
    <cfRule type="cellIs" dxfId="1195" priority="1025" operator="equal">
      <formula>"NA"</formula>
    </cfRule>
    <cfRule type="cellIs" dxfId="1194" priority="1026" operator="equal">
      <formula>"Yes"</formula>
    </cfRule>
  </conditionalFormatting>
  <conditionalFormatting sqref="DD11">
    <cfRule type="cellIs" dxfId="1193" priority="1021" operator="equal">
      <formula>"No"</formula>
    </cfRule>
    <cfRule type="cellIs" dxfId="1192" priority="1022" operator="equal">
      <formula>"NA"</formula>
    </cfRule>
    <cfRule type="cellIs" dxfId="1191" priority="1023" operator="equal">
      <formula>"Yes"</formula>
    </cfRule>
  </conditionalFormatting>
  <conditionalFormatting sqref="DD9">
    <cfRule type="cellIs" dxfId="1190" priority="1018" operator="equal">
      <formula>"No"</formula>
    </cfRule>
    <cfRule type="cellIs" dxfId="1189" priority="1019" operator="equal">
      <formula>"NA"</formula>
    </cfRule>
    <cfRule type="cellIs" dxfId="1188" priority="1020" operator="equal">
      <formula>"Yes"</formula>
    </cfRule>
  </conditionalFormatting>
  <conditionalFormatting sqref="DE7">
    <cfRule type="cellIs" dxfId="1187" priority="1015" operator="equal">
      <formula>"No"</formula>
    </cfRule>
    <cfRule type="cellIs" dxfId="1186" priority="1016" operator="equal">
      <formula>"NA"</formula>
    </cfRule>
    <cfRule type="cellIs" dxfId="1185" priority="1017" operator="equal">
      <formula>"Yes"</formula>
    </cfRule>
  </conditionalFormatting>
  <conditionalFormatting sqref="DE12">
    <cfRule type="cellIs" dxfId="1184" priority="1012" operator="equal">
      <formula>"No"</formula>
    </cfRule>
    <cfRule type="cellIs" dxfId="1183" priority="1013" operator="equal">
      <formula>"NA"</formula>
    </cfRule>
    <cfRule type="cellIs" dxfId="1182" priority="1014" operator="equal">
      <formula>"Yes"</formula>
    </cfRule>
  </conditionalFormatting>
  <conditionalFormatting sqref="DE13">
    <cfRule type="cellIs" dxfId="1181" priority="1009" operator="equal">
      <formula>"No"</formula>
    </cfRule>
    <cfRule type="cellIs" dxfId="1180" priority="1010" operator="equal">
      <formula>"NA"</formula>
    </cfRule>
    <cfRule type="cellIs" dxfId="1179" priority="1011" operator="equal">
      <formula>"Yes"</formula>
    </cfRule>
  </conditionalFormatting>
  <conditionalFormatting sqref="DE16">
    <cfRule type="cellIs" dxfId="1178" priority="1006" operator="equal">
      <formula>"No"</formula>
    </cfRule>
    <cfRule type="cellIs" dxfId="1177" priority="1007" operator="equal">
      <formula>"NA"</formula>
    </cfRule>
    <cfRule type="cellIs" dxfId="1176" priority="1008" operator="equal">
      <formula>"Yes"</formula>
    </cfRule>
  </conditionalFormatting>
  <conditionalFormatting sqref="DE18">
    <cfRule type="cellIs" dxfId="1175" priority="1003" operator="equal">
      <formula>"No"</formula>
    </cfRule>
    <cfRule type="cellIs" dxfId="1174" priority="1004" operator="equal">
      <formula>"NA"</formula>
    </cfRule>
    <cfRule type="cellIs" dxfId="1173" priority="1005" operator="equal">
      <formula>"Yes"</formula>
    </cfRule>
  </conditionalFormatting>
  <conditionalFormatting sqref="DE19">
    <cfRule type="cellIs" dxfId="1172" priority="1000" operator="equal">
      <formula>"No"</formula>
    </cfRule>
    <cfRule type="cellIs" dxfId="1171" priority="1001" operator="equal">
      <formula>"NA"</formula>
    </cfRule>
    <cfRule type="cellIs" dxfId="1170" priority="1002" operator="equal">
      <formula>"Yes"</formula>
    </cfRule>
  </conditionalFormatting>
  <conditionalFormatting sqref="DE20">
    <cfRule type="cellIs" dxfId="1169" priority="997" operator="equal">
      <formula>"No"</formula>
    </cfRule>
    <cfRule type="cellIs" dxfId="1168" priority="998" operator="equal">
      <formula>"NA"</formula>
    </cfRule>
    <cfRule type="cellIs" dxfId="1167" priority="999" operator="equal">
      <formula>"Yes"</formula>
    </cfRule>
  </conditionalFormatting>
  <conditionalFormatting sqref="DE21">
    <cfRule type="cellIs" dxfId="1166" priority="994" operator="equal">
      <formula>"No"</formula>
    </cfRule>
    <cfRule type="cellIs" dxfId="1165" priority="995" operator="equal">
      <formula>"NA"</formula>
    </cfRule>
    <cfRule type="cellIs" dxfId="1164" priority="996" operator="equal">
      <formula>"Yes"</formula>
    </cfRule>
  </conditionalFormatting>
  <conditionalFormatting sqref="DE22">
    <cfRule type="cellIs" dxfId="1163" priority="991" operator="equal">
      <formula>"No"</formula>
    </cfRule>
    <cfRule type="cellIs" dxfId="1162" priority="992" operator="equal">
      <formula>"NA"</formula>
    </cfRule>
    <cfRule type="cellIs" dxfId="1161" priority="993" operator="equal">
      <formula>"Yes"</formula>
    </cfRule>
  </conditionalFormatting>
  <conditionalFormatting sqref="DE23">
    <cfRule type="cellIs" dxfId="1160" priority="988" operator="equal">
      <formula>"No"</formula>
    </cfRule>
    <cfRule type="cellIs" dxfId="1159" priority="989" operator="equal">
      <formula>"NA"</formula>
    </cfRule>
    <cfRule type="cellIs" dxfId="1158" priority="990" operator="equal">
      <formula>"Yes"</formula>
    </cfRule>
  </conditionalFormatting>
  <conditionalFormatting sqref="DE26">
    <cfRule type="cellIs" dxfId="1157" priority="985" operator="equal">
      <formula>"No"</formula>
    </cfRule>
    <cfRule type="cellIs" dxfId="1156" priority="986" operator="equal">
      <formula>"NA"</formula>
    </cfRule>
    <cfRule type="cellIs" dxfId="1155" priority="987" operator="equal">
      <formula>"Yes"</formula>
    </cfRule>
  </conditionalFormatting>
  <conditionalFormatting sqref="DE33">
    <cfRule type="cellIs" dxfId="1154" priority="982" operator="equal">
      <formula>"No"</formula>
    </cfRule>
    <cfRule type="cellIs" dxfId="1153" priority="983" operator="equal">
      <formula>"NA"</formula>
    </cfRule>
    <cfRule type="cellIs" dxfId="1152" priority="984" operator="equal">
      <formula>"Yes"</formula>
    </cfRule>
  </conditionalFormatting>
  <conditionalFormatting sqref="DE27">
    <cfRule type="cellIs" dxfId="1151" priority="979" operator="equal">
      <formula>"No"</formula>
    </cfRule>
    <cfRule type="cellIs" dxfId="1150" priority="980" operator="equal">
      <formula>"NA"</formula>
    </cfRule>
    <cfRule type="cellIs" dxfId="1149" priority="981" operator="equal">
      <formula>"Yes"</formula>
    </cfRule>
  </conditionalFormatting>
  <conditionalFormatting sqref="DE28">
    <cfRule type="cellIs" dxfId="1148" priority="976" operator="equal">
      <formula>"No"</formula>
    </cfRule>
    <cfRule type="cellIs" dxfId="1147" priority="977" operator="equal">
      <formula>"NA"</formula>
    </cfRule>
    <cfRule type="cellIs" dxfId="1146" priority="978" operator="equal">
      <formula>"Yes"</formula>
    </cfRule>
  </conditionalFormatting>
  <conditionalFormatting sqref="DE30">
    <cfRule type="cellIs" dxfId="1145" priority="973" operator="equal">
      <formula>"No"</formula>
    </cfRule>
    <cfRule type="cellIs" dxfId="1144" priority="974" operator="equal">
      <formula>"NA"</formula>
    </cfRule>
    <cfRule type="cellIs" dxfId="1143" priority="975" operator="equal">
      <formula>"Yes"</formula>
    </cfRule>
  </conditionalFormatting>
  <conditionalFormatting sqref="DE31">
    <cfRule type="cellIs" dxfId="1142" priority="970" operator="equal">
      <formula>"No"</formula>
    </cfRule>
    <cfRule type="cellIs" dxfId="1141" priority="971" operator="equal">
      <formula>"NA"</formula>
    </cfRule>
    <cfRule type="cellIs" dxfId="1140" priority="972" operator="equal">
      <formula>"Yes"</formula>
    </cfRule>
  </conditionalFormatting>
  <conditionalFormatting sqref="DE6">
    <cfRule type="cellIs" dxfId="1139" priority="967" operator="equal">
      <formula>"No"</formula>
    </cfRule>
    <cfRule type="cellIs" dxfId="1138" priority="968" operator="equal">
      <formula>"NA"</formula>
    </cfRule>
    <cfRule type="cellIs" dxfId="1137" priority="969" operator="equal">
      <formula>"Yes"</formula>
    </cfRule>
  </conditionalFormatting>
  <conditionalFormatting sqref="DE25">
    <cfRule type="cellIs" dxfId="1136" priority="964" operator="equal">
      <formula>"No"</formula>
    </cfRule>
    <cfRule type="cellIs" dxfId="1135" priority="965" operator="equal">
      <formula>"NA"</formula>
    </cfRule>
    <cfRule type="cellIs" dxfId="1134" priority="966" operator="equal">
      <formula>"Yes"</formula>
    </cfRule>
  </conditionalFormatting>
  <conditionalFormatting sqref="DE15">
    <cfRule type="cellIs" dxfId="1133" priority="961" operator="equal">
      <formula>"No"</formula>
    </cfRule>
    <cfRule type="cellIs" dxfId="1132" priority="962" operator="equal">
      <formula>"NA"</formula>
    </cfRule>
    <cfRule type="cellIs" dxfId="1131" priority="963" operator="equal">
      <formula>"Yes"</formula>
    </cfRule>
  </conditionalFormatting>
  <conditionalFormatting sqref="DE17">
    <cfRule type="cellIs" dxfId="1130" priority="958" operator="equal">
      <formula>"No"</formula>
    </cfRule>
    <cfRule type="cellIs" dxfId="1129" priority="959" operator="equal">
      <formula>"NA"</formula>
    </cfRule>
    <cfRule type="cellIs" dxfId="1128" priority="960" operator="equal">
      <formula>"Yes"</formula>
    </cfRule>
  </conditionalFormatting>
  <conditionalFormatting sqref="DE14">
    <cfRule type="cellIs" dxfId="1127" priority="955" operator="equal">
      <formula>"No"</formula>
    </cfRule>
    <cfRule type="cellIs" dxfId="1126" priority="956" operator="equal">
      <formula>"NA"</formula>
    </cfRule>
    <cfRule type="cellIs" dxfId="1125" priority="957" operator="equal">
      <formula>"Yes"</formula>
    </cfRule>
  </conditionalFormatting>
  <conditionalFormatting sqref="DE11">
    <cfRule type="cellIs" dxfId="1124" priority="952" operator="equal">
      <formula>"No"</formula>
    </cfRule>
    <cfRule type="cellIs" dxfId="1123" priority="953" operator="equal">
      <formula>"NA"</formula>
    </cfRule>
    <cfRule type="cellIs" dxfId="1122" priority="954" operator="equal">
      <formula>"Yes"</formula>
    </cfRule>
  </conditionalFormatting>
  <conditionalFormatting sqref="DE9">
    <cfRule type="cellIs" dxfId="1121" priority="949" operator="equal">
      <formula>"No"</formula>
    </cfRule>
    <cfRule type="cellIs" dxfId="1120" priority="950" operator="equal">
      <formula>"NA"</formula>
    </cfRule>
    <cfRule type="cellIs" dxfId="1119" priority="951" operator="equal">
      <formula>"Yes"</formula>
    </cfRule>
  </conditionalFormatting>
  <conditionalFormatting sqref="DE10">
    <cfRule type="cellIs" dxfId="1118" priority="946" operator="equal">
      <formula>"No"</formula>
    </cfRule>
    <cfRule type="cellIs" dxfId="1117" priority="947" operator="equal">
      <formula>"NA"</formula>
    </cfRule>
    <cfRule type="cellIs" dxfId="1116" priority="948" operator="equal">
      <formula>"Yes"</formula>
    </cfRule>
  </conditionalFormatting>
  <conditionalFormatting sqref="DF7">
    <cfRule type="cellIs" dxfId="1115" priority="943" operator="equal">
      <formula>"No"</formula>
    </cfRule>
    <cfRule type="cellIs" dxfId="1114" priority="944" operator="equal">
      <formula>"NA"</formula>
    </cfRule>
    <cfRule type="cellIs" dxfId="1113" priority="945" operator="equal">
      <formula>"Yes"</formula>
    </cfRule>
  </conditionalFormatting>
  <conditionalFormatting sqref="DF12">
    <cfRule type="cellIs" dxfId="1112" priority="940" operator="equal">
      <formula>"No"</formula>
    </cfRule>
    <cfRule type="cellIs" dxfId="1111" priority="941" operator="equal">
      <formula>"NA"</formula>
    </cfRule>
    <cfRule type="cellIs" dxfId="1110" priority="942" operator="equal">
      <formula>"Yes"</formula>
    </cfRule>
  </conditionalFormatting>
  <conditionalFormatting sqref="DF13">
    <cfRule type="cellIs" dxfId="1109" priority="937" operator="equal">
      <formula>"No"</formula>
    </cfRule>
    <cfRule type="cellIs" dxfId="1108" priority="938" operator="equal">
      <formula>"NA"</formula>
    </cfRule>
    <cfRule type="cellIs" dxfId="1107" priority="939" operator="equal">
      <formula>"Yes"</formula>
    </cfRule>
  </conditionalFormatting>
  <conditionalFormatting sqref="DF16">
    <cfRule type="cellIs" dxfId="1106" priority="934" operator="equal">
      <formula>"No"</formula>
    </cfRule>
    <cfRule type="cellIs" dxfId="1105" priority="935" operator="equal">
      <formula>"NA"</formula>
    </cfRule>
    <cfRule type="cellIs" dxfId="1104" priority="936" operator="equal">
      <formula>"Yes"</formula>
    </cfRule>
  </conditionalFormatting>
  <conditionalFormatting sqref="DF18">
    <cfRule type="cellIs" dxfId="1103" priority="931" operator="equal">
      <formula>"No"</formula>
    </cfRule>
    <cfRule type="cellIs" dxfId="1102" priority="932" operator="equal">
      <formula>"NA"</formula>
    </cfRule>
    <cfRule type="cellIs" dxfId="1101" priority="933" operator="equal">
      <formula>"Yes"</formula>
    </cfRule>
  </conditionalFormatting>
  <conditionalFormatting sqref="DF19">
    <cfRule type="cellIs" dxfId="1100" priority="928" operator="equal">
      <formula>"No"</formula>
    </cfRule>
    <cfRule type="cellIs" dxfId="1099" priority="929" operator="equal">
      <formula>"NA"</formula>
    </cfRule>
    <cfRule type="cellIs" dxfId="1098" priority="930" operator="equal">
      <formula>"Yes"</formula>
    </cfRule>
  </conditionalFormatting>
  <conditionalFormatting sqref="DF20">
    <cfRule type="cellIs" dxfId="1097" priority="925" operator="equal">
      <formula>"No"</formula>
    </cfRule>
    <cfRule type="cellIs" dxfId="1096" priority="926" operator="equal">
      <formula>"NA"</formula>
    </cfRule>
    <cfRule type="cellIs" dxfId="1095" priority="927" operator="equal">
      <formula>"Yes"</formula>
    </cfRule>
  </conditionalFormatting>
  <conditionalFormatting sqref="DF21">
    <cfRule type="cellIs" dxfId="1094" priority="922" operator="equal">
      <formula>"No"</formula>
    </cfRule>
    <cfRule type="cellIs" dxfId="1093" priority="923" operator="equal">
      <formula>"NA"</formula>
    </cfRule>
    <cfRule type="cellIs" dxfId="1092" priority="924" operator="equal">
      <formula>"Yes"</formula>
    </cfRule>
  </conditionalFormatting>
  <conditionalFormatting sqref="DF22">
    <cfRule type="cellIs" dxfId="1091" priority="919" operator="equal">
      <formula>"No"</formula>
    </cfRule>
    <cfRule type="cellIs" dxfId="1090" priority="920" operator="equal">
      <formula>"NA"</formula>
    </cfRule>
    <cfRule type="cellIs" dxfId="1089" priority="921" operator="equal">
      <formula>"Yes"</formula>
    </cfRule>
  </conditionalFormatting>
  <conditionalFormatting sqref="DF23">
    <cfRule type="cellIs" dxfId="1088" priority="916" operator="equal">
      <formula>"No"</formula>
    </cfRule>
    <cfRule type="cellIs" dxfId="1087" priority="917" operator="equal">
      <formula>"NA"</formula>
    </cfRule>
    <cfRule type="cellIs" dxfId="1086" priority="918" operator="equal">
      <formula>"Yes"</formula>
    </cfRule>
  </conditionalFormatting>
  <conditionalFormatting sqref="DF26">
    <cfRule type="cellIs" dxfId="1085" priority="913" operator="equal">
      <formula>"No"</formula>
    </cfRule>
    <cfRule type="cellIs" dxfId="1084" priority="914" operator="equal">
      <formula>"NA"</formula>
    </cfRule>
    <cfRule type="cellIs" dxfId="1083" priority="915" operator="equal">
      <formula>"Yes"</formula>
    </cfRule>
  </conditionalFormatting>
  <conditionalFormatting sqref="DF33">
    <cfRule type="cellIs" dxfId="1082" priority="910" operator="equal">
      <formula>"No"</formula>
    </cfRule>
    <cfRule type="cellIs" dxfId="1081" priority="911" operator="equal">
      <formula>"NA"</formula>
    </cfRule>
    <cfRule type="cellIs" dxfId="1080" priority="912" operator="equal">
      <formula>"Yes"</formula>
    </cfRule>
  </conditionalFormatting>
  <conditionalFormatting sqref="DF27">
    <cfRule type="cellIs" dxfId="1079" priority="907" operator="equal">
      <formula>"No"</formula>
    </cfRule>
    <cfRule type="cellIs" dxfId="1078" priority="908" operator="equal">
      <formula>"NA"</formula>
    </cfRule>
    <cfRule type="cellIs" dxfId="1077" priority="909" operator="equal">
      <formula>"Yes"</formula>
    </cfRule>
  </conditionalFormatting>
  <conditionalFormatting sqref="DF28">
    <cfRule type="cellIs" dxfId="1076" priority="904" operator="equal">
      <formula>"No"</formula>
    </cfRule>
    <cfRule type="cellIs" dxfId="1075" priority="905" operator="equal">
      <formula>"NA"</formula>
    </cfRule>
    <cfRule type="cellIs" dxfId="1074" priority="906" operator="equal">
      <formula>"Yes"</formula>
    </cfRule>
  </conditionalFormatting>
  <conditionalFormatting sqref="DF30">
    <cfRule type="cellIs" dxfId="1073" priority="901" operator="equal">
      <formula>"No"</formula>
    </cfRule>
    <cfRule type="cellIs" dxfId="1072" priority="902" operator="equal">
      <formula>"NA"</formula>
    </cfRule>
    <cfRule type="cellIs" dxfId="1071" priority="903" operator="equal">
      <formula>"Yes"</formula>
    </cfRule>
  </conditionalFormatting>
  <conditionalFormatting sqref="DF31">
    <cfRule type="cellIs" dxfId="1070" priority="898" operator="equal">
      <formula>"No"</formula>
    </cfRule>
    <cfRule type="cellIs" dxfId="1069" priority="899" operator="equal">
      <formula>"NA"</formula>
    </cfRule>
    <cfRule type="cellIs" dxfId="1068" priority="900" operator="equal">
      <formula>"Yes"</formula>
    </cfRule>
  </conditionalFormatting>
  <conditionalFormatting sqref="DF6">
    <cfRule type="cellIs" dxfId="1067" priority="895" operator="equal">
      <formula>"No"</formula>
    </cfRule>
    <cfRule type="cellIs" dxfId="1066" priority="896" operator="equal">
      <formula>"NA"</formula>
    </cfRule>
    <cfRule type="cellIs" dxfId="1065" priority="897" operator="equal">
      <formula>"Yes"</formula>
    </cfRule>
  </conditionalFormatting>
  <conditionalFormatting sqref="DF25">
    <cfRule type="cellIs" dxfId="1064" priority="892" operator="equal">
      <formula>"No"</formula>
    </cfRule>
    <cfRule type="cellIs" dxfId="1063" priority="893" operator="equal">
      <formula>"NA"</formula>
    </cfRule>
    <cfRule type="cellIs" dxfId="1062" priority="894" operator="equal">
      <formula>"Yes"</formula>
    </cfRule>
  </conditionalFormatting>
  <conditionalFormatting sqref="DF15">
    <cfRule type="cellIs" dxfId="1061" priority="889" operator="equal">
      <formula>"No"</formula>
    </cfRule>
    <cfRule type="cellIs" dxfId="1060" priority="890" operator="equal">
      <formula>"NA"</formula>
    </cfRule>
    <cfRule type="cellIs" dxfId="1059" priority="891" operator="equal">
      <formula>"Yes"</formula>
    </cfRule>
  </conditionalFormatting>
  <conditionalFormatting sqref="DF14">
    <cfRule type="cellIs" dxfId="1058" priority="886" operator="equal">
      <formula>"No"</formula>
    </cfRule>
    <cfRule type="cellIs" dxfId="1057" priority="887" operator="equal">
      <formula>"NA"</formula>
    </cfRule>
    <cfRule type="cellIs" dxfId="1056" priority="888" operator="equal">
      <formula>"Yes"</formula>
    </cfRule>
  </conditionalFormatting>
  <conditionalFormatting sqref="DF11">
    <cfRule type="cellIs" dxfId="1055" priority="883" operator="equal">
      <formula>"No"</formula>
    </cfRule>
    <cfRule type="cellIs" dxfId="1054" priority="884" operator="equal">
      <formula>"NA"</formula>
    </cfRule>
    <cfRule type="cellIs" dxfId="1053" priority="885" operator="equal">
      <formula>"Yes"</formula>
    </cfRule>
  </conditionalFormatting>
  <conditionalFormatting sqref="DF17">
    <cfRule type="cellIs" dxfId="1052" priority="880" operator="equal">
      <formula>"No"</formula>
    </cfRule>
    <cfRule type="cellIs" dxfId="1051" priority="881" operator="equal">
      <formula>"NA"</formula>
    </cfRule>
    <cfRule type="cellIs" dxfId="1050" priority="882" operator="equal">
      <formula>"Yes"</formula>
    </cfRule>
  </conditionalFormatting>
  <conditionalFormatting sqref="DF9">
    <cfRule type="cellIs" dxfId="1049" priority="877" operator="equal">
      <formula>"No"</formula>
    </cfRule>
    <cfRule type="cellIs" dxfId="1048" priority="878" operator="equal">
      <formula>"NA"</formula>
    </cfRule>
    <cfRule type="cellIs" dxfId="1047" priority="879" operator="equal">
      <formula>"Yes"</formula>
    </cfRule>
  </conditionalFormatting>
  <conditionalFormatting sqref="DF10">
    <cfRule type="cellIs" dxfId="1046" priority="874" operator="equal">
      <formula>"No"</formula>
    </cfRule>
    <cfRule type="cellIs" dxfId="1045" priority="875" operator="equal">
      <formula>"NA"</formula>
    </cfRule>
    <cfRule type="cellIs" dxfId="1044" priority="876" operator="equal">
      <formula>"Yes"</formula>
    </cfRule>
  </conditionalFormatting>
  <conditionalFormatting sqref="DG7">
    <cfRule type="cellIs" dxfId="1043" priority="871" operator="equal">
      <formula>"No"</formula>
    </cfRule>
    <cfRule type="cellIs" dxfId="1042" priority="872" operator="equal">
      <formula>"NA"</formula>
    </cfRule>
    <cfRule type="cellIs" dxfId="1041" priority="873" operator="equal">
      <formula>"Yes"</formula>
    </cfRule>
  </conditionalFormatting>
  <conditionalFormatting sqref="DG11">
    <cfRule type="cellIs" dxfId="1040" priority="868" operator="equal">
      <formula>"No"</formula>
    </cfRule>
    <cfRule type="cellIs" dxfId="1039" priority="869" operator="equal">
      <formula>"NA"</formula>
    </cfRule>
    <cfRule type="cellIs" dxfId="1038" priority="870" operator="equal">
      <formula>"Yes"</formula>
    </cfRule>
  </conditionalFormatting>
  <conditionalFormatting sqref="DG12">
    <cfRule type="cellIs" dxfId="1037" priority="865" operator="equal">
      <formula>"No"</formula>
    </cfRule>
    <cfRule type="cellIs" dxfId="1036" priority="866" operator="equal">
      <formula>"NA"</formula>
    </cfRule>
    <cfRule type="cellIs" dxfId="1035" priority="867" operator="equal">
      <formula>"Yes"</formula>
    </cfRule>
  </conditionalFormatting>
  <conditionalFormatting sqref="DG13">
    <cfRule type="cellIs" dxfId="1034" priority="862" operator="equal">
      <formula>"No"</formula>
    </cfRule>
    <cfRule type="cellIs" dxfId="1033" priority="863" operator="equal">
      <formula>"NA"</formula>
    </cfRule>
    <cfRule type="cellIs" dxfId="1032" priority="864" operator="equal">
      <formula>"Yes"</formula>
    </cfRule>
  </conditionalFormatting>
  <conditionalFormatting sqref="DG16">
    <cfRule type="cellIs" dxfId="1031" priority="859" operator="equal">
      <formula>"No"</formula>
    </cfRule>
    <cfRule type="cellIs" dxfId="1030" priority="860" operator="equal">
      <formula>"NA"</formula>
    </cfRule>
    <cfRule type="cellIs" dxfId="1029" priority="861" operator="equal">
      <formula>"Yes"</formula>
    </cfRule>
  </conditionalFormatting>
  <conditionalFormatting sqref="DG18">
    <cfRule type="cellIs" dxfId="1028" priority="856" operator="equal">
      <formula>"No"</formula>
    </cfRule>
    <cfRule type="cellIs" dxfId="1027" priority="857" operator="equal">
      <formula>"NA"</formula>
    </cfRule>
    <cfRule type="cellIs" dxfId="1026" priority="858" operator="equal">
      <formula>"Yes"</formula>
    </cfRule>
  </conditionalFormatting>
  <conditionalFormatting sqref="DG19">
    <cfRule type="cellIs" dxfId="1025" priority="853" operator="equal">
      <formula>"No"</formula>
    </cfRule>
    <cfRule type="cellIs" dxfId="1024" priority="854" operator="equal">
      <formula>"NA"</formula>
    </cfRule>
    <cfRule type="cellIs" dxfId="1023" priority="855" operator="equal">
      <formula>"Yes"</formula>
    </cfRule>
  </conditionalFormatting>
  <conditionalFormatting sqref="DG20">
    <cfRule type="cellIs" dxfId="1022" priority="850" operator="equal">
      <formula>"No"</formula>
    </cfRule>
    <cfRule type="cellIs" dxfId="1021" priority="851" operator="equal">
      <formula>"NA"</formula>
    </cfRule>
    <cfRule type="cellIs" dxfId="1020" priority="852" operator="equal">
      <formula>"Yes"</formula>
    </cfRule>
  </conditionalFormatting>
  <conditionalFormatting sqref="DG21">
    <cfRule type="cellIs" dxfId="1019" priority="847" operator="equal">
      <formula>"No"</formula>
    </cfRule>
    <cfRule type="cellIs" dxfId="1018" priority="848" operator="equal">
      <formula>"NA"</formula>
    </cfRule>
    <cfRule type="cellIs" dxfId="1017" priority="849" operator="equal">
      <formula>"Yes"</formula>
    </cfRule>
  </conditionalFormatting>
  <conditionalFormatting sqref="DG22">
    <cfRule type="cellIs" dxfId="1016" priority="844" operator="equal">
      <formula>"No"</formula>
    </cfRule>
    <cfRule type="cellIs" dxfId="1015" priority="845" operator="equal">
      <formula>"NA"</formula>
    </cfRule>
    <cfRule type="cellIs" dxfId="1014" priority="846" operator="equal">
      <formula>"Yes"</formula>
    </cfRule>
  </conditionalFormatting>
  <conditionalFormatting sqref="DG23">
    <cfRule type="cellIs" dxfId="1013" priority="841" operator="equal">
      <formula>"No"</formula>
    </cfRule>
    <cfRule type="cellIs" dxfId="1012" priority="842" operator="equal">
      <formula>"NA"</formula>
    </cfRule>
    <cfRule type="cellIs" dxfId="1011" priority="843" operator="equal">
      <formula>"Yes"</formula>
    </cfRule>
  </conditionalFormatting>
  <conditionalFormatting sqref="DG26">
    <cfRule type="cellIs" dxfId="1010" priority="838" operator="equal">
      <formula>"No"</formula>
    </cfRule>
    <cfRule type="cellIs" dxfId="1009" priority="839" operator="equal">
      <formula>"NA"</formula>
    </cfRule>
    <cfRule type="cellIs" dxfId="1008" priority="840" operator="equal">
      <formula>"Yes"</formula>
    </cfRule>
  </conditionalFormatting>
  <conditionalFormatting sqref="DG33">
    <cfRule type="cellIs" dxfId="1007" priority="835" operator="equal">
      <formula>"No"</formula>
    </cfRule>
    <cfRule type="cellIs" dxfId="1006" priority="836" operator="equal">
      <formula>"NA"</formula>
    </cfRule>
    <cfRule type="cellIs" dxfId="1005" priority="837" operator="equal">
      <formula>"Yes"</formula>
    </cfRule>
  </conditionalFormatting>
  <conditionalFormatting sqref="DG27">
    <cfRule type="cellIs" dxfId="1004" priority="832" operator="equal">
      <formula>"No"</formula>
    </cfRule>
    <cfRule type="cellIs" dxfId="1003" priority="833" operator="equal">
      <formula>"NA"</formula>
    </cfRule>
    <cfRule type="cellIs" dxfId="1002" priority="834" operator="equal">
      <formula>"Yes"</formula>
    </cfRule>
  </conditionalFormatting>
  <conditionalFormatting sqref="DG28">
    <cfRule type="cellIs" dxfId="1001" priority="829" operator="equal">
      <formula>"No"</formula>
    </cfRule>
    <cfRule type="cellIs" dxfId="1000" priority="830" operator="equal">
      <formula>"NA"</formula>
    </cfRule>
    <cfRule type="cellIs" dxfId="999" priority="831" operator="equal">
      <formula>"Yes"</formula>
    </cfRule>
  </conditionalFormatting>
  <conditionalFormatting sqref="DG30">
    <cfRule type="cellIs" dxfId="998" priority="826" operator="equal">
      <formula>"No"</formula>
    </cfRule>
    <cfRule type="cellIs" dxfId="997" priority="827" operator="equal">
      <formula>"NA"</formula>
    </cfRule>
    <cfRule type="cellIs" dxfId="996" priority="828" operator="equal">
      <formula>"Yes"</formula>
    </cfRule>
  </conditionalFormatting>
  <conditionalFormatting sqref="DG31">
    <cfRule type="cellIs" dxfId="995" priority="823" operator="equal">
      <formula>"No"</formula>
    </cfRule>
    <cfRule type="cellIs" dxfId="994" priority="824" operator="equal">
      <formula>"NA"</formula>
    </cfRule>
    <cfRule type="cellIs" dxfId="993" priority="825" operator="equal">
      <formula>"Yes"</formula>
    </cfRule>
  </conditionalFormatting>
  <conditionalFormatting sqref="DG6">
    <cfRule type="cellIs" dxfId="992" priority="820" operator="equal">
      <formula>"No"</formula>
    </cfRule>
    <cfRule type="cellIs" dxfId="991" priority="821" operator="equal">
      <formula>"NA"</formula>
    </cfRule>
    <cfRule type="cellIs" dxfId="990" priority="822" operator="equal">
      <formula>"Yes"</formula>
    </cfRule>
  </conditionalFormatting>
  <conditionalFormatting sqref="DG25">
    <cfRule type="cellIs" dxfId="989" priority="817" operator="equal">
      <formula>"No"</formula>
    </cfRule>
    <cfRule type="cellIs" dxfId="988" priority="818" operator="equal">
      <formula>"NA"</formula>
    </cfRule>
    <cfRule type="cellIs" dxfId="987" priority="819" operator="equal">
      <formula>"Yes"</formula>
    </cfRule>
  </conditionalFormatting>
  <conditionalFormatting sqref="DG10">
    <cfRule type="cellIs" dxfId="986" priority="814" operator="equal">
      <formula>"No"</formula>
    </cfRule>
    <cfRule type="cellIs" dxfId="985" priority="815" operator="equal">
      <formula>"NA"</formula>
    </cfRule>
    <cfRule type="cellIs" dxfId="984" priority="816" operator="equal">
      <formula>"Yes"</formula>
    </cfRule>
  </conditionalFormatting>
  <conditionalFormatting sqref="DG15">
    <cfRule type="cellIs" dxfId="983" priority="811" operator="equal">
      <formula>"No"</formula>
    </cfRule>
    <cfRule type="cellIs" dxfId="982" priority="812" operator="equal">
      <formula>"NA"</formula>
    </cfRule>
    <cfRule type="cellIs" dxfId="981" priority="813" operator="equal">
      <formula>"Yes"</formula>
    </cfRule>
  </conditionalFormatting>
  <conditionalFormatting sqref="DG9">
    <cfRule type="cellIs" dxfId="980" priority="808" operator="equal">
      <formula>"No"</formula>
    </cfRule>
    <cfRule type="cellIs" dxfId="979" priority="809" operator="equal">
      <formula>"NA"</formula>
    </cfRule>
    <cfRule type="cellIs" dxfId="978" priority="810" operator="equal">
      <formula>"Yes"</formula>
    </cfRule>
  </conditionalFormatting>
  <conditionalFormatting sqref="DG17">
    <cfRule type="cellIs" dxfId="977" priority="805" operator="equal">
      <formula>"No"</formula>
    </cfRule>
    <cfRule type="cellIs" dxfId="976" priority="806" operator="equal">
      <formula>"NA"</formula>
    </cfRule>
    <cfRule type="cellIs" dxfId="975" priority="807" operator="equal">
      <formula>"Yes"</formula>
    </cfRule>
  </conditionalFormatting>
  <conditionalFormatting sqref="DG14">
    <cfRule type="cellIs" dxfId="974" priority="802" operator="equal">
      <formula>"No"</formula>
    </cfRule>
    <cfRule type="cellIs" dxfId="973" priority="803" operator="equal">
      <formula>"NA"</formula>
    </cfRule>
    <cfRule type="cellIs" dxfId="972" priority="804" operator="equal">
      <formula>"Yes"</formula>
    </cfRule>
  </conditionalFormatting>
  <conditionalFormatting sqref="DH33 DH30:DH31 DH6:DH7 DH25:DH28 DH9:DH23">
    <cfRule type="cellIs" dxfId="971" priority="799" operator="equal">
      <formula>"No"</formula>
    </cfRule>
    <cfRule type="cellIs" dxfId="970" priority="800" operator="equal">
      <formula>"NA"</formula>
    </cfRule>
    <cfRule type="cellIs" dxfId="969" priority="801" operator="equal">
      <formula>"Yes"</formula>
    </cfRule>
  </conditionalFormatting>
  <conditionalFormatting sqref="DI7">
    <cfRule type="cellIs" dxfId="968" priority="796" operator="equal">
      <formula>"No"</formula>
    </cfRule>
    <cfRule type="cellIs" dxfId="967" priority="797" operator="equal">
      <formula>"NA"</formula>
    </cfRule>
    <cfRule type="cellIs" dxfId="966" priority="798" operator="equal">
      <formula>"Yes"</formula>
    </cfRule>
  </conditionalFormatting>
  <conditionalFormatting sqref="DI12">
    <cfRule type="cellIs" dxfId="965" priority="793" operator="equal">
      <formula>"No"</formula>
    </cfRule>
    <cfRule type="cellIs" dxfId="964" priority="794" operator="equal">
      <formula>"NA"</formula>
    </cfRule>
    <cfRule type="cellIs" dxfId="963" priority="795" operator="equal">
      <formula>"Yes"</formula>
    </cfRule>
  </conditionalFormatting>
  <conditionalFormatting sqref="DI13">
    <cfRule type="cellIs" dxfId="962" priority="790" operator="equal">
      <formula>"No"</formula>
    </cfRule>
    <cfRule type="cellIs" dxfId="961" priority="791" operator="equal">
      <formula>"NA"</formula>
    </cfRule>
    <cfRule type="cellIs" dxfId="960" priority="792" operator="equal">
      <formula>"Yes"</formula>
    </cfRule>
  </conditionalFormatting>
  <conditionalFormatting sqref="DI16">
    <cfRule type="cellIs" dxfId="959" priority="787" operator="equal">
      <formula>"No"</formula>
    </cfRule>
    <cfRule type="cellIs" dxfId="958" priority="788" operator="equal">
      <formula>"NA"</formula>
    </cfRule>
    <cfRule type="cellIs" dxfId="957" priority="789" operator="equal">
      <formula>"Yes"</formula>
    </cfRule>
  </conditionalFormatting>
  <conditionalFormatting sqref="DI18">
    <cfRule type="cellIs" dxfId="956" priority="784" operator="equal">
      <formula>"No"</formula>
    </cfRule>
    <cfRule type="cellIs" dxfId="955" priority="785" operator="equal">
      <formula>"NA"</formula>
    </cfRule>
    <cfRule type="cellIs" dxfId="954" priority="786" operator="equal">
      <formula>"Yes"</formula>
    </cfRule>
  </conditionalFormatting>
  <conditionalFormatting sqref="DI19">
    <cfRule type="cellIs" dxfId="953" priority="781" operator="equal">
      <formula>"No"</formula>
    </cfRule>
    <cfRule type="cellIs" dxfId="952" priority="782" operator="equal">
      <formula>"NA"</formula>
    </cfRule>
    <cfRule type="cellIs" dxfId="951" priority="783" operator="equal">
      <formula>"Yes"</formula>
    </cfRule>
  </conditionalFormatting>
  <conditionalFormatting sqref="DI20">
    <cfRule type="cellIs" dxfId="950" priority="778" operator="equal">
      <formula>"No"</formula>
    </cfRule>
    <cfRule type="cellIs" dxfId="949" priority="779" operator="equal">
      <formula>"NA"</formula>
    </cfRule>
    <cfRule type="cellIs" dxfId="948" priority="780" operator="equal">
      <formula>"Yes"</formula>
    </cfRule>
  </conditionalFormatting>
  <conditionalFormatting sqref="DI21">
    <cfRule type="cellIs" dxfId="947" priority="775" operator="equal">
      <formula>"No"</formula>
    </cfRule>
    <cfRule type="cellIs" dxfId="946" priority="776" operator="equal">
      <formula>"NA"</formula>
    </cfRule>
    <cfRule type="cellIs" dxfId="945" priority="777" operator="equal">
      <formula>"Yes"</formula>
    </cfRule>
  </conditionalFormatting>
  <conditionalFormatting sqref="DI22">
    <cfRule type="cellIs" dxfId="944" priority="772" operator="equal">
      <formula>"No"</formula>
    </cfRule>
    <cfRule type="cellIs" dxfId="943" priority="773" operator="equal">
      <formula>"NA"</formula>
    </cfRule>
    <cfRule type="cellIs" dxfId="942" priority="774" operator="equal">
      <formula>"Yes"</formula>
    </cfRule>
  </conditionalFormatting>
  <conditionalFormatting sqref="DI23">
    <cfRule type="cellIs" dxfId="941" priority="769" operator="equal">
      <formula>"No"</formula>
    </cfRule>
    <cfRule type="cellIs" dxfId="940" priority="770" operator="equal">
      <formula>"NA"</formula>
    </cfRule>
    <cfRule type="cellIs" dxfId="939" priority="771" operator="equal">
      <formula>"Yes"</formula>
    </cfRule>
  </conditionalFormatting>
  <conditionalFormatting sqref="DI26">
    <cfRule type="cellIs" dxfId="938" priority="766" operator="equal">
      <formula>"No"</formula>
    </cfRule>
    <cfRule type="cellIs" dxfId="937" priority="767" operator="equal">
      <formula>"NA"</formula>
    </cfRule>
    <cfRule type="cellIs" dxfId="936" priority="768" operator="equal">
      <formula>"Yes"</formula>
    </cfRule>
  </conditionalFormatting>
  <conditionalFormatting sqref="DI33">
    <cfRule type="cellIs" dxfId="935" priority="763" operator="equal">
      <formula>"No"</formula>
    </cfRule>
    <cfRule type="cellIs" dxfId="934" priority="764" operator="equal">
      <formula>"NA"</formula>
    </cfRule>
    <cfRule type="cellIs" dxfId="933" priority="765" operator="equal">
      <formula>"Yes"</formula>
    </cfRule>
  </conditionalFormatting>
  <conditionalFormatting sqref="DI27">
    <cfRule type="cellIs" dxfId="932" priority="760" operator="equal">
      <formula>"No"</formula>
    </cfRule>
    <cfRule type="cellIs" dxfId="931" priority="761" operator="equal">
      <formula>"NA"</formula>
    </cfRule>
    <cfRule type="cellIs" dxfId="930" priority="762" operator="equal">
      <formula>"Yes"</formula>
    </cfRule>
  </conditionalFormatting>
  <conditionalFormatting sqref="DI28">
    <cfRule type="cellIs" dxfId="929" priority="757" operator="equal">
      <formula>"No"</formula>
    </cfRule>
    <cfRule type="cellIs" dxfId="928" priority="758" operator="equal">
      <formula>"NA"</formula>
    </cfRule>
    <cfRule type="cellIs" dxfId="927" priority="759" operator="equal">
      <formula>"Yes"</formula>
    </cfRule>
  </conditionalFormatting>
  <conditionalFormatting sqref="DI30">
    <cfRule type="cellIs" dxfId="926" priority="754" operator="equal">
      <formula>"No"</formula>
    </cfRule>
    <cfRule type="cellIs" dxfId="925" priority="755" operator="equal">
      <formula>"NA"</formula>
    </cfRule>
    <cfRule type="cellIs" dxfId="924" priority="756" operator="equal">
      <formula>"Yes"</formula>
    </cfRule>
  </conditionalFormatting>
  <conditionalFormatting sqref="DI31">
    <cfRule type="cellIs" dxfId="923" priority="751" operator="equal">
      <formula>"No"</formula>
    </cfRule>
    <cfRule type="cellIs" dxfId="922" priority="752" operator="equal">
      <formula>"NA"</formula>
    </cfRule>
    <cfRule type="cellIs" dxfId="921" priority="753" operator="equal">
      <formula>"Yes"</formula>
    </cfRule>
  </conditionalFormatting>
  <conditionalFormatting sqref="DI6">
    <cfRule type="cellIs" dxfId="920" priority="748" operator="equal">
      <formula>"No"</formula>
    </cfRule>
    <cfRule type="cellIs" dxfId="919" priority="749" operator="equal">
      <formula>"NA"</formula>
    </cfRule>
    <cfRule type="cellIs" dxfId="918" priority="750" operator="equal">
      <formula>"Yes"</formula>
    </cfRule>
  </conditionalFormatting>
  <conditionalFormatting sqref="DI25">
    <cfRule type="cellIs" dxfId="917" priority="745" operator="equal">
      <formula>"No"</formula>
    </cfRule>
    <cfRule type="cellIs" dxfId="916" priority="746" operator="equal">
      <formula>"NA"</formula>
    </cfRule>
    <cfRule type="cellIs" dxfId="915" priority="747" operator="equal">
      <formula>"Yes"</formula>
    </cfRule>
  </conditionalFormatting>
  <conditionalFormatting sqref="DI15">
    <cfRule type="cellIs" dxfId="914" priority="742" operator="equal">
      <formula>"No"</formula>
    </cfRule>
    <cfRule type="cellIs" dxfId="913" priority="743" operator="equal">
      <formula>"NA"</formula>
    </cfRule>
    <cfRule type="cellIs" dxfId="912" priority="744" operator="equal">
      <formula>"Yes"</formula>
    </cfRule>
  </conditionalFormatting>
  <conditionalFormatting sqref="DI17">
    <cfRule type="cellIs" dxfId="911" priority="739" operator="equal">
      <formula>"No"</formula>
    </cfRule>
    <cfRule type="cellIs" dxfId="910" priority="740" operator="equal">
      <formula>"NA"</formula>
    </cfRule>
    <cfRule type="cellIs" dxfId="909" priority="741" operator="equal">
      <formula>"Yes"</formula>
    </cfRule>
  </conditionalFormatting>
  <conditionalFormatting sqref="DI14">
    <cfRule type="cellIs" dxfId="908" priority="736" operator="equal">
      <formula>"No"</formula>
    </cfRule>
    <cfRule type="cellIs" dxfId="907" priority="737" operator="equal">
      <formula>"NA"</formula>
    </cfRule>
    <cfRule type="cellIs" dxfId="906" priority="738" operator="equal">
      <formula>"Yes"</formula>
    </cfRule>
  </conditionalFormatting>
  <conditionalFormatting sqref="DI11">
    <cfRule type="cellIs" dxfId="905" priority="733" operator="equal">
      <formula>"No"</formula>
    </cfRule>
    <cfRule type="cellIs" dxfId="904" priority="734" operator="equal">
      <formula>"NA"</formula>
    </cfRule>
    <cfRule type="cellIs" dxfId="903" priority="735" operator="equal">
      <formula>"Yes"</formula>
    </cfRule>
  </conditionalFormatting>
  <conditionalFormatting sqref="DI9">
    <cfRule type="cellIs" dxfId="902" priority="730" operator="equal">
      <formula>"No"</formula>
    </cfRule>
    <cfRule type="cellIs" dxfId="901" priority="731" operator="equal">
      <formula>"NA"</formula>
    </cfRule>
    <cfRule type="cellIs" dxfId="900" priority="732" operator="equal">
      <formula>"Yes"</formula>
    </cfRule>
  </conditionalFormatting>
  <conditionalFormatting sqref="DI10">
    <cfRule type="cellIs" dxfId="899" priority="727" operator="equal">
      <formula>"No"</formula>
    </cfRule>
    <cfRule type="cellIs" dxfId="898" priority="728" operator="equal">
      <formula>"NA"</formula>
    </cfRule>
    <cfRule type="cellIs" dxfId="897" priority="729" operator="equal">
      <formula>"Yes"</formula>
    </cfRule>
  </conditionalFormatting>
  <conditionalFormatting sqref="DJ7">
    <cfRule type="cellIs" dxfId="896" priority="724" operator="equal">
      <formula>"No"</formula>
    </cfRule>
    <cfRule type="cellIs" dxfId="895" priority="725" operator="equal">
      <formula>"NA"</formula>
    </cfRule>
    <cfRule type="cellIs" dxfId="894" priority="726" operator="equal">
      <formula>"Yes"</formula>
    </cfRule>
  </conditionalFormatting>
  <conditionalFormatting sqref="DJ12">
    <cfRule type="cellIs" dxfId="893" priority="721" operator="equal">
      <formula>"No"</formula>
    </cfRule>
    <cfRule type="cellIs" dxfId="892" priority="722" operator="equal">
      <formula>"NA"</formula>
    </cfRule>
    <cfRule type="cellIs" dxfId="891" priority="723" operator="equal">
      <formula>"Yes"</formula>
    </cfRule>
  </conditionalFormatting>
  <conditionalFormatting sqref="DJ13">
    <cfRule type="cellIs" dxfId="890" priority="718" operator="equal">
      <formula>"No"</formula>
    </cfRule>
    <cfRule type="cellIs" dxfId="889" priority="719" operator="equal">
      <formula>"NA"</formula>
    </cfRule>
    <cfRule type="cellIs" dxfId="888" priority="720" operator="equal">
      <formula>"Yes"</formula>
    </cfRule>
  </conditionalFormatting>
  <conditionalFormatting sqref="DJ16">
    <cfRule type="cellIs" dxfId="887" priority="715" operator="equal">
      <formula>"No"</formula>
    </cfRule>
    <cfRule type="cellIs" dxfId="886" priority="716" operator="equal">
      <formula>"NA"</formula>
    </cfRule>
    <cfRule type="cellIs" dxfId="885" priority="717" operator="equal">
      <formula>"Yes"</formula>
    </cfRule>
  </conditionalFormatting>
  <conditionalFormatting sqref="DJ18">
    <cfRule type="cellIs" dxfId="884" priority="712" operator="equal">
      <formula>"No"</formula>
    </cfRule>
    <cfRule type="cellIs" dxfId="883" priority="713" operator="equal">
      <formula>"NA"</formula>
    </cfRule>
    <cfRule type="cellIs" dxfId="882" priority="714" operator="equal">
      <formula>"Yes"</formula>
    </cfRule>
  </conditionalFormatting>
  <conditionalFormatting sqref="DJ19">
    <cfRule type="cellIs" dxfId="881" priority="709" operator="equal">
      <formula>"No"</formula>
    </cfRule>
    <cfRule type="cellIs" dxfId="880" priority="710" operator="equal">
      <formula>"NA"</formula>
    </cfRule>
    <cfRule type="cellIs" dxfId="879" priority="711" operator="equal">
      <formula>"Yes"</formula>
    </cfRule>
  </conditionalFormatting>
  <conditionalFormatting sqref="DJ20">
    <cfRule type="cellIs" dxfId="878" priority="706" operator="equal">
      <formula>"No"</formula>
    </cfRule>
    <cfRule type="cellIs" dxfId="877" priority="707" operator="equal">
      <formula>"NA"</formula>
    </cfRule>
    <cfRule type="cellIs" dxfId="876" priority="708" operator="equal">
      <formula>"Yes"</formula>
    </cfRule>
  </conditionalFormatting>
  <conditionalFormatting sqref="DJ21">
    <cfRule type="cellIs" dxfId="875" priority="703" operator="equal">
      <formula>"No"</formula>
    </cfRule>
    <cfRule type="cellIs" dxfId="874" priority="704" operator="equal">
      <formula>"NA"</formula>
    </cfRule>
    <cfRule type="cellIs" dxfId="873" priority="705" operator="equal">
      <formula>"Yes"</formula>
    </cfRule>
  </conditionalFormatting>
  <conditionalFormatting sqref="DJ22">
    <cfRule type="cellIs" dxfId="872" priority="700" operator="equal">
      <formula>"No"</formula>
    </cfRule>
    <cfRule type="cellIs" dxfId="871" priority="701" operator="equal">
      <formula>"NA"</formula>
    </cfRule>
    <cfRule type="cellIs" dxfId="870" priority="702" operator="equal">
      <formula>"Yes"</formula>
    </cfRule>
  </conditionalFormatting>
  <conditionalFormatting sqref="DJ23">
    <cfRule type="cellIs" dxfId="869" priority="697" operator="equal">
      <formula>"No"</formula>
    </cfRule>
    <cfRule type="cellIs" dxfId="868" priority="698" operator="equal">
      <formula>"NA"</formula>
    </cfRule>
    <cfRule type="cellIs" dxfId="867" priority="699" operator="equal">
      <formula>"Yes"</formula>
    </cfRule>
  </conditionalFormatting>
  <conditionalFormatting sqref="DJ26">
    <cfRule type="cellIs" dxfId="866" priority="694" operator="equal">
      <formula>"No"</formula>
    </cfRule>
    <cfRule type="cellIs" dxfId="865" priority="695" operator="equal">
      <formula>"NA"</formula>
    </cfRule>
    <cfRule type="cellIs" dxfId="864" priority="696" operator="equal">
      <formula>"Yes"</formula>
    </cfRule>
  </conditionalFormatting>
  <conditionalFormatting sqref="DJ33">
    <cfRule type="cellIs" dxfId="863" priority="691" operator="equal">
      <formula>"No"</formula>
    </cfRule>
    <cfRule type="cellIs" dxfId="862" priority="692" operator="equal">
      <formula>"NA"</formula>
    </cfRule>
    <cfRule type="cellIs" dxfId="861" priority="693" operator="equal">
      <formula>"Yes"</formula>
    </cfRule>
  </conditionalFormatting>
  <conditionalFormatting sqref="DJ27">
    <cfRule type="cellIs" dxfId="860" priority="688" operator="equal">
      <formula>"No"</formula>
    </cfRule>
    <cfRule type="cellIs" dxfId="859" priority="689" operator="equal">
      <formula>"NA"</formula>
    </cfRule>
    <cfRule type="cellIs" dxfId="858" priority="690" operator="equal">
      <formula>"Yes"</formula>
    </cfRule>
  </conditionalFormatting>
  <conditionalFormatting sqref="DJ28">
    <cfRule type="cellIs" dxfId="857" priority="685" operator="equal">
      <formula>"No"</formula>
    </cfRule>
    <cfRule type="cellIs" dxfId="856" priority="686" operator="equal">
      <formula>"NA"</formula>
    </cfRule>
    <cfRule type="cellIs" dxfId="855" priority="687" operator="equal">
      <formula>"Yes"</formula>
    </cfRule>
  </conditionalFormatting>
  <conditionalFormatting sqref="DJ30">
    <cfRule type="cellIs" dxfId="854" priority="682" operator="equal">
      <formula>"No"</formula>
    </cfRule>
    <cfRule type="cellIs" dxfId="853" priority="683" operator="equal">
      <formula>"NA"</formula>
    </cfRule>
    <cfRule type="cellIs" dxfId="852" priority="684" operator="equal">
      <formula>"Yes"</formula>
    </cfRule>
  </conditionalFormatting>
  <conditionalFormatting sqref="DJ31">
    <cfRule type="cellIs" dxfId="851" priority="679" operator="equal">
      <formula>"No"</formula>
    </cfRule>
    <cfRule type="cellIs" dxfId="850" priority="680" operator="equal">
      <formula>"NA"</formula>
    </cfRule>
    <cfRule type="cellIs" dxfId="849" priority="681" operator="equal">
      <formula>"Yes"</formula>
    </cfRule>
  </conditionalFormatting>
  <conditionalFormatting sqref="DJ6">
    <cfRule type="cellIs" dxfId="848" priority="676" operator="equal">
      <formula>"No"</formula>
    </cfRule>
    <cfRule type="cellIs" dxfId="847" priority="677" operator="equal">
      <formula>"NA"</formula>
    </cfRule>
    <cfRule type="cellIs" dxfId="846" priority="678" operator="equal">
      <formula>"Yes"</formula>
    </cfRule>
  </conditionalFormatting>
  <conditionalFormatting sqref="DJ25">
    <cfRule type="cellIs" dxfId="845" priority="673" operator="equal">
      <formula>"No"</formula>
    </cfRule>
    <cfRule type="cellIs" dxfId="844" priority="674" operator="equal">
      <formula>"NA"</formula>
    </cfRule>
    <cfRule type="cellIs" dxfId="843" priority="675" operator="equal">
      <formula>"Yes"</formula>
    </cfRule>
  </conditionalFormatting>
  <conditionalFormatting sqref="DJ15">
    <cfRule type="cellIs" dxfId="842" priority="670" operator="equal">
      <formula>"No"</formula>
    </cfRule>
    <cfRule type="cellIs" dxfId="841" priority="671" operator="equal">
      <formula>"NA"</formula>
    </cfRule>
    <cfRule type="cellIs" dxfId="840" priority="672" operator="equal">
      <formula>"Yes"</formula>
    </cfRule>
  </conditionalFormatting>
  <conditionalFormatting sqref="DJ9">
    <cfRule type="cellIs" dxfId="839" priority="667" operator="equal">
      <formula>"No"</formula>
    </cfRule>
    <cfRule type="cellIs" dxfId="838" priority="668" operator="equal">
      <formula>"NA"</formula>
    </cfRule>
    <cfRule type="cellIs" dxfId="837" priority="669" operator="equal">
      <formula>"Yes"</formula>
    </cfRule>
  </conditionalFormatting>
  <conditionalFormatting sqref="DJ17">
    <cfRule type="cellIs" dxfId="836" priority="664" operator="equal">
      <formula>"No"</formula>
    </cfRule>
    <cfRule type="cellIs" dxfId="835" priority="665" operator="equal">
      <formula>"NA"</formula>
    </cfRule>
    <cfRule type="cellIs" dxfId="834" priority="666" operator="equal">
      <formula>"Yes"</formula>
    </cfRule>
  </conditionalFormatting>
  <conditionalFormatting sqref="DJ14">
    <cfRule type="cellIs" dxfId="833" priority="661" operator="equal">
      <formula>"No"</formula>
    </cfRule>
    <cfRule type="cellIs" dxfId="832" priority="662" operator="equal">
      <formula>"NA"</formula>
    </cfRule>
    <cfRule type="cellIs" dxfId="831" priority="663" operator="equal">
      <formula>"Yes"</formula>
    </cfRule>
  </conditionalFormatting>
  <conditionalFormatting sqref="DJ10">
    <cfRule type="cellIs" dxfId="830" priority="658" operator="equal">
      <formula>"No"</formula>
    </cfRule>
    <cfRule type="cellIs" dxfId="829" priority="659" operator="equal">
      <formula>"NA"</formula>
    </cfRule>
    <cfRule type="cellIs" dxfId="828" priority="660" operator="equal">
      <formula>"Yes"</formula>
    </cfRule>
  </conditionalFormatting>
  <conditionalFormatting sqref="DJ11">
    <cfRule type="cellIs" dxfId="827" priority="655" operator="equal">
      <formula>"No"</formula>
    </cfRule>
    <cfRule type="cellIs" dxfId="826" priority="656" operator="equal">
      <formula>"NA"</formula>
    </cfRule>
    <cfRule type="cellIs" dxfId="825" priority="657" operator="equal">
      <formula>"Yes"</formula>
    </cfRule>
  </conditionalFormatting>
  <conditionalFormatting sqref="DK7">
    <cfRule type="cellIs" dxfId="824" priority="652" operator="equal">
      <formula>"No"</formula>
    </cfRule>
    <cfRule type="cellIs" dxfId="823" priority="653" operator="equal">
      <formula>"NA"</formula>
    </cfRule>
    <cfRule type="cellIs" dxfId="822" priority="654" operator="equal">
      <formula>"Yes"</formula>
    </cfRule>
  </conditionalFormatting>
  <conditionalFormatting sqref="DK12">
    <cfRule type="cellIs" dxfId="821" priority="649" operator="equal">
      <formula>"No"</formula>
    </cfRule>
    <cfRule type="cellIs" dxfId="820" priority="650" operator="equal">
      <formula>"NA"</formula>
    </cfRule>
    <cfRule type="cellIs" dxfId="819" priority="651" operator="equal">
      <formula>"Yes"</formula>
    </cfRule>
  </conditionalFormatting>
  <conditionalFormatting sqref="DK13">
    <cfRule type="cellIs" dxfId="818" priority="646" operator="equal">
      <formula>"No"</formula>
    </cfRule>
    <cfRule type="cellIs" dxfId="817" priority="647" operator="equal">
      <formula>"NA"</formula>
    </cfRule>
    <cfRule type="cellIs" dxfId="816" priority="648" operator="equal">
      <formula>"Yes"</formula>
    </cfRule>
  </conditionalFormatting>
  <conditionalFormatting sqref="DK16">
    <cfRule type="cellIs" dxfId="815" priority="643" operator="equal">
      <formula>"No"</formula>
    </cfRule>
    <cfRule type="cellIs" dxfId="814" priority="644" operator="equal">
      <formula>"NA"</formula>
    </cfRule>
    <cfRule type="cellIs" dxfId="813" priority="645" operator="equal">
      <formula>"Yes"</formula>
    </cfRule>
  </conditionalFormatting>
  <conditionalFormatting sqref="DK18">
    <cfRule type="cellIs" dxfId="812" priority="640" operator="equal">
      <formula>"No"</formula>
    </cfRule>
    <cfRule type="cellIs" dxfId="811" priority="641" operator="equal">
      <formula>"NA"</formula>
    </cfRule>
    <cfRule type="cellIs" dxfId="810" priority="642" operator="equal">
      <formula>"Yes"</formula>
    </cfRule>
  </conditionalFormatting>
  <conditionalFormatting sqref="DK19">
    <cfRule type="cellIs" dxfId="809" priority="637" operator="equal">
      <formula>"No"</formula>
    </cfRule>
    <cfRule type="cellIs" dxfId="808" priority="638" operator="equal">
      <formula>"NA"</formula>
    </cfRule>
    <cfRule type="cellIs" dxfId="807" priority="639" operator="equal">
      <formula>"Yes"</formula>
    </cfRule>
  </conditionalFormatting>
  <conditionalFormatting sqref="DK20">
    <cfRule type="cellIs" dxfId="806" priority="634" operator="equal">
      <formula>"No"</formula>
    </cfRule>
    <cfRule type="cellIs" dxfId="805" priority="635" operator="equal">
      <formula>"NA"</formula>
    </cfRule>
    <cfRule type="cellIs" dxfId="804" priority="636" operator="equal">
      <formula>"Yes"</formula>
    </cfRule>
  </conditionalFormatting>
  <conditionalFormatting sqref="DK21">
    <cfRule type="cellIs" dxfId="803" priority="631" operator="equal">
      <formula>"No"</formula>
    </cfRule>
    <cfRule type="cellIs" dxfId="802" priority="632" operator="equal">
      <formula>"NA"</formula>
    </cfRule>
    <cfRule type="cellIs" dxfId="801" priority="633" operator="equal">
      <formula>"Yes"</formula>
    </cfRule>
  </conditionalFormatting>
  <conditionalFormatting sqref="DK22">
    <cfRule type="cellIs" dxfId="800" priority="628" operator="equal">
      <formula>"No"</formula>
    </cfRule>
    <cfRule type="cellIs" dxfId="799" priority="629" operator="equal">
      <formula>"NA"</formula>
    </cfRule>
    <cfRule type="cellIs" dxfId="798" priority="630" operator="equal">
      <formula>"Yes"</formula>
    </cfRule>
  </conditionalFormatting>
  <conditionalFormatting sqref="DK23">
    <cfRule type="cellIs" dxfId="797" priority="625" operator="equal">
      <formula>"No"</formula>
    </cfRule>
    <cfRule type="cellIs" dxfId="796" priority="626" operator="equal">
      <formula>"NA"</formula>
    </cfRule>
    <cfRule type="cellIs" dxfId="795" priority="627" operator="equal">
      <formula>"Yes"</formula>
    </cfRule>
  </conditionalFormatting>
  <conditionalFormatting sqref="DK26">
    <cfRule type="cellIs" dxfId="794" priority="622" operator="equal">
      <formula>"No"</formula>
    </cfRule>
    <cfRule type="cellIs" dxfId="793" priority="623" operator="equal">
      <formula>"NA"</formula>
    </cfRule>
    <cfRule type="cellIs" dxfId="792" priority="624" operator="equal">
      <formula>"Yes"</formula>
    </cfRule>
  </conditionalFormatting>
  <conditionalFormatting sqref="DK33">
    <cfRule type="cellIs" dxfId="791" priority="619" operator="equal">
      <formula>"No"</formula>
    </cfRule>
    <cfRule type="cellIs" dxfId="790" priority="620" operator="equal">
      <formula>"NA"</formula>
    </cfRule>
    <cfRule type="cellIs" dxfId="789" priority="621" operator="equal">
      <formula>"Yes"</formula>
    </cfRule>
  </conditionalFormatting>
  <conditionalFormatting sqref="DK27">
    <cfRule type="cellIs" dxfId="788" priority="616" operator="equal">
      <formula>"No"</formula>
    </cfRule>
    <cfRule type="cellIs" dxfId="787" priority="617" operator="equal">
      <formula>"NA"</formula>
    </cfRule>
    <cfRule type="cellIs" dxfId="786" priority="618" operator="equal">
      <formula>"Yes"</formula>
    </cfRule>
  </conditionalFormatting>
  <conditionalFormatting sqref="DK28">
    <cfRule type="cellIs" dxfId="785" priority="613" operator="equal">
      <formula>"No"</formula>
    </cfRule>
    <cfRule type="cellIs" dxfId="784" priority="614" operator="equal">
      <formula>"NA"</formula>
    </cfRule>
    <cfRule type="cellIs" dxfId="783" priority="615" operator="equal">
      <formula>"Yes"</formula>
    </cfRule>
  </conditionalFormatting>
  <conditionalFormatting sqref="DK30">
    <cfRule type="cellIs" dxfId="782" priority="610" operator="equal">
      <formula>"No"</formula>
    </cfRule>
    <cfRule type="cellIs" dxfId="781" priority="611" operator="equal">
      <formula>"NA"</formula>
    </cfRule>
    <cfRule type="cellIs" dxfId="780" priority="612" operator="equal">
      <formula>"Yes"</formula>
    </cfRule>
  </conditionalFormatting>
  <conditionalFormatting sqref="DK31">
    <cfRule type="cellIs" dxfId="779" priority="607" operator="equal">
      <formula>"No"</formula>
    </cfRule>
    <cfRule type="cellIs" dxfId="778" priority="608" operator="equal">
      <formula>"NA"</formula>
    </cfRule>
    <cfRule type="cellIs" dxfId="777" priority="609" operator="equal">
      <formula>"Yes"</formula>
    </cfRule>
  </conditionalFormatting>
  <conditionalFormatting sqref="DK14">
    <cfRule type="cellIs" dxfId="776" priority="604" operator="equal">
      <formula>"No"</formula>
    </cfRule>
    <cfRule type="cellIs" dxfId="775" priority="605" operator="equal">
      <formula>"NA"</formula>
    </cfRule>
    <cfRule type="cellIs" dxfId="774" priority="606" operator="equal">
      <formula>"Yes"</formula>
    </cfRule>
  </conditionalFormatting>
  <conditionalFormatting sqref="DK6">
    <cfRule type="cellIs" dxfId="773" priority="601" operator="equal">
      <formula>"No"</formula>
    </cfRule>
    <cfRule type="cellIs" dxfId="772" priority="602" operator="equal">
      <formula>"NA"</formula>
    </cfRule>
    <cfRule type="cellIs" dxfId="771" priority="603" operator="equal">
      <formula>"Yes"</formula>
    </cfRule>
  </conditionalFormatting>
  <conditionalFormatting sqref="DK25">
    <cfRule type="cellIs" dxfId="770" priority="598" operator="equal">
      <formula>"No"</formula>
    </cfRule>
    <cfRule type="cellIs" dxfId="769" priority="599" operator="equal">
      <formula>"NA"</formula>
    </cfRule>
    <cfRule type="cellIs" dxfId="768" priority="600" operator="equal">
      <formula>"Yes"</formula>
    </cfRule>
  </conditionalFormatting>
  <conditionalFormatting sqref="DK10">
    <cfRule type="cellIs" dxfId="767" priority="595" operator="equal">
      <formula>"No"</formula>
    </cfRule>
    <cfRule type="cellIs" dxfId="766" priority="596" operator="equal">
      <formula>"NA"</formula>
    </cfRule>
    <cfRule type="cellIs" dxfId="765" priority="597" operator="equal">
      <formula>"Yes"</formula>
    </cfRule>
  </conditionalFormatting>
  <conditionalFormatting sqref="DK15">
    <cfRule type="cellIs" dxfId="764" priority="592" operator="equal">
      <formula>"No"</formula>
    </cfRule>
    <cfRule type="cellIs" dxfId="763" priority="593" operator="equal">
      <formula>"NA"</formula>
    </cfRule>
    <cfRule type="cellIs" dxfId="762" priority="594" operator="equal">
      <formula>"Yes"</formula>
    </cfRule>
  </conditionalFormatting>
  <conditionalFormatting sqref="DK17">
    <cfRule type="cellIs" dxfId="761" priority="589" operator="equal">
      <formula>"No"</formula>
    </cfRule>
    <cfRule type="cellIs" dxfId="760" priority="590" operator="equal">
      <formula>"NA"</formula>
    </cfRule>
    <cfRule type="cellIs" dxfId="759" priority="591" operator="equal">
      <formula>"Yes"</formula>
    </cfRule>
  </conditionalFormatting>
  <conditionalFormatting sqref="DK11">
    <cfRule type="cellIs" dxfId="758" priority="586" operator="equal">
      <formula>"No"</formula>
    </cfRule>
    <cfRule type="cellIs" dxfId="757" priority="587" operator="equal">
      <formula>"NA"</formula>
    </cfRule>
    <cfRule type="cellIs" dxfId="756" priority="588" operator="equal">
      <formula>"Yes"</formula>
    </cfRule>
  </conditionalFormatting>
  <conditionalFormatting sqref="DK9">
    <cfRule type="cellIs" dxfId="755" priority="583" operator="equal">
      <formula>"No"</formula>
    </cfRule>
    <cfRule type="cellIs" dxfId="754" priority="584" operator="equal">
      <formula>"NA"</formula>
    </cfRule>
    <cfRule type="cellIs" dxfId="753" priority="585" operator="equal">
      <formula>"Yes"</formula>
    </cfRule>
  </conditionalFormatting>
  <conditionalFormatting sqref="DL7">
    <cfRule type="cellIs" dxfId="752" priority="580" operator="equal">
      <formula>"No"</formula>
    </cfRule>
    <cfRule type="cellIs" dxfId="751" priority="581" operator="equal">
      <formula>"NA"</formula>
    </cfRule>
    <cfRule type="cellIs" dxfId="750" priority="582" operator="equal">
      <formula>"Yes"</formula>
    </cfRule>
  </conditionalFormatting>
  <conditionalFormatting sqref="DL12">
    <cfRule type="cellIs" dxfId="749" priority="577" operator="equal">
      <formula>"No"</formula>
    </cfRule>
    <cfRule type="cellIs" dxfId="748" priority="578" operator="equal">
      <formula>"NA"</formula>
    </cfRule>
    <cfRule type="cellIs" dxfId="747" priority="579" operator="equal">
      <formula>"Yes"</formula>
    </cfRule>
  </conditionalFormatting>
  <conditionalFormatting sqref="DL13">
    <cfRule type="cellIs" dxfId="746" priority="574" operator="equal">
      <formula>"No"</formula>
    </cfRule>
    <cfRule type="cellIs" dxfId="745" priority="575" operator="equal">
      <formula>"NA"</formula>
    </cfRule>
    <cfRule type="cellIs" dxfId="744" priority="576" operator="equal">
      <formula>"Yes"</formula>
    </cfRule>
  </conditionalFormatting>
  <conditionalFormatting sqref="DL16">
    <cfRule type="cellIs" dxfId="743" priority="571" operator="equal">
      <formula>"No"</formula>
    </cfRule>
    <cfRule type="cellIs" dxfId="742" priority="572" operator="equal">
      <formula>"NA"</formula>
    </cfRule>
    <cfRule type="cellIs" dxfId="741" priority="573" operator="equal">
      <formula>"Yes"</formula>
    </cfRule>
  </conditionalFormatting>
  <conditionalFormatting sqref="DL18">
    <cfRule type="cellIs" dxfId="740" priority="568" operator="equal">
      <formula>"No"</formula>
    </cfRule>
    <cfRule type="cellIs" dxfId="739" priority="569" operator="equal">
      <formula>"NA"</formula>
    </cfRule>
    <cfRule type="cellIs" dxfId="738" priority="570" operator="equal">
      <formula>"Yes"</formula>
    </cfRule>
  </conditionalFormatting>
  <conditionalFormatting sqref="DL19">
    <cfRule type="cellIs" dxfId="737" priority="565" operator="equal">
      <formula>"No"</formula>
    </cfRule>
    <cfRule type="cellIs" dxfId="736" priority="566" operator="equal">
      <formula>"NA"</formula>
    </cfRule>
    <cfRule type="cellIs" dxfId="735" priority="567" operator="equal">
      <formula>"Yes"</formula>
    </cfRule>
  </conditionalFormatting>
  <conditionalFormatting sqref="DL20">
    <cfRule type="cellIs" dxfId="734" priority="562" operator="equal">
      <formula>"No"</formula>
    </cfRule>
    <cfRule type="cellIs" dxfId="733" priority="563" operator="equal">
      <formula>"NA"</formula>
    </cfRule>
    <cfRule type="cellIs" dxfId="732" priority="564" operator="equal">
      <formula>"Yes"</formula>
    </cfRule>
  </conditionalFormatting>
  <conditionalFormatting sqref="DL21">
    <cfRule type="cellIs" dxfId="731" priority="559" operator="equal">
      <formula>"No"</formula>
    </cfRule>
    <cfRule type="cellIs" dxfId="730" priority="560" operator="equal">
      <formula>"NA"</formula>
    </cfRule>
    <cfRule type="cellIs" dxfId="729" priority="561" operator="equal">
      <formula>"Yes"</formula>
    </cfRule>
  </conditionalFormatting>
  <conditionalFormatting sqref="DL22">
    <cfRule type="cellIs" dxfId="728" priority="556" operator="equal">
      <formula>"No"</formula>
    </cfRule>
    <cfRule type="cellIs" dxfId="727" priority="557" operator="equal">
      <formula>"NA"</formula>
    </cfRule>
    <cfRule type="cellIs" dxfId="726" priority="558" operator="equal">
      <formula>"Yes"</formula>
    </cfRule>
  </conditionalFormatting>
  <conditionalFormatting sqref="DL23">
    <cfRule type="cellIs" dxfId="725" priority="553" operator="equal">
      <formula>"No"</formula>
    </cfRule>
    <cfRule type="cellIs" dxfId="724" priority="554" operator="equal">
      <formula>"NA"</formula>
    </cfRule>
    <cfRule type="cellIs" dxfId="723" priority="555" operator="equal">
      <formula>"Yes"</formula>
    </cfRule>
  </conditionalFormatting>
  <conditionalFormatting sqref="DL26">
    <cfRule type="cellIs" dxfId="722" priority="550" operator="equal">
      <formula>"No"</formula>
    </cfRule>
    <cfRule type="cellIs" dxfId="721" priority="551" operator="equal">
      <formula>"NA"</formula>
    </cfRule>
    <cfRule type="cellIs" dxfId="720" priority="552" operator="equal">
      <formula>"Yes"</formula>
    </cfRule>
  </conditionalFormatting>
  <conditionalFormatting sqref="DL33">
    <cfRule type="cellIs" dxfId="719" priority="547" operator="equal">
      <formula>"No"</formula>
    </cfRule>
    <cfRule type="cellIs" dxfId="718" priority="548" operator="equal">
      <formula>"NA"</formula>
    </cfRule>
    <cfRule type="cellIs" dxfId="717" priority="549" operator="equal">
      <formula>"Yes"</formula>
    </cfRule>
  </conditionalFormatting>
  <conditionalFormatting sqref="DL27">
    <cfRule type="cellIs" dxfId="716" priority="544" operator="equal">
      <formula>"No"</formula>
    </cfRule>
    <cfRule type="cellIs" dxfId="715" priority="545" operator="equal">
      <formula>"NA"</formula>
    </cfRule>
    <cfRule type="cellIs" dxfId="714" priority="546" operator="equal">
      <formula>"Yes"</formula>
    </cfRule>
  </conditionalFormatting>
  <conditionalFormatting sqref="DL28">
    <cfRule type="cellIs" dxfId="713" priority="541" operator="equal">
      <formula>"No"</formula>
    </cfRule>
    <cfRule type="cellIs" dxfId="712" priority="542" operator="equal">
      <formula>"NA"</formula>
    </cfRule>
    <cfRule type="cellIs" dxfId="711" priority="543" operator="equal">
      <formula>"Yes"</formula>
    </cfRule>
  </conditionalFormatting>
  <conditionalFormatting sqref="DL30">
    <cfRule type="cellIs" dxfId="710" priority="538" operator="equal">
      <formula>"No"</formula>
    </cfRule>
    <cfRule type="cellIs" dxfId="709" priority="539" operator="equal">
      <formula>"NA"</formula>
    </cfRule>
    <cfRule type="cellIs" dxfId="708" priority="540" operator="equal">
      <formula>"Yes"</formula>
    </cfRule>
  </conditionalFormatting>
  <conditionalFormatting sqref="DL31">
    <cfRule type="cellIs" dxfId="707" priority="535" operator="equal">
      <formula>"No"</formula>
    </cfRule>
    <cfRule type="cellIs" dxfId="706" priority="536" operator="equal">
      <formula>"NA"</formula>
    </cfRule>
    <cfRule type="cellIs" dxfId="705" priority="537" operator="equal">
      <formula>"Yes"</formula>
    </cfRule>
  </conditionalFormatting>
  <conditionalFormatting sqref="DL6">
    <cfRule type="cellIs" dxfId="704" priority="532" operator="equal">
      <formula>"No"</formula>
    </cfRule>
    <cfRule type="cellIs" dxfId="703" priority="533" operator="equal">
      <formula>"NA"</formula>
    </cfRule>
    <cfRule type="cellIs" dxfId="702" priority="534" operator="equal">
      <formula>"Yes"</formula>
    </cfRule>
  </conditionalFormatting>
  <conditionalFormatting sqref="DL25">
    <cfRule type="cellIs" dxfId="701" priority="529" operator="equal">
      <formula>"No"</formula>
    </cfRule>
    <cfRule type="cellIs" dxfId="700" priority="530" operator="equal">
      <formula>"NA"</formula>
    </cfRule>
    <cfRule type="cellIs" dxfId="699" priority="531" operator="equal">
      <formula>"Yes"</formula>
    </cfRule>
  </conditionalFormatting>
  <conditionalFormatting sqref="DL15">
    <cfRule type="cellIs" dxfId="698" priority="526" operator="equal">
      <formula>"No"</formula>
    </cfRule>
    <cfRule type="cellIs" dxfId="697" priority="527" operator="equal">
      <formula>"NA"</formula>
    </cfRule>
    <cfRule type="cellIs" dxfId="696" priority="528" operator="equal">
      <formula>"Yes"</formula>
    </cfRule>
  </conditionalFormatting>
  <conditionalFormatting sqref="DL17">
    <cfRule type="cellIs" dxfId="695" priority="523" operator="equal">
      <formula>"No"</formula>
    </cfRule>
    <cfRule type="cellIs" dxfId="694" priority="524" operator="equal">
      <formula>"NA"</formula>
    </cfRule>
    <cfRule type="cellIs" dxfId="693" priority="525" operator="equal">
      <formula>"Yes"</formula>
    </cfRule>
  </conditionalFormatting>
  <conditionalFormatting sqref="DL14">
    <cfRule type="cellIs" dxfId="692" priority="520" operator="equal">
      <formula>"No"</formula>
    </cfRule>
    <cfRule type="cellIs" dxfId="691" priority="521" operator="equal">
      <formula>"NA"</formula>
    </cfRule>
    <cfRule type="cellIs" dxfId="690" priority="522" operator="equal">
      <formula>"Yes"</formula>
    </cfRule>
  </conditionalFormatting>
  <conditionalFormatting sqref="DL11">
    <cfRule type="cellIs" dxfId="689" priority="517" operator="equal">
      <formula>"No"</formula>
    </cfRule>
    <cfRule type="cellIs" dxfId="688" priority="518" operator="equal">
      <formula>"NA"</formula>
    </cfRule>
    <cfRule type="cellIs" dxfId="687" priority="519" operator="equal">
      <formula>"Yes"</formula>
    </cfRule>
  </conditionalFormatting>
  <conditionalFormatting sqref="DL9">
    <cfRule type="cellIs" dxfId="686" priority="514" operator="equal">
      <formula>"No"</formula>
    </cfRule>
    <cfRule type="cellIs" dxfId="685" priority="515" operator="equal">
      <formula>"NA"</formula>
    </cfRule>
    <cfRule type="cellIs" dxfId="684" priority="516" operator="equal">
      <formula>"Yes"</formula>
    </cfRule>
  </conditionalFormatting>
  <conditionalFormatting sqref="DL10">
    <cfRule type="cellIs" dxfId="683" priority="511" operator="equal">
      <formula>"No"</formula>
    </cfRule>
    <cfRule type="cellIs" dxfId="682" priority="512" operator="equal">
      <formula>"NA"</formula>
    </cfRule>
    <cfRule type="cellIs" dxfId="681" priority="513" operator="equal">
      <formula>"Yes"</formula>
    </cfRule>
  </conditionalFormatting>
  <conditionalFormatting sqref="DM7">
    <cfRule type="cellIs" dxfId="680" priority="508" operator="equal">
      <formula>"No"</formula>
    </cfRule>
    <cfRule type="cellIs" dxfId="679" priority="509" operator="equal">
      <formula>"NA"</formula>
    </cfRule>
    <cfRule type="cellIs" dxfId="678" priority="510" operator="equal">
      <formula>"Yes"</formula>
    </cfRule>
  </conditionalFormatting>
  <conditionalFormatting sqref="DM12">
    <cfRule type="cellIs" dxfId="677" priority="505" operator="equal">
      <formula>"No"</formula>
    </cfRule>
    <cfRule type="cellIs" dxfId="676" priority="506" operator="equal">
      <formula>"NA"</formula>
    </cfRule>
    <cfRule type="cellIs" dxfId="675" priority="507" operator="equal">
      <formula>"Yes"</formula>
    </cfRule>
  </conditionalFormatting>
  <conditionalFormatting sqref="DM13">
    <cfRule type="cellIs" dxfId="674" priority="502" operator="equal">
      <formula>"No"</formula>
    </cfRule>
    <cfRule type="cellIs" dxfId="673" priority="503" operator="equal">
      <formula>"NA"</formula>
    </cfRule>
    <cfRule type="cellIs" dxfId="672" priority="504" operator="equal">
      <formula>"Yes"</formula>
    </cfRule>
  </conditionalFormatting>
  <conditionalFormatting sqref="DM16">
    <cfRule type="cellIs" dxfId="671" priority="499" operator="equal">
      <formula>"No"</formula>
    </cfRule>
    <cfRule type="cellIs" dxfId="670" priority="500" operator="equal">
      <formula>"NA"</formula>
    </cfRule>
    <cfRule type="cellIs" dxfId="669" priority="501" operator="equal">
      <formula>"Yes"</formula>
    </cfRule>
  </conditionalFormatting>
  <conditionalFormatting sqref="DM18">
    <cfRule type="cellIs" dxfId="668" priority="496" operator="equal">
      <formula>"No"</formula>
    </cfRule>
    <cfRule type="cellIs" dxfId="667" priority="497" operator="equal">
      <formula>"NA"</formula>
    </cfRule>
    <cfRule type="cellIs" dxfId="666" priority="498" operator="equal">
      <formula>"Yes"</formula>
    </cfRule>
  </conditionalFormatting>
  <conditionalFormatting sqref="DM19">
    <cfRule type="cellIs" dxfId="665" priority="493" operator="equal">
      <formula>"No"</formula>
    </cfRule>
    <cfRule type="cellIs" dxfId="664" priority="494" operator="equal">
      <formula>"NA"</formula>
    </cfRule>
    <cfRule type="cellIs" dxfId="663" priority="495" operator="equal">
      <formula>"Yes"</formula>
    </cfRule>
  </conditionalFormatting>
  <conditionalFormatting sqref="DM20">
    <cfRule type="cellIs" dxfId="662" priority="490" operator="equal">
      <formula>"No"</formula>
    </cfRule>
    <cfRule type="cellIs" dxfId="661" priority="491" operator="equal">
      <formula>"NA"</formula>
    </cfRule>
    <cfRule type="cellIs" dxfId="660" priority="492" operator="equal">
      <formula>"Yes"</formula>
    </cfRule>
  </conditionalFormatting>
  <conditionalFormatting sqref="DM21">
    <cfRule type="cellIs" dxfId="659" priority="487" operator="equal">
      <formula>"No"</formula>
    </cfRule>
    <cfRule type="cellIs" dxfId="658" priority="488" operator="equal">
      <formula>"NA"</formula>
    </cfRule>
    <cfRule type="cellIs" dxfId="657" priority="489" operator="equal">
      <formula>"Yes"</formula>
    </cfRule>
  </conditionalFormatting>
  <conditionalFormatting sqref="DM22">
    <cfRule type="cellIs" dxfId="656" priority="484" operator="equal">
      <formula>"No"</formula>
    </cfRule>
    <cfRule type="cellIs" dxfId="655" priority="485" operator="equal">
      <formula>"NA"</formula>
    </cfRule>
    <cfRule type="cellIs" dxfId="654" priority="486" operator="equal">
      <formula>"Yes"</formula>
    </cfRule>
  </conditionalFormatting>
  <conditionalFormatting sqref="DM23">
    <cfRule type="cellIs" dxfId="653" priority="481" operator="equal">
      <formula>"No"</formula>
    </cfRule>
    <cfRule type="cellIs" dxfId="652" priority="482" operator="equal">
      <formula>"NA"</formula>
    </cfRule>
    <cfRule type="cellIs" dxfId="651" priority="483" operator="equal">
      <formula>"Yes"</formula>
    </cfRule>
  </conditionalFormatting>
  <conditionalFormatting sqref="DM26">
    <cfRule type="cellIs" dxfId="650" priority="478" operator="equal">
      <formula>"No"</formula>
    </cfRule>
    <cfRule type="cellIs" dxfId="649" priority="479" operator="equal">
      <formula>"NA"</formula>
    </cfRule>
    <cfRule type="cellIs" dxfId="648" priority="480" operator="equal">
      <formula>"Yes"</formula>
    </cfRule>
  </conditionalFormatting>
  <conditionalFormatting sqref="DM33">
    <cfRule type="cellIs" dxfId="647" priority="475" operator="equal">
      <formula>"No"</formula>
    </cfRule>
    <cfRule type="cellIs" dxfId="646" priority="476" operator="equal">
      <formula>"NA"</formula>
    </cfRule>
    <cfRule type="cellIs" dxfId="645" priority="477" operator="equal">
      <formula>"Yes"</formula>
    </cfRule>
  </conditionalFormatting>
  <conditionalFormatting sqref="DM27">
    <cfRule type="cellIs" dxfId="644" priority="472" operator="equal">
      <formula>"No"</formula>
    </cfRule>
    <cfRule type="cellIs" dxfId="643" priority="473" operator="equal">
      <formula>"NA"</formula>
    </cfRule>
    <cfRule type="cellIs" dxfId="642" priority="474" operator="equal">
      <formula>"Yes"</formula>
    </cfRule>
  </conditionalFormatting>
  <conditionalFormatting sqref="DM28">
    <cfRule type="cellIs" dxfId="641" priority="469" operator="equal">
      <formula>"No"</formula>
    </cfRule>
    <cfRule type="cellIs" dxfId="640" priority="470" operator="equal">
      <formula>"NA"</formula>
    </cfRule>
    <cfRule type="cellIs" dxfId="639" priority="471" operator="equal">
      <formula>"Yes"</formula>
    </cfRule>
  </conditionalFormatting>
  <conditionalFormatting sqref="DM30">
    <cfRule type="cellIs" dxfId="638" priority="466" operator="equal">
      <formula>"No"</formula>
    </cfRule>
    <cfRule type="cellIs" dxfId="637" priority="467" operator="equal">
      <formula>"NA"</formula>
    </cfRule>
    <cfRule type="cellIs" dxfId="636" priority="468" operator="equal">
      <formula>"Yes"</formula>
    </cfRule>
  </conditionalFormatting>
  <conditionalFormatting sqref="DM31">
    <cfRule type="cellIs" dxfId="635" priority="463" operator="equal">
      <formula>"No"</formula>
    </cfRule>
    <cfRule type="cellIs" dxfId="634" priority="464" operator="equal">
      <formula>"NA"</formula>
    </cfRule>
    <cfRule type="cellIs" dxfId="633" priority="465" operator="equal">
      <formula>"Yes"</formula>
    </cfRule>
  </conditionalFormatting>
  <conditionalFormatting sqref="DM6">
    <cfRule type="cellIs" dxfId="632" priority="460" operator="equal">
      <formula>"No"</formula>
    </cfRule>
    <cfRule type="cellIs" dxfId="631" priority="461" operator="equal">
      <formula>"NA"</formula>
    </cfRule>
    <cfRule type="cellIs" dxfId="630" priority="462" operator="equal">
      <formula>"Yes"</formula>
    </cfRule>
  </conditionalFormatting>
  <conditionalFormatting sqref="DM25">
    <cfRule type="cellIs" dxfId="629" priority="457" operator="equal">
      <formula>"No"</formula>
    </cfRule>
    <cfRule type="cellIs" dxfId="628" priority="458" operator="equal">
      <formula>"NA"</formula>
    </cfRule>
    <cfRule type="cellIs" dxfId="627" priority="459" operator="equal">
      <formula>"Yes"</formula>
    </cfRule>
  </conditionalFormatting>
  <conditionalFormatting sqref="DM15">
    <cfRule type="cellIs" dxfId="626" priority="454" operator="equal">
      <formula>"No"</formula>
    </cfRule>
    <cfRule type="cellIs" dxfId="625" priority="455" operator="equal">
      <formula>"NA"</formula>
    </cfRule>
    <cfRule type="cellIs" dxfId="624" priority="456" operator="equal">
      <formula>"Yes"</formula>
    </cfRule>
  </conditionalFormatting>
  <conditionalFormatting sqref="DM14">
    <cfRule type="cellIs" dxfId="623" priority="451" operator="equal">
      <formula>"No"</formula>
    </cfRule>
    <cfRule type="cellIs" dxfId="622" priority="452" operator="equal">
      <formula>"NA"</formula>
    </cfRule>
    <cfRule type="cellIs" dxfId="621" priority="453" operator="equal">
      <formula>"Yes"</formula>
    </cfRule>
  </conditionalFormatting>
  <conditionalFormatting sqref="DM11">
    <cfRule type="cellIs" dxfId="620" priority="448" operator="equal">
      <formula>"No"</formula>
    </cfRule>
    <cfRule type="cellIs" dxfId="619" priority="449" operator="equal">
      <formula>"NA"</formula>
    </cfRule>
    <cfRule type="cellIs" dxfId="618" priority="450" operator="equal">
      <formula>"Yes"</formula>
    </cfRule>
  </conditionalFormatting>
  <conditionalFormatting sqref="DM17">
    <cfRule type="cellIs" dxfId="617" priority="445" operator="equal">
      <formula>"No"</formula>
    </cfRule>
    <cfRule type="cellIs" dxfId="616" priority="446" operator="equal">
      <formula>"NA"</formula>
    </cfRule>
    <cfRule type="cellIs" dxfId="615" priority="447" operator="equal">
      <formula>"Yes"</formula>
    </cfRule>
  </conditionalFormatting>
  <conditionalFormatting sqref="DM9">
    <cfRule type="cellIs" dxfId="614" priority="442" operator="equal">
      <formula>"No"</formula>
    </cfRule>
    <cfRule type="cellIs" dxfId="613" priority="443" operator="equal">
      <formula>"NA"</formula>
    </cfRule>
    <cfRule type="cellIs" dxfId="612" priority="444" operator="equal">
      <formula>"Yes"</formula>
    </cfRule>
  </conditionalFormatting>
  <conditionalFormatting sqref="DM10">
    <cfRule type="cellIs" dxfId="611" priority="439" operator="equal">
      <formula>"No"</formula>
    </cfRule>
    <cfRule type="cellIs" dxfId="610" priority="440" operator="equal">
      <formula>"NA"</formula>
    </cfRule>
    <cfRule type="cellIs" dxfId="609" priority="441" operator="equal">
      <formula>"Yes"</formula>
    </cfRule>
  </conditionalFormatting>
  <conditionalFormatting sqref="DN7">
    <cfRule type="cellIs" dxfId="608" priority="436" operator="equal">
      <formula>"No"</formula>
    </cfRule>
    <cfRule type="cellIs" dxfId="607" priority="437" operator="equal">
      <formula>"NA"</formula>
    </cfRule>
    <cfRule type="cellIs" dxfId="606" priority="438" operator="equal">
      <formula>"Yes"</formula>
    </cfRule>
  </conditionalFormatting>
  <conditionalFormatting sqref="DN11">
    <cfRule type="cellIs" dxfId="605" priority="433" operator="equal">
      <formula>"No"</formula>
    </cfRule>
    <cfRule type="cellIs" dxfId="604" priority="434" operator="equal">
      <formula>"NA"</formula>
    </cfRule>
    <cfRule type="cellIs" dxfId="603" priority="435" operator="equal">
      <formula>"Yes"</formula>
    </cfRule>
  </conditionalFormatting>
  <conditionalFormatting sqref="DN12">
    <cfRule type="cellIs" dxfId="602" priority="430" operator="equal">
      <formula>"No"</formula>
    </cfRule>
    <cfRule type="cellIs" dxfId="601" priority="431" operator="equal">
      <formula>"NA"</formula>
    </cfRule>
    <cfRule type="cellIs" dxfId="600" priority="432" operator="equal">
      <formula>"Yes"</formula>
    </cfRule>
  </conditionalFormatting>
  <conditionalFormatting sqref="DN13">
    <cfRule type="cellIs" dxfId="599" priority="427" operator="equal">
      <formula>"No"</formula>
    </cfRule>
    <cfRule type="cellIs" dxfId="598" priority="428" operator="equal">
      <formula>"NA"</formula>
    </cfRule>
    <cfRule type="cellIs" dxfId="597" priority="429" operator="equal">
      <formula>"Yes"</formula>
    </cfRule>
  </conditionalFormatting>
  <conditionalFormatting sqref="DN16">
    <cfRule type="cellIs" dxfId="596" priority="424" operator="equal">
      <formula>"No"</formula>
    </cfRule>
    <cfRule type="cellIs" dxfId="595" priority="425" operator="equal">
      <formula>"NA"</formula>
    </cfRule>
    <cfRule type="cellIs" dxfId="594" priority="426" operator="equal">
      <formula>"Yes"</formula>
    </cfRule>
  </conditionalFormatting>
  <conditionalFormatting sqref="DN18">
    <cfRule type="cellIs" dxfId="593" priority="421" operator="equal">
      <formula>"No"</formula>
    </cfRule>
    <cfRule type="cellIs" dxfId="592" priority="422" operator="equal">
      <formula>"NA"</formula>
    </cfRule>
    <cfRule type="cellIs" dxfId="591" priority="423" operator="equal">
      <formula>"Yes"</formula>
    </cfRule>
  </conditionalFormatting>
  <conditionalFormatting sqref="DN19">
    <cfRule type="cellIs" dxfId="590" priority="418" operator="equal">
      <formula>"No"</formula>
    </cfRule>
    <cfRule type="cellIs" dxfId="589" priority="419" operator="equal">
      <formula>"NA"</formula>
    </cfRule>
    <cfRule type="cellIs" dxfId="588" priority="420" operator="equal">
      <formula>"Yes"</formula>
    </cfRule>
  </conditionalFormatting>
  <conditionalFormatting sqref="DN20">
    <cfRule type="cellIs" dxfId="587" priority="415" operator="equal">
      <formula>"No"</formula>
    </cfRule>
    <cfRule type="cellIs" dxfId="586" priority="416" operator="equal">
      <formula>"NA"</formula>
    </cfRule>
    <cfRule type="cellIs" dxfId="585" priority="417" operator="equal">
      <formula>"Yes"</formula>
    </cfRule>
  </conditionalFormatting>
  <conditionalFormatting sqref="DN21">
    <cfRule type="cellIs" dxfId="584" priority="412" operator="equal">
      <formula>"No"</formula>
    </cfRule>
    <cfRule type="cellIs" dxfId="583" priority="413" operator="equal">
      <formula>"NA"</formula>
    </cfRule>
    <cfRule type="cellIs" dxfId="582" priority="414" operator="equal">
      <formula>"Yes"</formula>
    </cfRule>
  </conditionalFormatting>
  <conditionalFormatting sqref="DN22">
    <cfRule type="cellIs" dxfId="581" priority="409" operator="equal">
      <formula>"No"</formula>
    </cfRule>
    <cfRule type="cellIs" dxfId="580" priority="410" operator="equal">
      <formula>"NA"</formula>
    </cfRule>
    <cfRule type="cellIs" dxfId="579" priority="411" operator="equal">
      <formula>"Yes"</formula>
    </cfRule>
  </conditionalFormatting>
  <conditionalFormatting sqref="DN23">
    <cfRule type="cellIs" dxfId="578" priority="406" operator="equal">
      <formula>"No"</formula>
    </cfRule>
    <cfRule type="cellIs" dxfId="577" priority="407" operator="equal">
      <formula>"NA"</formula>
    </cfRule>
    <cfRule type="cellIs" dxfId="576" priority="408" operator="equal">
      <formula>"Yes"</formula>
    </cfRule>
  </conditionalFormatting>
  <conditionalFormatting sqref="DN26">
    <cfRule type="cellIs" dxfId="575" priority="403" operator="equal">
      <formula>"No"</formula>
    </cfRule>
    <cfRule type="cellIs" dxfId="574" priority="404" operator="equal">
      <formula>"NA"</formula>
    </cfRule>
    <cfRule type="cellIs" dxfId="573" priority="405" operator="equal">
      <formula>"Yes"</formula>
    </cfRule>
  </conditionalFormatting>
  <conditionalFormatting sqref="DN33">
    <cfRule type="cellIs" dxfId="572" priority="400" operator="equal">
      <formula>"No"</formula>
    </cfRule>
    <cfRule type="cellIs" dxfId="571" priority="401" operator="equal">
      <formula>"NA"</formula>
    </cfRule>
    <cfRule type="cellIs" dxfId="570" priority="402" operator="equal">
      <formula>"Yes"</formula>
    </cfRule>
  </conditionalFormatting>
  <conditionalFormatting sqref="DN27">
    <cfRule type="cellIs" dxfId="569" priority="397" operator="equal">
      <formula>"No"</formula>
    </cfRule>
    <cfRule type="cellIs" dxfId="568" priority="398" operator="equal">
      <formula>"NA"</formula>
    </cfRule>
    <cfRule type="cellIs" dxfId="567" priority="399" operator="equal">
      <formula>"Yes"</formula>
    </cfRule>
  </conditionalFormatting>
  <conditionalFormatting sqref="DN28">
    <cfRule type="cellIs" dxfId="566" priority="394" operator="equal">
      <formula>"No"</formula>
    </cfRule>
    <cfRule type="cellIs" dxfId="565" priority="395" operator="equal">
      <formula>"NA"</formula>
    </cfRule>
    <cfRule type="cellIs" dxfId="564" priority="396" operator="equal">
      <formula>"Yes"</formula>
    </cfRule>
  </conditionalFormatting>
  <conditionalFormatting sqref="DN30">
    <cfRule type="cellIs" dxfId="563" priority="391" operator="equal">
      <formula>"No"</formula>
    </cfRule>
    <cfRule type="cellIs" dxfId="562" priority="392" operator="equal">
      <formula>"NA"</formula>
    </cfRule>
    <cfRule type="cellIs" dxfId="561" priority="393" operator="equal">
      <formula>"Yes"</formula>
    </cfRule>
  </conditionalFormatting>
  <conditionalFormatting sqref="DN31">
    <cfRule type="cellIs" dxfId="560" priority="388" operator="equal">
      <formula>"No"</formula>
    </cfRule>
    <cfRule type="cellIs" dxfId="559" priority="389" operator="equal">
      <formula>"NA"</formula>
    </cfRule>
    <cfRule type="cellIs" dxfId="558" priority="390" operator="equal">
      <formula>"Yes"</formula>
    </cfRule>
  </conditionalFormatting>
  <conditionalFormatting sqref="DN6">
    <cfRule type="cellIs" dxfId="557" priority="385" operator="equal">
      <formula>"No"</formula>
    </cfRule>
    <cfRule type="cellIs" dxfId="556" priority="386" operator="equal">
      <formula>"NA"</formula>
    </cfRule>
    <cfRule type="cellIs" dxfId="555" priority="387" operator="equal">
      <formula>"Yes"</formula>
    </cfRule>
  </conditionalFormatting>
  <conditionalFormatting sqref="DN25">
    <cfRule type="cellIs" dxfId="554" priority="382" operator="equal">
      <formula>"No"</formula>
    </cfRule>
    <cfRule type="cellIs" dxfId="553" priority="383" operator="equal">
      <formula>"NA"</formula>
    </cfRule>
    <cfRule type="cellIs" dxfId="552" priority="384" operator="equal">
      <formula>"Yes"</formula>
    </cfRule>
  </conditionalFormatting>
  <conditionalFormatting sqref="DN10">
    <cfRule type="cellIs" dxfId="551" priority="379" operator="equal">
      <formula>"No"</formula>
    </cfRule>
    <cfRule type="cellIs" dxfId="550" priority="380" operator="equal">
      <formula>"NA"</formula>
    </cfRule>
    <cfRule type="cellIs" dxfId="549" priority="381" operator="equal">
      <formula>"Yes"</formula>
    </cfRule>
  </conditionalFormatting>
  <conditionalFormatting sqref="DN15">
    <cfRule type="cellIs" dxfId="548" priority="376" operator="equal">
      <formula>"No"</formula>
    </cfRule>
    <cfRule type="cellIs" dxfId="547" priority="377" operator="equal">
      <formula>"NA"</formula>
    </cfRule>
    <cfRule type="cellIs" dxfId="546" priority="378" operator="equal">
      <formula>"Yes"</formula>
    </cfRule>
  </conditionalFormatting>
  <conditionalFormatting sqref="DN9">
    <cfRule type="cellIs" dxfId="545" priority="373" operator="equal">
      <formula>"No"</formula>
    </cfRule>
    <cfRule type="cellIs" dxfId="544" priority="374" operator="equal">
      <formula>"NA"</formula>
    </cfRule>
    <cfRule type="cellIs" dxfId="543" priority="375" operator="equal">
      <formula>"Yes"</formula>
    </cfRule>
  </conditionalFormatting>
  <conditionalFormatting sqref="DN17">
    <cfRule type="cellIs" dxfId="542" priority="370" operator="equal">
      <formula>"No"</formula>
    </cfRule>
    <cfRule type="cellIs" dxfId="541" priority="371" operator="equal">
      <formula>"NA"</formula>
    </cfRule>
    <cfRule type="cellIs" dxfId="540" priority="372" operator="equal">
      <formula>"Yes"</formula>
    </cfRule>
  </conditionalFormatting>
  <conditionalFormatting sqref="DN14">
    <cfRule type="cellIs" dxfId="539" priority="367" operator="equal">
      <formula>"No"</formula>
    </cfRule>
    <cfRule type="cellIs" dxfId="538" priority="368" operator="equal">
      <formula>"NA"</formula>
    </cfRule>
    <cfRule type="cellIs" dxfId="537" priority="369" operator="equal">
      <formula>"Yes"</formula>
    </cfRule>
  </conditionalFormatting>
  <conditionalFormatting sqref="DO33 DO30:DO31 DO6:DO7 DO25:DO28 DO9:DO23">
    <cfRule type="cellIs" dxfId="536" priority="364" operator="equal">
      <formula>"No"</formula>
    </cfRule>
    <cfRule type="cellIs" dxfId="535" priority="365" operator="equal">
      <formula>"NA"</formula>
    </cfRule>
    <cfRule type="cellIs" dxfId="534" priority="366" operator="equal">
      <formula>"Yes"</formula>
    </cfRule>
  </conditionalFormatting>
  <conditionalFormatting sqref="DP7">
    <cfRule type="cellIs" dxfId="533" priority="361" operator="equal">
      <formula>"No"</formula>
    </cfRule>
    <cfRule type="cellIs" dxfId="532" priority="362" operator="equal">
      <formula>"NA"</formula>
    </cfRule>
    <cfRule type="cellIs" dxfId="531" priority="363" operator="equal">
      <formula>"Yes"</formula>
    </cfRule>
  </conditionalFormatting>
  <conditionalFormatting sqref="DP12">
    <cfRule type="cellIs" dxfId="530" priority="358" operator="equal">
      <formula>"No"</formula>
    </cfRule>
    <cfRule type="cellIs" dxfId="529" priority="359" operator="equal">
      <formula>"NA"</formula>
    </cfRule>
    <cfRule type="cellIs" dxfId="528" priority="360" operator="equal">
      <formula>"Yes"</formula>
    </cfRule>
  </conditionalFormatting>
  <conditionalFormatting sqref="DP13">
    <cfRule type="cellIs" dxfId="527" priority="355" operator="equal">
      <formula>"No"</formula>
    </cfRule>
    <cfRule type="cellIs" dxfId="526" priority="356" operator="equal">
      <formula>"NA"</formula>
    </cfRule>
    <cfRule type="cellIs" dxfId="525" priority="357" operator="equal">
      <formula>"Yes"</formula>
    </cfRule>
  </conditionalFormatting>
  <conditionalFormatting sqref="DP16">
    <cfRule type="cellIs" dxfId="524" priority="352" operator="equal">
      <formula>"No"</formula>
    </cfRule>
    <cfRule type="cellIs" dxfId="523" priority="353" operator="equal">
      <formula>"NA"</formula>
    </cfRule>
    <cfRule type="cellIs" dxfId="522" priority="354" operator="equal">
      <formula>"Yes"</formula>
    </cfRule>
  </conditionalFormatting>
  <conditionalFormatting sqref="DP18">
    <cfRule type="cellIs" dxfId="521" priority="349" operator="equal">
      <formula>"No"</formula>
    </cfRule>
    <cfRule type="cellIs" dxfId="520" priority="350" operator="equal">
      <formula>"NA"</formula>
    </cfRule>
    <cfRule type="cellIs" dxfId="519" priority="351" operator="equal">
      <formula>"Yes"</formula>
    </cfRule>
  </conditionalFormatting>
  <conditionalFormatting sqref="DP19">
    <cfRule type="cellIs" dxfId="518" priority="346" operator="equal">
      <formula>"No"</formula>
    </cfRule>
    <cfRule type="cellIs" dxfId="517" priority="347" operator="equal">
      <formula>"NA"</formula>
    </cfRule>
    <cfRule type="cellIs" dxfId="516" priority="348" operator="equal">
      <formula>"Yes"</formula>
    </cfRule>
  </conditionalFormatting>
  <conditionalFormatting sqref="DP20">
    <cfRule type="cellIs" dxfId="515" priority="343" operator="equal">
      <formula>"No"</formula>
    </cfRule>
    <cfRule type="cellIs" dxfId="514" priority="344" operator="equal">
      <formula>"NA"</formula>
    </cfRule>
    <cfRule type="cellIs" dxfId="513" priority="345" operator="equal">
      <formula>"Yes"</formula>
    </cfRule>
  </conditionalFormatting>
  <conditionalFormatting sqref="DP21">
    <cfRule type="cellIs" dxfId="512" priority="340" operator="equal">
      <formula>"No"</formula>
    </cfRule>
    <cfRule type="cellIs" dxfId="511" priority="341" operator="equal">
      <formula>"NA"</formula>
    </cfRule>
    <cfRule type="cellIs" dxfId="510" priority="342" operator="equal">
      <formula>"Yes"</formula>
    </cfRule>
  </conditionalFormatting>
  <conditionalFormatting sqref="DP22">
    <cfRule type="cellIs" dxfId="509" priority="337" operator="equal">
      <formula>"No"</formula>
    </cfRule>
    <cfRule type="cellIs" dxfId="508" priority="338" operator="equal">
      <formula>"NA"</formula>
    </cfRule>
    <cfRule type="cellIs" dxfId="507" priority="339" operator="equal">
      <formula>"Yes"</formula>
    </cfRule>
  </conditionalFormatting>
  <conditionalFormatting sqref="DP23">
    <cfRule type="cellIs" dxfId="506" priority="334" operator="equal">
      <formula>"No"</formula>
    </cfRule>
    <cfRule type="cellIs" dxfId="505" priority="335" operator="equal">
      <formula>"NA"</formula>
    </cfRule>
    <cfRule type="cellIs" dxfId="504" priority="336" operator="equal">
      <formula>"Yes"</formula>
    </cfRule>
  </conditionalFormatting>
  <conditionalFormatting sqref="DP26">
    <cfRule type="cellIs" dxfId="503" priority="331" operator="equal">
      <formula>"No"</formula>
    </cfRule>
    <cfRule type="cellIs" dxfId="502" priority="332" operator="equal">
      <formula>"NA"</formula>
    </cfRule>
    <cfRule type="cellIs" dxfId="501" priority="333" operator="equal">
      <formula>"Yes"</formula>
    </cfRule>
  </conditionalFormatting>
  <conditionalFormatting sqref="DP33">
    <cfRule type="cellIs" dxfId="500" priority="328" operator="equal">
      <formula>"No"</formula>
    </cfRule>
    <cfRule type="cellIs" dxfId="499" priority="329" operator="equal">
      <formula>"NA"</formula>
    </cfRule>
    <cfRule type="cellIs" dxfId="498" priority="330" operator="equal">
      <formula>"Yes"</formula>
    </cfRule>
  </conditionalFormatting>
  <conditionalFormatting sqref="DP27">
    <cfRule type="cellIs" dxfId="497" priority="325" operator="equal">
      <formula>"No"</formula>
    </cfRule>
    <cfRule type="cellIs" dxfId="496" priority="326" operator="equal">
      <formula>"NA"</formula>
    </cfRule>
    <cfRule type="cellIs" dxfId="495" priority="327" operator="equal">
      <formula>"Yes"</formula>
    </cfRule>
  </conditionalFormatting>
  <conditionalFormatting sqref="DP28">
    <cfRule type="cellIs" dxfId="494" priority="322" operator="equal">
      <formula>"No"</formula>
    </cfRule>
    <cfRule type="cellIs" dxfId="493" priority="323" operator="equal">
      <formula>"NA"</formula>
    </cfRule>
    <cfRule type="cellIs" dxfId="492" priority="324" operator="equal">
      <formula>"Yes"</formula>
    </cfRule>
  </conditionalFormatting>
  <conditionalFormatting sqref="DP30">
    <cfRule type="cellIs" dxfId="491" priority="319" operator="equal">
      <formula>"No"</formula>
    </cfRule>
    <cfRule type="cellIs" dxfId="490" priority="320" operator="equal">
      <formula>"NA"</formula>
    </cfRule>
    <cfRule type="cellIs" dxfId="489" priority="321" operator="equal">
      <formula>"Yes"</formula>
    </cfRule>
  </conditionalFormatting>
  <conditionalFormatting sqref="DP31">
    <cfRule type="cellIs" dxfId="488" priority="316" operator="equal">
      <formula>"No"</formula>
    </cfRule>
    <cfRule type="cellIs" dxfId="487" priority="317" operator="equal">
      <formula>"NA"</formula>
    </cfRule>
    <cfRule type="cellIs" dxfId="486" priority="318" operator="equal">
      <formula>"Yes"</formula>
    </cfRule>
  </conditionalFormatting>
  <conditionalFormatting sqref="DP6">
    <cfRule type="cellIs" dxfId="485" priority="313" operator="equal">
      <formula>"No"</formula>
    </cfRule>
    <cfRule type="cellIs" dxfId="484" priority="314" operator="equal">
      <formula>"NA"</formula>
    </cfRule>
    <cfRule type="cellIs" dxfId="483" priority="315" operator="equal">
      <formula>"Yes"</formula>
    </cfRule>
  </conditionalFormatting>
  <conditionalFormatting sqref="DP25">
    <cfRule type="cellIs" dxfId="482" priority="310" operator="equal">
      <formula>"No"</formula>
    </cfRule>
    <cfRule type="cellIs" dxfId="481" priority="311" operator="equal">
      <formula>"NA"</formula>
    </cfRule>
    <cfRule type="cellIs" dxfId="480" priority="312" operator="equal">
      <formula>"Yes"</formula>
    </cfRule>
  </conditionalFormatting>
  <conditionalFormatting sqref="DP15">
    <cfRule type="cellIs" dxfId="479" priority="307" operator="equal">
      <formula>"No"</formula>
    </cfRule>
    <cfRule type="cellIs" dxfId="478" priority="308" operator="equal">
      <formula>"NA"</formula>
    </cfRule>
    <cfRule type="cellIs" dxfId="477" priority="309" operator="equal">
      <formula>"Yes"</formula>
    </cfRule>
  </conditionalFormatting>
  <conditionalFormatting sqref="DP17">
    <cfRule type="cellIs" dxfId="476" priority="304" operator="equal">
      <formula>"No"</formula>
    </cfRule>
    <cfRule type="cellIs" dxfId="475" priority="305" operator="equal">
      <formula>"NA"</formula>
    </cfRule>
    <cfRule type="cellIs" dxfId="474" priority="306" operator="equal">
      <formula>"Yes"</formula>
    </cfRule>
  </conditionalFormatting>
  <conditionalFormatting sqref="DP14">
    <cfRule type="cellIs" dxfId="473" priority="301" operator="equal">
      <formula>"No"</formula>
    </cfRule>
    <cfRule type="cellIs" dxfId="472" priority="302" operator="equal">
      <formula>"NA"</formula>
    </cfRule>
    <cfRule type="cellIs" dxfId="471" priority="303" operator="equal">
      <formula>"Yes"</formula>
    </cfRule>
  </conditionalFormatting>
  <conditionalFormatting sqref="DP11">
    <cfRule type="cellIs" dxfId="470" priority="298" operator="equal">
      <formula>"No"</formula>
    </cfRule>
    <cfRule type="cellIs" dxfId="469" priority="299" operator="equal">
      <formula>"NA"</formula>
    </cfRule>
    <cfRule type="cellIs" dxfId="468" priority="300" operator="equal">
      <formula>"Yes"</formula>
    </cfRule>
  </conditionalFormatting>
  <conditionalFormatting sqref="DP9">
    <cfRule type="cellIs" dxfId="467" priority="295" operator="equal">
      <formula>"No"</formula>
    </cfRule>
    <cfRule type="cellIs" dxfId="466" priority="296" operator="equal">
      <formula>"NA"</formula>
    </cfRule>
    <cfRule type="cellIs" dxfId="465" priority="297" operator="equal">
      <formula>"Yes"</formula>
    </cfRule>
  </conditionalFormatting>
  <conditionalFormatting sqref="DP10">
    <cfRule type="cellIs" dxfId="464" priority="292" operator="equal">
      <formula>"No"</formula>
    </cfRule>
    <cfRule type="cellIs" dxfId="463" priority="293" operator="equal">
      <formula>"NA"</formula>
    </cfRule>
    <cfRule type="cellIs" dxfId="462" priority="294" operator="equal">
      <formula>"Yes"</formula>
    </cfRule>
  </conditionalFormatting>
  <conditionalFormatting sqref="DQ7">
    <cfRule type="cellIs" dxfId="461" priority="289" operator="equal">
      <formula>"No"</formula>
    </cfRule>
    <cfRule type="cellIs" dxfId="460" priority="290" operator="equal">
      <formula>"NA"</formula>
    </cfRule>
    <cfRule type="cellIs" dxfId="459" priority="291" operator="equal">
      <formula>"Yes"</formula>
    </cfRule>
  </conditionalFormatting>
  <conditionalFormatting sqref="DQ12">
    <cfRule type="cellIs" dxfId="458" priority="286" operator="equal">
      <formula>"No"</formula>
    </cfRule>
    <cfRule type="cellIs" dxfId="457" priority="287" operator="equal">
      <formula>"NA"</formula>
    </cfRule>
    <cfRule type="cellIs" dxfId="456" priority="288" operator="equal">
      <formula>"Yes"</formula>
    </cfRule>
  </conditionalFormatting>
  <conditionalFormatting sqref="DQ13">
    <cfRule type="cellIs" dxfId="455" priority="283" operator="equal">
      <formula>"No"</formula>
    </cfRule>
    <cfRule type="cellIs" dxfId="454" priority="284" operator="equal">
      <formula>"NA"</formula>
    </cfRule>
    <cfRule type="cellIs" dxfId="453" priority="285" operator="equal">
      <formula>"Yes"</formula>
    </cfRule>
  </conditionalFormatting>
  <conditionalFormatting sqref="DQ16">
    <cfRule type="cellIs" dxfId="452" priority="280" operator="equal">
      <formula>"No"</formula>
    </cfRule>
    <cfRule type="cellIs" dxfId="451" priority="281" operator="equal">
      <formula>"NA"</formula>
    </cfRule>
    <cfRule type="cellIs" dxfId="450" priority="282" operator="equal">
      <formula>"Yes"</formula>
    </cfRule>
  </conditionalFormatting>
  <conditionalFormatting sqref="DQ18">
    <cfRule type="cellIs" dxfId="449" priority="277" operator="equal">
      <formula>"No"</formula>
    </cfRule>
    <cfRule type="cellIs" dxfId="448" priority="278" operator="equal">
      <formula>"NA"</formula>
    </cfRule>
    <cfRule type="cellIs" dxfId="447" priority="279" operator="equal">
      <formula>"Yes"</formula>
    </cfRule>
  </conditionalFormatting>
  <conditionalFormatting sqref="DQ19">
    <cfRule type="cellIs" dxfId="446" priority="274" operator="equal">
      <formula>"No"</formula>
    </cfRule>
    <cfRule type="cellIs" dxfId="445" priority="275" operator="equal">
      <formula>"NA"</formula>
    </cfRule>
    <cfRule type="cellIs" dxfId="444" priority="276" operator="equal">
      <formula>"Yes"</formula>
    </cfRule>
  </conditionalFormatting>
  <conditionalFormatting sqref="DQ20">
    <cfRule type="cellIs" dxfId="443" priority="271" operator="equal">
      <formula>"No"</formula>
    </cfRule>
    <cfRule type="cellIs" dxfId="442" priority="272" operator="equal">
      <formula>"NA"</formula>
    </cfRule>
    <cfRule type="cellIs" dxfId="441" priority="273" operator="equal">
      <formula>"Yes"</formula>
    </cfRule>
  </conditionalFormatting>
  <conditionalFormatting sqref="DQ21">
    <cfRule type="cellIs" dxfId="440" priority="268" operator="equal">
      <formula>"No"</formula>
    </cfRule>
    <cfRule type="cellIs" dxfId="439" priority="269" operator="equal">
      <formula>"NA"</formula>
    </cfRule>
    <cfRule type="cellIs" dxfId="438" priority="270" operator="equal">
      <formula>"Yes"</formula>
    </cfRule>
  </conditionalFormatting>
  <conditionalFormatting sqref="DQ22">
    <cfRule type="cellIs" dxfId="437" priority="265" operator="equal">
      <formula>"No"</formula>
    </cfRule>
    <cfRule type="cellIs" dxfId="436" priority="266" operator="equal">
      <formula>"NA"</formula>
    </cfRule>
    <cfRule type="cellIs" dxfId="435" priority="267" operator="equal">
      <formula>"Yes"</formula>
    </cfRule>
  </conditionalFormatting>
  <conditionalFormatting sqref="DQ23">
    <cfRule type="cellIs" dxfId="434" priority="262" operator="equal">
      <formula>"No"</formula>
    </cfRule>
    <cfRule type="cellIs" dxfId="433" priority="263" operator="equal">
      <formula>"NA"</formula>
    </cfRule>
    <cfRule type="cellIs" dxfId="432" priority="264" operator="equal">
      <formula>"Yes"</formula>
    </cfRule>
  </conditionalFormatting>
  <conditionalFormatting sqref="DQ26">
    <cfRule type="cellIs" dxfId="431" priority="259" operator="equal">
      <formula>"No"</formula>
    </cfRule>
    <cfRule type="cellIs" dxfId="430" priority="260" operator="equal">
      <formula>"NA"</formula>
    </cfRule>
    <cfRule type="cellIs" dxfId="429" priority="261" operator="equal">
      <formula>"Yes"</formula>
    </cfRule>
  </conditionalFormatting>
  <conditionalFormatting sqref="DQ33">
    <cfRule type="cellIs" dxfId="428" priority="256" operator="equal">
      <formula>"No"</formula>
    </cfRule>
    <cfRule type="cellIs" dxfId="427" priority="257" operator="equal">
      <formula>"NA"</formula>
    </cfRule>
    <cfRule type="cellIs" dxfId="426" priority="258" operator="equal">
      <formula>"Yes"</formula>
    </cfRule>
  </conditionalFormatting>
  <conditionalFormatting sqref="DQ27">
    <cfRule type="cellIs" dxfId="425" priority="253" operator="equal">
      <formula>"No"</formula>
    </cfRule>
    <cfRule type="cellIs" dxfId="424" priority="254" operator="equal">
      <formula>"NA"</formula>
    </cfRule>
    <cfRule type="cellIs" dxfId="423" priority="255" operator="equal">
      <formula>"Yes"</formula>
    </cfRule>
  </conditionalFormatting>
  <conditionalFormatting sqref="DQ28">
    <cfRule type="cellIs" dxfId="422" priority="250" operator="equal">
      <formula>"No"</formula>
    </cfRule>
    <cfRule type="cellIs" dxfId="421" priority="251" operator="equal">
      <formula>"NA"</formula>
    </cfRule>
    <cfRule type="cellIs" dxfId="420" priority="252" operator="equal">
      <formula>"Yes"</formula>
    </cfRule>
  </conditionalFormatting>
  <conditionalFormatting sqref="DQ30">
    <cfRule type="cellIs" dxfId="419" priority="247" operator="equal">
      <formula>"No"</formula>
    </cfRule>
    <cfRule type="cellIs" dxfId="418" priority="248" operator="equal">
      <formula>"NA"</formula>
    </cfRule>
    <cfRule type="cellIs" dxfId="417" priority="249" operator="equal">
      <formula>"Yes"</formula>
    </cfRule>
  </conditionalFormatting>
  <conditionalFormatting sqref="DQ31">
    <cfRule type="cellIs" dxfId="416" priority="244" operator="equal">
      <formula>"No"</formula>
    </cfRule>
    <cfRule type="cellIs" dxfId="415" priority="245" operator="equal">
      <formula>"NA"</formula>
    </cfRule>
    <cfRule type="cellIs" dxfId="414" priority="246" operator="equal">
      <formula>"Yes"</formula>
    </cfRule>
  </conditionalFormatting>
  <conditionalFormatting sqref="DQ6">
    <cfRule type="cellIs" dxfId="413" priority="241" operator="equal">
      <formula>"No"</formula>
    </cfRule>
    <cfRule type="cellIs" dxfId="412" priority="242" operator="equal">
      <formula>"NA"</formula>
    </cfRule>
    <cfRule type="cellIs" dxfId="411" priority="243" operator="equal">
      <formula>"Yes"</formula>
    </cfRule>
  </conditionalFormatting>
  <conditionalFormatting sqref="DQ25">
    <cfRule type="cellIs" dxfId="410" priority="238" operator="equal">
      <formula>"No"</formula>
    </cfRule>
    <cfRule type="cellIs" dxfId="409" priority="239" operator="equal">
      <formula>"NA"</formula>
    </cfRule>
    <cfRule type="cellIs" dxfId="408" priority="240" operator="equal">
      <formula>"Yes"</formula>
    </cfRule>
  </conditionalFormatting>
  <conditionalFormatting sqref="DQ15">
    <cfRule type="cellIs" dxfId="407" priority="235" operator="equal">
      <formula>"No"</formula>
    </cfRule>
    <cfRule type="cellIs" dxfId="406" priority="236" operator="equal">
      <formula>"NA"</formula>
    </cfRule>
    <cfRule type="cellIs" dxfId="405" priority="237" operator="equal">
      <formula>"Yes"</formula>
    </cfRule>
  </conditionalFormatting>
  <conditionalFormatting sqref="DQ9">
    <cfRule type="cellIs" dxfId="404" priority="232" operator="equal">
      <formula>"No"</formula>
    </cfRule>
    <cfRule type="cellIs" dxfId="403" priority="233" operator="equal">
      <formula>"NA"</formula>
    </cfRule>
    <cfRule type="cellIs" dxfId="402" priority="234" operator="equal">
      <formula>"Yes"</formula>
    </cfRule>
  </conditionalFormatting>
  <conditionalFormatting sqref="DQ17">
    <cfRule type="cellIs" dxfId="401" priority="229" operator="equal">
      <formula>"No"</formula>
    </cfRule>
    <cfRule type="cellIs" dxfId="400" priority="230" operator="equal">
      <formula>"NA"</formula>
    </cfRule>
    <cfRule type="cellIs" dxfId="399" priority="231" operator="equal">
      <formula>"Yes"</formula>
    </cfRule>
  </conditionalFormatting>
  <conditionalFormatting sqref="DQ14">
    <cfRule type="cellIs" dxfId="398" priority="226" operator="equal">
      <formula>"No"</formula>
    </cfRule>
    <cfRule type="cellIs" dxfId="397" priority="227" operator="equal">
      <formula>"NA"</formula>
    </cfRule>
    <cfRule type="cellIs" dxfId="396" priority="228" operator="equal">
      <formula>"Yes"</formula>
    </cfRule>
  </conditionalFormatting>
  <conditionalFormatting sqref="DQ10">
    <cfRule type="cellIs" dxfId="395" priority="223" operator="equal">
      <formula>"No"</formula>
    </cfRule>
    <cfRule type="cellIs" dxfId="394" priority="224" operator="equal">
      <formula>"NA"</formula>
    </cfRule>
    <cfRule type="cellIs" dxfId="393" priority="225" operator="equal">
      <formula>"Yes"</formula>
    </cfRule>
  </conditionalFormatting>
  <conditionalFormatting sqref="DQ11">
    <cfRule type="cellIs" dxfId="392" priority="220" operator="equal">
      <formula>"No"</formula>
    </cfRule>
    <cfRule type="cellIs" dxfId="391" priority="221" operator="equal">
      <formula>"NA"</formula>
    </cfRule>
    <cfRule type="cellIs" dxfId="390" priority="222" operator="equal">
      <formula>"Yes"</formula>
    </cfRule>
  </conditionalFormatting>
  <conditionalFormatting sqref="DR7">
    <cfRule type="cellIs" dxfId="389" priority="217" operator="equal">
      <formula>"No"</formula>
    </cfRule>
    <cfRule type="cellIs" dxfId="388" priority="218" operator="equal">
      <formula>"NA"</formula>
    </cfRule>
    <cfRule type="cellIs" dxfId="387" priority="219" operator="equal">
      <formula>"Yes"</formula>
    </cfRule>
  </conditionalFormatting>
  <conditionalFormatting sqref="DR12">
    <cfRule type="cellIs" dxfId="386" priority="214" operator="equal">
      <formula>"No"</formula>
    </cfRule>
    <cfRule type="cellIs" dxfId="385" priority="215" operator="equal">
      <formula>"NA"</formula>
    </cfRule>
    <cfRule type="cellIs" dxfId="384" priority="216" operator="equal">
      <formula>"Yes"</formula>
    </cfRule>
  </conditionalFormatting>
  <conditionalFormatting sqref="DR13">
    <cfRule type="cellIs" dxfId="383" priority="211" operator="equal">
      <formula>"No"</formula>
    </cfRule>
    <cfRule type="cellIs" dxfId="382" priority="212" operator="equal">
      <formula>"NA"</formula>
    </cfRule>
    <cfRule type="cellIs" dxfId="381" priority="213" operator="equal">
      <formula>"Yes"</formula>
    </cfRule>
  </conditionalFormatting>
  <conditionalFormatting sqref="DR16">
    <cfRule type="cellIs" dxfId="380" priority="208" operator="equal">
      <formula>"No"</formula>
    </cfRule>
    <cfRule type="cellIs" dxfId="379" priority="209" operator="equal">
      <formula>"NA"</formula>
    </cfRule>
    <cfRule type="cellIs" dxfId="378" priority="210" operator="equal">
      <formula>"Yes"</formula>
    </cfRule>
  </conditionalFormatting>
  <conditionalFormatting sqref="DR18">
    <cfRule type="cellIs" dxfId="377" priority="205" operator="equal">
      <formula>"No"</formula>
    </cfRule>
    <cfRule type="cellIs" dxfId="376" priority="206" operator="equal">
      <formula>"NA"</formula>
    </cfRule>
    <cfRule type="cellIs" dxfId="375" priority="207" operator="equal">
      <formula>"Yes"</formula>
    </cfRule>
  </conditionalFormatting>
  <conditionalFormatting sqref="DR19">
    <cfRule type="cellIs" dxfId="374" priority="202" operator="equal">
      <formula>"No"</formula>
    </cfRule>
    <cfRule type="cellIs" dxfId="373" priority="203" operator="equal">
      <formula>"NA"</formula>
    </cfRule>
    <cfRule type="cellIs" dxfId="372" priority="204" operator="equal">
      <formula>"Yes"</formula>
    </cfRule>
  </conditionalFormatting>
  <conditionalFormatting sqref="DR20">
    <cfRule type="cellIs" dxfId="371" priority="199" operator="equal">
      <formula>"No"</formula>
    </cfRule>
    <cfRule type="cellIs" dxfId="370" priority="200" operator="equal">
      <formula>"NA"</formula>
    </cfRule>
    <cfRule type="cellIs" dxfId="369" priority="201" operator="equal">
      <formula>"Yes"</formula>
    </cfRule>
  </conditionalFormatting>
  <conditionalFormatting sqref="DR21">
    <cfRule type="cellIs" dxfId="368" priority="196" operator="equal">
      <formula>"No"</formula>
    </cfRule>
    <cfRule type="cellIs" dxfId="367" priority="197" operator="equal">
      <formula>"NA"</formula>
    </cfRule>
    <cfRule type="cellIs" dxfId="366" priority="198" operator="equal">
      <formula>"Yes"</formula>
    </cfRule>
  </conditionalFormatting>
  <conditionalFormatting sqref="DR22">
    <cfRule type="cellIs" dxfId="365" priority="193" operator="equal">
      <formula>"No"</formula>
    </cfRule>
    <cfRule type="cellIs" dxfId="364" priority="194" operator="equal">
      <formula>"NA"</formula>
    </cfRule>
    <cfRule type="cellIs" dxfId="363" priority="195" operator="equal">
      <formula>"Yes"</formula>
    </cfRule>
  </conditionalFormatting>
  <conditionalFormatting sqref="DR23">
    <cfRule type="cellIs" dxfId="362" priority="190" operator="equal">
      <formula>"No"</formula>
    </cfRule>
    <cfRule type="cellIs" dxfId="361" priority="191" operator="equal">
      <formula>"NA"</formula>
    </cfRule>
    <cfRule type="cellIs" dxfId="360" priority="192" operator="equal">
      <formula>"Yes"</formula>
    </cfRule>
  </conditionalFormatting>
  <conditionalFormatting sqref="DR26">
    <cfRule type="cellIs" dxfId="359" priority="187" operator="equal">
      <formula>"No"</formula>
    </cfRule>
    <cfRule type="cellIs" dxfId="358" priority="188" operator="equal">
      <formula>"NA"</formula>
    </cfRule>
    <cfRule type="cellIs" dxfId="357" priority="189" operator="equal">
      <formula>"Yes"</formula>
    </cfRule>
  </conditionalFormatting>
  <conditionalFormatting sqref="DR33">
    <cfRule type="cellIs" dxfId="356" priority="184" operator="equal">
      <formula>"No"</formula>
    </cfRule>
    <cfRule type="cellIs" dxfId="355" priority="185" operator="equal">
      <formula>"NA"</formula>
    </cfRule>
    <cfRule type="cellIs" dxfId="354" priority="186" operator="equal">
      <formula>"Yes"</formula>
    </cfRule>
  </conditionalFormatting>
  <conditionalFormatting sqref="DR27">
    <cfRule type="cellIs" dxfId="353" priority="181" operator="equal">
      <formula>"No"</formula>
    </cfRule>
    <cfRule type="cellIs" dxfId="352" priority="182" operator="equal">
      <formula>"NA"</formula>
    </cfRule>
    <cfRule type="cellIs" dxfId="351" priority="183" operator="equal">
      <formula>"Yes"</formula>
    </cfRule>
  </conditionalFormatting>
  <conditionalFormatting sqref="DR28">
    <cfRule type="cellIs" dxfId="350" priority="178" operator="equal">
      <formula>"No"</formula>
    </cfRule>
    <cfRule type="cellIs" dxfId="349" priority="179" operator="equal">
      <formula>"NA"</formula>
    </cfRule>
    <cfRule type="cellIs" dxfId="348" priority="180" operator="equal">
      <formula>"Yes"</formula>
    </cfRule>
  </conditionalFormatting>
  <conditionalFormatting sqref="DR30">
    <cfRule type="cellIs" dxfId="347" priority="175" operator="equal">
      <formula>"No"</formula>
    </cfRule>
    <cfRule type="cellIs" dxfId="346" priority="176" operator="equal">
      <formula>"NA"</formula>
    </cfRule>
    <cfRule type="cellIs" dxfId="345" priority="177" operator="equal">
      <formula>"Yes"</formula>
    </cfRule>
  </conditionalFormatting>
  <conditionalFormatting sqref="DR31">
    <cfRule type="cellIs" dxfId="344" priority="172" operator="equal">
      <formula>"No"</formula>
    </cfRule>
    <cfRule type="cellIs" dxfId="343" priority="173" operator="equal">
      <formula>"NA"</formula>
    </cfRule>
    <cfRule type="cellIs" dxfId="342" priority="174" operator="equal">
      <formula>"Yes"</formula>
    </cfRule>
  </conditionalFormatting>
  <conditionalFormatting sqref="DR6">
    <cfRule type="cellIs" dxfId="341" priority="169" operator="equal">
      <formula>"No"</formula>
    </cfRule>
    <cfRule type="cellIs" dxfId="340" priority="170" operator="equal">
      <formula>"NA"</formula>
    </cfRule>
    <cfRule type="cellIs" dxfId="339" priority="171" operator="equal">
      <formula>"Yes"</formula>
    </cfRule>
  </conditionalFormatting>
  <conditionalFormatting sqref="DR25">
    <cfRule type="cellIs" dxfId="338" priority="166" operator="equal">
      <formula>"No"</formula>
    </cfRule>
    <cfRule type="cellIs" dxfId="337" priority="167" operator="equal">
      <formula>"NA"</formula>
    </cfRule>
    <cfRule type="cellIs" dxfId="336" priority="168" operator="equal">
      <formula>"Yes"</formula>
    </cfRule>
  </conditionalFormatting>
  <conditionalFormatting sqref="DR15">
    <cfRule type="cellIs" dxfId="335" priority="163" operator="equal">
      <formula>"No"</formula>
    </cfRule>
    <cfRule type="cellIs" dxfId="334" priority="164" operator="equal">
      <formula>"NA"</formula>
    </cfRule>
    <cfRule type="cellIs" dxfId="333" priority="165" operator="equal">
      <formula>"Yes"</formula>
    </cfRule>
  </conditionalFormatting>
  <conditionalFormatting sqref="DR17">
    <cfRule type="cellIs" dxfId="332" priority="160" operator="equal">
      <formula>"No"</formula>
    </cfRule>
    <cfRule type="cellIs" dxfId="331" priority="161" operator="equal">
      <formula>"NA"</formula>
    </cfRule>
    <cfRule type="cellIs" dxfId="330" priority="162" operator="equal">
      <formula>"Yes"</formula>
    </cfRule>
  </conditionalFormatting>
  <conditionalFormatting sqref="DR14">
    <cfRule type="cellIs" dxfId="329" priority="157" operator="equal">
      <formula>"No"</formula>
    </cfRule>
    <cfRule type="cellIs" dxfId="328" priority="158" operator="equal">
      <formula>"NA"</formula>
    </cfRule>
    <cfRule type="cellIs" dxfId="327" priority="159" operator="equal">
      <formula>"Yes"</formula>
    </cfRule>
  </conditionalFormatting>
  <conditionalFormatting sqref="DR11">
    <cfRule type="cellIs" dxfId="326" priority="154" operator="equal">
      <formula>"No"</formula>
    </cfRule>
    <cfRule type="cellIs" dxfId="325" priority="155" operator="equal">
      <formula>"NA"</formula>
    </cfRule>
    <cfRule type="cellIs" dxfId="324" priority="156" operator="equal">
      <formula>"Yes"</formula>
    </cfRule>
  </conditionalFormatting>
  <conditionalFormatting sqref="DR9">
    <cfRule type="cellIs" dxfId="323" priority="151" operator="equal">
      <formula>"No"</formula>
    </cfRule>
    <cfRule type="cellIs" dxfId="322" priority="152" operator="equal">
      <formula>"NA"</formula>
    </cfRule>
    <cfRule type="cellIs" dxfId="321" priority="153" operator="equal">
      <formula>"Yes"</formula>
    </cfRule>
  </conditionalFormatting>
  <conditionalFormatting sqref="DR10">
    <cfRule type="cellIs" dxfId="320" priority="148" operator="equal">
      <formula>"No"</formula>
    </cfRule>
    <cfRule type="cellIs" dxfId="319" priority="149" operator="equal">
      <formula>"NA"</formula>
    </cfRule>
    <cfRule type="cellIs" dxfId="318" priority="150" operator="equal">
      <formula>"Yes"</formula>
    </cfRule>
  </conditionalFormatting>
  <conditionalFormatting sqref="DS7">
    <cfRule type="cellIs" dxfId="317" priority="145" operator="equal">
      <formula>"No"</formula>
    </cfRule>
    <cfRule type="cellIs" dxfId="316" priority="146" operator="equal">
      <formula>"NA"</formula>
    </cfRule>
    <cfRule type="cellIs" dxfId="315" priority="147" operator="equal">
      <formula>"Yes"</formula>
    </cfRule>
  </conditionalFormatting>
  <conditionalFormatting sqref="DS12">
    <cfRule type="cellIs" dxfId="314" priority="142" operator="equal">
      <formula>"No"</formula>
    </cfRule>
    <cfRule type="cellIs" dxfId="313" priority="143" operator="equal">
      <formula>"NA"</formula>
    </cfRule>
    <cfRule type="cellIs" dxfId="312" priority="144" operator="equal">
      <formula>"Yes"</formula>
    </cfRule>
  </conditionalFormatting>
  <conditionalFormatting sqref="DS13">
    <cfRule type="cellIs" dxfId="311" priority="139" operator="equal">
      <formula>"No"</formula>
    </cfRule>
    <cfRule type="cellIs" dxfId="310" priority="140" operator="equal">
      <formula>"NA"</formula>
    </cfRule>
    <cfRule type="cellIs" dxfId="309" priority="141" operator="equal">
      <formula>"Yes"</formula>
    </cfRule>
  </conditionalFormatting>
  <conditionalFormatting sqref="DS16">
    <cfRule type="cellIs" dxfId="308" priority="136" operator="equal">
      <formula>"No"</formula>
    </cfRule>
    <cfRule type="cellIs" dxfId="307" priority="137" operator="equal">
      <formula>"NA"</formula>
    </cfRule>
    <cfRule type="cellIs" dxfId="306" priority="138" operator="equal">
      <formula>"Yes"</formula>
    </cfRule>
  </conditionalFormatting>
  <conditionalFormatting sqref="DS18">
    <cfRule type="cellIs" dxfId="305" priority="133" operator="equal">
      <formula>"No"</formula>
    </cfRule>
    <cfRule type="cellIs" dxfId="304" priority="134" operator="equal">
      <formula>"NA"</formula>
    </cfRule>
    <cfRule type="cellIs" dxfId="303" priority="135" operator="equal">
      <formula>"Yes"</formula>
    </cfRule>
  </conditionalFormatting>
  <conditionalFormatting sqref="DS19">
    <cfRule type="cellIs" dxfId="302" priority="130" operator="equal">
      <formula>"No"</formula>
    </cfRule>
    <cfRule type="cellIs" dxfId="301" priority="131" operator="equal">
      <formula>"NA"</formula>
    </cfRule>
    <cfRule type="cellIs" dxfId="300" priority="132" operator="equal">
      <formula>"Yes"</formula>
    </cfRule>
  </conditionalFormatting>
  <conditionalFormatting sqref="DS20">
    <cfRule type="cellIs" dxfId="299" priority="127" operator="equal">
      <formula>"No"</formula>
    </cfRule>
    <cfRule type="cellIs" dxfId="298" priority="128" operator="equal">
      <formula>"NA"</formula>
    </cfRule>
    <cfRule type="cellIs" dxfId="297" priority="129" operator="equal">
      <formula>"Yes"</formula>
    </cfRule>
  </conditionalFormatting>
  <conditionalFormatting sqref="DS21">
    <cfRule type="cellIs" dxfId="296" priority="124" operator="equal">
      <formula>"No"</formula>
    </cfRule>
    <cfRule type="cellIs" dxfId="295" priority="125" operator="equal">
      <formula>"NA"</formula>
    </cfRule>
    <cfRule type="cellIs" dxfId="294" priority="126" operator="equal">
      <formula>"Yes"</formula>
    </cfRule>
  </conditionalFormatting>
  <conditionalFormatting sqref="DS22">
    <cfRule type="cellIs" dxfId="293" priority="121" operator="equal">
      <formula>"No"</formula>
    </cfRule>
    <cfRule type="cellIs" dxfId="292" priority="122" operator="equal">
      <formula>"NA"</formula>
    </cfRule>
    <cfRule type="cellIs" dxfId="291" priority="123" operator="equal">
      <formula>"Yes"</formula>
    </cfRule>
  </conditionalFormatting>
  <conditionalFormatting sqref="DS23">
    <cfRule type="cellIs" dxfId="290" priority="118" operator="equal">
      <formula>"No"</formula>
    </cfRule>
    <cfRule type="cellIs" dxfId="289" priority="119" operator="equal">
      <formula>"NA"</formula>
    </cfRule>
    <cfRule type="cellIs" dxfId="288" priority="120" operator="equal">
      <formula>"Yes"</formula>
    </cfRule>
  </conditionalFormatting>
  <conditionalFormatting sqref="DS26">
    <cfRule type="cellIs" dxfId="287" priority="115" operator="equal">
      <formula>"No"</formula>
    </cfRule>
    <cfRule type="cellIs" dxfId="286" priority="116" operator="equal">
      <formula>"NA"</formula>
    </cfRule>
    <cfRule type="cellIs" dxfId="285" priority="117" operator="equal">
      <formula>"Yes"</formula>
    </cfRule>
  </conditionalFormatting>
  <conditionalFormatting sqref="DS33">
    <cfRule type="cellIs" dxfId="284" priority="112" operator="equal">
      <formula>"No"</formula>
    </cfRule>
    <cfRule type="cellIs" dxfId="283" priority="113" operator="equal">
      <formula>"NA"</formula>
    </cfRule>
    <cfRule type="cellIs" dxfId="282" priority="114" operator="equal">
      <formula>"Yes"</formula>
    </cfRule>
  </conditionalFormatting>
  <conditionalFormatting sqref="DS27">
    <cfRule type="cellIs" dxfId="281" priority="109" operator="equal">
      <formula>"No"</formula>
    </cfRule>
    <cfRule type="cellIs" dxfId="280" priority="110" operator="equal">
      <formula>"NA"</formula>
    </cfRule>
    <cfRule type="cellIs" dxfId="279" priority="111" operator="equal">
      <formula>"Yes"</formula>
    </cfRule>
  </conditionalFormatting>
  <conditionalFormatting sqref="DS28">
    <cfRule type="cellIs" dxfId="278" priority="106" operator="equal">
      <formula>"No"</formula>
    </cfRule>
    <cfRule type="cellIs" dxfId="277" priority="107" operator="equal">
      <formula>"NA"</formula>
    </cfRule>
    <cfRule type="cellIs" dxfId="276" priority="108" operator="equal">
      <formula>"Yes"</formula>
    </cfRule>
  </conditionalFormatting>
  <conditionalFormatting sqref="DS30">
    <cfRule type="cellIs" dxfId="275" priority="103" operator="equal">
      <formula>"No"</formula>
    </cfRule>
    <cfRule type="cellIs" dxfId="274" priority="104" operator="equal">
      <formula>"NA"</formula>
    </cfRule>
    <cfRule type="cellIs" dxfId="273" priority="105" operator="equal">
      <formula>"Yes"</formula>
    </cfRule>
  </conditionalFormatting>
  <conditionalFormatting sqref="DS31">
    <cfRule type="cellIs" dxfId="272" priority="100" operator="equal">
      <formula>"No"</formula>
    </cfRule>
    <cfRule type="cellIs" dxfId="271" priority="101" operator="equal">
      <formula>"NA"</formula>
    </cfRule>
    <cfRule type="cellIs" dxfId="270" priority="102" operator="equal">
      <formula>"Yes"</formula>
    </cfRule>
  </conditionalFormatting>
  <conditionalFormatting sqref="DS6">
    <cfRule type="cellIs" dxfId="269" priority="97" operator="equal">
      <formula>"No"</formula>
    </cfRule>
    <cfRule type="cellIs" dxfId="268" priority="98" operator="equal">
      <formula>"NA"</formula>
    </cfRule>
    <cfRule type="cellIs" dxfId="267" priority="99" operator="equal">
      <formula>"Yes"</formula>
    </cfRule>
  </conditionalFormatting>
  <conditionalFormatting sqref="DS25">
    <cfRule type="cellIs" dxfId="266" priority="94" operator="equal">
      <formula>"No"</formula>
    </cfRule>
    <cfRule type="cellIs" dxfId="265" priority="95" operator="equal">
      <formula>"NA"</formula>
    </cfRule>
    <cfRule type="cellIs" dxfId="264" priority="96" operator="equal">
      <formula>"Yes"</formula>
    </cfRule>
  </conditionalFormatting>
  <conditionalFormatting sqref="DS15">
    <cfRule type="cellIs" dxfId="263" priority="91" operator="equal">
      <formula>"No"</formula>
    </cfRule>
    <cfRule type="cellIs" dxfId="262" priority="92" operator="equal">
      <formula>"NA"</formula>
    </cfRule>
    <cfRule type="cellIs" dxfId="261" priority="93" operator="equal">
      <formula>"Yes"</formula>
    </cfRule>
  </conditionalFormatting>
  <conditionalFormatting sqref="DS14">
    <cfRule type="cellIs" dxfId="260" priority="88" operator="equal">
      <formula>"No"</formula>
    </cfRule>
    <cfRule type="cellIs" dxfId="259" priority="89" operator="equal">
      <formula>"NA"</formula>
    </cfRule>
    <cfRule type="cellIs" dxfId="258" priority="90" operator="equal">
      <formula>"Yes"</formula>
    </cfRule>
  </conditionalFormatting>
  <conditionalFormatting sqref="DS11">
    <cfRule type="cellIs" dxfId="257" priority="85" operator="equal">
      <formula>"No"</formula>
    </cfRule>
    <cfRule type="cellIs" dxfId="256" priority="86" operator="equal">
      <formula>"NA"</formula>
    </cfRule>
    <cfRule type="cellIs" dxfId="255" priority="87" operator="equal">
      <formula>"Yes"</formula>
    </cfRule>
  </conditionalFormatting>
  <conditionalFormatting sqref="DS17">
    <cfRule type="cellIs" dxfId="254" priority="82" operator="equal">
      <formula>"No"</formula>
    </cfRule>
    <cfRule type="cellIs" dxfId="253" priority="83" operator="equal">
      <formula>"NA"</formula>
    </cfRule>
    <cfRule type="cellIs" dxfId="252" priority="84" operator="equal">
      <formula>"Yes"</formula>
    </cfRule>
  </conditionalFormatting>
  <conditionalFormatting sqref="DS9">
    <cfRule type="cellIs" dxfId="251" priority="79" operator="equal">
      <formula>"No"</formula>
    </cfRule>
    <cfRule type="cellIs" dxfId="250" priority="80" operator="equal">
      <formula>"NA"</formula>
    </cfRule>
    <cfRule type="cellIs" dxfId="249" priority="81" operator="equal">
      <formula>"Yes"</formula>
    </cfRule>
  </conditionalFormatting>
  <conditionalFormatting sqref="DS10">
    <cfRule type="cellIs" dxfId="248" priority="76" operator="equal">
      <formula>"No"</formula>
    </cfRule>
    <cfRule type="cellIs" dxfId="247" priority="77" operator="equal">
      <formula>"NA"</formula>
    </cfRule>
    <cfRule type="cellIs" dxfId="246" priority="78" operator="equal">
      <formula>"Yes"</formula>
    </cfRule>
  </conditionalFormatting>
  <conditionalFormatting sqref="DT7">
    <cfRule type="cellIs" dxfId="245" priority="73" operator="equal">
      <formula>"No"</formula>
    </cfRule>
    <cfRule type="cellIs" dxfId="244" priority="74" operator="equal">
      <formula>"NA"</formula>
    </cfRule>
    <cfRule type="cellIs" dxfId="243" priority="75" operator="equal">
      <formula>"Yes"</formula>
    </cfRule>
  </conditionalFormatting>
  <conditionalFormatting sqref="DT11">
    <cfRule type="cellIs" dxfId="242" priority="70" operator="equal">
      <formula>"No"</formula>
    </cfRule>
    <cfRule type="cellIs" dxfId="241" priority="71" operator="equal">
      <formula>"NA"</formula>
    </cfRule>
    <cfRule type="cellIs" dxfId="240" priority="72" operator="equal">
      <formula>"Yes"</formula>
    </cfRule>
  </conditionalFormatting>
  <conditionalFormatting sqref="DT12">
    <cfRule type="cellIs" dxfId="239" priority="67" operator="equal">
      <formula>"No"</formula>
    </cfRule>
    <cfRule type="cellIs" dxfId="238" priority="68" operator="equal">
      <formula>"NA"</formula>
    </cfRule>
    <cfRule type="cellIs" dxfId="237" priority="69" operator="equal">
      <formula>"Yes"</formula>
    </cfRule>
  </conditionalFormatting>
  <conditionalFormatting sqref="DT13">
    <cfRule type="cellIs" dxfId="236" priority="64" operator="equal">
      <formula>"No"</formula>
    </cfRule>
    <cfRule type="cellIs" dxfId="235" priority="65" operator="equal">
      <formula>"NA"</formula>
    </cfRule>
    <cfRule type="cellIs" dxfId="234" priority="66" operator="equal">
      <formula>"Yes"</formula>
    </cfRule>
  </conditionalFormatting>
  <conditionalFormatting sqref="DT16">
    <cfRule type="cellIs" dxfId="233" priority="61" operator="equal">
      <formula>"No"</formula>
    </cfRule>
    <cfRule type="cellIs" dxfId="232" priority="62" operator="equal">
      <formula>"NA"</formula>
    </cfRule>
    <cfRule type="cellIs" dxfId="231" priority="63" operator="equal">
      <formula>"Yes"</formula>
    </cfRule>
  </conditionalFormatting>
  <conditionalFormatting sqref="DT18">
    <cfRule type="cellIs" dxfId="230" priority="58" operator="equal">
      <formula>"No"</formula>
    </cfRule>
    <cfRule type="cellIs" dxfId="229" priority="59" operator="equal">
      <formula>"NA"</formula>
    </cfRule>
    <cfRule type="cellIs" dxfId="228" priority="60" operator="equal">
      <formula>"Yes"</formula>
    </cfRule>
  </conditionalFormatting>
  <conditionalFormatting sqref="DT19">
    <cfRule type="cellIs" dxfId="227" priority="55" operator="equal">
      <formula>"No"</formula>
    </cfRule>
    <cfRule type="cellIs" dxfId="226" priority="56" operator="equal">
      <formula>"NA"</formula>
    </cfRule>
    <cfRule type="cellIs" dxfId="225" priority="57" operator="equal">
      <formula>"Yes"</formula>
    </cfRule>
  </conditionalFormatting>
  <conditionalFormatting sqref="DT20">
    <cfRule type="cellIs" dxfId="224" priority="52" operator="equal">
      <formula>"No"</formula>
    </cfRule>
    <cfRule type="cellIs" dxfId="223" priority="53" operator="equal">
      <formula>"NA"</formula>
    </cfRule>
    <cfRule type="cellIs" dxfId="222" priority="54" operator="equal">
      <formula>"Yes"</formula>
    </cfRule>
  </conditionalFormatting>
  <conditionalFormatting sqref="DT21">
    <cfRule type="cellIs" dxfId="221" priority="49" operator="equal">
      <formula>"No"</formula>
    </cfRule>
    <cfRule type="cellIs" dxfId="220" priority="50" operator="equal">
      <formula>"NA"</formula>
    </cfRule>
    <cfRule type="cellIs" dxfId="219" priority="51" operator="equal">
      <formula>"Yes"</formula>
    </cfRule>
  </conditionalFormatting>
  <conditionalFormatting sqref="DT22">
    <cfRule type="cellIs" dxfId="218" priority="46" operator="equal">
      <formula>"No"</formula>
    </cfRule>
    <cfRule type="cellIs" dxfId="217" priority="47" operator="equal">
      <formula>"NA"</formula>
    </cfRule>
    <cfRule type="cellIs" dxfId="216" priority="48" operator="equal">
      <formula>"Yes"</formula>
    </cfRule>
  </conditionalFormatting>
  <conditionalFormatting sqref="DT23">
    <cfRule type="cellIs" dxfId="215" priority="43" operator="equal">
      <formula>"No"</formula>
    </cfRule>
    <cfRule type="cellIs" dxfId="214" priority="44" operator="equal">
      <formula>"NA"</formula>
    </cfRule>
    <cfRule type="cellIs" dxfId="213" priority="45" operator="equal">
      <formula>"Yes"</formula>
    </cfRule>
  </conditionalFormatting>
  <conditionalFormatting sqref="DT26">
    <cfRule type="cellIs" dxfId="212" priority="40" operator="equal">
      <formula>"No"</formula>
    </cfRule>
    <cfRule type="cellIs" dxfId="211" priority="41" operator="equal">
      <formula>"NA"</formula>
    </cfRule>
    <cfRule type="cellIs" dxfId="210" priority="42" operator="equal">
      <formula>"Yes"</formula>
    </cfRule>
  </conditionalFormatting>
  <conditionalFormatting sqref="DT33">
    <cfRule type="cellIs" dxfId="209" priority="37" operator="equal">
      <formula>"No"</formula>
    </cfRule>
    <cfRule type="cellIs" dxfId="208" priority="38" operator="equal">
      <formula>"NA"</formula>
    </cfRule>
    <cfRule type="cellIs" dxfId="207" priority="39" operator="equal">
      <formula>"Yes"</formula>
    </cfRule>
  </conditionalFormatting>
  <conditionalFormatting sqref="DT27">
    <cfRule type="cellIs" dxfId="206" priority="34" operator="equal">
      <formula>"No"</formula>
    </cfRule>
    <cfRule type="cellIs" dxfId="205" priority="35" operator="equal">
      <formula>"NA"</formula>
    </cfRule>
    <cfRule type="cellIs" dxfId="204" priority="36" operator="equal">
      <formula>"Yes"</formula>
    </cfRule>
  </conditionalFormatting>
  <conditionalFormatting sqref="DT28">
    <cfRule type="cellIs" dxfId="203" priority="31" operator="equal">
      <formula>"No"</formula>
    </cfRule>
    <cfRule type="cellIs" dxfId="202" priority="32" operator="equal">
      <formula>"NA"</formula>
    </cfRule>
    <cfRule type="cellIs" dxfId="201" priority="33" operator="equal">
      <formula>"Yes"</formula>
    </cfRule>
  </conditionalFormatting>
  <conditionalFormatting sqref="DT30">
    <cfRule type="cellIs" dxfId="200" priority="28" operator="equal">
      <formula>"No"</formula>
    </cfRule>
    <cfRule type="cellIs" dxfId="199" priority="29" operator="equal">
      <formula>"NA"</formula>
    </cfRule>
    <cfRule type="cellIs" dxfId="198" priority="30" operator="equal">
      <formula>"Yes"</formula>
    </cfRule>
  </conditionalFormatting>
  <conditionalFormatting sqref="DT31">
    <cfRule type="cellIs" dxfId="197" priority="25" operator="equal">
      <formula>"No"</formula>
    </cfRule>
    <cfRule type="cellIs" dxfId="196" priority="26" operator="equal">
      <formula>"NA"</formula>
    </cfRule>
    <cfRule type="cellIs" dxfId="195" priority="27" operator="equal">
      <formula>"Yes"</formula>
    </cfRule>
  </conditionalFormatting>
  <conditionalFormatting sqref="DT6">
    <cfRule type="cellIs" dxfId="194" priority="22" operator="equal">
      <formula>"No"</formula>
    </cfRule>
    <cfRule type="cellIs" dxfId="193" priority="23" operator="equal">
      <formula>"NA"</formula>
    </cfRule>
    <cfRule type="cellIs" dxfId="192" priority="24" operator="equal">
      <formula>"Yes"</formula>
    </cfRule>
  </conditionalFormatting>
  <conditionalFormatting sqref="DT25">
    <cfRule type="cellIs" dxfId="191" priority="19" operator="equal">
      <formula>"No"</formula>
    </cfRule>
    <cfRule type="cellIs" dxfId="190" priority="20" operator="equal">
      <formula>"NA"</formula>
    </cfRule>
    <cfRule type="cellIs" dxfId="189" priority="21" operator="equal">
      <formula>"Yes"</formula>
    </cfRule>
  </conditionalFormatting>
  <conditionalFormatting sqref="DT10">
    <cfRule type="cellIs" dxfId="188" priority="16" operator="equal">
      <formula>"No"</formula>
    </cfRule>
    <cfRule type="cellIs" dxfId="187" priority="17" operator="equal">
      <formula>"NA"</formula>
    </cfRule>
    <cfRule type="cellIs" dxfId="186" priority="18" operator="equal">
      <formula>"Yes"</formula>
    </cfRule>
  </conditionalFormatting>
  <conditionalFormatting sqref="DT15">
    <cfRule type="cellIs" dxfId="185" priority="13" operator="equal">
      <formula>"No"</formula>
    </cfRule>
    <cfRule type="cellIs" dxfId="184" priority="14" operator="equal">
      <formula>"NA"</formula>
    </cfRule>
    <cfRule type="cellIs" dxfId="183" priority="15" operator="equal">
      <formula>"Yes"</formula>
    </cfRule>
  </conditionalFormatting>
  <conditionalFormatting sqref="DT9">
    <cfRule type="cellIs" dxfId="182" priority="10" operator="equal">
      <formula>"No"</formula>
    </cfRule>
    <cfRule type="cellIs" dxfId="181" priority="11" operator="equal">
      <formula>"NA"</formula>
    </cfRule>
    <cfRule type="cellIs" dxfId="180" priority="12" operator="equal">
      <formula>"Yes"</formula>
    </cfRule>
  </conditionalFormatting>
  <conditionalFormatting sqref="DT17">
    <cfRule type="cellIs" dxfId="179" priority="7" operator="equal">
      <formula>"No"</formula>
    </cfRule>
    <cfRule type="cellIs" dxfId="178" priority="8" operator="equal">
      <formula>"NA"</formula>
    </cfRule>
    <cfRule type="cellIs" dxfId="177" priority="9" operator="equal">
      <formula>"Yes"</formula>
    </cfRule>
  </conditionalFormatting>
  <conditionalFormatting sqref="DT14">
    <cfRule type="cellIs" dxfId="176" priority="4" operator="equal">
      <formula>"No"</formula>
    </cfRule>
    <cfRule type="cellIs" dxfId="175" priority="5" operator="equal">
      <formula>"NA"</formula>
    </cfRule>
    <cfRule type="cellIs" dxfId="174" priority="6" operator="equal">
      <formula>"Yes"</formula>
    </cfRule>
  </conditionalFormatting>
  <conditionalFormatting sqref="DU33 DU30:DU31 DU6:DU7 DU25:DU28 DU9:DU23">
    <cfRule type="cellIs" dxfId="173" priority="1" operator="equal">
      <formula>"No"</formula>
    </cfRule>
    <cfRule type="cellIs" dxfId="172" priority="2" operator="equal">
      <formula>"NA"</formula>
    </cfRule>
    <cfRule type="cellIs" dxfId="171" priority="3" operator="equal">
      <formula>"Yes"</formula>
    </cfRule>
  </conditionalFormatting>
  <dataValidations count="1">
    <dataValidation type="list" allowBlank="1" showInputMessage="1" showErrorMessage="1" sqref="C6:DU7 C30:DU31 C33:DU33 C25:DU28 C9:DU23" xr:uid="{52ECC0EC-A693-4720-96A5-4493A4FE49D3}">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1BB73D-9CA7-4DF0-A879-E4F0CCB32B76}">
  <sheetPr codeName="Feuil27">
    <tabColor theme="7"/>
    <outlinePr summaryBelow="0" summaryRight="0"/>
    <pageSetUpPr fitToPage="1"/>
  </sheetPr>
  <dimension ref="A2:I33"/>
  <sheetViews>
    <sheetView zoomScale="130" zoomScaleNormal="130" workbookViewId="0">
      <pane xSplit="1" ySplit="3" topLeftCell="B4" activePane="bottomRight" state="frozen"/>
      <selection pane="topRight" activeCell="B1" sqref="B1"/>
      <selection pane="bottomLeft" activeCell="A4" sqref="A4"/>
      <selection pane="bottomRight" activeCell="E2" sqref="E2"/>
    </sheetView>
  </sheetViews>
  <sheetFormatPr defaultColWidth="9.28515625" defaultRowHeight="12.75" outlineLevelCol="1"/>
  <cols>
    <col min="1" max="1" width="12.5703125" style="145" bestFit="1" customWidth="1"/>
    <col min="2" max="2" width="61" style="144" customWidth="1"/>
    <col min="3" max="5" width="6.28515625" style="143" bestFit="1" customWidth="1"/>
    <col min="6" max="6" width="33.7109375" style="143" customWidth="1"/>
    <col min="7" max="8" width="30.7109375" style="143" customWidth="1" outlineLevel="1"/>
    <col min="9" max="16384" width="9.28515625" style="143"/>
  </cols>
  <sheetData>
    <row r="2" spans="1:9" ht="69.75">
      <c r="A2" s="167" t="s">
        <v>541</v>
      </c>
      <c r="B2" s="168" t="s">
        <v>768</v>
      </c>
      <c r="C2" s="169" t="s">
        <v>798</v>
      </c>
      <c r="D2" s="169" t="s">
        <v>859</v>
      </c>
      <c r="E2" s="169" t="s">
        <v>1025</v>
      </c>
      <c r="F2" s="170" t="s">
        <v>543</v>
      </c>
      <c r="G2" s="353" t="s">
        <v>171</v>
      </c>
      <c r="H2" s="354"/>
    </row>
    <row r="3" spans="1:9" ht="18.75">
      <c r="A3" s="171"/>
      <c r="B3" s="172"/>
      <c r="C3" s="173">
        <f>COUNTIF(Review.ratings,"Yes") / ( COUNTA(Review.QuestionIds) - COUNTIF(Review.ratings,"NA"))</f>
        <v>0.95</v>
      </c>
      <c r="D3" s="173">
        <f>COUNTIF(D6:D30,"Yes") / ( COUNTA(Review.QuestionIds) - COUNTIF(D6:D30,"NA"))</f>
        <v>1</v>
      </c>
      <c r="E3" s="173">
        <f>COUNTIF(E6:E30,"Yes") / ( COUNTA(Review.QuestionIds) - COUNTIF(E6:E30,"NA"))</f>
        <v>1</v>
      </c>
      <c r="F3" s="203"/>
      <c r="G3" s="204" t="s">
        <v>544</v>
      </c>
      <c r="H3" s="204" t="s">
        <v>545</v>
      </c>
      <c r="I3" s="205"/>
    </row>
    <row r="4" spans="1:9" ht="36">
      <c r="A4" s="174"/>
      <c r="B4" s="175" t="s">
        <v>546</v>
      </c>
      <c r="C4" s="176"/>
      <c r="D4" s="176"/>
      <c r="E4" s="176"/>
      <c r="F4" s="176"/>
      <c r="G4" s="176"/>
      <c r="H4" s="177"/>
      <c r="I4" s="82"/>
    </row>
    <row r="5" spans="1:9" ht="18.75">
      <c r="A5" s="146"/>
      <c r="B5" s="154" t="s">
        <v>769</v>
      </c>
      <c r="C5" s="147"/>
      <c r="D5" s="147"/>
      <c r="E5" s="147"/>
      <c r="F5" s="147"/>
      <c r="G5" s="204"/>
      <c r="H5" s="204"/>
    </row>
    <row r="6" spans="1:9" ht="25.5">
      <c r="A6" s="149" t="s">
        <v>770</v>
      </c>
      <c r="B6" s="157" t="s">
        <v>771</v>
      </c>
      <c r="C6" s="206" t="s">
        <v>116</v>
      </c>
      <c r="D6" s="206" t="s">
        <v>116</v>
      </c>
      <c r="E6" s="206" t="s">
        <v>116</v>
      </c>
      <c r="F6" s="207"/>
      <c r="G6" s="208" t="s">
        <v>861</v>
      </c>
      <c r="H6" s="148"/>
    </row>
    <row r="7" spans="1:9" ht="38.25">
      <c r="A7" s="149" t="s">
        <v>772</v>
      </c>
      <c r="B7" s="157" t="s">
        <v>773</v>
      </c>
      <c r="C7" s="206" t="s">
        <v>116</v>
      </c>
      <c r="D7" s="206" t="s">
        <v>116</v>
      </c>
      <c r="E7" s="206" t="s">
        <v>116</v>
      </c>
      <c r="F7" s="207"/>
      <c r="H7" s="148"/>
    </row>
    <row r="8" spans="1:9" ht="25.5">
      <c r="A8" s="149" t="s">
        <v>774</v>
      </c>
      <c r="B8" s="157" t="s">
        <v>775</v>
      </c>
      <c r="C8" s="206" t="s">
        <v>116</v>
      </c>
      <c r="D8" s="206" t="s">
        <v>116</v>
      </c>
      <c r="E8" s="206" t="s">
        <v>116</v>
      </c>
      <c r="F8" s="207"/>
      <c r="G8" s="148"/>
      <c r="H8" s="148"/>
    </row>
    <row r="9" spans="1:9" ht="25.5">
      <c r="A9" s="149" t="s">
        <v>776</v>
      </c>
      <c r="B9" s="157" t="s">
        <v>777</v>
      </c>
      <c r="C9" s="206" t="s">
        <v>116</v>
      </c>
      <c r="D9" s="206" t="s">
        <v>116</v>
      </c>
      <c r="E9" s="206" t="s">
        <v>116</v>
      </c>
      <c r="F9" s="207"/>
      <c r="G9" s="148"/>
      <c r="H9" s="148"/>
    </row>
    <row r="10" spans="1:9" ht="38.25">
      <c r="A10" s="149" t="s">
        <v>778</v>
      </c>
      <c r="B10" s="157" t="s">
        <v>779</v>
      </c>
      <c r="C10" s="206" t="s">
        <v>116</v>
      </c>
      <c r="D10" s="206" t="s">
        <v>116</v>
      </c>
      <c r="E10" s="206" t="s">
        <v>116</v>
      </c>
      <c r="F10" s="207"/>
      <c r="G10" s="148"/>
      <c r="H10" s="148"/>
    </row>
    <row r="11" spans="1:9" ht="18.75">
      <c r="A11" s="146"/>
      <c r="B11" s="154" t="s">
        <v>780</v>
      </c>
      <c r="C11" s="147"/>
      <c r="D11" s="147"/>
      <c r="E11" s="147"/>
      <c r="F11" s="147"/>
      <c r="G11" s="204"/>
      <c r="H11" s="204"/>
    </row>
    <row r="12" spans="1:9" ht="38.25">
      <c r="A12" s="149" t="s">
        <v>781</v>
      </c>
      <c r="B12" s="157" t="s">
        <v>782</v>
      </c>
      <c r="C12" s="206" t="s">
        <v>116</v>
      </c>
      <c r="D12" s="206" t="s">
        <v>116</v>
      </c>
      <c r="E12" s="206" t="s">
        <v>116</v>
      </c>
      <c r="F12" s="207"/>
      <c r="G12" s="148"/>
      <c r="H12" s="148"/>
    </row>
    <row r="13" spans="1:9" ht="76.5">
      <c r="A13" s="149" t="s">
        <v>783</v>
      </c>
      <c r="B13" s="157" t="s">
        <v>784</v>
      </c>
      <c r="C13" s="206" t="s">
        <v>118</v>
      </c>
      <c r="D13" s="206" t="s">
        <v>116</v>
      </c>
      <c r="E13" s="206" t="s">
        <v>116</v>
      </c>
      <c r="F13" s="207" t="s">
        <v>860</v>
      </c>
      <c r="G13" s="148"/>
      <c r="H13" s="148"/>
    </row>
    <row r="14" spans="1:9" ht="18.75">
      <c r="A14" s="146"/>
      <c r="B14" s="154" t="s">
        <v>550</v>
      </c>
      <c r="C14" s="147"/>
      <c r="D14" s="147"/>
      <c r="E14" s="147"/>
      <c r="F14" s="147"/>
      <c r="G14" s="204"/>
      <c r="H14" s="204"/>
    </row>
    <row r="15" spans="1:9" ht="51">
      <c r="A15" s="149" t="s">
        <v>785</v>
      </c>
      <c r="B15" s="157" t="s">
        <v>786</v>
      </c>
      <c r="C15" s="206" t="s">
        <v>116</v>
      </c>
      <c r="D15" s="206" t="s">
        <v>116</v>
      </c>
      <c r="E15" s="206" t="s">
        <v>116</v>
      </c>
      <c r="F15" s="207"/>
      <c r="G15" s="148"/>
      <c r="H15" s="148"/>
    </row>
    <row r="16" spans="1:9" ht="51">
      <c r="A16" s="149" t="s">
        <v>787</v>
      </c>
      <c r="B16" s="157" t="s">
        <v>788</v>
      </c>
      <c r="C16" s="206" t="s">
        <v>116</v>
      </c>
      <c r="D16" s="206" t="s">
        <v>116</v>
      </c>
      <c r="E16" s="206" t="s">
        <v>116</v>
      </c>
      <c r="F16" s="207"/>
      <c r="G16" s="148"/>
      <c r="H16" s="148"/>
    </row>
    <row r="17" spans="1:8" ht="51">
      <c r="A17" s="149" t="s">
        <v>789</v>
      </c>
      <c r="B17" s="157" t="s">
        <v>790</v>
      </c>
      <c r="C17" s="206" t="s">
        <v>116</v>
      </c>
      <c r="D17" s="206" t="s">
        <v>116</v>
      </c>
      <c r="E17" s="206" t="s">
        <v>116</v>
      </c>
      <c r="F17" s="207"/>
      <c r="G17" s="148"/>
      <c r="H17" s="148"/>
    </row>
    <row r="18" spans="1:8" ht="25.5">
      <c r="A18" s="149" t="s">
        <v>791</v>
      </c>
      <c r="B18" s="157" t="s">
        <v>792</v>
      </c>
      <c r="C18" s="206" t="s">
        <v>116</v>
      </c>
      <c r="D18" s="206" t="s">
        <v>116</v>
      </c>
      <c r="E18" s="206" t="s">
        <v>116</v>
      </c>
      <c r="F18" s="207"/>
      <c r="G18" s="148"/>
      <c r="H18" s="148"/>
    </row>
    <row r="19" spans="1:8" ht="51">
      <c r="A19" s="149" t="s">
        <v>793</v>
      </c>
      <c r="B19" s="157" t="s">
        <v>794</v>
      </c>
      <c r="C19" s="206" t="s">
        <v>116</v>
      </c>
      <c r="D19" s="206" t="s">
        <v>116</v>
      </c>
      <c r="E19" s="206" t="s">
        <v>116</v>
      </c>
      <c r="F19" s="207"/>
      <c r="G19" s="148"/>
      <c r="H19" s="148"/>
    </row>
    <row r="20" spans="1:8" ht="25.5">
      <c r="A20" s="149" t="s">
        <v>795</v>
      </c>
      <c r="B20" s="157" t="s">
        <v>796</v>
      </c>
      <c r="C20" s="206" t="s">
        <v>116</v>
      </c>
      <c r="D20" s="206" t="s">
        <v>116</v>
      </c>
      <c r="E20" s="206" t="s">
        <v>116</v>
      </c>
      <c r="F20" s="207"/>
      <c r="G20" s="148"/>
      <c r="H20" s="148"/>
    </row>
    <row r="21" spans="1:8" ht="18.75">
      <c r="A21" s="146"/>
      <c r="B21" s="154" t="s">
        <v>581</v>
      </c>
      <c r="C21" s="147"/>
      <c r="D21" s="147"/>
      <c r="E21" s="147"/>
      <c r="F21" s="147"/>
      <c r="G21" s="204"/>
      <c r="H21" s="204"/>
    </row>
    <row r="22" spans="1:8" ht="38.25">
      <c r="A22" s="149" t="s">
        <v>582</v>
      </c>
      <c r="B22" s="157" t="s">
        <v>583</v>
      </c>
      <c r="C22" s="206" t="s">
        <v>116</v>
      </c>
      <c r="D22" s="206" t="s">
        <v>116</v>
      </c>
      <c r="E22" s="206" t="s">
        <v>116</v>
      </c>
      <c r="F22" s="207"/>
      <c r="G22" s="148"/>
      <c r="H22" s="148"/>
    </row>
    <row r="23" spans="1:8" ht="25.5">
      <c r="A23" s="149" t="s">
        <v>584</v>
      </c>
      <c r="B23" s="157" t="s">
        <v>585</v>
      </c>
      <c r="C23" s="206" t="s">
        <v>116</v>
      </c>
      <c r="D23" s="206" t="s">
        <v>116</v>
      </c>
      <c r="E23" s="206" t="s">
        <v>116</v>
      </c>
      <c r="F23" s="207"/>
      <c r="G23" s="148"/>
      <c r="H23" s="148"/>
    </row>
    <row r="24" spans="1:8" ht="38.25">
      <c r="A24" s="149" t="s">
        <v>586</v>
      </c>
      <c r="B24" s="157" t="s">
        <v>587</v>
      </c>
      <c r="C24" s="206" t="s">
        <v>116</v>
      </c>
      <c r="D24" s="206" t="s">
        <v>116</v>
      </c>
      <c r="E24" s="206" t="s">
        <v>116</v>
      </c>
      <c r="F24" s="207"/>
      <c r="G24" s="148"/>
      <c r="H24" s="148"/>
    </row>
    <row r="25" spans="1:8" ht="38.25">
      <c r="A25" s="149" t="s">
        <v>588</v>
      </c>
      <c r="B25" s="157" t="s">
        <v>589</v>
      </c>
      <c r="C25" s="206" t="s">
        <v>116</v>
      </c>
      <c r="D25" s="206" t="s">
        <v>116</v>
      </c>
      <c r="E25" s="206" t="s">
        <v>116</v>
      </c>
      <c r="F25" s="207"/>
      <c r="G25" s="148"/>
      <c r="H25" s="148"/>
    </row>
    <row r="26" spans="1:8" ht="18.75">
      <c r="A26" s="146"/>
      <c r="B26" s="154" t="s">
        <v>590</v>
      </c>
      <c r="C26" s="147"/>
      <c r="D26" s="147"/>
      <c r="E26" s="147"/>
      <c r="F26" s="147"/>
      <c r="G26" s="204"/>
      <c r="H26" s="204"/>
    </row>
    <row r="27" spans="1:8" ht="38.25">
      <c r="A27" s="149" t="s">
        <v>591</v>
      </c>
      <c r="B27" s="157" t="s">
        <v>592</v>
      </c>
      <c r="C27" s="206" t="s">
        <v>116</v>
      </c>
      <c r="D27" s="206" t="s">
        <v>116</v>
      </c>
      <c r="E27" s="206" t="s">
        <v>116</v>
      </c>
      <c r="F27" s="207"/>
      <c r="G27" s="148"/>
      <c r="H27" s="148"/>
    </row>
    <row r="28" spans="1:8" ht="38.25">
      <c r="A28" s="149" t="s">
        <v>593</v>
      </c>
      <c r="B28" s="157" t="s">
        <v>594</v>
      </c>
      <c r="C28" s="206" t="s">
        <v>116</v>
      </c>
      <c r="D28" s="206" t="s">
        <v>116</v>
      </c>
      <c r="E28" s="206" t="s">
        <v>116</v>
      </c>
      <c r="F28" s="207"/>
      <c r="G28" s="148"/>
      <c r="H28" s="148"/>
    </row>
    <row r="29" spans="1:8" ht="18.75">
      <c r="A29" s="146"/>
      <c r="B29" s="154" t="s">
        <v>595</v>
      </c>
      <c r="C29" s="147"/>
      <c r="D29" s="147"/>
      <c r="E29" s="147"/>
      <c r="F29" s="147"/>
      <c r="G29" s="204"/>
      <c r="H29" s="204"/>
    </row>
    <row r="30" spans="1:8" ht="51">
      <c r="A30" s="149" t="s">
        <v>596</v>
      </c>
      <c r="B30" s="157" t="s">
        <v>597</v>
      </c>
      <c r="C30" s="206" t="s">
        <v>116</v>
      </c>
      <c r="D30" s="206" t="s">
        <v>116</v>
      </c>
      <c r="E30" s="206" t="s">
        <v>116</v>
      </c>
      <c r="F30" s="207"/>
      <c r="G30" s="148"/>
      <c r="H30" s="148"/>
    </row>
    <row r="31" spans="1:8" ht="18">
      <c r="A31" s="209"/>
      <c r="B31" s="210" t="s">
        <v>598</v>
      </c>
      <c r="C31" s="209"/>
      <c r="D31" s="209"/>
      <c r="E31" s="209"/>
      <c r="F31" s="209"/>
      <c r="G31" s="209"/>
      <c r="H31" s="209"/>
    </row>
    <row r="32" spans="1:8">
      <c r="A32" s="149"/>
      <c r="B32" s="157"/>
    </row>
    <row r="33" spans="1:8" ht="15">
      <c r="A33" s="187"/>
      <c r="B33" s="188" t="s">
        <v>599</v>
      </c>
      <c r="C33" s="187"/>
      <c r="D33" s="187"/>
      <c r="E33" s="187"/>
      <c r="F33" s="187"/>
      <c r="G33" s="187"/>
      <c r="H33" s="187"/>
    </row>
  </sheetData>
  <mergeCells count="1">
    <mergeCell ref="G2:H2"/>
  </mergeCells>
  <conditionalFormatting sqref="C6">
    <cfRule type="cellIs" dxfId="170" priority="181" operator="equal">
      <formula>"No"</formula>
    </cfRule>
    <cfRule type="cellIs" dxfId="169" priority="182" operator="equal">
      <formula>"NA"</formula>
    </cfRule>
    <cfRule type="cellIs" dxfId="168" priority="183" operator="equal">
      <formula>"Yes"</formula>
    </cfRule>
  </conditionalFormatting>
  <conditionalFormatting sqref="C7">
    <cfRule type="cellIs" dxfId="167" priority="178" operator="equal">
      <formula>"No"</formula>
    </cfRule>
    <cfRule type="cellIs" dxfId="166" priority="179" operator="equal">
      <formula>"NA"</formula>
    </cfRule>
    <cfRule type="cellIs" dxfId="165" priority="180" operator="equal">
      <formula>"Yes"</formula>
    </cfRule>
  </conditionalFormatting>
  <conditionalFormatting sqref="C8">
    <cfRule type="cellIs" dxfId="164" priority="175" operator="equal">
      <formula>"No"</formula>
    </cfRule>
    <cfRule type="cellIs" dxfId="163" priority="176" operator="equal">
      <formula>"NA"</formula>
    </cfRule>
    <cfRule type="cellIs" dxfId="162" priority="177" operator="equal">
      <formula>"Yes"</formula>
    </cfRule>
  </conditionalFormatting>
  <conditionalFormatting sqref="C9">
    <cfRule type="cellIs" dxfId="161" priority="172" operator="equal">
      <formula>"No"</formula>
    </cfRule>
    <cfRule type="cellIs" dxfId="160" priority="173" operator="equal">
      <formula>"NA"</formula>
    </cfRule>
    <cfRule type="cellIs" dxfId="159" priority="174" operator="equal">
      <formula>"Yes"</formula>
    </cfRule>
  </conditionalFormatting>
  <conditionalFormatting sqref="C10">
    <cfRule type="cellIs" dxfId="158" priority="169" operator="equal">
      <formula>"No"</formula>
    </cfRule>
    <cfRule type="cellIs" dxfId="157" priority="170" operator="equal">
      <formula>"NA"</formula>
    </cfRule>
    <cfRule type="cellIs" dxfId="156" priority="171" operator="equal">
      <formula>"Yes"</formula>
    </cfRule>
  </conditionalFormatting>
  <conditionalFormatting sqref="C12">
    <cfRule type="cellIs" dxfId="155" priority="154" operator="equal">
      <formula>"No"</formula>
    </cfRule>
    <cfRule type="cellIs" dxfId="154" priority="155" operator="equal">
      <formula>"NA"</formula>
    </cfRule>
    <cfRule type="cellIs" dxfId="153" priority="156" operator="equal">
      <formula>"Yes"</formula>
    </cfRule>
  </conditionalFormatting>
  <conditionalFormatting sqref="C13">
    <cfRule type="cellIs" dxfId="152" priority="151" operator="equal">
      <formula>"No"</formula>
    </cfRule>
    <cfRule type="cellIs" dxfId="151" priority="152" operator="equal">
      <formula>"NA"</formula>
    </cfRule>
    <cfRule type="cellIs" dxfId="150" priority="153" operator="equal">
      <formula>"Yes"</formula>
    </cfRule>
  </conditionalFormatting>
  <conditionalFormatting sqref="C15">
    <cfRule type="cellIs" dxfId="149" priority="109" operator="equal">
      <formula>"No"</formula>
    </cfRule>
    <cfRule type="cellIs" dxfId="148" priority="110" operator="equal">
      <formula>"NA"</formula>
    </cfRule>
    <cfRule type="cellIs" dxfId="147" priority="111" operator="equal">
      <formula>"Yes"</formula>
    </cfRule>
  </conditionalFormatting>
  <conditionalFormatting sqref="C16">
    <cfRule type="cellIs" dxfId="146" priority="106" operator="equal">
      <formula>"No"</formula>
    </cfRule>
    <cfRule type="cellIs" dxfId="145" priority="107" operator="equal">
      <formula>"NA"</formula>
    </cfRule>
    <cfRule type="cellIs" dxfId="144" priority="108" operator="equal">
      <formula>"Yes"</formula>
    </cfRule>
  </conditionalFormatting>
  <conditionalFormatting sqref="C17">
    <cfRule type="cellIs" dxfId="143" priority="103" operator="equal">
      <formula>"No"</formula>
    </cfRule>
    <cfRule type="cellIs" dxfId="142" priority="104" operator="equal">
      <formula>"NA"</formula>
    </cfRule>
    <cfRule type="cellIs" dxfId="141" priority="105" operator="equal">
      <formula>"Yes"</formula>
    </cfRule>
  </conditionalFormatting>
  <conditionalFormatting sqref="C18">
    <cfRule type="cellIs" dxfId="140" priority="100" operator="equal">
      <formula>"No"</formula>
    </cfRule>
    <cfRule type="cellIs" dxfId="139" priority="101" operator="equal">
      <formula>"NA"</formula>
    </cfRule>
    <cfRule type="cellIs" dxfId="138" priority="102" operator="equal">
      <formula>"Yes"</formula>
    </cfRule>
  </conditionalFormatting>
  <conditionalFormatting sqref="C19">
    <cfRule type="cellIs" dxfId="137" priority="97" operator="equal">
      <formula>"No"</formula>
    </cfRule>
    <cfRule type="cellIs" dxfId="136" priority="98" operator="equal">
      <formula>"NA"</formula>
    </cfRule>
    <cfRule type="cellIs" dxfId="135" priority="99" operator="equal">
      <formula>"Yes"</formula>
    </cfRule>
  </conditionalFormatting>
  <conditionalFormatting sqref="C20">
    <cfRule type="cellIs" dxfId="134" priority="94" operator="equal">
      <formula>"No"</formula>
    </cfRule>
    <cfRule type="cellIs" dxfId="133" priority="95" operator="equal">
      <formula>"NA"</formula>
    </cfRule>
    <cfRule type="cellIs" dxfId="132" priority="96" operator="equal">
      <formula>"Yes"</formula>
    </cfRule>
  </conditionalFormatting>
  <conditionalFormatting sqref="C22">
    <cfRule type="cellIs" dxfId="131" priority="91" operator="equal">
      <formula>"No"</formula>
    </cfRule>
    <cfRule type="cellIs" dxfId="130" priority="92" operator="equal">
      <formula>"NA"</formula>
    </cfRule>
    <cfRule type="cellIs" dxfId="129" priority="93" operator="equal">
      <formula>"Yes"</formula>
    </cfRule>
  </conditionalFormatting>
  <conditionalFormatting sqref="C23">
    <cfRule type="cellIs" dxfId="128" priority="88" operator="equal">
      <formula>"No"</formula>
    </cfRule>
    <cfRule type="cellIs" dxfId="127" priority="89" operator="equal">
      <formula>"NA"</formula>
    </cfRule>
    <cfRule type="cellIs" dxfId="126" priority="90" operator="equal">
      <formula>"Yes"</formula>
    </cfRule>
  </conditionalFormatting>
  <conditionalFormatting sqref="C24">
    <cfRule type="cellIs" dxfId="125" priority="85" operator="equal">
      <formula>"No"</formula>
    </cfRule>
    <cfRule type="cellIs" dxfId="124" priority="86" operator="equal">
      <formula>"NA"</formula>
    </cfRule>
    <cfRule type="cellIs" dxfId="123" priority="87" operator="equal">
      <formula>"Yes"</formula>
    </cfRule>
  </conditionalFormatting>
  <conditionalFormatting sqref="C25">
    <cfRule type="cellIs" dxfId="122" priority="82" operator="equal">
      <formula>"No"</formula>
    </cfRule>
    <cfRule type="cellIs" dxfId="121" priority="83" operator="equal">
      <formula>"NA"</formula>
    </cfRule>
    <cfRule type="cellIs" dxfId="120" priority="84" operator="equal">
      <formula>"Yes"</formula>
    </cfRule>
  </conditionalFormatting>
  <conditionalFormatting sqref="C27">
    <cfRule type="cellIs" dxfId="119" priority="79" operator="equal">
      <formula>"No"</formula>
    </cfRule>
    <cfRule type="cellIs" dxfId="118" priority="80" operator="equal">
      <formula>"NA"</formula>
    </cfRule>
    <cfRule type="cellIs" dxfId="117" priority="81" operator="equal">
      <formula>"Yes"</formula>
    </cfRule>
  </conditionalFormatting>
  <conditionalFormatting sqref="C28">
    <cfRule type="cellIs" dxfId="116" priority="76" operator="equal">
      <formula>"No"</formula>
    </cfRule>
    <cfRule type="cellIs" dxfId="115" priority="77" operator="equal">
      <formula>"NA"</formula>
    </cfRule>
    <cfRule type="cellIs" dxfId="114" priority="78" operator="equal">
      <formula>"Yes"</formula>
    </cfRule>
  </conditionalFormatting>
  <conditionalFormatting sqref="C30">
    <cfRule type="cellIs" dxfId="113" priority="73" operator="equal">
      <formula>"No"</formula>
    </cfRule>
    <cfRule type="cellIs" dxfId="112" priority="74" operator="equal">
      <formula>"NA"</formula>
    </cfRule>
    <cfRule type="cellIs" dxfId="111" priority="75" operator="equal">
      <formula>"Yes"</formula>
    </cfRule>
  </conditionalFormatting>
  <conditionalFormatting sqref="D6:E6">
    <cfRule type="cellIs" dxfId="110" priority="70" operator="equal">
      <formula>"No"</formula>
    </cfRule>
    <cfRule type="cellIs" dxfId="109" priority="71" operator="equal">
      <formula>"NA"</formula>
    </cfRule>
    <cfRule type="cellIs" dxfId="108" priority="72" operator="equal">
      <formula>"Yes"</formula>
    </cfRule>
  </conditionalFormatting>
  <conditionalFormatting sqref="D7:E7">
    <cfRule type="cellIs" dxfId="107" priority="67" operator="equal">
      <formula>"No"</formula>
    </cfRule>
    <cfRule type="cellIs" dxfId="106" priority="68" operator="equal">
      <formula>"NA"</formula>
    </cfRule>
    <cfRule type="cellIs" dxfId="105" priority="69" operator="equal">
      <formula>"Yes"</formula>
    </cfRule>
  </conditionalFormatting>
  <conditionalFormatting sqref="D8:E8">
    <cfRule type="cellIs" dxfId="104" priority="64" operator="equal">
      <formula>"No"</formula>
    </cfRule>
    <cfRule type="cellIs" dxfId="103" priority="65" operator="equal">
      <formula>"NA"</formula>
    </cfRule>
    <cfRule type="cellIs" dxfId="102" priority="66" operator="equal">
      <formula>"Yes"</formula>
    </cfRule>
  </conditionalFormatting>
  <conditionalFormatting sqref="D9:E9">
    <cfRule type="cellIs" dxfId="101" priority="61" operator="equal">
      <formula>"No"</formula>
    </cfRule>
    <cfRule type="cellIs" dxfId="100" priority="62" operator="equal">
      <formula>"NA"</formula>
    </cfRule>
    <cfRule type="cellIs" dxfId="99" priority="63" operator="equal">
      <formula>"Yes"</formula>
    </cfRule>
  </conditionalFormatting>
  <conditionalFormatting sqref="D10:E10">
    <cfRule type="cellIs" dxfId="98" priority="58" operator="equal">
      <formula>"No"</formula>
    </cfRule>
    <cfRule type="cellIs" dxfId="97" priority="59" operator="equal">
      <formula>"NA"</formula>
    </cfRule>
    <cfRule type="cellIs" dxfId="96" priority="60" operator="equal">
      <formula>"Yes"</formula>
    </cfRule>
  </conditionalFormatting>
  <conditionalFormatting sqref="D12:E12">
    <cfRule type="cellIs" dxfId="95" priority="43" operator="equal">
      <formula>"No"</formula>
    </cfRule>
    <cfRule type="cellIs" dxfId="94" priority="44" operator="equal">
      <formula>"NA"</formula>
    </cfRule>
    <cfRule type="cellIs" dxfId="93" priority="45" operator="equal">
      <formula>"Yes"</formula>
    </cfRule>
  </conditionalFormatting>
  <conditionalFormatting sqref="D13:E13">
    <cfRule type="cellIs" dxfId="92" priority="40" operator="equal">
      <formula>"No"</formula>
    </cfRule>
    <cfRule type="cellIs" dxfId="91" priority="41" operator="equal">
      <formula>"NA"</formula>
    </cfRule>
    <cfRule type="cellIs" dxfId="90" priority="42" operator="equal">
      <formula>"Yes"</formula>
    </cfRule>
  </conditionalFormatting>
  <conditionalFormatting sqref="D15:E15">
    <cfRule type="cellIs" dxfId="89" priority="37" operator="equal">
      <formula>"No"</formula>
    </cfRule>
    <cfRule type="cellIs" dxfId="88" priority="38" operator="equal">
      <formula>"NA"</formula>
    </cfRule>
    <cfRule type="cellIs" dxfId="87" priority="39" operator="equal">
      <formula>"Yes"</formula>
    </cfRule>
  </conditionalFormatting>
  <conditionalFormatting sqref="D16:E16">
    <cfRule type="cellIs" dxfId="86" priority="34" operator="equal">
      <formula>"No"</formula>
    </cfRule>
    <cfRule type="cellIs" dxfId="85" priority="35" operator="equal">
      <formula>"NA"</formula>
    </cfRule>
    <cfRule type="cellIs" dxfId="84" priority="36" operator="equal">
      <formula>"Yes"</formula>
    </cfRule>
  </conditionalFormatting>
  <conditionalFormatting sqref="D17:E17">
    <cfRule type="cellIs" dxfId="83" priority="31" operator="equal">
      <formula>"No"</formula>
    </cfRule>
    <cfRule type="cellIs" dxfId="82" priority="32" operator="equal">
      <formula>"NA"</formula>
    </cfRule>
    <cfRule type="cellIs" dxfId="81" priority="33" operator="equal">
      <formula>"Yes"</formula>
    </cfRule>
  </conditionalFormatting>
  <conditionalFormatting sqref="D18:E18">
    <cfRule type="cellIs" dxfId="80" priority="28" operator="equal">
      <formula>"No"</formula>
    </cfRule>
    <cfRule type="cellIs" dxfId="79" priority="29" operator="equal">
      <formula>"NA"</formula>
    </cfRule>
    <cfRule type="cellIs" dxfId="78" priority="30" operator="equal">
      <formula>"Yes"</formula>
    </cfRule>
  </conditionalFormatting>
  <conditionalFormatting sqref="D19:E19">
    <cfRule type="cellIs" dxfId="77" priority="25" operator="equal">
      <formula>"No"</formula>
    </cfRule>
    <cfRule type="cellIs" dxfId="76" priority="26" operator="equal">
      <formula>"NA"</formula>
    </cfRule>
    <cfRule type="cellIs" dxfId="75" priority="27" operator="equal">
      <formula>"Yes"</formula>
    </cfRule>
  </conditionalFormatting>
  <conditionalFormatting sqref="D20:E20">
    <cfRule type="cellIs" dxfId="74" priority="22" operator="equal">
      <formula>"No"</formula>
    </cfRule>
    <cfRule type="cellIs" dxfId="73" priority="23" operator="equal">
      <formula>"NA"</formula>
    </cfRule>
    <cfRule type="cellIs" dxfId="72" priority="24" operator="equal">
      <formula>"Yes"</formula>
    </cfRule>
  </conditionalFormatting>
  <conditionalFormatting sqref="D22:E22">
    <cfRule type="cellIs" dxfId="71" priority="19" operator="equal">
      <formula>"No"</formula>
    </cfRule>
    <cfRule type="cellIs" dxfId="70" priority="20" operator="equal">
      <formula>"NA"</formula>
    </cfRule>
    <cfRule type="cellIs" dxfId="69" priority="21" operator="equal">
      <formula>"Yes"</formula>
    </cfRule>
  </conditionalFormatting>
  <conditionalFormatting sqref="D23:E23">
    <cfRule type="cellIs" dxfId="68" priority="16" operator="equal">
      <formula>"No"</formula>
    </cfRule>
    <cfRule type="cellIs" dxfId="67" priority="17" operator="equal">
      <formula>"NA"</formula>
    </cfRule>
    <cfRule type="cellIs" dxfId="66" priority="18" operator="equal">
      <formula>"Yes"</formula>
    </cfRule>
  </conditionalFormatting>
  <conditionalFormatting sqref="D24:E24">
    <cfRule type="cellIs" dxfId="65" priority="13" operator="equal">
      <formula>"No"</formula>
    </cfRule>
    <cfRule type="cellIs" dxfId="64" priority="14" operator="equal">
      <formula>"NA"</formula>
    </cfRule>
    <cfRule type="cellIs" dxfId="63" priority="15" operator="equal">
      <formula>"Yes"</formula>
    </cfRule>
  </conditionalFormatting>
  <conditionalFormatting sqref="D25:E25">
    <cfRule type="cellIs" dxfId="62" priority="10" operator="equal">
      <formula>"No"</formula>
    </cfRule>
    <cfRule type="cellIs" dxfId="61" priority="11" operator="equal">
      <formula>"NA"</formula>
    </cfRule>
    <cfRule type="cellIs" dxfId="60" priority="12" operator="equal">
      <formula>"Yes"</formula>
    </cfRule>
  </conditionalFormatting>
  <conditionalFormatting sqref="D27:E27">
    <cfRule type="cellIs" dxfId="59" priority="7" operator="equal">
      <formula>"No"</formula>
    </cfRule>
    <cfRule type="cellIs" dxfId="58" priority="8" operator="equal">
      <formula>"NA"</formula>
    </cfRule>
    <cfRule type="cellIs" dxfId="57" priority="9" operator="equal">
      <formula>"Yes"</formula>
    </cfRule>
  </conditionalFormatting>
  <conditionalFormatting sqref="D28:E28">
    <cfRule type="cellIs" dxfId="56" priority="4" operator="equal">
      <formula>"No"</formula>
    </cfRule>
    <cfRule type="cellIs" dxfId="55" priority="5" operator="equal">
      <formula>"NA"</formula>
    </cfRule>
    <cfRule type="cellIs" dxfId="54" priority="6" operator="equal">
      <formula>"Yes"</formula>
    </cfRule>
  </conditionalFormatting>
  <conditionalFormatting sqref="D30:E30">
    <cfRule type="cellIs" dxfId="53" priority="1" operator="equal">
      <formula>"No"</formula>
    </cfRule>
    <cfRule type="cellIs" dxfId="52" priority="2" operator="equal">
      <formula>"NA"</formula>
    </cfRule>
    <cfRule type="cellIs" dxfId="51" priority="3" operator="equal">
      <formula>"Yes"</formula>
    </cfRule>
  </conditionalFormatting>
  <dataValidations count="1">
    <dataValidation type="list" allowBlank="1" showInputMessage="1" showErrorMessage="1" sqref="C6:E10 C30:E30 C22:E25 C15:E20 C27:E28 C12:E13" xr:uid="{B1BBACF3-DE88-4D87-A9E6-DD3EBCB0C4BB}">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C48000-BF17-4575-B194-EF5D9722B6D2}">
  <sheetPr codeName="Feuil35">
    <tabColor theme="7"/>
    <outlinePr summaryBelow="0" summaryRight="0"/>
    <pageSetUpPr fitToPage="1"/>
  </sheetPr>
  <dimension ref="A2:G31"/>
  <sheetViews>
    <sheetView zoomScale="130" zoomScaleNormal="130" workbookViewId="0">
      <pane xSplit="1" ySplit="3" topLeftCell="B4" activePane="bottomRight" state="frozen"/>
      <selection pane="topRight" activeCell="B1" sqref="B1"/>
      <selection pane="bottomLeft" activeCell="A4" sqref="A4"/>
      <selection pane="bottomRight" activeCell="D29" sqref="D29"/>
    </sheetView>
  </sheetViews>
  <sheetFormatPr defaultColWidth="9.28515625" defaultRowHeight="12.75" outlineLevelCol="1"/>
  <cols>
    <col min="1" max="1" width="12.5703125" style="145" bestFit="1" customWidth="1"/>
    <col min="2" max="2" width="61" style="144" customWidth="1"/>
    <col min="3" max="3" width="6.28515625" style="143" bestFit="1" customWidth="1"/>
    <col min="4" max="4" width="33.7109375" style="143" customWidth="1"/>
    <col min="5" max="6" width="30.7109375" style="143" customWidth="1" outlineLevel="1"/>
    <col min="7" max="16384" width="9.28515625" style="143"/>
  </cols>
  <sheetData>
    <row r="2" spans="1:7" ht="144.75" customHeight="1">
      <c r="A2" s="167" t="s">
        <v>541</v>
      </c>
      <c r="B2" s="168" t="s">
        <v>799</v>
      </c>
      <c r="C2" s="212" t="s">
        <v>816</v>
      </c>
      <c r="D2" s="170" t="s">
        <v>543</v>
      </c>
      <c r="E2" s="353" t="s">
        <v>171</v>
      </c>
      <c r="F2" s="354"/>
    </row>
    <row r="3" spans="1:7" ht="18.75">
      <c r="A3" s="171"/>
      <c r="B3" s="172"/>
      <c r="C3" s="173">
        <f>COUNTIF(Review.ratings,"Yes") / ( COUNTA(Review.QuestionIds) - COUNTIF(Review.ratings,"NA"))</f>
        <v>0.94444444444444442</v>
      </c>
      <c r="D3" s="203"/>
      <c r="E3" s="211" t="s">
        <v>544</v>
      </c>
      <c r="F3" s="211" t="s">
        <v>545</v>
      </c>
      <c r="G3" s="205"/>
    </row>
    <row r="4" spans="1:7" ht="36">
      <c r="A4" s="174"/>
      <c r="B4" s="175" t="s">
        <v>546</v>
      </c>
      <c r="C4" s="176"/>
      <c r="D4" s="176"/>
      <c r="E4" s="176"/>
      <c r="F4" s="177"/>
      <c r="G4" s="82"/>
    </row>
    <row r="5" spans="1:7" ht="18.75">
      <c r="A5" s="146"/>
      <c r="B5" s="154" t="s">
        <v>769</v>
      </c>
      <c r="C5" s="147"/>
      <c r="D5" s="147"/>
      <c r="E5" s="211"/>
      <c r="F5" s="211"/>
    </row>
    <row r="6" spans="1:7" ht="25.5">
      <c r="A6" s="149" t="s">
        <v>770</v>
      </c>
      <c r="B6" s="157" t="s">
        <v>771</v>
      </c>
      <c r="C6" s="206" t="s">
        <v>116</v>
      </c>
      <c r="D6" s="207"/>
      <c r="E6" s="148"/>
      <c r="F6" s="148"/>
    </row>
    <row r="7" spans="1:7" ht="38.25">
      <c r="A7" s="149" t="s">
        <v>772</v>
      </c>
      <c r="B7" s="157" t="s">
        <v>773</v>
      </c>
      <c r="C7" s="206" t="s">
        <v>116</v>
      </c>
      <c r="D7" s="207"/>
      <c r="E7" s="208"/>
      <c r="F7" s="148"/>
    </row>
    <row r="8" spans="1:7" ht="38.25">
      <c r="A8" s="149" t="s">
        <v>800</v>
      </c>
      <c r="B8" s="157" t="s">
        <v>801</v>
      </c>
      <c r="C8" s="206" t="s">
        <v>116</v>
      </c>
      <c r="D8" s="207"/>
      <c r="E8" s="148"/>
      <c r="F8" s="148"/>
    </row>
    <row r="9" spans="1:7" ht="38.25">
      <c r="A9" s="149" t="s">
        <v>802</v>
      </c>
      <c r="B9" s="157" t="s">
        <v>803</v>
      </c>
      <c r="C9" s="206" t="s">
        <v>116</v>
      </c>
      <c r="D9" s="207"/>
      <c r="E9" s="148"/>
      <c r="F9" s="148"/>
    </row>
    <row r="10" spans="1:7" ht="25.5">
      <c r="A10" s="149" t="s">
        <v>804</v>
      </c>
      <c r="B10" s="157" t="s">
        <v>805</v>
      </c>
      <c r="C10" s="206" t="s">
        <v>116</v>
      </c>
      <c r="D10" s="207"/>
      <c r="E10" s="148"/>
      <c r="F10" s="148"/>
    </row>
    <row r="11" spans="1:7" ht="25.5">
      <c r="A11" s="149" t="s">
        <v>774</v>
      </c>
      <c r="B11" s="157" t="s">
        <v>775</v>
      </c>
      <c r="C11" s="206" t="s">
        <v>116</v>
      </c>
      <c r="D11" s="207"/>
      <c r="E11" s="148"/>
      <c r="F11" s="148"/>
    </row>
    <row r="12" spans="1:7" ht="51">
      <c r="A12" s="149" t="s">
        <v>806</v>
      </c>
      <c r="B12" s="157" t="s">
        <v>807</v>
      </c>
      <c r="C12" s="206" t="s">
        <v>116</v>
      </c>
      <c r="D12" s="207"/>
      <c r="E12" s="148"/>
      <c r="F12" s="148"/>
    </row>
    <row r="13" spans="1:7" ht="25.5">
      <c r="A13" s="149" t="s">
        <v>776</v>
      </c>
      <c r="B13" s="157" t="s">
        <v>777</v>
      </c>
      <c r="C13" s="206" t="s">
        <v>116</v>
      </c>
      <c r="D13" s="207"/>
      <c r="E13" s="148"/>
      <c r="F13" s="148"/>
    </row>
    <row r="14" spans="1:7" ht="38.25">
      <c r="A14" s="149" t="s">
        <v>778</v>
      </c>
      <c r="B14" s="157" t="s">
        <v>779</v>
      </c>
      <c r="C14" s="206" t="s">
        <v>118</v>
      </c>
      <c r="D14" s="207" t="s">
        <v>818</v>
      </c>
      <c r="E14" s="148"/>
      <c r="F14" s="148"/>
    </row>
    <row r="15" spans="1:7" ht="18.75">
      <c r="A15" s="146"/>
      <c r="B15" s="154" t="s">
        <v>550</v>
      </c>
      <c r="C15" s="147"/>
      <c r="D15" s="147"/>
      <c r="E15" s="211"/>
      <c r="F15" s="211"/>
    </row>
    <row r="16" spans="1:7" ht="38.25">
      <c r="A16" s="149" t="s">
        <v>808</v>
      </c>
      <c r="B16" s="157" t="s">
        <v>809</v>
      </c>
      <c r="C16" s="206" t="s">
        <v>116</v>
      </c>
      <c r="D16" s="207"/>
      <c r="E16" s="148"/>
      <c r="F16" s="148"/>
    </row>
    <row r="17" spans="1:6" ht="38.25">
      <c r="A17" s="149" t="s">
        <v>810</v>
      </c>
      <c r="B17" s="157" t="s">
        <v>811</v>
      </c>
      <c r="C17" s="206" t="s">
        <v>116</v>
      </c>
      <c r="D17" s="207"/>
      <c r="E17" s="148"/>
      <c r="F17" s="148"/>
    </row>
    <row r="18" spans="1:6" ht="51">
      <c r="A18" s="149" t="s">
        <v>812</v>
      </c>
      <c r="B18" s="157" t="s">
        <v>786</v>
      </c>
      <c r="C18" s="206" t="s">
        <v>116</v>
      </c>
      <c r="D18" s="207"/>
      <c r="E18" s="148"/>
      <c r="F18" s="148"/>
    </row>
    <row r="19" spans="1:6" ht="18.75">
      <c r="A19" s="146"/>
      <c r="B19" s="154" t="s">
        <v>581</v>
      </c>
      <c r="C19" s="147"/>
      <c r="D19" s="147"/>
      <c r="E19" s="211"/>
      <c r="F19" s="211"/>
    </row>
    <row r="20" spans="1:6" ht="38.25">
      <c r="A20" s="149" t="s">
        <v>582</v>
      </c>
      <c r="B20" s="157" t="s">
        <v>583</v>
      </c>
      <c r="C20" s="206" t="s">
        <v>116</v>
      </c>
      <c r="D20" s="207"/>
      <c r="E20" s="148"/>
      <c r="F20" s="148"/>
    </row>
    <row r="21" spans="1:6" ht="25.5">
      <c r="A21" s="149" t="s">
        <v>584</v>
      </c>
      <c r="B21" s="157" t="s">
        <v>585</v>
      </c>
      <c r="C21" s="206" t="s">
        <v>116</v>
      </c>
      <c r="D21" s="207"/>
      <c r="E21" s="148"/>
      <c r="F21" s="148"/>
    </row>
    <row r="22" spans="1:6" ht="38.25">
      <c r="A22" s="149" t="s">
        <v>586</v>
      </c>
      <c r="B22" s="157" t="s">
        <v>587</v>
      </c>
      <c r="C22" s="206" t="s">
        <v>116</v>
      </c>
      <c r="D22" s="207"/>
      <c r="E22" s="148"/>
      <c r="F22" s="148"/>
    </row>
    <row r="23" spans="1:6" ht="38.25">
      <c r="A23" s="149" t="s">
        <v>588</v>
      </c>
      <c r="B23" s="157" t="s">
        <v>589</v>
      </c>
      <c r="C23" s="206" t="s">
        <v>116</v>
      </c>
      <c r="D23" s="207"/>
      <c r="E23" s="148"/>
      <c r="F23" s="148"/>
    </row>
    <row r="24" spans="1:6" ht="18.75">
      <c r="A24" s="146"/>
      <c r="B24" s="154" t="s">
        <v>590</v>
      </c>
      <c r="C24" s="147"/>
      <c r="D24" s="147"/>
      <c r="E24" s="211"/>
      <c r="F24" s="211"/>
    </row>
    <row r="25" spans="1:6" ht="38.25">
      <c r="A25" s="149" t="s">
        <v>591</v>
      </c>
      <c r="B25" s="157" t="s">
        <v>592</v>
      </c>
      <c r="C25" s="206" t="s">
        <v>116</v>
      </c>
      <c r="D25" s="207"/>
      <c r="E25" s="148"/>
      <c r="F25" s="148"/>
    </row>
    <row r="26" spans="1:6" ht="38.25">
      <c r="A26" s="149" t="s">
        <v>593</v>
      </c>
      <c r="B26" s="157" t="s">
        <v>594</v>
      </c>
      <c r="C26" s="206" t="s">
        <v>116</v>
      </c>
      <c r="D26" s="207"/>
      <c r="E26" s="148"/>
      <c r="F26" s="148"/>
    </row>
    <row r="27" spans="1:6" ht="18.75">
      <c r="A27" s="146"/>
      <c r="B27" s="154" t="s">
        <v>595</v>
      </c>
      <c r="C27" s="147"/>
      <c r="D27" s="147"/>
      <c r="E27" s="211"/>
      <c r="F27" s="211"/>
    </row>
    <row r="28" spans="1:6" ht="51">
      <c r="A28" s="149" t="s">
        <v>596</v>
      </c>
      <c r="B28" s="157" t="s">
        <v>597</v>
      </c>
      <c r="C28" s="206" t="s">
        <v>120</v>
      </c>
      <c r="D28" s="207" t="s">
        <v>819</v>
      </c>
      <c r="E28" s="148"/>
      <c r="F28" s="148"/>
    </row>
    <row r="29" spans="1:6" ht="18">
      <c r="A29" s="209"/>
      <c r="B29" s="210" t="s">
        <v>598</v>
      </c>
      <c r="C29" s="209"/>
      <c r="D29" s="209"/>
      <c r="E29" s="209"/>
      <c r="F29" s="209"/>
    </row>
    <row r="30" spans="1:6">
      <c r="A30" s="149"/>
      <c r="B30" s="157"/>
    </row>
    <row r="31" spans="1:6" ht="15">
      <c r="A31" s="187"/>
      <c r="B31" s="188" t="s">
        <v>599</v>
      </c>
      <c r="C31" s="187"/>
      <c r="D31" s="187"/>
      <c r="E31" s="187"/>
      <c r="F31" s="187"/>
    </row>
  </sheetData>
  <mergeCells count="1">
    <mergeCell ref="E2:F2"/>
  </mergeCells>
  <conditionalFormatting sqref="C6">
    <cfRule type="cellIs" dxfId="50" priority="67" operator="equal">
      <formula>"No"</formula>
    </cfRule>
    <cfRule type="cellIs" dxfId="49" priority="68" operator="equal">
      <formula>"NA"</formula>
    </cfRule>
    <cfRule type="cellIs" dxfId="48" priority="69" operator="equal">
      <formula>"Yes"</formula>
    </cfRule>
  </conditionalFormatting>
  <conditionalFormatting sqref="C7">
    <cfRule type="cellIs" dxfId="47" priority="64" operator="equal">
      <formula>"No"</formula>
    </cfRule>
    <cfRule type="cellIs" dxfId="46" priority="65" operator="equal">
      <formula>"NA"</formula>
    </cfRule>
    <cfRule type="cellIs" dxfId="45" priority="66" operator="equal">
      <formula>"Yes"</formula>
    </cfRule>
  </conditionalFormatting>
  <conditionalFormatting sqref="C8">
    <cfRule type="cellIs" dxfId="44" priority="61" operator="equal">
      <formula>"No"</formula>
    </cfRule>
    <cfRule type="cellIs" dxfId="43" priority="62" operator="equal">
      <formula>"NA"</formula>
    </cfRule>
    <cfRule type="cellIs" dxfId="42" priority="63" operator="equal">
      <formula>"Yes"</formula>
    </cfRule>
  </conditionalFormatting>
  <conditionalFormatting sqref="C9">
    <cfRule type="cellIs" dxfId="41" priority="58" operator="equal">
      <formula>"No"</formula>
    </cfRule>
    <cfRule type="cellIs" dxfId="40" priority="59" operator="equal">
      <formula>"NA"</formula>
    </cfRule>
    <cfRule type="cellIs" dxfId="39" priority="60" operator="equal">
      <formula>"Yes"</formula>
    </cfRule>
  </conditionalFormatting>
  <conditionalFormatting sqref="C10">
    <cfRule type="cellIs" dxfId="38" priority="55" operator="equal">
      <formula>"No"</formula>
    </cfRule>
    <cfRule type="cellIs" dxfId="37" priority="56" operator="equal">
      <formula>"NA"</formula>
    </cfRule>
    <cfRule type="cellIs" dxfId="36" priority="57" operator="equal">
      <formula>"Yes"</formula>
    </cfRule>
  </conditionalFormatting>
  <conditionalFormatting sqref="C11">
    <cfRule type="cellIs" dxfId="35" priority="52" operator="equal">
      <formula>"No"</formula>
    </cfRule>
    <cfRule type="cellIs" dxfId="34" priority="53" operator="equal">
      <formula>"NA"</formula>
    </cfRule>
    <cfRule type="cellIs" dxfId="33" priority="54" operator="equal">
      <formula>"Yes"</formula>
    </cfRule>
  </conditionalFormatting>
  <conditionalFormatting sqref="C12">
    <cfRule type="cellIs" dxfId="32" priority="49" operator="equal">
      <formula>"No"</formula>
    </cfRule>
    <cfRule type="cellIs" dxfId="31" priority="50" operator="equal">
      <formula>"NA"</formula>
    </cfRule>
    <cfRule type="cellIs" dxfId="30" priority="51" operator="equal">
      <formula>"Yes"</formula>
    </cfRule>
  </conditionalFormatting>
  <conditionalFormatting sqref="C13">
    <cfRule type="cellIs" dxfId="29" priority="46" operator="equal">
      <formula>"No"</formula>
    </cfRule>
    <cfRule type="cellIs" dxfId="28" priority="47" operator="equal">
      <formula>"NA"</formula>
    </cfRule>
    <cfRule type="cellIs" dxfId="27" priority="48" operator="equal">
      <formula>"Yes"</formula>
    </cfRule>
  </conditionalFormatting>
  <conditionalFormatting sqref="C14">
    <cfRule type="cellIs" dxfId="26" priority="43" operator="equal">
      <formula>"No"</formula>
    </cfRule>
    <cfRule type="cellIs" dxfId="25" priority="44" operator="equal">
      <formula>"NA"</formula>
    </cfRule>
    <cfRule type="cellIs" dxfId="24" priority="45" operator="equal">
      <formula>"Yes"</formula>
    </cfRule>
  </conditionalFormatting>
  <conditionalFormatting sqref="C16">
    <cfRule type="cellIs" dxfId="23" priority="28" operator="equal">
      <formula>"No"</formula>
    </cfRule>
    <cfRule type="cellIs" dxfId="22" priority="29" operator="equal">
      <formula>"NA"</formula>
    </cfRule>
    <cfRule type="cellIs" dxfId="21" priority="30" operator="equal">
      <formula>"Yes"</formula>
    </cfRule>
  </conditionalFormatting>
  <conditionalFormatting sqref="C17">
    <cfRule type="cellIs" dxfId="20" priority="25" operator="equal">
      <formula>"No"</formula>
    </cfRule>
    <cfRule type="cellIs" dxfId="19" priority="26" operator="equal">
      <formula>"NA"</formula>
    </cfRule>
    <cfRule type="cellIs" dxfId="18" priority="27" operator="equal">
      <formula>"Yes"</formula>
    </cfRule>
  </conditionalFormatting>
  <conditionalFormatting sqref="C18">
    <cfRule type="cellIs" dxfId="17" priority="22" operator="equal">
      <formula>"No"</formula>
    </cfRule>
    <cfRule type="cellIs" dxfId="16" priority="23" operator="equal">
      <formula>"NA"</formula>
    </cfRule>
    <cfRule type="cellIs" dxfId="15" priority="24" operator="equal">
      <formula>"Yes"</formula>
    </cfRule>
  </conditionalFormatting>
  <conditionalFormatting sqref="C20">
    <cfRule type="cellIs" dxfId="14" priority="19" operator="equal">
      <formula>"No"</formula>
    </cfRule>
    <cfRule type="cellIs" dxfId="13" priority="20" operator="equal">
      <formula>"NA"</formula>
    </cfRule>
    <cfRule type="cellIs" dxfId="12" priority="21" operator="equal">
      <formula>"Yes"</formula>
    </cfRule>
  </conditionalFormatting>
  <conditionalFormatting sqref="C21:C23">
    <cfRule type="cellIs" dxfId="11" priority="16" operator="equal">
      <formula>"No"</formula>
    </cfRule>
    <cfRule type="cellIs" dxfId="10" priority="17" operator="equal">
      <formula>"NA"</formula>
    </cfRule>
    <cfRule type="cellIs" dxfId="9" priority="18" operator="equal">
      <formula>"Yes"</formula>
    </cfRule>
  </conditionalFormatting>
  <conditionalFormatting sqref="C25">
    <cfRule type="cellIs" dxfId="8" priority="7" operator="equal">
      <formula>"No"</formula>
    </cfRule>
    <cfRule type="cellIs" dxfId="7" priority="8" operator="equal">
      <formula>"NA"</formula>
    </cfRule>
    <cfRule type="cellIs" dxfId="6" priority="9" operator="equal">
      <formula>"Yes"</formula>
    </cfRule>
  </conditionalFormatting>
  <conditionalFormatting sqref="C26">
    <cfRule type="cellIs" dxfId="5" priority="4" operator="equal">
      <formula>"No"</formula>
    </cfRule>
    <cfRule type="cellIs" dxfId="4" priority="5" operator="equal">
      <formula>"NA"</formula>
    </cfRule>
    <cfRule type="cellIs" dxfId="3" priority="6" operator="equal">
      <formula>"Yes"</formula>
    </cfRule>
  </conditionalFormatting>
  <conditionalFormatting sqref="C28">
    <cfRule type="cellIs" dxfId="2" priority="1" operator="equal">
      <formula>"No"</formula>
    </cfRule>
    <cfRule type="cellIs" dxfId="1" priority="2" operator="equal">
      <formula>"NA"</formula>
    </cfRule>
    <cfRule type="cellIs" dxfId="0" priority="3" operator="equal">
      <formula>"Yes"</formula>
    </cfRule>
  </conditionalFormatting>
  <dataValidations count="1">
    <dataValidation type="list" allowBlank="1" showInputMessage="1" showErrorMessage="1" sqref="C6:C14 C16:C18 C28 C25:C26 C20:C23" xr:uid="{E14988A2-EB8A-4335-A4BC-C5CF4BDD7F19}">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p:properties xmlns:p="http://schemas.microsoft.com/office/2006/metadata/properties" xmlns:xsi="http://www.w3.org/2001/XMLSchema-instance" xmlns:pc="http://schemas.microsoft.com/office/infopath/2007/PartnerControls">
  <documentManagement>
    <PublishingExpirationDate xmlns="http://schemas.microsoft.com/sharepoint/v3" xsi:nil="true"/>
    <PublishingStartDate xmlns="http://schemas.microsoft.com/sharepoint/v3" xsi:nil="true"/>
    <_dlc_DocId xmlns="34c9bd9a-5a71-426a-ab93-6fe2caeb5e9e">YSTUAYFPSYQC-1610908312-827</_dlc_DocId>
    <_dlc_DocIdUrl xmlns="34c9bd9a-5a71-426a-ab93-6fe2caeb5e9e">
      <Url>https://alvteams.alv.autoliv.int/sites/aeuaeequalityassurance/_layouts/15/DocIdRedir.aspx?ID=YSTUAYFPSYQC-1610908312-827</Url>
      <Description>YSTUAYFPSYQC-1610908312-827</Description>
    </_dlc_DocIdUrl>
  </documentManagement>
</p:properties>
</file>

<file path=customXml/item2.xml><?xml version="1.0" encoding="utf-8"?>
<?mso-contentType ?>
<spe:Receivers xmlns:spe="http://schemas.microsoft.com/sharepoint/events">
  <Receiver>
    <Name>Document ID Generator</Name>
    <Synchronization>Synchronous</Synchronization>
    <Type>10001</Type>
    <SequenceNumber>1000</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10002</Type>
    <SequenceNumber>1001</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10004</Type>
    <SequenceNumber>1002</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10006</Type>
    <SequenceNumber>1003</SequenceNumber>
    <Assembly>Microsoft.Office.DocumentManagement, Version=14.0.0.0, Culture=neutral, PublicKeyToken=71e9bce111e9429c</Assembly>
    <Class>Microsoft.Office.DocumentManagement.Internal.DocIdHandler</Class>
    <Data/>
    <Filter/>
  </Receiver>
</spe:Receivers>
</file>

<file path=customXml/item3.xml><?xml version="1.0" encoding="utf-8"?>
<LongProperties xmlns="http://schemas.microsoft.com/office/2006/metadata/long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5.xml><?xml version="1.0" encoding="utf-8"?>
<ct:contentTypeSchema xmlns:ct="http://schemas.microsoft.com/office/2006/metadata/contentType" xmlns:ma="http://schemas.microsoft.com/office/2006/metadata/properties/metaAttributes" ct:_="" ma:_="" ma:contentTypeName="Document" ma:contentTypeID="0x0101008E9DFA4D457F9249BF3E1A0236AC8895" ma:contentTypeVersion="3" ma:contentTypeDescription="Create a new document." ma:contentTypeScope="" ma:versionID="8a7ef26b336f453ac580b4376ec74c89">
  <xsd:schema xmlns:xsd="http://www.w3.org/2001/XMLSchema" xmlns:xs="http://www.w3.org/2001/XMLSchema" xmlns:p="http://schemas.microsoft.com/office/2006/metadata/properties" xmlns:ns1="http://schemas.microsoft.com/sharepoint/v3" xmlns:ns2="34c9bd9a-5a71-426a-ab93-6fe2caeb5e9e" xmlns:ns3="46fc4dd3-b727-4544-ab7c-0ad95d465289" targetNamespace="http://schemas.microsoft.com/office/2006/metadata/properties" ma:root="true" ma:fieldsID="1f6b66ffb4818f411c213c89af47e53d" ns1:_="" ns2:_="" ns3:_="">
    <xsd:import namespace="http://schemas.microsoft.com/sharepoint/v3"/>
    <xsd:import namespace="34c9bd9a-5a71-426a-ab93-6fe2caeb5e9e"/>
    <xsd:import namespace="46fc4dd3-b727-4544-ab7c-0ad95d465289"/>
    <xsd:element name="properties">
      <xsd:complexType>
        <xsd:sequence>
          <xsd:element name="documentManagement">
            <xsd:complexType>
              <xsd:all>
                <xsd:element ref="ns2:_dlc_DocId" minOccurs="0"/>
                <xsd:element ref="ns2:_dlc_DocIdUrl" minOccurs="0"/>
                <xsd:element ref="ns2:_dlc_DocIdPersistId" minOccurs="0"/>
                <xsd:element ref="ns1:PublishingStartDate" minOccurs="0"/>
                <xsd:element ref="ns1:PublishingExpirationDate" minOccurs="0"/>
                <xsd:element ref="ns3: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PublishingStartDate" ma:index="11" nillable="true" ma:displayName="Scheduling Start Date" ma:description="" ma:hidden="true" ma:internalName="PublishingStartDate">
      <xsd:simpleType>
        <xsd:restriction base="dms:Unknown"/>
      </xsd:simpleType>
    </xsd:element>
    <xsd:element name="PublishingExpirationDate" ma:index="12" nillable="true" ma:displayName="Scheduling End Date" ma:description="" ma:hidden="true" ma:internalName="PublishingExpirationDat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34c9bd9a-5a71-426a-ab93-6fe2caeb5e9e"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46fc4dd3-b727-4544-ab7c-0ad95d465289"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2965021-A51C-4AA2-B873-44DEF42FF54E}">
  <ds:schemaRefs>
    <ds:schemaRef ds:uri="http://schemas.microsoft.com/office/2006/metadata/properties"/>
    <ds:schemaRef ds:uri="http://schemas.microsoft.com/office/infopath/2007/PartnerControls"/>
    <ds:schemaRef ds:uri="http://schemas.microsoft.com/sharepoint/v3"/>
    <ds:schemaRef ds:uri="34c9bd9a-5a71-426a-ab93-6fe2caeb5e9e"/>
  </ds:schemaRefs>
</ds:datastoreItem>
</file>

<file path=customXml/itemProps2.xml><?xml version="1.0" encoding="utf-8"?>
<ds:datastoreItem xmlns:ds="http://schemas.openxmlformats.org/officeDocument/2006/customXml" ds:itemID="{3F123B83-34C8-4520-8355-734DFF82361D}">
  <ds:schemaRefs>
    <ds:schemaRef ds:uri="http://schemas.microsoft.com/sharepoint/events"/>
  </ds:schemaRefs>
</ds:datastoreItem>
</file>

<file path=customXml/itemProps3.xml><?xml version="1.0" encoding="utf-8"?>
<ds:datastoreItem xmlns:ds="http://schemas.openxmlformats.org/officeDocument/2006/customXml" ds:itemID="{6C7C9468-582C-40E8-A63C-A19DE3429622}">
  <ds:schemaRefs>
    <ds:schemaRef ds:uri="http://schemas.microsoft.com/office/2006/metadata/longProperties"/>
  </ds:schemaRefs>
</ds:datastoreItem>
</file>

<file path=customXml/itemProps4.xml><?xml version="1.0" encoding="utf-8"?>
<ds:datastoreItem xmlns:ds="http://schemas.openxmlformats.org/officeDocument/2006/customXml" ds:itemID="{98C16EC5-0551-401D-A254-E7E6FEBE4ED0}">
  <ds:schemaRefs>
    <ds:schemaRef ds:uri="http://schemas.microsoft.com/sharepoint/v3/contenttype/forms"/>
  </ds:schemaRefs>
</ds:datastoreItem>
</file>

<file path=customXml/itemProps5.xml><?xml version="1.0" encoding="utf-8"?>
<ds:datastoreItem xmlns:ds="http://schemas.openxmlformats.org/officeDocument/2006/customXml" ds:itemID="{D53142D0-A69B-434D-AEAC-65069632623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34c9bd9a-5a71-426a-ab93-6fe2caeb5e9e"/>
    <ds:schemaRef ds:uri="46fc4dd3-b727-4544-ab7c-0ad95d46528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93</vt:i4>
      </vt:variant>
    </vt:vector>
  </HeadingPairs>
  <TitlesOfParts>
    <vt:vector size="103" baseType="lpstr">
      <vt:lpstr>FrontPage</vt:lpstr>
      <vt:lpstr>General info</vt:lpstr>
      <vt:lpstr>Help</vt:lpstr>
      <vt:lpstr>Metrics</vt:lpstr>
      <vt:lpstr>Overview</vt:lpstr>
      <vt:lpstr>Review</vt:lpstr>
      <vt:lpstr>SDD checklist</vt:lpstr>
      <vt:lpstr>CODE checklist</vt:lpstr>
      <vt:lpstr>UTSR checklist</vt:lpstr>
      <vt:lpstr>ITSR checklist</vt:lpstr>
      <vt:lpstr>ActorName</vt:lpstr>
      <vt:lpstr>ApprovalStatus</vt:lpstr>
      <vt:lpstr>AuthorStatus</vt:lpstr>
      <vt:lpstr>Autofill</vt:lpstr>
      <vt:lpstr>ChecklistSelection</vt:lpstr>
      <vt:lpstr>ChecklistsSheetNameList</vt:lpstr>
      <vt:lpstr>Description</vt:lpstr>
      <vt:lpstr>FileName</vt:lpstr>
      <vt:lpstr>Identifier</vt:lpstr>
      <vt:lpstr>Review!Issue_to_treat</vt:lpstr>
      <vt:lpstr>IssuerName</vt:lpstr>
      <vt:lpstr>Review!Issues_postponed</vt:lpstr>
      <vt:lpstr>Review!Issues_to_approve</vt:lpstr>
      <vt:lpstr>ManualFill</vt:lpstr>
      <vt:lpstr>MXActual_state_Released</vt:lpstr>
      <vt:lpstr>MXAuthority</vt:lpstr>
      <vt:lpstr>MXCurrent.Localized</vt:lpstr>
      <vt:lpstr>MXName</vt:lpstr>
      <vt:lpstr>MXRevision</vt:lpstr>
      <vt:lpstr>MXTitle</vt:lpstr>
      <vt:lpstr>MXVersion</vt:lpstr>
      <vt:lpstr>Review!NbOfApprovedIssues</vt:lpstr>
      <vt:lpstr>Review!NbOfNotApprovedAndPostponedIssues</vt:lpstr>
      <vt:lpstr>Review!NbOfNotApprovedIssues</vt:lpstr>
      <vt:lpstr>NbOfNotTreatedIssues</vt:lpstr>
      <vt:lpstr>NbOfRejectedIssues</vt:lpstr>
      <vt:lpstr>OpenDate</vt:lpstr>
      <vt:lpstr>Option_ReviewEvaluationScale</vt:lpstr>
      <vt:lpstr>'CODE checklist'!Review.QuestionIds</vt:lpstr>
      <vt:lpstr>'ITSR checklist'!Review.QuestionIds</vt:lpstr>
      <vt:lpstr>'SDD checklist'!Review.QuestionIds</vt:lpstr>
      <vt:lpstr>'UTSR checklist'!Review.QuestionIds</vt:lpstr>
      <vt:lpstr>'CODE checklist'!Review.ratings</vt:lpstr>
      <vt:lpstr>'ITSR checklist'!Review.ratings</vt:lpstr>
      <vt:lpstr>'SDD checklist'!Review.ratings</vt:lpstr>
      <vt:lpstr>'UTSR checklist'!Review.ratings</vt:lpstr>
      <vt:lpstr>ReviewerStatus</vt:lpstr>
      <vt:lpstr>'CODE checklist'!Sheet.ReviewTempate</vt:lpstr>
      <vt:lpstr>'ITSR checklist'!Sheet.ReviewTempate</vt:lpstr>
      <vt:lpstr>'SDD checklist'!Sheet.ReviewTempate</vt:lpstr>
      <vt:lpstr>'UTSR checklist'!Sheet.ReviewTempate</vt:lpstr>
      <vt:lpstr>Review!Status_OK</vt:lpstr>
      <vt:lpstr>Review!StatusFixed</vt:lpstr>
      <vt:lpstr>Review!StatusOpen</vt:lpstr>
      <vt:lpstr>Review!StatusPostponed</vt:lpstr>
      <vt:lpstr>Review!StatusToBeFixed</vt:lpstr>
      <vt:lpstr>Review!StatusWillNotBeFixed</vt:lpstr>
      <vt:lpstr>Synthesis_ConformityTitle</vt:lpstr>
      <vt:lpstr>Synthesis_Status</vt:lpstr>
      <vt:lpstr>TargetDate</vt:lpstr>
      <vt:lpstr>'CODE checklist'!Template.Name</vt:lpstr>
      <vt:lpstr>'ITSR checklist'!Template.Name</vt:lpstr>
      <vt:lpstr>'SDD checklist'!Template.Name</vt:lpstr>
      <vt:lpstr>'UTSR checklist'!Template.Name</vt:lpstr>
      <vt:lpstr>TemplateColumn</vt:lpstr>
      <vt:lpstr>TemplateRef</vt:lpstr>
      <vt:lpstr>Text_AllChecklists</vt:lpstr>
      <vt:lpstr>'CODE checklist'!Title.Checklist.Actions.Description</vt:lpstr>
      <vt:lpstr>'ITSR checklist'!Title.Checklist.Actions.Description</vt:lpstr>
      <vt:lpstr>'SDD checklist'!Title.Checklist.Actions.Description</vt:lpstr>
      <vt:lpstr>'UTSR checklist'!Title.Checklist.Actions.Description</vt:lpstr>
      <vt:lpstr>'CODE checklist'!Title.Checklist.Guide.HowToRate</vt:lpstr>
      <vt:lpstr>'ITSR checklist'!Title.Checklist.Guide.HowToRate</vt:lpstr>
      <vt:lpstr>'SDD checklist'!Title.Checklist.Guide.HowToRate</vt:lpstr>
      <vt:lpstr>'UTSR checklist'!Title.Checklist.Guide.HowToRate</vt:lpstr>
      <vt:lpstr>'CODE checklist'!Title.Checklist.Guide.WhatToCheck</vt:lpstr>
      <vt:lpstr>'ITSR checklist'!Title.Checklist.Guide.WhatToCheck</vt:lpstr>
      <vt:lpstr>'SDD checklist'!Title.Checklist.Guide.WhatToCheck</vt:lpstr>
      <vt:lpstr>'UTSR checklist'!Title.Checklist.Guide.WhatToCheck</vt:lpstr>
      <vt:lpstr>'CODE checklist'!Title.Checklist.ManualQuestion</vt:lpstr>
      <vt:lpstr>'ITSR checklist'!Title.Checklist.ManualQuestion</vt:lpstr>
      <vt:lpstr>'SDD checklist'!Title.Checklist.ManualQuestion</vt:lpstr>
      <vt:lpstr>'UTSR checklist'!Title.Checklist.ManualQuestion</vt:lpstr>
      <vt:lpstr>'CODE checklist'!Title.Checklist.NoteForAuditor</vt:lpstr>
      <vt:lpstr>'ITSR checklist'!Title.Checklist.NoteForAuditor</vt:lpstr>
      <vt:lpstr>'SDD checklist'!Title.Checklist.NoteForAuditor</vt:lpstr>
      <vt:lpstr>'UTSR checklist'!Title.Checklist.NoteForAuditor</vt:lpstr>
      <vt:lpstr>'CODE checklist'!Title.Checklist.Question</vt:lpstr>
      <vt:lpstr>'ITSR checklist'!Title.Checklist.Question</vt:lpstr>
      <vt:lpstr>'SDD checklist'!Title.Checklist.Question</vt:lpstr>
      <vt:lpstr>'UTSR checklist'!Title.Checklist.Question</vt:lpstr>
      <vt:lpstr>'CODE checklist'!Title.Checklist.QuestionReference</vt:lpstr>
      <vt:lpstr>'ITSR checklist'!Title.Checklist.QuestionReference</vt:lpstr>
      <vt:lpstr>'SDD checklist'!Title.Checklist.QuestionReference</vt:lpstr>
      <vt:lpstr>'UTSR checklist'!Title.Checklist.QuestionReference</vt:lpstr>
      <vt:lpstr>'CODE checklist'!Title.Checklist.Rate</vt:lpstr>
      <vt:lpstr>'ITSR checklist'!Title.Checklist.Rate</vt:lpstr>
      <vt:lpstr>'SDD checklist'!Title.Checklist.Rate</vt:lpstr>
      <vt:lpstr>'UTSR checklist'!Title.Checklist.Rate</vt:lpstr>
      <vt:lpstr>'CODE checklist'!TitleRow</vt:lpstr>
      <vt:lpstr>'ITSR checklist'!TitleRow</vt:lpstr>
      <vt:lpstr>'SDD checklist'!TitleRow</vt:lpstr>
      <vt:lpstr>'UTSR checklist'!TitleRow</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Peer Review Workbook (PRWB)</dc:title>
  <dc:subject/>
  <dc:creator>Microsoft Corporation</dc:creator>
  <cp:keywords/>
  <dc:description/>
  <cp:lastModifiedBy>David Puscasu</cp:lastModifiedBy>
  <cp:revision/>
  <dcterms:created xsi:type="dcterms:W3CDTF">1996-10-21T11:03:58Z</dcterms:created>
  <dcterms:modified xsi:type="dcterms:W3CDTF">2023-07-31T12:25:29Z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XAccess Type">
    <vt:lpwstr>Inherited</vt:lpwstr>
  </property>
  <property fmtid="{D5CDD505-2E9C-101B-9397-08002B2CF9AE}" pid="3" name="MXActiveVersion">
    <vt:lpwstr>15</vt:lpwstr>
  </property>
  <property fmtid="{D5CDD505-2E9C-101B-9397-08002B2CF9AE}" pid="4" name="MXActual_state_Preliminary">
    <vt:lpwstr>03/06/10 16:23</vt:lpwstr>
  </property>
  <property fmtid="{D5CDD505-2E9C-101B-9397-08002B2CF9AE}" pid="5" name="MXActual_state_Superceded">
    <vt:lpwstr>N/A</vt:lpwstr>
  </property>
  <property fmtid="{D5CDD505-2E9C-101B-9397-08002B2CF9AE}" pid="6" name="MXalvApplicationVersion">
    <vt:lpwstr/>
  </property>
  <property fmtid="{D5CDD505-2E9C-101B-9397-08002B2CF9AE}" pid="7" name="MXalvChangeDescription">
    <vt:lpwstr/>
  </property>
  <property fmtid="{D5CDD505-2E9C-101B-9397-08002B2CF9AE}" pid="8" name="MXAuthority_BusinessUnit">
    <vt:lpwstr>TATA</vt:lpwstr>
  </property>
  <property fmtid="{D5CDD505-2E9C-101B-9397-08002B2CF9AE}" pid="9" name="MXAuthority_Description">
    <vt:lpwstr>Development of Control Electronics for electrical retractor for Land-Rover L405 and L494</vt:lpwstr>
  </property>
  <property fmtid="{D5CDD505-2E9C-101B-9397-08002B2CF9AE}" pid="10" name="MXAuthority_LocalNumber" linkTarget="PLMProjectLocalNumber">
    <vt:lpwstr>14051</vt:lpwstr>
  </property>
  <property fmtid="{D5CDD505-2E9C-101B-9397-08002B2CF9AE}" pid="11" name="MXAuthority_Owner">
    <vt:lpwstr>Frederic Denis-Laroque</vt:lpwstr>
  </property>
  <property fmtid="{D5CDD505-2E9C-101B-9397-08002B2CF9AE}" pid="12" name="MXAuthority_Program">
    <vt:lpwstr>L405</vt:lpwstr>
  </property>
  <property fmtid="{D5CDD505-2E9C-101B-9397-08002B2CF9AE}" pid="13" name="MXCheckin Date" linkTarget="PLMReleaseDate">
    <vt:lpwstr>Non available</vt:lpwstr>
  </property>
  <property fmtid="{D5CDD505-2E9C-101B-9397-08002B2CF9AE}" pid="14" name="MXCheckin Reason">
    <vt:lpwstr>Add automatic links</vt:lpwstr>
  </property>
  <property fmtid="{D5CDD505-2E9C-101B-9397-08002B2CF9AE}" pid="15" name="MXCheckin User" linkTarget="PLMDocAuthor">
    <vt:lpwstr/>
  </property>
  <property fmtid="{D5CDD505-2E9C-101B-9397-08002B2CF9AE}" pid="16" name="MXCurrent">
    <vt:lpwstr>Preliminary</vt:lpwstr>
  </property>
  <property fmtid="{D5CDD505-2E9C-101B-9397-08002B2CF9AE}" pid="17" name="MXDescription">
    <vt:lpwstr/>
  </property>
  <property fmtid="{D5CDD505-2E9C-101B-9397-08002B2CF9AE}" pid="18" name="MXDesignated User">
    <vt:lpwstr>Unassigned</vt:lpwstr>
  </property>
  <property fmtid="{D5CDD505-2E9C-101B-9397-08002B2CF9AE}" pid="19" name="MXEmail">
    <vt:lpwstr>Cyril.Jouhanneau@Autoliv.com</vt:lpwstr>
  </property>
  <property fmtid="{D5CDD505-2E9C-101B-9397-08002B2CF9AE}" pid="20" name="MXFirstName">
    <vt:lpwstr>Cyril</vt:lpwstr>
  </property>
  <property fmtid="{D5CDD505-2E9C-101B-9397-08002B2CF9AE}" pid="21" name="MXIs Version Object">
    <vt:lpwstr>False</vt:lpwstr>
  </property>
  <property fmtid="{D5CDD505-2E9C-101B-9397-08002B2CF9AE}" pid="22" name="MXLanguage">
    <vt:lpwstr>English</vt:lpwstr>
  </property>
  <property fmtid="{D5CDD505-2E9C-101B-9397-08002B2CF9AE}" pid="23" name="MXLastName">
    <vt:lpwstr>Jouhanneau</vt:lpwstr>
  </property>
  <property fmtid="{D5CDD505-2E9C-101B-9397-08002B2CF9AE}" pid="24" name="MXLatestVersion">
    <vt:lpwstr>15</vt:lpwstr>
  </property>
  <property fmtid="{D5CDD505-2E9C-101B-9397-08002B2CF9AE}" pid="25" name="MXMiddleName">
    <vt:lpwstr/>
  </property>
  <property fmtid="{D5CDD505-2E9C-101B-9397-08002B2CF9AE}" pid="26" name="MXMove Files To Version">
    <vt:lpwstr>False</vt:lpwstr>
  </property>
  <property fmtid="{D5CDD505-2E9C-101B-9397-08002B2CF9AE}" pid="27" name="MXOriginator">
    <vt:lpwstr>Cyril Jouhanneau</vt:lpwstr>
  </property>
  <property fmtid="{D5CDD505-2E9C-101B-9397-08002B2CF9AE}" pid="28" name="MXPolicy" linkTarget="PLMDocPolicy">
    <vt:lpwstr>No approval on PRWB</vt:lpwstr>
  </property>
  <property fmtid="{D5CDD505-2E9C-101B-9397-08002B2CF9AE}" pid="29" name="MXPolicy.Localized">
    <vt:lpwstr>NoReview Document</vt:lpwstr>
  </property>
  <property fmtid="{D5CDD505-2E9C-101B-9397-08002B2CF9AE}" pid="30" name="MXRoute_In-Work_date">
    <vt:lpwstr/>
  </property>
  <property fmtid="{D5CDD505-2E9C-101B-9397-08002B2CF9AE}" pid="31" name="MXRoute_In-Work_name">
    <vt:lpwstr/>
  </property>
  <property fmtid="{D5CDD505-2E9C-101B-9397-08002B2CF9AE}" pid="32" name="MXRoute_Released_date">
    <vt:lpwstr/>
  </property>
  <property fmtid="{D5CDD505-2E9C-101B-9397-08002B2CF9AE}" pid="33" name="MXRoute_Released_name">
    <vt:lpwstr/>
  </property>
  <property fmtid="{D5CDD505-2E9C-101B-9397-08002B2CF9AE}" pid="34" name="MXRoute_Superseded_date">
    <vt:lpwstr/>
  </property>
  <property fmtid="{D5CDD505-2E9C-101B-9397-08002B2CF9AE}" pid="35" name="MXRoute_Superseded_name">
    <vt:lpwstr/>
  </property>
  <property fmtid="{D5CDD505-2E9C-101B-9397-08002B2CF9AE}" pid="36" name="MXSignatures_state_Preliminary">
    <vt:lpwstr/>
  </property>
  <property fmtid="{D5CDD505-2E9C-101B-9397-08002B2CF9AE}" pid="37" name="MXSignatures_state_Released">
    <vt:lpwstr/>
  </property>
  <property fmtid="{D5CDD505-2E9C-101B-9397-08002B2CF9AE}" pid="38" name="MXSignatures_state_Superceded">
    <vt:lpwstr/>
  </property>
  <property fmtid="{D5CDD505-2E9C-101B-9397-08002B2CF9AE}" pid="39" name="MXSuspend Versioning">
    <vt:lpwstr>False</vt:lpwstr>
  </property>
  <property fmtid="{D5CDD505-2E9C-101B-9397-08002B2CF9AE}" pid="40" name="MXType">
    <vt:lpwstr>alvMinutes</vt:lpwstr>
  </property>
  <property fmtid="{D5CDD505-2E9C-101B-9397-08002B2CF9AE}" pid="41" name="MXType.Localized" linkTarget="PLMDocType">
    <vt:lpwstr>Template</vt:lpwstr>
  </property>
  <property fmtid="{D5CDD505-2E9C-101B-9397-08002B2CF9AE}" pid="42" name="_dlc_DocId">
    <vt:lpwstr>YSTUAYFPSYQC-1610908312-242</vt:lpwstr>
  </property>
  <property fmtid="{D5CDD505-2E9C-101B-9397-08002B2CF9AE}" pid="43" name="_dlc_DocIdUrl">
    <vt:lpwstr>https://alvteams.alv.autoliv.int/sites/aeuaeequalityassurance/_layouts/15/DocIdRedir.aspx?ID=YSTUAYFPSYQC-1610908312-242, YSTUAYFPSYQC-1610908312-242</vt:lpwstr>
  </property>
  <property fmtid="{D5CDD505-2E9C-101B-9397-08002B2CF9AE}" pid="44" name="_dlc_DocIdItemGuid">
    <vt:lpwstr>992a60fb-67d8-49b9-98bc-5e468d31e383</vt:lpwstr>
  </property>
  <property fmtid="{D5CDD505-2E9C-101B-9397-08002B2CF9AE}" pid="45" name="ContentTypeId">
    <vt:lpwstr>0x0101008E9DFA4D457F9249BF3E1A0236AC8895</vt:lpwstr>
  </property>
  <property fmtid="{D5CDD505-2E9C-101B-9397-08002B2CF9AE}" pid="46" name="MXDocTemplate_Name">
    <vt:lpwstr>AEF1007</vt:lpwstr>
  </property>
</Properties>
</file>