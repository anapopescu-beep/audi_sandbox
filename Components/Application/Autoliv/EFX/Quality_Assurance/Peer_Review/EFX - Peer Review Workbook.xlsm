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EFX\Quality_Assurance\Peer_Review\"/>
    </mc:Choice>
  </mc:AlternateContent>
  <xr:revisionPtr revIDLastSave="0" documentId="13_ncr:1_{ACD6B650-B573-479F-B84F-1F4FC841DDC8}" xr6:coauthVersionLast="47" xr6:coauthVersionMax="47" xr10:uidLastSave="{00000000-0000-0000-0000-000000000000}"/>
  <bookViews>
    <workbookView xWindow="-120" yWindow="-120" windowWidth="29040" windowHeight="1599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6">'SDD checklist'!$D$5:$D$35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checklist'!$M$3</definedName>
    <definedName name="Title.Checklist.Guide.HowToRate" localSheetId="6">'SDD checklist'!$I$3</definedName>
    <definedName name="Title.Checklist.Guide.WhatToCheck" localSheetId="7">'CODE checklist'!$L$3</definedName>
    <definedName name="Title.Checklist.Guide.WhatToCheck" localSheetId="6">'SDD checklist'!$H$3</definedName>
    <definedName name="Title.Checklist.ManualQuestion" localSheetId="7">'CODE checklist'!$B$34</definedName>
    <definedName name="Title.Checklist.ManualQuestion" localSheetId="6">'SDD checklist'!$B$33</definedName>
    <definedName name="Title.Checklist.NoteForAuditor" localSheetId="7">'CODE checklist'!$L$2</definedName>
    <definedName name="Title.Checklist.NoteForAuditor" localSheetId="6">'SDD checklist'!$H$2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checklist'!$D$2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245" l="1"/>
  <c r="E3" i="245"/>
  <c r="E13" i="42"/>
  <c r="C3" i="245"/>
  <c r="E12" i="42"/>
  <c r="J3" i="246"/>
  <c r="E11" i="42"/>
  <c r="E10" i="42"/>
  <c r="F10" i="38"/>
  <c r="E7" i="38"/>
  <c r="AB7" i="38"/>
  <c r="AB5" i="38"/>
  <c r="W7" i="38"/>
  <c r="A7" i="38"/>
  <c r="A5" i="38"/>
  <c r="W5" i="38"/>
  <c r="I3" i="246" l="1"/>
  <c r="E9" i="42"/>
  <c r="G27" i="16"/>
  <c r="F27" i="16"/>
  <c r="E27" i="16"/>
  <c r="E44" i="16"/>
  <c r="E37" i="16"/>
  <c r="H3" i="246"/>
  <c r="G3" i="246"/>
  <c r="E8" i="42"/>
  <c r="E7" i="42"/>
  <c r="E4" i="42"/>
  <c r="E3" i="42"/>
  <c r="F3" i="246"/>
  <c r="E3" i="246"/>
  <c r="E6" i="42"/>
  <c r="E5" i="42"/>
  <c r="D3" i="246"/>
  <c r="C3" i="246" l="1"/>
  <c r="C3" i="247"/>
  <c r="D3" i="245" l="1"/>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FC8D1709-3E07-4849-A0BF-2BD570E3578A}">
      <text>
        <r>
          <rPr>
            <b/>
            <sz val="9"/>
            <color indexed="81"/>
            <rFont val="Tahoma"/>
            <family val="2"/>
          </rPr>
          <t>Overview :</t>
        </r>
        <r>
          <rPr>
            <sz val="9"/>
            <color indexed="81"/>
            <rFont val="Tahoma"/>
            <family val="2"/>
          </rPr>
          <t xml:space="preserve">
Pourcentage of "yes" answers out of applicable answers</t>
        </r>
      </text>
    </comment>
    <comment ref="D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E3" authorId="0" shapeId="0" xr:uid="{26C83C28-98E6-4FC1-875D-28ED55C42E3A}">
      <text>
        <r>
          <rPr>
            <b/>
            <sz val="9"/>
            <color indexed="81"/>
            <rFont val="Tahoma"/>
            <family val="2"/>
          </rPr>
          <t>Overview :</t>
        </r>
        <r>
          <rPr>
            <sz val="9"/>
            <color indexed="81"/>
            <rFont val="Tahoma"/>
            <family val="2"/>
          </rPr>
          <t xml:space="preserve">
Pourcentage of "yes" answers out of applicable answers</t>
        </r>
      </text>
    </comment>
    <comment ref="F3" authorId="0" shapeId="0" xr:uid="{1940002F-87DA-4665-846E-B2CA075DFE3E}">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6DFE34CD-93E6-40AF-8722-1350EBD453C7}">
      <text>
        <r>
          <rPr>
            <b/>
            <sz val="9"/>
            <color indexed="81"/>
            <rFont val="Tahoma"/>
            <family val="2"/>
          </rPr>
          <t>This cell must be blank</t>
        </r>
      </text>
    </comment>
    <comment ref="D35" authorId="0" shapeId="0" xr:uid="{B34B2126-EEAB-44D0-9AF5-7CB793A8E787}">
      <text>
        <r>
          <rPr>
            <b/>
            <sz val="9"/>
            <color indexed="81"/>
            <rFont val="Tahoma"/>
            <family val="2"/>
          </rPr>
          <t>This cell must be blank</t>
        </r>
      </text>
    </comment>
    <comment ref="E35" authorId="0" shapeId="0" xr:uid="{503756CE-A259-41F9-9839-B7FFD3DD3678}">
      <text>
        <r>
          <rPr>
            <b/>
            <sz val="9"/>
            <color indexed="81"/>
            <rFont val="Tahoma"/>
            <family val="2"/>
          </rPr>
          <t>This cell must be blank</t>
        </r>
      </text>
    </comment>
    <comment ref="F35" authorId="0" shapeId="0" xr:uid="{49C7CF08-55D3-4A0A-8A58-554136032764}">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F581C554-4EA6-430F-BDEB-ED9D80850D61}">
      <text>
        <r>
          <rPr>
            <b/>
            <sz val="9"/>
            <color indexed="81"/>
            <rFont val="Tahoma"/>
            <family val="2"/>
          </rPr>
          <t>Overview :</t>
        </r>
        <r>
          <rPr>
            <sz val="9"/>
            <color indexed="81"/>
            <rFont val="Tahoma"/>
            <family val="2"/>
          </rPr>
          <t xml:space="preserve">
Pourcentage of "yes" answers out of applicable answers</t>
        </r>
      </text>
    </comment>
    <comment ref="E3" authorId="0" shapeId="0" xr:uid="{0747CF3B-734B-4A2C-8E9F-B952D43DA213}">
      <text>
        <r>
          <rPr>
            <b/>
            <sz val="9"/>
            <color indexed="81"/>
            <rFont val="Tahoma"/>
            <family val="2"/>
          </rPr>
          <t>Overview :</t>
        </r>
        <r>
          <rPr>
            <sz val="9"/>
            <color indexed="81"/>
            <rFont val="Tahoma"/>
            <family val="2"/>
          </rPr>
          <t xml:space="preserve">
Pourcentage of "yes" answers out of applicable answers</t>
        </r>
      </text>
    </comment>
    <comment ref="F3" authorId="0" shapeId="0" xr:uid="{5286FE87-4B4E-4760-BCAC-4639AA026601}">
      <text>
        <r>
          <rPr>
            <b/>
            <sz val="9"/>
            <color indexed="81"/>
            <rFont val="Tahoma"/>
            <family val="2"/>
          </rPr>
          <t>Overview :</t>
        </r>
        <r>
          <rPr>
            <sz val="9"/>
            <color indexed="81"/>
            <rFont val="Tahoma"/>
            <family val="2"/>
          </rPr>
          <t xml:space="preserve">
Pourcentage of "yes" answers out of applicable answers</t>
        </r>
      </text>
    </comment>
    <comment ref="G3" authorId="0" shapeId="0" xr:uid="{CEE45EF6-E5D5-40F7-9D8C-63DA06B759F4}">
      <text>
        <r>
          <rPr>
            <b/>
            <sz val="9"/>
            <color indexed="81"/>
            <rFont val="Tahoma"/>
            <family val="2"/>
          </rPr>
          <t>Overview :</t>
        </r>
        <r>
          <rPr>
            <sz val="9"/>
            <color indexed="81"/>
            <rFont val="Tahoma"/>
            <family val="2"/>
          </rPr>
          <t xml:space="preserve">
Pourcentage of "yes" answers out of applicable answers</t>
        </r>
      </text>
    </comment>
    <comment ref="H3" authorId="0" shapeId="0" xr:uid="{72CCDDAB-4060-4DFE-8ECE-6DEA620D9DB3}">
      <text>
        <r>
          <rPr>
            <b/>
            <sz val="9"/>
            <color indexed="81"/>
            <rFont val="Tahoma"/>
            <family val="2"/>
          </rPr>
          <t>Overview :</t>
        </r>
        <r>
          <rPr>
            <sz val="9"/>
            <color indexed="81"/>
            <rFont val="Tahoma"/>
            <family val="2"/>
          </rPr>
          <t xml:space="preserve">
Pourcentage of "yes" answers out of applicable answers</t>
        </r>
      </text>
    </comment>
    <comment ref="I3" authorId="0" shapeId="0" xr:uid="{3D336652-0977-4CCB-99BF-E1A27F5F629B}">
      <text>
        <r>
          <rPr>
            <b/>
            <sz val="9"/>
            <color indexed="81"/>
            <rFont val="Tahoma"/>
            <family val="2"/>
          </rPr>
          <t>Overview :</t>
        </r>
        <r>
          <rPr>
            <sz val="9"/>
            <color indexed="81"/>
            <rFont val="Tahoma"/>
            <family val="2"/>
          </rPr>
          <t xml:space="preserve">
Pourcentage of "yes" answers out of applicable answers</t>
        </r>
      </text>
    </comment>
    <comment ref="J3" authorId="0" shapeId="0" xr:uid="{96EFC56C-1924-4436-AD67-4C841C7742D8}">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2515D6E0-6AEE-415C-88C2-C3CB76F8AAE5}">
      <text>
        <r>
          <rPr>
            <b/>
            <sz val="9"/>
            <color indexed="81"/>
            <rFont val="Tahoma"/>
            <family val="2"/>
          </rPr>
          <t>This cell must be blank</t>
        </r>
      </text>
    </comment>
    <comment ref="E36" authorId="0" shapeId="0" xr:uid="{A1CC8BAF-47A9-4CA4-857B-A70A934938D4}">
      <text>
        <r>
          <rPr>
            <b/>
            <sz val="9"/>
            <color indexed="81"/>
            <rFont val="Tahoma"/>
            <family val="2"/>
          </rPr>
          <t>This cell must be blank</t>
        </r>
      </text>
    </comment>
    <comment ref="F36" authorId="0" shapeId="0" xr:uid="{FB0C9CD0-B77F-4558-8ACC-01F34105C975}">
      <text>
        <r>
          <rPr>
            <b/>
            <sz val="9"/>
            <color indexed="81"/>
            <rFont val="Tahoma"/>
            <family val="2"/>
          </rPr>
          <t>This cell must be blank</t>
        </r>
      </text>
    </comment>
    <comment ref="G36" authorId="0" shapeId="0" xr:uid="{39DA09B7-EB55-4082-B0BA-2AE35B1AAB21}">
      <text>
        <r>
          <rPr>
            <b/>
            <sz val="9"/>
            <color indexed="81"/>
            <rFont val="Tahoma"/>
            <family val="2"/>
          </rPr>
          <t>This cell must be blank</t>
        </r>
      </text>
    </comment>
    <comment ref="H36" authorId="0" shapeId="0" xr:uid="{CF408990-90F8-4265-86F0-60E749C9D6D9}">
      <text>
        <r>
          <rPr>
            <b/>
            <sz val="9"/>
            <color indexed="81"/>
            <rFont val="Tahoma"/>
            <family val="2"/>
          </rPr>
          <t>This cell must be blank</t>
        </r>
      </text>
    </comment>
    <comment ref="I36" authorId="0" shapeId="0" xr:uid="{56AE17A2-F3D2-4CEE-A3AC-D9D4C3109BA7}">
      <text>
        <r>
          <rPr>
            <b/>
            <sz val="9"/>
            <color indexed="81"/>
            <rFont val="Tahoma"/>
            <family val="2"/>
          </rPr>
          <t>This cell must be blank</t>
        </r>
      </text>
    </comment>
    <comment ref="J36" authorId="0" shapeId="0" xr:uid="{8AA06636-BF96-45D0-8034-E56C607E42CD}">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376A053A-3C88-4233-A190-9F84601022A7}">
      <text>
        <r>
          <rPr>
            <b/>
            <sz val="9"/>
            <color indexed="81"/>
            <rFont val="Tahoma"/>
            <family val="2"/>
          </rPr>
          <t>Overview :</t>
        </r>
        <r>
          <rPr>
            <sz val="9"/>
            <color indexed="81"/>
            <rFont val="Tahoma"/>
            <family val="2"/>
          </rPr>
          <t xml:space="preserve">
Pourcentage of "yes" answers out of applicable answers</t>
        </r>
      </text>
    </comment>
    <comment ref="B36" authorId="0" shapeId="0" xr:uid="{4579FE57-B159-4DA2-80F2-E457ACA74F82}">
      <text>
        <r>
          <rPr>
            <b/>
            <sz val="9"/>
            <color indexed="81"/>
            <rFont val="Tahoma"/>
            <family val="2"/>
          </rPr>
          <t xml:space="preserve">Everything above this row is generated by Question Library (TEM486 - Master questions library.xlsm) </t>
        </r>
      </text>
    </comment>
    <comment ref="A38" authorId="0" shapeId="0" xr:uid="{B836414E-05E4-4D6D-813D-BFF1CF71AB27}">
      <text>
        <r>
          <rPr>
            <b/>
            <sz val="9"/>
            <color indexed="81"/>
            <rFont val="Tahoma"/>
            <family val="2"/>
          </rPr>
          <t>This cell must be blank</t>
        </r>
      </text>
    </comment>
    <comment ref="C38" authorId="0" shapeId="0" xr:uid="{973E32FB-375B-49AD-8CC8-BEBEE029DEFF}">
      <text>
        <r>
          <rPr>
            <b/>
            <sz val="9"/>
            <color indexed="81"/>
            <rFont val="Tahoma"/>
            <family val="2"/>
          </rPr>
          <t>This cell must be blank</t>
        </r>
      </text>
    </comment>
  </commentList>
</comments>
</file>

<file path=xl/sharedStrings.xml><?xml version="1.0" encoding="utf-8"?>
<sst xmlns="http://schemas.openxmlformats.org/spreadsheetml/2006/main" count="1205" uniqueCount="475">
  <si>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</si>
  <si>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</si>
  <si>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</si>
  <si>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</si>
  <si>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</si>
  <si>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</si>
  <si>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</si>
  <si>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</si>
  <si>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</si>
  <si>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</si>
  <si>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</si>
  <si>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</si>
  <si>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</si>
  <si>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</si>
  <si>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</si>
  <si>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</si>
  <si>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</si>
  <si>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</si>
  <si>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</si>
  <si>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</si>
  <si>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</si>
  <si>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</si>
  <si>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</si>
  <si>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</si>
  <si>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</si>
  <si>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</si>
  <si>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</si>
  <si>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</si>
  <si>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</si>
  <si>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</si>
  <si>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</si>
  <si>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</si>
  <si>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</si>
  <si>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</si>
  <si>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</si>
  <si>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</si>
  <si>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</si>
  <si>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</si>
  <si>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</si>
  <si>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</si>
  <si>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</si>
  <si>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</si>
  <si>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</si>
  <si>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</si>
  <si>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</si>
  <si>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</si>
  <si>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</si>
  <si>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</si>
  <si>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</si>
  <si>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</si>
  <si>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</si>
  <si>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</si>
  <si>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</si>
  <si>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</si>
  <si>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</si>
  <si>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</si>
  <si>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</si>
  <si>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</si>
  <si>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</si>
  <si>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</si>
  <si>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</si>
  <si>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</si>
  <si>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</si>
  <si>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</si>
  <si>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</si>
  <si>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</si>
  <si>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</si>
  <si>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</si>
  <si>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</si>
  <si>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</si>
  <si>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</si>
  <si>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</si>
  <si>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</si>
  <si>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</si>
  <si>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</si>
  <si>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</si>
  <si>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</si>
  <si>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</si>
  <si>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</si>
  <si>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</si>
  <si>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</si>
  <si>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</si>
  <si>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</si>
  <si>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</si>
  <si>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</si>
  <si>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</si>
  <si>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</si>
  <si>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</si>
  <si>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</si>
  <si>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</si>
  <si>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</si>
  <si>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</si>
  <si>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</si>
  <si>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</si>
  <si>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</si>
  <si>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</si>
  <si>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</si>
  <si>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</si>
  <si>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</si>
  <si>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</si>
  <si>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</si>
  <si>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</si>
  <si>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</si>
  <si>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</si>
  <si>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</si>
  <si>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</si>
  <si>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</si>
  <si>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</si>
  <si>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</si>
  <si>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</si>
  <si>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</si>
  <si>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</si>
  <si>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</si>
  <si>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</si>
  <si>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</si>
  <si>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</si>
  <si>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</si>
  <si>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</si>
  <si>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</si>
  <si>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</si>
  <si>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</si>
  <si>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</si>
  <si>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</si>
  <si>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</si>
  <si>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</si>
  <si>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</si>
  <si>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</si>
  <si>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</si>
  <si>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</si>
  <si>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</si>
  <si>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</si>
  <si>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</si>
  <si>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</si>
  <si>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</si>
  <si>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</si>
  <si>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</si>
  <si>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</si>
  <si>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</si>
  <si>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</si>
  <si>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</si>
  <si>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</si>
  <si>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</si>
  <si>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</si>
  <si>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</si>
  <si>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</si>
  <si>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</si>
  <si>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</si>
  <si>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</si>
  <si>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</si>
  <si>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</si>
  <si>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</si>
  <si>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</si>
  <si>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</si>
  <si>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</si>
  <si>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</si>
  <si>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</si>
  <si>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</si>
  <si>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</si>
  <si>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</si>
  <si>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</si>
  <si>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</si>
  <si>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</si>
  <si>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</si>
  <si>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</si>
  <si>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</si>
  <si>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</si>
  <si>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</si>
  <si>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</si>
  <si>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</si>
  <si>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</si>
  <si>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</si>
  <si>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</si>
  <si>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</si>
  <si>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</si>
  <si>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</si>
  <si>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</si>
  <si>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</si>
  <si>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</si>
  <si>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</si>
  <si>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</si>
  <si>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</si>
  <si>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</si>
  <si>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</si>
  <si>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</si>
  <si>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</si>
  <si>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</si>
  <si>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</si>
  <si>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</si>
  <si>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</si>
  <si>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</si>
  <si>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</si>
  <si>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</si>
  <si>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</si>
  <si>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</si>
  <si>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</si>
  <si>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</si>
  <si>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</si>
  <si>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</si>
  <si>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</si>
  <si>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</si>
  <si>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</si>
  <si>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</si>
  <si>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</si>
  <si>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</si>
  <si>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</si>
  <si>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</si>
  <si>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</si>
  <si>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</si>
  <si>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</si>
  <si>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</si>
  <si>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</si>
  <si>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</si>
  <si>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</si>
  <si>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</si>
  <si>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</si>
  <si>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</si>
  <si>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</si>
  <si>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</si>
  <si>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</si>
  <si>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</si>
  <si>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</si>
  <si>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</si>
  <si>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</si>
  <si>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</si>
  <si>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</si>
  <si>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</si>
  <si>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</si>
  <si>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</si>
  <si>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</si>
  <si>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</si>
  <si>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</si>
  <si>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</si>
  <si>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</si>
  <si>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</si>
  <si>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</si>
  <si>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</si>
  <si>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</si>
  <si>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</si>
  <si>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</si>
  <si>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</si>
  <si>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</si>
  <si>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</si>
  <si>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</si>
  <si>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</si>
  <si>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</si>
  <si>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</si>
  <si>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</si>
  <si>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</si>
  <si>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</si>
  <si>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</si>
  <si>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</si>
  <si>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</si>
  <si>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</si>
  <si>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</si>
  <si>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</si>
  <si>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</si>
  <si>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</si>
  <si>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</si>
  <si>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</si>
  <si>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</si>
  <si>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</si>
  <si>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</si>
  <si>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</si>
  <si>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</si>
  <si>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</si>
  <si>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</si>
  <si>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</si>
  <si>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</si>
  <si>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</si>
  <si>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</si>
  <si>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</si>
  <si>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</si>
  <si>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</si>
  <si>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</si>
  <si>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</si>
  <si>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</si>
  <si>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</si>
  <si>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</si>
  <si>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</si>
  <si>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</si>
  <si>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</si>
  <si>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</si>
  <si>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</si>
  <si>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</si>
  <si>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</si>
  <si>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</si>
  <si>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</si>
  <si>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</si>
  <si>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</si>
  <si>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</si>
  <si>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</si>
  <si>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</si>
  <si>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</si>
  <si>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</si>
  <si>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</si>
  <si>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</si>
  <si>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</si>
  <si>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</si>
  <si>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</si>
  <si>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</si>
  <si>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</si>
  <si>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</si>
  <si>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</si>
  <si>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</si>
  <si>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</si>
  <si>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</si>
  <si>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</si>
  <si>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</si>
  <si>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</si>
  <si>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</si>
  <si>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</si>
  <si>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</si>
  <si>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</si>
  <si>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</si>
  <si>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</si>
  <si>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</si>
  <si>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</si>
  <si>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</si>
  <si>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</si>
  <si>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</si>
  <si>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</si>
  <si>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</si>
  <si>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</si>
  <si>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</si>
  <si>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</si>
  <si>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</si>
  <si>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</si>
  <si>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</si>
  <si>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</si>
  <si>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</si>
  <si>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</si>
  <si>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</si>
  <si>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</si>
  <si>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</si>
  <si>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</si>
  <si>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</si>
  <si>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</si>
  <si>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</si>
  <si>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</si>
  <si>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</si>
  <si>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</si>
  <si>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</si>
  <si>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</si>
  <si>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</si>
  <si>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</si>
  <si>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</si>
  <si>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</si>
  <si>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</si>
  <si>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</si>
  <si>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</si>
  <si>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</si>
  <si>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</si>
  <si>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</si>
  <si>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</si>
  <si>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</si>
  <si>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</si>
  <si>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</si>
  <si>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</si>
  <si>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</si>
  <si>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NA: There is no loop in .h file</t>
  </si>
  <si>
    <t>No additional questions</t>
  </si>
  <si>
    <t>Ioan Repede</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</si>
  <si>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</si>
  <si>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</si>
  <si>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</si>
  <si>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</si>
  <si>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</si>
  <si>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</si>
  <si>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</si>
  <si>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</si>
  <si>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</si>
  <si>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</si>
  <si>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</si>
  <si>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</si>
  <si>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</si>
  <si>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</si>
  <si>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</si>
  <si>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</si>
  <si>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</si>
  <si>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</si>
  <si>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</si>
  <si>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</si>
  <si>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</si>
  <si>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</si>
  <si>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</si>
  <si>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</si>
  <si>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</si>
  <si>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</si>
  <si>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</si>
  <si>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</si>
  <si>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</si>
  <si>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</si>
  <si>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</si>
  <si>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</si>
  <si>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</si>
  <si>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</si>
  <si>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</si>
  <si>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</si>
  <si>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</si>
  <si>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</si>
  <si>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</si>
  <si>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</si>
  <si>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</si>
  <si>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eCS_Audi_MCC.ATM.tmb - v1.1</t>
  </si>
  <si>
    <t>PRWB</t>
  </si>
  <si>
    <t>GBr</t>
  </si>
  <si>
    <t>NA: Header files are not verified by QAC</t>
  </si>
  <si>
    <t>EFX - Peer Review Workbook.xlsm</t>
  </si>
  <si>
    <t>Ire</t>
  </si>
  <si>
    <t>EFX_Filter.h</t>
  </si>
  <si>
    <t>EFX_Filter.h - 1.1</t>
  </si>
  <si>
    <t>Template version not according to the process.</t>
  </si>
  <si>
    <t>Update includes correctly ("" instead of &lt;&gt;)</t>
  </si>
  <si>
    <t>Update defines name according to the guidline: (&lt;DATATYPE&gt;_&lt;MODULE NAME&gt;_NAME)</t>
  </si>
  <si>
    <t>Update the define's values using the correct cast.</t>
  </si>
  <si>
    <t>Muve function-like macros to the coresponding section.</t>
  </si>
  <si>
    <t>NA: Headers don't have traceability.</t>
  </si>
  <si>
    <t>EFX_Filter.h - v1.1</t>
  </si>
  <si>
    <t>01.16.2023</t>
  </si>
  <si>
    <t>EFX_Filter.c</t>
  </si>
  <si>
    <t>Review of this version is covered by 1.2</t>
  </si>
  <si>
    <t>Add EXPORTED keyward to all external functions</t>
  </si>
  <si>
    <t>Update the content of the function EFX_LPF_Filter_u16_u16 according to coding guidelines.</t>
  </si>
  <si>
    <t>Update the name function for EFX_LPF_Filter_u16_u16</t>
  </si>
  <si>
    <t>EFX_Filter.c - 1.2</t>
  </si>
  <si>
    <t>Lucian Ardeleanu</t>
  </si>
  <si>
    <t>Fixed, includes corrected.</t>
  </si>
  <si>
    <t>Fixed, macro moved</t>
  </si>
  <si>
    <t>Casts cannot be analysed during precompilation phase.</t>
  </si>
  <si>
    <t>Update successfully.</t>
  </si>
  <si>
    <t>Keyword added.</t>
  </si>
  <si>
    <t xml:space="preserve">Library created according to Autosar specification of EFX filtering. </t>
  </si>
  <si>
    <t>Function created according to Autosar specification of EFX filtering.</t>
  </si>
  <si>
    <t xml:space="preserve">Template updated according to process
Ioan Re: Update to version 1.25 </t>
  </si>
  <si>
    <t>Review of this version is covered by 1.3</t>
  </si>
  <si>
    <t>Review of this version is covered by 1.4</t>
  </si>
  <si>
    <t>No findings</t>
  </si>
  <si>
    <t>EFX_Filter.h - 1.3</t>
  </si>
  <si>
    <t>EFX_Filter.c - 1.4</t>
  </si>
  <si>
    <t>EFX_Filter.h - v1.3</t>
  </si>
  <si>
    <t>One line if-else condition shall be justified.</t>
  </si>
  <si>
    <t>Gabriel Brasoveanu</t>
  </si>
  <si>
    <t>One line if-else condition shall be justified between 1.4 and 1.6 versions</t>
  </si>
  <si>
    <t>EFX_Filter.h - v1.4</t>
  </si>
  <si>
    <t>EFX_Filter.c - 1.6</t>
  </si>
  <si>
    <t>02.17.2023</t>
  </si>
  <si>
    <t>VCH</t>
  </si>
  <si>
    <t>EFX_Filter.h - 1.4</t>
  </si>
  <si>
    <t>Justification: According to AUTOSAR specification of EFX filter sw component,run-time necesarry for computing filter values must be as low as posible, so an one-line function is needed to get the lowest posible solution of implemented equations.</t>
  </si>
  <si>
    <t>EFX_Filter.c - 1.7</t>
  </si>
  <si>
    <t>02.23.2023</t>
  </si>
  <si>
    <t>EFX_SW_DetailedDesign.docx</t>
  </si>
  <si>
    <t>Template not updated according with process</t>
  </si>
  <si>
    <t>The document was full scope checked</t>
  </si>
  <si>
    <t>EFX_SW_DetailedDesign.docx - 1.3</t>
  </si>
  <si>
    <t>Author name not completed</t>
  </si>
  <si>
    <t>Project number and name and the other fields from header not completed</t>
  </si>
  <si>
    <t>Open project no.1047503</t>
  </si>
  <si>
    <t>Table of content not updated</t>
  </si>
  <si>
    <t>EFX_SW_DetailedDesign.docx - v1.3</t>
  </si>
  <si>
    <t>Roxana Dimanescu</t>
  </si>
  <si>
    <t>EFX_Filter.c - 1.8</t>
  </si>
  <si>
    <t>06.28.2023</t>
  </si>
  <si>
    <t>1.3.1.1.1.24</t>
  </si>
  <si>
    <t>eCS_SW_Arhitecture.eapx</t>
  </si>
  <si>
    <t>Mihai Motoc</t>
  </si>
  <si>
    <t>eCS_SW_Arhitecture.eapx - v1.3.1.1.1.24</t>
  </si>
  <si>
    <t>DDU</t>
  </si>
  <si>
    <t>LAR</t>
  </si>
  <si>
    <t>eCS_SW_Arhitecture.eapx - v1.3.1.1.1.26</t>
  </si>
  <si>
    <t>DPU</t>
  </si>
  <si>
    <t>1.3.1.1.1.25</t>
  </si>
  <si>
    <t>1.3.1.1.1.26</t>
  </si>
  <si>
    <t>David Puscasu</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</si>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</sst>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5">
    <xf numFmtId="0" fontId="0" fillId="0" borderId="0"/>
    <xf numFmtId="0" fontId="58" fillId="6" borderId="14" applyNumberFormat="0" applyAlignment="0" applyProtection="0"/>
    <xf numFmtId="0" fontId="59" fillId="0" borderId="0" applyNumberFormat="0" applyFill="0" applyBorder="0" applyAlignment="0" applyProtection="0"/>
    <xf numFmtId="0" fontId="28" fillId="0" borderId="0"/>
    <xf numFmtId="0" fontId="53" fillId="0" borderId="0"/>
    <xf numFmtId="0" fontId="57" fillId="0" borderId="0"/>
    <xf numFmtId="0" fontId="28" fillId="0" borderId="0"/>
    <xf numFmtId="0" fontId="35" fillId="0" borderId="0"/>
    <xf numFmtId="0" fontId="60" fillId="6" borderId="15" applyNumberFormat="0" applyAlignment="0" applyProtection="0"/>
    <xf numFmtId="0" fontId="27" fillId="0" borderId="0"/>
    <xf numFmtId="0" fontId="26" fillId="0" borderId="0"/>
    <xf numFmtId="0" fontId="25" fillId="0" borderId="0"/>
    <xf numFmtId="0" fontId="85" fillId="25" borderId="14" applyNumberFormat="0" applyAlignment="0" applyProtection="0"/>
    <xf numFmtId="0" fontId="86"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5" fillId="0" borderId="0" applyNumberFormat="0" applyFill="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cellStyleXfs>
  <cellXfs count="334">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Border="1" applyAlignment="1">
      <alignment wrapText="1"/>
    </xf>
    <xf numFmtId="0" fontId="61" fillId="7" borderId="0" xfId="0" applyFont="1" applyFill="1" applyBorder="1" applyAlignment="1">
      <alignment horizontal="center" vertical="center" wrapText="1"/>
    </xf>
    <xf numFmtId="0" fontId="61" fillId="0" borderId="0" xfId="0" applyFont="1" applyFill="1" applyBorder="1" applyAlignment="1">
      <alignment horizontal="center" vertical="center" wrapText="1"/>
    </xf>
    <xf numFmtId="0" fontId="61" fillId="0" borderId="0" xfId="0" applyFont="1" applyFill="1" applyAlignment="1">
      <alignment vertical="center"/>
    </xf>
    <xf numFmtId="0" fontId="61" fillId="0" borderId="0" xfId="0" applyFont="1" applyFill="1" applyBorder="1" applyAlignment="1">
      <alignment vertical="center" wrapText="1"/>
    </xf>
    <xf numFmtId="0" fontId="50"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28" fillId="0" borderId="1" xfId="0" applyFont="1" applyFill="1" applyBorder="1" applyAlignment="1">
      <alignment horizontal="center" vertical="center" wrapText="1"/>
    </xf>
    <xf numFmtId="0" fontId="0" fillId="2" borderId="5" xfId="0" applyFill="1" applyBorder="1" applyAlignment="1">
      <alignment wrapText="1"/>
    </xf>
    <xf numFmtId="0" fontId="28" fillId="2" borderId="0" xfId="0" applyFont="1" applyFill="1" applyBorder="1"/>
    <xf numFmtId="0" fontId="29" fillId="9" borderId="1" xfId="0" applyFont="1" applyFill="1" applyBorder="1" applyAlignment="1">
      <alignment horizontal="center" vertical="center" wrapText="1"/>
    </xf>
    <xf numFmtId="0" fontId="28" fillId="2" borderId="10" xfId="0" applyFont="1" applyFill="1" applyBorder="1"/>
    <xf numFmtId="0" fontId="61"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8" fillId="8" borderId="0" xfId="0" applyFont="1" applyFill="1" applyBorder="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8"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1" fillId="8" borderId="0" xfId="0" applyFont="1" applyFill="1" applyBorder="1" applyAlignment="1">
      <alignment horizontal="center" vertical="center" wrapText="1"/>
    </xf>
    <xf numFmtId="0" fontId="61" fillId="8" borderId="0" xfId="0" applyFont="1" applyFill="1" applyAlignment="1">
      <alignment horizontal="center" vertical="center" wrapText="1"/>
    </xf>
    <xf numFmtId="0" fontId="61"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1" fillId="14" borderId="1" xfId="0" applyFont="1" applyFill="1" applyBorder="1" applyAlignment="1">
      <alignment horizontal="center" vertical="center" wrapText="1"/>
    </xf>
    <xf numFmtId="0" fontId="61"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4" fillId="13" borderId="1" xfId="0" applyFont="1" applyFill="1" applyBorder="1" applyAlignment="1">
      <alignment horizontal="center" vertical="center" wrapText="1"/>
    </xf>
    <xf numFmtId="0" fontId="0" fillId="0" borderId="0" xfId="0" applyFill="1" applyBorder="1" applyAlignment="1">
      <alignment horizontal="center"/>
    </xf>
    <xf numFmtId="0" fontId="28" fillId="13" borderId="1" xfId="0" applyFont="1" applyFill="1" applyBorder="1" applyAlignment="1">
      <alignment horizontal="center" vertic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Border="1" applyAlignment="1">
      <alignment horizontal="left" vertical="center"/>
    </xf>
    <xf numFmtId="0" fontId="28" fillId="12" borderId="0" xfId="0" applyFont="1" applyFill="1" applyBorder="1" applyAlignment="1">
      <alignment horizontal="left" vertical="center"/>
    </xf>
    <xf numFmtId="0" fontId="28" fillId="15" borderId="0" xfId="0" applyFont="1" applyFill="1" applyBorder="1" applyAlignment="1">
      <alignment horizontal="left" vertical="center"/>
    </xf>
    <xf numFmtId="0" fontId="28" fillId="13" borderId="0" xfId="0" applyFont="1" applyFill="1" applyBorder="1" applyAlignment="1">
      <alignment horizontal="left" vertical="center"/>
    </xf>
    <xf numFmtId="0" fontId="28" fillId="2" borderId="1" xfId="0" applyFont="1" applyFill="1" applyBorder="1"/>
    <xf numFmtId="0" fontId="28" fillId="0" borderId="1" xfId="0" applyFont="1" applyBorder="1" applyAlignment="1">
      <alignment horizontal="center" vertical="center"/>
    </xf>
    <xf numFmtId="14" fontId="28"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28" fillId="3" borderId="12" xfId="0" applyFont="1" applyFill="1" applyBorder="1" applyAlignment="1">
      <alignment horizontal="center" vertical="center" wrapText="1"/>
    </xf>
    <xf numFmtId="0" fontId="58" fillId="6" borderId="1" xfId="1" applyFont="1" applyBorder="1" applyAlignment="1">
      <alignment horizontal="center"/>
    </xf>
    <xf numFmtId="0" fontId="62" fillId="6" borderId="15" xfId="8" applyFont="1" applyAlignment="1">
      <alignment horizontal="center"/>
    </xf>
    <xf numFmtId="0" fontId="62" fillId="6" borderId="17" xfId="8" applyFont="1" applyBorder="1" applyAlignment="1">
      <alignment horizontal="center"/>
    </xf>
    <xf numFmtId="0" fontId="58" fillId="6" borderId="1" xfId="1" applyBorder="1" applyAlignment="1">
      <alignment horizontal="center" vertical="center"/>
    </xf>
    <xf numFmtId="0" fontId="28" fillId="2" borderId="1" xfId="0" applyFont="1" applyFill="1" applyBorder="1" applyAlignment="1">
      <alignment horizontal="center"/>
    </xf>
    <xf numFmtId="0" fontId="28"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3"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5"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70" fillId="0" borderId="2" xfId="3" applyFont="1" applyBorder="1" applyAlignment="1" applyProtection="1">
      <alignment horizontal="left" vertical="center" wrapText="1" shrinkToFit="1"/>
      <protection locked="0"/>
    </xf>
    <xf numFmtId="0" fontId="71" fillId="0" borderId="0" xfId="3" applyFont="1" applyAlignment="1" applyProtection="1">
      <alignment horizontal="left" vertical="center" shrinkToFit="1"/>
      <protection locked="0"/>
    </xf>
    <xf numFmtId="0" fontId="70" fillId="0" borderId="0" xfId="3" applyFont="1" applyAlignment="1" applyProtection="1">
      <alignment horizontal="left" vertical="center" wrapText="1" shrinkToFit="1"/>
      <protection locked="0"/>
    </xf>
    <xf numFmtId="0" fontId="71" fillId="0" borderId="3" xfId="3" applyFont="1" applyBorder="1" applyAlignment="1" applyProtection="1">
      <alignment horizontal="left" vertical="center" shrinkToFit="1"/>
      <protection locked="0"/>
    </xf>
    <xf numFmtId="0" fontId="74" fillId="0" borderId="0" xfId="3" applyFont="1" applyAlignment="1" applyProtection="1">
      <alignment vertical="center"/>
      <protection locked="0"/>
    </xf>
    <xf numFmtId="0" fontId="75" fillId="0" borderId="0" xfId="3" applyFont="1" applyAlignment="1" applyProtection="1">
      <alignment horizontal="center" vertical="center"/>
      <protection locked="0"/>
    </xf>
    <xf numFmtId="0" fontId="27" fillId="8" borderId="0" xfId="9" applyFill="1"/>
    <xf numFmtId="0" fontId="76" fillId="0" borderId="0" xfId="3" applyFont="1" applyAlignment="1">
      <alignment horizontal="right" vertical="center"/>
    </xf>
    <xf numFmtId="0" fontId="77"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8"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9" fillId="0" borderId="0" xfId="3" applyFont="1" applyAlignment="1" applyProtection="1">
      <alignment vertical="center"/>
      <protection locked="0"/>
    </xf>
    <xf numFmtId="49" fontId="79"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80" fillId="0" borderId="0" xfId="3" applyFont="1" applyAlignment="1" applyProtection="1">
      <alignment horizontal="left" vertical="center"/>
      <protection locked="0"/>
    </xf>
    <xf numFmtId="0" fontId="28" fillId="0" borderId="0" xfId="3" applyAlignment="1">
      <alignment horizontal="left" vertical="center" wrapText="1"/>
    </xf>
    <xf numFmtId="0" fontId="77"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7"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NumberFormat="1" applyFont="1" applyFill="1" applyBorder="1" applyAlignment="1">
      <alignment horizontal="center" vertical="center"/>
    </xf>
    <xf numFmtId="0" fontId="28" fillId="21" borderId="0" xfId="0" applyFont="1" applyFill="1" applyBorder="1" applyAlignment="1">
      <alignment horizontal="left" vertical="top" wrapText="1"/>
    </xf>
    <xf numFmtId="0" fontId="28" fillId="21" borderId="0" xfId="0" applyFont="1" applyFill="1" applyBorder="1" applyAlignment="1">
      <alignment wrapText="1"/>
    </xf>
    <xf numFmtId="0" fontId="0" fillId="21" borderId="0" xfId="0" applyFill="1" applyBorder="1" applyAlignment="1">
      <alignment wrapText="1"/>
    </xf>
    <xf numFmtId="0" fontId="28" fillId="9" borderId="0" xfId="0" applyFont="1" applyFill="1" applyBorder="1" applyAlignment="1">
      <alignment wrapText="1"/>
    </xf>
    <xf numFmtId="0" fontId="0" fillId="9" borderId="0" xfId="0" applyFill="1" applyBorder="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1" fillId="0" borderId="0" xfId="0" applyFont="1" applyFill="1" applyAlignment="1">
      <alignment vertical="center"/>
    </xf>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30" fillId="5" borderId="0" xfId="15" applyFont="1" applyFill="1" applyAlignment="1">
      <alignment vertical="center"/>
    </xf>
    <xf numFmtId="0" fontId="66" fillId="30" borderId="10" xfId="15" applyFont="1" applyFill="1" applyBorder="1" applyAlignment="1">
      <alignment vertical="center"/>
    </xf>
    <xf numFmtId="0" fontId="95" fillId="30" borderId="19" xfId="15" applyFont="1" applyFill="1" applyBorder="1" applyAlignment="1">
      <alignment vertical="center" wrapText="1"/>
    </xf>
    <xf numFmtId="0" fontId="28" fillId="5" borderId="1" xfId="15" applyFill="1" applyBorder="1" applyAlignment="1">
      <alignment vertical="center"/>
    </xf>
    <xf numFmtId="0" fontId="96" fillId="5" borderId="1" xfId="15" applyFont="1" applyFill="1" applyBorder="1" applyAlignment="1">
      <alignment horizontal="center" vertical="center"/>
    </xf>
    <xf numFmtId="0" fontId="66" fillId="31" borderId="10" xfId="15" applyFont="1" applyFill="1" applyBorder="1" applyAlignment="1">
      <alignment vertical="center"/>
    </xf>
    <xf numFmtId="0" fontId="38"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78" fillId="0" borderId="0" xfId="0" applyFont="1" applyAlignment="1" applyProtection="1">
      <alignment horizontal="left" vertical="center"/>
      <protection locked="0"/>
    </xf>
    <xf numFmtId="0" fontId="28" fillId="0" borderId="1" xfId="15" applyBorder="1" applyAlignment="1">
      <alignment vertical="center" wrapText="1"/>
    </xf>
    <xf numFmtId="0" fontId="102" fillId="0" borderId="2" xfId="0" applyFont="1" applyBorder="1" applyAlignment="1">
      <alignment horizontal="right" vertical="center"/>
    </xf>
    <xf numFmtId="0" fontId="104" fillId="0" borderId="0" xfId="0" applyFont="1" applyBorder="1" applyAlignment="1">
      <alignment wrapText="1"/>
    </xf>
    <xf numFmtId="0" fontId="86" fillId="7" borderId="1" xfId="14" applyFont="1" applyFill="1" applyBorder="1" applyAlignment="1">
      <alignment horizontal="center" vertical="center"/>
    </xf>
    <xf numFmtId="0" fontId="105" fillId="8" borderId="0" xfId="30" applyFill="1" applyAlignment="1">
      <alignment horizontal="center" wrapText="1"/>
    </xf>
    <xf numFmtId="0" fontId="31" fillId="3" borderId="12" xfId="0" applyFont="1" applyFill="1" applyBorder="1" applyAlignment="1">
      <alignment horizontal="center" vertical="center" wrapText="1"/>
    </xf>
    <xf numFmtId="0" fontId="31" fillId="3" borderId="16" xfId="0" applyFont="1" applyFill="1" applyBorder="1" applyAlignment="1">
      <alignment horizontal="center" vertical="center" wrapText="1"/>
    </xf>
    <xf numFmtId="0" fontId="31" fillId="3" borderId="1" xfId="0" applyFont="1" applyFill="1" applyBorder="1" applyAlignment="1">
      <alignment horizontal="center" vertical="center" wrapText="1"/>
    </xf>
    <xf numFmtId="0" fontId="58" fillId="6" borderId="16" xfId="1" applyFont="1" applyBorder="1" applyAlignment="1">
      <alignment horizontal="center" vertical="center"/>
    </xf>
    <xf numFmtId="0" fontId="58" fillId="6" borderId="1" xfId="1" applyFont="1" applyBorder="1" applyAlignment="1">
      <alignment horizontal="center" vertical="center"/>
    </xf>
    <xf numFmtId="0" fontId="29" fillId="2" borderId="1" xfId="0" applyFont="1" applyFill="1" applyBorder="1" applyAlignment="1">
      <alignment horizontal="center"/>
    </xf>
    <xf numFmtId="0" fontId="66" fillId="33" borderId="12" xfId="15" applyFont="1" applyFill="1" applyBorder="1" applyAlignment="1">
      <alignment horizontal="center" vertical="center" textRotation="45" wrapText="1"/>
    </xf>
    <xf numFmtId="0" fontId="93" fillId="33" borderId="12" xfId="15" applyFont="1" applyFill="1" applyBorder="1" applyAlignment="1">
      <alignment horizontal="center" vertical="center" wrapText="1"/>
    </xf>
    <xf numFmtId="0" fontId="81" fillId="33" borderId="1" xfId="15" applyFont="1" applyFill="1" applyBorder="1" applyAlignment="1">
      <alignment horizontal="center" vertical="center" textRotation="45" wrapText="1"/>
    </xf>
    <xf numFmtId="0" fontId="81" fillId="33" borderId="1" xfId="15" applyFont="1" applyFill="1" applyBorder="1" applyAlignment="1">
      <alignment horizontal="center" vertical="center" wrapText="1"/>
    </xf>
    <xf numFmtId="0" fontId="66" fillId="33" borderId="13" xfId="15" applyFont="1" applyFill="1" applyBorder="1" applyAlignment="1">
      <alignment horizontal="center" vertical="center"/>
    </xf>
    <xf numFmtId="0" fontId="94" fillId="33"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6" fillId="33" borderId="7" xfId="15" applyFont="1" applyFill="1" applyBorder="1" applyAlignment="1">
      <alignment horizontal="center" vertical="center"/>
    </xf>
    <xf numFmtId="0" fontId="97" fillId="33" borderId="8" xfId="15" applyFont="1" applyFill="1" applyBorder="1" applyAlignment="1">
      <alignment horizontal="center" vertical="center" wrapText="1"/>
    </xf>
    <xf numFmtId="0" fontId="94" fillId="33" borderId="8" xfId="15" applyFont="1" applyFill="1" applyBorder="1" applyAlignment="1">
      <alignment horizontal="center" vertical="center" wrapText="1"/>
    </xf>
    <xf numFmtId="0" fontId="94"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38" fillId="15" borderId="0" xfId="0" applyFont="1" applyFill="1" applyAlignment="1">
      <alignment horizontal="center" wrapText="1"/>
    </xf>
    <xf numFmtId="0" fontId="50" fillId="15" borderId="0" xfId="0" applyFont="1" applyFill="1" applyAlignment="1">
      <alignment horizontal="center" wrapText="1"/>
    </xf>
    <xf numFmtId="0" fontId="38" fillId="7" borderId="0" xfId="0" applyFont="1" applyFill="1" applyAlignment="1">
      <alignment horizontal="center" wrapText="1"/>
    </xf>
    <xf numFmtId="0" fontId="107" fillId="7" borderId="0" xfId="0" applyFont="1" applyFill="1" applyAlignment="1">
      <alignment horizontal="center" vertical="center" wrapText="1"/>
    </xf>
    <xf numFmtId="0" fontId="89" fillId="29" borderId="12" xfId="34" applyFont="1" applyFill="1" applyBorder="1" applyAlignment="1">
      <alignment horizontal="center" vertical="center" wrapText="1"/>
    </xf>
    <xf numFmtId="0" fontId="38" fillId="7" borderId="0" xfId="3" applyFont="1" applyFill="1" applyAlignment="1">
      <alignment horizontal="center" wrapText="1"/>
    </xf>
    <xf numFmtId="0" fontId="107" fillId="7" borderId="0" xfId="3" applyFont="1" applyFill="1" applyAlignment="1">
      <alignment horizontal="center" vertical="center" wrapText="1"/>
    </xf>
    <xf numFmtId="0" fontId="28" fillId="0" borderId="1" xfId="0" applyFont="1" applyBorder="1" applyAlignment="1">
      <alignment vertical="center"/>
    </xf>
    <xf numFmtId="0" fontId="28" fillId="5" borderId="1" xfId="15" applyFill="1" applyBorder="1" applyAlignment="1">
      <alignment vertical="center" wrapText="1"/>
    </xf>
    <xf numFmtId="0" fontId="28" fillId="0" borderId="1" xfId="0" applyFont="1" applyBorder="1" applyAlignment="1">
      <alignment horizontal="center" vertical="center" wrapText="1"/>
    </xf>
    <xf numFmtId="0" fontId="28" fillId="34" borderId="1" xfId="0" applyFont="1" applyFill="1" applyBorder="1" applyAlignment="1">
      <alignment horizontal="center" vertical="center"/>
    </xf>
    <xf numFmtId="0" fontId="5" fillId="0" borderId="0" xfId="11" applyFont="1"/>
    <xf numFmtId="0" fontId="25" fillId="0" borderId="0" xfId="11" applyFill="1" applyBorder="1"/>
    <xf numFmtId="0" fontId="0" fillId="6" borderId="14" xfId="1" applyFont="1"/>
    <xf numFmtId="0" fontId="4" fillId="0" borderId="0" xfId="11" applyFont="1"/>
    <xf numFmtId="0" fontId="4" fillId="0" borderId="0" xfId="11" applyFont="1" applyFill="1" applyBorder="1"/>
    <xf numFmtId="0" fontId="3" fillId="0" borderId="0" xfId="11" applyFont="1"/>
    <xf numFmtId="0" fontId="3" fillId="0" borderId="0" xfId="11" applyFont="1" applyFill="1" applyBorder="1"/>
    <xf numFmtId="0" fontId="2" fillId="0" borderId="0" xfId="11" applyFont="1" applyFill="1" applyBorder="1"/>
    <xf numFmtId="0" fontId="2" fillId="0" borderId="0" xfId="11" applyFont="1"/>
    <xf numFmtId="14" fontId="0" fillId="0" borderId="1" xfId="0" applyNumberFormat="1" applyBorder="1" applyAlignment="1">
      <alignment horizontal="center" vertical="center" wrapText="1"/>
    </xf>
    <xf numFmtId="0" fontId="1" fillId="0" borderId="0" xfId="11" applyFont="1" applyFill="1" applyBorder="1"/>
    <xf numFmtId="0" fontId="1" fillId="0" borderId="0" xfId="11" applyFont="1"/>
    <xf numFmtId="0" fontId="28" fillId="35" borderId="1" xfId="0" applyFont="1" applyFill="1" applyBorder="1" applyAlignment="1">
      <alignment horizontal="center" vertical="center" wrapText="1"/>
    </xf>
    <xf numFmtId="0" fontId="28" fillId="35" borderId="11" xfId="0" applyFont="1" applyFill="1" applyBorder="1" applyAlignment="1">
      <alignment horizontal="center" vertical="center" wrapText="1"/>
    </xf>
    <xf numFmtId="0" fontId="28" fillId="35" borderId="11" xfId="0" applyFont="1" applyFill="1" applyBorder="1" applyAlignment="1">
      <alignment vertical="center" wrapText="1"/>
    </xf>
    <xf numFmtId="14" fontId="28" fillId="35" borderId="11" xfId="0" applyNumberFormat="1" applyFont="1" applyFill="1" applyBorder="1" applyAlignment="1">
      <alignment horizontal="center" vertical="center" wrapText="1"/>
    </xf>
    <xf numFmtId="0" fontId="28" fillId="35" borderId="11" xfId="0" applyFont="1" applyFill="1" applyBorder="1" applyAlignment="1">
      <alignment horizontal="center" vertical="center"/>
    </xf>
    <xf numFmtId="0" fontId="28" fillId="0" borderId="11" xfId="0" applyFont="1" applyBorder="1" applyAlignment="1">
      <alignment horizontal="center" vertical="center"/>
    </xf>
    <xf numFmtId="0" fontId="28" fillId="36" borderId="11" xfId="0" applyFont="1" applyFill="1" applyBorder="1" applyAlignment="1">
      <alignment horizontal="center" vertical="center"/>
    </xf>
    <xf numFmtId="0" fontId="108" fillId="0" borderId="21" xfId="0" applyFont="1" applyBorder="1"/>
    <xf numFmtId="0" fontId="108" fillId="0" borderId="22" xfId="0" applyFont="1" applyBorder="1"/>
    <xf numFmtId="14" fontId="108" fillId="0" borderId="22" xfId="0" applyNumberFormat="1" applyFont="1" applyBorder="1" applyAlignment="1">
      <alignment horizontal="left"/>
    </xf>
    <xf numFmtId="0" fontId="75" fillId="0" borderId="0" xfId="3" applyFont="1" applyAlignment="1" applyProtection="1">
      <alignment horizontal="center" vertical="center" wrapText="1"/>
      <protection locked="0"/>
    </xf>
    <xf numFmtId="0" fontId="28" fillId="0" borderId="0" xfId="3" applyAlignment="1">
      <alignment vertical="center" wrapText="1"/>
    </xf>
    <xf numFmtId="0" fontId="66" fillId="16" borderId="2" xfId="3" applyFont="1" applyFill="1" applyBorder="1" applyAlignment="1" applyProtection="1">
      <alignment horizontal="center" vertical="center" shrinkToFit="1"/>
      <protection locked="0"/>
    </xf>
    <xf numFmtId="0" fontId="66" fillId="16" borderId="0" xfId="3" applyFont="1" applyFill="1" applyAlignment="1" applyProtection="1">
      <alignment horizontal="center" vertical="center" shrinkToFit="1"/>
      <protection locked="0"/>
    </xf>
    <xf numFmtId="0" fontId="66"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7" fillId="0" borderId="5" xfId="0" applyFont="1" applyBorder="1" applyAlignment="1" applyProtection="1">
      <alignment horizontal="left" vertical="top" wrapText="1" shrinkToFit="1"/>
      <protection locked="0"/>
    </xf>
    <xf numFmtId="0" fontId="67"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69" fillId="0" borderId="5" xfId="3" applyFont="1" applyBorder="1" applyAlignment="1" applyProtection="1">
      <alignment horizontal="left" vertical="top" shrinkToFit="1"/>
      <protection locked="0"/>
    </xf>
    <xf numFmtId="0" fontId="69" fillId="0" borderId="6" xfId="3" applyFont="1" applyBorder="1" applyAlignment="1" applyProtection="1">
      <alignment horizontal="left" vertical="top" shrinkToFit="1"/>
      <protection locked="0"/>
    </xf>
    <xf numFmtId="0" fontId="66" fillId="16" borderId="7" xfId="3" applyFont="1" applyFill="1" applyBorder="1" applyAlignment="1" applyProtection="1">
      <alignment horizontal="center" vertical="center" shrinkToFit="1"/>
      <protection locked="0"/>
    </xf>
    <xf numFmtId="0" fontId="66" fillId="16" borderId="8" xfId="3" applyFont="1" applyFill="1" applyBorder="1" applyAlignment="1" applyProtection="1">
      <alignment horizontal="center" vertical="center" shrinkToFit="1"/>
      <protection locked="0"/>
    </xf>
    <xf numFmtId="0" fontId="66"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6" fillId="16" borderId="8" xfId="3" applyFont="1" applyFill="1" applyBorder="1" applyAlignment="1" applyProtection="1">
      <alignment horizontal="center" vertical="center" wrapText="1"/>
      <protection locked="0"/>
    </xf>
    <xf numFmtId="0" fontId="66"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6" fillId="16" borderId="2" xfId="3" applyFont="1" applyFill="1" applyBorder="1" applyAlignment="1" applyProtection="1">
      <alignment horizontal="center" vertical="center" wrapText="1" shrinkToFit="1"/>
      <protection locked="0"/>
    </xf>
    <xf numFmtId="0" fontId="66"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64" fillId="0" borderId="4" xfId="0" applyFont="1" applyBorder="1" applyAlignment="1">
      <alignment horizontal="left" vertical="center" shrinkToFit="1"/>
    </xf>
    <xf numFmtId="0" fontId="64" fillId="0" borderId="5" xfId="0" applyFont="1" applyBorder="1" applyAlignment="1">
      <alignment horizontal="left" vertical="center" shrinkToFit="1"/>
    </xf>
    <xf numFmtId="0" fontId="64" fillId="0" borderId="6" xfId="0" applyFont="1" applyBorder="1" applyAlignment="1">
      <alignment horizontal="left" vertical="center" shrinkToFit="1"/>
    </xf>
    <xf numFmtId="0" fontId="64" fillId="0" borderId="4" xfId="3" applyFont="1" applyBorder="1" applyAlignment="1">
      <alignment horizontal="left" vertical="center" shrinkToFit="1"/>
    </xf>
    <xf numFmtId="0" fontId="64" fillId="0" borderId="5" xfId="3" applyFont="1" applyBorder="1" applyAlignment="1">
      <alignment horizontal="left" vertical="center" shrinkToFit="1"/>
    </xf>
    <xf numFmtId="0" fontId="64" fillId="0" borderId="6" xfId="3" applyFont="1" applyBorder="1" applyAlignment="1">
      <alignment horizontal="left" vertical="center" shrinkToFi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9" fillId="0" borderId="10" xfId="2" applyBorder="1" applyAlignment="1">
      <alignment horizontal="left" vertical="center" wrapText="1"/>
    </xf>
    <xf numFmtId="49" fontId="28" fillId="0" borderId="1" xfId="3" applyNumberFormat="1" applyBorder="1" applyAlignment="1" applyProtection="1">
      <alignment horizontal="left" vertical="center" wrapText="1"/>
      <protection locked="0"/>
    </xf>
    <xf numFmtId="0" fontId="28" fillId="0" borderId="1" xfId="3" applyBorder="1" applyAlignment="1">
      <alignment horizontal="left" vertical="center" wrapText="1"/>
    </xf>
    <xf numFmtId="49" fontId="28" fillId="0" borderId="1" xfId="3" applyNumberFormat="1" applyBorder="1" applyAlignment="1" applyProtection="1">
      <alignment vertical="center" wrapText="1"/>
      <protection locked="0"/>
    </xf>
    <xf numFmtId="0" fontId="47" fillId="18" borderId="1" xfId="3" applyFont="1" applyFill="1" applyBorder="1" applyAlignment="1" applyProtection="1">
      <alignment horizontal="center" vertical="center" wrapText="1"/>
      <protection locked="0"/>
    </xf>
    <xf numFmtId="0" fontId="81" fillId="20" borderId="1" xfId="3" applyFont="1" applyFill="1" applyBorder="1" applyAlignment="1">
      <alignment horizontal="center" vertical="center" wrapText="1"/>
    </xf>
    <xf numFmtId="0" fontId="28" fillId="0" borderId="1" xfId="3" applyBorder="1" applyAlignment="1">
      <alignment horizontal="center" vertical="center" wrapText="1"/>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49" fontId="28" fillId="22" borderId="1" xfId="3" applyNumberFormat="1" applyFill="1" applyBorder="1" applyAlignment="1" applyProtection="1">
      <alignment horizontal="center" vertical="center" wrapText="1"/>
      <protection locked="0"/>
    </xf>
    <xf numFmtId="49" fontId="28" fillId="32" borderId="1" xfId="3" applyNumberFormat="1" applyFont="1" applyFill="1" applyBorder="1" applyAlignment="1" applyProtection="1">
      <alignment horizontal="center" vertical="center" wrapText="1"/>
      <protection locked="0"/>
    </xf>
    <xf numFmtId="49" fontId="61" fillId="24" borderId="1" xfId="3" applyNumberFormat="1" applyFont="1" applyFill="1" applyBorder="1" applyAlignment="1" applyProtection="1">
      <alignment horizontal="center" vertical="center" wrapText="1"/>
      <protection locked="0"/>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49" fontId="28" fillId="23" borderId="1" xfId="3" applyNumberFormat="1" applyFill="1" applyBorder="1" applyAlignment="1" applyProtection="1">
      <alignment horizontal="center" vertical="center" wrapText="1"/>
      <protection locked="0"/>
    </xf>
    <xf numFmtId="0" fontId="99" fillId="2" borderId="10" xfId="7" applyFont="1" applyFill="1" applyBorder="1" applyAlignment="1">
      <alignment horizontal="center" vertical="center"/>
    </xf>
    <xf numFmtId="0" fontId="99" fillId="2" borderId="19" xfId="7" applyFont="1" applyFill="1" applyBorder="1" applyAlignment="1">
      <alignment horizontal="center" vertical="center"/>
    </xf>
    <xf numFmtId="0" fontId="99"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398">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17</c:v>
                </c:pt>
                <c:pt idx="1">
                  <c:v>3</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5</c:v>
                </c:pt>
                <c:pt idx="3">
                  <c:v>0</c:v>
                </c:pt>
                <c:pt idx="4">
                  <c:v>12</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17</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 totalsRowShown="0" headerRowDxfId="397" headerRowBorderDxfId="396" tableBorderDxfId="395" headerRowCellStyle="40% - Accent5" dataCellStyle="Normal 4">
  <autoFilter ref="A2:O6"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394" dataCellStyle="Normal 4"/>
    <tableColumn id="5" xr3:uid="{A7E8DB5D-2E5B-4D50-802A-7373C2649DB9}" name="Effort (in mn)" dataCellStyle="Calculation">
      <calculatedColumnFormula>SUM(F3:O6)</calculatedColumnFormula>
    </tableColumn>
    <tableColumn id="6" xr3:uid="{DD9655BE-E53F-4CA5-885B-7FC10F8D2395}" name="Ire" dataCellStyle="Normal 4"/>
    <tableColumn id="7" xr3:uid="{525D8884-0C8A-4478-BF05-7E1372CD45F9}" name="GBr" dataCellStyle="Normal 4"/>
    <tableColumn id="8" xr3:uid="{967B83B5-4BDD-455D-9479-4517937966AE}" name="VCH" dataCellStyle="Normal 4"/>
    <tableColumn id="9" xr3:uid="{B1B837F4-0787-4CAA-BD5D-A6B2F7E9368A}" name="DDU" dataCellStyle="Normal 4"/>
    <tableColumn id="10" xr3:uid="{4B029EAF-CE65-4128-A016-A786C51E5D01}" name="LAR" dataCellStyle="Normal 4"/>
    <tableColumn id="11" xr3:uid="{5B3D026C-0D6F-4D5D-949A-921EED9750D8}" name="DPU"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8" sqref="E18:P18"/>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407</v>
      </c>
    </row>
    <row r="4" spans="1:37" s="96" customFormat="1" ht="11.1" customHeight="1">
      <c r="A4" s="262" t="s">
        <v>5</v>
      </c>
      <c r="B4" s="263"/>
      <c r="C4" s="263"/>
      <c r="D4" s="263"/>
      <c r="E4" s="263"/>
      <c r="F4" s="263"/>
      <c r="G4" s="263"/>
      <c r="H4" s="263"/>
      <c r="I4" s="263"/>
      <c r="J4" s="263"/>
      <c r="K4" s="263"/>
      <c r="L4" s="263"/>
      <c r="M4" s="263"/>
      <c r="N4" s="263"/>
      <c r="O4" s="263"/>
      <c r="P4" s="263"/>
      <c r="Q4" s="264"/>
      <c r="R4" s="259" t="s">
        <v>12</v>
      </c>
      <c r="S4" s="260"/>
      <c r="T4" s="260"/>
      <c r="U4" s="260"/>
      <c r="V4" s="261"/>
      <c r="W4" s="259" t="s">
        <v>6</v>
      </c>
      <c r="X4" s="260"/>
      <c r="Y4" s="260"/>
      <c r="Z4" s="260"/>
      <c r="AA4" s="261"/>
      <c r="AB4" s="262" t="s">
        <v>136</v>
      </c>
      <c r="AC4" s="263"/>
      <c r="AD4" s="263"/>
      <c r="AE4" s="263"/>
      <c r="AF4" s="263"/>
      <c r="AG4" s="264"/>
      <c r="AH4" s="102"/>
      <c r="AI4" s="102"/>
      <c r="AJ4" s="102"/>
    </row>
    <row r="5" spans="1:37" s="103" customFormat="1" ht="12.75" customHeight="1">
      <c r="A5" s="265" t="str">
        <f ca="1" xml:space="preserve"> IFERROR(IF([3]!alvDocProperty("MXAuthority")="","272502 VW VWA VN 41S1_NAR EL SB",[3]!alvDocProperty("MXAuthority")),"272502 VW VWA VN 41S1_NAR EL SB")</f>
        <v>272502 VW VWA VN 41S1_NAR EL SB</v>
      </c>
      <c r="B5" s="266"/>
      <c r="C5" s="266"/>
      <c r="D5" s="266"/>
      <c r="E5" s="266"/>
      <c r="F5" s="266"/>
      <c r="G5" s="266"/>
      <c r="H5" s="266"/>
      <c r="I5" s="266"/>
      <c r="J5" s="266"/>
      <c r="K5" s="266"/>
      <c r="L5" s="266"/>
      <c r="M5" s="266"/>
      <c r="N5" s="266"/>
      <c r="O5" s="266"/>
      <c r="P5" s="266"/>
      <c r="Q5" s="267"/>
      <c r="R5" s="265" t="s">
        <v>404</v>
      </c>
      <c r="S5" s="266"/>
      <c r="T5" s="266"/>
      <c r="U5" s="266"/>
      <c r="V5" s="267"/>
      <c r="W5" s="265" t="str">
        <f ca="1" xml:space="preserve"> IFERROR(IF([3]!alvDocProperty("MXCurrent.Localized")="","Template released",[3]!alvDocProperty("MXCurrent.Localized")),"Template released")</f>
        <v>Template released</v>
      </c>
      <c r="X5" s="266"/>
      <c r="Y5" s="266"/>
      <c r="Z5" s="266"/>
      <c r="AA5" s="267"/>
      <c r="AB5" s="265" t="str">
        <f ca="1" xml:space="preserve"> IFERROR(IF([3]!alvDocProperty("MXActual_state_Released")="","2022-07",[3]!alvDocProperty("MXActual_state_Released")),"2022-07")</f>
        <v>2022-07</v>
      </c>
      <c r="AC5" s="266"/>
      <c r="AD5" s="266"/>
      <c r="AE5" s="266"/>
      <c r="AF5" s="266"/>
      <c r="AG5" s="267"/>
    </row>
    <row r="6" spans="1:37" s="96" customFormat="1" ht="11.1" customHeight="1">
      <c r="A6" s="259" t="s">
        <v>7</v>
      </c>
      <c r="B6" s="260"/>
      <c r="C6" s="260"/>
      <c r="D6" s="261"/>
      <c r="E6" s="259" t="s">
        <v>8</v>
      </c>
      <c r="F6" s="260"/>
      <c r="G6" s="260"/>
      <c r="H6" s="260"/>
      <c r="I6" s="260"/>
      <c r="J6" s="260"/>
      <c r="K6" s="260"/>
      <c r="L6" s="260"/>
      <c r="M6" s="260"/>
      <c r="N6" s="260"/>
      <c r="O6" s="260"/>
      <c r="P6" s="260"/>
      <c r="Q6" s="260"/>
      <c r="R6" s="260"/>
      <c r="S6" s="260"/>
      <c r="T6" s="260"/>
      <c r="U6" s="260"/>
      <c r="V6" s="261"/>
      <c r="W6" s="262" t="s">
        <v>10</v>
      </c>
      <c r="X6" s="263"/>
      <c r="Y6" s="263"/>
      <c r="Z6" s="263"/>
      <c r="AA6" s="264"/>
      <c r="AB6" s="259" t="s">
        <v>34</v>
      </c>
      <c r="AC6" s="260"/>
      <c r="AD6" s="261"/>
      <c r="AE6" s="259" t="s">
        <v>9</v>
      </c>
      <c r="AF6" s="260"/>
      <c r="AG6" s="261"/>
    </row>
    <row r="7" spans="1:37" s="103" customFormat="1" ht="12.75" customHeight="1">
      <c r="A7" s="265" t="str">
        <f ca="1" xml:space="preserve"> IFERROR(IF([3]!alvDocProperty("MXName")="","TBD",[3]!alvDocProperty("MXName")),"TBD")</f>
        <v>TBD</v>
      </c>
      <c r="B7" s="266"/>
      <c r="C7" s="266"/>
      <c r="D7" s="267"/>
      <c r="E7" s="265" t="str">
        <f ca="1" xml:space="preserve"> IFERROR(IF([3]!alvDocProperty("MXTitle")="","ATM - Peer Review Workbook (PRWB)",[3]!alvDocProperty("MXTitle")),"ATM - Peer Review Workbook (PRWB)")</f>
        <v>EFX - Peer Review Workbook (PRWB)</v>
      </c>
      <c r="F7" s="266"/>
      <c r="G7" s="266"/>
      <c r="H7" s="266"/>
      <c r="I7" s="266"/>
      <c r="J7" s="266"/>
      <c r="K7" s="266"/>
      <c r="L7" s="266"/>
      <c r="M7" s="266"/>
      <c r="N7" s="266"/>
      <c r="O7" s="266"/>
      <c r="P7" s="266"/>
      <c r="Q7" s="266"/>
      <c r="R7" s="266"/>
      <c r="S7" s="266"/>
      <c r="T7" s="266"/>
      <c r="U7" s="266"/>
      <c r="V7" s="267"/>
      <c r="W7" s="268" t="str">
        <f ca="1" xml:space="preserve"> IFERROR(IF([3]!alvDocProperty("MXDocTemplate_Name")="","AEF1007",[3]!alvDocProperty("MXDocTemplate_Name")),"AEF1007")</f>
        <v>AEF1007</v>
      </c>
      <c r="X7" s="269"/>
      <c r="Y7" s="269"/>
      <c r="Z7" s="269"/>
      <c r="AA7" s="270"/>
      <c r="AB7" s="265" t="str">
        <f ca="1" xml:space="preserve"> IFERROR(IF([3]!alvDocProperty("MXRevision")="","TBD",[3]!alvDocProperty("MXRevision")),"TBD")</f>
        <v>TBD</v>
      </c>
      <c r="AC7" s="266"/>
      <c r="AD7" s="267"/>
      <c r="AE7" s="265">
        <v>1.6</v>
      </c>
      <c r="AF7" s="266"/>
      <c r="AG7" s="267"/>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32" t="s">
        <v>60</v>
      </c>
      <c r="B9" s="233"/>
      <c r="C9" s="233"/>
      <c r="D9" s="233"/>
      <c r="E9" s="233"/>
      <c r="F9" s="233"/>
      <c r="G9" s="233"/>
      <c r="H9" s="233"/>
      <c r="I9" s="233"/>
      <c r="J9" s="233"/>
      <c r="K9" s="234"/>
      <c r="L9" s="232" t="s">
        <v>12</v>
      </c>
      <c r="M9" s="233"/>
      <c r="N9" s="233"/>
      <c r="O9" s="233"/>
      <c r="P9" s="233"/>
      <c r="Q9" s="233"/>
      <c r="R9" s="233"/>
      <c r="S9" s="233"/>
      <c r="T9" s="233"/>
      <c r="U9" s="233"/>
      <c r="V9" s="234"/>
      <c r="W9" s="232" t="s">
        <v>17</v>
      </c>
      <c r="X9" s="233"/>
      <c r="Y9" s="233"/>
      <c r="Z9" s="233"/>
      <c r="AA9" s="233"/>
      <c r="AB9" s="233"/>
      <c r="AC9" s="233"/>
      <c r="AD9" s="233"/>
      <c r="AE9" s="233"/>
      <c r="AF9" s="233"/>
      <c r="AG9" s="234"/>
    </row>
    <row r="10" spans="1:37" s="107" customFormat="1" ht="39" customHeight="1">
      <c r="A10" s="235" t="s">
        <v>137</v>
      </c>
      <c r="B10" s="236"/>
      <c r="C10" s="236"/>
      <c r="D10" s="236"/>
      <c r="E10" s="236"/>
      <c r="F10" s="237" t="str">
        <f ca="1" xml:space="preserve"> IFERROR(IF([3]!alvDocProperty("MXUser")="","Vlad Chiovenau",[3]!alvDocProperty("MXUser")),"Invalid")</f>
        <v>Ioan Repede</v>
      </c>
      <c r="G10" s="237"/>
      <c r="H10" s="237"/>
      <c r="I10" s="237"/>
      <c r="J10" s="237"/>
      <c r="K10" s="238"/>
      <c r="L10" s="239" t="s">
        <v>138</v>
      </c>
      <c r="M10" s="240"/>
      <c r="N10" s="240"/>
      <c r="O10" s="240"/>
      <c r="P10" s="240"/>
      <c r="Q10" s="240"/>
      <c r="R10" s="240"/>
      <c r="S10" s="240"/>
      <c r="T10" s="240"/>
      <c r="U10" s="240"/>
      <c r="V10" s="241"/>
      <c r="W10" s="239" t="s">
        <v>138</v>
      </c>
      <c r="X10" s="240"/>
      <c r="Y10" s="240"/>
      <c r="Z10" s="240"/>
      <c r="AA10" s="240"/>
      <c r="AB10" s="240"/>
      <c r="AC10" s="240"/>
      <c r="AD10" s="240"/>
      <c r="AE10" s="240"/>
      <c r="AF10" s="240"/>
      <c r="AG10" s="241"/>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42" t="s">
        <v>139</v>
      </c>
      <c r="B12" s="243"/>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4"/>
    </row>
    <row r="13" spans="1:37" s="107" customFormat="1" ht="28.5" customHeight="1">
      <c r="A13" s="245" t="s">
        <v>140</v>
      </c>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7"/>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48" t="s">
        <v>141</v>
      </c>
      <c r="B15" s="248"/>
      <c r="C15" s="248"/>
      <c r="D15" s="248"/>
      <c r="E15" s="250"/>
      <c r="F15" s="251"/>
      <c r="G15" s="251"/>
      <c r="H15" s="251"/>
      <c r="I15" s="251"/>
      <c r="J15" s="251"/>
      <c r="K15" s="251"/>
      <c r="L15" s="251"/>
      <c r="M15" s="251"/>
      <c r="N15" s="251"/>
      <c r="O15" s="251"/>
      <c r="P15" s="251"/>
      <c r="Q15" s="251"/>
      <c r="R15" s="251"/>
      <c r="S15" s="251"/>
      <c r="T15" s="251"/>
      <c r="U15" s="251"/>
      <c r="V15" s="251"/>
      <c r="W15" s="251"/>
      <c r="X15" s="251"/>
      <c r="Y15" s="251"/>
      <c r="Z15" s="251"/>
      <c r="AA15" s="251"/>
      <c r="AB15" s="251"/>
      <c r="AC15" s="251"/>
      <c r="AD15" s="251"/>
      <c r="AE15" s="251"/>
      <c r="AF15" s="251"/>
      <c r="AG15" s="252"/>
    </row>
    <row r="16" spans="1:37" ht="37.5" customHeight="1">
      <c r="A16" s="249"/>
      <c r="B16" s="249"/>
      <c r="C16" s="249"/>
      <c r="D16" s="249"/>
      <c r="E16" s="253"/>
      <c r="F16" s="254"/>
      <c r="G16" s="254"/>
      <c r="H16" s="254"/>
      <c r="I16" s="254"/>
      <c r="J16" s="254"/>
      <c r="K16" s="254"/>
      <c r="L16" s="254"/>
      <c r="M16" s="254"/>
      <c r="N16" s="254"/>
      <c r="O16" s="254"/>
      <c r="P16" s="254"/>
      <c r="Q16" s="254"/>
      <c r="R16" s="254"/>
      <c r="S16" s="254"/>
      <c r="T16" s="254"/>
      <c r="U16" s="254"/>
      <c r="V16" s="254"/>
      <c r="W16" s="254"/>
      <c r="X16" s="254"/>
      <c r="Y16" s="254"/>
      <c r="Z16" s="254"/>
      <c r="AA16" s="254"/>
      <c r="AB16" s="254"/>
      <c r="AC16" s="254"/>
      <c r="AD16" s="254"/>
      <c r="AE16" s="254"/>
      <c r="AF16" s="254"/>
      <c r="AG16" s="255"/>
    </row>
    <row r="17" spans="1:33">
      <c r="A17" s="112"/>
    </row>
    <row r="18" spans="1:33" ht="26.25" customHeight="1">
      <c r="A18" s="256" t="s">
        <v>293</v>
      </c>
      <c r="B18" s="257"/>
      <c r="C18" s="257"/>
      <c r="D18" s="257"/>
      <c r="E18" s="258" t="s">
        <v>292</v>
      </c>
      <c r="F18" s="258"/>
      <c r="G18" s="258"/>
      <c r="H18" s="258"/>
      <c r="I18" s="258"/>
      <c r="J18" s="258"/>
      <c r="K18" s="258"/>
      <c r="L18" s="258"/>
      <c r="M18" s="258"/>
      <c r="N18" s="258"/>
      <c r="O18" s="258"/>
      <c r="P18" s="258"/>
    </row>
    <row r="19" spans="1:33"/>
    <row r="20" spans="1:33"/>
    <row r="21" spans="1:33" ht="15.75" customHeight="1">
      <c r="Q21" s="113"/>
    </row>
    <row r="22" spans="1:33" ht="12" customHeight="1">
      <c r="Q22" s="113"/>
    </row>
    <row r="23" spans="1:33" ht="60" customHeight="1">
      <c r="A23" s="230" t="str">
        <f ca="1">MXTitle</f>
        <v>EFX - Peer Review Workbook (PRWB)</v>
      </c>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2" type="noConversion"/>
  <conditionalFormatting sqref="W5">
    <cfRule type="cellIs" dxfId="393" priority="21" operator="equal">
      <formula>"draft"</formula>
    </cfRule>
  </conditionalFormatting>
  <conditionalFormatting sqref="W5:AA5">
    <cfRule type="cellIs" dxfId="392" priority="1" operator="equal">
      <formula>"In-Work"</formula>
    </cfRule>
    <cfRule type="cellIs" dxfId="391" priority="2" stopIfTrue="1" operator="equal">
      <formula>"draft"</formula>
    </cfRule>
    <cfRule type="cellIs" dxfId="390" priority="3" operator="equal">
      <formula>"In-Work"</formula>
    </cfRule>
    <cfRule type="cellIs" dxfId="389" priority="4" stopIfTrue="1" operator="equal">
      <formula>"draft"</formula>
    </cfRule>
    <cfRule type="cellIs" dxfId="388" priority="5" operator="equal">
      <formula>"In-Work"</formula>
    </cfRule>
    <cfRule type="cellIs" dxfId="387" priority="6" stopIfTrue="1" operator="equal">
      <formula>"draft"</formula>
    </cfRule>
    <cfRule type="cellIs" dxfId="386" priority="7" operator="equal">
      <formula>"In-Work"</formula>
    </cfRule>
    <cfRule type="cellIs" dxfId="385" priority="8" stopIfTrue="1" operator="equal">
      <formula>"draft"</formula>
    </cfRule>
    <cfRule type="cellIs" dxfId="384" priority="9" operator="equal">
      <formula>"In-Work"</formula>
    </cfRule>
    <cfRule type="cellIs" dxfId="383" priority="10" stopIfTrue="1" operator="equal">
      <formula>"draft"</formula>
    </cfRule>
    <cfRule type="cellIs" dxfId="382" priority="11" operator="equal">
      <formula>"In-Work"</formula>
    </cfRule>
    <cfRule type="cellIs" dxfId="381" priority="12" stopIfTrue="1" operator="equal">
      <formula>"draft"</formula>
    </cfRule>
    <cfRule type="cellIs" dxfId="380" priority="13" operator="equal">
      <formula>"In-Work"</formula>
    </cfRule>
    <cfRule type="cellIs" dxfId="379" priority="14" stopIfTrue="1" operator="equal">
      <formula>"draft"</formula>
    </cfRule>
    <cfRule type="cellIs" dxfId="378" priority="15" operator="equal">
      <formula>"In-Work"</formula>
    </cfRule>
    <cfRule type="cellIs" dxfId="377" priority="16" stopIfTrue="1" operator="equal">
      <formula>"draft"</formula>
    </cfRule>
    <cfRule type="cellIs" dxfId="376" priority="17" operator="equal">
      <formula>"In-Work"</formula>
    </cfRule>
    <cfRule type="cellIs" dxfId="375" priority="18" stopIfTrue="1" operator="equal">
      <formula>"draft"</formula>
    </cfRule>
    <cfRule type="cellIs" dxfId="374" priority="19" operator="equal">
      <formula>"In-Work"</formula>
    </cfRule>
    <cfRule type="cellIs" dxfId="373"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election activeCell="AH7" sqref="AH7"/>
    </sheetView>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EFX - Peer Review Workbook.xlsm</v>
      </c>
      <c r="AE3" s="96"/>
      <c r="AF3" s="96"/>
      <c r="AG3" s="96"/>
      <c r="AH3" s="96"/>
    </row>
    <row r="4" spans="1:34">
      <c r="A4" s="262" t="s">
        <v>5</v>
      </c>
      <c r="B4" s="263"/>
      <c r="C4" s="263"/>
      <c r="D4" s="263"/>
      <c r="E4" s="263"/>
      <c r="F4" s="263"/>
      <c r="G4" s="263"/>
      <c r="H4" s="263"/>
      <c r="I4" s="263"/>
      <c r="J4" s="263"/>
      <c r="K4" s="263"/>
      <c r="L4" s="263"/>
      <c r="M4" s="263"/>
      <c r="N4" s="263"/>
      <c r="O4" s="263"/>
      <c r="P4" s="263"/>
      <c r="Q4" s="263"/>
      <c r="R4" s="263"/>
      <c r="S4" s="263"/>
      <c r="T4" s="263"/>
      <c r="U4" s="263"/>
      <c r="V4" s="264"/>
      <c r="W4" s="301" t="s">
        <v>6</v>
      </c>
      <c r="X4" s="302"/>
      <c r="Y4" s="302"/>
      <c r="Z4" s="302"/>
      <c r="AA4" s="303"/>
      <c r="AB4" s="262" t="s">
        <v>136</v>
      </c>
      <c r="AC4" s="263"/>
      <c r="AD4" s="263"/>
      <c r="AE4" s="263"/>
      <c r="AF4" s="263"/>
      <c r="AG4" s="264"/>
      <c r="AH4" s="102"/>
    </row>
    <row r="5" spans="1:34">
      <c r="A5" s="268" t="s">
        <v>204</v>
      </c>
      <c r="B5" s="269"/>
      <c r="C5" s="269"/>
      <c r="D5" s="269"/>
      <c r="E5" s="269"/>
      <c r="F5" s="269"/>
      <c r="G5" s="269"/>
      <c r="H5" s="269"/>
      <c r="I5" s="269"/>
      <c r="J5" s="269"/>
      <c r="K5" s="269"/>
      <c r="L5" s="269"/>
      <c r="M5" s="269"/>
      <c r="N5" s="269"/>
      <c r="O5" s="269"/>
      <c r="P5" s="269"/>
      <c r="Q5" s="269"/>
      <c r="R5" s="269"/>
      <c r="S5" s="269"/>
      <c r="T5" s="269"/>
      <c r="U5" s="269"/>
      <c r="V5" s="270"/>
      <c r="W5" s="304" t="s">
        <v>203</v>
      </c>
      <c r="X5" s="305"/>
      <c r="Y5" s="305"/>
      <c r="Z5" s="305"/>
      <c r="AA5" s="306"/>
      <c r="AB5" s="268" t="s">
        <v>202</v>
      </c>
      <c r="AC5" s="269"/>
      <c r="AD5" s="269"/>
      <c r="AE5" s="269"/>
      <c r="AF5" s="269"/>
      <c r="AG5" s="270"/>
      <c r="AH5" s="103"/>
    </row>
    <row r="6" spans="1:34">
      <c r="A6" s="293" t="s">
        <v>7</v>
      </c>
      <c r="B6" s="294"/>
      <c r="C6" s="294"/>
      <c r="D6" s="295"/>
      <c r="E6" s="293" t="s">
        <v>8</v>
      </c>
      <c r="F6" s="294"/>
      <c r="G6" s="294"/>
      <c r="H6" s="294"/>
      <c r="I6" s="294"/>
      <c r="J6" s="294"/>
      <c r="K6" s="294"/>
      <c r="L6" s="294"/>
      <c r="M6" s="294"/>
      <c r="N6" s="294"/>
      <c r="O6" s="294"/>
      <c r="P6" s="294"/>
      <c r="Q6" s="294"/>
      <c r="R6" s="294"/>
      <c r="S6" s="294"/>
      <c r="T6" s="294"/>
      <c r="U6" s="294"/>
      <c r="V6" s="295"/>
      <c r="W6" s="262" t="s">
        <v>10</v>
      </c>
      <c r="X6" s="263"/>
      <c r="Y6" s="263"/>
      <c r="Z6" s="263"/>
      <c r="AA6" s="264"/>
      <c r="AB6" s="301" t="s">
        <v>34</v>
      </c>
      <c r="AC6" s="302"/>
      <c r="AD6" s="303"/>
      <c r="AE6" s="301" t="s">
        <v>9</v>
      </c>
      <c r="AF6" s="302"/>
      <c r="AG6" s="303"/>
      <c r="AH6" s="96"/>
    </row>
    <row r="7" spans="1:34">
      <c r="A7" s="304" t="s">
        <v>201</v>
      </c>
      <c r="B7" s="305"/>
      <c r="C7" s="305"/>
      <c r="D7" s="306"/>
      <c r="E7" s="304" t="s">
        <v>206</v>
      </c>
      <c r="F7" s="305"/>
      <c r="G7" s="305"/>
      <c r="H7" s="305"/>
      <c r="I7" s="305"/>
      <c r="J7" s="305"/>
      <c r="K7" s="305"/>
      <c r="L7" s="305"/>
      <c r="M7" s="305"/>
      <c r="N7" s="305"/>
      <c r="O7" s="305"/>
      <c r="P7" s="305"/>
      <c r="Q7" s="305"/>
      <c r="R7" s="305"/>
      <c r="S7" s="305"/>
      <c r="T7" s="305"/>
      <c r="U7" s="305"/>
      <c r="V7" s="306"/>
      <c r="W7" s="304" t="str">
        <f ca="1">TemplateRef</f>
        <v>AEF1007</v>
      </c>
      <c r="X7" s="305"/>
      <c r="Y7" s="305"/>
      <c r="Z7" s="305"/>
      <c r="AA7" s="306"/>
      <c r="AB7" s="304" t="s">
        <v>205</v>
      </c>
      <c r="AC7" s="305"/>
      <c r="AD7" s="306"/>
      <c r="AE7" s="304" t="s">
        <v>205</v>
      </c>
      <c r="AF7" s="305"/>
      <c r="AG7" s="306"/>
      <c r="AH7" s="103"/>
    </row>
    <row r="8" spans="1:34">
      <c r="A8" s="293" t="s">
        <v>142</v>
      </c>
      <c r="B8" s="294"/>
      <c r="C8" s="294"/>
      <c r="D8" s="294"/>
      <c r="E8" s="294"/>
      <c r="F8" s="294"/>
      <c r="G8" s="294"/>
      <c r="H8" s="294"/>
      <c r="I8" s="294"/>
      <c r="J8" s="294"/>
      <c r="K8" s="294"/>
      <c r="L8" s="294"/>
      <c r="M8" s="294"/>
      <c r="N8" s="294"/>
      <c r="O8" s="294"/>
      <c r="P8" s="294"/>
      <c r="Q8" s="294"/>
      <c r="R8" s="294"/>
      <c r="S8" s="294"/>
      <c r="T8" s="294"/>
      <c r="U8" s="294"/>
      <c r="V8" s="294"/>
      <c r="W8" s="294"/>
      <c r="X8" s="294"/>
      <c r="Y8" s="294"/>
      <c r="Z8" s="294"/>
      <c r="AA8" s="294"/>
      <c r="AB8" s="294"/>
      <c r="AC8" s="294"/>
      <c r="AD8" s="294"/>
      <c r="AE8" s="294"/>
      <c r="AF8" s="294"/>
      <c r="AG8" s="295"/>
      <c r="AH8" s="106"/>
    </row>
    <row r="9" spans="1:34">
      <c r="A9" s="296" t="s">
        <v>143</v>
      </c>
      <c r="B9" s="297"/>
      <c r="C9" s="297"/>
      <c r="D9" s="297"/>
      <c r="E9" s="297"/>
      <c r="F9" s="297"/>
      <c r="G9" s="297"/>
      <c r="H9" s="297"/>
      <c r="I9" s="297"/>
      <c r="J9" s="297"/>
      <c r="K9" s="297"/>
      <c r="L9" s="297"/>
      <c r="M9" s="297"/>
      <c r="N9" s="297"/>
      <c r="O9" s="297"/>
      <c r="P9" s="297"/>
      <c r="Q9" s="297"/>
      <c r="R9" s="297"/>
      <c r="S9" s="297"/>
      <c r="T9" s="297"/>
      <c r="U9" s="297"/>
      <c r="V9" s="297"/>
      <c r="W9" s="297"/>
      <c r="X9" s="297"/>
      <c r="Y9" s="297"/>
      <c r="Z9" s="297"/>
      <c r="AA9" s="297"/>
      <c r="AB9" s="297"/>
      <c r="AC9" s="297"/>
      <c r="AD9" s="297"/>
      <c r="AE9" s="297"/>
      <c r="AF9" s="297"/>
      <c r="AG9" s="298"/>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81" t="s">
        <v>146</v>
      </c>
      <c r="C15" s="299"/>
      <c r="D15" s="299"/>
      <c r="E15" s="299"/>
      <c r="F15" s="299"/>
      <c r="G15" s="281" t="s">
        <v>147</v>
      </c>
      <c r="H15" s="281"/>
      <c r="I15" s="281"/>
      <c r="J15" s="281"/>
      <c r="K15" s="281"/>
      <c r="L15" s="281"/>
      <c r="M15" s="281"/>
      <c r="N15" s="281"/>
      <c r="O15" s="281"/>
      <c r="P15" s="281"/>
      <c r="Q15" s="281"/>
      <c r="R15" s="281"/>
      <c r="S15" s="281"/>
      <c r="T15" s="281"/>
      <c r="U15" s="281"/>
      <c r="V15" s="281"/>
      <c r="W15" s="281"/>
      <c r="X15" s="281"/>
      <c r="Y15" s="281"/>
      <c r="Z15" s="281"/>
      <c r="AA15" s="281"/>
      <c r="AB15" s="281"/>
      <c r="AC15" s="281"/>
      <c r="AD15" s="281"/>
      <c r="AE15" s="281"/>
      <c r="AF15" s="281"/>
      <c r="AG15" s="106"/>
      <c r="AH15" s="106"/>
    </row>
    <row r="16" spans="1:34" ht="55.5" customHeight="1">
      <c r="A16" s="106"/>
      <c r="B16" s="300" t="s">
        <v>148</v>
      </c>
      <c r="C16" s="300"/>
      <c r="D16" s="300"/>
      <c r="E16" s="300"/>
      <c r="F16" s="300"/>
      <c r="G16" s="278" t="s">
        <v>149</v>
      </c>
      <c r="H16" s="278"/>
      <c r="I16" s="278"/>
      <c r="J16" s="278"/>
      <c r="K16" s="278"/>
      <c r="L16" s="278"/>
      <c r="M16" s="278"/>
      <c r="N16" s="278"/>
      <c r="O16" s="278"/>
      <c r="P16" s="278"/>
      <c r="Q16" s="278"/>
      <c r="R16" s="278"/>
      <c r="S16" s="278"/>
      <c r="T16" s="278"/>
      <c r="U16" s="278"/>
      <c r="V16" s="278"/>
      <c r="W16" s="278"/>
      <c r="X16" s="278"/>
      <c r="Y16" s="278"/>
      <c r="Z16" s="278"/>
      <c r="AA16" s="278"/>
      <c r="AB16" s="278"/>
      <c r="AC16" s="278"/>
      <c r="AD16" s="278"/>
      <c r="AE16" s="278"/>
      <c r="AF16" s="278"/>
      <c r="AG16" s="106"/>
      <c r="AH16" s="106"/>
    </row>
    <row r="17" spans="1:34">
      <c r="A17" s="106"/>
      <c r="B17" s="300" t="s">
        <v>150</v>
      </c>
      <c r="C17" s="300"/>
      <c r="D17" s="300"/>
      <c r="E17" s="300"/>
      <c r="F17" s="300"/>
      <c r="G17" s="278" t="s">
        <v>151</v>
      </c>
      <c r="H17" s="278"/>
      <c r="I17" s="278"/>
      <c r="J17" s="278"/>
      <c r="K17" s="278"/>
      <c r="L17" s="278"/>
      <c r="M17" s="278"/>
      <c r="N17" s="278"/>
      <c r="O17" s="278"/>
      <c r="P17" s="278"/>
      <c r="Q17" s="278"/>
      <c r="R17" s="278"/>
      <c r="S17" s="278"/>
      <c r="T17" s="278"/>
      <c r="U17" s="278"/>
      <c r="V17" s="278"/>
      <c r="W17" s="278"/>
      <c r="X17" s="278"/>
      <c r="Y17" s="278"/>
      <c r="Z17" s="278"/>
      <c r="AA17" s="278"/>
      <c r="AB17" s="278"/>
      <c r="AC17" s="278"/>
      <c r="AD17" s="278"/>
      <c r="AE17" s="278"/>
      <c r="AF17" s="278"/>
      <c r="AG17" s="106"/>
      <c r="AH17" s="106"/>
    </row>
    <row r="18" spans="1:34" ht="15" customHeight="1">
      <c r="A18" s="106"/>
      <c r="B18" s="300" t="s">
        <v>15</v>
      </c>
      <c r="C18" s="300"/>
      <c r="D18" s="300"/>
      <c r="E18" s="300"/>
      <c r="F18" s="300"/>
      <c r="G18" s="278" t="s">
        <v>152</v>
      </c>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106"/>
      <c r="AH18" s="106"/>
    </row>
    <row r="19" spans="1:34" ht="24" customHeight="1">
      <c r="A19" s="106"/>
      <c r="B19" s="290" t="s">
        <v>187</v>
      </c>
      <c r="C19" s="290"/>
      <c r="D19" s="290"/>
      <c r="E19" s="290"/>
      <c r="F19" s="290"/>
      <c r="G19" s="278" t="s">
        <v>152</v>
      </c>
      <c r="H19" s="278"/>
      <c r="I19" s="278"/>
      <c r="J19" s="278"/>
      <c r="K19" s="278"/>
      <c r="L19" s="278"/>
      <c r="M19" s="278"/>
      <c r="N19" s="278"/>
      <c r="O19" s="278"/>
      <c r="P19" s="278"/>
      <c r="Q19" s="278"/>
      <c r="R19" s="278"/>
      <c r="S19" s="278"/>
      <c r="T19" s="278"/>
      <c r="U19" s="278"/>
      <c r="V19" s="278"/>
      <c r="W19" s="278"/>
      <c r="X19" s="278"/>
      <c r="Y19" s="278"/>
      <c r="Z19" s="278"/>
      <c r="AA19" s="278"/>
      <c r="AB19" s="278"/>
      <c r="AC19" s="278"/>
      <c r="AD19" s="278"/>
      <c r="AE19" s="278"/>
      <c r="AF19" s="278"/>
      <c r="AG19" s="106"/>
      <c r="AH19" s="106"/>
    </row>
    <row r="20" spans="1:34">
      <c r="A20" s="106"/>
      <c r="B20" s="307" t="s">
        <v>188</v>
      </c>
      <c r="C20" s="307"/>
      <c r="D20" s="307"/>
      <c r="E20" s="307"/>
      <c r="F20" s="307"/>
      <c r="G20" s="278" t="s">
        <v>152</v>
      </c>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106"/>
      <c r="AH20" s="106"/>
    </row>
    <row r="21" spans="1:34" ht="35.25" customHeight="1">
      <c r="A21" s="106"/>
      <c r="B21" s="291" t="s">
        <v>258</v>
      </c>
      <c r="C21" s="291"/>
      <c r="D21" s="291"/>
      <c r="E21" s="291"/>
      <c r="F21" s="291"/>
      <c r="G21" s="278" t="s">
        <v>259</v>
      </c>
      <c r="H21" s="278"/>
      <c r="I21" s="278"/>
      <c r="J21" s="278"/>
      <c r="K21" s="278"/>
      <c r="L21" s="278"/>
      <c r="M21" s="278"/>
      <c r="N21" s="278"/>
      <c r="O21" s="278"/>
      <c r="P21" s="278"/>
      <c r="Q21" s="278"/>
      <c r="R21" s="278"/>
      <c r="S21" s="278"/>
      <c r="T21" s="278"/>
      <c r="U21" s="278"/>
      <c r="V21" s="278"/>
      <c r="W21" s="278"/>
      <c r="X21" s="278"/>
      <c r="Y21" s="278"/>
      <c r="Z21" s="278"/>
      <c r="AA21" s="278"/>
      <c r="AB21" s="278"/>
      <c r="AC21" s="278"/>
      <c r="AD21" s="278"/>
      <c r="AE21" s="278"/>
      <c r="AF21" s="278"/>
      <c r="AG21" s="106"/>
      <c r="AH21" s="106"/>
    </row>
    <row r="22" spans="1:34" ht="28.5" customHeight="1">
      <c r="A22" s="106"/>
      <c r="B22" s="291" t="s">
        <v>260</v>
      </c>
      <c r="C22" s="291"/>
      <c r="D22" s="291"/>
      <c r="E22" s="291"/>
      <c r="F22" s="291"/>
      <c r="G22" s="278" t="s">
        <v>261</v>
      </c>
      <c r="H22" s="278"/>
      <c r="I22" s="278"/>
      <c r="J22" s="278"/>
      <c r="K22" s="278"/>
      <c r="L22" s="278"/>
      <c r="M22" s="278"/>
      <c r="N22" s="278"/>
      <c r="O22" s="278"/>
      <c r="P22" s="278"/>
      <c r="Q22" s="278"/>
      <c r="R22" s="278"/>
      <c r="S22" s="278"/>
      <c r="T22" s="278"/>
      <c r="U22" s="278"/>
      <c r="V22" s="278"/>
      <c r="W22" s="278"/>
      <c r="X22" s="278"/>
      <c r="Y22" s="278"/>
      <c r="Z22" s="278"/>
      <c r="AA22" s="278"/>
      <c r="AB22" s="278"/>
      <c r="AC22" s="278"/>
      <c r="AD22" s="278"/>
      <c r="AE22" s="278"/>
      <c r="AF22" s="278"/>
      <c r="AG22" s="106"/>
      <c r="AH22" s="106"/>
    </row>
    <row r="23" spans="1:34" ht="22.5" customHeight="1">
      <c r="A23" s="106"/>
      <c r="B23" s="291" t="s">
        <v>262</v>
      </c>
      <c r="C23" s="291"/>
      <c r="D23" s="291"/>
      <c r="E23" s="291"/>
      <c r="F23" s="291"/>
      <c r="G23" s="278" t="s">
        <v>263</v>
      </c>
      <c r="H23" s="278"/>
      <c r="I23" s="278"/>
      <c r="J23" s="278"/>
      <c r="K23" s="278"/>
      <c r="L23" s="278"/>
      <c r="M23" s="278"/>
      <c r="N23" s="278"/>
      <c r="O23" s="278"/>
      <c r="P23" s="278"/>
      <c r="Q23" s="278"/>
      <c r="R23" s="278"/>
      <c r="S23" s="278"/>
      <c r="T23" s="278"/>
      <c r="U23" s="278"/>
      <c r="V23" s="278"/>
      <c r="W23" s="278"/>
      <c r="X23" s="278"/>
      <c r="Y23" s="278"/>
      <c r="Z23" s="278"/>
      <c r="AA23" s="278"/>
      <c r="AB23" s="278"/>
      <c r="AC23" s="278"/>
      <c r="AD23" s="278"/>
      <c r="AE23" s="278"/>
      <c r="AF23" s="278"/>
      <c r="AG23" s="106"/>
      <c r="AH23" s="106"/>
    </row>
    <row r="24" spans="1:34" ht="45" customHeight="1">
      <c r="A24" s="106"/>
      <c r="B24" s="292" t="s">
        <v>189</v>
      </c>
      <c r="C24" s="292"/>
      <c r="D24" s="292"/>
      <c r="E24" s="292"/>
      <c r="F24" s="292"/>
      <c r="G24" s="278" t="s">
        <v>290</v>
      </c>
      <c r="H24" s="278"/>
      <c r="I24" s="278"/>
      <c r="J24" s="278"/>
      <c r="K24" s="278"/>
      <c r="L24" s="278"/>
      <c r="M24" s="278"/>
      <c r="N24" s="278"/>
      <c r="O24" s="278"/>
      <c r="P24" s="278"/>
      <c r="Q24" s="278"/>
      <c r="R24" s="278"/>
      <c r="S24" s="278"/>
      <c r="T24" s="278"/>
      <c r="U24" s="278"/>
      <c r="V24" s="278"/>
      <c r="W24" s="278"/>
      <c r="X24" s="278"/>
      <c r="Y24" s="278"/>
      <c r="Z24" s="278"/>
      <c r="AA24" s="278"/>
      <c r="AB24" s="278"/>
      <c r="AC24" s="278"/>
      <c r="AD24" s="278"/>
      <c r="AE24" s="278"/>
      <c r="AF24" s="278"/>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81" t="s">
        <v>34</v>
      </c>
      <c r="C27" s="283"/>
      <c r="D27" s="283"/>
      <c r="E27" s="281" t="s">
        <v>92</v>
      </c>
      <c r="F27" s="281"/>
      <c r="G27" s="281"/>
      <c r="H27" s="281"/>
      <c r="I27" s="281" t="s">
        <v>154</v>
      </c>
      <c r="J27" s="283"/>
      <c r="K27" s="283"/>
      <c r="L27" s="283"/>
      <c r="M27" s="283"/>
      <c r="N27" s="283"/>
      <c r="O27" s="283"/>
      <c r="P27" s="283"/>
      <c r="Q27" s="283"/>
      <c r="R27" s="281" t="s">
        <v>155</v>
      </c>
      <c r="S27" s="281"/>
      <c r="T27" s="281"/>
      <c r="U27" s="281"/>
      <c r="V27" s="281"/>
      <c r="W27" s="281"/>
      <c r="X27" s="281"/>
      <c r="Y27" s="281"/>
      <c r="Z27" s="281"/>
      <c r="AA27" s="281"/>
      <c r="AB27" s="281"/>
      <c r="AC27" s="281"/>
      <c r="AD27" s="281"/>
      <c r="AE27" s="281"/>
      <c r="AF27" s="281"/>
      <c r="AG27" s="106"/>
      <c r="AH27" s="106"/>
    </row>
    <row r="28" spans="1:34" ht="40.5" customHeight="1">
      <c r="A28" s="106"/>
      <c r="B28" s="271" t="s">
        <v>336</v>
      </c>
      <c r="C28" s="272" t="s">
        <v>3</v>
      </c>
      <c r="D28" s="273" t="s">
        <v>3</v>
      </c>
      <c r="E28" s="284"/>
      <c r="F28" s="285"/>
      <c r="G28" s="285"/>
      <c r="H28" s="286"/>
      <c r="I28" s="278"/>
      <c r="J28" s="287"/>
      <c r="K28" s="287"/>
      <c r="L28" s="287"/>
      <c r="M28" s="287"/>
      <c r="N28" s="287"/>
      <c r="O28" s="287"/>
      <c r="P28" s="287"/>
      <c r="Q28" s="287"/>
      <c r="R28" s="278" t="s">
        <v>14</v>
      </c>
      <c r="S28" s="278" t="s">
        <v>14</v>
      </c>
      <c r="T28" s="278" t="s">
        <v>14</v>
      </c>
      <c r="U28" s="278" t="s">
        <v>14</v>
      </c>
      <c r="V28" s="278" t="s">
        <v>14</v>
      </c>
      <c r="W28" s="278" t="s">
        <v>14</v>
      </c>
      <c r="X28" s="278" t="s">
        <v>14</v>
      </c>
      <c r="Y28" s="278" t="s">
        <v>14</v>
      </c>
      <c r="Z28" s="278" t="s">
        <v>14</v>
      </c>
      <c r="AA28" s="278" t="s">
        <v>14</v>
      </c>
      <c r="AB28" s="278" t="s">
        <v>14</v>
      </c>
      <c r="AC28" s="278" t="s">
        <v>14</v>
      </c>
      <c r="AD28" s="278" t="s">
        <v>14</v>
      </c>
      <c r="AE28" s="278" t="s">
        <v>14</v>
      </c>
      <c r="AF28" s="278" t="s">
        <v>14</v>
      </c>
      <c r="AG28" s="106"/>
      <c r="AH28" s="106"/>
    </row>
    <row r="29" spans="1:34" ht="60" customHeight="1">
      <c r="A29" s="106"/>
      <c r="B29" s="271" t="s">
        <v>18</v>
      </c>
      <c r="C29" s="272" t="s">
        <v>18</v>
      </c>
      <c r="D29" s="273" t="s">
        <v>18</v>
      </c>
      <c r="E29" s="284">
        <v>40591.490486111114</v>
      </c>
      <c r="F29" s="285">
        <v>40591.490486111114</v>
      </c>
      <c r="G29" s="285">
        <v>40591.490486111114</v>
      </c>
      <c r="H29" s="286">
        <v>40591.490486111114</v>
      </c>
      <c r="I29" s="278" t="s">
        <v>4</v>
      </c>
      <c r="J29" s="287" t="s">
        <v>4</v>
      </c>
      <c r="K29" s="287" t="s">
        <v>4</v>
      </c>
      <c r="L29" s="287" t="s">
        <v>4</v>
      </c>
      <c r="M29" s="287" t="s">
        <v>4</v>
      </c>
      <c r="N29" s="287" t="s">
        <v>4</v>
      </c>
      <c r="O29" s="287" t="s">
        <v>4</v>
      </c>
      <c r="P29" s="287" t="s">
        <v>4</v>
      </c>
      <c r="Q29" s="287" t="s">
        <v>4</v>
      </c>
      <c r="R29" s="278" t="s">
        <v>35</v>
      </c>
      <c r="S29" s="278" t="s">
        <v>35</v>
      </c>
      <c r="T29" s="278" t="s">
        <v>35</v>
      </c>
      <c r="U29" s="278" t="s">
        <v>35</v>
      </c>
      <c r="V29" s="278" t="s">
        <v>35</v>
      </c>
      <c r="W29" s="278" t="s">
        <v>35</v>
      </c>
      <c r="X29" s="278" t="s">
        <v>35</v>
      </c>
      <c r="Y29" s="278" t="s">
        <v>35</v>
      </c>
      <c r="Z29" s="278" t="s">
        <v>35</v>
      </c>
      <c r="AA29" s="278" t="s">
        <v>35</v>
      </c>
      <c r="AB29" s="278" t="s">
        <v>35</v>
      </c>
      <c r="AC29" s="278" t="s">
        <v>35</v>
      </c>
      <c r="AD29" s="278" t="s">
        <v>35</v>
      </c>
      <c r="AE29" s="278" t="s">
        <v>35</v>
      </c>
      <c r="AF29" s="278" t="s">
        <v>35</v>
      </c>
      <c r="AG29" s="106"/>
      <c r="AH29" s="106"/>
    </row>
    <row r="30" spans="1:34" ht="291" customHeight="1">
      <c r="A30" s="106"/>
      <c r="B30" s="271" t="s">
        <v>98</v>
      </c>
      <c r="C30" s="272" t="s">
        <v>98</v>
      </c>
      <c r="D30" s="273" t="s">
        <v>98</v>
      </c>
      <c r="E30" s="284">
        <v>41071.656145833331</v>
      </c>
      <c r="F30" s="285">
        <v>41071.656145833331</v>
      </c>
      <c r="G30" s="285">
        <v>41071.656145833331</v>
      </c>
      <c r="H30" s="286">
        <v>41071.656145833331</v>
      </c>
      <c r="I30" s="278" t="s">
        <v>4</v>
      </c>
      <c r="J30" s="287" t="s">
        <v>4</v>
      </c>
      <c r="K30" s="287" t="s">
        <v>4</v>
      </c>
      <c r="L30" s="287" t="s">
        <v>4</v>
      </c>
      <c r="M30" s="287" t="s">
        <v>4</v>
      </c>
      <c r="N30" s="287" t="s">
        <v>4</v>
      </c>
      <c r="O30" s="287" t="s">
        <v>4</v>
      </c>
      <c r="P30" s="287" t="s">
        <v>4</v>
      </c>
      <c r="Q30" s="287" t="s">
        <v>4</v>
      </c>
      <c r="R30" s="278" t="s">
        <v>129</v>
      </c>
      <c r="S30" s="278" t="s">
        <v>129</v>
      </c>
      <c r="T30" s="278" t="s">
        <v>129</v>
      </c>
      <c r="U30" s="278" t="s">
        <v>129</v>
      </c>
      <c r="V30" s="278" t="s">
        <v>129</v>
      </c>
      <c r="W30" s="278" t="s">
        <v>129</v>
      </c>
      <c r="X30" s="278" t="s">
        <v>129</v>
      </c>
      <c r="Y30" s="278" t="s">
        <v>129</v>
      </c>
      <c r="Z30" s="278" t="s">
        <v>129</v>
      </c>
      <c r="AA30" s="278" t="s">
        <v>129</v>
      </c>
      <c r="AB30" s="278" t="s">
        <v>129</v>
      </c>
      <c r="AC30" s="278" t="s">
        <v>129</v>
      </c>
      <c r="AD30" s="278" t="s">
        <v>129</v>
      </c>
      <c r="AE30" s="278" t="s">
        <v>129</v>
      </c>
      <c r="AF30" s="278" t="s">
        <v>129</v>
      </c>
      <c r="AG30" s="106"/>
      <c r="AH30" s="106"/>
    </row>
    <row r="31" spans="1:34" ht="40.5" customHeight="1">
      <c r="A31" s="106"/>
      <c r="B31" s="271" t="s">
        <v>86</v>
      </c>
      <c r="C31" s="272" t="s">
        <v>86</v>
      </c>
      <c r="D31" s="273" t="s">
        <v>86</v>
      </c>
      <c r="E31" s="284">
        <v>41071.656145833331</v>
      </c>
      <c r="F31" s="285">
        <v>41071.656145833331</v>
      </c>
      <c r="G31" s="285">
        <v>41071.656145833331</v>
      </c>
      <c r="H31" s="286">
        <v>41071.656145833331</v>
      </c>
      <c r="I31" s="278" t="s">
        <v>87</v>
      </c>
      <c r="J31" s="287" t="s">
        <v>87</v>
      </c>
      <c r="K31" s="287" t="s">
        <v>87</v>
      </c>
      <c r="L31" s="287" t="s">
        <v>87</v>
      </c>
      <c r="M31" s="287" t="s">
        <v>87</v>
      </c>
      <c r="N31" s="287" t="s">
        <v>87</v>
      </c>
      <c r="O31" s="287" t="s">
        <v>87</v>
      </c>
      <c r="P31" s="287" t="s">
        <v>87</v>
      </c>
      <c r="Q31" s="287" t="s">
        <v>87</v>
      </c>
      <c r="R31" s="278" t="s">
        <v>100</v>
      </c>
      <c r="S31" s="278" t="s">
        <v>100</v>
      </c>
      <c r="T31" s="278" t="s">
        <v>100</v>
      </c>
      <c r="U31" s="278" t="s">
        <v>100</v>
      </c>
      <c r="V31" s="278" t="s">
        <v>100</v>
      </c>
      <c r="W31" s="278" t="s">
        <v>100</v>
      </c>
      <c r="X31" s="278" t="s">
        <v>100</v>
      </c>
      <c r="Y31" s="278" t="s">
        <v>100</v>
      </c>
      <c r="Z31" s="278" t="s">
        <v>100</v>
      </c>
      <c r="AA31" s="278" t="s">
        <v>100</v>
      </c>
      <c r="AB31" s="278" t="s">
        <v>100</v>
      </c>
      <c r="AC31" s="278" t="s">
        <v>100</v>
      </c>
      <c r="AD31" s="278" t="s">
        <v>100</v>
      </c>
      <c r="AE31" s="278" t="s">
        <v>100</v>
      </c>
      <c r="AF31" s="278" t="s">
        <v>100</v>
      </c>
      <c r="AG31" s="106"/>
      <c r="AH31" s="106"/>
    </row>
    <row r="32" spans="1:34" ht="121.5" customHeight="1">
      <c r="A32" s="106"/>
      <c r="B32" s="271"/>
      <c r="C32" s="272"/>
      <c r="D32" s="273"/>
      <c r="E32" s="284">
        <v>42195</v>
      </c>
      <c r="F32" s="285">
        <v>42195</v>
      </c>
      <c r="G32" s="285">
        <v>42195</v>
      </c>
      <c r="H32" s="286">
        <v>42195</v>
      </c>
      <c r="I32" s="278" t="s">
        <v>99</v>
      </c>
      <c r="J32" s="287" t="s">
        <v>99</v>
      </c>
      <c r="K32" s="287" t="s">
        <v>99</v>
      </c>
      <c r="L32" s="287" t="s">
        <v>99</v>
      </c>
      <c r="M32" s="287" t="s">
        <v>99</v>
      </c>
      <c r="N32" s="287" t="s">
        <v>99</v>
      </c>
      <c r="O32" s="287" t="s">
        <v>99</v>
      </c>
      <c r="P32" s="287" t="s">
        <v>99</v>
      </c>
      <c r="Q32" s="287" t="s">
        <v>99</v>
      </c>
      <c r="R32" s="278" t="s">
        <v>102</v>
      </c>
      <c r="S32" s="278" t="s">
        <v>102</v>
      </c>
      <c r="T32" s="278" t="s">
        <v>102</v>
      </c>
      <c r="U32" s="278" t="s">
        <v>102</v>
      </c>
      <c r="V32" s="278" t="s">
        <v>102</v>
      </c>
      <c r="W32" s="278" t="s">
        <v>102</v>
      </c>
      <c r="X32" s="278" t="s">
        <v>102</v>
      </c>
      <c r="Y32" s="278" t="s">
        <v>102</v>
      </c>
      <c r="Z32" s="278" t="s">
        <v>102</v>
      </c>
      <c r="AA32" s="278" t="s">
        <v>102</v>
      </c>
      <c r="AB32" s="278" t="s">
        <v>102</v>
      </c>
      <c r="AC32" s="278" t="s">
        <v>102</v>
      </c>
      <c r="AD32" s="278" t="s">
        <v>102</v>
      </c>
      <c r="AE32" s="278" t="s">
        <v>102</v>
      </c>
      <c r="AF32" s="278" t="s">
        <v>102</v>
      </c>
      <c r="AG32" s="106"/>
      <c r="AH32" s="106"/>
    </row>
    <row r="33" spans="1:34" ht="114" customHeight="1">
      <c r="A33" s="106"/>
      <c r="B33" s="271" t="s">
        <v>103</v>
      </c>
      <c r="C33" s="272" t="s">
        <v>103</v>
      </c>
      <c r="D33" s="273" t="s">
        <v>103</v>
      </c>
      <c r="E33" s="284">
        <v>42391.634837962964</v>
      </c>
      <c r="F33" s="285">
        <v>42391.634837962964</v>
      </c>
      <c r="G33" s="285">
        <v>42391.634837962964</v>
      </c>
      <c r="H33" s="286">
        <v>42391.634837962964</v>
      </c>
      <c r="I33" s="278" t="s">
        <v>104</v>
      </c>
      <c r="J33" s="287" t="s">
        <v>104</v>
      </c>
      <c r="K33" s="287" t="s">
        <v>104</v>
      </c>
      <c r="L33" s="287" t="s">
        <v>104</v>
      </c>
      <c r="M33" s="287" t="s">
        <v>104</v>
      </c>
      <c r="N33" s="287" t="s">
        <v>104</v>
      </c>
      <c r="O33" s="287" t="s">
        <v>104</v>
      </c>
      <c r="P33" s="287" t="s">
        <v>104</v>
      </c>
      <c r="Q33" s="287" t="s">
        <v>104</v>
      </c>
      <c r="R33" s="278" t="s">
        <v>128</v>
      </c>
      <c r="S33" s="278" t="s">
        <v>128</v>
      </c>
      <c r="T33" s="278" t="s">
        <v>128</v>
      </c>
      <c r="U33" s="278" t="s">
        <v>128</v>
      </c>
      <c r="V33" s="278" t="s">
        <v>128</v>
      </c>
      <c r="W33" s="278" t="s">
        <v>128</v>
      </c>
      <c r="X33" s="278" t="s">
        <v>128</v>
      </c>
      <c r="Y33" s="278" t="s">
        <v>128</v>
      </c>
      <c r="Z33" s="278" t="s">
        <v>128</v>
      </c>
      <c r="AA33" s="278" t="s">
        <v>128</v>
      </c>
      <c r="AB33" s="278" t="s">
        <v>128</v>
      </c>
      <c r="AC33" s="278" t="s">
        <v>128</v>
      </c>
      <c r="AD33" s="278" t="s">
        <v>128</v>
      </c>
      <c r="AE33" s="278" t="s">
        <v>128</v>
      </c>
      <c r="AF33" s="278" t="s">
        <v>128</v>
      </c>
      <c r="AG33" s="106"/>
      <c r="AH33" s="106"/>
    </row>
    <row r="34" spans="1:34" ht="40.5" customHeight="1">
      <c r="A34" s="106"/>
      <c r="B34" s="288" t="s">
        <v>330</v>
      </c>
      <c r="C34" s="289"/>
      <c r="D34" s="289"/>
      <c r="E34" s="284"/>
      <c r="F34" s="285"/>
      <c r="G34" s="285"/>
      <c r="H34" s="286"/>
      <c r="I34" s="278" t="s">
        <v>321</v>
      </c>
      <c r="J34" s="287"/>
      <c r="K34" s="287"/>
      <c r="L34" s="287"/>
      <c r="M34" s="287"/>
      <c r="N34" s="287"/>
      <c r="O34" s="287"/>
      <c r="P34" s="287"/>
      <c r="Q34" s="287"/>
      <c r="R34" s="278" t="s">
        <v>322</v>
      </c>
      <c r="S34" s="278"/>
      <c r="T34" s="278"/>
      <c r="U34" s="278"/>
      <c r="V34" s="278"/>
      <c r="W34" s="278"/>
      <c r="X34" s="278"/>
      <c r="Y34" s="278"/>
      <c r="Z34" s="278"/>
      <c r="AA34" s="278"/>
      <c r="AB34" s="278"/>
      <c r="AC34" s="278"/>
      <c r="AD34" s="278"/>
      <c r="AE34" s="278"/>
      <c r="AF34" s="278"/>
      <c r="AG34" s="106"/>
      <c r="AH34" s="106"/>
    </row>
    <row r="35" spans="1:34" ht="40.5" customHeight="1">
      <c r="A35" s="106"/>
      <c r="B35" s="288" t="s">
        <v>331</v>
      </c>
      <c r="C35" s="289"/>
      <c r="D35" s="289"/>
      <c r="E35" s="284"/>
      <c r="F35" s="285"/>
      <c r="G35" s="285"/>
      <c r="H35" s="286"/>
      <c r="I35" s="278" t="s">
        <v>321</v>
      </c>
      <c r="J35" s="287"/>
      <c r="K35" s="287"/>
      <c r="L35" s="287"/>
      <c r="M35" s="287"/>
      <c r="N35" s="287"/>
      <c r="O35" s="287"/>
      <c r="P35" s="287"/>
      <c r="Q35" s="287"/>
      <c r="R35" s="278" t="s">
        <v>323</v>
      </c>
      <c r="S35" s="278"/>
      <c r="T35" s="278"/>
      <c r="U35" s="278"/>
      <c r="V35" s="278"/>
      <c r="W35" s="278"/>
      <c r="X35" s="278"/>
      <c r="Y35" s="278"/>
      <c r="Z35" s="278"/>
      <c r="AA35" s="278"/>
      <c r="AB35" s="278"/>
      <c r="AC35" s="278"/>
      <c r="AD35" s="278"/>
      <c r="AE35" s="278"/>
      <c r="AF35" s="278"/>
      <c r="AG35" s="106"/>
      <c r="AH35" s="106"/>
    </row>
    <row r="36" spans="1:34" ht="40.5" customHeight="1">
      <c r="A36" s="106"/>
      <c r="B36" s="288" t="s">
        <v>332</v>
      </c>
      <c r="C36" s="289"/>
      <c r="D36" s="289"/>
      <c r="E36" s="284"/>
      <c r="F36" s="285"/>
      <c r="G36" s="285"/>
      <c r="H36" s="286"/>
      <c r="I36" s="278" t="s">
        <v>321</v>
      </c>
      <c r="J36" s="287"/>
      <c r="K36" s="287"/>
      <c r="L36" s="287"/>
      <c r="M36" s="287"/>
      <c r="N36" s="287"/>
      <c r="O36" s="287"/>
      <c r="P36" s="287"/>
      <c r="Q36" s="287"/>
      <c r="R36" s="278" t="s">
        <v>324</v>
      </c>
      <c r="S36" s="278"/>
      <c r="T36" s="278"/>
      <c r="U36" s="278"/>
      <c r="V36" s="278"/>
      <c r="W36" s="278"/>
      <c r="X36" s="278"/>
      <c r="Y36" s="278"/>
      <c r="Z36" s="278"/>
      <c r="AA36" s="278"/>
      <c r="AB36" s="278"/>
      <c r="AC36" s="278"/>
      <c r="AD36" s="278"/>
      <c r="AE36" s="278"/>
      <c r="AF36" s="278"/>
      <c r="AG36" s="106"/>
      <c r="AH36" s="106"/>
    </row>
    <row r="37" spans="1:34" ht="102" customHeight="1">
      <c r="A37" s="106"/>
      <c r="B37" s="288" t="s">
        <v>333</v>
      </c>
      <c r="C37" s="289"/>
      <c r="D37" s="289"/>
      <c r="E37" s="284"/>
      <c r="F37" s="285"/>
      <c r="G37" s="285"/>
      <c r="H37" s="286"/>
      <c r="I37" s="278" t="s">
        <v>321</v>
      </c>
      <c r="J37" s="287"/>
      <c r="K37" s="287"/>
      <c r="L37" s="287"/>
      <c r="M37" s="287"/>
      <c r="N37" s="287"/>
      <c r="O37" s="287"/>
      <c r="P37" s="287"/>
      <c r="Q37" s="287"/>
      <c r="R37" s="278" t="s">
        <v>325</v>
      </c>
      <c r="S37" s="278"/>
      <c r="T37" s="278"/>
      <c r="U37" s="278"/>
      <c r="V37" s="278"/>
      <c r="W37" s="278"/>
      <c r="X37" s="278"/>
      <c r="Y37" s="278"/>
      <c r="Z37" s="278"/>
      <c r="AA37" s="278"/>
      <c r="AB37" s="278"/>
      <c r="AC37" s="278"/>
      <c r="AD37" s="278"/>
      <c r="AE37" s="278"/>
      <c r="AF37" s="278"/>
      <c r="AG37" s="106"/>
      <c r="AH37" s="106"/>
    </row>
    <row r="38" spans="1:34" ht="217.5" customHeight="1">
      <c r="A38" s="106"/>
      <c r="B38" s="288" t="s">
        <v>334</v>
      </c>
      <c r="C38" s="289"/>
      <c r="D38" s="289"/>
      <c r="E38" s="284"/>
      <c r="F38" s="285"/>
      <c r="G38" s="285"/>
      <c r="H38" s="286"/>
      <c r="I38" s="278" t="s">
        <v>321</v>
      </c>
      <c r="J38" s="287"/>
      <c r="K38" s="287"/>
      <c r="L38" s="287"/>
      <c r="M38" s="287"/>
      <c r="N38" s="287"/>
      <c r="O38" s="287"/>
      <c r="P38" s="287"/>
      <c r="Q38" s="287"/>
      <c r="R38" s="278" t="s">
        <v>326</v>
      </c>
      <c r="S38" s="278"/>
      <c r="T38" s="278"/>
      <c r="U38" s="278"/>
      <c r="V38" s="278"/>
      <c r="W38" s="278"/>
      <c r="X38" s="278"/>
      <c r="Y38" s="278"/>
      <c r="Z38" s="278"/>
      <c r="AA38" s="278"/>
      <c r="AB38" s="278"/>
      <c r="AC38" s="278"/>
      <c r="AD38" s="278"/>
      <c r="AE38" s="278"/>
      <c r="AF38" s="278"/>
      <c r="AG38" s="106"/>
      <c r="AH38" s="106"/>
    </row>
    <row r="39" spans="1:34" ht="40.5" customHeight="1">
      <c r="A39" s="106"/>
      <c r="B39" s="288" t="s">
        <v>335</v>
      </c>
      <c r="C39" s="289"/>
      <c r="D39" s="289"/>
      <c r="E39" s="284"/>
      <c r="F39" s="285"/>
      <c r="G39" s="285"/>
      <c r="H39" s="286"/>
      <c r="I39" s="278" t="s">
        <v>321</v>
      </c>
      <c r="J39" s="287"/>
      <c r="K39" s="287"/>
      <c r="L39" s="287"/>
      <c r="M39" s="287"/>
      <c r="N39" s="287"/>
      <c r="O39" s="287"/>
      <c r="P39" s="287"/>
      <c r="Q39" s="287"/>
      <c r="R39" s="278" t="s">
        <v>327</v>
      </c>
      <c r="S39" s="278"/>
      <c r="T39" s="278"/>
      <c r="U39" s="278"/>
      <c r="V39" s="278"/>
      <c r="W39" s="278"/>
      <c r="X39" s="278"/>
      <c r="Y39" s="278"/>
      <c r="Z39" s="278"/>
      <c r="AA39" s="278"/>
      <c r="AB39" s="278"/>
      <c r="AC39" s="278"/>
      <c r="AD39" s="278"/>
      <c r="AE39" s="278"/>
      <c r="AF39" s="278"/>
      <c r="AG39" s="106"/>
      <c r="AH39" s="106"/>
    </row>
    <row r="40" spans="1:34" ht="69" customHeight="1">
      <c r="A40" s="106"/>
      <c r="B40" s="288" t="s">
        <v>329</v>
      </c>
      <c r="C40" s="289"/>
      <c r="D40" s="289"/>
      <c r="E40" s="284">
        <v>44562</v>
      </c>
      <c r="F40" s="285"/>
      <c r="G40" s="285"/>
      <c r="H40" s="286"/>
      <c r="I40" s="278" t="s">
        <v>321</v>
      </c>
      <c r="J40" s="287"/>
      <c r="K40" s="287"/>
      <c r="L40" s="287"/>
      <c r="M40" s="287"/>
      <c r="N40" s="287"/>
      <c r="O40" s="287"/>
      <c r="P40" s="287"/>
      <c r="Q40" s="287"/>
      <c r="R40" s="278" t="s">
        <v>328</v>
      </c>
      <c r="S40" s="278"/>
      <c r="T40" s="278"/>
      <c r="U40" s="278"/>
      <c r="V40" s="278"/>
      <c r="W40" s="278"/>
      <c r="X40" s="278"/>
      <c r="Y40" s="278"/>
      <c r="Z40" s="278"/>
      <c r="AA40" s="278"/>
      <c r="AB40" s="278"/>
      <c r="AC40" s="278"/>
      <c r="AD40" s="278"/>
      <c r="AE40" s="278"/>
      <c r="AF40" s="278"/>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81" t="s">
        <v>159</v>
      </c>
      <c r="C46" s="281"/>
      <c r="D46" s="281"/>
      <c r="E46" s="281" t="s">
        <v>160</v>
      </c>
      <c r="F46" s="283"/>
      <c r="G46" s="283"/>
      <c r="H46" s="283"/>
      <c r="I46" s="283"/>
      <c r="J46" s="283"/>
      <c r="K46" s="283"/>
      <c r="L46" s="283"/>
      <c r="M46" s="283"/>
      <c r="N46" s="283"/>
      <c r="O46" s="283"/>
      <c r="P46" s="283"/>
      <c r="Q46" s="283"/>
      <c r="R46" s="283"/>
      <c r="S46" s="283"/>
      <c r="T46" s="283"/>
      <c r="U46" s="283"/>
      <c r="V46" s="283"/>
      <c r="W46" s="283"/>
      <c r="X46" s="283"/>
      <c r="Y46" s="281" t="s">
        <v>161</v>
      </c>
      <c r="Z46" s="281"/>
      <c r="AA46" s="281"/>
      <c r="AB46" s="281"/>
      <c r="AC46" s="281"/>
      <c r="AD46" s="281"/>
      <c r="AE46" s="281"/>
      <c r="AF46" s="281"/>
      <c r="AG46" s="106"/>
      <c r="AH46" s="106"/>
    </row>
    <row r="47" spans="1:34">
      <c r="A47" s="106"/>
      <c r="B47" s="280"/>
      <c r="C47" s="280"/>
      <c r="D47" s="280"/>
      <c r="E47" s="278"/>
      <c r="F47" s="279"/>
      <c r="G47" s="279"/>
      <c r="H47" s="279"/>
      <c r="I47" s="279"/>
      <c r="J47" s="279"/>
      <c r="K47" s="279"/>
      <c r="L47" s="279"/>
      <c r="M47" s="279"/>
      <c r="N47" s="279"/>
      <c r="O47" s="279"/>
      <c r="P47" s="279"/>
      <c r="Q47" s="279"/>
      <c r="R47" s="279"/>
      <c r="S47" s="279"/>
      <c r="T47" s="279"/>
      <c r="U47" s="279"/>
      <c r="V47" s="279"/>
      <c r="W47" s="279"/>
      <c r="X47" s="279"/>
      <c r="Y47" s="278"/>
      <c r="Z47" s="279"/>
      <c r="AA47" s="279"/>
      <c r="AB47" s="279"/>
      <c r="AC47" s="279"/>
      <c r="AD47" s="279"/>
      <c r="AE47" s="279"/>
      <c r="AF47" s="279"/>
      <c r="AG47" s="106"/>
      <c r="AH47" s="106"/>
    </row>
    <row r="48" spans="1:34">
      <c r="A48" s="106"/>
      <c r="B48" s="280"/>
      <c r="C48" s="280"/>
      <c r="D48" s="280"/>
      <c r="E48" s="278"/>
      <c r="F48" s="279"/>
      <c r="G48" s="279"/>
      <c r="H48" s="279"/>
      <c r="I48" s="279"/>
      <c r="J48" s="279"/>
      <c r="K48" s="279"/>
      <c r="L48" s="279"/>
      <c r="M48" s="279"/>
      <c r="N48" s="279"/>
      <c r="O48" s="279"/>
      <c r="P48" s="279"/>
      <c r="Q48" s="279"/>
      <c r="R48" s="279"/>
      <c r="S48" s="279"/>
      <c r="T48" s="279"/>
      <c r="U48" s="279"/>
      <c r="V48" s="279"/>
      <c r="W48" s="279"/>
      <c r="X48" s="279"/>
      <c r="Y48" s="278"/>
      <c r="Z48" s="279"/>
      <c r="AA48" s="279"/>
      <c r="AB48" s="279"/>
      <c r="AC48" s="279"/>
      <c r="AD48" s="279"/>
      <c r="AE48" s="279"/>
      <c r="AF48" s="279"/>
      <c r="AG48" s="106"/>
      <c r="AH48" s="106"/>
    </row>
    <row r="49" spans="1:34">
      <c r="A49" s="106"/>
      <c r="B49" s="280"/>
      <c r="C49" s="280"/>
      <c r="D49" s="280"/>
      <c r="E49" s="278"/>
      <c r="F49" s="279"/>
      <c r="G49" s="279"/>
      <c r="H49" s="279"/>
      <c r="I49" s="279"/>
      <c r="J49" s="279"/>
      <c r="K49" s="279"/>
      <c r="L49" s="279"/>
      <c r="M49" s="279"/>
      <c r="N49" s="279"/>
      <c r="O49" s="279"/>
      <c r="P49" s="279"/>
      <c r="Q49" s="279"/>
      <c r="R49" s="279"/>
      <c r="S49" s="279"/>
      <c r="T49" s="279"/>
      <c r="U49" s="279"/>
      <c r="V49" s="279"/>
      <c r="W49" s="279"/>
      <c r="X49" s="279"/>
      <c r="Y49" s="278"/>
      <c r="Z49" s="279"/>
      <c r="AA49" s="279"/>
      <c r="AB49" s="279"/>
      <c r="AC49" s="279"/>
      <c r="AD49" s="279"/>
      <c r="AE49" s="279"/>
      <c r="AF49" s="279"/>
      <c r="AG49" s="106"/>
      <c r="AH49" s="106"/>
    </row>
    <row r="50" spans="1:34">
      <c r="A50" s="106"/>
      <c r="B50" s="280"/>
      <c r="C50" s="280"/>
      <c r="D50" s="280"/>
      <c r="E50" s="278"/>
      <c r="F50" s="279"/>
      <c r="G50" s="279"/>
      <c r="H50" s="279"/>
      <c r="I50" s="279"/>
      <c r="J50" s="279"/>
      <c r="K50" s="279"/>
      <c r="L50" s="279"/>
      <c r="M50" s="279"/>
      <c r="N50" s="279"/>
      <c r="O50" s="279"/>
      <c r="P50" s="279"/>
      <c r="Q50" s="279"/>
      <c r="R50" s="279"/>
      <c r="S50" s="279"/>
      <c r="T50" s="279"/>
      <c r="U50" s="279"/>
      <c r="V50" s="279"/>
      <c r="W50" s="279"/>
      <c r="X50" s="279"/>
      <c r="Y50" s="278"/>
      <c r="Z50" s="279"/>
      <c r="AA50" s="279"/>
      <c r="AB50" s="279"/>
      <c r="AC50" s="279"/>
      <c r="AD50" s="279"/>
      <c r="AE50" s="279"/>
      <c r="AF50" s="279"/>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81" t="s">
        <v>159</v>
      </c>
      <c r="C52" s="281"/>
      <c r="D52" s="281"/>
      <c r="E52" s="281" t="s">
        <v>160</v>
      </c>
      <c r="F52" s="283"/>
      <c r="G52" s="283"/>
      <c r="H52" s="283"/>
      <c r="I52" s="283"/>
      <c r="J52" s="283"/>
      <c r="K52" s="283"/>
      <c r="L52" s="283"/>
      <c r="M52" s="283"/>
      <c r="N52" s="283"/>
      <c r="O52" s="283"/>
      <c r="P52" s="283"/>
      <c r="Q52" s="283"/>
      <c r="R52" s="283"/>
      <c r="S52" s="283"/>
      <c r="T52" s="283"/>
      <c r="U52" s="283"/>
      <c r="V52" s="283"/>
      <c r="W52" s="283"/>
      <c r="X52" s="283"/>
      <c r="Y52" s="281" t="s">
        <v>161</v>
      </c>
      <c r="Z52" s="281"/>
      <c r="AA52" s="281"/>
      <c r="AB52" s="281"/>
      <c r="AC52" s="281"/>
      <c r="AD52" s="281"/>
      <c r="AE52" s="281"/>
      <c r="AF52" s="281"/>
      <c r="AG52" s="106"/>
      <c r="AH52" s="106"/>
    </row>
    <row r="53" spans="1:34">
      <c r="A53" s="106"/>
      <c r="B53" s="280"/>
      <c r="C53" s="280"/>
      <c r="D53" s="280"/>
      <c r="E53" s="278"/>
      <c r="F53" s="279"/>
      <c r="G53" s="279"/>
      <c r="H53" s="279"/>
      <c r="I53" s="279"/>
      <c r="J53" s="279"/>
      <c r="K53" s="279"/>
      <c r="L53" s="279"/>
      <c r="M53" s="279"/>
      <c r="N53" s="279"/>
      <c r="O53" s="279"/>
      <c r="P53" s="279"/>
      <c r="Q53" s="279"/>
      <c r="R53" s="279"/>
      <c r="S53" s="279"/>
      <c r="T53" s="279"/>
      <c r="U53" s="279"/>
      <c r="V53" s="279"/>
      <c r="W53" s="279"/>
      <c r="X53" s="279"/>
      <c r="Y53" s="278"/>
      <c r="Z53" s="279"/>
      <c r="AA53" s="279"/>
      <c r="AB53" s="279"/>
      <c r="AC53" s="279"/>
      <c r="AD53" s="279"/>
      <c r="AE53" s="279"/>
      <c r="AF53" s="279"/>
      <c r="AG53" s="106"/>
      <c r="AH53" s="106"/>
    </row>
    <row r="54" spans="1:34">
      <c r="A54" s="106"/>
      <c r="B54" s="280"/>
      <c r="C54" s="280"/>
      <c r="D54" s="280"/>
      <c r="E54" s="278"/>
      <c r="F54" s="279"/>
      <c r="G54" s="279"/>
      <c r="H54" s="279"/>
      <c r="I54" s="279"/>
      <c r="J54" s="279"/>
      <c r="K54" s="279"/>
      <c r="L54" s="279"/>
      <c r="M54" s="279"/>
      <c r="N54" s="279"/>
      <c r="O54" s="279"/>
      <c r="P54" s="279"/>
      <c r="Q54" s="279"/>
      <c r="R54" s="279"/>
      <c r="S54" s="279"/>
      <c r="T54" s="279"/>
      <c r="U54" s="279"/>
      <c r="V54" s="279"/>
      <c r="W54" s="279"/>
      <c r="X54" s="279"/>
      <c r="Y54" s="278"/>
      <c r="Z54" s="279"/>
      <c r="AA54" s="279"/>
      <c r="AB54" s="279"/>
      <c r="AC54" s="279"/>
      <c r="AD54" s="279"/>
      <c r="AE54" s="279"/>
      <c r="AF54" s="279"/>
      <c r="AG54" s="106"/>
      <c r="AH54" s="106"/>
    </row>
    <row r="55" spans="1:34">
      <c r="A55" s="106"/>
      <c r="B55" s="280"/>
      <c r="C55" s="280"/>
      <c r="D55" s="280"/>
      <c r="E55" s="278"/>
      <c r="F55" s="279"/>
      <c r="G55" s="279"/>
      <c r="H55" s="279"/>
      <c r="I55" s="279"/>
      <c r="J55" s="279"/>
      <c r="K55" s="279"/>
      <c r="L55" s="279"/>
      <c r="M55" s="279"/>
      <c r="N55" s="279"/>
      <c r="O55" s="279"/>
      <c r="P55" s="279"/>
      <c r="Q55" s="279"/>
      <c r="R55" s="279"/>
      <c r="S55" s="279"/>
      <c r="T55" s="279"/>
      <c r="U55" s="279"/>
      <c r="V55" s="279"/>
      <c r="W55" s="279"/>
      <c r="X55" s="279"/>
      <c r="Y55" s="278"/>
      <c r="Z55" s="279"/>
      <c r="AA55" s="279"/>
      <c r="AB55" s="279"/>
      <c r="AC55" s="279"/>
      <c r="AD55" s="279"/>
      <c r="AE55" s="279"/>
      <c r="AF55" s="279"/>
      <c r="AG55" s="106"/>
      <c r="AH55" s="106"/>
    </row>
    <row r="56" spans="1:34">
      <c r="A56" s="106"/>
      <c r="B56" s="280"/>
      <c r="C56" s="280"/>
      <c r="D56" s="280"/>
      <c r="E56" s="278"/>
      <c r="F56" s="279"/>
      <c r="G56" s="279"/>
      <c r="H56" s="279"/>
      <c r="I56" s="279"/>
      <c r="J56" s="279"/>
      <c r="K56" s="279"/>
      <c r="L56" s="279"/>
      <c r="M56" s="279"/>
      <c r="N56" s="279"/>
      <c r="O56" s="279"/>
      <c r="P56" s="279"/>
      <c r="Q56" s="279"/>
      <c r="R56" s="279"/>
      <c r="S56" s="279"/>
      <c r="T56" s="279"/>
      <c r="U56" s="279"/>
      <c r="V56" s="279"/>
      <c r="W56" s="279"/>
      <c r="X56" s="279"/>
      <c r="Y56" s="278"/>
      <c r="Z56" s="279"/>
      <c r="AA56" s="279"/>
      <c r="AB56" s="279"/>
      <c r="AC56" s="279"/>
      <c r="AD56" s="279"/>
      <c r="AE56" s="279"/>
      <c r="AF56" s="279"/>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81" t="s">
        <v>164</v>
      </c>
      <c r="C59" s="281"/>
      <c r="D59" s="281"/>
      <c r="E59" s="281"/>
      <c r="F59" s="281"/>
      <c r="G59" s="281"/>
      <c r="H59" s="282"/>
      <c r="I59" s="282"/>
      <c r="J59" s="282"/>
      <c r="K59" s="282"/>
      <c r="L59" s="282"/>
      <c r="M59" s="282"/>
      <c r="N59" s="282"/>
      <c r="O59" s="282"/>
      <c r="P59" s="282"/>
      <c r="Q59" s="282"/>
      <c r="R59" s="282"/>
      <c r="S59" s="282"/>
      <c r="T59" s="282"/>
      <c r="U59" s="282"/>
      <c r="V59" s="282"/>
      <c r="W59" s="282"/>
      <c r="X59" s="282"/>
      <c r="Y59" s="282"/>
      <c r="Z59" s="282"/>
      <c r="AA59" s="282"/>
      <c r="AB59" s="282"/>
      <c r="AC59" s="282"/>
      <c r="AD59" s="282"/>
      <c r="AE59" s="282"/>
      <c r="AF59" s="282"/>
      <c r="AG59" s="106"/>
      <c r="AH59" s="106"/>
    </row>
    <row r="60" spans="1:34" ht="27.75" customHeight="1">
      <c r="A60" s="106"/>
      <c r="B60" s="271" t="s">
        <v>165</v>
      </c>
      <c r="C60" s="272"/>
      <c r="D60" s="272"/>
      <c r="E60" s="272"/>
      <c r="F60" s="272"/>
      <c r="G60" s="273"/>
      <c r="H60" s="277" t="s">
        <v>166</v>
      </c>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6"/>
      <c r="AG60" s="106"/>
      <c r="AH60" s="106"/>
    </row>
    <row r="61" spans="1:34">
      <c r="A61" s="106"/>
      <c r="B61" s="271"/>
      <c r="C61" s="272"/>
      <c r="D61" s="272"/>
      <c r="E61" s="272"/>
      <c r="F61" s="272"/>
      <c r="G61" s="273"/>
      <c r="H61" s="274"/>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6"/>
      <c r="AG61" s="106"/>
      <c r="AH61" s="106"/>
    </row>
    <row r="62" spans="1:34">
      <c r="A62" s="106"/>
      <c r="B62" s="271"/>
      <c r="C62" s="272"/>
      <c r="D62" s="272"/>
      <c r="E62" s="272"/>
      <c r="F62" s="272"/>
      <c r="G62" s="273"/>
      <c r="H62" s="274"/>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6"/>
      <c r="AG62" s="106"/>
      <c r="AH62" s="106"/>
    </row>
    <row r="63" spans="1:34">
      <c r="A63" s="106"/>
      <c r="B63" s="271"/>
      <c r="C63" s="272"/>
      <c r="D63" s="272"/>
      <c r="E63" s="272"/>
      <c r="F63" s="272"/>
      <c r="G63" s="273"/>
      <c r="H63" s="274"/>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6"/>
      <c r="AG63" s="106"/>
      <c r="AH63" s="106"/>
    </row>
    <row r="64" spans="1:34">
      <c r="A64" s="106"/>
      <c r="B64" s="271"/>
      <c r="C64" s="272"/>
      <c r="D64" s="272"/>
      <c r="E64" s="272"/>
      <c r="F64" s="272"/>
      <c r="G64" s="273"/>
      <c r="H64" s="274"/>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6"/>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69" customFormat="1" ht="20.25">
      <c r="B69" s="170" t="s">
        <v>243</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08" t="s">
        <v>239</v>
      </c>
      <c r="C71" s="309"/>
      <c r="D71" s="309"/>
      <c r="E71" s="309"/>
      <c r="F71" s="309"/>
      <c r="G71" s="310"/>
      <c r="H71" s="311" t="s">
        <v>234</v>
      </c>
      <c r="I71" s="312"/>
      <c r="J71" s="312"/>
      <c r="K71" s="312"/>
      <c r="L71" s="312"/>
      <c r="M71" s="312"/>
      <c r="N71" s="312"/>
      <c r="O71" s="312"/>
      <c r="P71" s="312"/>
      <c r="Q71" s="312"/>
      <c r="R71" s="312"/>
      <c r="S71" s="312"/>
      <c r="T71" s="312"/>
      <c r="U71" s="312"/>
      <c r="V71" s="312"/>
      <c r="W71" s="312"/>
      <c r="X71" s="312"/>
      <c r="Y71" s="312"/>
      <c r="Z71" s="312"/>
      <c r="AA71" s="312"/>
      <c r="AB71" s="312"/>
      <c r="AC71" s="312"/>
      <c r="AD71" s="312"/>
      <c r="AE71" s="312"/>
      <c r="AF71" s="313"/>
      <c r="AG71" s="106"/>
      <c r="AH71" s="106"/>
    </row>
    <row r="72" spans="1:34" ht="111" customHeight="1">
      <c r="A72" s="106"/>
      <c r="B72" s="308" t="s">
        <v>240</v>
      </c>
      <c r="C72" s="309"/>
      <c r="D72" s="309"/>
      <c r="E72" s="309"/>
      <c r="F72" s="309"/>
      <c r="G72" s="310"/>
      <c r="H72" s="311" t="s">
        <v>236</v>
      </c>
      <c r="I72" s="312"/>
      <c r="J72" s="312"/>
      <c r="K72" s="312"/>
      <c r="L72" s="312"/>
      <c r="M72" s="312"/>
      <c r="N72" s="312"/>
      <c r="O72" s="312"/>
      <c r="P72" s="312"/>
      <c r="Q72" s="312"/>
      <c r="R72" s="312"/>
      <c r="S72" s="312"/>
      <c r="T72" s="312"/>
      <c r="U72" s="312"/>
      <c r="V72" s="312"/>
      <c r="W72" s="312"/>
      <c r="X72" s="312"/>
      <c r="Y72" s="312"/>
      <c r="Z72" s="312"/>
      <c r="AA72" s="312"/>
      <c r="AB72" s="312"/>
      <c r="AC72" s="312"/>
      <c r="AD72" s="312"/>
      <c r="AE72" s="312"/>
      <c r="AF72" s="313"/>
      <c r="AG72" s="106"/>
      <c r="AH72" s="106"/>
    </row>
    <row r="73" spans="1:34" ht="52.5" customHeight="1">
      <c r="A73" s="106"/>
      <c r="B73" s="308" t="s">
        <v>241</v>
      </c>
      <c r="C73" s="309"/>
      <c r="D73" s="309"/>
      <c r="E73" s="309"/>
      <c r="F73" s="309"/>
      <c r="G73" s="310"/>
      <c r="H73" s="311" t="s">
        <v>244</v>
      </c>
      <c r="I73" s="312"/>
      <c r="J73" s="312"/>
      <c r="K73" s="312"/>
      <c r="L73" s="312"/>
      <c r="M73" s="312"/>
      <c r="N73" s="312"/>
      <c r="O73" s="312"/>
      <c r="P73" s="312"/>
      <c r="Q73" s="312"/>
      <c r="R73" s="312"/>
      <c r="S73" s="312"/>
      <c r="T73" s="312"/>
      <c r="U73" s="312"/>
      <c r="V73" s="312"/>
      <c r="W73" s="312"/>
      <c r="X73" s="312"/>
      <c r="Y73" s="312"/>
      <c r="Z73" s="312"/>
      <c r="AA73" s="312"/>
      <c r="AB73" s="312"/>
      <c r="AC73" s="312"/>
      <c r="AD73" s="312"/>
      <c r="AE73" s="312"/>
      <c r="AF73" s="313"/>
      <c r="AG73" s="106"/>
      <c r="AH73" s="106"/>
    </row>
    <row r="74" spans="1:34" ht="52.5" customHeight="1">
      <c r="A74" s="106"/>
      <c r="B74" s="308" t="s">
        <v>233</v>
      </c>
      <c r="C74" s="309"/>
      <c r="D74" s="309"/>
      <c r="E74" s="309"/>
      <c r="F74" s="309"/>
      <c r="G74" s="310"/>
      <c r="H74" s="311" t="s">
        <v>237</v>
      </c>
      <c r="I74" s="312"/>
      <c r="J74" s="312"/>
      <c r="K74" s="312"/>
      <c r="L74" s="312"/>
      <c r="M74" s="312"/>
      <c r="N74" s="312"/>
      <c r="O74" s="312"/>
      <c r="P74" s="312"/>
      <c r="Q74" s="312"/>
      <c r="R74" s="312"/>
      <c r="S74" s="312"/>
      <c r="T74" s="312"/>
      <c r="U74" s="312"/>
      <c r="V74" s="312"/>
      <c r="W74" s="312"/>
      <c r="X74" s="312"/>
      <c r="Y74" s="312"/>
      <c r="Z74" s="312"/>
      <c r="AA74" s="312"/>
      <c r="AB74" s="312"/>
      <c r="AC74" s="312"/>
      <c r="AD74" s="312"/>
      <c r="AE74" s="312"/>
      <c r="AF74" s="313"/>
      <c r="AG74" s="106"/>
      <c r="AH74" s="106"/>
    </row>
    <row r="75" spans="1:34" ht="81" customHeight="1">
      <c r="A75" s="106"/>
      <c r="B75" s="308" t="s">
        <v>242</v>
      </c>
      <c r="C75" s="309"/>
      <c r="D75" s="309"/>
      <c r="E75" s="309"/>
      <c r="F75" s="309"/>
      <c r="G75" s="310"/>
      <c r="H75" s="311" t="s">
        <v>245</v>
      </c>
      <c r="I75" s="312"/>
      <c r="J75" s="312"/>
      <c r="K75" s="312"/>
      <c r="L75" s="312"/>
      <c r="M75" s="312"/>
      <c r="N75" s="312"/>
      <c r="O75" s="312"/>
      <c r="P75" s="312"/>
      <c r="Q75" s="312"/>
      <c r="R75" s="312"/>
      <c r="S75" s="312"/>
      <c r="T75" s="312"/>
      <c r="U75" s="312"/>
      <c r="V75" s="312"/>
      <c r="W75" s="312"/>
      <c r="X75" s="312"/>
      <c r="Y75" s="312"/>
      <c r="Z75" s="312"/>
      <c r="AA75" s="312"/>
      <c r="AB75" s="312"/>
      <c r="AC75" s="312"/>
      <c r="AD75" s="312"/>
      <c r="AE75" s="312"/>
      <c r="AF75" s="313"/>
      <c r="AG75" s="106"/>
      <c r="AH75" s="106"/>
    </row>
    <row r="76" spans="1:34" ht="97.5" customHeight="1">
      <c r="A76" s="106"/>
      <c r="B76" s="308" t="s">
        <v>235</v>
      </c>
      <c r="C76" s="309"/>
      <c r="D76" s="309"/>
      <c r="E76" s="309"/>
      <c r="F76" s="309"/>
      <c r="G76" s="310"/>
      <c r="H76" s="311" t="s">
        <v>238</v>
      </c>
      <c r="I76" s="312"/>
      <c r="J76" s="312"/>
      <c r="K76" s="312"/>
      <c r="L76" s="312"/>
      <c r="M76" s="312"/>
      <c r="N76" s="312"/>
      <c r="O76" s="312"/>
      <c r="P76" s="312"/>
      <c r="Q76" s="312"/>
      <c r="R76" s="312"/>
      <c r="S76" s="312"/>
      <c r="T76" s="312"/>
      <c r="U76" s="312"/>
      <c r="V76" s="312"/>
      <c r="W76" s="312"/>
      <c r="X76" s="312"/>
      <c r="Y76" s="312"/>
      <c r="Z76" s="312"/>
      <c r="AA76" s="312"/>
      <c r="AB76" s="312"/>
      <c r="AC76" s="312"/>
      <c r="AD76" s="312"/>
      <c r="AE76" s="312"/>
      <c r="AF76" s="313"/>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5" t="s">
        <v>291</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174" t="s">
        <v>292</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215</v>
      </c>
      <c r="AJ85" s="155"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217</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246</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171</v>
      </c>
    </row>
    <row r="91" spans="1:36">
      <c r="AJ91" s="155" t="s">
        <v>221</v>
      </c>
    </row>
    <row r="92" spans="1:36">
      <c r="AJ92" s="155" t="s">
        <v>247</v>
      </c>
    </row>
    <row r="93" spans="1:36">
      <c r="AJ93" s="155" t="s">
        <v>248</v>
      </c>
    </row>
    <row r="94" spans="1:36">
      <c r="AJ94" s="155" t="s">
        <v>249</v>
      </c>
    </row>
    <row r="95" spans="1:36">
      <c r="AJ95" s="155" t="s">
        <v>250</v>
      </c>
    </row>
    <row r="96" spans="1:36">
      <c r="AJ96" s="155" t="s">
        <v>256</v>
      </c>
    </row>
    <row r="97" spans="36:36">
      <c r="AJ97" s="155" t="s">
        <v>174</v>
      </c>
    </row>
    <row r="98" spans="36:36">
      <c r="AJ98" s="155" t="s">
        <v>251</v>
      </c>
    </row>
    <row r="99" spans="36:36">
      <c r="AJ99" s="155" t="s">
        <v>252</v>
      </c>
    </row>
    <row r="100" spans="36:36">
      <c r="AJ100" s="155" t="s">
        <v>253</v>
      </c>
    </row>
    <row r="101" spans="36:36">
      <c r="AJ101" s="155" t="s">
        <v>254</v>
      </c>
    </row>
    <row r="102" spans="36:36">
      <c r="AJ102" s="155" t="s">
        <v>255</v>
      </c>
    </row>
    <row r="103" spans="36:36">
      <c r="AJ103" s="155" t="s">
        <v>175</v>
      </c>
    </row>
    <row r="104" spans="36:36">
      <c r="AJ104" s="155" t="s">
        <v>257</v>
      </c>
    </row>
    <row r="105" spans="36:36" ht="18.75">
      <c r="AJ105" s="156" t="s">
        <v>252</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2"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11"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6" t="s">
        <v>15</v>
      </c>
      <c r="B1" s="317"/>
      <c r="C1" s="317"/>
      <c r="D1" s="318"/>
    </row>
    <row r="3" spans="1:8">
      <c r="B3" s="319" t="s">
        <v>16</v>
      </c>
      <c r="C3" s="320"/>
      <c r="D3" s="321"/>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19" t="s">
        <v>183</v>
      </c>
      <c r="C12" s="320"/>
      <c r="D12" s="321"/>
    </row>
    <row r="13" spans="1:8" ht="24.75" customHeight="1">
      <c r="B13" s="135" t="s">
        <v>178</v>
      </c>
      <c r="C13" s="322" t="s">
        <v>180</v>
      </c>
      <c r="D13" s="323"/>
    </row>
    <row r="14" spans="1:8" ht="25.5" customHeight="1">
      <c r="B14" s="135" t="s">
        <v>106</v>
      </c>
      <c r="C14" s="322" t="s">
        <v>181</v>
      </c>
      <c r="D14" s="323"/>
      <c r="E14" s="90"/>
      <c r="F14" s="90"/>
      <c r="G14" s="90"/>
      <c r="H14" s="90"/>
    </row>
    <row r="15" spans="1:8" ht="49.5" customHeight="1">
      <c r="B15" s="135" t="s">
        <v>179</v>
      </c>
      <c r="C15" s="322" t="s">
        <v>182</v>
      </c>
      <c r="D15" s="323"/>
      <c r="F15" s="94" t="s">
        <v>135</v>
      </c>
    </row>
    <row r="17" spans="2:6">
      <c r="B17" s="319" t="s">
        <v>13</v>
      </c>
      <c r="C17" s="320"/>
      <c r="D17" s="321"/>
    </row>
    <row r="18" spans="2:6">
      <c r="B18" s="2"/>
      <c r="C18" s="3"/>
      <c r="D18" s="4"/>
      <c r="F18" s="94" t="s">
        <v>132</v>
      </c>
    </row>
    <row r="19" spans="2:6" s="91" customFormat="1" ht="38.25">
      <c r="B19" s="314" t="s">
        <v>184</v>
      </c>
      <c r="C19" s="136" t="s">
        <v>107</v>
      </c>
      <c r="D19" s="92"/>
      <c r="F19" s="95" t="s">
        <v>133</v>
      </c>
    </row>
    <row r="20" spans="2:6">
      <c r="B20" s="314"/>
      <c r="C20" s="137"/>
      <c r="D20" s="4"/>
      <c r="F20" s="94" t="s">
        <v>134</v>
      </c>
    </row>
    <row r="21" spans="2:6" ht="25.5">
      <c r="B21" s="314"/>
      <c r="C21" s="138" t="s">
        <v>108</v>
      </c>
      <c r="D21" s="4"/>
    </row>
    <row r="22" spans="2:6" ht="25.5">
      <c r="B22" s="314"/>
      <c r="C22" s="138" t="s">
        <v>0</v>
      </c>
      <c r="D22" s="4"/>
    </row>
    <row r="23" spans="2:6">
      <c r="B23" s="314"/>
      <c r="C23" s="138" t="s">
        <v>1</v>
      </c>
      <c r="D23" s="4"/>
    </row>
    <row r="24" spans="2:6">
      <c r="B24" s="2"/>
      <c r="C24" s="27"/>
      <c r="D24" s="4"/>
    </row>
    <row r="25" spans="2:6">
      <c r="B25" s="315" t="s">
        <v>185</v>
      </c>
      <c r="C25" s="139" t="s">
        <v>337</v>
      </c>
      <c r="D25" s="4"/>
    </row>
    <row r="26" spans="2:6" ht="25.5">
      <c r="B26" s="315"/>
      <c r="C26" s="140" t="s">
        <v>2</v>
      </c>
      <c r="D26" s="4"/>
    </row>
    <row r="27" spans="2:6">
      <c r="B27" s="315"/>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2" t="s">
        <v>288</v>
      </c>
      <c r="C50" s="173" t="s">
        <v>289</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6" t="s">
        <v>51</v>
      </c>
      <c r="D24" s="177" t="s">
        <v>68</v>
      </c>
      <c r="E24" s="83" t="s">
        <v>251</v>
      </c>
      <c r="F24" s="83" t="s">
        <v>252</v>
      </c>
      <c r="G24" s="83" t="s">
        <v>254</v>
      </c>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79">
        <f>SUM(E25:AA25)</f>
        <v>17</v>
      </c>
      <c r="E25" s="85">
        <v>0</v>
      </c>
      <c r="F25" s="85">
        <v>17</v>
      </c>
      <c r="G25" s="85">
        <v>0</v>
      </c>
    </row>
    <row r="26" spans="2:52" ht="15">
      <c r="B26" s="86"/>
      <c r="C26" s="40" t="s">
        <v>77</v>
      </c>
      <c r="D26" s="179">
        <f>SUM(E26:AA26)</f>
        <v>3</v>
      </c>
      <c r="E26" s="86">
        <v>0</v>
      </c>
      <c r="F26" s="86">
        <v>3</v>
      </c>
      <c r="G26" s="86">
        <v>0</v>
      </c>
    </row>
    <row r="27" spans="2:52" ht="15">
      <c r="B27" s="84">
        <f>B25+B26</f>
        <v>0</v>
      </c>
      <c r="C27" s="44" t="s">
        <v>22</v>
      </c>
      <c r="D27" s="84">
        <f t="shared" ref="D27" si="0">D25+D26</f>
        <v>20</v>
      </c>
      <c r="E27" s="84">
        <f>E25+E26</f>
        <v>0</v>
      </c>
      <c r="F27" s="84">
        <f>F25+F26</f>
        <v>20</v>
      </c>
      <c r="G27" s="84">
        <f>G25+G26</f>
        <v>0</v>
      </c>
    </row>
    <row r="28" spans="2:52">
      <c r="D28" s="17"/>
      <c r="H28" s="37"/>
    </row>
    <row r="29" spans="2:52">
      <c r="D29" s="17"/>
      <c r="H29" s="37"/>
    </row>
    <row r="30" spans="2:52">
      <c r="D30" s="17"/>
      <c r="H30" s="37"/>
    </row>
    <row r="31" spans="2:52" s="82" customFormat="1" ht="60" customHeight="1">
      <c r="B31" s="83" t="s">
        <v>90</v>
      </c>
      <c r="C31" s="176" t="s">
        <v>47</v>
      </c>
      <c r="D31" s="177"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79">
        <f>SUM(E32:AA32)</f>
        <v>0</v>
      </c>
      <c r="E32" s="85">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79">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79">
        <f>SUM(E34:AA34)</f>
        <v>5</v>
      </c>
      <c r="E34" s="86">
        <v>5</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79">
        <f>SUM(E35:AA35)</f>
        <v>0</v>
      </c>
      <c r="E35" s="86">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79">
        <f>SUM(E36:AA36)</f>
        <v>12</v>
      </c>
      <c r="E36" s="86">
        <v>12</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80">
        <f>SUM(D32:D36)</f>
        <v>17</v>
      </c>
      <c r="E37" s="87">
        <f>SUM(E32:E36)</f>
        <v>17</v>
      </c>
    </row>
    <row r="38" spans="2:52">
      <c r="D38" s="17"/>
      <c r="H38" s="37"/>
    </row>
    <row r="39" spans="2:52">
      <c r="D39" s="17"/>
      <c r="H39" s="37"/>
    </row>
    <row r="40" spans="2:52" s="82" customFormat="1" ht="63.75">
      <c r="B40" s="83" t="s">
        <v>90</v>
      </c>
      <c r="C40" s="176" t="s">
        <v>67</v>
      </c>
      <c r="D40" s="177"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79">
        <f>SUM(E41:AA41)</f>
        <v>17</v>
      </c>
      <c r="E41" s="86">
        <v>17</v>
      </c>
    </row>
    <row r="42" spans="2:52" ht="15">
      <c r="B42" s="86"/>
      <c r="C42" s="40" t="s">
        <v>74</v>
      </c>
      <c r="D42" s="179">
        <f>SUM(E42:AA42)</f>
        <v>0</v>
      </c>
      <c r="E42" s="86">
        <v>0</v>
      </c>
    </row>
    <row r="43" spans="2:52" s="17" customFormat="1" ht="15">
      <c r="B43" s="86"/>
      <c r="C43" s="40" t="s">
        <v>101</v>
      </c>
      <c r="D43" s="179">
        <f>SUM(E43:AA43)</f>
        <v>0</v>
      </c>
      <c r="E43" s="86">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80">
        <f>SUM(D41:D43)</f>
        <v>17</v>
      </c>
      <c r="E44" s="87">
        <f>SUM(E41:E43)</f>
        <v>17</v>
      </c>
    </row>
    <row r="45" spans="2:52">
      <c r="D45" s="17"/>
    </row>
    <row r="46" spans="2:52">
      <c r="D46" s="17"/>
    </row>
    <row r="47" spans="2:52" ht="25.5">
      <c r="C47" s="178" t="s">
        <v>59</v>
      </c>
      <c r="D47" s="178" t="s">
        <v>92</v>
      </c>
      <c r="E47" s="30" t="s">
        <v>91</v>
      </c>
    </row>
    <row r="48" spans="2:52">
      <c r="C48" s="88" t="s">
        <v>93</v>
      </c>
      <c r="D48" s="181" t="s">
        <v>94</v>
      </c>
      <c r="E48" s="88" t="s">
        <v>95</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3"/>
  <sheetViews>
    <sheetView showGridLines="0" tabSelected="1" zoomScaleNormal="100" workbookViewId="0">
      <selection activeCell="K16" sqref="K16"/>
    </sheetView>
  </sheetViews>
  <sheetFormatPr defaultColWidth="8.85546875" defaultRowHeight="15" outlineLevelCol="1"/>
  <cols>
    <col min="1" max="1" width="38.42578125" style="143" customWidth="1"/>
    <col min="2"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24" t="s">
        <v>191</v>
      </c>
      <c r="B1" s="325"/>
      <c r="C1" s="325"/>
      <c r="D1" s="325"/>
      <c r="E1" s="326"/>
      <c r="F1" s="327" t="s">
        <v>200</v>
      </c>
      <c r="G1" s="328"/>
      <c r="H1" s="328"/>
      <c r="I1" s="328"/>
      <c r="J1" s="328"/>
      <c r="K1" s="328"/>
      <c r="L1" s="328"/>
      <c r="M1" s="328"/>
      <c r="N1" s="328"/>
      <c r="O1" s="328"/>
    </row>
    <row r="2" spans="1:15" ht="18.75">
      <c r="A2" s="152" t="s">
        <v>194</v>
      </c>
      <c r="B2" s="152" t="s">
        <v>190</v>
      </c>
      <c r="C2" s="152" t="s">
        <v>192</v>
      </c>
      <c r="D2" s="152" t="s">
        <v>193</v>
      </c>
      <c r="E2" s="152" t="s">
        <v>195</v>
      </c>
      <c r="F2" s="153" t="s">
        <v>408</v>
      </c>
      <c r="G2" s="153" t="s">
        <v>405</v>
      </c>
      <c r="H2" s="153" t="s">
        <v>446</v>
      </c>
      <c r="I2" s="153" t="s">
        <v>467</v>
      </c>
      <c r="J2" s="153" t="s">
        <v>468</v>
      </c>
      <c r="K2" s="153" t="s">
        <v>470</v>
      </c>
      <c r="L2" s="153" t="s">
        <v>196</v>
      </c>
      <c r="M2" s="153" t="s">
        <v>197</v>
      </c>
      <c r="N2" s="153" t="s">
        <v>198</v>
      </c>
      <c r="O2" s="153" t="s">
        <v>199</v>
      </c>
    </row>
    <row r="3" spans="1:15">
      <c r="A3" s="208" t="s">
        <v>417</v>
      </c>
      <c r="B3" s="143" t="s">
        <v>106</v>
      </c>
      <c r="C3" s="208" t="s">
        <v>418</v>
      </c>
      <c r="D3" s="208" t="s">
        <v>418</v>
      </c>
      <c r="E3" s="210">
        <f t="shared" ref="E3:E8" si="0">SUM(F3:O3)</f>
        <v>20</v>
      </c>
      <c r="F3" s="143">
        <v>10</v>
      </c>
      <c r="G3" s="143">
        <v>10</v>
      </c>
    </row>
    <row r="4" spans="1:15">
      <c r="A4" s="209" t="s">
        <v>424</v>
      </c>
      <c r="B4" s="143" t="s">
        <v>106</v>
      </c>
      <c r="C4" s="208" t="s">
        <v>418</v>
      </c>
      <c r="D4" s="208" t="s">
        <v>418</v>
      </c>
      <c r="E4" s="210">
        <f t="shared" si="0"/>
        <v>20</v>
      </c>
      <c r="F4" s="143">
        <v>10</v>
      </c>
      <c r="G4" s="143">
        <v>10</v>
      </c>
      <c r="H4" s="209"/>
      <c r="I4" s="209"/>
      <c r="J4" s="209"/>
      <c r="K4" s="209"/>
      <c r="L4" s="209"/>
      <c r="M4" s="209"/>
      <c r="N4" s="209"/>
      <c r="O4" s="209"/>
    </row>
    <row r="5" spans="1:15">
      <c r="A5" s="211" t="s">
        <v>439</v>
      </c>
      <c r="B5" s="143" t="s">
        <v>106</v>
      </c>
      <c r="C5" s="208" t="s">
        <v>418</v>
      </c>
      <c r="D5" s="208" t="s">
        <v>418</v>
      </c>
      <c r="E5" s="210">
        <f t="shared" si="0"/>
        <v>20</v>
      </c>
      <c r="F5" s="143">
        <v>10</v>
      </c>
      <c r="G5" s="143">
        <v>10</v>
      </c>
    </row>
    <row r="6" spans="1:15">
      <c r="A6" s="212" t="s">
        <v>438</v>
      </c>
      <c r="B6" s="143" t="s">
        <v>106</v>
      </c>
      <c r="C6" s="208" t="s">
        <v>418</v>
      </c>
      <c r="D6" s="208" t="s">
        <v>418</v>
      </c>
      <c r="E6" s="210">
        <f t="shared" si="0"/>
        <v>20</v>
      </c>
      <c r="F6" s="143">
        <v>10</v>
      </c>
      <c r="G6" s="143">
        <v>10</v>
      </c>
      <c r="H6" s="209"/>
      <c r="I6" s="209"/>
      <c r="J6" s="209"/>
      <c r="K6" s="209"/>
      <c r="L6" s="209"/>
      <c r="M6" s="209"/>
      <c r="N6" s="209"/>
      <c r="O6" s="209"/>
    </row>
    <row r="7" spans="1:15">
      <c r="A7" s="213" t="s">
        <v>443</v>
      </c>
      <c r="B7" s="143" t="s">
        <v>106</v>
      </c>
      <c r="C7" s="213" t="s">
        <v>445</v>
      </c>
      <c r="D7" s="213" t="s">
        <v>445</v>
      </c>
      <c r="E7" s="210">
        <f t="shared" si="0"/>
        <v>20</v>
      </c>
      <c r="G7" s="143">
        <v>10</v>
      </c>
      <c r="H7" s="143">
        <v>10</v>
      </c>
    </row>
    <row r="8" spans="1:15">
      <c r="A8" s="214" t="s">
        <v>444</v>
      </c>
      <c r="B8" s="143" t="s">
        <v>106</v>
      </c>
      <c r="C8" s="213" t="s">
        <v>445</v>
      </c>
      <c r="D8" s="213" t="s">
        <v>445</v>
      </c>
      <c r="E8" s="210">
        <f t="shared" si="0"/>
        <v>20</v>
      </c>
      <c r="G8" s="143">
        <v>10</v>
      </c>
      <c r="H8" s="209">
        <v>10</v>
      </c>
      <c r="I8" s="209"/>
      <c r="J8" s="209"/>
      <c r="K8" s="209"/>
      <c r="L8" s="209"/>
      <c r="M8" s="209"/>
      <c r="N8" s="209"/>
      <c r="O8" s="209"/>
    </row>
    <row r="9" spans="1:15">
      <c r="A9" s="215" t="s">
        <v>449</v>
      </c>
      <c r="B9" s="143" t="s">
        <v>106</v>
      </c>
      <c r="C9" s="216" t="s">
        <v>450</v>
      </c>
      <c r="D9" s="216" t="s">
        <v>450</v>
      </c>
      <c r="E9" s="210">
        <f t="shared" ref="E9" si="1">SUM(F9:O9)</f>
        <v>20</v>
      </c>
      <c r="F9" s="143">
        <v>10</v>
      </c>
      <c r="G9" s="143">
        <v>10</v>
      </c>
      <c r="H9" s="209"/>
      <c r="I9" s="209"/>
      <c r="J9" s="209"/>
      <c r="K9" s="209"/>
      <c r="L9" s="209"/>
      <c r="M9" s="209"/>
      <c r="N9" s="209"/>
      <c r="O9" s="209"/>
    </row>
    <row r="10" spans="1:15">
      <c r="A10" s="216" t="s">
        <v>454</v>
      </c>
      <c r="B10" s="143" t="s">
        <v>106</v>
      </c>
      <c r="C10" s="216" t="s">
        <v>450</v>
      </c>
      <c r="D10" s="216" t="s">
        <v>450</v>
      </c>
      <c r="E10" s="210">
        <f t="shared" ref="E10:E12" si="2">SUM(F10:O10)</f>
        <v>30</v>
      </c>
      <c r="F10" s="143">
        <v>15</v>
      </c>
      <c r="G10" s="143">
        <v>15</v>
      </c>
      <c r="H10" s="209"/>
      <c r="I10" s="209"/>
    </row>
    <row r="11" spans="1:15">
      <c r="A11" s="218" t="s">
        <v>461</v>
      </c>
      <c r="B11" s="143" t="s">
        <v>106</v>
      </c>
      <c r="C11" s="219" t="s">
        <v>462</v>
      </c>
      <c r="D11" s="219" t="s">
        <v>462</v>
      </c>
      <c r="E11" s="210">
        <f t="shared" si="2"/>
        <v>20</v>
      </c>
      <c r="F11" s="143">
        <v>10</v>
      </c>
      <c r="G11" s="143">
        <v>10</v>
      </c>
      <c r="H11" s="209"/>
      <c r="I11" s="209"/>
      <c r="J11" s="209"/>
      <c r="K11" s="209"/>
      <c r="L11" s="209"/>
      <c r="M11" s="209"/>
      <c r="N11" s="209"/>
      <c r="O11" s="209"/>
    </row>
    <row r="12" spans="1:15">
      <c r="A12" s="227" t="s">
        <v>466</v>
      </c>
      <c r="B12" s="228" t="s">
        <v>106</v>
      </c>
      <c r="C12" s="229">
        <v>45132</v>
      </c>
      <c r="D12" s="229">
        <v>45132</v>
      </c>
      <c r="E12" s="210">
        <f t="shared" si="2"/>
        <v>20</v>
      </c>
      <c r="I12" s="143">
        <v>10</v>
      </c>
      <c r="J12" s="143">
        <v>10</v>
      </c>
    </row>
    <row r="13" spans="1:15">
      <c r="A13" s="227" t="s">
        <v>469</v>
      </c>
      <c r="B13" s="228" t="s">
        <v>106</v>
      </c>
      <c r="C13" s="229">
        <v>45138</v>
      </c>
      <c r="D13" s="229">
        <v>45138</v>
      </c>
      <c r="E13" s="210">
        <f t="shared" ref="E13" si="3">SUM(F13:O13)</f>
        <v>20</v>
      </c>
      <c r="I13" s="143">
        <v>10</v>
      </c>
      <c r="K13" s="143">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19" activePane="bottomRight" state="frozenSplit"/>
      <selection activeCell="K17" sqref="K17"/>
      <selection pane="topRight" activeCell="K17" sqref="K17"/>
      <selection pane="bottomLeft" activeCell="K17" sqref="K17"/>
      <selection pane="bottomRight" activeCell="M30" sqref="M30"/>
    </sheetView>
  </sheetViews>
  <sheetFormatPr defaultRowHeight="12.75" outlineLevelRow="1" outlineLevelCol="1"/>
  <cols>
    <col min="1" max="1" width="5.28515625" style="71" customWidth="1"/>
    <col min="2" max="2" width="14.28515625" style="47" bestFit="1" customWidth="1"/>
    <col min="3" max="3" width="33.140625" style="47" customWidth="1"/>
    <col min="4" max="4" width="59" style="48" bestFit="1"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4</v>
      </c>
      <c r="P2" s="58"/>
      <c r="Q2" s="53">
        <f>COUNTIF($L5:$L500,"=" &amp; Q1)</f>
        <v>0</v>
      </c>
      <c r="R2" s="53">
        <f>COUNTIF($L5:$L500,"=" &amp; R1)</f>
        <v>5</v>
      </c>
      <c r="S2" s="53">
        <f>COUNTIF($L5:$L500,"=" &amp; S1)</f>
        <v>4</v>
      </c>
      <c r="T2" s="53">
        <f>COUNTIF($L5:$L500,"=" &amp; T1)</f>
        <v>17</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26</v>
      </c>
      <c r="AI2" s="53">
        <f>COUNTIF($M5:$M500,"=" &amp; AI1)</f>
        <v>0</v>
      </c>
      <c r="AJ2" s="53">
        <f>COUNTIF($M5:$M500,"=" &amp; AJ1)</f>
        <v>0</v>
      </c>
      <c r="AM2" s="33"/>
      <c r="AN2" s="33"/>
      <c r="AO2" s="33"/>
      <c r="AP2" s="35"/>
      <c r="AQ2" s="35"/>
      <c r="AR2" s="33"/>
      <c r="AS2" s="35"/>
      <c r="AT2" s="35"/>
    </row>
    <row r="3" spans="1:46" s="52" customFormat="1" ht="25.5" customHeight="1" outlineLevel="1">
      <c r="A3" s="330" t="str">
        <f>IF(Issue_to_treat=1,NbOfNotTreatedIssues+NbOfRejectedIssues&amp;" issue(s) to treat",IF(Issues_to_approve=1,NbOfNotApprovedIssues&amp;" issue(s) to approve",IF(Issues_postponed=1,NbOfNotApprovedAndPostponedIssues&amp;" issue(s) postponed","Status OK")))</f>
        <v>4 issue(s) postponed</v>
      </c>
      <c r="B3" s="330"/>
      <c r="C3" s="331"/>
      <c r="D3" s="65" t="s">
        <v>63</v>
      </c>
      <c r="E3" s="329" t="s">
        <v>81</v>
      </c>
      <c r="F3" s="329"/>
      <c r="G3" s="329"/>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ht="38.25">
      <c r="A5" s="72">
        <v>1</v>
      </c>
      <c r="B5" s="21">
        <v>1.1000000000000001</v>
      </c>
      <c r="C5" s="41" t="s">
        <v>409</v>
      </c>
      <c r="D5" s="29" t="s">
        <v>411</v>
      </c>
      <c r="E5" s="69">
        <v>44942.629027777781</v>
      </c>
      <c r="F5" s="70" t="s">
        <v>361</v>
      </c>
      <c r="G5" s="29" t="s">
        <v>433</v>
      </c>
      <c r="H5" s="22"/>
      <c r="I5" s="22"/>
      <c r="J5" s="80" t="s">
        <v>425</v>
      </c>
      <c r="K5" s="23">
        <v>44942.664907407408</v>
      </c>
      <c r="L5" s="22" t="s">
        <v>20</v>
      </c>
      <c r="M5" s="80" t="s">
        <v>28</v>
      </c>
      <c r="N5" s="57"/>
      <c r="O5" s="57"/>
      <c r="P5" s="57"/>
      <c r="Q5" s="61"/>
      <c r="R5" s="61"/>
      <c r="S5" s="61"/>
      <c r="T5" s="61"/>
      <c r="U5" s="61"/>
      <c r="V5" s="61"/>
      <c r="W5" s="61"/>
    </row>
    <row r="6" spans="1:46" s="25" customFormat="1">
      <c r="A6" s="73">
        <v>2</v>
      </c>
      <c r="B6" s="21">
        <v>1.1000000000000001</v>
      </c>
      <c r="C6" s="41" t="s">
        <v>409</v>
      </c>
      <c r="D6" s="29" t="s">
        <v>412</v>
      </c>
      <c r="E6" s="69">
        <v>44942.630115740743</v>
      </c>
      <c r="F6" s="70" t="s">
        <v>361</v>
      </c>
      <c r="G6" s="29" t="s">
        <v>426</v>
      </c>
      <c r="H6" s="22"/>
      <c r="I6" s="22"/>
      <c r="J6" s="80" t="s">
        <v>425</v>
      </c>
      <c r="K6" s="23">
        <v>44942.665462962963</v>
      </c>
      <c r="L6" s="22" t="s">
        <v>20</v>
      </c>
      <c r="M6" s="22" t="s">
        <v>28</v>
      </c>
      <c r="N6" s="57"/>
      <c r="O6" s="57"/>
      <c r="P6" s="57"/>
      <c r="Q6" s="61"/>
      <c r="R6" s="61"/>
      <c r="S6" s="61"/>
      <c r="T6" s="61"/>
      <c r="U6" s="61"/>
      <c r="V6" s="61"/>
      <c r="W6" s="61"/>
    </row>
    <row r="7" spans="1:46" s="25" customFormat="1" ht="25.5">
      <c r="A7" s="73">
        <v>3</v>
      </c>
      <c r="B7" s="21">
        <v>1.1000000000000001</v>
      </c>
      <c r="C7" s="41" t="s">
        <v>409</v>
      </c>
      <c r="D7" s="29" t="s">
        <v>413</v>
      </c>
      <c r="E7" s="69">
        <v>44942.630671296298</v>
      </c>
      <c r="F7" s="70" t="s">
        <v>361</v>
      </c>
      <c r="G7" s="29" t="s">
        <v>429</v>
      </c>
      <c r="H7" s="22"/>
      <c r="I7" s="22"/>
      <c r="J7" s="80" t="s">
        <v>425</v>
      </c>
      <c r="K7" s="23">
        <v>44942.666597222225</v>
      </c>
      <c r="L7" s="22" t="s">
        <v>27</v>
      </c>
      <c r="M7" s="22" t="s">
        <v>28</v>
      </c>
      <c r="N7" s="57"/>
      <c r="O7" s="57"/>
      <c r="P7" s="57"/>
      <c r="Q7" s="61"/>
      <c r="R7" s="61"/>
      <c r="S7" s="61"/>
      <c r="T7" s="61"/>
      <c r="U7" s="61"/>
      <c r="V7" s="61"/>
      <c r="W7" s="61"/>
    </row>
    <row r="8" spans="1:46" s="25" customFormat="1" ht="25.5">
      <c r="A8" s="73">
        <v>4</v>
      </c>
      <c r="B8" s="21">
        <v>1.1000000000000001</v>
      </c>
      <c r="C8" s="41" t="s">
        <v>409</v>
      </c>
      <c r="D8" s="29" t="s">
        <v>414</v>
      </c>
      <c r="E8" s="69">
        <v>44942.63113425926</v>
      </c>
      <c r="F8" s="70" t="s">
        <v>361</v>
      </c>
      <c r="G8" s="29" t="s">
        <v>428</v>
      </c>
      <c r="H8" s="22"/>
      <c r="I8" s="22"/>
      <c r="J8" s="80" t="s">
        <v>425</v>
      </c>
      <c r="K8" s="23">
        <v>44942.666724537034</v>
      </c>
      <c r="L8" s="22" t="s">
        <v>27</v>
      </c>
      <c r="M8" s="22" t="s">
        <v>28</v>
      </c>
      <c r="N8" s="57"/>
      <c r="O8" s="57"/>
      <c r="P8" s="57"/>
      <c r="Q8" s="61"/>
      <c r="R8" s="61"/>
      <c r="S8" s="61"/>
      <c r="T8" s="61"/>
      <c r="U8" s="61"/>
      <c r="V8" s="61"/>
      <c r="W8" s="61"/>
    </row>
    <row r="9" spans="1:46" s="25" customFormat="1">
      <c r="A9" s="73">
        <v>5</v>
      </c>
      <c r="B9" s="21">
        <v>1.1000000000000001</v>
      </c>
      <c r="C9" s="41" t="s">
        <v>409</v>
      </c>
      <c r="D9" s="29" t="s">
        <v>415</v>
      </c>
      <c r="E9" s="69">
        <v>44942.632476851853</v>
      </c>
      <c r="F9" s="70" t="s">
        <v>361</v>
      </c>
      <c r="G9" s="29" t="s">
        <v>427</v>
      </c>
      <c r="H9" s="22"/>
      <c r="I9" s="22"/>
      <c r="J9" s="80" t="s">
        <v>425</v>
      </c>
      <c r="K9" s="23">
        <v>44942.667905092596</v>
      </c>
      <c r="L9" s="22" t="s">
        <v>20</v>
      </c>
      <c r="M9" s="22" t="s">
        <v>28</v>
      </c>
      <c r="N9" s="57"/>
      <c r="O9" s="57"/>
      <c r="P9" s="57"/>
      <c r="Q9" s="61"/>
      <c r="R9" s="61"/>
      <c r="S9" s="61"/>
      <c r="T9" s="61"/>
      <c r="U9" s="61"/>
      <c r="V9" s="61"/>
      <c r="W9" s="61"/>
    </row>
    <row r="10" spans="1:46" s="25" customFormat="1">
      <c r="A10" s="73">
        <v>6</v>
      </c>
      <c r="B10" s="21">
        <v>1.1000000000000001</v>
      </c>
      <c r="C10" s="41" t="s">
        <v>419</v>
      </c>
      <c r="D10" s="29" t="s">
        <v>420</v>
      </c>
      <c r="E10" s="69">
        <v>44942.643472222226</v>
      </c>
      <c r="F10" s="70" t="s">
        <v>361</v>
      </c>
      <c r="G10" s="18"/>
      <c r="H10" s="22"/>
      <c r="I10" s="22"/>
      <c r="J10" s="22" t="s">
        <v>361</v>
      </c>
      <c r="K10" s="23">
        <v>44942.643703703703</v>
      </c>
      <c r="L10" s="22" t="s">
        <v>27</v>
      </c>
      <c r="M10" s="22" t="s">
        <v>28</v>
      </c>
      <c r="N10" s="57"/>
      <c r="O10" s="57"/>
      <c r="P10" s="57"/>
      <c r="Q10" s="61"/>
      <c r="R10" s="61"/>
      <c r="S10" s="61"/>
      <c r="T10" s="61"/>
      <c r="U10" s="61"/>
      <c r="V10" s="61"/>
      <c r="W10" s="61"/>
    </row>
    <row r="11" spans="1:46" s="25" customFormat="1" ht="38.25">
      <c r="A11" s="73">
        <v>7</v>
      </c>
      <c r="B11" s="21">
        <v>1.2</v>
      </c>
      <c r="C11" s="41" t="s">
        <v>419</v>
      </c>
      <c r="D11" s="29" t="s">
        <v>411</v>
      </c>
      <c r="E11" s="69">
        <v>44942.643854166665</v>
      </c>
      <c r="F11" s="70" t="s">
        <v>361</v>
      </c>
      <c r="G11" s="29" t="s">
        <v>433</v>
      </c>
      <c r="H11" s="22"/>
      <c r="I11" s="22"/>
      <c r="J11" s="80" t="s">
        <v>425</v>
      </c>
      <c r="K11" s="81">
        <v>44942.664930555555</v>
      </c>
      <c r="L11" s="22" t="s">
        <v>20</v>
      </c>
      <c r="M11" s="22" t="s">
        <v>28</v>
      </c>
      <c r="N11" s="57"/>
      <c r="O11" s="57"/>
      <c r="P11" s="57"/>
      <c r="Q11" s="61"/>
      <c r="R11" s="61"/>
      <c r="S11" s="61"/>
      <c r="T11" s="61"/>
      <c r="U11" s="61"/>
      <c r="V11" s="61"/>
      <c r="W11" s="61"/>
    </row>
    <row r="12" spans="1:46" s="25" customFormat="1">
      <c r="A12" s="73">
        <v>8</v>
      </c>
      <c r="B12" s="21">
        <v>1.2</v>
      </c>
      <c r="C12" s="41" t="s">
        <v>419</v>
      </c>
      <c r="D12" s="29" t="s">
        <v>421</v>
      </c>
      <c r="E12" s="69">
        <v>44942.644756944443</v>
      </c>
      <c r="F12" s="70" t="s">
        <v>361</v>
      </c>
      <c r="G12" s="18" t="s">
        <v>430</v>
      </c>
      <c r="H12" s="22"/>
      <c r="I12" s="22"/>
      <c r="J12" s="22" t="s">
        <v>425</v>
      </c>
      <c r="K12" s="23">
        <v>44942.681956018518</v>
      </c>
      <c r="L12" s="22" t="s">
        <v>20</v>
      </c>
      <c r="M12" s="22" t="s">
        <v>28</v>
      </c>
      <c r="N12" s="57"/>
      <c r="O12" s="57"/>
      <c r="P12" s="57"/>
      <c r="Q12" s="61"/>
      <c r="R12" s="61"/>
      <c r="S12" s="61"/>
      <c r="T12" s="61"/>
      <c r="U12" s="61"/>
      <c r="V12" s="61"/>
      <c r="W12" s="61"/>
    </row>
    <row r="13" spans="1:46" s="25" customFormat="1" ht="25.5">
      <c r="A13" s="73">
        <v>9</v>
      </c>
      <c r="B13" s="21">
        <v>1.2</v>
      </c>
      <c r="C13" s="41" t="s">
        <v>419</v>
      </c>
      <c r="D13" s="29" t="s">
        <v>423</v>
      </c>
      <c r="E13" s="69">
        <v>44942.645648148151</v>
      </c>
      <c r="F13" s="70" t="s">
        <v>361</v>
      </c>
      <c r="G13" s="18" t="s">
        <v>431</v>
      </c>
      <c r="H13" s="22"/>
      <c r="I13" s="22"/>
      <c r="J13" s="22" t="s">
        <v>425</v>
      </c>
      <c r="K13" s="23">
        <v>44942.683576388888</v>
      </c>
      <c r="L13" s="22" t="s">
        <v>27</v>
      </c>
      <c r="M13" s="22" t="s">
        <v>28</v>
      </c>
      <c r="N13" s="57"/>
      <c r="O13" s="57"/>
      <c r="P13" s="57"/>
      <c r="Q13" s="61"/>
      <c r="R13" s="61"/>
      <c r="S13" s="61"/>
      <c r="T13" s="61"/>
      <c r="U13" s="61"/>
      <c r="V13" s="61"/>
      <c r="W13" s="61"/>
    </row>
    <row r="14" spans="1:46" s="25" customFormat="1" ht="25.5">
      <c r="A14" s="73">
        <v>10</v>
      </c>
      <c r="B14" s="21">
        <v>1.2</v>
      </c>
      <c r="C14" s="41" t="s">
        <v>419</v>
      </c>
      <c r="D14" s="29" t="s">
        <v>422</v>
      </c>
      <c r="E14" s="69">
        <v>44942.645856481482</v>
      </c>
      <c r="F14" s="70" t="s">
        <v>361</v>
      </c>
      <c r="G14" s="18" t="s">
        <v>432</v>
      </c>
      <c r="H14" s="22"/>
      <c r="I14" s="22"/>
      <c r="J14" s="22" t="s">
        <v>425</v>
      </c>
      <c r="K14" s="23">
        <v>44942.683865740742</v>
      </c>
      <c r="L14" s="22" t="s">
        <v>27</v>
      </c>
      <c r="M14" s="22" t="s">
        <v>28</v>
      </c>
      <c r="N14" s="57"/>
      <c r="O14" s="57"/>
      <c r="P14" s="57"/>
      <c r="Q14" s="61"/>
      <c r="R14" s="61"/>
      <c r="S14" s="61"/>
      <c r="T14" s="61"/>
      <c r="U14" s="61"/>
      <c r="V14" s="61"/>
      <c r="W14" s="61"/>
    </row>
    <row r="15" spans="1:46" s="25" customFormat="1">
      <c r="A15" s="73">
        <v>11</v>
      </c>
      <c r="B15" s="21">
        <v>1.2</v>
      </c>
      <c r="C15" s="41" t="s">
        <v>409</v>
      </c>
      <c r="D15" s="29" t="s">
        <v>434</v>
      </c>
      <c r="E15" s="69">
        <v>44942.692349537036</v>
      </c>
      <c r="F15" s="70" t="s">
        <v>361</v>
      </c>
      <c r="G15" s="18"/>
      <c r="H15" s="22"/>
      <c r="I15" s="22"/>
      <c r="J15" s="22" t="s">
        <v>361</v>
      </c>
      <c r="K15" s="23">
        <v>44942.694594907407</v>
      </c>
      <c r="L15" s="22" t="s">
        <v>27</v>
      </c>
      <c r="M15" s="22" t="s">
        <v>28</v>
      </c>
      <c r="N15" s="57"/>
      <c r="O15" s="57"/>
      <c r="P15" s="57"/>
      <c r="Q15" s="61"/>
      <c r="R15" s="61"/>
      <c r="S15" s="61"/>
      <c r="T15" s="61"/>
      <c r="U15" s="61"/>
      <c r="V15" s="61"/>
      <c r="W15" s="61"/>
    </row>
    <row r="16" spans="1:46" s="25" customFormat="1">
      <c r="A16" s="73">
        <v>12</v>
      </c>
      <c r="B16" s="21">
        <v>1.3</v>
      </c>
      <c r="C16" s="41" t="s">
        <v>419</v>
      </c>
      <c r="D16" s="29" t="s">
        <v>435</v>
      </c>
      <c r="E16" s="69">
        <v>44942.692384259259</v>
      </c>
      <c r="F16" s="70" t="s">
        <v>361</v>
      </c>
      <c r="G16" s="18"/>
      <c r="H16" s="22"/>
      <c r="I16" s="22"/>
      <c r="J16" s="22" t="s">
        <v>361</v>
      </c>
      <c r="K16" s="23">
        <v>44942.694652777776</v>
      </c>
      <c r="L16" s="22" t="s">
        <v>27</v>
      </c>
      <c r="M16" s="22" t="s">
        <v>28</v>
      </c>
      <c r="N16" s="57"/>
      <c r="O16" s="57"/>
      <c r="P16" s="57"/>
      <c r="Q16" s="61"/>
      <c r="R16" s="61"/>
      <c r="S16" s="61"/>
      <c r="T16" s="61"/>
      <c r="U16" s="61"/>
      <c r="V16" s="61"/>
      <c r="W16" s="61"/>
    </row>
    <row r="17" spans="1:23" s="25" customFormat="1">
      <c r="A17" s="73">
        <v>13</v>
      </c>
      <c r="B17" s="21">
        <v>1.3</v>
      </c>
      <c r="C17" s="41" t="s">
        <v>409</v>
      </c>
      <c r="D17" s="29" t="s">
        <v>436</v>
      </c>
      <c r="E17" s="69">
        <v>44942.695023148146</v>
      </c>
      <c r="F17" s="70" t="s">
        <v>361</v>
      </c>
      <c r="G17" s="18"/>
      <c r="H17" s="22"/>
      <c r="I17" s="22"/>
      <c r="J17" s="22" t="s">
        <v>361</v>
      </c>
      <c r="K17" s="23">
        <v>44942.695115740738</v>
      </c>
      <c r="L17" s="22" t="s">
        <v>27</v>
      </c>
      <c r="M17" s="22" t="s">
        <v>28</v>
      </c>
      <c r="N17" s="57"/>
      <c r="O17" s="57"/>
      <c r="P17" s="57"/>
      <c r="Q17" s="61"/>
      <c r="R17" s="61"/>
      <c r="S17" s="61"/>
      <c r="T17" s="61"/>
      <c r="U17" s="61"/>
      <c r="V17" s="61"/>
      <c r="W17" s="61"/>
    </row>
    <row r="18" spans="1:23" s="25" customFormat="1">
      <c r="A18" s="73">
        <v>14</v>
      </c>
      <c r="B18" s="21">
        <v>1.4</v>
      </c>
      <c r="C18" s="41" t="s">
        <v>419</v>
      </c>
      <c r="D18" s="29" t="s">
        <v>436</v>
      </c>
      <c r="E18" s="69">
        <v>44942.695069444446</v>
      </c>
      <c r="F18" s="70" t="s">
        <v>361</v>
      </c>
      <c r="G18" s="18"/>
      <c r="H18" s="22"/>
      <c r="I18" s="22"/>
      <c r="J18" s="22" t="s">
        <v>361</v>
      </c>
      <c r="K18" s="23">
        <v>44942.695150462961</v>
      </c>
      <c r="L18" s="22" t="s">
        <v>27</v>
      </c>
      <c r="M18" s="22" t="s">
        <v>28</v>
      </c>
      <c r="N18" s="57"/>
      <c r="O18" s="57"/>
      <c r="P18" s="57"/>
      <c r="Q18" s="61"/>
      <c r="R18" s="61"/>
      <c r="S18" s="61"/>
      <c r="T18" s="61"/>
      <c r="U18" s="61"/>
      <c r="V18" s="61"/>
      <c r="W18" s="61"/>
    </row>
    <row r="19" spans="1:23" s="25" customFormat="1" ht="89.25">
      <c r="A19" s="73">
        <v>15</v>
      </c>
      <c r="B19" s="21">
        <v>1.4</v>
      </c>
      <c r="C19" s="41" t="s">
        <v>409</v>
      </c>
      <c r="D19" s="29" t="s">
        <v>440</v>
      </c>
      <c r="E19" s="69">
        <v>44974.603333333333</v>
      </c>
      <c r="F19" s="70" t="s">
        <v>441</v>
      </c>
      <c r="G19" s="18" t="s">
        <v>448</v>
      </c>
      <c r="H19" s="22"/>
      <c r="I19" s="22"/>
      <c r="J19" s="22" t="s">
        <v>425</v>
      </c>
      <c r="K19" s="23">
        <v>44977.603819444441</v>
      </c>
      <c r="L19" s="22" t="s">
        <v>27</v>
      </c>
      <c r="M19" s="22" t="s">
        <v>28</v>
      </c>
      <c r="N19" s="57"/>
      <c r="O19" s="57"/>
      <c r="P19" s="57"/>
      <c r="Q19" s="61"/>
      <c r="R19" s="61"/>
      <c r="S19" s="61"/>
      <c r="T19" s="61"/>
      <c r="U19" s="61"/>
      <c r="V19" s="61"/>
      <c r="W19" s="61"/>
    </row>
    <row r="20" spans="1:23" s="25" customFormat="1" ht="89.25">
      <c r="A20" s="73">
        <v>16</v>
      </c>
      <c r="B20" s="21">
        <v>1.6</v>
      </c>
      <c r="C20" s="41" t="s">
        <v>419</v>
      </c>
      <c r="D20" s="29" t="s">
        <v>442</v>
      </c>
      <c r="E20" s="69">
        <v>44974.604479166665</v>
      </c>
      <c r="F20" s="70" t="s">
        <v>441</v>
      </c>
      <c r="G20" s="18" t="s">
        <v>448</v>
      </c>
      <c r="H20" s="22"/>
      <c r="I20" s="22"/>
      <c r="J20" s="22" t="s">
        <v>425</v>
      </c>
      <c r="K20" s="23">
        <v>44977.603854166664</v>
      </c>
      <c r="L20" s="22" t="s">
        <v>27</v>
      </c>
      <c r="M20" s="22" t="s">
        <v>28</v>
      </c>
      <c r="N20" s="57"/>
      <c r="O20" s="57"/>
      <c r="P20" s="57"/>
      <c r="Q20" s="61"/>
      <c r="R20" s="61"/>
      <c r="S20" s="61"/>
      <c r="T20" s="61"/>
      <c r="U20" s="61"/>
      <c r="V20" s="61"/>
      <c r="W20" s="61"/>
    </row>
    <row r="21" spans="1:23" s="25" customFormat="1" ht="25.5">
      <c r="A21" s="73">
        <v>17</v>
      </c>
      <c r="B21" s="21">
        <v>1.7</v>
      </c>
      <c r="C21" s="41" t="s">
        <v>419</v>
      </c>
      <c r="D21" s="29" t="s">
        <v>436</v>
      </c>
      <c r="E21" s="69">
        <v>44980.424432870372</v>
      </c>
      <c r="F21" s="70" t="s">
        <v>441</v>
      </c>
      <c r="G21" s="18"/>
      <c r="H21" s="22"/>
      <c r="I21" s="22"/>
      <c r="J21" s="22" t="s">
        <v>441</v>
      </c>
      <c r="K21" s="23">
        <v>44980.424479166664</v>
      </c>
      <c r="L21" s="22" t="s">
        <v>27</v>
      </c>
      <c r="M21" s="22" t="s">
        <v>28</v>
      </c>
      <c r="N21" s="57"/>
      <c r="O21" s="57"/>
      <c r="P21" s="57"/>
      <c r="Q21" s="61"/>
      <c r="R21" s="61"/>
      <c r="S21" s="61"/>
      <c r="T21" s="61"/>
      <c r="U21" s="61"/>
      <c r="V21" s="61"/>
      <c r="W21" s="61"/>
    </row>
    <row r="22" spans="1:23" s="25" customFormat="1" ht="25.5">
      <c r="A22" s="73">
        <v>18</v>
      </c>
      <c r="B22" s="21">
        <v>1.3</v>
      </c>
      <c r="C22" s="41" t="s">
        <v>451</v>
      </c>
      <c r="D22" s="29" t="s">
        <v>452</v>
      </c>
      <c r="E22" s="69">
        <v>44980.429976851854</v>
      </c>
      <c r="F22" s="70" t="s">
        <v>441</v>
      </c>
      <c r="G22" s="18"/>
      <c r="H22" s="22">
        <v>1047503</v>
      </c>
      <c r="I22" s="80" t="s">
        <v>26</v>
      </c>
      <c r="J22" s="80" t="s">
        <v>425</v>
      </c>
      <c r="K22" s="217">
        <v>45005.406087962961</v>
      </c>
      <c r="L22" s="22" t="s">
        <v>21</v>
      </c>
      <c r="M22" s="22" t="s">
        <v>28</v>
      </c>
      <c r="N22" s="57"/>
      <c r="O22" s="57"/>
      <c r="P22" s="57"/>
      <c r="Q22" s="61"/>
      <c r="R22" s="61"/>
      <c r="S22" s="61"/>
      <c r="T22" s="61"/>
      <c r="U22" s="61"/>
      <c r="V22" s="61"/>
      <c r="W22" s="61"/>
    </row>
    <row r="23" spans="1:23" s="25" customFormat="1" ht="25.5">
      <c r="A23" s="73">
        <v>19</v>
      </c>
      <c r="B23" s="21">
        <v>1.3</v>
      </c>
      <c r="C23" s="41" t="s">
        <v>451</v>
      </c>
      <c r="D23" s="29" t="s">
        <v>453</v>
      </c>
      <c r="E23" s="69">
        <v>44980.430115740739</v>
      </c>
      <c r="F23" s="70" t="s">
        <v>441</v>
      </c>
      <c r="G23" s="18"/>
      <c r="H23" s="22"/>
      <c r="I23" s="22"/>
      <c r="J23" s="22" t="s">
        <v>441</v>
      </c>
      <c r="K23" s="23">
        <v>44980.430335648147</v>
      </c>
      <c r="L23" s="22" t="s">
        <v>27</v>
      </c>
      <c r="M23" s="22" t="s">
        <v>28</v>
      </c>
      <c r="N23" s="57"/>
      <c r="O23" s="57"/>
      <c r="P23" s="57"/>
      <c r="Q23" s="61"/>
      <c r="R23" s="61"/>
      <c r="S23" s="61"/>
      <c r="T23" s="61"/>
      <c r="U23" s="61"/>
      <c r="V23" s="61"/>
      <c r="W23" s="61"/>
    </row>
    <row r="24" spans="1:23" s="25" customFormat="1" ht="25.5">
      <c r="A24" s="73">
        <v>20</v>
      </c>
      <c r="B24" s="21">
        <v>1.3</v>
      </c>
      <c r="C24" s="41" t="s">
        <v>451</v>
      </c>
      <c r="D24" s="29" t="s">
        <v>455</v>
      </c>
      <c r="E24" s="69">
        <v>44980.524328703701</v>
      </c>
      <c r="F24" s="70" t="s">
        <v>441</v>
      </c>
      <c r="G24" s="18"/>
      <c r="H24" s="22">
        <v>1047503</v>
      </c>
      <c r="I24" s="80" t="s">
        <v>26</v>
      </c>
      <c r="J24" s="80" t="s">
        <v>425</v>
      </c>
      <c r="K24" s="217">
        <v>45005.406087962961</v>
      </c>
      <c r="L24" s="22" t="s">
        <v>21</v>
      </c>
      <c r="M24" s="22" t="s">
        <v>28</v>
      </c>
      <c r="N24" s="57"/>
      <c r="O24" s="57"/>
      <c r="P24" s="57"/>
      <c r="Q24" s="61"/>
      <c r="R24" s="61"/>
      <c r="S24" s="61"/>
      <c r="T24" s="61"/>
      <c r="U24" s="61"/>
      <c r="V24" s="61"/>
      <c r="W24" s="61"/>
    </row>
    <row r="25" spans="1:23" s="25" customFormat="1" ht="25.5">
      <c r="A25" s="73">
        <v>21</v>
      </c>
      <c r="B25" s="21">
        <v>1.3</v>
      </c>
      <c r="C25" s="41" t="s">
        <v>451</v>
      </c>
      <c r="D25" s="29" t="s">
        <v>456</v>
      </c>
      <c r="E25" s="69">
        <v>44980.524386574078</v>
      </c>
      <c r="F25" s="70" t="s">
        <v>441</v>
      </c>
      <c r="G25" s="18"/>
      <c r="H25" s="22">
        <v>1047503</v>
      </c>
      <c r="I25" s="80" t="s">
        <v>26</v>
      </c>
      <c r="J25" s="80" t="s">
        <v>425</v>
      </c>
      <c r="K25" s="217">
        <v>45005.406087962961</v>
      </c>
      <c r="L25" s="22" t="s">
        <v>21</v>
      </c>
      <c r="M25" s="22" t="s">
        <v>28</v>
      </c>
      <c r="N25" s="57"/>
      <c r="O25" s="57"/>
      <c r="P25" s="57"/>
      <c r="Q25" s="61"/>
      <c r="R25" s="61"/>
      <c r="S25" s="61"/>
      <c r="T25" s="61"/>
      <c r="U25" s="61"/>
      <c r="V25" s="61"/>
      <c r="W25" s="61"/>
    </row>
    <row r="26" spans="1:23" s="25" customFormat="1" ht="25.5">
      <c r="A26" s="73">
        <v>22</v>
      </c>
      <c r="B26" s="21">
        <v>1.3</v>
      </c>
      <c r="C26" s="41" t="s">
        <v>451</v>
      </c>
      <c r="D26" s="29" t="s">
        <v>458</v>
      </c>
      <c r="E26" s="69">
        <v>44980.542233796295</v>
      </c>
      <c r="F26" s="70" t="s">
        <v>441</v>
      </c>
      <c r="G26" s="18"/>
      <c r="H26" s="22">
        <v>1047503</v>
      </c>
      <c r="I26" s="80" t="s">
        <v>26</v>
      </c>
      <c r="J26" s="80" t="s">
        <v>425</v>
      </c>
      <c r="K26" s="217">
        <v>45005.406087962961</v>
      </c>
      <c r="L26" s="22" t="s">
        <v>21</v>
      </c>
      <c r="M26" s="22" t="s">
        <v>28</v>
      </c>
      <c r="N26" s="57"/>
      <c r="O26" s="57"/>
      <c r="P26" s="57"/>
      <c r="Q26" s="61"/>
      <c r="R26" s="61"/>
      <c r="S26" s="61"/>
      <c r="T26" s="61"/>
      <c r="U26" s="61"/>
      <c r="V26" s="61"/>
      <c r="W26" s="61"/>
    </row>
    <row r="27" spans="1:23" s="25" customFormat="1" ht="25.5">
      <c r="A27" s="73">
        <v>23</v>
      </c>
      <c r="B27" s="21">
        <v>1.8</v>
      </c>
      <c r="C27" s="41" t="s">
        <v>419</v>
      </c>
      <c r="D27" s="29" t="s">
        <v>436</v>
      </c>
      <c r="E27" s="69">
        <v>45105.58116898148</v>
      </c>
      <c r="F27" s="70" t="s">
        <v>441</v>
      </c>
      <c r="G27" s="18"/>
      <c r="H27" s="22"/>
      <c r="I27" s="22"/>
      <c r="J27" s="80" t="s">
        <v>460</v>
      </c>
      <c r="K27" s="23">
        <v>45105.581192129626</v>
      </c>
      <c r="L27" s="22" t="s">
        <v>27</v>
      </c>
      <c r="M27" s="22" t="s">
        <v>28</v>
      </c>
      <c r="N27" s="57"/>
      <c r="O27" s="57"/>
      <c r="P27" s="57"/>
      <c r="Q27" s="61"/>
      <c r="R27" s="61"/>
      <c r="S27" s="61"/>
      <c r="T27" s="61"/>
      <c r="U27" s="61"/>
      <c r="V27" s="61"/>
      <c r="W27" s="61"/>
    </row>
    <row r="28" spans="1:23" s="25" customFormat="1" ht="25.5">
      <c r="A28" s="73">
        <v>24</v>
      </c>
      <c r="B28" s="220" t="s">
        <v>463</v>
      </c>
      <c r="C28" s="221" t="s">
        <v>464</v>
      </c>
      <c r="D28" s="222" t="s">
        <v>436</v>
      </c>
      <c r="E28" s="223">
        <v>45132</v>
      </c>
      <c r="F28" s="221" t="s">
        <v>425</v>
      </c>
      <c r="G28" s="222"/>
      <c r="H28" s="224"/>
      <c r="I28" s="224"/>
      <c r="J28" s="224" t="s">
        <v>465</v>
      </c>
      <c r="K28" s="223">
        <v>45132</v>
      </c>
      <c r="L28" s="225" t="s">
        <v>27</v>
      </c>
      <c r="M28" s="226" t="s">
        <v>28</v>
      </c>
      <c r="N28" s="57"/>
      <c r="O28" s="57"/>
      <c r="P28" s="57"/>
      <c r="Q28" s="61"/>
      <c r="R28" s="61"/>
      <c r="S28" s="61"/>
      <c r="T28" s="61"/>
      <c r="U28" s="61"/>
      <c r="V28" s="61"/>
      <c r="W28" s="61"/>
    </row>
    <row r="29" spans="1:23" s="25" customFormat="1">
      <c r="A29" s="73">
        <v>25</v>
      </c>
      <c r="B29" s="220" t="s">
        <v>471</v>
      </c>
      <c r="C29" s="221" t="s">
        <v>464</v>
      </c>
      <c r="D29" s="222" t="s">
        <v>436</v>
      </c>
      <c r="E29" s="69">
        <v>45138.652812499997</v>
      </c>
      <c r="F29" s="70" t="s">
        <v>473</v>
      </c>
      <c r="G29" s="18"/>
      <c r="H29" s="22"/>
      <c r="I29" s="22"/>
      <c r="J29" s="224" t="s">
        <v>465</v>
      </c>
      <c r="K29" s="23">
        <v>45138.652962962966</v>
      </c>
      <c r="L29" s="22" t="s">
        <v>27</v>
      </c>
      <c r="M29" s="22" t="s">
        <v>28</v>
      </c>
      <c r="N29" s="57"/>
      <c r="O29" s="57"/>
      <c r="P29" s="57"/>
      <c r="Q29" s="61"/>
      <c r="R29" s="61"/>
      <c r="S29" s="61"/>
      <c r="T29" s="61"/>
      <c r="U29" s="61"/>
      <c r="V29" s="61"/>
      <c r="W29" s="61"/>
    </row>
    <row r="30" spans="1:23" s="25" customFormat="1">
      <c r="A30" s="73">
        <v>26</v>
      </c>
      <c r="B30" s="220" t="s">
        <v>472</v>
      </c>
      <c r="C30" s="221" t="s">
        <v>464</v>
      </c>
      <c r="D30" s="222" t="s">
        <v>436</v>
      </c>
      <c r="E30" s="69">
        <v>45138.65283564815</v>
      </c>
      <c r="F30" s="70" t="s">
        <v>473</v>
      </c>
      <c r="G30" s="18"/>
      <c r="H30" s="22"/>
      <c r="I30" s="22"/>
      <c r="J30" s="224" t="s">
        <v>465</v>
      </c>
      <c r="K30" s="23">
        <v>45138.653356481482</v>
      </c>
      <c r="L30" s="22" t="s">
        <v>27</v>
      </c>
      <c r="M30" s="22" t="s">
        <v>28</v>
      </c>
      <c r="N30" s="57"/>
      <c r="O30" s="57"/>
      <c r="P30" s="57"/>
      <c r="Q30" s="61"/>
      <c r="R30" s="61"/>
      <c r="S30" s="61"/>
      <c r="T30" s="61"/>
      <c r="U30" s="61"/>
      <c r="V30" s="61"/>
      <c r="W30" s="61"/>
    </row>
    <row r="31" spans="1:23" s="25" customFormat="1">
      <c r="A31" s="73">
        <v>27</v>
      </c>
      <c r="B31" s="21"/>
      <c r="C31" s="41"/>
      <c r="D31" s="29"/>
      <c r="E31" s="69"/>
      <c r="F31" s="70"/>
      <c r="G31" s="29"/>
      <c r="H31" s="22"/>
      <c r="I31" s="22"/>
      <c r="J31" s="22"/>
      <c r="K31" s="23"/>
      <c r="L31" s="22"/>
      <c r="M31" s="22"/>
      <c r="N31" s="57"/>
      <c r="O31" s="57"/>
      <c r="P31" s="57"/>
      <c r="Q31" s="61"/>
      <c r="R31" s="61"/>
      <c r="S31" s="61"/>
      <c r="T31" s="61"/>
      <c r="U31" s="61"/>
      <c r="V31" s="61"/>
      <c r="W31" s="61"/>
    </row>
    <row r="32" spans="1:23" s="25" customFormat="1">
      <c r="A32" s="73">
        <v>28</v>
      </c>
      <c r="B32" s="21"/>
      <c r="C32" s="41"/>
      <c r="D32" s="18"/>
      <c r="E32" s="69"/>
      <c r="F32" s="70"/>
      <c r="G32" s="18"/>
      <c r="H32" s="22"/>
      <c r="I32" s="22"/>
      <c r="J32" s="22"/>
      <c r="K32" s="23"/>
      <c r="L32" s="22"/>
      <c r="M32" s="22"/>
      <c r="N32" s="57"/>
      <c r="O32" s="57"/>
      <c r="P32" s="57"/>
      <c r="Q32" s="61"/>
      <c r="R32" s="61"/>
      <c r="S32" s="61"/>
      <c r="T32" s="61"/>
      <c r="U32" s="61"/>
      <c r="V32" s="61"/>
      <c r="W32" s="61"/>
    </row>
    <row r="33" spans="1:23" s="25" customFormat="1">
      <c r="A33" s="73">
        <v>29</v>
      </c>
      <c r="B33" s="21"/>
      <c r="C33" s="41"/>
      <c r="D33" s="18"/>
      <c r="E33" s="69"/>
      <c r="F33" s="70"/>
      <c r="G33" s="18"/>
      <c r="H33" s="22"/>
      <c r="I33" s="22"/>
      <c r="J33" s="22"/>
      <c r="K33" s="23"/>
      <c r="L33" s="22"/>
      <c r="M33" s="22"/>
      <c r="N33" s="57"/>
      <c r="O33" s="57"/>
      <c r="P33" s="57"/>
      <c r="Q33" s="61"/>
      <c r="R33" s="61"/>
      <c r="S33" s="61"/>
      <c r="T33" s="61"/>
      <c r="U33" s="61"/>
      <c r="V33" s="61"/>
      <c r="W33" s="61"/>
    </row>
    <row r="34" spans="1:23" s="25" customFormat="1">
      <c r="A34" s="73">
        <v>30</v>
      </c>
      <c r="B34" s="21"/>
      <c r="C34" s="41"/>
      <c r="D34" s="18"/>
      <c r="E34" s="69"/>
      <c r="F34" s="70"/>
      <c r="G34" s="18"/>
      <c r="H34" s="22"/>
      <c r="I34" s="22"/>
      <c r="J34" s="22"/>
      <c r="K34" s="23"/>
      <c r="L34" s="22"/>
      <c r="M34" s="22"/>
      <c r="N34" s="57"/>
      <c r="O34" s="57"/>
      <c r="P34" s="57"/>
      <c r="Q34" s="61"/>
      <c r="R34" s="61"/>
      <c r="S34" s="61"/>
      <c r="T34" s="61"/>
      <c r="U34" s="61"/>
      <c r="V34" s="61"/>
      <c r="W34" s="61"/>
    </row>
    <row r="35" spans="1:23" s="25" customFormat="1">
      <c r="A35" s="73">
        <v>31</v>
      </c>
      <c r="B35" s="21"/>
      <c r="C35" s="41"/>
      <c r="D35" s="18"/>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41"/>
      <c r="D36" s="29"/>
      <c r="E36" s="69"/>
      <c r="F36" s="70"/>
      <c r="G36" s="18"/>
      <c r="H36" s="22"/>
      <c r="I36" s="22"/>
      <c r="J36" s="80"/>
      <c r="K36" s="23"/>
      <c r="L36" s="22"/>
      <c r="M36" s="22"/>
      <c r="N36" s="57"/>
      <c r="O36" s="57"/>
      <c r="P36" s="57"/>
      <c r="Q36" s="61"/>
      <c r="R36" s="61"/>
      <c r="S36" s="61"/>
      <c r="T36" s="61"/>
      <c r="U36" s="61"/>
      <c r="V36" s="61"/>
      <c r="W36" s="61"/>
    </row>
    <row r="37" spans="1:23" s="25" customFormat="1">
      <c r="A37" s="73">
        <v>33</v>
      </c>
      <c r="B37" s="21"/>
      <c r="C37" s="41"/>
      <c r="D37" s="29"/>
      <c r="E37" s="69"/>
      <c r="F37" s="70"/>
      <c r="G37" s="18"/>
      <c r="H37" s="22"/>
      <c r="I37" s="22"/>
      <c r="J37" s="22"/>
      <c r="K37" s="23"/>
      <c r="L37" s="22"/>
      <c r="M37" s="22"/>
      <c r="N37" s="57"/>
      <c r="O37" s="57"/>
      <c r="P37" s="57"/>
      <c r="Q37" s="61"/>
      <c r="R37" s="61"/>
      <c r="S37" s="61"/>
      <c r="T37" s="61"/>
      <c r="U37" s="61"/>
      <c r="V37" s="61"/>
      <c r="W37" s="61"/>
    </row>
    <row r="38" spans="1:23" s="25" customFormat="1">
      <c r="A38" s="73">
        <v>34</v>
      </c>
      <c r="B38" s="206"/>
      <c r="C38" s="41"/>
      <c r="D38" s="29"/>
      <c r="E38" s="69"/>
      <c r="F38" s="70"/>
      <c r="G38" s="18"/>
      <c r="H38" s="22"/>
      <c r="I38" s="22"/>
      <c r="J38" s="22"/>
      <c r="K38" s="23"/>
      <c r="L38" s="22"/>
      <c r="M38" s="22"/>
      <c r="N38" s="57"/>
      <c r="O38" s="57"/>
      <c r="P38" s="57"/>
      <c r="Q38" s="61"/>
      <c r="R38" s="61"/>
      <c r="S38" s="61"/>
      <c r="T38" s="61"/>
      <c r="U38" s="61"/>
      <c r="V38" s="61"/>
      <c r="W38" s="61"/>
    </row>
    <row r="39" spans="1:23" s="25" customFormat="1">
      <c r="A39" s="73">
        <v>35</v>
      </c>
      <c r="B39" s="206"/>
      <c r="C39" s="41"/>
      <c r="D39" s="29"/>
      <c r="E39" s="69"/>
      <c r="F39" s="70"/>
      <c r="G39" s="18"/>
      <c r="H39" s="22"/>
      <c r="I39" s="22"/>
      <c r="J39" s="22"/>
      <c r="K39" s="23"/>
      <c r="L39" s="22"/>
      <c r="M39" s="22"/>
      <c r="N39" s="57"/>
      <c r="O39" s="57"/>
      <c r="P39" s="57"/>
      <c r="Q39" s="61"/>
      <c r="R39" s="61"/>
      <c r="S39" s="61"/>
      <c r="T39" s="61"/>
      <c r="U39" s="61"/>
      <c r="V39" s="61"/>
      <c r="W39" s="61"/>
    </row>
    <row r="40" spans="1:23" s="25" customFormat="1">
      <c r="A40" s="73">
        <v>36</v>
      </c>
      <c r="B40" s="206"/>
      <c r="C40" s="41"/>
      <c r="D40" s="29"/>
      <c r="E40" s="69"/>
      <c r="F40" s="70"/>
      <c r="G40" s="18"/>
      <c r="H40" s="22"/>
      <c r="I40" s="22"/>
      <c r="J40" s="22"/>
      <c r="K40" s="23"/>
      <c r="L40" s="22"/>
      <c r="M40" s="22"/>
      <c r="N40" s="57"/>
      <c r="O40" s="57"/>
      <c r="P40" s="57"/>
      <c r="Q40" s="61"/>
      <c r="R40" s="61"/>
      <c r="S40" s="61"/>
      <c r="T40" s="61"/>
      <c r="U40" s="61"/>
      <c r="V40" s="61"/>
      <c r="W40" s="61"/>
    </row>
    <row r="41" spans="1:23" s="25" customFormat="1">
      <c r="A41" s="73">
        <v>37</v>
      </c>
      <c r="B41" s="206"/>
      <c r="C41" s="41"/>
      <c r="D41" s="29"/>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29"/>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29"/>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29"/>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29"/>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41"/>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41"/>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0" type="noConversion"/>
  <conditionalFormatting sqref="L205:L65536 P1:P2">
    <cfRule type="cellIs" dxfId="372" priority="83" stopIfTrue="1" operator="equal">
      <formula>"Fixed"</formula>
    </cfRule>
    <cfRule type="cellIs" dxfId="371" priority="84" stopIfTrue="1" operator="equal">
      <formula>"Open"</formula>
    </cfRule>
  </conditionalFormatting>
  <conditionalFormatting sqref="L4">
    <cfRule type="cellIs" dxfId="370" priority="85" stopIfTrue="1" operator="equal">
      <formula>"Open"</formula>
    </cfRule>
    <cfRule type="cellIs" dxfId="369" priority="86" stopIfTrue="1" operator="equal">
      <formula>"Fixed"</formula>
    </cfRule>
  </conditionalFormatting>
  <conditionalFormatting sqref="L5:L37 L40:L43 L46:L204">
    <cfRule type="expression" dxfId="368" priority="87" stopIfTrue="1">
      <formula>AND($M5="Approved",$L5="Fixed")</formula>
    </cfRule>
    <cfRule type="cellIs" dxfId="367" priority="88" stopIfTrue="1" operator="equal">
      <formula>"Fixed"</formula>
    </cfRule>
    <cfRule type="cellIs" dxfId="366" priority="89" stopIfTrue="1" operator="equal">
      <formula>"Open"</formula>
    </cfRule>
  </conditionalFormatting>
  <conditionalFormatting sqref="M5:M37 M40:M43 M46:M204">
    <cfRule type="expression" dxfId="365" priority="90" stopIfTrue="1">
      <formula>OR(M5="Fixed",M5="Approved")</formula>
    </cfRule>
    <cfRule type="cellIs" dxfId="364" priority="91" stopIfTrue="1" operator="equal">
      <formula>"Rejected"</formula>
    </cfRule>
  </conditionalFormatting>
  <conditionalFormatting sqref="A3">
    <cfRule type="expression" dxfId="363" priority="77" stopIfTrue="1">
      <formula>$X$2=1</formula>
    </cfRule>
    <cfRule type="expression" dxfId="362" priority="78" stopIfTrue="1">
      <formula>$Y$2=1</formula>
    </cfRule>
    <cfRule type="expression" dxfId="361" priority="80" stopIfTrue="1">
      <formula>$AA$2=1</formula>
    </cfRule>
  </conditionalFormatting>
  <conditionalFormatting sqref="A3:C3">
    <cfRule type="expression" dxfId="360" priority="79" stopIfTrue="1">
      <formula>$Z$2=1</formula>
    </cfRule>
  </conditionalFormatting>
  <conditionalFormatting sqref="A36:K36 A5:A35 C19:K19 D37:K37 A37:A41 D40:K41 A42:K43 A44:A46 D46:K46 A47:K204 C5 E5:K5 C10:C11 E10:K11 D6:K9 D12:K14 E15:K16 D17:K18 C21:K21 D20:K20 C22:G22 D23:K23 D24:G26 C27:K35">
    <cfRule type="expression" dxfId="359" priority="261" stopIfTrue="1">
      <formula>AND($M5="Approved",OR($L5=$R$1,$L5=$T$1))</formula>
    </cfRule>
  </conditionalFormatting>
  <conditionalFormatting sqref="B5 B8 B10:B11 B19:B22 B27:B35">
    <cfRule type="expression" dxfId="358" priority="76" stopIfTrue="1">
      <formula>AND($M5="Approved",OR($L5=$R$1,$L5=$T$1))</formula>
    </cfRule>
  </conditionalFormatting>
  <conditionalFormatting sqref="C37">
    <cfRule type="expression" dxfId="357" priority="75" stopIfTrue="1">
      <formula>AND($M37="Approved",OR($L37=$R$1,$L37=$T$1))</formula>
    </cfRule>
  </conditionalFormatting>
  <conditionalFormatting sqref="B37">
    <cfRule type="expression" dxfId="356" priority="74" stopIfTrue="1">
      <formula>AND($M37="Approved",OR($L37=$R$1,$L37=$T$1))</formula>
    </cfRule>
  </conditionalFormatting>
  <conditionalFormatting sqref="L38">
    <cfRule type="expression" dxfId="355" priority="68" stopIfTrue="1">
      <formula>AND($M38="Approved",$L38="Fixed")</formula>
    </cfRule>
    <cfRule type="cellIs" dxfId="354" priority="69" stopIfTrue="1" operator="equal">
      <formula>"Fixed"</formula>
    </cfRule>
    <cfRule type="cellIs" dxfId="353" priority="70" stopIfTrue="1" operator="equal">
      <formula>"Open"</formula>
    </cfRule>
  </conditionalFormatting>
  <conditionalFormatting sqref="M38">
    <cfRule type="expression" dxfId="352" priority="71" stopIfTrue="1">
      <formula>OR(M38="Fixed",M38="Approved")</formula>
    </cfRule>
    <cfRule type="cellIs" dxfId="351" priority="72" stopIfTrue="1" operator="equal">
      <formula>"Rejected"</formula>
    </cfRule>
  </conditionalFormatting>
  <conditionalFormatting sqref="D38:K38">
    <cfRule type="expression" dxfId="350" priority="73" stopIfTrue="1">
      <formula>AND($M38="Approved",OR($L38=$R$1,$L38=$T$1))</formula>
    </cfRule>
  </conditionalFormatting>
  <conditionalFormatting sqref="C38">
    <cfRule type="expression" dxfId="349" priority="67" stopIfTrue="1">
      <formula>AND($M38="Approved",OR($L38=$R$1,$L38=$T$1))</formula>
    </cfRule>
  </conditionalFormatting>
  <conditionalFormatting sqref="B38">
    <cfRule type="expression" dxfId="348" priority="66" stopIfTrue="1">
      <formula>AND($M38="Approved",OR($L38=$R$1,$L38=$T$1))</formula>
    </cfRule>
  </conditionalFormatting>
  <conditionalFormatting sqref="L39">
    <cfRule type="expression" dxfId="347" priority="60" stopIfTrue="1">
      <formula>AND($M39="Approved",$L39="Fixed")</formula>
    </cfRule>
    <cfRule type="cellIs" dxfId="346" priority="61" stopIfTrue="1" operator="equal">
      <formula>"Fixed"</formula>
    </cfRule>
    <cfRule type="cellIs" dxfId="345" priority="62" stopIfTrue="1" operator="equal">
      <formula>"Open"</formula>
    </cfRule>
  </conditionalFormatting>
  <conditionalFormatting sqref="M39">
    <cfRule type="expression" dxfId="344" priority="63" stopIfTrue="1">
      <formula>OR(M39="Fixed",M39="Approved")</formula>
    </cfRule>
    <cfRule type="cellIs" dxfId="343" priority="64" stopIfTrue="1" operator="equal">
      <formula>"Rejected"</formula>
    </cfRule>
  </conditionalFormatting>
  <conditionalFormatting sqref="D39:K39">
    <cfRule type="expression" dxfId="342" priority="65" stopIfTrue="1">
      <formula>AND($M39="Approved",OR($L39=$R$1,$L39=$T$1))</formula>
    </cfRule>
  </conditionalFormatting>
  <conditionalFormatting sqref="C39">
    <cfRule type="expression" dxfId="341" priority="59" stopIfTrue="1">
      <formula>AND($M39="Approved",OR($L39=$R$1,$L39=$T$1))</formula>
    </cfRule>
  </conditionalFormatting>
  <conditionalFormatting sqref="B39">
    <cfRule type="expression" dxfId="340" priority="58" stopIfTrue="1">
      <formula>AND($M39="Approved",OR($L39=$R$1,$L39=$T$1))</formula>
    </cfRule>
  </conditionalFormatting>
  <conditionalFormatting sqref="C40">
    <cfRule type="expression" dxfId="339" priority="57" stopIfTrue="1">
      <formula>AND($M40="Approved",OR($L40=$R$1,$L40=$T$1))</formula>
    </cfRule>
  </conditionalFormatting>
  <conditionalFormatting sqref="B40">
    <cfRule type="expression" dxfId="338" priority="56" stopIfTrue="1">
      <formula>AND($M40="Approved",OR($L40=$R$1,$L40=$T$1))</formula>
    </cfRule>
  </conditionalFormatting>
  <conditionalFormatting sqref="C41">
    <cfRule type="expression" dxfId="337" priority="55" stopIfTrue="1">
      <formula>AND($M41="Approved",OR($L41=$R$1,$L41=$T$1))</formula>
    </cfRule>
  </conditionalFormatting>
  <conditionalFormatting sqref="B41">
    <cfRule type="expression" dxfId="336" priority="54" stopIfTrue="1">
      <formula>AND($M41="Approved",OR($L41=$R$1,$L41=$T$1))</formula>
    </cfRule>
  </conditionalFormatting>
  <conditionalFormatting sqref="L44">
    <cfRule type="expression" dxfId="335" priority="48" stopIfTrue="1">
      <formula>AND($M44="Approved",$L44="Fixed")</formula>
    </cfRule>
    <cfRule type="cellIs" dxfId="334" priority="49" stopIfTrue="1" operator="equal">
      <formula>"Fixed"</formula>
    </cfRule>
    <cfRule type="cellIs" dxfId="333" priority="50" stopIfTrue="1" operator="equal">
      <formula>"Open"</formula>
    </cfRule>
  </conditionalFormatting>
  <conditionalFormatting sqref="M44">
    <cfRule type="expression" dxfId="332" priority="51" stopIfTrue="1">
      <formula>OR(M44="Fixed",M44="Approved")</formula>
    </cfRule>
    <cfRule type="cellIs" dxfId="331" priority="52" stopIfTrue="1" operator="equal">
      <formula>"Rejected"</formula>
    </cfRule>
  </conditionalFormatting>
  <conditionalFormatting sqref="B44:K44">
    <cfRule type="expression" dxfId="330" priority="53" stopIfTrue="1">
      <formula>AND($M44="Approved",OR($L44=$R$1,$L44=$T$1))</formula>
    </cfRule>
  </conditionalFormatting>
  <conditionalFormatting sqref="L45">
    <cfRule type="expression" dxfId="329" priority="42" stopIfTrue="1">
      <formula>AND($M45="Approved",$L45="Fixed")</formula>
    </cfRule>
    <cfRule type="cellIs" dxfId="328" priority="43" stopIfTrue="1" operator="equal">
      <formula>"Fixed"</formula>
    </cfRule>
    <cfRule type="cellIs" dxfId="327" priority="44" stopIfTrue="1" operator="equal">
      <formula>"Open"</formula>
    </cfRule>
  </conditionalFormatting>
  <conditionalFormatting sqref="M45">
    <cfRule type="expression" dxfId="326" priority="45" stopIfTrue="1">
      <formula>OR(M45="Fixed",M45="Approved")</formula>
    </cfRule>
    <cfRule type="cellIs" dxfId="325" priority="46" stopIfTrue="1" operator="equal">
      <formula>"Rejected"</formula>
    </cfRule>
  </conditionalFormatting>
  <conditionalFormatting sqref="B45:K45">
    <cfRule type="expression" dxfId="324" priority="47" stopIfTrue="1">
      <formula>AND($M45="Approved",OR($L45=$R$1,$L45=$T$1))</formula>
    </cfRule>
  </conditionalFormatting>
  <conditionalFormatting sqref="B46:C46">
    <cfRule type="expression" dxfId="323" priority="41" stopIfTrue="1">
      <formula>AND($M46="Approved",OR($L46=$R$1,$L46=$T$1))</formula>
    </cfRule>
  </conditionalFormatting>
  <conditionalFormatting sqref="D5">
    <cfRule type="expression" dxfId="322" priority="40" stopIfTrue="1">
      <formula>AND($M5="Approved",OR($L5=$R$1,$L5=$T$1))</formula>
    </cfRule>
  </conditionalFormatting>
  <conditionalFormatting sqref="C6">
    <cfRule type="expression" dxfId="321" priority="39" stopIfTrue="1">
      <formula>AND($M6="Approved",OR($L6=$R$1,$L6=$T$1))</formula>
    </cfRule>
  </conditionalFormatting>
  <conditionalFormatting sqref="B6">
    <cfRule type="expression" dxfId="320" priority="38" stopIfTrue="1">
      <formula>AND($M6="Approved",OR($L6=$R$1,$L6=$T$1))</formula>
    </cfRule>
  </conditionalFormatting>
  <conditionalFormatting sqref="C7">
    <cfRule type="expression" dxfId="319" priority="37" stopIfTrue="1">
      <formula>AND($M7="Approved",OR($L7=$R$1,$L7=$T$1))</formula>
    </cfRule>
  </conditionalFormatting>
  <conditionalFormatting sqref="B7">
    <cfRule type="expression" dxfId="318" priority="36" stopIfTrue="1">
      <formula>AND($M7="Approved",OR($L7=$R$1,$L7=$T$1))</formula>
    </cfRule>
  </conditionalFormatting>
  <conditionalFormatting sqref="C8">
    <cfRule type="expression" dxfId="317" priority="35" stopIfTrue="1">
      <formula>AND($M8="Approved",OR($L8=$R$1,$L8=$T$1))</formula>
    </cfRule>
  </conditionalFormatting>
  <conditionalFormatting sqref="B9">
    <cfRule type="expression" dxfId="316" priority="34" stopIfTrue="1">
      <formula>AND($M9="Approved",OR($L9=$R$1,$L9=$T$1))</formula>
    </cfRule>
  </conditionalFormatting>
  <conditionalFormatting sqref="C9">
    <cfRule type="expression" dxfId="315" priority="33" stopIfTrue="1">
      <formula>AND($M9="Approved",OR($L9=$R$1,$L9=$T$1))</formula>
    </cfRule>
  </conditionalFormatting>
  <conditionalFormatting sqref="D10">
    <cfRule type="expression" dxfId="314" priority="32" stopIfTrue="1">
      <formula>AND($M10="Approved",OR($L10=$R$1,$L10=$T$1))</formula>
    </cfRule>
  </conditionalFormatting>
  <conditionalFormatting sqref="D11">
    <cfRule type="expression" dxfId="313" priority="31" stopIfTrue="1">
      <formula>AND($M11="Approved",OR($L11=$R$1,$L11=$T$1))</formula>
    </cfRule>
  </conditionalFormatting>
  <conditionalFormatting sqref="C12">
    <cfRule type="expression" dxfId="312" priority="30" stopIfTrue="1">
      <formula>AND($M12="Approved",OR($L12=$R$1,$L12=$T$1))</formula>
    </cfRule>
  </conditionalFormatting>
  <conditionalFormatting sqref="B12">
    <cfRule type="expression" dxfId="311" priority="29" stopIfTrue="1">
      <formula>AND($M12="Approved",OR($L12=$R$1,$L12=$T$1))</formula>
    </cfRule>
  </conditionalFormatting>
  <conditionalFormatting sqref="C13">
    <cfRule type="expression" dxfId="310" priority="28" stopIfTrue="1">
      <formula>AND($M13="Approved",OR($L13=$R$1,$L13=$T$1))</formula>
    </cfRule>
  </conditionalFormatting>
  <conditionalFormatting sqref="B13">
    <cfRule type="expression" dxfId="309" priority="27" stopIfTrue="1">
      <formula>AND($M13="Approved",OR($L13=$R$1,$L13=$T$1))</formula>
    </cfRule>
  </conditionalFormatting>
  <conditionalFormatting sqref="C14">
    <cfRule type="expression" dxfId="308" priority="26" stopIfTrue="1">
      <formula>AND($M14="Approved",OR($L14=$R$1,$L14=$T$1))</formula>
    </cfRule>
  </conditionalFormatting>
  <conditionalFormatting sqref="B14">
    <cfRule type="expression" dxfId="307" priority="25" stopIfTrue="1">
      <formula>AND($M14="Approved",OR($L14=$R$1,$L14=$T$1))</formula>
    </cfRule>
  </conditionalFormatting>
  <conditionalFormatting sqref="B15">
    <cfRule type="expression" dxfId="306" priority="22" stopIfTrue="1">
      <formula>AND($M15="Approved",OR($L15=$R$1,$L15=$T$1))</formula>
    </cfRule>
  </conditionalFormatting>
  <conditionalFormatting sqref="C15">
    <cfRule type="expression" dxfId="305" priority="21" stopIfTrue="1">
      <formula>AND($M15="Approved",OR($L15=$R$1,$L15=$T$1))</formula>
    </cfRule>
  </conditionalFormatting>
  <conditionalFormatting sqref="C16">
    <cfRule type="expression" dxfId="304" priority="20" stopIfTrue="1">
      <formula>AND($M16="Approved",OR($L16=$R$1,$L16=$T$1))</formula>
    </cfRule>
  </conditionalFormatting>
  <conditionalFormatting sqref="B16">
    <cfRule type="expression" dxfId="303" priority="19" stopIfTrue="1">
      <formula>AND($M16="Approved",OR($L16=$R$1,$L16=$T$1))</formula>
    </cfRule>
  </conditionalFormatting>
  <conditionalFormatting sqref="D15">
    <cfRule type="expression" dxfId="302" priority="18" stopIfTrue="1">
      <formula>AND($M15="Approved",OR($L15=$R$1,$L15=$T$1))</formula>
    </cfRule>
  </conditionalFormatting>
  <conditionalFormatting sqref="D16">
    <cfRule type="expression" dxfId="301" priority="17" stopIfTrue="1">
      <formula>AND($M16="Approved",OR($L16=$R$1,$L16=$T$1))</formula>
    </cfRule>
  </conditionalFormatting>
  <conditionalFormatting sqref="B17">
    <cfRule type="expression" dxfId="300" priority="16" stopIfTrue="1">
      <formula>AND($M17="Approved",OR($L17=$R$1,$L17=$T$1))</formula>
    </cfRule>
  </conditionalFormatting>
  <conditionalFormatting sqref="C17">
    <cfRule type="expression" dxfId="299" priority="15" stopIfTrue="1">
      <formula>AND($M17="Approved",OR($L17=$R$1,$L17=$T$1))</formula>
    </cfRule>
  </conditionalFormatting>
  <conditionalFormatting sqref="C18">
    <cfRule type="expression" dxfId="298" priority="14" stopIfTrue="1">
      <formula>AND($M18="Approved",OR($L18=$R$1,$L18=$T$1))</formula>
    </cfRule>
  </conditionalFormatting>
  <conditionalFormatting sqref="B18">
    <cfRule type="expression" dxfId="297" priority="13" stopIfTrue="1">
      <formula>AND($M18="Approved",OR($L18=$R$1,$L18=$T$1))</formula>
    </cfRule>
  </conditionalFormatting>
  <conditionalFormatting sqref="C20">
    <cfRule type="expression" dxfId="296" priority="12" stopIfTrue="1">
      <formula>AND($M20="Approved",OR($L20=$R$1,$L20=$T$1))</formula>
    </cfRule>
  </conditionalFormatting>
  <conditionalFormatting sqref="C23">
    <cfRule type="expression" dxfId="295" priority="11" stopIfTrue="1">
      <formula>AND($M23="Approved",OR($L23=$R$1,$L23=$T$1))</formula>
    </cfRule>
  </conditionalFormatting>
  <conditionalFormatting sqref="B23">
    <cfRule type="expression" dxfId="294" priority="10" stopIfTrue="1">
      <formula>AND($M23="Approved",OR($L23=$R$1,$L23=$T$1))</formula>
    </cfRule>
  </conditionalFormatting>
  <conditionalFormatting sqref="H22:K22">
    <cfRule type="expression" dxfId="293" priority="9" stopIfTrue="1">
      <formula>AND($M22="Approved",OR($L22=$R$1,$L22=$T$1))</formula>
    </cfRule>
  </conditionalFormatting>
  <conditionalFormatting sqref="C24">
    <cfRule type="expression" dxfId="292" priority="8" stopIfTrue="1">
      <formula>AND($M24="Approved",OR($L24=$R$1,$L24=$T$1))</formula>
    </cfRule>
  </conditionalFormatting>
  <conditionalFormatting sqref="B24">
    <cfRule type="expression" dxfId="291" priority="7" stopIfTrue="1">
      <formula>AND($M24="Approved",OR($L24=$R$1,$L24=$T$1))</formula>
    </cfRule>
  </conditionalFormatting>
  <conditionalFormatting sqref="C25">
    <cfRule type="expression" dxfId="290" priority="6" stopIfTrue="1">
      <formula>AND($M25="Approved",OR($L25=$R$1,$L25=$T$1))</formula>
    </cfRule>
  </conditionalFormatting>
  <conditionalFormatting sqref="B25">
    <cfRule type="expression" dxfId="289" priority="5" stopIfTrue="1">
      <formula>AND($M25="Approved",OR($L25=$R$1,$L25=$T$1))</formula>
    </cfRule>
  </conditionalFormatting>
  <conditionalFormatting sqref="H24:K25">
    <cfRule type="expression" dxfId="288" priority="4" stopIfTrue="1">
      <formula>AND($M24="Approved",OR($L24=$R$1,$L24=$T$1))</formula>
    </cfRule>
  </conditionalFormatting>
  <conditionalFormatting sqref="C26">
    <cfRule type="expression" dxfId="287" priority="3" stopIfTrue="1">
      <formula>AND($M26="Approved",OR($L26=$R$1,$L26=$T$1))</formula>
    </cfRule>
  </conditionalFormatting>
  <conditionalFormatting sqref="B26">
    <cfRule type="expression" dxfId="286" priority="2" stopIfTrue="1">
      <formula>AND($M26="Approved",OR($L26=$R$1,$L26=$T$1))</formula>
    </cfRule>
  </conditionalFormatting>
  <conditionalFormatting sqref="H26:K26">
    <cfRule type="expression" dxfId="285" priority="1" stopIfTrue="1">
      <formula>AND($M26="Approved",OR($L26=$R$1,$L26=$T$1))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J35"/>
  <sheetViews>
    <sheetView zoomScale="130" zoomScaleNormal="130" workbookViewId="0">
      <pane xSplit="1" ySplit="3" topLeftCell="B4" activePane="bottomRight" state="frozen"/>
      <selection pane="topRight" activeCell="B1" sqref="B1"/>
      <selection pane="bottomLeft" activeCell="A4" sqref="A4"/>
      <selection pane="bottomRight" activeCell="F3" sqref="F3"/>
    </sheetView>
  </sheetViews>
  <sheetFormatPr defaultColWidth="9.28515625" defaultRowHeight="12.75" outlineLevelCol="1"/>
  <cols>
    <col min="1" max="1" width="12.85546875" style="159" bestFit="1" customWidth="1"/>
    <col min="2" max="2" width="61" style="158" customWidth="1"/>
    <col min="3" max="3" width="9.140625" style="157" customWidth="1"/>
    <col min="4" max="6" width="13.7109375" style="157" customWidth="1"/>
    <col min="7" max="7" width="33.7109375" style="157" customWidth="1"/>
    <col min="8" max="9" width="30.7109375" style="157" customWidth="1" outlineLevel="1"/>
    <col min="10" max="16384" width="9.28515625" style="157"/>
  </cols>
  <sheetData>
    <row r="2" spans="1:10" ht="78" customHeight="1">
      <c r="A2" s="182" t="s">
        <v>216</v>
      </c>
      <c r="B2" s="183" t="s">
        <v>229</v>
      </c>
      <c r="C2" s="184" t="s">
        <v>459</v>
      </c>
      <c r="D2" s="184" t="s">
        <v>466</v>
      </c>
      <c r="E2" s="184" t="s">
        <v>474</v>
      </c>
      <c r="F2" s="184" t="s">
        <v>469</v>
      </c>
      <c r="G2" s="185" t="s">
        <v>225</v>
      </c>
      <c r="H2" s="332" t="s">
        <v>185</v>
      </c>
      <c r="I2" s="333"/>
    </row>
    <row r="3" spans="1:10" ht="18.75">
      <c r="A3" s="186"/>
      <c r="B3" s="187"/>
      <c r="C3" s="188">
        <f>COUNTIF(Review.ratings,"Yes") / ( COUNTA(Review.QuestionIds) - COUNTIF(Review.ratings,"NA"))</f>
        <v>1</v>
      </c>
      <c r="D3" s="188">
        <f>COUNTIF(Review.ratings,"Yes") / ( COUNTA(Review.QuestionIds) - COUNTIF(Review.ratings,"NA"))</f>
        <v>1</v>
      </c>
      <c r="E3" s="188">
        <f>COUNTIF(Review.ratings,"Yes") / ( COUNTA(Review.QuestionIds) - COUNTIF(Review.ratings,"NA"))</f>
        <v>1</v>
      </c>
      <c r="F3" s="188">
        <f>COUNTIF(Review.ratings,"Yes") / ( COUNTA(Review.QuestionIds) - COUNTIF(Review.ratings,"NA"))</f>
        <v>1</v>
      </c>
      <c r="G3" s="193"/>
      <c r="H3" s="201" t="s">
        <v>222</v>
      </c>
      <c r="I3" s="201" t="s">
        <v>223</v>
      </c>
      <c r="J3" s="194"/>
    </row>
    <row r="4" spans="1:10" ht="36">
      <c r="A4" s="189"/>
      <c r="B4" s="190" t="s">
        <v>227</v>
      </c>
      <c r="C4" s="191"/>
      <c r="D4" s="191"/>
      <c r="E4" s="191"/>
      <c r="F4" s="191"/>
      <c r="G4" s="191"/>
      <c r="H4" s="191"/>
      <c r="I4" s="192"/>
      <c r="J4" s="25"/>
    </row>
    <row r="5" spans="1:10" ht="18.75">
      <c r="A5" s="160"/>
      <c r="B5" s="168" t="s">
        <v>226</v>
      </c>
      <c r="C5" s="161"/>
      <c r="D5" s="161"/>
      <c r="E5" s="161"/>
      <c r="F5" s="161"/>
      <c r="G5" s="161"/>
      <c r="H5" s="201"/>
      <c r="I5" s="201"/>
    </row>
    <row r="6" spans="1:10" ht="38.25">
      <c r="A6" s="163" t="s">
        <v>339</v>
      </c>
      <c r="B6" s="171" t="s">
        <v>228</v>
      </c>
      <c r="C6" s="195" t="s">
        <v>215</v>
      </c>
      <c r="D6" s="195" t="s">
        <v>215</v>
      </c>
      <c r="E6" s="195" t="s">
        <v>215</v>
      </c>
      <c r="F6" s="195" t="s">
        <v>215</v>
      </c>
      <c r="G6" s="196"/>
      <c r="H6" s="162"/>
      <c r="I6" s="162"/>
    </row>
    <row r="7" spans="1:10" ht="18.75">
      <c r="A7" s="160"/>
      <c r="B7" s="168" t="s">
        <v>264</v>
      </c>
      <c r="C7" s="161"/>
      <c r="D7" s="161"/>
      <c r="E7" s="161"/>
      <c r="F7" s="161"/>
      <c r="G7" s="161"/>
      <c r="H7" s="201"/>
      <c r="I7" s="201"/>
    </row>
    <row r="8" spans="1:10" ht="38.25">
      <c r="A8" s="163" t="s">
        <v>341</v>
      </c>
      <c r="B8" s="171" t="s">
        <v>265</v>
      </c>
      <c r="C8" s="195" t="s">
        <v>215</v>
      </c>
      <c r="D8" s="195" t="s">
        <v>215</v>
      </c>
      <c r="E8" s="195" t="s">
        <v>215</v>
      </c>
      <c r="F8" s="195" t="s">
        <v>215</v>
      </c>
      <c r="G8" s="196"/>
      <c r="H8" s="162"/>
      <c r="I8" s="162"/>
    </row>
    <row r="9" spans="1:10" ht="25.5">
      <c r="A9" s="163" t="s">
        <v>342</v>
      </c>
      <c r="B9" s="171" t="s">
        <v>266</v>
      </c>
      <c r="C9" s="195" t="s">
        <v>215</v>
      </c>
      <c r="D9" s="195" t="s">
        <v>215</v>
      </c>
      <c r="E9" s="195" t="s">
        <v>215</v>
      </c>
      <c r="F9" s="195" t="s">
        <v>215</v>
      </c>
      <c r="G9" s="196"/>
      <c r="H9" s="162"/>
      <c r="I9" s="162"/>
    </row>
    <row r="10" spans="1:10" ht="38.25">
      <c r="A10" s="163" t="s">
        <v>343</v>
      </c>
      <c r="B10" s="171" t="s">
        <v>344</v>
      </c>
      <c r="C10" s="195" t="s">
        <v>215</v>
      </c>
      <c r="D10" s="195" t="s">
        <v>215</v>
      </c>
      <c r="E10" s="195" t="s">
        <v>215</v>
      </c>
      <c r="F10" s="195" t="s">
        <v>215</v>
      </c>
      <c r="G10" s="196"/>
      <c r="H10" s="162"/>
      <c r="I10" s="162"/>
    </row>
    <row r="11" spans="1:10" ht="25.5">
      <c r="A11" s="163" t="s">
        <v>345</v>
      </c>
      <c r="B11" s="171" t="s">
        <v>267</v>
      </c>
      <c r="C11" s="195" t="s">
        <v>215</v>
      </c>
      <c r="D11" s="195" t="s">
        <v>215</v>
      </c>
      <c r="E11" s="195" t="s">
        <v>215</v>
      </c>
      <c r="F11" s="195" t="s">
        <v>215</v>
      </c>
      <c r="G11" s="196"/>
      <c r="H11" s="162"/>
      <c r="I11" s="162"/>
    </row>
    <row r="12" spans="1:10" ht="51">
      <c r="A12" s="163" t="s">
        <v>346</v>
      </c>
      <c r="B12" s="171" t="s">
        <v>268</v>
      </c>
      <c r="C12" s="195" t="s">
        <v>215</v>
      </c>
      <c r="D12" s="195" t="s">
        <v>215</v>
      </c>
      <c r="E12" s="195" t="s">
        <v>215</v>
      </c>
      <c r="F12" s="195" t="s">
        <v>215</v>
      </c>
      <c r="G12" s="196"/>
      <c r="H12" s="162"/>
      <c r="I12" s="162"/>
    </row>
    <row r="13" spans="1:10" ht="25.5">
      <c r="A13" s="163" t="s">
        <v>347</v>
      </c>
      <c r="B13" s="171" t="s">
        <v>269</v>
      </c>
      <c r="C13" s="195" t="s">
        <v>215</v>
      </c>
      <c r="D13" s="195" t="s">
        <v>215</v>
      </c>
      <c r="E13" s="195" t="s">
        <v>215</v>
      </c>
      <c r="F13" s="195" t="s">
        <v>215</v>
      </c>
      <c r="G13" s="196"/>
      <c r="H13" s="162"/>
      <c r="I13" s="162"/>
    </row>
    <row r="14" spans="1:10" ht="25.5">
      <c r="A14" s="163" t="s">
        <v>348</v>
      </c>
      <c r="B14" s="171" t="s">
        <v>270</v>
      </c>
      <c r="C14" s="195" t="s">
        <v>215</v>
      </c>
      <c r="D14" s="195" t="s">
        <v>215</v>
      </c>
      <c r="E14" s="195" t="s">
        <v>215</v>
      </c>
      <c r="F14" s="195" t="s">
        <v>215</v>
      </c>
      <c r="G14" s="196"/>
      <c r="H14" s="162"/>
      <c r="I14" s="162"/>
    </row>
    <row r="15" spans="1:10" ht="38.25">
      <c r="A15" s="163" t="s">
        <v>349</v>
      </c>
      <c r="B15" s="171" t="s">
        <v>271</v>
      </c>
      <c r="C15" s="195" t="s">
        <v>215</v>
      </c>
      <c r="D15" s="195" t="s">
        <v>215</v>
      </c>
      <c r="E15" s="195" t="s">
        <v>215</v>
      </c>
      <c r="F15" s="195" t="s">
        <v>215</v>
      </c>
      <c r="G15" s="196"/>
      <c r="H15" s="162"/>
      <c r="I15" s="162"/>
    </row>
    <row r="16" spans="1:10" ht="25.5">
      <c r="A16" s="163" t="s">
        <v>350</v>
      </c>
      <c r="B16" s="171" t="s">
        <v>340</v>
      </c>
      <c r="C16" s="195" t="s">
        <v>215</v>
      </c>
      <c r="D16" s="195" t="s">
        <v>215</v>
      </c>
      <c r="E16" s="195" t="s">
        <v>215</v>
      </c>
      <c r="F16" s="195" t="s">
        <v>215</v>
      </c>
      <c r="G16" s="196"/>
      <c r="H16" s="162"/>
      <c r="I16" s="162"/>
    </row>
    <row r="17" spans="1:9" ht="38.25">
      <c r="A17" s="163" t="s">
        <v>351</v>
      </c>
      <c r="B17" s="171" t="s">
        <v>352</v>
      </c>
      <c r="C17" s="195" t="s">
        <v>215</v>
      </c>
      <c r="D17" s="195" t="s">
        <v>215</v>
      </c>
      <c r="E17" s="195" t="s">
        <v>215</v>
      </c>
      <c r="F17" s="195" t="s">
        <v>215</v>
      </c>
      <c r="G17" s="196"/>
      <c r="H17" s="162"/>
      <c r="I17" s="162"/>
    </row>
    <row r="18" spans="1:9" ht="38.25">
      <c r="A18" s="163" t="s">
        <v>353</v>
      </c>
      <c r="B18" s="171" t="s">
        <v>272</v>
      </c>
      <c r="C18" s="195" t="s">
        <v>215</v>
      </c>
      <c r="D18" s="195" t="s">
        <v>215</v>
      </c>
      <c r="E18" s="195" t="s">
        <v>215</v>
      </c>
      <c r="F18" s="195" t="s">
        <v>215</v>
      </c>
      <c r="G18" s="196"/>
      <c r="H18" s="162"/>
      <c r="I18" s="162"/>
    </row>
    <row r="19" spans="1:9" ht="25.5">
      <c r="A19" s="163" t="s">
        <v>354</v>
      </c>
      <c r="B19" s="171" t="s">
        <v>273</v>
      </c>
      <c r="C19" s="195" t="s">
        <v>215</v>
      </c>
      <c r="D19" s="195" t="s">
        <v>215</v>
      </c>
      <c r="E19" s="195" t="s">
        <v>215</v>
      </c>
      <c r="F19" s="195" t="s">
        <v>215</v>
      </c>
      <c r="G19" s="196"/>
      <c r="H19" s="162"/>
      <c r="I19" s="162"/>
    </row>
    <row r="20" spans="1:9" ht="25.5">
      <c r="A20" s="163" t="s">
        <v>355</v>
      </c>
      <c r="B20" s="171" t="s">
        <v>274</v>
      </c>
      <c r="C20" s="195" t="s">
        <v>215</v>
      </c>
      <c r="D20" s="195" t="s">
        <v>215</v>
      </c>
      <c r="E20" s="195" t="s">
        <v>215</v>
      </c>
      <c r="F20" s="195" t="s">
        <v>215</v>
      </c>
      <c r="G20" s="196"/>
      <c r="H20" s="162"/>
      <c r="I20" s="162"/>
    </row>
    <row r="21" spans="1:9" ht="38.25">
      <c r="A21" s="163" t="s">
        <v>356</v>
      </c>
      <c r="B21" s="171" t="s">
        <v>275</v>
      </c>
      <c r="C21" s="195" t="s">
        <v>215</v>
      </c>
      <c r="D21" s="195" t="s">
        <v>215</v>
      </c>
      <c r="E21" s="195" t="s">
        <v>215</v>
      </c>
      <c r="F21" s="195" t="s">
        <v>215</v>
      </c>
      <c r="G21" s="196"/>
      <c r="H21" s="162"/>
      <c r="I21" s="162"/>
    </row>
    <row r="22" spans="1:9" ht="38.25">
      <c r="A22" s="163" t="s">
        <v>357</v>
      </c>
      <c r="B22" s="171" t="s">
        <v>358</v>
      </c>
      <c r="C22" s="195" t="s">
        <v>215</v>
      </c>
      <c r="D22" s="195" t="s">
        <v>215</v>
      </c>
      <c r="E22" s="195" t="s">
        <v>215</v>
      </c>
      <c r="F22" s="195" t="s">
        <v>215</v>
      </c>
      <c r="G22" s="196"/>
      <c r="H22" s="162"/>
      <c r="I22" s="162"/>
    </row>
    <row r="23" spans="1:9" ht="18.75">
      <c r="A23" s="160"/>
      <c r="B23" s="168" t="s">
        <v>219</v>
      </c>
      <c r="C23" s="161"/>
      <c r="D23" s="161"/>
      <c r="E23" s="161"/>
      <c r="F23" s="161"/>
      <c r="G23" s="161"/>
      <c r="H23" s="201"/>
      <c r="I23" s="201"/>
    </row>
    <row r="24" spans="1:9" ht="38.25">
      <c r="A24" s="163" t="s">
        <v>314</v>
      </c>
      <c r="B24" s="171" t="s">
        <v>209</v>
      </c>
      <c r="C24" s="195" t="s">
        <v>23</v>
      </c>
      <c r="D24" s="195" t="s">
        <v>215</v>
      </c>
      <c r="E24" s="195" t="s">
        <v>215</v>
      </c>
      <c r="F24" s="195" t="s">
        <v>215</v>
      </c>
      <c r="G24" s="204" t="s">
        <v>457</v>
      </c>
      <c r="H24" s="162"/>
      <c r="I24" s="162"/>
    </row>
    <row r="25" spans="1:9" ht="25.5">
      <c r="A25" s="163" t="s">
        <v>315</v>
      </c>
      <c r="B25" s="171" t="s">
        <v>210</v>
      </c>
      <c r="C25" s="195" t="s">
        <v>215</v>
      </c>
      <c r="D25" s="195" t="s">
        <v>215</v>
      </c>
      <c r="E25" s="195" t="s">
        <v>215</v>
      </c>
      <c r="F25" s="195" t="s">
        <v>215</v>
      </c>
      <c r="G25" s="196"/>
      <c r="H25" s="162"/>
      <c r="I25" s="162"/>
    </row>
    <row r="26" spans="1:9" ht="38.25">
      <c r="A26" s="163" t="s">
        <v>316</v>
      </c>
      <c r="B26" s="171" t="s">
        <v>211</v>
      </c>
      <c r="C26" s="195" t="s">
        <v>23</v>
      </c>
      <c r="D26" s="195" t="s">
        <v>215</v>
      </c>
      <c r="E26" s="195" t="s">
        <v>215</v>
      </c>
      <c r="F26" s="195" t="s">
        <v>215</v>
      </c>
      <c r="G26" s="204" t="s">
        <v>457</v>
      </c>
      <c r="H26" s="162"/>
      <c r="I26" s="162"/>
    </row>
    <row r="27" spans="1:9" ht="38.25">
      <c r="A27" s="163" t="s">
        <v>317</v>
      </c>
      <c r="B27" s="171" t="s">
        <v>212</v>
      </c>
      <c r="C27" s="195" t="s">
        <v>23</v>
      </c>
      <c r="D27" s="195" t="s">
        <v>215</v>
      </c>
      <c r="E27" s="195" t="s">
        <v>215</v>
      </c>
      <c r="F27" s="195" t="s">
        <v>215</v>
      </c>
      <c r="G27" s="204" t="s">
        <v>457</v>
      </c>
      <c r="H27" s="162"/>
      <c r="I27" s="162"/>
    </row>
    <row r="28" spans="1:9" ht="18.75">
      <c r="A28" s="160"/>
      <c r="B28" s="168" t="s">
        <v>220</v>
      </c>
      <c r="C28" s="161"/>
      <c r="D28" s="161"/>
      <c r="E28" s="161"/>
      <c r="F28" s="161"/>
      <c r="G28" s="161"/>
      <c r="H28" s="201"/>
      <c r="I28" s="201"/>
    </row>
    <row r="29" spans="1:9" ht="38.25">
      <c r="A29" s="163" t="s">
        <v>318</v>
      </c>
      <c r="B29" s="171" t="s">
        <v>213</v>
      </c>
      <c r="C29" s="195" t="s">
        <v>215</v>
      </c>
      <c r="D29" s="195" t="s">
        <v>215</v>
      </c>
      <c r="E29" s="195" t="s">
        <v>215</v>
      </c>
      <c r="F29" s="195" t="s">
        <v>215</v>
      </c>
      <c r="G29" s="196"/>
      <c r="H29" s="162"/>
      <c r="I29" s="162"/>
    </row>
    <row r="30" spans="1:9" ht="38.25">
      <c r="A30" s="163" t="s">
        <v>319</v>
      </c>
      <c r="B30" s="171" t="s">
        <v>214</v>
      </c>
      <c r="C30" s="195" t="s">
        <v>215</v>
      </c>
      <c r="D30" s="195" t="s">
        <v>215</v>
      </c>
      <c r="E30" s="195" t="s">
        <v>215</v>
      </c>
      <c r="F30" s="195" t="s">
        <v>215</v>
      </c>
      <c r="G30" s="196"/>
      <c r="H30" s="162"/>
      <c r="I30" s="162"/>
    </row>
    <row r="31" spans="1:9" ht="18.75">
      <c r="A31" s="160"/>
      <c r="B31" s="168" t="s">
        <v>207</v>
      </c>
      <c r="C31" s="161"/>
      <c r="D31" s="161"/>
      <c r="E31" s="161"/>
      <c r="F31" s="161"/>
      <c r="G31" s="161"/>
      <c r="H31" s="201"/>
      <c r="I31" s="201"/>
    </row>
    <row r="32" spans="1:9" ht="51">
      <c r="A32" s="163" t="s">
        <v>320</v>
      </c>
      <c r="B32" s="171" t="s">
        <v>208</v>
      </c>
      <c r="C32" s="195" t="s">
        <v>11</v>
      </c>
      <c r="D32" s="195" t="s">
        <v>11</v>
      </c>
      <c r="E32" s="195" t="s">
        <v>11</v>
      </c>
      <c r="F32" s="195" t="s">
        <v>11</v>
      </c>
      <c r="G32" s="204" t="s">
        <v>360</v>
      </c>
      <c r="H32" s="162"/>
      <c r="I32" s="162"/>
    </row>
    <row r="33" spans="1:9" ht="18">
      <c r="A33" s="197"/>
      <c r="B33" s="198" t="s">
        <v>224</v>
      </c>
      <c r="C33" s="197"/>
      <c r="D33" s="197"/>
      <c r="E33" s="197"/>
      <c r="F33" s="197"/>
      <c r="G33" s="197"/>
      <c r="H33" s="197"/>
      <c r="I33" s="197"/>
    </row>
    <row r="34" spans="1:9">
      <c r="A34" s="163"/>
      <c r="B34" s="171"/>
    </row>
    <row r="35" spans="1:9" ht="15">
      <c r="A35" s="199"/>
      <c r="B35" s="200" t="s">
        <v>338</v>
      </c>
      <c r="C35" s="199"/>
      <c r="D35" s="199"/>
      <c r="E35" s="199"/>
      <c r="F35" s="199"/>
      <c r="G35" s="199"/>
      <c r="H35" s="199"/>
      <c r="I35" s="199"/>
    </row>
  </sheetData>
  <mergeCells count="1">
    <mergeCell ref="H2:I2"/>
  </mergeCells>
  <conditionalFormatting sqref="C6:F6">
    <cfRule type="cellIs" dxfId="284" priority="1089" operator="equal">
      <formula>"No"</formula>
    </cfRule>
    <cfRule type="cellIs" dxfId="283" priority="1090" operator="equal">
      <formula>"NA"</formula>
    </cfRule>
    <cfRule type="cellIs" dxfId="282" priority="1091" operator="equal">
      <formula>"Yes"</formula>
    </cfRule>
  </conditionalFormatting>
  <conditionalFormatting sqref="C8:F8">
    <cfRule type="cellIs" dxfId="281" priority="1043" operator="equal">
      <formula>"No"</formula>
    </cfRule>
    <cfRule type="cellIs" dxfId="280" priority="1044" operator="equal">
      <formula>"NA"</formula>
    </cfRule>
    <cfRule type="cellIs" dxfId="279" priority="1045" operator="equal">
      <formula>"Yes"</formula>
    </cfRule>
  </conditionalFormatting>
  <conditionalFormatting sqref="C24">
    <cfRule type="cellIs" dxfId="278" priority="353" operator="equal">
      <formula>"No"</formula>
    </cfRule>
    <cfRule type="cellIs" dxfId="277" priority="354" operator="equal">
      <formula>"NA"</formula>
    </cfRule>
    <cfRule type="cellIs" dxfId="276" priority="355" operator="equal">
      <formula>"Yes"</formula>
    </cfRule>
  </conditionalFormatting>
  <conditionalFormatting sqref="C32:F32">
    <cfRule type="cellIs" dxfId="275" priority="77" operator="equal">
      <formula>"No"</formula>
    </cfRule>
    <cfRule type="cellIs" dxfId="274" priority="78" operator="equal">
      <formula>"NA"</formula>
    </cfRule>
    <cfRule type="cellIs" dxfId="273" priority="79" operator="equal">
      <formula>"Yes"</formula>
    </cfRule>
  </conditionalFormatting>
  <conditionalFormatting sqref="D9:F16">
    <cfRule type="cellIs" dxfId="272" priority="31" operator="equal">
      <formula>"No"</formula>
    </cfRule>
    <cfRule type="cellIs" dxfId="271" priority="32" operator="equal">
      <formula>"NA"</formula>
    </cfRule>
    <cfRule type="cellIs" dxfId="270" priority="33" operator="equal">
      <formula>"Yes"</formula>
    </cfRule>
  </conditionalFormatting>
  <conditionalFormatting sqref="D17:F22">
    <cfRule type="cellIs" dxfId="269" priority="28" operator="equal">
      <formula>"No"</formula>
    </cfRule>
    <cfRule type="cellIs" dxfId="268" priority="29" operator="equal">
      <formula>"NA"</formula>
    </cfRule>
    <cfRule type="cellIs" dxfId="267" priority="30" operator="equal">
      <formula>"Yes"</formula>
    </cfRule>
  </conditionalFormatting>
  <conditionalFormatting sqref="D25:F25">
    <cfRule type="cellIs" dxfId="266" priority="25" operator="equal">
      <formula>"No"</formula>
    </cfRule>
    <cfRule type="cellIs" dxfId="265" priority="26" operator="equal">
      <formula>"NA"</formula>
    </cfRule>
    <cfRule type="cellIs" dxfId="264" priority="27" operator="equal">
      <formula>"Yes"</formula>
    </cfRule>
  </conditionalFormatting>
  <conditionalFormatting sqref="D29:F30">
    <cfRule type="cellIs" dxfId="263" priority="22" operator="equal">
      <formula>"No"</formula>
    </cfRule>
    <cfRule type="cellIs" dxfId="262" priority="23" operator="equal">
      <formula>"NA"</formula>
    </cfRule>
    <cfRule type="cellIs" dxfId="261" priority="24" operator="equal">
      <formula>"Yes"</formula>
    </cfRule>
  </conditionalFormatting>
  <conditionalFormatting sqref="C9:C16">
    <cfRule type="cellIs" dxfId="260" priority="19" operator="equal">
      <formula>"No"</formula>
    </cfRule>
    <cfRule type="cellIs" dxfId="259" priority="20" operator="equal">
      <formula>"NA"</formula>
    </cfRule>
    <cfRule type="cellIs" dxfId="258" priority="21" operator="equal">
      <formula>"Yes"</formula>
    </cfRule>
  </conditionalFormatting>
  <conditionalFormatting sqref="C17:C22">
    <cfRule type="cellIs" dxfId="257" priority="16" operator="equal">
      <formula>"No"</formula>
    </cfRule>
    <cfRule type="cellIs" dxfId="256" priority="17" operator="equal">
      <formula>"NA"</formula>
    </cfRule>
    <cfRule type="cellIs" dxfId="255" priority="18" operator="equal">
      <formula>"Yes"</formula>
    </cfRule>
  </conditionalFormatting>
  <conditionalFormatting sqref="C25:C27">
    <cfRule type="cellIs" dxfId="254" priority="13" operator="equal">
      <formula>"No"</formula>
    </cfRule>
    <cfRule type="cellIs" dxfId="253" priority="14" operator="equal">
      <formula>"NA"</formula>
    </cfRule>
    <cfRule type="cellIs" dxfId="252" priority="15" operator="equal">
      <formula>"Yes"</formula>
    </cfRule>
  </conditionalFormatting>
  <conditionalFormatting sqref="C29:C30">
    <cfRule type="cellIs" dxfId="251" priority="10" operator="equal">
      <formula>"No"</formula>
    </cfRule>
    <cfRule type="cellIs" dxfId="250" priority="11" operator="equal">
      <formula>"NA"</formula>
    </cfRule>
    <cfRule type="cellIs" dxfId="249" priority="12" operator="equal">
      <formula>"Yes"</formula>
    </cfRule>
  </conditionalFormatting>
  <conditionalFormatting sqref="D24:F24">
    <cfRule type="cellIs" dxfId="248" priority="7" operator="equal">
      <formula>"No"</formula>
    </cfRule>
    <cfRule type="cellIs" dxfId="247" priority="8" operator="equal">
      <formula>"NA"</formula>
    </cfRule>
    <cfRule type="cellIs" dxfId="246" priority="9" operator="equal">
      <formula>"Yes"</formula>
    </cfRule>
  </conditionalFormatting>
  <conditionalFormatting sqref="D26:F26">
    <cfRule type="cellIs" dxfId="245" priority="4" operator="equal">
      <formula>"No"</formula>
    </cfRule>
    <cfRule type="cellIs" dxfId="244" priority="5" operator="equal">
      <formula>"NA"</formula>
    </cfRule>
    <cfRule type="cellIs" dxfId="243" priority="6" operator="equal">
      <formula>"Yes"</formula>
    </cfRule>
  </conditionalFormatting>
  <conditionalFormatting sqref="D27:F27">
    <cfRule type="cellIs" dxfId="242" priority="1" operator="equal">
      <formula>"No"</formula>
    </cfRule>
    <cfRule type="cellIs" dxfId="241" priority="2" operator="equal">
      <formula>"NA"</formula>
    </cfRule>
    <cfRule type="cellIs" dxfId="240" priority="3" operator="equal">
      <formula>"Yes"</formula>
    </cfRule>
  </conditionalFormatting>
  <dataValidations count="1">
    <dataValidation type="list" allowBlank="1" showInputMessage="1" showErrorMessage="1" sqref="C8:F22 C29:F30 C24:F27 C6:F6 C32:F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N36"/>
  <sheetViews>
    <sheetView zoomScaleNormal="100" workbookViewId="0">
      <pane xSplit="1" ySplit="3" topLeftCell="B4" activePane="bottomRight" state="frozen"/>
      <selection pane="topRight" activeCell="B1" sqref="B1"/>
      <selection pane="bottomLeft" activeCell="A4" sqref="A4"/>
      <selection pane="bottomRight" activeCell="K9" sqref="K9"/>
    </sheetView>
  </sheetViews>
  <sheetFormatPr defaultColWidth="9.28515625" defaultRowHeight="12.75" outlineLevelCol="1"/>
  <cols>
    <col min="1" max="1" width="20.140625" style="159" customWidth="1"/>
    <col min="2" max="2" width="61" style="158" customWidth="1"/>
    <col min="3" max="10" width="6.28515625" style="157" bestFit="1" customWidth="1"/>
    <col min="11" max="11" width="35.42578125" style="157" bestFit="1" customWidth="1"/>
    <col min="12" max="13" width="30.7109375" style="157" customWidth="1" outlineLevel="1"/>
    <col min="14" max="16384" width="9.28515625" style="157"/>
  </cols>
  <sheetData>
    <row r="2" spans="1:14" ht="107.25" customHeight="1">
      <c r="A2" s="182" t="s">
        <v>216</v>
      </c>
      <c r="B2" s="183" t="s">
        <v>230</v>
      </c>
      <c r="C2" s="184" t="s">
        <v>410</v>
      </c>
      <c r="D2" s="184" t="s">
        <v>424</v>
      </c>
      <c r="E2" s="184" t="s">
        <v>437</v>
      </c>
      <c r="F2" s="184" t="s">
        <v>438</v>
      </c>
      <c r="G2" s="184" t="s">
        <v>447</v>
      </c>
      <c r="H2" s="184" t="s">
        <v>444</v>
      </c>
      <c r="I2" s="184" t="s">
        <v>449</v>
      </c>
      <c r="J2" s="184" t="s">
        <v>461</v>
      </c>
      <c r="K2" s="185" t="s">
        <v>225</v>
      </c>
      <c r="L2" s="332" t="s">
        <v>185</v>
      </c>
      <c r="M2" s="333"/>
    </row>
    <row r="3" spans="1:14" ht="18.75">
      <c r="A3" s="186"/>
      <c r="B3" s="187"/>
      <c r="C3" s="188">
        <f t="shared" ref="C3:H3" si="0">COUNTIF(C5:C36,"Yes") / ( COUNTA(C5:C36) - COUNTIF(C5:C36,"NA"))</f>
        <v>0.85</v>
      </c>
      <c r="D3" s="188">
        <f t="shared" si="0"/>
        <v>0.82608695652173914</v>
      </c>
      <c r="E3" s="188">
        <f t="shared" si="0"/>
        <v>1</v>
      </c>
      <c r="F3" s="188">
        <f t="shared" si="0"/>
        <v>1</v>
      </c>
      <c r="G3" s="188">
        <f t="shared" si="0"/>
        <v>1</v>
      </c>
      <c r="H3" s="188">
        <f t="shared" si="0"/>
        <v>0.95652173913043481</v>
      </c>
      <c r="I3" s="188">
        <f t="shared" ref="I3" si="1">COUNTIF(I5:I36,"Yes") / ( COUNTA(I5:I36) - COUNTIF(I5:I36,"NA"))</f>
        <v>1</v>
      </c>
      <c r="J3" s="188">
        <f>COUNTIF(J5:J36,"Yes") / ( COUNTA(J5:J36) - COUNTIF(J5:J36,"NA"))</f>
        <v>1</v>
      </c>
      <c r="K3" s="193"/>
      <c r="L3" s="201" t="s">
        <v>222</v>
      </c>
      <c r="M3" s="201" t="s">
        <v>223</v>
      </c>
      <c r="N3" s="194"/>
    </row>
    <row r="4" spans="1:14" ht="36">
      <c r="A4" s="189"/>
      <c r="B4" s="190" t="s">
        <v>227</v>
      </c>
      <c r="C4" s="191"/>
      <c r="D4" s="191"/>
      <c r="E4" s="191"/>
      <c r="F4" s="191"/>
      <c r="G4" s="191"/>
      <c r="H4" s="191"/>
      <c r="I4" s="191"/>
      <c r="J4" s="191"/>
      <c r="K4" s="191"/>
      <c r="L4" s="191"/>
      <c r="M4" s="192"/>
      <c r="N4" s="25"/>
    </row>
    <row r="5" spans="1:14" ht="18.75">
      <c r="A5" s="160"/>
      <c r="B5" s="168" t="s">
        <v>218</v>
      </c>
      <c r="C5" s="161"/>
      <c r="D5" s="161"/>
      <c r="E5" s="161"/>
      <c r="F5" s="161"/>
      <c r="G5" s="161"/>
      <c r="H5" s="161"/>
      <c r="I5" s="161"/>
      <c r="J5" s="161"/>
      <c r="K5" s="161"/>
      <c r="L5" s="201"/>
      <c r="M5" s="201"/>
    </row>
    <row r="6" spans="1:14" ht="38.25">
      <c r="A6" s="163" t="s">
        <v>294</v>
      </c>
      <c r="B6" s="171" t="s">
        <v>231</v>
      </c>
      <c r="C6" s="195" t="s">
        <v>11</v>
      </c>
      <c r="D6" s="195" t="s">
        <v>215</v>
      </c>
      <c r="E6" s="195" t="s">
        <v>11</v>
      </c>
      <c r="F6" s="195" t="s">
        <v>215</v>
      </c>
      <c r="G6" s="195" t="s">
        <v>11</v>
      </c>
      <c r="H6" s="195" t="s">
        <v>215</v>
      </c>
      <c r="I6" s="195" t="s">
        <v>215</v>
      </c>
      <c r="J6" s="195" t="s">
        <v>215</v>
      </c>
      <c r="K6" s="204" t="s">
        <v>416</v>
      </c>
      <c r="L6" s="162"/>
      <c r="M6" s="162"/>
    </row>
    <row r="7" spans="1:14" ht="38.25">
      <c r="A7" s="163" t="s">
        <v>295</v>
      </c>
      <c r="B7" s="171" t="s">
        <v>232</v>
      </c>
      <c r="C7" s="195" t="s">
        <v>215</v>
      </c>
      <c r="D7" s="195" t="s">
        <v>215</v>
      </c>
      <c r="E7" s="195" t="s">
        <v>215</v>
      </c>
      <c r="F7" s="195" t="s">
        <v>215</v>
      </c>
      <c r="G7" s="195" t="s">
        <v>215</v>
      </c>
      <c r="H7" s="195" t="s">
        <v>215</v>
      </c>
      <c r="I7" s="195" t="s">
        <v>215</v>
      </c>
      <c r="J7" s="195" t="s">
        <v>215</v>
      </c>
      <c r="K7" s="196"/>
      <c r="L7" s="162"/>
      <c r="M7" s="162"/>
    </row>
    <row r="8" spans="1:14" ht="18.75">
      <c r="A8" s="160"/>
      <c r="B8" s="168" t="s">
        <v>264</v>
      </c>
      <c r="C8" s="161"/>
      <c r="D8" s="161"/>
      <c r="E8" s="161"/>
      <c r="F8" s="161"/>
      <c r="G8" s="161"/>
      <c r="H8" s="161"/>
      <c r="I8" s="161"/>
      <c r="J8" s="161"/>
      <c r="K8" s="161"/>
      <c r="L8" s="201"/>
      <c r="M8" s="201"/>
    </row>
    <row r="9" spans="1:14" ht="25.5">
      <c r="A9" s="163" t="s">
        <v>296</v>
      </c>
      <c r="B9" s="171" t="s">
        <v>276</v>
      </c>
      <c r="C9" s="195" t="s">
        <v>23</v>
      </c>
      <c r="D9" s="195" t="s">
        <v>23</v>
      </c>
      <c r="E9" s="207" t="s">
        <v>215</v>
      </c>
      <c r="F9" s="207" t="s">
        <v>215</v>
      </c>
      <c r="G9" s="207" t="s">
        <v>215</v>
      </c>
      <c r="H9" s="207" t="s">
        <v>215</v>
      </c>
      <c r="I9" s="207" t="s">
        <v>215</v>
      </c>
      <c r="J9" s="207" t="s">
        <v>215</v>
      </c>
      <c r="K9" s="196"/>
      <c r="L9" s="162"/>
      <c r="M9" s="162"/>
    </row>
    <row r="10" spans="1:14" ht="25.5">
      <c r="A10" s="163" t="s">
        <v>297</v>
      </c>
      <c r="B10" s="171" t="s">
        <v>277</v>
      </c>
      <c r="C10" s="195" t="s">
        <v>11</v>
      </c>
      <c r="D10" s="195" t="s">
        <v>23</v>
      </c>
      <c r="E10" s="195" t="s">
        <v>11</v>
      </c>
      <c r="F10" s="207" t="s">
        <v>215</v>
      </c>
      <c r="G10" s="195" t="s">
        <v>11</v>
      </c>
      <c r="H10" s="207" t="s">
        <v>23</v>
      </c>
      <c r="I10" s="207" t="s">
        <v>215</v>
      </c>
      <c r="J10" s="207" t="s">
        <v>215</v>
      </c>
      <c r="K10" s="196" t="s">
        <v>406</v>
      </c>
      <c r="L10" s="162"/>
      <c r="M10" s="162"/>
    </row>
    <row r="11" spans="1:14" ht="38.25">
      <c r="A11" s="163" t="s">
        <v>298</v>
      </c>
      <c r="B11" s="171" t="s">
        <v>299</v>
      </c>
      <c r="C11" s="195" t="s">
        <v>23</v>
      </c>
      <c r="D11" s="195" t="s">
        <v>23</v>
      </c>
      <c r="E11" s="207" t="s">
        <v>215</v>
      </c>
      <c r="F11" s="207" t="s">
        <v>215</v>
      </c>
      <c r="G11" s="207" t="s">
        <v>215</v>
      </c>
      <c r="H11" s="207" t="s">
        <v>215</v>
      </c>
      <c r="I11" s="207" t="s">
        <v>215</v>
      </c>
      <c r="J11" s="207" t="s">
        <v>215</v>
      </c>
      <c r="K11" s="196"/>
      <c r="L11" s="162"/>
      <c r="M11" s="162"/>
    </row>
    <row r="12" spans="1:14" ht="63.75">
      <c r="A12" s="163" t="s">
        <v>300</v>
      </c>
      <c r="B12" s="171" t="s">
        <v>301</v>
      </c>
      <c r="C12" s="207" t="s">
        <v>215</v>
      </c>
      <c r="D12" s="207" t="s">
        <v>215</v>
      </c>
      <c r="E12" s="207" t="s">
        <v>215</v>
      </c>
      <c r="F12" s="207" t="s">
        <v>215</v>
      </c>
      <c r="G12" s="207" t="s">
        <v>215</v>
      </c>
      <c r="H12" s="207" t="s">
        <v>215</v>
      </c>
      <c r="I12" s="207" t="s">
        <v>215</v>
      </c>
      <c r="J12" s="207" t="s">
        <v>215</v>
      </c>
      <c r="K12" s="196"/>
      <c r="L12" s="162"/>
      <c r="M12" s="162"/>
    </row>
    <row r="13" spans="1:14" ht="63.75">
      <c r="A13" s="163" t="s">
        <v>302</v>
      </c>
      <c r="B13" s="171" t="s">
        <v>303</v>
      </c>
      <c r="C13" s="207" t="s">
        <v>215</v>
      </c>
      <c r="D13" s="207" t="s">
        <v>215</v>
      </c>
      <c r="E13" s="207" t="s">
        <v>215</v>
      </c>
      <c r="F13" s="207" t="s">
        <v>215</v>
      </c>
      <c r="G13" s="207" t="s">
        <v>215</v>
      </c>
      <c r="H13" s="207" t="s">
        <v>215</v>
      </c>
      <c r="I13" s="207" t="s">
        <v>215</v>
      </c>
      <c r="J13" s="207" t="s">
        <v>215</v>
      </c>
      <c r="K13" s="196"/>
      <c r="L13" s="162"/>
      <c r="M13" s="162"/>
    </row>
    <row r="14" spans="1:14" ht="25.5">
      <c r="A14" s="163" t="s">
        <v>304</v>
      </c>
      <c r="B14" s="171" t="s">
        <v>278</v>
      </c>
      <c r="C14" s="207" t="s">
        <v>215</v>
      </c>
      <c r="D14" s="207" t="s">
        <v>215</v>
      </c>
      <c r="E14" s="207" t="s">
        <v>215</v>
      </c>
      <c r="F14" s="207" t="s">
        <v>215</v>
      </c>
      <c r="G14" s="207" t="s">
        <v>215</v>
      </c>
      <c r="H14" s="207" t="s">
        <v>215</v>
      </c>
      <c r="I14" s="207" t="s">
        <v>215</v>
      </c>
      <c r="J14" s="207" t="s">
        <v>215</v>
      </c>
      <c r="K14" s="196"/>
      <c r="L14" s="162"/>
      <c r="M14" s="162"/>
    </row>
    <row r="15" spans="1:14" ht="25.5">
      <c r="A15" s="163" t="s">
        <v>305</v>
      </c>
      <c r="B15" s="171" t="s">
        <v>279</v>
      </c>
      <c r="C15" s="207" t="s">
        <v>215</v>
      </c>
      <c r="D15" s="207" t="s">
        <v>215</v>
      </c>
      <c r="E15" s="207" t="s">
        <v>215</v>
      </c>
      <c r="F15" s="207" t="s">
        <v>215</v>
      </c>
      <c r="G15" s="207" t="s">
        <v>215</v>
      </c>
      <c r="H15" s="207" t="s">
        <v>215</v>
      </c>
      <c r="I15" s="207" t="s">
        <v>215</v>
      </c>
      <c r="J15" s="207" t="s">
        <v>215</v>
      </c>
      <c r="K15" s="196"/>
      <c r="L15" s="162"/>
      <c r="M15" s="162"/>
    </row>
    <row r="16" spans="1:14" ht="25.5">
      <c r="A16" s="163" t="s">
        <v>306</v>
      </c>
      <c r="B16" s="171" t="s">
        <v>280</v>
      </c>
      <c r="C16" s="195" t="s">
        <v>11</v>
      </c>
      <c r="D16" s="207" t="s">
        <v>215</v>
      </c>
      <c r="E16" s="195" t="s">
        <v>11</v>
      </c>
      <c r="F16" s="207" t="s">
        <v>215</v>
      </c>
      <c r="G16" s="195" t="s">
        <v>11</v>
      </c>
      <c r="H16" s="207" t="s">
        <v>215</v>
      </c>
      <c r="I16" s="207" t="s">
        <v>215</v>
      </c>
      <c r="J16" s="207" t="s">
        <v>215</v>
      </c>
      <c r="K16" s="196" t="s">
        <v>359</v>
      </c>
      <c r="L16" s="162"/>
      <c r="M16" s="162"/>
    </row>
    <row r="17" spans="1:13" ht="51">
      <c r="A17" s="163" t="s">
        <v>307</v>
      </c>
      <c r="B17" s="171" t="s">
        <v>281</v>
      </c>
      <c r="C17" s="195" t="s">
        <v>215</v>
      </c>
      <c r="D17" s="195" t="s">
        <v>215</v>
      </c>
      <c r="E17" s="195" t="s">
        <v>215</v>
      </c>
      <c r="F17" s="195" t="s">
        <v>215</v>
      </c>
      <c r="G17" s="195" t="s">
        <v>215</v>
      </c>
      <c r="H17" s="195" t="s">
        <v>215</v>
      </c>
      <c r="I17" s="195" t="s">
        <v>215</v>
      </c>
      <c r="J17" s="195" t="s">
        <v>215</v>
      </c>
      <c r="K17" s="196"/>
      <c r="L17" s="162"/>
      <c r="M17" s="162"/>
    </row>
    <row r="18" spans="1:13" ht="38.25">
      <c r="A18" s="163" t="s">
        <v>308</v>
      </c>
      <c r="B18" s="171" t="s">
        <v>282</v>
      </c>
      <c r="C18" s="195" t="s">
        <v>215</v>
      </c>
      <c r="D18" s="195" t="s">
        <v>215</v>
      </c>
      <c r="E18" s="195" t="s">
        <v>215</v>
      </c>
      <c r="F18" s="195" t="s">
        <v>215</v>
      </c>
      <c r="G18" s="195" t="s">
        <v>215</v>
      </c>
      <c r="H18" s="195" t="s">
        <v>215</v>
      </c>
      <c r="I18" s="195" t="s">
        <v>215</v>
      </c>
      <c r="J18" s="195" t="s">
        <v>215</v>
      </c>
      <c r="K18" s="196"/>
      <c r="L18" s="162"/>
      <c r="M18" s="162"/>
    </row>
    <row r="19" spans="1:13" ht="51">
      <c r="A19" s="163" t="s">
        <v>309</v>
      </c>
      <c r="B19" s="171" t="s">
        <v>283</v>
      </c>
      <c r="C19" s="195" t="s">
        <v>215</v>
      </c>
      <c r="D19" s="195" t="s">
        <v>215</v>
      </c>
      <c r="E19" s="195" t="s">
        <v>215</v>
      </c>
      <c r="F19" s="195" t="s">
        <v>215</v>
      </c>
      <c r="G19" s="195" t="s">
        <v>215</v>
      </c>
      <c r="H19" s="195" t="s">
        <v>215</v>
      </c>
      <c r="I19" s="195" t="s">
        <v>215</v>
      </c>
      <c r="J19" s="195" t="s">
        <v>215</v>
      </c>
      <c r="K19" s="196"/>
      <c r="L19" s="162"/>
      <c r="M19" s="162"/>
    </row>
    <row r="20" spans="1:13" ht="38.25">
      <c r="A20" s="163" t="s">
        <v>310</v>
      </c>
      <c r="B20" s="171" t="s">
        <v>284</v>
      </c>
      <c r="C20" s="195" t="s">
        <v>215</v>
      </c>
      <c r="D20" s="195" t="s">
        <v>215</v>
      </c>
      <c r="E20" s="195" t="s">
        <v>215</v>
      </c>
      <c r="F20" s="195" t="s">
        <v>215</v>
      </c>
      <c r="G20" s="195" t="s">
        <v>215</v>
      </c>
      <c r="H20" s="195" t="s">
        <v>215</v>
      </c>
      <c r="I20" s="195" t="s">
        <v>215</v>
      </c>
      <c r="J20" s="195" t="s">
        <v>215</v>
      </c>
      <c r="K20" s="196"/>
      <c r="L20" s="162"/>
      <c r="M20" s="162"/>
    </row>
    <row r="21" spans="1:13" ht="25.5">
      <c r="A21" s="163" t="s">
        <v>311</v>
      </c>
      <c r="B21" s="171" t="s">
        <v>285</v>
      </c>
      <c r="C21" s="195" t="s">
        <v>215</v>
      </c>
      <c r="D21" s="195" t="s">
        <v>215</v>
      </c>
      <c r="E21" s="195" t="s">
        <v>215</v>
      </c>
      <c r="F21" s="195" t="s">
        <v>215</v>
      </c>
      <c r="G21" s="195" t="s">
        <v>215</v>
      </c>
      <c r="H21" s="195" t="s">
        <v>215</v>
      </c>
      <c r="I21" s="195" t="s">
        <v>215</v>
      </c>
      <c r="J21" s="195" t="s">
        <v>215</v>
      </c>
      <c r="K21" s="196"/>
      <c r="L21" s="162"/>
      <c r="M21" s="162"/>
    </row>
    <row r="22" spans="1:13" ht="38.25">
      <c r="A22" s="163" t="s">
        <v>312</v>
      </c>
      <c r="B22" s="171" t="s">
        <v>286</v>
      </c>
      <c r="C22" s="195" t="s">
        <v>215</v>
      </c>
      <c r="D22" s="195" t="s">
        <v>215</v>
      </c>
      <c r="E22" s="195" t="s">
        <v>215</v>
      </c>
      <c r="F22" s="195" t="s">
        <v>215</v>
      </c>
      <c r="G22" s="195" t="s">
        <v>215</v>
      </c>
      <c r="H22" s="195" t="s">
        <v>215</v>
      </c>
      <c r="I22" s="195" t="s">
        <v>215</v>
      </c>
      <c r="J22" s="195" t="s">
        <v>215</v>
      </c>
      <c r="K22" s="196"/>
      <c r="L22" s="162"/>
      <c r="M22" s="162"/>
    </row>
    <row r="23" spans="1:13" ht="25.5">
      <c r="A23" s="163" t="s">
        <v>313</v>
      </c>
      <c r="B23" s="171" t="s">
        <v>287</v>
      </c>
      <c r="C23" s="195" t="s">
        <v>215</v>
      </c>
      <c r="D23" s="195" t="s">
        <v>215</v>
      </c>
      <c r="E23" s="195" t="s">
        <v>215</v>
      </c>
      <c r="F23" s="195" t="s">
        <v>215</v>
      </c>
      <c r="G23" s="195" t="s">
        <v>215</v>
      </c>
      <c r="H23" s="195" t="s">
        <v>215</v>
      </c>
      <c r="I23" s="195" t="s">
        <v>215</v>
      </c>
      <c r="J23" s="195" t="s">
        <v>215</v>
      </c>
      <c r="K23" s="196"/>
      <c r="L23" s="162"/>
      <c r="M23" s="162"/>
    </row>
    <row r="24" spans="1:13" ht="18.75">
      <c r="A24" s="160"/>
      <c r="B24" s="168" t="s">
        <v>219</v>
      </c>
      <c r="C24" s="161"/>
      <c r="D24" s="161"/>
      <c r="E24" s="161"/>
      <c r="F24" s="161"/>
      <c r="G24" s="161"/>
      <c r="H24" s="161"/>
      <c r="I24" s="161"/>
      <c r="J24" s="161"/>
      <c r="K24" s="161"/>
      <c r="L24" s="201"/>
      <c r="M24" s="201"/>
    </row>
    <row r="25" spans="1:13" ht="38.25">
      <c r="A25" s="163" t="s">
        <v>314</v>
      </c>
      <c r="B25" s="171" t="s">
        <v>209</v>
      </c>
      <c r="C25" s="195" t="s">
        <v>23</v>
      </c>
      <c r="D25" s="195" t="s">
        <v>23</v>
      </c>
      <c r="E25" s="207" t="s">
        <v>215</v>
      </c>
      <c r="F25" s="207" t="s">
        <v>215</v>
      </c>
      <c r="G25" s="207" t="s">
        <v>215</v>
      </c>
      <c r="H25" s="207" t="s">
        <v>215</v>
      </c>
      <c r="I25" s="207" t="s">
        <v>215</v>
      </c>
      <c r="J25" s="207" t="s">
        <v>215</v>
      </c>
      <c r="K25" s="196"/>
      <c r="L25" s="162"/>
      <c r="M25" s="162"/>
    </row>
    <row r="26" spans="1:13" ht="25.5">
      <c r="A26" s="163" t="s">
        <v>315</v>
      </c>
      <c r="B26" s="171" t="s">
        <v>210</v>
      </c>
      <c r="C26" s="195" t="s">
        <v>215</v>
      </c>
      <c r="D26" s="195" t="s">
        <v>215</v>
      </c>
      <c r="E26" s="195" t="s">
        <v>215</v>
      </c>
      <c r="F26" s="195" t="s">
        <v>215</v>
      </c>
      <c r="G26" s="195" t="s">
        <v>215</v>
      </c>
      <c r="H26" s="195" t="s">
        <v>215</v>
      </c>
      <c r="I26" s="195" t="s">
        <v>215</v>
      </c>
      <c r="J26" s="195" t="s">
        <v>215</v>
      </c>
      <c r="K26" s="196"/>
      <c r="L26" s="162"/>
      <c r="M26" s="162"/>
    </row>
    <row r="27" spans="1:13" ht="38.25">
      <c r="A27" s="163" t="s">
        <v>316</v>
      </c>
      <c r="B27" s="171" t="s">
        <v>211</v>
      </c>
      <c r="C27" s="195" t="s">
        <v>215</v>
      </c>
      <c r="D27" s="195" t="s">
        <v>215</v>
      </c>
      <c r="E27" s="195" t="s">
        <v>215</v>
      </c>
      <c r="F27" s="195" t="s">
        <v>215</v>
      </c>
      <c r="G27" s="195" t="s">
        <v>215</v>
      </c>
      <c r="H27" s="195" t="s">
        <v>215</v>
      </c>
      <c r="I27" s="195" t="s">
        <v>215</v>
      </c>
      <c r="J27" s="195" t="s">
        <v>215</v>
      </c>
      <c r="K27" s="196"/>
      <c r="L27" s="162"/>
      <c r="M27" s="162"/>
    </row>
    <row r="28" spans="1:13" ht="38.25">
      <c r="A28" s="163" t="s">
        <v>317</v>
      </c>
      <c r="B28" s="171" t="s">
        <v>212</v>
      </c>
      <c r="C28" s="195" t="s">
        <v>215</v>
      </c>
      <c r="D28" s="195" t="s">
        <v>215</v>
      </c>
      <c r="E28" s="195" t="s">
        <v>215</v>
      </c>
      <c r="F28" s="195" t="s">
        <v>215</v>
      </c>
      <c r="G28" s="195" t="s">
        <v>215</v>
      </c>
      <c r="H28" s="195" t="s">
        <v>215</v>
      </c>
      <c r="I28" s="195" t="s">
        <v>215</v>
      </c>
      <c r="J28" s="195" t="s">
        <v>215</v>
      </c>
      <c r="K28" s="196"/>
      <c r="L28" s="162"/>
      <c r="M28" s="162"/>
    </row>
    <row r="29" spans="1:13" ht="18.75">
      <c r="A29" s="160"/>
      <c r="B29" s="168" t="s">
        <v>220</v>
      </c>
      <c r="C29" s="161"/>
      <c r="D29" s="161"/>
      <c r="E29" s="161"/>
      <c r="F29" s="161"/>
      <c r="G29" s="161"/>
      <c r="H29" s="161"/>
      <c r="I29" s="161"/>
      <c r="J29" s="161"/>
      <c r="K29" s="161"/>
      <c r="L29" s="201"/>
      <c r="M29" s="201"/>
    </row>
    <row r="30" spans="1:13" ht="38.25">
      <c r="A30" s="163" t="s">
        <v>318</v>
      </c>
      <c r="B30" s="171" t="s">
        <v>213</v>
      </c>
      <c r="C30" s="195" t="s">
        <v>215</v>
      </c>
      <c r="D30" s="195" t="s">
        <v>215</v>
      </c>
      <c r="E30" s="195" t="s">
        <v>215</v>
      </c>
      <c r="F30" s="195" t="s">
        <v>215</v>
      </c>
      <c r="G30" s="195" t="s">
        <v>215</v>
      </c>
      <c r="H30" s="195" t="s">
        <v>215</v>
      </c>
      <c r="I30" s="195" t="s">
        <v>215</v>
      </c>
      <c r="J30" s="195" t="s">
        <v>215</v>
      </c>
      <c r="K30" s="196"/>
      <c r="L30" s="162"/>
      <c r="M30" s="162"/>
    </row>
    <row r="31" spans="1:13" ht="38.25">
      <c r="A31" s="163" t="s">
        <v>319</v>
      </c>
      <c r="B31" s="171" t="s">
        <v>214</v>
      </c>
      <c r="C31" s="195" t="s">
        <v>215</v>
      </c>
      <c r="D31" s="195" t="s">
        <v>215</v>
      </c>
      <c r="E31" s="195" t="s">
        <v>215</v>
      </c>
      <c r="F31" s="195" t="s">
        <v>215</v>
      </c>
      <c r="G31" s="195" t="s">
        <v>215</v>
      </c>
      <c r="H31" s="195" t="s">
        <v>215</v>
      </c>
      <c r="I31" s="195" t="s">
        <v>215</v>
      </c>
      <c r="J31" s="195" t="s">
        <v>215</v>
      </c>
      <c r="K31" s="196"/>
      <c r="L31" s="162"/>
      <c r="M31" s="162"/>
    </row>
    <row r="32" spans="1:13" ht="18.75">
      <c r="A32" s="160"/>
      <c r="B32" s="168" t="s">
        <v>207</v>
      </c>
      <c r="C32" s="161"/>
      <c r="D32" s="161"/>
      <c r="E32" s="161"/>
      <c r="F32" s="161"/>
      <c r="G32" s="161"/>
      <c r="H32" s="161"/>
      <c r="I32" s="161"/>
      <c r="J32" s="161"/>
      <c r="K32" s="161"/>
      <c r="L32" s="201"/>
      <c r="M32" s="201"/>
    </row>
    <row r="33" spans="1:13" ht="51">
      <c r="A33" s="163" t="s">
        <v>320</v>
      </c>
      <c r="B33" s="171" t="s">
        <v>208</v>
      </c>
      <c r="C33" s="195" t="s">
        <v>11</v>
      </c>
      <c r="D33" s="195" t="s">
        <v>11</v>
      </c>
      <c r="E33" s="195" t="s">
        <v>11</v>
      </c>
      <c r="F33" s="195" t="s">
        <v>11</v>
      </c>
      <c r="G33" s="195" t="s">
        <v>11</v>
      </c>
      <c r="H33" s="195" t="s">
        <v>11</v>
      </c>
      <c r="I33" s="195" t="s">
        <v>11</v>
      </c>
      <c r="J33" s="195" t="s">
        <v>11</v>
      </c>
      <c r="K33" s="204" t="s">
        <v>360</v>
      </c>
      <c r="L33" s="162"/>
      <c r="M33" s="162"/>
    </row>
    <row r="34" spans="1:13" ht="18">
      <c r="A34" s="197"/>
      <c r="B34" s="198" t="s">
        <v>224</v>
      </c>
      <c r="C34" s="197"/>
      <c r="D34" s="197"/>
      <c r="E34" s="197"/>
      <c r="F34" s="197"/>
      <c r="G34" s="197"/>
      <c r="H34" s="197"/>
      <c r="I34" s="197"/>
      <c r="J34" s="197"/>
      <c r="K34" s="197"/>
      <c r="L34" s="197"/>
      <c r="M34" s="197"/>
    </row>
    <row r="35" spans="1:13" ht="15">
      <c r="A35" s="164"/>
      <c r="B35" s="165"/>
      <c r="C35" s="166"/>
      <c r="D35" s="166"/>
      <c r="E35" s="166"/>
      <c r="F35" s="166"/>
      <c r="G35" s="166"/>
      <c r="H35" s="166"/>
      <c r="I35" s="166"/>
      <c r="J35" s="166"/>
      <c r="K35" s="166"/>
      <c r="L35" s="166"/>
      <c r="M35" s="167"/>
    </row>
    <row r="36" spans="1:13" ht="15">
      <c r="A36" s="202"/>
      <c r="B36" s="203" t="s">
        <v>338</v>
      </c>
      <c r="C36" s="202"/>
      <c r="D36" s="202"/>
      <c r="E36" s="202"/>
      <c r="F36" s="202"/>
      <c r="G36" s="202"/>
      <c r="H36" s="202"/>
      <c r="I36" s="202"/>
      <c r="J36" s="202"/>
      <c r="K36" s="202"/>
      <c r="L36" s="202"/>
      <c r="M36" s="202"/>
    </row>
  </sheetData>
  <mergeCells count="1">
    <mergeCell ref="L2:M2"/>
  </mergeCells>
  <conditionalFormatting sqref="C6">
    <cfRule type="cellIs" dxfId="239" priority="1927" operator="equal">
      <formula>"No"</formula>
    </cfRule>
    <cfRule type="cellIs" dxfId="238" priority="1928" operator="equal">
      <formula>"NA"</formula>
    </cfRule>
    <cfRule type="cellIs" dxfId="237" priority="1929" operator="equal">
      <formula>"Yes"</formula>
    </cfRule>
  </conditionalFormatting>
  <conditionalFormatting sqref="C30:C31">
    <cfRule type="cellIs" dxfId="236" priority="961" operator="equal">
      <formula>"No"</formula>
    </cfRule>
    <cfRule type="cellIs" dxfId="235" priority="962" operator="equal">
      <formula>"NA"</formula>
    </cfRule>
    <cfRule type="cellIs" dxfId="234" priority="963" operator="equal">
      <formula>"Yes"</formula>
    </cfRule>
  </conditionalFormatting>
  <conditionalFormatting sqref="C33">
    <cfRule type="cellIs" dxfId="233" priority="869" operator="equal">
      <formula>"No"</formula>
    </cfRule>
    <cfRule type="cellIs" dxfId="232" priority="870" operator="equal">
      <formula>"NA"</formula>
    </cfRule>
    <cfRule type="cellIs" dxfId="231" priority="871" operator="equal">
      <formula>"Yes"</formula>
    </cfRule>
  </conditionalFormatting>
  <conditionalFormatting sqref="C7">
    <cfRule type="cellIs" dxfId="230" priority="157" operator="equal">
      <formula>"No"</formula>
    </cfRule>
    <cfRule type="cellIs" dxfId="229" priority="158" operator="equal">
      <formula>"NA"</formula>
    </cfRule>
    <cfRule type="cellIs" dxfId="228" priority="159" operator="equal">
      <formula>"Yes"</formula>
    </cfRule>
  </conditionalFormatting>
  <conditionalFormatting sqref="C25:C28 C9:C23">
    <cfRule type="cellIs" dxfId="227" priority="154" operator="equal">
      <formula>"No"</formula>
    </cfRule>
    <cfRule type="cellIs" dxfId="226" priority="155" operator="equal">
      <formula>"NA"</formula>
    </cfRule>
    <cfRule type="cellIs" dxfId="225" priority="156" operator="equal">
      <formula>"Yes"</formula>
    </cfRule>
  </conditionalFormatting>
  <conditionalFormatting sqref="D6">
    <cfRule type="cellIs" dxfId="224" priority="151" operator="equal">
      <formula>"No"</formula>
    </cfRule>
    <cfRule type="cellIs" dxfId="223" priority="152" operator="equal">
      <formula>"NA"</formula>
    </cfRule>
    <cfRule type="cellIs" dxfId="222" priority="153" operator="equal">
      <formula>"Yes"</formula>
    </cfRule>
  </conditionalFormatting>
  <conditionalFormatting sqref="D30:D31">
    <cfRule type="cellIs" dxfId="221" priority="148" operator="equal">
      <formula>"No"</formula>
    </cfRule>
    <cfRule type="cellIs" dxfId="220" priority="149" operator="equal">
      <formula>"NA"</formula>
    </cfRule>
    <cfRule type="cellIs" dxfId="219" priority="150" operator="equal">
      <formula>"Yes"</formula>
    </cfRule>
  </conditionalFormatting>
  <conditionalFormatting sqref="D33">
    <cfRule type="cellIs" dxfId="218" priority="145" operator="equal">
      <formula>"No"</formula>
    </cfRule>
    <cfRule type="cellIs" dxfId="217" priority="146" operator="equal">
      <formula>"NA"</formula>
    </cfRule>
    <cfRule type="cellIs" dxfId="216" priority="147" operator="equal">
      <formula>"Yes"</formula>
    </cfRule>
  </conditionalFormatting>
  <conditionalFormatting sqref="D7">
    <cfRule type="cellIs" dxfId="215" priority="142" operator="equal">
      <formula>"No"</formula>
    </cfRule>
    <cfRule type="cellIs" dxfId="214" priority="143" operator="equal">
      <formula>"NA"</formula>
    </cfRule>
    <cfRule type="cellIs" dxfId="213" priority="144" operator="equal">
      <formula>"Yes"</formula>
    </cfRule>
  </conditionalFormatting>
  <conditionalFormatting sqref="D25:D28 D9:D23">
    <cfRule type="cellIs" dxfId="212" priority="139" operator="equal">
      <formula>"No"</formula>
    </cfRule>
    <cfRule type="cellIs" dxfId="211" priority="140" operator="equal">
      <formula>"NA"</formula>
    </cfRule>
    <cfRule type="cellIs" dxfId="210" priority="141" operator="equal">
      <formula>"Yes"</formula>
    </cfRule>
  </conditionalFormatting>
  <conditionalFormatting sqref="E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E30:E31">
    <cfRule type="cellIs" dxfId="206" priority="133" operator="equal">
      <formula>"No"</formula>
    </cfRule>
    <cfRule type="cellIs" dxfId="205" priority="134" operator="equal">
      <formula>"NA"</formula>
    </cfRule>
    <cfRule type="cellIs" dxfId="204" priority="135" operator="equal">
      <formula>"Yes"</formula>
    </cfRule>
  </conditionalFormatting>
  <conditionalFormatting sqref="E33">
    <cfRule type="cellIs" dxfId="203" priority="130" operator="equal">
      <formula>"No"</formula>
    </cfRule>
    <cfRule type="cellIs" dxfId="202" priority="131" operator="equal">
      <formula>"NA"</formula>
    </cfRule>
    <cfRule type="cellIs" dxfId="201" priority="132" operator="equal">
      <formula>"Yes"</formula>
    </cfRule>
  </conditionalFormatting>
  <conditionalFormatting sqref="E7">
    <cfRule type="cellIs" dxfId="200" priority="127" operator="equal">
      <formula>"No"</formula>
    </cfRule>
    <cfRule type="cellIs" dxfId="199" priority="128" operator="equal">
      <formula>"NA"</formula>
    </cfRule>
    <cfRule type="cellIs" dxfId="198" priority="129" operator="equal">
      <formula>"Yes"</formula>
    </cfRule>
  </conditionalFormatting>
  <conditionalFormatting sqref="E9:E23 E25:E28">
    <cfRule type="cellIs" dxfId="197" priority="124" operator="equal">
      <formula>"No"</formula>
    </cfRule>
    <cfRule type="cellIs" dxfId="196" priority="125" operator="equal">
      <formula>"NA"</formula>
    </cfRule>
    <cfRule type="cellIs" dxfId="195" priority="126" operator="equal">
      <formula>"Yes"</formula>
    </cfRule>
  </conditionalFormatting>
  <conditionalFormatting sqref="F6">
    <cfRule type="cellIs" dxfId="194" priority="121" operator="equal">
      <formula>"No"</formula>
    </cfRule>
    <cfRule type="cellIs" dxfId="193" priority="122" operator="equal">
      <formula>"NA"</formula>
    </cfRule>
    <cfRule type="cellIs" dxfId="192" priority="123" operator="equal">
      <formula>"Yes"</formula>
    </cfRule>
  </conditionalFormatting>
  <conditionalFormatting sqref="F30:F31">
    <cfRule type="cellIs" dxfId="191" priority="118" operator="equal">
      <formula>"No"</formula>
    </cfRule>
    <cfRule type="cellIs" dxfId="190" priority="119" operator="equal">
      <formula>"NA"</formula>
    </cfRule>
    <cfRule type="cellIs" dxfId="189" priority="120" operator="equal">
      <formula>"Yes"</formula>
    </cfRule>
  </conditionalFormatting>
  <conditionalFormatting sqref="F33">
    <cfRule type="cellIs" dxfId="188" priority="115" operator="equal">
      <formula>"No"</formula>
    </cfRule>
    <cfRule type="cellIs" dxfId="187" priority="116" operator="equal">
      <formula>"NA"</formula>
    </cfRule>
    <cfRule type="cellIs" dxfId="186" priority="117" operator="equal">
      <formula>"Yes"</formula>
    </cfRule>
  </conditionalFormatting>
  <conditionalFormatting sqref="F7">
    <cfRule type="cellIs" dxfId="185" priority="112" operator="equal">
      <formula>"No"</formula>
    </cfRule>
    <cfRule type="cellIs" dxfId="184" priority="113" operator="equal">
      <formula>"NA"</formula>
    </cfRule>
    <cfRule type="cellIs" dxfId="183" priority="114" operator="equal">
      <formula>"Yes"</formula>
    </cfRule>
  </conditionalFormatting>
  <conditionalFormatting sqref="F26:F28 F12:F23">
    <cfRule type="cellIs" dxfId="182" priority="109" operator="equal">
      <formula>"No"</formula>
    </cfRule>
    <cfRule type="cellIs" dxfId="181" priority="110" operator="equal">
      <formula>"NA"</formula>
    </cfRule>
    <cfRule type="cellIs" dxfId="180" priority="111" operator="equal">
      <formula>"Yes"</formula>
    </cfRule>
  </conditionalFormatting>
  <conditionalFormatting sqref="F9">
    <cfRule type="cellIs" dxfId="179" priority="106" operator="equal">
      <formula>"No"</formula>
    </cfRule>
    <cfRule type="cellIs" dxfId="178" priority="107" operator="equal">
      <formula>"NA"</formula>
    </cfRule>
    <cfRule type="cellIs" dxfId="177" priority="108" operator="equal">
      <formula>"Yes"</formula>
    </cfRule>
  </conditionalFormatting>
  <conditionalFormatting sqref="F10">
    <cfRule type="cellIs" dxfId="176" priority="103" operator="equal">
      <formula>"No"</formula>
    </cfRule>
    <cfRule type="cellIs" dxfId="175" priority="104" operator="equal">
      <formula>"NA"</formula>
    </cfRule>
    <cfRule type="cellIs" dxfId="174" priority="105" operator="equal">
      <formula>"Yes"</formula>
    </cfRule>
  </conditionalFormatting>
  <conditionalFormatting sqref="F11">
    <cfRule type="cellIs" dxfId="173" priority="100" operator="equal">
      <formula>"No"</formula>
    </cfRule>
    <cfRule type="cellIs" dxfId="172" priority="101" operator="equal">
      <formula>"NA"</formula>
    </cfRule>
    <cfRule type="cellIs" dxfId="171" priority="102" operator="equal">
      <formula>"Yes"</formula>
    </cfRule>
  </conditionalFormatting>
  <conditionalFormatting sqref="F25">
    <cfRule type="cellIs" dxfId="170" priority="97" operator="equal">
      <formula>"No"</formula>
    </cfRule>
    <cfRule type="cellIs" dxfId="169" priority="98" operator="equal">
      <formula>"NA"</formula>
    </cfRule>
    <cfRule type="cellIs" dxfId="168" priority="99" operator="equal">
      <formula>"Yes"</formula>
    </cfRule>
  </conditionalFormatting>
  <conditionalFormatting sqref="G6">
    <cfRule type="cellIs" dxfId="167" priority="94" operator="equal">
      <formula>"No"</formula>
    </cfRule>
    <cfRule type="cellIs" dxfId="166" priority="95" operator="equal">
      <formula>"NA"</formula>
    </cfRule>
    <cfRule type="cellIs" dxfId="165" priority="96" operator="equal">
      <formula>"Yes"</formula>
    </cfRule>
  </conditionalFormatting>
  <conditionalFormatting sqref="G30:G31">
    <cfRule type="cellIs" dxfId="164" priority="91" operator="equal">
      <formula>"No"</formula>
    </cfRule>
    <cfRule type="cellIs" dxfId="163" priority="92" operator="equal">
      <formula>"NA"</formula>
    </cfRule>
    <cfRule type="cellIs" dxfId="162" priority="93" operator="equal">
      <formula>"Yes"</formula>
    </cfRule>
  </conditionalFormatting>
  <conditionalFormatting sqref="G33">
    <cfRule type="cellIs" dxfId="161" priority="88" operator="equal">
      <formula>"No"</formula>
    </cfRule>
    <cfRule type="cellIs" dxfId="160" priority="89" operator="equal">
      <formula>"NA"</formula>
    </cfRule>
    <cfRule type="cellIs" dxfId="159" priority="90" operator="equal">
      <formula>"Yes"</formula>
    </cfRule>
  </conditionalFormatting>
  <conditionalFormatting sqref="G7">
    <cfRule type="cellIs" dxfId="158" priority="85" operator="equal">
      <formula>"No"</formula>
    </cfRule>
    <cfRule type="cellIs" dxfId="157" priority="86" operator="equal">
      <formula>"NA"</formula>
    </cfRule>
    <cfRule type="cellIs" dxfId="156" priority="87" operator="equal">
      <formula>"Yes"</formula>
    </cfRule>
  </conditionalFormatting>
  <conditionalFormatting sqref="G9:G23 G25:G28">
    <cfRule type="cellIs" dxfId="155" priority="82" operator="equal">
      <formula>"No"</formula>
    </cfRule>
    <cfRule type="cellIs" dxfId="154" priority="83" operator="equal">
      <formula>"NA"</formula>
    </cfRule>
    <cfRule type="cellIs" dxfId="153" priority="84" operator="equal">
      <formula>"Yes"</formula>
    </cfRule>
  </conditionalFormatting>
  <conditionalFormatting sqref="H6">
    <cfRule type="cellIs" dxfId="152" priority="79" operator="equal">
      <formula>"No"</formula>
    </cfRule>
    <cfRule type="cellIs" dxfId="151" priority="80" operator="equal">
      <formula>"NA"</formula>
    </cfRule>
    <cfRule type="cellIs" dxfId="150" priority="81" operator="equal">
      <formula>"Yes"</formula>
    </cfRule>
  </conditionalFormatting>
  <conditionalFormatting sqref="H30:H31">
    <cfRule type="cellIs" dxfId="149" priority="76" operator="equal">
      <formula>"No"</formula>
    </cfRule>
    <cfRule type="cellIs" dxfId="148" priority="77" operator="equal">
      <formula>"NA"</formula>
    </cfRule>
    <cfRule type="cellIs" dxfId="147" priority="78" operator="equal">
      <formula>"Yes"</formula>
    </cfRule>
  </conditionalFormatting>
  <conditionalFormatting sqref="H33">
    <cfRule type="cellIs" dxfId="146" priority="73" operator="equal">
      <formula>"No"</formula>
    </cfRule>
    <cfRule type="cellIs" dxfId="145" priority="74" operator="equal">
      <formula>"NA"</formula>
    </cfRule>
    <cfRule type="cellIs" dxfId="144" priority="75" operator="equal">
      <formula>"Yes"</formula>
    </cfRule>
  </conditionalFormatting>
  <conditionalFormatting sqref="H7">
    <cfRule type="cellIs" dxfId="143" priority="70" operator="equal">
      <formula>"No"</formula>
    </cfRule>
    <cfRule type="cellIs" dxfId="142" priority="71" operator="equal">
      <formula>"NA"</formula>
    </cfRule>
    <cfRule type="cellIs" dxfId="141" priority="72" operator="equal">
      <formula>"Yes"</formula>
    </cfRule>
  </conditionalFormatting>
  <conditionalFormatting sqref="H26:H28 H12:H23">
    <cfRule type="cellIs" dxfId="140" priority="67" operator="equal">
      <formula>"No"</formula>
    </cfRule>
    <cfRule type="cellIs" dxfId="139" priority="68" operator="equal">
      <formula>"NA"</formula>
    </cfRule>
    <cfRule type="cellIs" dxfId="138" priority="69" operator="equal">
      <formula>"Yes"</formula>
    </cfRule>
  </conditionalFormatting>
  <conditionalFormatting sqref="H9">
    <cfRule type="cellIs" dxfId="137" priority="64" operator="equal">
      <formula>"No"</formula>
    </cfRule>
    <cfRule type="cellIs" dxfId="136" priority="65" operator="equal">
      <formula>"NA"</formula>
    </cfRule>
    <cfRule type="cellIs" dxfId="135" priority="66" operator="equal">
      <formula>"Yes"</formula>
    </cfRule>
  </conditionalFormatting>
  <conditionalFormatting sqref="H10">
    <cfRule type="cellIs" dxfId="134" priority="61" operator="equal">
      <formula>"No"</formula>
    </cfRule>
    <cfRule type="cellIs" dxfId="133" priority="62" operator="equal">
      <formula>"NA"</formula>
    </cfRule>
    <cfRule type="cellIs" dxfId="132" priority="63" operator="equal">
      <formula>"Yes"</formula>
    </cfRule>
  </conditionalFormatting>
  <conditionalFormatting sqref="H11">
    <cfRule type="cellIs" dxfId="131" priority="58" operator="equal">
      <formula>"No"</formula>
    </cfRule>
    <cfRule type="cellIs" dxfId="130" priority="59" operator="equal">
      <formula>"NA"</formula>
    </cfRule>
    <cfRule type="cellIs" dxfId="129" priority="60" operator="equal">
      <formula>"Yes"</formula>
    </cfRule>
  </conditionalFormatting>
  <conditionalFormatting sqref="H25">
    <cfRule type="cellIs" dxfId="128" priority="55" operator="equal">
      <formula>"No"</formula>
    </cfRule>
    <cfRule type="cellIs" dxfId="127" priority="56" operator="equal">
      <formula>"NA"</formula>
    </cfRule>
    <cfRule type="cellIs" dxfId="126" priority="57" operator="equal">
      <formula>"Yes"</formula>
    </cfRule>
  </conditionalFormatting>
  <conditionalFormatting sqref="I6">
    <cfRule type="cellIs" dxfId="125" priority="52" operator="equal">
      <formula>"No"</formula>
    </cfRule>
    <cfRule type="cellIs" dxfId="124" priority="53" operator="equal">
      <formula>"NA"</formula>
    </cfRule>
    <cfRule type="cellIs" dxfId="123" priority="54" operator="equal">
      <formula>"Yes"</formula>
    </cfRule>
  </conditionalFormatting>
  <conditionalFormatting sqref="I30:I31">
    <cfRule type="cellIs" dxfId="122" priority="49" operator="equal">
      <formula>"No"</formula>
    </cfRule>
    <cfRule type="cellIs" dxfId="121" priority="50" operator="equal">
      <formula>"NA"</formula>
    </cfRule>
    <cfRule type="cellIs" dxfId="120" priority="51" operator="equal">
      <formula>"Yes"</formula>
    </cfRule>
  </conditionalFormatting>
  <conditionalFormatting sqref="I33">
    <cfRule type="cellIs" dxfId="119" priority="46" operator="equal">
      <formula>"No"</formula>
    </cfRule>
    <cfRule type="cellIs" dxfId="118" priority="47" operator="equal">
      <formula>"NA"</formula>
    </cfRule>
    <cfRule type="cellIs" dxfId="117" priority="48" operator="equal">
      <formula>"Yes"</formula>
    </cfRule>
  </conditionalFormatting>
  <conditionalFormatting sqref="I7">
    <cfRule type="cellIs" dxfId="116" priority="43" operator="equal">
      <formula>"No"</formula>
    </cfRule>
    <cfRule type="cellIs" dxfId="115" priority="44" operator="equal">
      <formula>"NA"</formula>
    </cfRule>
    <cfRule type="cellIs" dxfId="114" priority="45" operator="equal">
      <formula>"Yes"</formula>
    </cfRule>
  </conditionalFormatting>
  <conditionalFormatting sqref="I26:I28 I12:I23">
    <cfRule type="cellIs" dxfId="113" priority="40" operator="equal">
      <formula>"No"</formula>
    </cfRule>
    <cfRule type="cellIs" dxfId="112" priority="41" operator="equal">
      <formula>"NA"</formula>
    </cfRule>
    <cfRule type="cellIs" dxfId="111" priority="42" operator="equal">
      <formula>"Yes"</formula>
    </cfRule>
  </conditionalFormatting>
  <conditionalFormatting sqref="I9">
    <cfRule type="cellIs" dxfId="110" priority="37" operator="equal">
      <formula>"No"</formula>
    </cfRule>
    <cfRule type="cellIs" dxfId="109" priority="38" operator="equal">
      <formula>"NA"</formula>
    </cfRule>
    <cfRule type="cellIs" dxfId="108" priority="39" operator="equal">
      <formula>"Yes"</formula>
    </cfRule>
  </conditionalFormatting>
  <conditionalFormatting sqref="I10">
    <cfRule type="cellIs" dxfId="107" priority="34" operator="equal">
      <formula>"No"</formula>
    </cfRule>
    <cfRule type="cellIs" dxfId="106" priority="35" operator="equal">
      <formula>"NA"</formula>
    </cfRule>
    <cfRule type="cellIs" dxfId="105" priority="36" operator="equal">
      <formula>"Yes"</formula>
    </cfRule>
  </conditionalFormatting>
  <conditionalFormatting sqref="I11">
    <cfRule type="cellIs" dxfId="104" priority="31" operator="equal">
      <formula>"No"</formula>
    </cfRule>
    <cfRule type="cellIs" dxfId="103" priority="32" operator="equal">
      <formula>"NA"</formula>
    </cfRule>
    <cfRule type="cellIs" dxfId="102" priority="33" operator="equal">
      <formula>"Yes"</formula>
    </cfRule>
  </conditionalFormatting>
  <conditionalFormatting sqref="I25">
    <cfRule type="cellIs" dxfId="101" priority="28" operator="equal">
      <formula>"No"</formula>
    </cfRule>
    <cfRule type="cellIs" dxfId="100" priority="29" operator="equal">
      <formula>"NA"</formula>
    </cfRule>
    <cfRule type="cellIs" dxfId="99" priority="30" operator="equal">
      <formula>"Yes"</formula>
    </cfRule>
  </conditionalFormatting>
  <conditionalFormatting sqref="J6">
    <cfRule type="cellIs" dxfId="98" priority="25" operator="equal">
      <formula>"No"</formula>
    </cfRule>
    <cfRule type="cellIs" dxfId="97" priority="26" operator="equal">
      <formula>"NA"</formula>
    </cfRule>
    <cfRule type="cellIs" dxfId="96" priority="27" operator="equal">
      <formula>"Yes"</formula>
    </cfRule>
  </conditionalFormatting>
  <conditionalFormatting sqref="J30:J31">
    <cfRule type="cellIs" dxfId="95" priority="22" operator="equal">
      <formula>"No"</formula>
    </cfRule>
    <cfRule type="cellIs" dxfId="94" priority="23" operator="equal">
      <formula>"NA"</formula>
    </cfRule>
    <cfRule type="cellIs" dxfId="93" priority="24" operator="equal">
      <formula>"Yes"</formula>
    </cfRule>
  </conditionalFormatting>
  <conditionalFormatting sqref="J33">
    <cfRule type="cellIs" dxfId="92" priority="19" operator="equal">
      <formula>"No"</formula>
    </cfRule>
    <cfRule type="cellIs" dxfId="91" priority="20" operator="equal">
      <formula>"NA"</formula>
    </cfRule>
    <cfRule type="cellIs" dxfId="90" priority="21" operator="equal">
      <formula>"Yes"</formula>
    </cfRule>
  </conditionalFormatting>
  <conditionalFormatting sqref="J7">
    <cfRule type="cellIs" dxfId="89" priority="16" operator="equal">
      <formula>"No"</formula>
    </cfRule>
    <cfRule type="cellIs" dxfId="88" priority="17" operator="equal">
      <formula>"NA"</formula>
    </cfRule>
    <cfRule type="cellIs" dxfId="87" priority="18" operator="equal">
      <formula>"Yes"</formula>
    </cfRule>
  </conditionalFormatting>
  <conditionalFormatting sqref="J26:J28 J12:J23">
    <cfRule type="cellIs" dxfId="86" priority="13" operator="equal">
      <formula>"No"</formula>
    </cfRule>
    <cfRule type="cellIs" dxfId="85" priority="14" operator="equal">
      <formula>"NA"</formula>
    </cfRule>
    <cfRule type="cellIs" dxfId="84" priority="15" operator="equal">
      <formula>"Yes"</formula>
    </cfRule>
  </conditionalFormatting>
  <conditionalFormatting sqref="J9">
    <cfRule type="cellIs" dxfId="83" priority="10" operator="equal">
      <formula>"No"</formula>
    </cfRule>
    <cfRule type="cellIs" dxfId="82" priority="11" operator="equal">
      <formula>"NA"</formula>
    </cfRule>
    <cfRule type="cellIs" dxfId="81" priority="12" operator="equal">
      <formula>"Yes"</formula>
    </cfRule>
  </conditionalFormatting>
  <conditionalFormatting sqref="J10">
    <cfRule type="cellIs" dxfId="80" priority="7" operator="equal">
      <formula>"No"</formula>
    </cfRule>
    <cfRule type="cellIs" dxfId="79" priority="8" operator="equal">
      <formula>"NA"</formula>
    </cfRule>
    <cfRule type="cellIs" dxfId="78" priority="9" operator="equal">
      <formula>"Yes"</formula>
    </cfRule>
  </conditionalFormatting>
  <conditionalFormatting sqref="J11">
    <cfRule type="cellIs" dxfId="77" priority="4" operator="equal">
      <formula>"No"</formula>
    </cfRule>
    <cfRule type="cellIs" dxfId="76" priority="5" operator="equal">
      <formula>"NA"</formula>
    </cfRule>
    <cfRule type="cellIs" dxfId="75" priority="6" operator="equal">
      <formula>"Yes"</formula>
    </cfRule>
  </conditionalFormatting>
  <conditionalFormatting sqref="J25">
    <cfRule type="cellIs" dxfId="74" priority="1" operator="equal">
      <formula>"No"</formula>
    </cfRule>
    <cfRule type="cellIs" dxfId="73" priority="2" operator="equal">
      <formula>"NA"</formula>
    </cfRule>
    <cfRule type="cellIs" dxfId="72" priority="3" operator="equal">
      <formula>"Yes"</formula>
    </cfRule>
  </conditionalFormatting>
  <dataValidations count="1">
    <dataValidation type="list" allowBlank="1" showInputMessage="1" showErrorMessage="1" sqref="C25:J28 C6:J7 C9:J23 C30:J31 C33:J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66B65-44E9-4EAB-B811-1F4334C436AE}">
  <sheetPr>
    <tabColor theme="7" tint="0.39997558519241921"/>
  </sheetPr>
  <dimension ref="A2:F38"/>
  <sheetViews>
    <sheetView workbookViewId="0">
      <selection activeCell="C3" sqref="C3"/>
    </sheetView>
  </sheetViews>
  <sheetFormatPr defaultRowHeight="12.75" outlineLevelCol="1"/>
  <cols>
    <col min="1" max="1" width="12.5703125" style="159" bestFit="1" customWidth="1"/>
    <col min="2" max="2" width="61" style="158" customWidth="1"/>
    <col min="3" max="3" width="6.28515625" style="157" bestFit="1" customWidth="1"/>
    <col min="4" max="4" width="33.7109375" style="157" customWidth="1"/>
    <col min="5" max="6" width="30.7109375" style="157" customWidth="1" outlineLevel="1"/>
  </cols>
  <sheetData>
    <row r="2" spans="1:6" ht="69.75">
      <c r="A2" s="182" t="s">
        <v>216</v>
      </c>
      <c r="B2" s="183" t="s">
        <v>362</v>
      </c>
      <c r="C2" s="184" t="s">
        <v>403</v>
      </c>
      <c r="D2" s="185" t="s">
        <v>225</v>
      </c>
      <c r="E2" s="332" t="s">
        <v>185</v>
      </c>
      <c r="F2" s="333"/>
    </row>
    <row r="3" spans="1:6" ht="18.75">
      <c r="A3" s="186"/>
      <c r="B3" s="187"/>
      <c r="C3" s="188">
        <f>COUNTIF(Review.ratings,"Yes") / ( COUNTA(Review.QuestionIds) - COUNTIF(Review.ratings,"NA"))</f>
        <v>0.88888888888888884</v>
      </c>
      <c r="D3" s="193"/>
      <c r="E3" s="201" t="s">
        <v>222</v>
      </c>
      <c r="F3" s="201" t="s">
        <v>223</v>
      </c>
    </row>
    <row r="4" spans="1:6" ht="36">
      <c r="A4" s="189"/>
      <c r="B4" s="190" t="s">
        <v>227</v>
      </c>
      <c r="C4" s="191"/>
      <c r="D4" s="191"/>
      <c r="E4" s="191"/>
      <c r="F4" s="192"/>
    </row>
    <row r="5" spans="1:6" ht="18.75">
      <c r="A5" s="160"/>
      <c r="B5" s="168" t="s">
        <v>363</v>
      </c>
      <c r="C5" s="161"/>
      <c r="D5" s="161"/>
      <c r="E5" s="201"/>
      <c r="F5" s="201"/>
    </row>
    <row r="6" spans="1:6" ht="25.5">
      <c r="A6" s="163" t="s">
        <v>364</v>
      </c>
      <c r="B6" s="171" t="s">
        <v>365</v>
      </c>
      <c r="C6" s="195" t="s">
        <v>215</v>
      </c>
      <c r="D6" s="196"/>
      <c r="E6" s="162"/>
      <c r="F6" s="162"/>
    </row>
    <row r="7" spans="1:6" ht="38.25">
      <c r="A7" s="163" t="s">
        <v>366</v>
      </c>
      <c r="B7" s="171" t="s">
        <v>367</v>
      </c>
      <c r="C7" s="195" t="s">
        <v>215</v>
      </c>
      <c r="D7" s="196"/>
      <c r="E7" s="205" t="s">
        <v>368</v>
      </c>
      <c r="F7" s="162"/>
    </row>
    <row r="8" spans="1:6" ht="25.5">
      <c r="A8" s="163" t="s">
        <v>369</v>
      </c>
      <c r="B8" s="171" t="s">
        <v>370</v>
      </c>
      <c r="C8" s="195" t="s">
        <v>215</v>
      </c>
      <c r="D8" s="196"/>
      <c r="E8" s="162"/>
      <c r="F8" s="162"/>
    </row>
    <row r="9" spans="1:6" ht="25.5">
      <c r="A9" s="163" t="s">
        <v>371</v>
      </c>
      <c r="B9" s="171" t="s">
        <v>372</v>
      </c>
      <c r="C9" s="195" t="s">
        <v>215</v>
      </c>
      <c r="D9" s="196"/>
      <c r="E9" s="162"/>
      <c r="F9" s="162"/>
    </row>
    <row r="10" spans="1:6" ht="38.25">
      <c r="A10" s="163" t="s">
        <v>373</v>
      </c>
      <c r="B10" s="171" t="s">
        <v>374</v>
      </c>
      <c r="C10" s="195" t="s">
        <v>215</v>
      </c>
      <c r="D10" s="196"/>
      <c r="E10" s="162"/>
      <c r="F10" s="162"/>
    </row>
    <row r="11" spans="1:6" ht="18.75">
      <c r="A11" s="160"/>
      <c r="B11" s="168" t="s">
        <v>375</v>
      </c>
      <c r="C11" s="161"/>
      <c r="D11" s="161"/>
      <c r="E11" s="201"/>
      <c r="F11" s="201"/>
    </row>
    <row r="12" spans="1:6" ht="63.75">
      <c r="A12" s="163" t="s">
        <v>376</v>
      </c>
      <c r="B12" s="171" t="s">
        <v>377</v>
      </c>
      <c r="C12" s="195" t="s">
        <v>11</v>
      </c>
      <c r="D12" s="204" t="s">
        <v>378</v>
      </c>
      <c r="E12" s="162"/>
      <c r="F12" s="162"/>
    </row>
    <row r="13" spans="1:6" ht="63.75">
      <c r="A13" s="163" t="s">
        <v>379</v>
      </c>
      <c r="B13" s="171" t="s">
        <v>380</v>
      </c>
      <c r="C13" s="195" t="s">
        <v>215</v>
      </c>
      <c r="D13" s="196"/>
      <c r="E13" s="162"/>
      <c r="F13" s="162"/>
    </row>
    <row r="14" spans="1:6" ht="51">
      <c r="A14" s="163" t="s">
        <v>381</v>
      </c>
      <c r="B14" s="171" t="s">
        <v>382</v>
      </c>
      <c r="C14" s="195" t="s">
        <v>215</v>
      </c>
      <c r="D14" s="196"/>
      <c r="E14" s="162"/>
      <c r="F14" s="162"/>
    </row>
    <row r="15" spans="1:6" ht="25.5">
      <c r="A15" s="163" t="s">
        <v>383</v>
      </c>
      <c r="B15" s="171" t="s">
        <v>384</v>
      </c>
      <c r="C15" s="195" t="s">
        <v>215</v>
      </c>
      <c r="D15" s="196"/>
      <c r="E15" s="162"/>
      <c r="F15" s="162"/>
    </row>
    <row r="16" spans="1:6" ht="18.75">
      <c r="A16" s="160"/>
      <c r="B16" s="168" t="s">
        <v>385</v>
      </c>
      <c r="C16" s="161"/>
      <c r="D16" s="161"/>
      <c r="E16" s="201"/>
      <c r="F16" s="201"/>
    </row>
    <row r="17" spans="1:6" ht="38.25">
      <c r="A17" s="163" t="s">
        <v>386</v>
      </c>
      <c r="B17" s="171" t="s">
        <v>387</v>
      </c>
      <c r="C17" s="195" t="s">
        <v>23</v>
      </c>
      <c r="D17" s="196"/>
      <c r="E17" s="162"/>
      <c r="F17" s="162"/>
    </row>
    <row r="18" spans="1:6" ht="76.5">
      <c r="A18" s="163" t="s">
        <v>388</v>
      </c>
      <c r="B18" s="171" t="s">
        <v>389</v>
      </c>
      <c r="C18" s="195" t="s">
        <v>23</v>
      </c>
      <c r="D18" s="196"/>
      <c r="E18" s="162"/>
      <c r="F18" s="162"/>
    </row>
    <row r="19" spans="1:6" ht="18.75">
      <c r="A19" s="160"/>
      <c r="B19" s="168" t="s">
        <v>264</v>
      </c>
      <c r="C19" s="161"/>
      <c r="D19" s="161"/>
      <c r="E19" s="201"/>
      <c r="F19" s="201"/>
    </row>
    <row r="20" spans="1:6" ht="51">
      <c r="A20" s="163" t="s">
        <v>390</v>
      </c>
      <c r="B20" s="171" t="s">
        <v>391</v>
      </c>
      <c r="C20" s="195" t="s">
        <v>11</v>
      </c>
      <c r="D20" s="204" t="s">
        <v>392</v>
      </c>
      <c r="E20" s="162"/>
      <c r="F20" s="162"/>
    </row>
    <row r="21" spans="1:6" ht="51">
      <c r="A21" s="163" t="s">
        <v>393</v>
      </c>
      <c r="B21" s="171" t="s">
        <v>394</v>
      </c>
      <c r="C21" s="195" t="s">
        <v>11</v>
      </c>
      <c r="D21" s="204" t="s">
        <v>392</v>
      </c>
      <c r="E21" s="162"/>
      <c r="F21" s="162"/>
    </row>
    <row r="22" spans="1:6" ht="51">
      <c r="A22" s="163" t="s">
        <v>395</v>
      </c>
      <c r="B22" s="171" t="s">
        <v>396</v>
      </c>
      <c r="C22" s="195" t="s">
        <v>11</v>
      </c>
      <c r="D22" s="204" t="s">
        <v>392</v>
      </c>
      <c r="E22" s="162"/>
      <c r="F22" s="162"/>
    </row>
    <row r="23" spans="1:6" ht="25.5">
      <c r="A23" s="163" t="s">
        <v>397</v>
      </c>
      <c r="B23" s="171" t="s">
        <v>398</v>
      </c>
      <c r="C23" s="195" t="s">
        <v>215</v>
      </c>
      <c r="D23" s="196"/>
      <c r="E23" s="162"/>
      <c r="F23" s="162"/>
    </row>
    <row r="24" spans="1:6" ht="51">
      <c r="A24" s="163" t="s">
        <v>399</v>
      </c>
      <c r="B24" s="171" t="s">
        <v>400</v>
      </c>
      <c r="C24" s="195" t="s">
        <v>11</v>
      </c>
      <c r="D24" s="204" t="s">
        <v>392</v>
      </c>
      <c r="E24" s="162"/>
      <c r="F24" s="162"/>
    </row>
    <row r="25" spans="1:6" ht="25.5">
      <c r="A25" s="163" t="s">
        <v>401</v>
      </c>
      <c r="B25" s="171" t="s">
        <v>402</v>
      </c>
      <c r="C25" s="195" t="s">
        <v>215</v>
      </c>
      <c r="D25" s="196"/>
      <c r="E25" s="162"/>
      <c r="F25" s="162"/>
    </row>
    <row r="26" spans="1:6" ht="18.75">
      <c r="A26" s="160"/>
      <c r="B26" s="168" t="s">
        <v>219</v>
      </c>
      <c r="C26" s="161"/>
      <c r="D26" s="161"/>
      <c r="E26" s="201"/>
      <c r="F26" s="201"/>
    </row>
    <row r="27" spans="1:6" ht="38.25">
      <c r="A27" s="163" t="s">
        <v>314</v>
      </c>
      <c r="B27" s="171" t="s">
        <v>209</v>
      </c>
      <c r="C27" s="195" t="s">
        <v>215</v>
      </c>
      <c r="D27" s="196"/>
      <c r="E27" s="162"/>
      <c r="F27" s="162"/>
    </row>
    <row r="28" spans="1:6" ht="25.5">
      <c r="A28" s="163" t="s">
        <v>315</v>
      </c>
      <c r="B28" s="171" t="s">
        <v>210</v>
      </c>
      <c r="C28" s="195" t="s">
        <v>215</v>
      </c>
      <c r="D28" s="196"/>
      <c r="E28" s="162"/>
      <c r="F28" s="162"/>
    </row>
    <row r="29" spans="1:6" ht="38.25">
      <c r="A29" s="163" t="s">
        <v>316</v>
      </c>
      <c r="B29" s="171" t="s">
        <v>211</v>
      </c>
      <c r="C29" s="195" t="s">
        <v>215</v>
      </c>
      <c r="D29" s="196"/>
      <c r="E29" s="162"/>
      <c r="F29" s="162"/>
    </row>
    <row r="30" spans="1:6" ht="38.25">
      <c r="A30" s="163" t="s">
        <v>317</v>
      </c>
      <c r="B30" s="171" t="s">
        <v>212</v>
      </c>
      <c r="C30" s="195" t="s">
        <v>215</v>
      </c>
      <c r="D30" s="196"/>
      <c r="E30" s="162"/>
      <c r="F30" s="162"/>
    </row>
    <row r="31" spans="1:6" ht="18.75">
      <c r="A31" s="160"/>
      <c r="B31" s="168" t="s">
        <v>220</v>
      </c>
      <c r="C31" s="161"/>
      <c r="D31" s="161"/>
      <c r="E31" s="201"/>
      <c r="F31" s="201"/>
    </row>
    <row r="32" spans="1:6" ht="38.25">
      <c r="A32" s="163" t="s">
        <v>318</v>
      </c>
      <c r="B32" s="171" t="s">
        <v>213</v>
      </c>
      <c r="C32" s="195" t="s">
        <v>215</v>
      </c>
      <c r="D32" s="196"/>
      <c r="E32" s="162"/>
      <c r="F32" s="162"/>
    </row>
    <row r="33" spans="1:6" ht="38.25">
      <c r="A33" s="163" t="s">
        <v>319</v>
      </c>
      <c r="B33" s="171" t="s">
        <v>214</v>
      </c>
      <c r="C33" s="195" t="s">
        <v>215</v>
      </c>
      <c r="D33" s="196"/>
      <c r="E33" s="162"/>
      <c r="F33" s="162"/>
    </row>
    <row r="34" spans="1:6" ht="18.75">
      <c r="A34" s="160"/>
      <c r="B34" s="168" t="s">
        <v>207</v>
      </c>
      <c r="C34" s="161"/>
      <c r="D34" s="161"/>
      <c r="E34" s="201"/>
      <c r="F34" s="201"/>
    </row>
    <row r="35" spans="1:6" ht="51">
      <c r="A35" s="163" t="s">
        <v>320</v>
      </c>
      <c r="B35" s="171" t="s">
        <v>208</v>
      </c>
      <c r="C35" s="195" t="s">
        <v>11</v>
      </c>
      <c r="D35" s="196"/>
      <c r="E35" s="162"/>
      <c r="F35" s="162"/>
    </row>
    <row r="36" spans="1:6" ht="18">
      <c r="A36" s="197"/>
      <c r="B36" s="198" t="s">
        <v>224</v>
      </c>
      <c r="C36" s="197"/>
      <c r="D36" s="197"/>
      <c r="E36" s="197"/>
      <c r="F36" s="197"/>
    </row>
    <row r="37" spans="1:6">
      <c r="A37" s="163"/>
      <c r="B37" s="171"/>
    </row>
    <row r="38" spans="1:6" ht="15">
      <c r="A38" s="199"/>
      <c r="B38" s="200" t="s">
        <v>338</v>
      </c>
      <c r="C38" s="199"/>
      <c r="D38" s="199"/>
      <c r="E38" s="199"/>
      <c r="F38" s="199"/>
    </row>
  </sheetData>
  <mergeCells count="1">
    <mergeCell ref="E2:F2"/>
  </mergeCells>
  <conditionalFormatting sqref="C6">
    <cfRule type="cellIs" dxfId="71" priority="70" operator="equal">
      <formula>"No"</formula>
    </cfRule>
    <cfRule type="cellIs" dxfId="70" priority="71" operator="equal">
      <formula>"NA"</formula>
    </cfRule>
    <cfRule type="cellIs" dxfId="69" priority="72" operator="equal">
      <formula>"Yes"</formula>
    </cfRule>
  </conditionalFormatting>
  <conditionalFormatting sqref="C7">
    <cfRule type="cellIs" dxfId="68" priority="67" operator="equal">
      <formula>"No"</formula>
    </cfRule>
    <cfRule type="cellIs" dxfId="67" priority="68" operator="equal">
      <formula>"NA"</formula>
    </cfRule>
    <cfRule type="cellIs" dxfId="66" priority="69" operator="equal">
      <formula>"Yes"</formula>
    </cfRule>
  </conditionalFormatting>
  <conditionalFormatting sqref="C8">
    <cfRule type="cellIs" dxfId="65" priority="64" operator="equal">
      <formula>"No"</formula>
    </cfRule>
    <cfRule type="cellIs" dxfId="64" priority="65" operator="equal">
      <formula>"NA"</formula>
    </cfRule>
    <cfRule type="cellIs" dxfId="63" priority="66" operator="equal">
      <formula>"Yes"</formula>
    </cfRule>
  </conditionalFormatting>
  <conditionalFormatting sqref="C9">
    <cfRule type="cellIs" dxfId="62" priority="61" operator="equal">
      <formula>"No"</formula>
    </cfRule>
    <cfRule type="cellIs" dxfId="61" priority="62" operator="equal">
      <formula>"NA"</formula>
    </cfRule>
    <cfRule type="cellIs" dxfId="60" priority="63" operator="equal">
      <formula>"Yes"</formula>
    </cfRule>
  </conditionalFormatting>
  <conditionalFormatting sqref="C10">
    <cfRule type="cellIs" dxfId="59" priority="58" operator="equal">
      <formula>"No"</formula>
    </cfRule>
    <cfRule type="cellIs" dxfId="58" priority="59" operator="equal">
      <formula>"NA"</formula>
    </cfRule>
    <cfRule type="cellIs" dxfId="57" priority="60" operator="equal">
      <formula>"Yes"</formula>
    </cfRule>
  </conditionalFormatting>
  <conditionalFormatting sqref="C12">
    <cfRule type="cellIs" dxfId="56" priority="55" operator="equal">
      <formula>"No"</formula>
    </cfRule>
    <cfRule type="cellIs" dxfId="55" priority="56" operator="equal">
      <formula>"NA"</formula>
    </cfRule>
    <cfRule type="cellIs" dxfId="54" priority="57" operator="equal">
      <formula>"Yes"</formula>
    </cfRule>
  </conditionalFormatting>
  <conditionalFormatting sqref="C13">
    <cfRule type="cellIs" dxfId="53" priority="52" operator="equal">
      <formula>"No"</formula>
    </cfRule>
    <cfRule type="cellIs" dxfId="52" priority="53" operator="equal">
      <formula>"NA"</formula>
    </cfRule>
    <cfRule type="cellIs" dxfId="51" priority="54" operator="equal">
      <formula>"Yes"</formula>
    </cfRule>
  </conditionalFormatting>
  <conditionalFormatting sqref="C14">
    <cfRule type="cellIs" dxfId="50" priority="49" operator="equal">
      <formula>"No"</formula>
    </cfRule>
    <cfRule type="cellIs" dxfId="49" priority="50" operator="equal">
      <formula>"NA"</formula>
    </cfRule>
    <cfRule type="cellIs" dxfId="48" priority="51" operator="equal">
      <formula>"Yes"</formula>
    </cfRule>
  </conditionalFormatting>
  <conditionalFormatting sqref="C15">
    <cfRule type="cellIs" dxfId="47" priority="46" operator="equal">
      <formula>"No"</formula>
    </cfRule>
    <cfRule type="cellIs" dxfId="46" priority="47" operator="equal">
      <formula>"NA"</formula>
    </cfRule>
    <cfRule type="cellIs" dxfId="45" priority="48" operator="equal">
      <formula>"Yes"</formula>
    </cfRule>
  </conditionalFormatting>
  <conditionalFormatting sqref="C17">
    <cfRule type="cellIs" dxfId="44" priority="43" operator="equal">
      <formula>"No"</formula>
    </cfRule>
    <cfRule type="cellIs" dxfId="43" priority="44" operator="equal">
      <formula>"NA"</formula>
    </cfRule>
    <cfRule type="cellIs" dxfId="42" priority="45" operator="equal">
      <formula>"Yes"</formula>
    </cfRule>
  </conditionalFormatting>
  <conditionalFormatting sqref="C18">
    <cfRule type="cellIs" dxfId="41" priority="40" operator="equal">
      <formula>"No"</formula>
    </cfRule>
    <cfRule type="cellIs" dxfId="40" priority="41" operator="equal">
      <formula>"NA"</formula>
    </cfRule>
    <cfRule type="cellIs" dxfId="39" priority="42" operator="equal">
      <formula>"Yes"</formula>
    </cfRule>
  </conditionalFormatting>
  <conditionalFormatting sqref="C20">
    <cfRule type="cellIs" dxfId="38" priority="37" operator="equal">
      <formula>"No"</formula>
    </cfRule>
    <cfRule type="cellIs" dxfId="37" priority="38" operator="equal">
      <formula>"NA"</formula>
    </cfRule>
    <cfRule type="cellIs" dxfId="36" priority="39" operator="equal">
      <formula>"Yes"</formula>
    </cfRule>
  </conditionalFormatting>
  <conditionalFormatting sqref="C21">
    <cfRule type="cellIs" dxfId="35" priority="34" operator="equal">
      <formula>"No"</formula>
    </cfRule>
    <cfRule type="cellIs" dxfId="34" priority="35" operator="equal">
      <formula>"NA"</formula>
    </cfRule>
    <cfRule type="cellIs" dxfId="33" priority="36" operator="equal">
      <formula>"Yes"</formula>
    </cfRule>
  </conditionalFormatting>
  <conditionalFormatting sqref="C22">
    <cfRule type="cellIs" dxfId="32" priority="31" operator="equal">
      <formula>"No"</formula>
    </cfRule>
    <cfRule type="cellIs" dxfId="31" priority="32" operator="equal">
      <formula>"NA"</formula>
    </cfRule>
    <cfRule type="cellIs" dxfId="30" priority="33" operator="equal">
      <formula>"Yes"</formula>
    </cfRule>
  </conditionalFormatting>
  <conditionalFormatting sqref="C23">
    <cfRule type="cellIs" dxfId="29" priority="28" operator="equal">
      <formula>"No"</formula>
    </cfRule>
    <cfRule type="cellIs" dxfId="28" priority="29" operator="equal">
      <formula>"NA"</formula>
    </cfRule>
    <cfRule type="cellIs" dxfId="27" priority="30" operator="equal">
      <formula>"Yes"</formula>
    </cfRule>
  </conditionalFormatting>
  <conditionalFormatting sqref="C24">
    <cfRule type="cellIs" dxfId="26" priority="25" operator="equal">
      <formula>"No"</formula>
    </cfRule>
    <cfRule type="cellIs" dxfId="25" priority="26" operator="equal">
      <formula>"NA"</formula>
    </cfRule>
    <cfRule type="cellIs" dxfId="24" priority="27" operator="equal">
      <formula>"Yes"</formula>
    </cfRule>
  </conditionalFormatting>
  <conditionalFormatting sqref="C25">
    <cfRule type="cellIs" dxfId="23" priority="22" operator="equal">
      <formula>"No"</formula>
    </cfRule>
    <cfRule type="cellIs" dxfId="22" priority="23" operator="equal">
      <formula>"NA"</formula>
    </cfRule>
    <cfRule type="cellIs" dxfId="21" priority="24" operator="equal">
      <formula>"Yes"</formula>
    </cfRule>
  </conditionalFormatting>
  <conditionalFormatting sqref="C27">
    <cfRule type="cellIs" dxfId="20" priority="19" operator="equal">
      <formula>"No"</formula>
    </cfRule>
    <cfRule type="cellIs" dxfId="19" priority="20" operator="equal">
      <formula>"NA"</formula>
    </cfRule>
    <cfRule type="cellIs" dxfId="18" priority="21" operator="equal">
      <formula>"Yes"</formula>
    </cfRule>
  </conditionalFormatting>
  <conditionalFormatting sqref="C28">
    <cfRule type="cellIs" dxfId="17" priority="16" operator="equal">
      <formula>"No"</formula>
    </cfRule>
    <cfRule type="cellIs" dxfId="16" priority="17" operator="equal">
      <formula>"NA"</formula>
    </cfRule>
    <cfRule type="cellIs" dxfId="15" priority="18" operator="equal">
      <formula>"Yes"</formula>
    </cfRule>
  </conditionalFormatting>
  <conditionalFormatting sqref="C29">
    <cfRule type="cellIs" dxfId="14" priority="13" operator="equal">
      <formula>"No"</formula>
    </cfRule>
    <cfRule type="cellIs" dxfId="13" priority="14" operator="equal">
      <formula>"NA"</formula>
    </cfRule>
    <cfRule type="cellIs" dxfId="12" priority="15" operator="equal">
      <formula>"Yes"</formula>
    </cfRule>
  </conditionalFormatting>
  <conditionalFormatting sqref="C30">
    <cfRule type="cellIs" dxfId="11" priority="10" operator="equal">
      <formula>"No"</formula>
    </cfRule>
    <cfRule type="cellIs" dxfId="10" priority="11" operator="equal">
      <formula>"NA"</formula>
    </cfRule>
    <cfRule type="cellIs" dxfId="9" priority="12" operator="equal">
      <formula>"Yes"</formula>
    </cfRule>
  </conditionalFormatting>
  <conditionalFormatting sqref="C32">
    <cfRule type="cellIs" dxfId="8" priority="7" operator="equal">
      <formula>"No"</formula>
    </cfRule>
    <cfRule type="cellIs" dxfId="7" priority="8" operator="equal">
      <formula>"NA"</formula>
    </cfRule>
    <cfRule type="cellIs" dxfId="6" priority="9" operator="equal">
      <formula>"Yes"</formula>
    </cfRule>
  </conditionalFormatting>
  <conditionalFormatting sqref="C33">
    <cfRule type="cellIs" dxfId="5" priority="4" operator="equal">
      <formula>"No"</formula>
    </cfRule>
    <cfRule type="cellIs" dxfId="4" priority="5" operator="equal">
      <formula>"NA"</formula>
    </cfRule>
    <cfRule type="cellIs" dxfId="3" priority="6" operator="equal">
      <formula>"Yes"</formula>
    </cfRule>
  </conditionalFormatting>
  <conditionalFormatting sqref="C35">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C10 C12:C15 C17:C18 C20:C25 C27:C30 C32:C33 C35" xr:uid="{D6EBD489-4A7A-4715-ADD8-45263DE846B0}">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E2965021-A51C-4AA2-B873-44DEF42FF54E}">
  <ds:schemaRefs>
    <ds:schemaRef ds:uri="http://purl.org/dc/elements/1.1/"/>
    <ds:schemaRef ds:uri="http://schemas.microsoft.com/office/2006/metadata/properties"/>
    <ds:schemaRef ds:uri="34c9bd9a-5a71-426a-ab93-6fe2caeb5e9e"/>
    <ds:schemaRef ds:uri="http://schemas.microsoft.com/sharepoint/v3"/>
    <ds:schemaRef ds:uri="http://purl.org/dc/terms/"/>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2023-07-31T12:41:33Z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EFX - Peer Review Workbook (PRWB)</vt:lpwstr>
  </property>
  <property fmtid="{D5CDD505-2E9C-101B-9397-08002B2CF9AE}" pid="48" name="MXUser">
    <vt:lpwstr>Ioan Repede</vt:lpwstr>
  </property>
</Properties>
</file>