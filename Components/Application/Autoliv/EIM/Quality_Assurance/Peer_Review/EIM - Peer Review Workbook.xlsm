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trlProps/ctrlProp9.xml" ContentType="application/vnd.ms-excel.controlproperties+xml"/>
  <Override PartName="/xl/drawings/drawing4.xml" ContentType="application/vnd.openxmlformats-officedocument.drawing+xml"/>
  <Override PartName="/xl/comments3.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tables/table1.xml" ContentType="application/vnd.openxmlformats-officedocument.spreadsheetml.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showInkAnnotation="0" updateLinks="never" codeName="ThisWorkbook" defaultThemeVersion="124226"/>
  <mc:AlternateContent xmlns:mc="http://schemas.openxmlformats.org/markup-compatibility/2006">
    <mc:Choice Requires="x15">
      <x15ac:absPath xmlns:x15ac="http://schemas.microsoft.com/office/spreadsheetml/2010/11/ac" url="C:\PTC_Projects\eCS\Components\Application\Autoliv\EIM\Quality_Assurance\Peer_Review\"/>
    </mc:Choice>
  </mc:AlternateContent>
  <xr:revisionPtr revIDLastSave="0" documentId="13_ncr:1_{69112663-3259-439F-A11B-A76F05ACD262}" xr6:coauthVersionLast="47" xr6:coauthVersionMax="47" xr10:uidLastSave="{00000000-0000-0000-0000-000000000000}"/>
  <bookViews>
    <workbookView xWindow="28680" yWindow="-165" windowWidth="29040" windowHeight="15840" tabRatio="750" activeTab="6" xr2:uid="{00000000-000D-0000-FFFF-FFFF00000000}"/>
  </bookViews>
  <sheets>
    <sheet name="FrontPage" sheetId="38" r:id="rId1"/>
    <sheet name="General info" sheetId="39" r:id="rId2"/>
    <sheet name="Help" sheetId="15" r:id="rId3"/>
    <sheet name="Metrics" sheetId="16" r:id="rId4"/>
    <sheet name="Overview" sheetId="42" r:id="rId5"/>
    <sheet name="Review" sheetId="18" r:id="rId6"/>
    <sheet name="SDD checklist" sheetId="245" r:id="rId7"/>
    <sheet name="CODE checklist" sheetId="246" r:id="rId8"/>
    <sheet name="UTSR checklist" sheetId="247" r:id="rId9"/>
  </sheets>
  <functionGroups builtInGroupCount="19"/>
  <externalReferences>
    <externalReference r:id="rId10"/>
    <externalReference r:id="rId11"/>
    <externalReference r:id="rId12"/>
  </externalReferences>
  <definedNames>
    <definedName name="_xlnm._FilterDatabase" localSheetId="5" hidden="1">Review!$A$4:$M$204</definedName>
    <definedName name="Acronyms_Disciplines">'[1]General info'!$AI$73:$AJ$83</definedName>
    <definedName name="Acronyms_Process">'[1]General info'!$AR$73:$AS$91</definedName>
    <definedName name="Acronyms_TypeOfChecks">'[1]General info'!$AL$73:$AM$77</definedName>
    <definedName name="ActorName">Review!$J$4</definedName>
    <definedName name="ApprovalStatus">Metrics!$C$40</definedName>
    <definedName name="AuditFilename">'[1]Generate checklists'!$J$23</definedName>
    <definedName name="AuthorStatus">Review!$L$4</definedName>
    <definedName name="Autofill">Review!$AX$1</definedName>
    <definedName name="ChecklistSelection">FrontPage!$E$18</definedName>
    <definedName name="ChecklistsSheetNameList">'General info'!$AJ$84:$AJ$105</definedName>
    <definedName name="ChoiceForProtoype">'[1]General info.Milestone'!$C$210</definedName>
    <definedName name="currentDiscipline">'[1]General info'!$AI$86</definedName>
    <definedName name="currentMilestone.acronym.input">'[1]General info'!$AO$98</definedName>
    <definedName name="currentMilestone.Name.Input">'[1]General info'!$AO$97</definedName>
    <definedName name="currentReview">'[1]General info'!$AU$100</definedName>
    <definedName name="currentReview.acronym.input">'[1]General info'!$AU$101</definedName>
    <definedName name="Description">Review!$D$4</definedName>
    <definedName name="FileName">FrontPage!$AD$3</definedName>
    <definedName name="Identifier">Review!$A$4</definedName>
    <definedName name="Issue_to_treat" localSheetId="5">Review!$X$2</definedName>
    <definedName name="IssuerName">Review!$F$4</definedName>
    <definedName name="Issues_postponed" localSheetId="5">Review!$Z$2</definedName>
    <definedName name="Issues_to_approve" localSheetId="5">Review!$Y$2</definedName>
    <definedName name="List_ProductFamily">'[1]General info.Milestone'!$C$204:$N$206</definedName>
    <definedName name="ManualFill">Review!$AY$1</definedName>
    <definedName name="MilestoneFilename">'[1]Generate checklists'!$C$23</definedName>
    <definedName name="MXActual_state_Released">FrontPage!$AB$5</definedName>
    <definedName name="MXAuthority">FrontPage!$A$5</definedName>
    <definedName name="MXCurrent.Localized">FrontPage!$W$5</definedName>
    <definedName name="MXName">FrontPage!$A$7</definedName>
    <definedName name="MXRevision">FrontPage!$AB$7</definedName>
    <definedName name="MXTitle">FrontPage!$E$7</definedName>
    <definedName name="MXVersion">FrontPage!$AE$7</definedName>
    <definedName name="NbOfApprovedIssues" localSheetId="5">Review!$AH$2</definedName>
    <definedName name="NbOfNotApprovedAndPostponedIssues" localSheetId="5">Review!$O$2</definedName>
    <definedName name="NbOfNotApprovedIssues" localSheetId="5">Review!$N$2</definedName>
    <definedName name="NbOfNotTreatedIssues">Review!$L$2</definedName>
    <definedName name="NbOfRejectedIssues">Review!$M$2</definedName>
    <definedName name="NextAvailableQuestionId">'[1]General info'!$B$73</definedName>
    <definedName name="OpenDate">Review!$E$4</definedName>
    <definedName name="option_discipline">'[1]General info'!$AI$73:$AI$83</definedName>
    <definedName name="Option_MilestoneFilename">'[1]General info'!$BM$74:$BM$78</definedName>
    <definedName name="Option_MilestoneName">'[1]General info'!$AO$73:$AO$94</definedName>
    <definedName name="Option_Process">'[1]General info'!$AR$73:$AR$91</definedName>
    <definedName name="Option_ReviewEvaluationScale">'General info'!$AI$84:$AI$88</definedName>
    <definedName name="Option_Status">'[1]General info'!$BJ$73:$BJ$76</definedName>
    <definedName name="Option_TemplateFilter">'[1]General info'!$BO$74:$BO$80</definedName>
    <definedName name="Option_TypeOfChecks">'[1]General info'!$AL$73:$AL$77</definedName>
    <definedName name="Option_Weight">'[1]General info'!$BA$73:$BA$77</definedName>
    <definedName name="Option_WorkProduct">'[1]General info'!$AU$73:$AU$97</definedName>
    <definedName name="OrganisationalDecision">'[1]General info.Milestone'!$C$183:$C$187</definedName>
    <definedName name="OrgDecision_NOK">'[1]General info.Milestone'!$C$185</definedName>
    <definedName name="OrgDecision_OK">'[1]General info.Milestone'!$C$184</definedName>
    <definedName name="ProjectDecision">[1]template.Milestone!$L$98:$L$101</definedName>
    <definedName name="Rate_F">'[1]General info'!$V$62</definedName>
    <definedName name="Rate_L">'[1]General info'!$V$63</definedName>
    <definedName name="Rate_N">'[1]General info'!$V$65</definedName>
    <definedName name="Rate_P">'[1]General info'!$V$64</definedName>
    <definedName name="Review.QuestionIds" localSheetId="7">'CODE checklist'!$A$5:$A$36</definedName>
    <definedName name="Review.QuestionIds" localSheetId="6">'SDD checklist'!$A$5:$A$35</definedName>
    <definedName name="Review.QuestionIds" localSheetId="8">'UTSR checklist'!$A$5:$A$38</definedName>
    <definedName name="Review.ratings" localSheetId="7">'CODE checklist'!$C$5:$C$36</definedName>
    <definedName name="Review.ratings" localSheetId="6">'SDD checklist'!$C$5:$C$35</definedName>
    <definedName name="Review.ratings" localSheetId="8">'UTSR checklist'!$D$5:$D$38</definedName>
    <definedName name="ReviewerStatus">Review!$M$4</definedName>
    <definedName name="ReviewFilename">'[1]Generate checklists'!$Q$23</definedName>
    <definedName name="Sheet.ReviewTempate" localSheetId="7">'CODE checklist'!$A$1</definedName>
    <definedName name="Sheet.ReviewTempate" localSheetId="6">'SDD checklist'!$A$1</definedName>
    <definedName name="Sheet.ReviewTempate">#REF!</definedName>
    <definedName name="SoftwareReleaseTarget">'[1]General info.Milestone'!$C$210:$C$212</definedName>
    <definedName name="Status_OK" localSheetId="5">Review!$AA$2</definedName>
    <definedName name="StatusFixed" localSheetId="5">Review!$R$2</definedName>
    <definedName name="StatusOpen" localSheetId="5">Review!$U$2</definedName>
    <definedName name="StatusPostponed" localSheetId="5">Review!$S$2</definedName>
    <definedName name="StatusToBeFixed" localSheetId="5">Review!$Q$2</definedName>
    <definedName name="StatusWillNotBeFixed" localSheetId="5">Review!$T$2</definedName>
    <definedName name="Synthesis_ConformityTitle">Metrics!$D$24</definedName>
    <definedName name="Synthesis_Status">Metrics!$C$31</definedName>
    <definedName name="TargetDate">Review!$K$4</definedName>
    <definedName name="Template.Name" localSheetId="7">'CODE checklist'!$B$2</definedName>
    <definedName name="Template.Name" localSheetId="6">'SDD checklist'!$B$2</definedName>
    <definedName name="Template.Question" localSheetId="7">'CODE checklist'!#REF!</definedName>
    <definedName name="Template.Question" localSheetId="6">'SDD checklist'!#REF!</definedName>
    <definedName name="Template.Section" localSheetId="7">'CODE checklist'!#REF!</definedName>
    <definedName name="Template.Section" localSheetId="6">'SDD checklist'!#REF!</definedName>
    <definedName name="TemplateColumn">Metrics!$B:$B</definedName>
    <definedName name="TemplateRef">FrontPage!$W$7</definedName>
    <definedName name="Text.Released">'[1]General info'!$BJ$75</definedName>
    <definedName name="Text_AllChecklists">'General info'!$AJ$84</definedName>
    <definedName name="Title.Checklist.Actions.Description" localSheetId="7">'CODE checklist'!$B$2</definedName>
    <definedName name="Title.Checklist.Actions.Description" localSheetId="6">'SDD checklist'!$B$2</definedName>
    <definedName name="Title.Checklist.Actions.Responsible" localSheetId="7">[1]!Table1[[#Headers],[Actions
(description)]]</definedName>
    <definedName name="Title.Checklist.Actions.Responsible" localSheetId="6">[1]!Table1[[#Headers],[Actions
(description)]]</definedName>
    <definedName name="Title.Checklist.Guide.HowToRate" localSheetId="7">'CODE checklist'!$K$3</definedName>
    <definedName name="Title.Checklist.Guide.HowToRate" localSheetId="6">'SDD checklist'!$H$3</definedName>
    <definedName name="Title.Checklist.Guide.WhatToCheck" localSheetId="7">'CODE checklist'!$J$3</definedName>
    <definedName name="Title.Checklist.Guide.WhatToCheck" localSheetId="6">'SDD checklist'!$G$3</definedName>
    <definedName name="Title.Checklist.ManualQuestion" localSheetId="7">'CODE checklist'!$B$34</definedName>
    <definedName name="Title.Checklist.ManualQuestion" localSheetId="6">'SDD checklist'!$B$33</definedName>
    <definedName name="Title.Checklist.NoteForAuditor" localSheetId="7">'CODE checklist'!$J$2</definedName>
    <definedName name="Title.Checklist.NoteForAuditor" localSheetId="6">'SDD checklist'!$G$2</definedName>
    <definedName name="Title.Checklist.Question" localSheetId="7">'CODE checklist'!$B$4</definedName>
    <definedName name="Title.Checklist.Question" localSheetId="6">'SDD checklist'!$B$4</definedName>
    <definedName name="Title.Checklist.QuestionReference" localSheetId="7">'CODE checklist'!$A$2</definedName>
    <definedName name="Title.Checklist.QuestionReference" localSheetId="6">'SDD checklist'!$A$2</definedName>
    <definedName name="Title.Checklist.Rate" localSheetId="7">'CODE checklist'!$C$2</definedName>
    <definedName name="Title.Checklist.Rate" localSheetId="6">'SDD checklist'!$C$2</definedName>
    <definedName name="Title.Guideline.HowToRate">[1]!TableGuideline[[#Headers],[How to rate the question]]</definedName>
    <definedName name="Title.Guideline.Id">[1]!TableGuideline[[#Headers],[Id]]</definedName>
    <definedName name="Title.Guideline.QuestionId1">[1]!TableGuideline[[#Headers],[Question 1]]</definedName>
    <definedName name="Title.Guideline.WhatToCheck">[1]!TableGuideline[[#Headers],[What to check
(sub guide)]]</definedName>
    <definedName name="Title.Library.AlternateColor">[1]!Table_Question[[#Headers],[Alternate color]]</definedName>
    <definedName name="Title.Library.Category">[1]!Table_Question[[#Headers],[Category]]</definedName>
    <definedName name="Title.Library.Discipline">[1]!Table_Question[[#Headers],[Discipline]]</definedName>
    <definedName name="Title.Library.Guide.HowToRate">[1]!Table_Question[[#Headers],[How to rate the question]]</definedName>
    <definedName name="Title.Library.Guide.Id">[1]!Table_Question[[#Headers],[Guide.Id]]</definedName>
    <definedName name="Title.Library.Guide.WhatToCheck">[1]!Table_Question[[#Headers],[What to check]]</definedName>
    <definedName name="Title.Library.Id">[1]!Table_Question[[#Headers],[Id]]</definedName>
    <definedName name="Title.Library.NoteForAuditor">[1]!Table_Question[[#Headers],[Note for auditor
(this column will be replace by the guideline soon)]]</definedName>
    <definedName name="Title.Library.Process">[1]!Table_Question[[#Headers],[Process]]</definedName>
    <definedName name="Title.Library.Question">[1]!Table_Question[[#Headers],[Question]]</definedName>
    <definedName name="Title.Library.Reference">[1]!Table_Question[[#Headers],[Reference]]</definedName>
    <definedName name="Title.Library.Section">[1]!Table_Question[[#Headers],[Sections]]</definedName>
    <definedName name="Title.Library.Status">[1]!Table_Question[[#Headers],[Status]]</definedName>
    <definedName name="Title.Library.TemplateId">[1]!Table_Question[[#Headers],[Template ID of the work-products]]</definedName>
    <definedName name="Title.Library.TypeOfChecklist">[1]!Table_Question[[#Headers],[Type]]</definedName>
    <definedName name="Title.Milestone.HowToRate">[1]!TableQuestions[[#Headers],[How to rate ?]]</definedName>
    <definedName name="TitleRow" localSheetId="7">'CODE checklist'!$2:$2</definedName>
    <definedName name="TitleRow" localSheetId="6">'SDD checklist'!$2:$2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3" i="245" l="1"/>
  <c r="D3" i="245"/>
  <c r="C3" i="247"/>
  <c r="E8" i="42"/>
  <c r="E7" i="42"/>
  <c r="H3" i="246"/>
  <c r="G3" i="246"/>
  <c r="E6" i="42"/>
  <c r="E5" i="42"/>
  <c r="F3" i="246"/>
  <c r="E3" i="246"/>
  <c r="G27" i="16"/>
  <c r="F27" i="16"/>
  <c r="E27" i="16"/>
  <c r="E44" i="16"/>
  <c r="E37" i="16"/>
  <c r="E10" i="42"/>
  <c r="E9" i="42"/>
  <c r="E4" i="42"/>
  <c r="E3" i="42"/>
  <c r="D3" i="246"/>
  <c r="F10" i="38"/>
  <c r="E7" i="38"/>
  <c r="AB7" i="38"/>
  <c r="W5" i="38"/>
  <c r="AB5" i="38"/>
  <c r="W7" i="38"/>
  <c r="A7" i="38"/>
  <c r="A5" i="38"/>
  <c r="A23" i="38" l="1"/>
  <c r="C3" i="246" l="1"/>
  <c r="D3" i="247"/>
  <c r="C3" i="245" l="1"/>
  <c r="W7" i="39" l="1"/>
  <c r="AD3" i="39"/>
  <c r="D32" i="16" l="1"/>
  <c r="B44" i="16"/>
  <c r="B37" i="16"/>
  <c r="D33" i="16"/>
  <c r="D34" i="16"/>
  <c r="D35" i="16"/>
  <c r="D36" i="16"/>
  <c r="D26" i="16"/>
  <c r="D25" i="16"/>
  <c r="B27" i="16"/>
  <c r="U2" i="18"/>
  <c r="O2" i="18"/>
  <c r="M2" i="18"/>
  <c r="R2" i="18"/>
  <c r="S2" i="18"/>
  <c r="T2" i="18"/>
  <c r="Q2" i="18"/>
  <c r="AI2" i="18"/>
  <c r="AJ2" i="18"/>
  <c r="AH2" i="18"/>
  <c r="D42" i="16"/>
  <c r="D43" i="16"/>
  <c r="D41" i="16"/>
  <c r="L2" i="18"/>
  <c r="N2" i="18"/>
  <c r="X2" i="18" l="1"/>
  <c r="Y2" i="18" s="1"/>
  <c r="Z2" i="18" s="1"/>
  <c r="D44" i="16"/>
  <c r="D37" i="16"/>
  <c r="D27" i="16"/>
  <c r="A3" i="18" l="1"/>
  <c r="AA2" i="1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Cyril Jouhanneau</author>
    <author>Irina Voica</author>
  </authors>
  <commentList>
    <comment ref="R5" authorId="0" shapeId="0" xr:uid="{4E566DC5-9928-4838-B515-8068A38DF25B}">
      <text>
        <r>
          <rPr>
            <b/>
            <sz val="9"/>
            <color indexed="81"/>
            <rFont val="Tahoma"/>
            <family val="2"/>
          </rPr>
          <t>Fill here the reference of the project review findings : peer review workbook or equivalent</t>
        </r>
      </text>
    </comment>
    <comment ref="AB6" authorId="0" shapeId="0" xr:uid="{E4F1950A-E25B-459A-A454-8E403FF26566}">
      <text>
        <r>
          <rPr>
            <sz val="9"/>
            <color indexed="81"/>
            <rFont val="Tahoma"/>
            <family val="2"/>
          </rPr>
          <t>This field is only for PLM document</t>
        </r>
      </text>
    </comment>
    <comment ref="W7" authorId="0" shapeId="0" xr:uid="{2D7B8200-0256-44D5-AE9D-0292A6896B9C}">
      <text>
        <r>
          <rPr>
            <sz val="9"/>
            <color indexed="81"/>
            <rFont val="Tahoma"/>
            <family val="2"/>
          </rPr>
          <t>Template from process AEM_PROCESS_1.24.00
Last change : AEM_PROCESS_1.22.00</t>
        </r>
      </text>
    </comment>
    <comment ref="A9" authorId="1" shapeId="0" xr:uid="{8E2C6CF0-720F-49B9-8BCD-FE30E8FB0F44}">
      <text>
        <r>
          <rPr>
            <b/>
            <sz val="9"/>
            <color indexed="81"/>
            <rFont val="Tahoma"/>
            <family val="2"/>
          </rPr>
          <t>Irina Voica:</t>
        </r>
        <r>
          <rPr>
            <sz val="9"/>
            <color indexed="81"/>
            <rFont val="Tahoma"/>
            <family val="2"/>
          </rPr>
          <t xml:space="preserve">
Author of who? Author of the template itselfl or author of the templated filled in the project?</t>
        </r>
      </text>
    </comment>
    <comment ref="L9" authorId="0" shapeId="0" xr:uid="{EDE84987-A77E-44FE-BE06-DA43EA258E4A}">
      <text>
        <r>
          <rPr>
            <sz val="9"/>
            <color indexed="81"/>
            <rFont val="Tahoma"/>
            <family val="2"/>
          </rPr>
          <t>If the document Project list members (TEM461) is not used, please write the reviewers names</t>
        </r>
      </text>
    </comment>
    <comment ref="W9" authorId="0" shapeId="0" xr:uid="{6DE633F9-C57C-4202-83F4-88DF1107E8D9}">
      <text>
        <r>
          <rPr>
            <sz val="9"/>
            <color indexed="81"/>
            <rFont val="Tahoma"/>
            <family val="2"/>
          </rPr>
          <t>If the document Project list members (TEM461) is not used, please write the reviewers names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Johannes Kask</author>
    <author>Cyril Jouhanneau</author>
  </authors>
  <commentList>
    <comment ref="B15" authorId="0" shapeId="0" xr:uid="{BFBE84DC-AC32-4B3D-9826-F5424EDBF29A}">
      <text>
        <r>
          <rPr>
            <sz val="8"/>
            <color indexed="81"/>
            <rFont val="Tahoma"/>
            <family val="2"/>
          </rPr>
          <t>Insert name of tabs included in the document</t>
        </r>
        <r>
          <rPr>
            <sz val="8"/>
            <color indexed="81"/>
            <rFont val="Tahoma"/>
            <family val="2"/>
          </rPr>
          <t xml:space="preserve">
</t>
        </r>
      </text>
    </comment>
    <comment ref="G15" authorId="0" shapeId="0" xr:uid="{421B25BB-AEDA-48DA-9FC8-083D268E4CD2}">
      <text>
        <r>
          <rPr>
            <sz val="8"/>
            <color indexed="81"/>
            <rFont val="Tahoma"/>
            <family val="2"/>
          </rPr>
          <t>Describe each Tab.</t>
        </r>
      </text>
    </comment>
    <comment ref="B27" authorId="0" shapeId="0" xr:uid="{FC1D0FE6-A93B-4C88-863F-937594471234}">
      <text>
        <r>
          <rPr>
            <sz val="8"/>
            <color indexed="81"/>
            <rFont val="Tahoma"/>
            <family val="2"/>
          </rPr>
          <t>The revision number of the document 000, 001, 002 etc. No version number to be handled in the table.</t>
        </r>
        <r>
          <rPr>
            <sz val="8"/>
            <color indexed="81"/>
            <rFont val="Tahoma"/>
            <family val="2"/>
          </rPr>
          <t xml:space="preserve">
</t>
        </r>
      </text>
    </comment>
    <comment ref="E27" authorId="0" shapeId="0" xr:uid="{1AF38798-19CC-4A4A-A663-F493F6074A69}">
      <text>
        <r>
          <rPr>
            <sz val="8"/>
            <color indexed="81"/>
            <rFont val="Tahoma"/>
            <family val="2"/>
          </rPr>
          <t>Date when the Revision is released</t>
        </r>
      </text>
    </comment>
    <comment ref="I27" authorId="0" shapeId="0" xr:uid="{7FE43326-0D25-441A-B27E-86ADA84E7EE3}">
      <text>
        <r>
          <rPr>
            <sz val="8"/>
            <color indexed="81"/>
            <rFont val="Tahoma"/>
            <family val="2"/>
          </rPr>
          <t>Author of the document. Authors if several.</t>
        </r>
      </text>
    </comment>
    <comment ref="R27" authorId="0" shapeId="0" xr:uid="{4940EA2C-5A26-4FFD-BECA-816DB136BA2A}">
      <text>
        <r>
          <rPr>
            <sz val="8"/>
            <color indexed="81"/>
            <rFont val="Tahoma"/>
            <family val="2"/>
          </rPr>
          <t>Description or comment on the version. E.g. updated after meeting etc.</t>
        </r>
      </text>
    </comment>
    <comment ref="B46" authorId="0" shapeId="0" xr:uid="{4A2D3ACA-3C99-4568-B256-7DC91FDBEBFF}">
      <text>
        <r>
          <rPr>
            <sz val="8"/>
            <color indexed="81"/>
            <rFont val="Tahoma"/>
            <family val="2"/>
          </rPr>
          <t>ID of possible reference documents. Any ID can be used, suggestion is [Int1], [Int2] etc. for internal references and [Ext1], [Ext2] etc. for external references</t>
        </r>
      </text>
    </comment>
    <comment ref="E46" authorId="0" shapeId="0" xr:uid="{7D629A74-735C-4D9E-8E9C-382A2172CF1C}">
      <text>
        <r>
          <rPr>
            <sz val="8"/>
            <color indexed="81"/>
            <rFont val="Tahoma"/>
            <family val="2"/>
          </rPr>
          <t>Title of reference documents.</t>
        </r>
      </text>
    </comment>
    <comment ref="Y46" authorId="0" shapeId="0" xr:uid="{327A4027-E374-46EE-8F41-AAE7F5A68063}">
      <text>
        <r>
          <rPr>
            <sz val="8"/>
            <color indexed="81"/>
            <rFont val="Tahoma"/>
            <family val="2"/>
          </rPr>
          <t>Reference number, e.g. E123456 and revision of the reference.</t>
        </r>
      </text>
    </comment>
    <comment ref="B52" authorId="0" shapeId="0" xr:uid="{421EE7D0-8E2D-44A8-B66F-69C0A8E8938E}">
      <text>
        <r>
          <rPr>
            <sz val="8"/>
            <color indexed="81"/>
            <rFont val="Tahoma"/>
            <family val="2"/>
          </rPr>
          <t>ID of possible reference documents. Any ID can be used, suggestion is [Int1], [Int2] etc. for internal references and [Ext1], [Ext2] etc. for external references</t>
        </r>
      </text>
    </comment>
    <comment ref="E52" authorId="0" shapeId="0" xr:uid="{EAF8F54A-6162-4D53-AD9B-58CDCD7A1B4D}">
      <text>
        <r>
          <rPr>
            <sz val="8"/>
            <color indexed="81"/>
            <rFont val="Tahoma"/>
            <family val="2"/>
          </rPr>
          <t>Title of reference documents.</t>
        </r>
      </text>
    </comment>
    <comment ref="Y52" authorId="0" shapeId="0" xr:uid="{AF9ABC4C-2372-4875-B9F9-B60698EAB986}">
      <text>
        <r>
          <rPr>
            <sz val="8"/>
            <color indexed="81"/>
            <rFont val="Tahoma"/>
            <family val="2"/>
          </rPr>
          <t>Reference number, e.g. E123456 and revision of the reference.</t>
        </r>
      </text>
    </comment>
    <comment ref="AJ83" authorId="1" shapeId="0" xr:uid="{CE4B4F07-5390-42D6-95C6-9D7E2063A76C}">
      <text>
        <r>
          <rPr>
            <b/>
            <sz val="9"/>
            <color indexed="81"/>
            <rFont val="Tahoma"/>
            <family val="2"/>
          </rPr>
          <t>Cyril Jouhanneau:</t>
        </r>
        <r>
          <rPr>
            <sz val="9"/>
            <color indexed="81"/>
            <rFont val="Tahoma"/>
            <family val="2"/>
          </rPr>
          <t xml:space="preserve">
This list is automatically updated by the VBA script refreshChecklistList()</t>
        </r>
      </text>
    </comment>
    <comment ref="AI84" authorId="1" shapeId="0" xr:uid="{F17275A0-61EC-48C5-83D6-7710F1FB268A}">
      <text>
        <r>
          <rPr>
            <b/>
            <sz val="9"/>
            <color indexed="81"/>
            <rFont val="Tahoma"/>
            <family val="2"/>
          </rPr>
          <t>Don't change this cell</t>
        </r>
      </text>
    </comment>
    <comment ref="AJ84" authorId="1" shapeId="0" xr:uid="{BC53077B-6302-4462-BE75-6C9B66C6ACCE}">
      <text>
        <r>
          <rPr>
            <b/>
            <sz val="9"/>
            <color indexed="81"/>
            <rFont val="Tahoma"/>
            <family val="2"/>
          </rPr>
          <t xml:space="preserve">Don't change this cell
</t>
        </r>
        <r>
          <rPr>
            <sz val="9"/>
            <color indexed="81"/>
            <rFont val="Tahoma"/>
            <family val="2"/>
          </rPr>
          <t>If you change this cell, please update the VBA code in GeneralInfo sheet</t>
        </r>
        <r>
          <rPr>
            <b/>
            <sz val="9"/>
            <color indexed="81"/>
            <rFont val="Tahoma"/>
            <family val="2"/>
          </rPr>
          <t xml:space="preserve">
</t>
        </r>
      </text>
    </comment>
    <comment ref="AI88" authorId="1" shapeId="0" xr:uid="{7EBCCB23-C7DD-49AE-A0C3-608CFE3FF3EB}">
      <text>
        <r>
          <rPr>
            <b/>
            <sz val="9"/>
            <color indexed="81"/>
            <rFont val="Tahoma"/>
            <family val="2"/>
          </rPr>
          <t>Don't change this cell</t>
        </r>
      </text>
    </comment>
    <comment ref="AJ105" authorId="1" shapeId="0" xr:uid="{E74EDB71-7ECA-4D48-A368-7458AEFFEECE}">
      <text>
        <r>
          <rPr>
            <b/>
            <sz val="9"/>
            <color indexed="81"/>
            <rFont val="Tahoma"/>
            <family val="2"/>
          </rPr>
          <t>Don't change this cell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D24" authorId="0" shapeId="0" xr:uid="{00000000-0006-0000-0200-000001000000}">
      <text>
        <r>
          <rPr>
            <b/>
            <sz val="9"/>
            <color indexed="81"/>
            <rFont val="Tahoma"/>
            <family val="2"/>
          </rPr>
          <t>Cyril Jouhanneau:</t>
        </r>
        <r>
          <rPr>
            <sz val="9"/>
            <color indexed="81"/>
            <rFont val="Tahoma"/>
            <family val="2"/>
          </rPr>
          <t xml:space="preserve">
This column is filled by formula, not by VBA macros</t>
        </r>
      </text>
    </comment>
    <comment ref="C31" authorId="0" shapeId="0" xr:uid="{00000000-0006-0000-0200-000002000000}">
      <text>
        <r>
          <rPr>
            <b/>
            <sz val="9"/>
            <color indexed="81"/>
            <rFont val="Tahoma"/>
            <family val="2"/>
          </rPr>
          <t>Cyril Jouhanneau:</t>
        </r>
        <r>
          <rPr>
            <sz val="9"/>
            <color indexed="81"/>
            <rFont val="Tahoma"/>
            <family val="2"/>
          </rPr>
          <t xml:space="preserve">
This table is filled by VBA</t>
        </r>
      </text>
    </comment>
    <comment ref="D31" authorId="0" shapeId="0" xr:uid="{00000000-0006-0000-0200-000003000000}">
      <text>
        <r>
          <rPr>
            <b/>
            <sz val="9"/>
            <color indexed="81"/>
            <rFont val="Tahoma"/>
            <family val="2"/>
          </rPr>
          <t>Cyril Jouhanneau:</t>
        </r>
        <r>
          <rPr>
            <sz val="9"/>
            <color indexed="81"/>
            <rFont val="Tahoma"/>
            <family val="2"/>
          </rPr>
          <t xml:space="preserve">
This column is filled by formula, not by VBA macros</t>
        </r>
      </text>
    </comment>
    <comment ref="D40" authorId="0" shapeId="0" xr:uid="{00000000-0006-0000-0200-000004000000}">
      <text>
        <r>
          <rPr>
            <b/>
            <sz val="9"/>
            <color indexed="81"/>
            <rFont val="Tahoma"/>
            <family val="2"/>
          </rPr>
          <t>Cyril Jouhanneau:</t>
        </r>
        <r>
          <rPr>
            <sz val="9"/>
            <color indexed="81"/>
            <rFont val="Tahoma"/>
            <family val="2"/>
          </rPr>
          <t xml:space="preserve">
This column is filled by formula, not by VBA macros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Cyril Jouhanneau</author>
    <author>Vicentiu Barbu</author>
  </authors>
  <commentList>
    <comment ref="A2" authorId="0" shapeId="0" xr:uid="{A8D01F4E-2D50-4956-A583-39A2DDA0A8B2}">
      <text>
        <r>
          <rPr>
            <sz val="9"/>
            <color indexed="81"/>
            <rFont val="Tahoma"/>
            <family val="2"/>
          </rPr>
          <t>Put in here the version of the document and delete it from the checklist in order not to have a lot of versions in the checklist. The history of the work product reviewed it will be saved in the CM system</t>
        </r>
      </text>
    </comment>
    <comment ref="B2" authorId="0" shapeId="0" xr:uid="{2ED071B9-CCD9-434B-8CF0-FF39DB85AD61}">
      <text>
        <r>
          <rPr>
            <b/>
            <sz val="9"/>
            <color indexed="81"/>
            <rFont val="Tahoma"/>
            <family val="2"/>
          </rPr>
          <t xml:space="preserve">Please see </t>
        </r>
        <r>
          <rPr>
            <b/>
            <sz val="9"/>
            <color indexed="36"/>
            <rFont val="Tahoma"/>
            <family val="2"/>
          </rPr>
          <t xml:space="preserve">PRO483 - Review.docx </t>
        </r>
        <r>
          <rPr>
            <b/>
            <sz val="9"/>
            <color indexed="81"/>
            <rFont val="Tahoma"/>
            <family val="2"/>
          </rPr>
          <t>for more details</t>
        </r>
      </text>
    </comment>
    <comment ref="D2" authorId="1" shapeId="0" xr:uid="{C923EA1C-6BFB-4412-9097-B9CB51BDE04B}">
      <text>
        <r>
          <rPr>
            <sz val="9"/>
            <color indexed="81"/>
            <rFont val="Tahoma"/>
            <family val="2"/>
          </rPr>
          <t>If current version not aplicable justify why, who aproved, how the risk is mitigated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Cyril Jouhanneau</author>
    <author>jean-marc.lambert</author>
    <author>marion.rakotonoelina</author>
    <author>LPE</author>
    <author>Marion Rakotonoelina</author>
  </authors>
  <commentList>
    <comment ref="X1" authorId="0" shapeId="0" xr:uid="{00000000-0006-0000-0300-000001000000}">
      <text>
        <r>
          <rPr>
            <sz val="9"/>
            <color indexed="81"/>
            <rFont val="Tahoma"/>
            <family val="2"/>
          </rPr>
          <t>Detection of :
o Open issues
o To be fixed issues
o Rejected issues</t>
        </r>
      </text>
    </comment>
    <comment ref="L2" authorId="0" shapeId="0" xr:uid="{00000000-0006-0000-0300-000002000000}">
      <text>
        <r>
          <rPr>
            <b/>
            <sz val="9"/>
            <color indexed="81"/>
            <rFont val="Tahoma"/>
            <family val="2"/>
          </rPr>
          <t>Nb of issue to treat:
o Not evalutated (empty status)
o Open
o To be fixed</t>
        </r>
        <r>
          <rPr>
            <sz val="9"/>
            <color indexed="81"/>
            <rFont val="Tahoma"/>
            <family val="2"/>
          </rPr>
          <t xml:space="preserve">
</t>
        </r>
      </text>
    </comment>
    <comment ref="N2" authorId="0" shapeId="0" xr:uid="{00000000-0006-0000-0300-000003000000}">
      <text>
        <r>
          <rPr>
            <b/>
            <sz val="9"/>
            <color indexed="81"/>
            <rFont val="Tahoma"/>
            <family val="2"/>
          </rPr>
          <t>Issues not yet approved</t>
        </r>
        <r>
          <rPr>
            <sz val="9"/>
            <color indexed="81"/>
            <rFont val="Tahoma"/>
            <family val="2"/>
          </rPr>
          <t xml:space="preserve">
</t>
        </r>
      </text>
    </comment>
    <comment ref="A3" authorId="0" shapeId="0" xr:uid="{00000000-0006-0000-0300-000004000000}">
      <text>
        <r>
          <rPr>
            <b/>
            <sz val="9"/>
            <color indexed="81"/>
            <rFont val="Tahoma"/>
            <family val="2"/>
          </rPr>
          <t xml:space="preserve">Status of the review
</t>
        </r>
        <r>
          <rPr>
            <sz val="9"/>
            <color indexed="81"/>
            <rFont val="Tahoma"/>
            <family val="2"/>
          </rPr>
          <t xml:space="preserve"> o Green : all points treated and approved
 o Blue : all points treated and approved, warning because some points are postponed
 o Orange : all points treated, some are not yet approved
 o Red : some points are not treated (to be fixed, open, rejected or no status)
</t>
        </r>
      </text>
    </comment>
    <comment ref="A4" authorId="1" shapeId="0" xr:uid="{00000000-0006-0000-0300-000005000000}">
      <text>
        <r>
          <rPr>
            <b/>
            <sz val="12"/>
            <color indexed="10"/>
            <rFont val="Tahoma"/>
            <family val="2"/>
          </rPr>
          <t>Mandatory</t>
        </r>
        <r>
          <rPr>
            <b/>
            <sz val="12"/>
            <color indexed="81"/>
            <rFont val="Tahoma"/>
            <family val="2"/>
          </rPr>
          <t>,
automatically filled by VBA macros.
Open Issue Number
Do not modify it</t>
        </r>
      </text>
    </comment>
    <comment ref="B4" authorId="2" shapeId="0" xr:uid="{00000000-0006-0000-0300-000006000000}">
      <text>
        <r>
          <rPr>
            <b/>
            <sz val="12"/>
            <color indexed="10"/>
            <rFont val="Tahoma"/>
            <family val="2"/>
          </rPr>
          <t>Mandatory</t>
        </r>
        <r>
          <rPr>
            <b/>
            <sz val="12"/>
            <color indexed="81"/>
            <rFont val="Tahoma"/>
            <family val="2"/>
          </rPr>
          <t>,
filled in by the reviewer.
Document reference (doc id + version)</t>
        </r>
        <r>
          <rPr>
            <sz val="8"/>
            <color indexed="81"/>
            <rFont val="Tahoma"/>
            <family val="2"/>
          </rPr>
          <t xml:space="preserve">
</t>
        </r>
      </text>
    </comment>
    <comment ref="C4" authorId="3" shapeId="0" xr:uid="{00000000-0006-0000-0300-000007000000}">
      <text>
        <r>
          <rPr>
            <b/>
            <sz val="12"/>
            <color indexed="10"/>
            <rFont val="Tahoma"/>
            <family val="2"/>
          </rPr>
          <t>Mandatory</t>
        </r>
        <r>
          <rPr>
            <b/>
            <sz val="12"/>
            <color indexed="81"/>
            <rFont val="Tahoma"/>
            <family val="2"/>
          </rPr>
          <t>,
filled in by the reviewer.
Identify where the problem is located in the document  (chapter, paragraph, line number …).</t>
        </r>
      </text>
    </comment>
    <comment ref="D4" authorId="0" shapeId="0" xr:uid="{00000000-0006-0000-0300-000008000000}">
      <text>
        <r>
          <rPr>
            <b/>
            <sz val="12"/>
            <color indexed="10"/>
            <rFont val="Tahoma"/>
            <family val="2"/>
          </rPr>
          <t>Mandatory</t>
        </r>
        <r>
          <rPr>
            <b/>
            <sz val="12"/>
            <color indexed="81"/>
            <rFont val="Tahoma"/>
            <family val="2"/>
          </rPr>
          <t xml:space="preserve">,
filled in by the reviewer
</t>
        </r>
        <r>
          <rPr>
            <sz val="12"/>
            <color indexed="81"/>
            <rFont val="Tahoma"/>
            <family val="2"/>
          </rPr>
          <t>Describe here the description of the issue.
The proposal of correction and some comments can be added.
If the functional impact of the problem is yes then a proposal of correction must be mentioned and a Change request must be created in SW issue management tool.</t>
        </r>
      </text>
    </comment>
    <comment ref="E4" authorId="3" shapeId="0" xr:uid="{00000000-0006-0000-0300-000009000000}">
      <text>
        <r>
          <rPr>
            <b/>
            <sz val="12"/>
            <color indexed="10"/>
            <rFont val="Tahoma"/>
            <family val="2"/>
          </rPr>
          <t>Mandatory</t>
        </r>
        <r>
          <rPr>
            <b/>
            <sz val="12"/>
            <color indexed="81"/>
            <rFont val="Tahoma"/>
            <family val="2"/>
          </rPr>
          <t>,
automatically filled by VBA macros
date of the remark creation</t>
        </r>
      </text>
    </comment>
    <comment ref="F4" authorId="1" shapeId="0" xr:uid="{00000000-0006-0000-0300-00000A000000}">
      <text>
        <r>
          <rPr>
            <b/>
            <sz val="12"/>
            <color indexed="10"/>
            <rFont val="Tahoma"/>
            <family val="2"/>
          </rPr>
          <t>Mandatory</t>
        </r>
        <r>
          <rPr>
            <b/>
            <sz val="12"/>
            <color indexed="81"/>
            <rFont val="Tahoma"/>
            <family val="2"/>
          </rPr>
          <t>,
automatically filled in by VBA macros
Identification of the reviewer</t>
        </r>
      </text>
    </comment>
    <comment ref="G4" authorId="2" shapeId="0" xr:uid="{00000000-0006-0000-0300-00000B000000}">
      <text>
        <r>
          <rPr>
            <b/>
            <sz val="12"/>
            <color indexed="10"/>
            <rFont val="Tahoma"/>
            <family val="2"/>
          </rPr>
          <t>Mandatory</t>
        </r>
        <r>
          <rPr>
            <b/>
            <sz val="12"/>
            <color indexed="81"/>
            <rFont val="Tahoma"/>
            <family val="2"/>
          </rPr>
          <t xml:space="preserve">,
filled in by the author or reviewer
o For issue to fix : description of the correction
o For issue to not fix : justification of this decision
</t>
        </r>
        <r>
          <rPr>
            <sz val="12"/>
            <color indexed="81"/>
            <rFont val="Tahoma"/>
            <family val="2"/>
          </rPr>
          <t>If there is functional impact then a proposal of correction must be mentioned and a Change Request must be created in SW issue management tool.</t>
        </r>
      </text>
    </comment>
    <comment ref="H4" authorId="2" shapeId="0" xr:uid="{00000000-0006-0000-0300-00000C000000}">
      <text>
        <r>
          <rPr>
            <b/>
            <sz val="12"/>
            <color indexed="81"/>
            <rFont val="Tahoma"/>
            <family val="2"/>
          </rPr>
          <t>For code review, filled in by the reviewer.
Author of the document creates Change Request or Working Issue
 when the functionality is complex or when the action is postponed.</t>
        </r>
        <r>
          <rPr>
            <sz val="8"/>
            <color indexed="81"/>
            <rFont val="Tahoma"/>
            <family val="2"/>
          </rPr>
          <t xml:space="preserve">
</t>
        </r>
      </text>
    </comment>
    <comment ref="I4" authorId="4" shapeId="0" xr:uid="{00000000-0006-0000-0300-00000D000000}">
      <text>
        <r>
          <rPr>
            <b/>
            <sz val="16"/>
            <color indexed="10"/>
            <rFont val="Tahoma"/>
            <family val="2"/>
          </rPr>
          <t>MANDATORY</t>
        </r>
        <r>
          <rPr>
            <b/>
            <sz val="16"/>
            <color indexed="81"/>
            <rFont val="Tahoma"/>
            <family val="2"/>
          </rPr>
          <t xml:space="preserve">
Reviewer</t>
        </r>
        <r>
          <rPr>
            <b/>
            <sz val="9"/>
            <color indexed="81"/>
            <rFont val="Tahoma"/>
            <family val="2"/>
          </rPr>
          <t xml:space="preserve"> shall fill in this column in order to have it before the target or not</t>
        </r>
      </text>
    </comment>
    <comment ref="J4" authorId="2" shapeId="0" xr:uid="{00000000-0006-0000-0300-00000F000000}">
      <text>
        <r>
          <rPr>
            <b/>
            <sz val="12"/>
            <color indexed="10"/>
            <rFont val="Tahoma"/>
            <family val="2"/>
          </rPr>
          <t>Mandatory</t>
        </r>
        <r>
          <rPr>
            <b/>
            <sz val="12"/>
            <color indexed="81"/>
            <rFont val="Tahoma"/>
            <family val="2"/>
          </rPr>
          <t>,
filled in by the reviewer.
Name of the person who is in charge of fixing the issue.</t>
        </r>
      </text>
    </comment>
    <comment ref="K4" authorId="2" shapeId="0" xr:uid="{00000000-0006-0000-0300-000010000000}">
      <text>
        <r>
          <rPr>
            <b/>
            <sz val="12"/>
            <color indexed="10"/>
            <rFont val="Tahoma"/>
            <family val="2"/>
          </rPr>
          <t>Mandatory</t>
        </r>
        <r>
          <rPr>
            <b/>
            <sz val="12"/>
            <color indexed="81"/>
            <rFont val="Tahoma"/>
            <family val="2"/>
          </rPr>
          <t>,
filled in by the reviewer
Due date or workproduct version or milestone to close the action</t>
        </r>
        <r>
          <rPr>
            <sz val="12"/>
            <color indexed="81"/>
            <rFont val="Tahoma"/>
            <family val="2"/>
          </rPr>
          <t xml:space="preserve">
</t>
        </r>
      </text>
    </comment>
    <comment ref="L4" authorId="2" shapeId="0" xr:uid="{00000000-0006-0000-0300-000011000000}">
      <text>
        <r>
          <rPr>
            <b/>
            <sz val="12"/>
            <color indexed="10"/>
            <rFont val="Tahoma"/>
            <family val="2"/>
          </rPr>
          <t>Mandatory</t>
        </r>
        <r>
          <rPr>
            <b/>
            <sz val="12"/>
            <color indexed="81"/>
            <rFont val="Tahoma"/>
            <family val="2"/>
          </rPr>
          <t xml:space="preserve">,
filled in by the review / author / actor
Status of the issue :
 o OPEN when the issue must be analysed
 o TO BE FIXED when a correction must be done
 o </t>
        </r>
        <r>
          <rPr>
            <b/>
            <sz val="12"/>
            <color indexed="56"/>
            <rFont val="Tahoma"/>
            <family val="2"/>
          </rPr>
          <t>FIXED</t>
        </r>
        <r>
          <rPr>
            <b/>
            <sz val="12"/>
            <color indexed="81"/>
            <rFont val="Tahoma"/>
            <family val="2"/>
          </rPr>
          <t xml:space="preserve"> when the correction is done
 o </t>
        </r>
        <r>
          <rPr>
            <b/>
            <sz val="12"/>
            <color indexed="56"/>
            <rFont val="Tahoma"/>
            <family val="2"/>
          </rPr>
          <t>POSTPONED</t>
        </r>
        <r>
          <rPr>
            <b/>
            <sz val="12"/>
            <color indexed="81"/>
            <rFont val="Tahoma"/>
            <family val="2"/>
          </rPr>
          <t xml:space="preserve"> when the analysis will be done later
 o </t>
        </r>
        <r>
          <rPr>
            <b/>
            <sz val="12"/>
            <color indexed="56"/>
            <rFont val="Tahoma"/>
            <family val="2"/>
          </rPr>
          <t>WILL_NOT_BE_FIXED</t>
        </r>
        <r>
          <rPr>
            <b/>
            <sz val="12"/>
            <color indexed="81"/>
            <rFont val="Tahoma"/>
            <family val="2"/>
          </rPr>
          <t xml:space="preserve">  when no correction is planned</t>
        </r>
      </text>
    </comment>
    <comment ref="M4" authorId="1" shapeId="0" xr:uid="{00000000-0006-0000-0300-000012000000}">
      <text>
        <r>
          <rPr>
            <b/>
            <sz val="14"/>
            <color indexed="10"/>
            <rFont val="Tahoma"/>
            <family val="2"/>
          </rPr>
          <t>Mandatory</t>
        </r>
        <r>
          <rPr>
            <b/>
            <sz val="14"/>
            <color indexed="81"/>
            <rFont val="Tahoma"/>
            <family val="2"/>
          </rPr>
          <t xml:space="preserve">,
filled in by the reviewer
 o </t>
        </r>
        <r>
          <rPr>
            <b/>
            <sz val="14"/>
            <color indexed="18"/>
            <rFont val="Tahoma"/>
            <family val="2"/>
          </rPr>
          <t>APPROVED</t>
        </r>
        <r>
          <rPr>
            <b/>
            <sz val="14"/>
            <color indexed="81"/>
            <rFont val="Tahoma"/>
            <family val="2"/>
          </rPr>
          <t xml:space="preserve"> after checking the "document" updated
 o </t>
        </r>
        <r>
          <rPr>
            <b/>
            <sz val="14"/>
            <color indexed="18"/>
            <rFont val="Tahoma"/>
            <family val="2"/>
          </rPr>
          <t>REJECTED</t>
        </r>
        <r>
          <rPr>
            <b/>
            <sz val="14"/>
            <color indexed="81"/>
            <rFont val="Tahoma"/>
            <family val="2"/>
          </rPr>
          <t xml:space="preserve"> if the reviewer disagrees with the author/actor decision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4314DF02-04B6-428E-84EF-31B79E5583DB}">
      <text>
        <r>
          <rPr>
            <b/>
            <sz val="9"/>
            <color indexed="81"/>
            <rFont val="Tahoma"/>
            <family val="2"/>
          </rPr>
          <t>Overview :</t>
        </r>
        <r>
          <rPr>
            <sz val="9"/>
            <color indexed="81"/>
            <rFont val="Tahoma"/>
            <family val="2"/>
          </rPr>
          <t xml:space="preserve">
Pourcentage of "yes" answers out of applicable answers</t>
        </r>
      </text>
    </comment>
    <comment ref="D3" authorId="0" shapeId="0" xr:uid="{F468FDC9-6127-4D89-8714-D69853CA67CD}">
      <text>
        <r>
          <rPr>
            <b/>
            <sz val="9"/>
            <color indexed="81"/>
            <rFont val="Tahoma"/>
            <family val="2"/>
          </rPr>
          <t>Overview :</t>
        </r>
        <r>
          <rPr>
            <sz val="9"/>
            <color indexed="81"/>
            <rFont val="Tahoma"/>
            <family val="2"/>
          </rPr>
          <t xml:space="preserve">
Pourcentage of "yes" answers out of applicable answers</t>
        </r>
      </text>
    </comment>
    <comment ref="E3" authorId="0" shapeId="0" xr:uid="{9F95AA98-4279-4AE8-9E08-516012100040}">
      <text>
        <r>
          <rPr>
            <b/>
            <sz val="9"/>
            <color indexed="81"/>
            <rFont val="Tahoma"/>
            <family val="2"/>
          </rPr>
          <t>Overview :</t>
        </r>
        <r>
          <rPr>
            <sz val="9"/>
            <color indexed="81"/>
            <rFont val="Tahoma"/>
            <family val="2"/>
          </rPr>
          <t xml:space="preserve">
Pourcentage of "yes" answers out of applicable answers</t>
        </r>
      </text>
    </comment>
    <comment ref="B6" authorId="0" shapeId="0" xr:uid="{59DE57B2-D164-4770-8350-A8FB2978C850}">
      <text>
        <r>
          <rPr>
            <sz val="9"/>
            <color indexed="81"/>
            <rFont val="Tahoma"/>
            <family val="2"/>
          </rPr>
          <t>This row is mandatory to force the VBA script to generate the checklist</t>
        </r>
      </text>
    </comment>
    <comment ref="B33" authorId="0" shapeId="0" xr:uid="{ADF46240-A581-4C11-9E57-5A56C77AAB99}">
      <text>
        <r>
          <rPr>
            <b/>
            <sz val="9"/>
            <color indexed="81"/>
            <rFont val="Tahoma"/>
            <family val="2"/>
          </rPr>
          <t xml:space="preserve">Everything above this row is generated by Question Library (TEM486 - Master questions library.xlsm) </t>
        </r>
      </text>
    </comment>
    <comment ref="A35" authorId="0" shapeId="0" xr:uid="{5838F127-FFE2-45FF-9685-A48ED9A510B8}">
      <text>
        <r>
          <rPr>
            <b/>
            <sz val="9"/>
            <color indexed="81"/>
            <rFont val="Tahoma"/>
            <family val="2"/>
          </rPr>
          <t>This cell must be blank</t>
        </r>
      </text>
    </comment>
    <comment ref="C35" authorId="0" shapeId="0" xr:uid="{B34B2126-EEAB-44D0-9AF5-7CB793A8E787}">
      <text>
        <r>
          <rPr>
            <b/>
            <sz val="9"/>
            <color indexed="81"/>
            <rFont val="Tahoma"/>
            <family val="2"/>
          </rPr>
          <t>This cell must be blank</t>
        </r>
      </text>
    </comment>
    <comment ref="D35" authorId="0" shapeId="0" xr:uid="{3A6326A6-CA9F-4FAA-B5CB-CE1A7575F8C1}">
      <text>
        <r>
          <rPr>
            <b/>
            <sz val="9"/>
            <color indexed="81"/>
            <rFont val="Tahoma"/>
            <family val="2"/>
          </rPr>
          <t>This cell must be blank</t>
        </r>
      </text>
    </comment>
    <comment ref="E35" authorId="0" shapeId="0" xr:uid="{F165DFE3-5B2D-45DD-8A14-449CDF9EB28D}">
      <text>
        <r>
          <rPr>
            <b/>
            <sz val="9"/>
            <color indexed="81"/>
            <rFont val="Tahoma"/>
            <family val="2"/>
          </rPr>
          <t>This cell must be blank</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7B7908BB-0D1D-413F-B500-89863915FDCC}">
      <text>
        <r>
          <rPr>
            <b/>
            <sz val="9"/>
            <color indexed="81"/>
            <rFont val="Tahoma"/>
            <family val="2"/>
          </rPr>
          <t>Overview :</t>
        </r>
        <r>
          <rPr>
            <sz val="9"/>
            <color indexed="81"/>
            <rFont val="Tahoma"/>
            <family val="2"/>
          </rPr>
          <t xml:space="preserve">
Pourcentage of "yes" answers out of applicable answers</t>
        </r>
      </text>
    </comment>
    <comment ref="D3" authorId="0" shapeId="0" xr:uid="{D3CC2629-6971-4D3F-8160-814762D8B8FC}">
      <text>
        <r>
          <rPr>
            <b/>
            <sz val="9"/>
            <color indexed="81"/>
            <rFont val="Tahoma"/>
            <family val="2"/>
          </rPr>
          <t>Overview :</t>
        </r>
        <r>
          <rPr>
            <sz val="9"/>
            <color indexed="81"/>
            <rFont val="Tahoma"/>
            <family val="2"/>
          </rPr>
          <t xml:space="preserve">
Pourcentage of "yes" answers out of applicable answers</t>
        </r>
      </text>
    </comment>
    <comment ref="E3" authorId="0" shapeId="0" xr:uid="{F5287B28-107C-41FD-96F9-FDCC50B1440F}">
      <text>
        <r>
          <rPr>
            <b/>
            <sz val="9"/>
            <color indexed="81"/>
            <rFont val="Tahoma"/>
            <family val="2"/>
          </rPr>
          <t>Overview :</t>
        </r>
        <r>
          <rPr>
            <sz val="9"/>
            <color indexed="81"/>
            <rFont val="Tahoma"/>
            <family val="2"/>
          </rPr>
          <t xml:space="preserve">
Pourcentage of "yes" answers out of applicable answers</t>
        </r>
      </text>
    </comment>
    <comment ref="F3" authorId="0" shapeId="0" xr:uid="{359EA8A8-9136-4DA4-AAA9-209E85B95605}">
      <text>
        <r>
          <rPr>
            <b/>
            <sz val="9"/>
            <color indexed="81"/>
            <rFont val="Tahoma"/>
            <family val="2"/>
          </rPr>
          <t>Overview :</t>
        </r>
        <r>
          <rPr>
            <sz val="9"/>
            <color indexed="81"/>
            <rFont val="Tahoma"/>
            <family val="2"/>
          </rPr>
          <t xml:space="preserve">
Pourcentage of "yes" answers out of applicable answers</t>
        </r>
      </text>
    </comment>
    <comment ref="G3" authorId="0" shapeId="0" xr:uid="{B0524A2F-07CA-4A18-9699-E9CB59D4D8B5}">
      <text>
        <r>
          <rPr>
            <b/>
            <sz val="9"/>
            <color indexed="81"/>
            <rFont val="Tahoma"/>
            <family val="2"/>
          </rPr>
          <t>Overview :</t>
        </r>
        <r>
          <rPr>
            <sz val="9"/>
            <color indexed="81"/>
            <rFont val="Tahoma"/>
            <family val="2"/>
          </rPr>
          <t xml:space="preserve">
Pourcentage of "yes" answers out of applicable answers</t>
        </r>
      </text>
    </comment>
    <comment ref="H3" authorId="0" shapeId="0" xr:uid="{4DF4DD8B-90D6-441F-AC21-C919F7A7B454}">
      <text>
        <r>
          <rPr>
            <b/>
            <sz val="9"/>
            <color indexed="81"/>
            <rFont val="Tahoma"/>
            <family val="2"/>
          </rPr>
          <t>Overview :</t>
        </r>
        <r>
          <rPr>
            <sz val="9"/>
            <color indexed="81"/>
            <rFont val="Tahoma"/>
            <family val="2"/>
          </rPr>
          <t xml:space="preserve">
Pourcentage of "yes" answers out of applicable answers</t>
        </r>
      </text>
    </comment>
    <comment ref="B34" authorId="0" shapeId="0" xr:uid="{E80F25DC-13AB-424A-9F88-AE0B58252AC9}">
      <text>
        <r>
          <rPr>
            <b/>
            <sz val="9"/>
            <color indexed="81"/>
            <rFont val="Tahoma"/>
            <family val="2"/>
          </rPr>
          <t xml:space="preserve">Everything above this row is generated by Question Library (TEM486 - Master questions library.xlsm) </t>
        </r>
      </text>
    </comment>
    <comment ref="A36" authorId="0" shapeId="0" xr:uid="{348311A7-B571-4509-9B02-A478835A59E9}">
      <text>
        <r>
          <rPr>
            <b/>
            <sz val="9"/>
            <color indexed="81"/>
            <rFont val="Tahoma"/>
            <family val="2"/>
          </rPr>
          <t>This cell must be blank</t>
        </r>
      </text>
    </comment>
    <comment ref="C36" authorId="0" shapeId="0" xr:uid="{E7DC79D1-99F9-42FD-8563-D14B693744FA}">
      <text>
        <r>
          <rPr>
            <b/>
            <sz val="9"/>
            <color indexed="81"/>
            <rFont val="Tahoma"/>
            <family val="2"/>
          </rPr>
          <t>This cell must be blank</t>
        </r>
      </text>
    </comment>
    <comment ref="D36" authorId="0" shapeId="0" xr:uid="{D0AE2CBD-2AF8-44F7-8177-6A1729B760D8}">
      <text>
        <r>
          <rPr>
            <b/>
            <sz val="9"/>
            <color indexed="81"/>
            <rFont val="Tahoma"/>
            <family val="2"/>
          </rPr>
          <t>This cell must be blank</t>
        </r>
      </text>
    </comment>
    <comment ref="E36" authorId="0" shapeId="0" xr:uid="{990ACA2B-ECFF-4918-BCFF-5D1DA0A667DF}">
      <text>
        <r>
          <rPr>
            <b/>
            <sz val="9"/>
            <color indexed="81"/>
            <rFont val="Tahoma"/>
            <family val="2"/>
          </rPr>
          <t>This cell must be blank</t>
        </r>
      </text>
    </comment>
    <comment ref="F36" authorId="0" shapeId="0" xr:uid="{F889CFD2-BC9E-4B83-BE9D-495E7EDBBB96}">
      <text>
        <r>
          <rPr>
            <b/>
            <sz val="9"/>
            <color indexed="81"/>
            <rFont val="Tahoma"/>
            <family val="2"/>
          </rPr>
          <t>This cell must be blank</t>
        </r>
      </text>
    </comment>
    <comment ref="G36" authorId="0" shapeId="0" xr:uid="{D9BA643A-9DC0-45AC-8A1E-6F30DBA84DB2}">
      <text>
        <r>
          <rPr>
            <b/>
            <sz val="9"/>
            <color indexed="81"/>
            <rFont val="Tahoma"/>
            <family val="2"/>
          </rPr>
          <t>This cell must be blank</t>
        </r>
      </text>
    </comment>
    <comment ref="H36" authorId="0" shapeId="0" xr:uid="{3D03B0B7-8DF9-431F-B8CD-C82E788E9963}">
      <text>
        <r>
          <rPr>
            <b/>
            <sz val="9"/>
            <color indexed="81"/>
            <rFont val="Tahoma"/>
            <family val="2"/>
          </rPr>
          <t>This cell must be blank</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Cyril Jouhanneau</author>
  </authors>
  <commentList>
    <comment ref="C3" authorId="0" shapeId="0" xr:uid="{E7237D36-D0B6-4935-8C92-30EE89333171}">
      <text>
        <r>
          <rPr>
            <b/>
            <sz val="9"/>
            <color indexed="81"/>
            <rFont val="Tahoma"/>
            <family val="2"/>
          </rPr>
          <t>Overview :</t>
        </r>
        <r>
          <rPr>
            <sz val="9"/>
            <color indexed="81"/>
            <rFont val="Tahoma"/>
            <family val="2"/>
          </rPr>
          <t xml:space="preserve">
Pourcentage of "yes" answers out of applicable answers</t>
        </r>
      </text>
    </comment>
    <comment ref="D3" authorId="0" shapeId="0" xr:uid="{376A053A-3C88-4233-A190-9F84601022A7}">
      <text>
        <r>
          <rPr>
            <b/>
            <sz val="9"/>
            <color indexed="81"/>
            <rFont val="Tahoma"/>
            <family val="2"/>
          </rPr>
          <t>Overview :</t>
        </r>
        <r>
          <rPr>
            <sz val="9"/>
            <color indexed="81"/>
            <rFont val="Tahoma"/>
            <family val="2"/>
          </rPr>
          <t xml:space="preserve">
Pourcentage of "yes" answers out of applicable answers</t>
        </r>
      </text>
    </comment>
    <comment ref="B36" authorId="0" shapeId="0" xr:uid="{4579FE57-B159-4DA2-80F2-E457ACA74F82}">
      <text>
        <r>
          <rPr>
            <b/>
            <sz val="9"/>
            <color indexed="81"/>
            <rFont val="Tahoma"/>
            <family val="2"/>
          </rPr>
          <t xml:space="preserve">Everything above this row is generated by Question Library (TEM486 - Master questions library.xlsm) </t>
        </r>
      </text>
    </comment>
    <comment ref="A38" authorId="0" shapeId="0" xr:uid="{B836414E-05E4-4D6D-813D-BFF1CF71AB27}">
      <text>
        <r>
          <rPr>
            <b/>
            <sz val="9"/>
            <color indexed="81"/>
            <rFont val="Tahoma"/>
            <family val="2"/>
          </rPr>
          <t>This cell must be blank</t>
        </r>
      </text>
    </comment>
    <comment ref="C38" authorId="0" shapeId="0" xr:uid="{69DBA4BB-FF84-4FE3-976D-2448FE9CAD7A}">
      <text>
        <r>
          <rPr>
            <b/>
            <sz val="9"/>
            <color indexed="81"/>
            <rFont val="Tahoma"/>
            <family val="2"/>
          </rPr>
          <t>This cell must be blank</t>
        </r>
      </text>
    </comment>
    <comment ref="D38" authorId="0" shapeId="0" xr:uid="{973E32FB-375B-49AD-8CC8-BEBEE029DEFF}">
      <text>
        <r>
          <rPr>
            <b/>
            <sz val="9"/>
            <color indexed="81"/>
            <rFont val="Tahoma"/>
            <family val="2"/>
          </rPr>
          <t>This cell must be blank</t>
        </r>
      </text>
    </comment>
  </commentList>
</comments>
</file>

<file path=xl/sharedStrings.xml><?xml version="1.0" encoding="utf-8"?>
<sst xmlns="http://schemas.openxmlformats.org/spreadsheetml/2006/main" count="1175" uniqueCount="466">
  <si>
    <t>2/ Creating a workbook per step of the development cycle: a worksheet is created per feature, and will gather all the inspection aspects of the workproduct related to this step</t>
  </si>
  <si>
    <t>3/ Creating a workbook per feature: a worksheet is created per workproduct related to this feature</t>
  </si>
  <si>
    <t>3/ If you don't use a specific column in the feature worksheet, don't delete it. Instead, hide it if you don't want to have it appear</t>
  </si>
  <si>
    <t>?</t>
  </si>
  <si>
    <t>Cyril Jouhanneau</t>
  </si>
  <si>
    <t>Project Number &amp; Name</t>
  </si>
  <si>
    <t>Document state</t>
  </si>
  <si>
    <t>Document id</t>
  </si>
  <si>
    <t>Document title</t>
  </si>
  <si>
    <t>Version</t>
  </si>
  <si>
    <t>Template</t>
  </si>
  <si>
    <t>NA</t>
  </si>
  <si>
    <t>Review</t>
  </si>
  <si>
    <t>General rules</t>
  </si>
  <si>
    <t>Creation, first release</t>
  </si>
  <si>
    <t>Help</t>
  </si>
  <si>
    <t>Abbreviations list</t>
  </si>
  <si>
    <t>Approval</t>
  </si>
  <si>
    <t>F</t>
  </si>
  <si>
    <t>Open</t>
  </si>
  <si>
    <t>Fixed</t>
  </si>
  <si>
    <t>Postponed</t>
  </si>
  <si>
    <t>TOTAL</t>
  </si>
  <si>
    <t>No</t>
  </si>
  <si>
    <t>High</t>
  </si>
  <si>
    <t>Medium</t>
  </si>
  <si>
    <t>Low</t>
  </si>
  <si>
    <t>Will not be fixed</t>
  </si>
  <si>
    <t>Approved</t>
  </si>
  <si>
    <t>Rejected</t>
  </si>
  <si>
    <t>OIN</t>
  </si>
  <si>
    <t>Reviewer Name</t>
  </si>
  <si>
    <t>Issue's
location</t>
  </si>
  <si>
    <t>Actor Name</t>
  </si>
  <si>
    <t>Revision</t>
  </si>
  <si>
    <t>Use the standard template AEF 1126
Fix some errors
See details in PRWB of this document</t>
  </si>
  <si>
    <t>CR</t>
  </si>
  <si>
    <t>SW</t>
  </si>
  <si>
    <t>SDP</t>
  </si>
  <si>
    <t>SCMP</t>
  </si>
  <si>
    <t>Change Request</t>
  </si>
  <si>
    <t>Software Configuration Management Plan</t>
  </si>
  <si>
    <t>Software Development Plan</t>
  </si>
  <si>
    <t>Software</t>
  </si>
  <si>
    <t>To be fixed</t>
  </si>
  <si>
    <t>DO NOT DELETE THIS ROW USED FOR THE VBA CALCULATION</t>
  </si>
  <si>
    <t>Answer</t>
  </si>
  <si>
    <t>Status</t>
  </si>
  <si>
    <t>CR/WI reference</t>
  </si>
  <si>
    <t>Target</t>
  </si>
  <si>
    <t>DO NOT DELETE THIS ROW =&gt; there are some lists on the right</t>
  </si>
  <si>
    <t>Checklist status</t>
  </si>
  <si>
    <t>Review sheet</t>
  </si>
  <si>
    <t>This sheet contains the content of a review. You can rename and duplicate this sheet as much as you want. For instance, you can have 1 sheet by document to review.</t>
  </si>
  <si>
    <t>Issue workflow (status)</t>
  </si>
  <si>
    <t>Overview</t>
  </si>
  <si>
    <t>Synthesis Chart sheet</t>
  </si>
  <si>
    <t>WI</t>
  </si>
  <si>
    <t>Working Issue</t>
  </si>
  <si>
    <t>Reviewer</t>
  </si>
  <si>
    <t>Author</t>
  </si>
  <si>
    <t>Actor</t>
  </si>
  <si>
    <t>Approved / postponed</t>
  </si>
  <si>
    <t>Workproduct identification :</t>
  </si>
  <si>
    <t>Issues to treat</t>
  </si>
  <si>
    <t>Issue not approved</t>
  </si>
  <si>
    <t>Issues with postponement approved</t>
  </si>
  <si>
    <t>Approval status</t>
  </si>
  <si>
    <t>Total</t>
  </si>
  <si>
    <t>Open
date</t>
  </si>
  <si>
    <t>Issue to treat</t>
  </si>
  <si>
    <t>Issues to approve</t>
  </si>
  <si>
    <t>Status OK</t>
  </si>
  <si>
    <t xml:space="preserve">Issues postponed </t>
  </si>
  <si>
    <t>Postponed and approved</t>
  </si>
  <si>
    <t>Approved (closed)</t>
  </si>
  <si>
    <t>Conformities</t>
  </si>
  <si>
    <t>Non conformities</t>
  </si>
  <si>
    <t>Will not fixed (or invalid)</t>
  </si>
  <si>
    <t>Rejected issue</t>
  </si>
  <si>
    <t>This sheet can also be manually updated by the following button :</t>
  </si>
  <si>
    <t>To fill with workproduct identification</t>
  </si>
  <si>
    <t>Legend</t>
  </si>
  <si>
    <t>VBA</t>
  </si>
  <si>
    <t>Visual Basic for Application</t>
  </si>
  <si>
    <t>This sheet contains metrics which are computed and updated automatically by macro (when the sheet is opened).</t>
  </si>
  <si>
    <t>H</t>
  </si>
  <si>
    <t>Dina.Randriamarolahy</t>
  </si>
  <si>
    <t>Review strategy</t>
  </si>
  <si>
    <t>Template column for format of checklist sheets</t>
  </si>
  <si>
    <t>Template column for format of review sheets</t>
  </si>
  <si>
    <t>Review duration</t>
  </si>
  <si>
    <t>Date</t>
  </si>
  <si>
    <t>For</t>
  </si>
  <si>
    <t>future</t>
  </si>
  <si>
    <t>use</t>
  </si>
  <si>
    <t>AAU</t>
  </si>
  <si>
    <t>Atomic Architectural Unit</t>
  </si>
  <si>
    <t>G</t>
  </si>
  <si>
    <t>Francine Chambin</t>
  </si>
  <si>
    <t>Safety verification part added in Architecture checklist sheet to be compliant with ISO26262</t>
  </si>
  <si>
    <t>Not approved</t>
  </si>
  <si>
    <t>The checklists of SDP, SVP, SVS, Architecture, Design, AAU Test, Integration Test take into account the Verification Criteria for review provided by ALE 2.10.
Add SV Summary Report checklist (provided by ALE 2.10).
SWPF is extended to System.
The other updates correspond to OIN listed in PRWB of AEF 1007.</t>
  </si>
  <si>
    <t>I</t>
  </si>
  <si>
    <t>Marion Rakotonoelina</t>
  </si>
  <si>
    <t>Priority</t>
  </si>
  <si>
    <t>Walk-throughs</t>
  </si>
  <si>
    <t>This document shall respect the configuration management locale instruction about the peer review workflow.
The goal of this excel workbook is to log findings during the review on the software project workproducts. 
This workbook could be used in 3 ways :</t>
  </si>
  <si>
    <t>1/ Creating a unique workbook for project system: a worksheet is created per feature, and will gather all findings of all the workproducts related to this feature</t>
  </si>
  <si>
    <t>all checklists sheet</t>
  </si>
  <si>
    <t xml:space="preserve">Reuse strategy </t>
  </si>
  <si>
    <t>Each check-list defines acceptance criteria for the review. At each new feature, the appropriate check list to the work product shall be applied by the author and/or the reviewer to ensure any oversight. All check-lists listed below are mandatory:</t>
  </si>
  <si>
    <t xml:space="preserve">Software verification plan </t>
  </si>
  <si>
    <t xml:space="preserve">Configuration management plan </t>
  </si>
  <si>
    <t xml:space="preserve">Source Code </t>
  </si>
  <si>
    <t xml:space="preserve">Architecture </t>
  </si>
  <si>
    <t xml:space="preserve">Design </t>
  </si>
  <si>
    <t xml:space="preserve">Tests &amp; Report </t>
  </si>
  <si>
    <t xml:space="preserve">Software development plan </t>
  </si>
  <si>
    <t xml:space="preserve">Software project schedule </t>
  </si>
  <si>
    <t>Software Integration test plan</t>
  </si>
  <si>
    <t>Model Based developement</t>
  </si>
  <si>
    <t>AAU test</t>
  </si>
  <si>
    <t>SV Summary report</t>
  </si>
  <si>
    <t>Integration test</t>
  </si>
  <si>
    <t>System Project Follow-up</t>
  </si>
  <si>
    <t>Quality Assurance plan</t>
  </si>
  <si>
    <t xml:space="preserve">Software  verification  schedule </t>
  </si>
  <si>
    <t>The MBD check list added and the priority about action added
Following the Gap-analysis the column priority has been added
Following the ISO 26262 the column type of review has been added
Integration tests  plan has been separated from the SDP</t>
  </si>
  <si>
    <t>o Remove many columns to simplify the document
   Old fields (removed from AEF 1007 G) were: 
   - Workload estimation (For the workload estimation of a bug, a MKS issue is referenced and must contain this information)
   - Functional impact (This field was filled in for code review. This information is now located in the MKS issue)
   - Occurence (This field was filled in for code review. This information is now located in the MKS issue)
   - AEE Recommendation (This field was partially redondant with the status of the review issue. This information is now included in the Status field)
   - Complexity (This field was filled in for code review. This information is now located in the MKS issue)
   -Estimated Workload (M.D) (This field was filled in for code review. This information is now located in the MKS issue)
o See the PRWB for more information</t>
  </si>
  <si>
    <t>5/ CR/WI Reference field should only be filled in when the decision is made as : To be fixed or To be postponed</t>
  </si>
  <si>
    <t>Cells automatically filled in by formula or VBA macro (please enable VBA macros)</t>
  </si>
  <si>
    <t>New Software Specification checklist to be included according with KGAS requirements</t>
  </si>
  <si>
    <t>to nclude consumed effort and duration of the review</t>
  </si>
  <si>
    <t>to define the roles in the review meeting and the roles in the project</t>
  </si>
  <si>
    <t>NEW REQUIREMENTS FROM KGAS, THAT ARE MISSING FROM PRWB</t>
  </si>
  <si>
    <t>Date of release</t>
  </si>
  <si>
    <t>Title:</t>
  </si>
  <si>
    <r>
      <t xml:space="preserve">See </t>
    </r>
    <r>
      <rPr>
        <sz val="8"/>
        <color rgb="FF7030A0"/>
        <rFont val="Arial"/>
        <family val="2"/>
      </rPr>
      <t>Project Master Document</t>
    </r>
    <r>
      <rPr>
        <sz val="8"/>
        <rFont val="Arial"/>
        <family val="2"/>
      </rPr>
      <t xml:space="preserve"> for the roles and </t>
    </r>
    <r>
      <rPr>
        <sz val="8"/>
        <color rgb="FF7030A0"/>
        <rFont val="Arial"/>
        <family val="2"/>
      </rPr>
      <t xml:space="preserve">Project Members List </t>
    </r>
    <r>
      <rPr>
        <sz val="8"/>
        <rFont val="Arial"/>
        <family val="2"/>
      </rPr>
      <t>for the name of people</t>
    </r>
  </si>
  <si>
    <r>
      <t xml:space="preserve">Distribution </t>
    </r>
    <r>
      <rPr>
        <b/>
        <sz val="8"/>
        <color theme="5"/>
        <rFont val="Arial"/>
        <family val="2"/>
      </rPr>
      <t>*</t>
    </r>
  </si>
  <si>
    <r>
      <t xml:space="preserve">See </t>
    </r>
    <r>
      <rPr>
        <sz val="10"/>
        <color rgb="FF7030A0"/>
        <rFont val="Arial"/>
        <family val="2"/>
      </rPr>
      <t>Project Master Document</t>
    </r>
    <r>
      <rPr>
        <sz val="10"/>
        <rFont val="Arial"/>
        <family val="2"/>
      </rPr>
      <t xml:space="preserve"> for the roles and </t>
    </r>
    <r>
      <rPr>
        <sz val="10"/>
        <color rgb="FF7030A0"/>
        <rFont val="Arial"/>
        <family val="2"/>
      </rPr>
      <t>Project Members List</t>
    </r>
    <r>
      <rPr>
        <sz val="10"/>
        <rFont val="Arial"/>
        <family val="2"/>
      </rPr>
      <t xml:space="preserve"> for the name of people</t>
    </r>
  </si>
  <si>
    <t>Executive summary</t>
  </si>
  <si>
    <t>Tab Name</t>
  </si>
  <si>
    <t>TAB - General Information</t>
  </si>
  <si>
    <t>1. General Information</t>
  </si>
  <si>
    <t>1.1. Table of content</t>
  </si>
  <si>
    <t>Tab</t>
  </si>
  <si>
    <t>Description/comment</t>
  </si>
  <si>
    <t>FrontPage</t>
  </si>
  <si>
    <t xml:space="preserve">The front page contains information about the document.
Note :
o the blue cells are automatically filled by PLM and/or formula
</t>
  </si>
  <si>
    <t>General info</t>
  </si>
  <si>
    <t>This sheet : contains history, reference, purpose, scope, definition and guide</t>
  </si>
  <si>
    <t>&lt;Please describe this sheet&gt;</t>
  </si>
  <si>
    <t>1.2. Revision History *</t>
  </si>
  <si>
    <t>Author(s)</t>
  </si>
  <si>
    <t>Description/Comment</t>
  </si>
  <si>
    <t>* Template history is found in the CM tool used for templates</t>
  </si>
  <si>
    <t>1.3. References</t>
  </si>
  <si>
    <t>1.3.1. Referenced documents</t>
  </si>
  <si>
    <t>ID</t>
  </si>
  <si>
    <t>Title</t>
  </si>
  <si>
    <t>Reference &amp; revision</t>
  </si>
  <si>
    <t>1.3.2. Applicable documents</t>
  </si>
  <si>
    <t>1.5. Terminology and definitions</t>
  </si>
  <si>
    <t>Terminology</t>
  </si>
  <si>
    <t>Generic terminology</t>
  </si>
  <si>
    <t>See acronyms in AEM process wiki</t>
  </si>
  <si>
    <t>2. Guide (help)</t>
  </si>
  <si>
    <t>3. Parameters / database</t>
  </si>
  <si>
    <t>&lt;If you have some generic parameters / database, please add them here&gt;</t>
  </si>
  <si>
    <t>SDP checklist</t>
  </si>
  <si>
    <t>ITP checklist</t>
  </si>
  <si>
    <t>QAP checklist</t>
  </si>
  <si>
    <t>CMP checklist</t>
  </si>
  <si>
    <t>MBD checklist</t>
  </si>
  <si>
    <t>SWPF checklist</t>
  </si>
  <si>
    <t>Comments</t>
  </si>
  <si>
    <t>Agreement
(reviewer)</t>
  </si>
  <si>
    <t>Desk check</t>
  </si>
  <si>
    <t>Inspection</t>
  </si>
  <si>
    <t>The review is done individually and asynchronously : each reviewers work in its desk</t>
  </si>
  <si>
    <t>The author present the document in a review meeting (synchrone review)</t>
  </si>
  <si>
    <t>3 roles are defined :
o Moderator organizes the review
o The author presents the work-product
o The scribe write the comments</t>
  </si>
  <si>
    <t>Review Definition =&gt; more details in : PRO483 Review</t>
  </si>
  <si>
    <t>configuration management</t>
  </si>
  <si>
    <t>Guide</t>
  </si>
  <si>
    <t>o</t>
  </si>
  <si>
    <t>Synthesis Charts</t>
  </si>
  <si>
    <t>Review sheets</t>
  </si>
  <si>
    <t>Checklist sheets</t>
  </si>
  <si>
    <t>Review type</t>
  </si>
  <si>
    <t>Review organization</t>
  </si>
  <si>
    <t>Starting date</t>
  </si>
  <si>
    <t>Due date</t>
  </si>
  <si>
    <t>Work-product(s)</t>
  </si>
  <si>
    <r>
      <t xml:space="preserve">Effort </t>
    </r>
    <r>
      <rPr>
        <sz val="14"/>
        <color theme="1"/>
        <rFont val="Calibri"/>
        <family val="2"/>
        <scheme val="minor"/>
      </rPr>
      <t>(in mn)</t>
    </r>
  </si>
  <si>
    <t>Reviewer 8</t>
  </si>
  <si>
    <t>Reviewer 9</t>
  </si>
  <si>
    <t>Reviewer 10</t>
  </si>
  <si>
    <r>
      <t xml:space="preserve">Time spent by reviewers </t>
    </r>
    <r>
      <rPr>
        <sz val="16"/>
        <color theme="0"/>
        <rFont val="Calibri"/>
        <family val="2"/>
        <scheme val="minor"/>
      </rPr>
      <t>(in mn)</t>
    </r>
  </si>
  <si>
    <t>Exxxxxx</t>
  </si>
  <si>
    <t>YYYY-MM-DD</t>
  </si>
  <si>
    <t>Released</t>
  </si>
  <si>
    <t>Project Name and Number</t>
  </si>
  <si>
    <t>xxx</t>
  </si>
  <si>
    <t>Generic Excel template</t>
  </si>
  <si>
    <t>Project specific questions</t>
  </si>
  <si>
    <r>
      <rPr>
        <b/>
        <sz val="10"/>
        <rFont val="Arial"/>
        <family val="2"/>
      </rPr>
      <t>Additionnal questions specific to this project :</t>
    </r>
    <r>
      <rPr>
        <sz val="10"/>
        <rFont val="Arial"/>
        <family val="2"/>
      </rPr>
      <t xml:space="preserve">
o If you have additionnal questions which helps the project, please replace this questions and feel free to add additionnal questions below in the green cells</t>
    </r>
  </si>
  <si>
    <r>
      <rPr>
        <b/>
        <sz val="10"/>
        <rFont val="Arial"/>
        <family val="2"/>
      </rPr>
      <t>Template version</t>
    </r>
    <r>
      <rPr>
        <sz val="10"/>
        <rFont val="Arial"/>
        <family val="2"/>
      </rPr>
      <t xml:space="preserve">
Has the project used the applicable version of the template according with the approved PMD of the project?</t>
    </r>
  </si>
  <si>
    <r>
      <rPr>
        <b/>
        <sz val="10"/>
        <rFont val="Arial"/>
        <family val="2"/>
      </rPr>
      <t xml:space="preserve">Roles
</t>
    </r>
    <r>
      <rPr>
        <sz val="10"/>
        <rFont val="Arial"/>
        <family val="2"/>
      </rPr>
      <t>Are the name in the distribution list consistent with the roles PMD ?</t>
    </r>
  </si>
  <si>
    <r>
      <rPr>
        <b/>
        <sz val="10"/>
        <rFont val="Arial"/>
        <family val="2"/>
      </rPr>
      <t>Names</t>
    </r>
    <r>
      <rPr>
        <sz val="10"/>
        <rFont val="Arial"/>
        <family val="2"/>
      </rPr>
      <t xml:space="preserve">
Are the names of author, reviewer and approver consistent with the PMD ?</t>
    </r>
  </si>
  <si>
    <r>
      <rPr>
        <b/>
        <sz val="10"/>
        <rFont val="Arial"/>
        <family val="2"/>
      </rPr>
      <t>Automatic fields</t>
    </r>
    <r>
      <rPr>
        <sz val="10"/>
        <rFont val="Arial"/>
        <family val="2"/>
      </rPr>
      <t xml:space="preserve">
Are the automatic fields updated (Filename, Dates, Nb of pages, table of contents…) ?</t>
    </r>
  </si>
  <si>
    <r>
      <rPr>
        <b/>
        <sz val="10"/>
        <rFont val="Arial"/>
        <family val="2"/>
      </rPr>
      <t>Mandatory reviewers</t>
    </r>
    <r>
      <rPr>
        <sz val="10"/>
        <rFont val="Arial"/>
        <family val="2"/>
      </rPr>
      <t xml:space="preserve">
Are there proofs that all mandatory reviewers have made the review ? (Is the PRWB filled in by all reviewers?)</t>
    </r>
  </si>
  <si>
    <r>
      <rPr>
        <b/>
        <sz val="10"/>
        <color rgb="FF00B050"/>
        <rFont val="Arial"/>
        <family val="2"/>
      </rPr>
      <t>Comments agreements</t>
    </r>
    <r>
      <rPr>
        <sz val="10"/>
        <color rgb="FF00B050"/>
        <rFont val="Arial"/>
        <family val="2"/>
      </rPr>
      <t xml:space="preserve">
Do we have an agreement between the reviewers and the author of the work product for all identified comments ?</t>
    </r>
  </si>
  <si>
    <t>Yes</t>
  </si>
  <si>
    <t>Question
reference</t>
  </si>
  <si>
    <t>PDP checklist</t>
  </si>
  <si>
    <t>Content</t>
  </si>
  <si>
    <t>Common document rules</t>
  </si>
  <si>
    <t>Common review process check</t>
  </si>
  <si>
    <t>REQ checklist</t>
  </si>
  <si>
    <t>What to check</t>
  </si>
  <si>
    <t>How to rate the question</t>
  </si>
  <si>
    <t>Questions out of questions library</t>
  </si>
  <si>
    <r>
      <t xml:space="preserve">Justification
</t>
    </r>
    <r>
      <rPr>
        <sz val="10"/>
        <color theme="0"/>
        <rFont val="Arial"/>
        <family val="2"/>
      </rPr>
      <t>(if not OK)</t>
    </r>
  </si>
  <si>
    <t>Specific question for this checklist</t>
  </si>
  <si>
    <t>Questions generated by questions library tool</t>
  </si>
  <si>
    <r>
      <rPr>
        <b/>
        <sz val="10"/>
        <rFont val="Arial"/>
        <family val="2"/>
      </rPr>
      <t>NA</t>
    </r>
    <r>
      <rPr>
        <sz val="10"/>
        <rFont val="Arial"/>
        <family val="2"/>
      </rPr>
      <t xml:space="preserve">
No specific question for this checklist
(this question is usefull for the Question Library VBA script only)</t>
    </r>
  </si>
  <si>
    <t>Review criteria for
Software detailed design (SDD)</t>
  </si>
  <si>
    <t>Review criteria for
Code (CODE)</t>
  </si>
  <si>
    <r>
      <rPr>
        <b/>
        <sz val="10"/>
        <rFont val="Arial"/>
        <family val="2"/>
      </rPr>
      <t xml:space="preserve">Traceability
</t>
    </r>
    <r>
      <rPr>
        <sz val="10"/>
        <rFont val="Arial"/>
        <family val="2"/>
      </rPr>
      <t>Is the traceability done with module design and/or software specification?</t>
    </r>
  </si>
  <si>
    <r>
      <rPr>
        <b/>
        <sz val="10"/>
        <rFont val="Arial"/>
        <family val="2"/>
      </rPr>
      <t xml:space="preserve">Consistency
</t>
    </r>
    <r>
      <rPr>
        <sz val="10"/>
        <rFont val="Arial"/>
        <family val="2"/>
      </rPr>
      <t>Is the AAU consistent with the module design or software specification?</t>
    </r>
  </si>
  <si>
    <t>R4</t>
  </si>
  <si>
    <r>
      <t xml:space="preserve">This document is a </t>
    </r>
    <r>
      <rPr>
        <b/>
        <sz val="10"/>
        <rFont val="Comic Sans MS"/>
        <family val="4"/>
      </rPr>
      <t>template</t>
    </r>
    <r>
      <rPr>
        <sz val="10"/>
        <rFont val="Comic Sans MS"/>
        <family val="4"/>
      </rPr>
      <t xml:space="preserve"> :
o The presentation of the document can be updated for improvement only.
o The content of this document must not be modified.</t>
    </r>
  </si>
  <si>
    <t>R6</t>
  </si>
  <si>
    <r>
      <t xml:space="preserve">The word </t>
    </r>
    <r>
      <rPr>
        <b/>
        <sz val="10"/>
        <rFont val="Comic Sans MS"/>
        <family val="4"/>
      </rPr>
      <t>reviewed</t>
    </r>
    <r>
      <rPr>
        <sz val="10"/>
        <rFont val="Comic Sans MS"/>
        <family val="4"/>
      </rPr>
      <t xml:space="preserve"> means
o all points are recorded and get the </t>
    </r>
    <r>
      <rPr>
        <sz val="10"/>
        <color indexed="18"/>
        <rFont val="Comic Sans MS"/>
        <family val="4"/>
      </rPr>
      <t>approval</t>
    </r>
    <r>
      <rPr>
        <sz val="10"/>
        <rFont val="Comic Sans MS"/>
        <family val="4"/>
      </rPr>
      <t xml:space="preserve"> of the reviewer. That means that an </t>
    </r>
    <r>
      <rPr>
        <b/>
        <sz val="10"/>
        <rFont val="Comic Sans MS"/>
        <family val="4"/>
      </rPr>
      <t xml:space="preserve">agreement </t>
    </r>
    <r>
      <rPr>
        <sz val="10"/>
        <rFont val="Comic Sans MS"/>
        <family val="4"/>
      </rPr>
      <t>is reached between the author and reviewers
o all mandatory reviewers (defined in the SIP or equivalent) have recordered comments on peer review report
o the related verification criteria checklist (if it exists) has been filled</t>
    </r>
  </si>
  <si>
    <r>
      <t xml:space="preserve">If an </t>
    </r>
    <r>
      <rPr>
        <b/>
        <sz val="10"/>
        <rFont val="Comic Sans MS"/>
        <family val="4"/>
      </rPr>
      <t>question is misunderstood</t>
    </r>
    <r>
      <rPr>
        <sz val="10"/>
        <rFont val="Comic Sans MS"/>
        <family val="4"/>
      </rPr>
      <t>, it will be clarified by SQAE during the meeting. It shall not be interpreted by the project members.</t>
    </r>
  </si>
  <si>
    <r>
      <t xml:space="preserve">All questions are linked to the </t>
    </r>
    <r>
      <rPr>
        <b/>
        <sz val="10"/>
        <rFont val="Comic Sans MS"/>
        <family val="4"/>
      </rPr>
      <t>scope of the project</t>
    </r>
    <r>
      <rPr>
        <sz val="10"/>
        <rFont val="Comic Sans MS"/>
        <family val="4"/>
      </rPr>
      <t xml:space="preserve">. The scope of the project is defined in the plans.
In other words, the question "all requirements are reviewed" means "all requirements are reviewed </t>
    </r>
    <r>
      <rPr>
        <b/>
        <sz val="10"/>
        <rFont val="Comic Sans MS"/>
        <family val="4"/>
      </rPr>
      <t>according to the plans</t>
    </r>
    <r>
      <rPr>
        <sz val="10"/>
        <rFont val="Comic Sans MS"/>
        <family val="4"/>
      </rPr>
      <t xml:space="preserve">"
</t>
    </r>
    <r>
      <rPr>
        <b/>
        <sz val="10"/>
        <rFont val="Comic Sans MS"/>
        <family val="4"/>
      </rPr>
      <t xml:space="preserve">according to the plans </t>
    </r>
    <r>
      <rPr>
        <sz val="10"/>
        <rFont val="Comic Sans MS"/>
        <family val="4"/>
      </rPr>
      <t>is an implicit statement for all questions.</t>
    </r>
  </si>
  <si>
    <t>R1</t>
  </si>
  <si>
    <t>R2</t>
  </si>
  <si>
    <t>R3</t>
  </si>
  <si>
    <t>R5</t>
  </si>
  <si>
    <t>2.1 Rules for the checklist</t>
  </si>
  <si>
    <r>
      <t xml:space="preserve">An document </t>
    </r>
    <r>
      <rPr>
        <b/>
        <sz val="10"/>
        <rFont val="Comic Sans MS"/>
        <family val="4"/>
      </rPr>
      <t xml:space="preserve">approval </t>
    </r>
    <r>
      <rPr>
        <sz val="10"/>
        <rFont val="Comic Sans MS"/>
        <family val="4"/>
      </rPr>
      <t>means that :
 o the item has been reviewed (see R2)
 o approvers (defined in the SIP or equivalent) have signed</t>
    </r>
  </si>
  <si>
    <r>
      <t xml:space="preserve">There must be an </t>
    </r>
    <r>
      <rPr>
        <b/>
        <sz val="10"/>
        <rFont val="Comic Sans MS"/>
        <family val="4"/>
      </rPr>
      <t>evidence</t>
    </r>
    <r>
      <rPr>
        <sz val="10"/>
        <rFont val="Comic Sans MS"/>
        <family val="4"/>
      </rPr>
      <t xml:space="preserve"> 
E.g.:
o A review is checked with a review report (e.g. Peer review workbook, comments or status in Doors, ...)</t>
    </r>
  </si>
  <si>
    <t>QP checklist</t>
  </si>
  <si>
    <t>SyAD checklist</t>
  </si>
  <si>
    <t>SAD checklist</t>
  </si>
  <si>
    <t>Reuse checklist</t>
  </si>
  <si>
    <t>PS - DS - SPS - QS checklist</t>
  </si>
  <si>
    <t>SDD checklist</t>
  </si>
  <si>
    <t>CODE checklist</t>
  </si>
  <si>
    <t>ITSR checklist</t>
  </si>
  <si>
    <t>UTSR checklist</t>
  </si>
  <si>
    <t>QSR checklist</t>
  </si>
  <si>
    <t>OTH checklist</t>
  </si>
  <si>
    <t>PA checklist</t>
  </si>
  <si>
    <t>QT Second level review</t>
  </si>
  <si>
    <t>Sheet used for the second level review for Qualication tests. This is used as a peer-to-peer review tool</t>
  </si>
  <si>
    <t>QT Import for PTC</t>
  </si>
  <si>
    <t>Sheet is used as a support sheet for QT Second level review. It is used to copy paste the test information of a module from PTC</t>
  </si>
  <si>
    <t>QT First level review</t>
  </si>
  <si>
    <t>Sheet used to automatically generate the first level review of all qualification tests from PTC</t>
  </si>
  <si>
    <t>Technical</t>
  </si>
  <si>
    <r>
      <rPr>
        <b/>
        <sz val="10"/>
        <rFont val="Arial"/>
        <family val="2"/>
      </rPr>
      <t>Diagram</t>
    </r>
    <r>
      <rPr>
        <sz val="10"/>
        <rFont val="Arial"/>
        <family val="2"/>
      </rPr>
      <t xml:space="preserve">
Is there a clear description (diagram/sequence/text) to explain each AAU functions role</t>
    </r>
  </si>
  <si>
    <r>
      <rPr>
        <b/>
        <sz val="10"/>
        <rFont val="Arial"/>
        <family val="2"/>
      </rPr>
      <t>Diagram</t>
    </r>
    <r>
      <rPr>
        <sz val="10"/>
        <rFont val="Arial"/>
        <family val="2"/>
      </rPr>
      <t xml:space="preserve">
Is created a function/sequence diagram for each function?</t>
    </r>
  </si>
  <si>
    <r>
      <rPr>
        <b/>
        <sz val="10"/>
        <rFont val="Arial"/>
        <family val="2"/>
      </rPr>
      <t>Design</t>
    </r>
    <r>
      <rPr>
        <sz val="10"/>
        <rFont val="Arial"/>
        <family val="2"/>
      </rPr>
      <t xml:space="preserve">
Does the SW AAU design conform to the SW requirements?</t>
    </r>
  </si>
  <si>
    <r>
      <rPr>
        <b/>
        <sz val="10"/>
        <rFont val="Arial"/>
        <family val="2"/>
      </rPr>
      <t>Measurement</t>
    </r>
    <r>
      <rPr>
        <sz val="10"/>
        <rFont val="Arial"/>
        <family val="2"/>
      </rPr>
      <t xml:space="preserve">
Is the AAU design compliant with the HSIS when relevant (execution sequence, electrical stabilization time before measurement, retry strategy, periodicity …)?</t>
    </r>
  </si>
  <si>
    <r>
      <rPr>
        <b/>
        <sz val="10"/>
        <rFont val="Arial"/>
        <family val="2"/>
      </rPr>
      <t>Coding standard</t>
    </r>
    <r>
      <rPr>
        <sz val="10"/>
        <rFont val="Arial"/>
        <family val="2"/>
      </rPr>
      <t xml:space="preserve">
Does the SW AAU design conform to the SW coding standard ?</t>
    </r>
  </si>
  <si>
    <r>
      <rPr>
        <b/>
        <sz val="10"/>
        <rFont val="Arial"/>
        <family val="2"/>
      </rPr>
      <t>Testability</t>
    </r>
    <r>
      <rPr>
        <sz val="10"/>
        <rFont val="Arial"/>
        <family val="2"/>
      </rPr>
      <t xml:space="preserve">
Are software design requirements testable?</t>
    </r>
  </si>
  <si>
    <r>
      <rPr>
        <b/>
        <sz val="10"/>
        <rFont val="Arial"/>
        <family val="2"/>
      </rPr>
      <t>Traceability</t>
    </r>
    <r>
      <rPr>
        <sz val="10"/>
        <rFont val="Arial"/>
        <family val="2"/>
      </rPr>
      <t xml:space="preserve">
Do SW design requirements cover SW functional requirements using indirect and/or direct traceability ?</t>
    </r>
  </si>
  <si>
    <r>
      <rPr>
        <b/>
        <sz val="10"/>
        <rFont val="Arial"/>
        <family val="2"/>
      </rPr>
      <t>Variables</t>
    </r>
    <r>
      <rPr>
        <sz val="10"/>
        <rFont val="Arial"/>
        <family val="2"/>
      </rPr>
      <t xml:space="preserve">
Are shared variables protected with expected mechanisms (including initialization)?</t>
    </r>
  </si>
  <si>
    <r>
      <rPr>
        <b/>
        <sz val="10"/>
        <rFont val="Arial"/>
        <family val="2"/>
      </rPr>
      <t>Critical sections</t>
    </r>
    <r>
      <rPr>
        <sz val="10"/>
        <rFont val="Arial"/>
        <family val="2"/>
      </rPr>
      <t xml:space="preserve">
Are critical sections protected with expected mechanisms?</t>
    </r>
  </si>
  <si>
    <r>
      <rPr>
        <b/>
        <sz val="10"/>
        <rFont val="Arial"/>
        <family val="2"/>
      </rPr>
      <t>Critical data</t>
    </r>
    <r>
      <rPr>
        <sz val="10"/>
        <rFont val="Arial"/>
        <family val="2"/>
      </rPr>
      <t xml:space="preserve">
Are critical data protected with expected mechanisms?</t>
    </r>
  </si>
  <si>
    <r>
      <rPr>
        <b/>
        <sz val="10"/>
        <rFont val="Arial"/>
        <family val="2"/>
      </rPr>
      <t>MCU constraints</t>
    </r>
    <r>
      <rPr>
        <sz val="10"/>
        <rFont val="Arial"/>
        <family val="2"/>
      </rPr>
      <t xml:space="preserve">
Does the SW AAU design take into account the MCU resources constraints?</t>
    </r>
  </si>
  <si>
    <r>
      <rPr>
        <b/>
        <sz val="10"/>
        <rFont val="Arial"/>
        <family val="2"/>
      </rPr>
      <t>Coding standard</t>
    </r>
    <r>
      <rPr>
        <sz val="10"/>
        <rFont val="Arial"/>
        <family val="2"/>
      </rPr>
      <t xml:space="preserve">
Does the SW AAU Code conform to the SW coding standard ?</t>
    </r>
  </si>
  <si>
    <r>
      <rPr>
        <b/>
        <sz val="10"/>
        <rFont val="Arial"/>
        <family val="2"/>
      </rPr>
      <t>Static analysis</t>
    </r>
    <r>
      <rPr>
        <sz val="10"/>
        <rFont val="Arial"/>
        <family val="2"/>
      </rPr>
      <t xml:space="preserve">
Is static analysis performed and warnings corrected or justified?</t>
    </r>
  </si>
  <si>
    <r>
      <rPr>
        <b/>
        <sz val="10"/>
        <rFont val="Arial"/>
        <family val="2"/>
      </rPr>
      <t>Data structure</t>
    </r>
    <r>
      <rPr>
        <sz val="10"/>
        <rFont val="Arial"/>
        <family val="2"/>
      </rPr>
      <t xml:space="preserve">
Is Data structure organized in RAM (alignment, padding,..) verified?</t>
    </r>
  </si>
  <si>
    <r>
      <rPr>
        <b/>
        <sz val="10"/>
        <rFont val="Arial"/>
        <family val="2"/>
      </rPr>
      <t>Comments</t>
    </r>
    <r>
      <rPr>
        <sz val="10"/>
        <rFont val="Arial"/>
        <family val="2"/>
      </rPr>
      <t xml:space="preserve">
Are the comments sufficient for comprehensibility?</t>
    </r>
  </si>
  <si>
    <r>
      <rPr>
        <b/>
        <sz val="10"/>
        <rFont val="Arial"/>
        <family val="2"/>
      </rPr>
      <t>Execution</t>
    </r>
    <r>
      <rPr>
        <sz val="10"/>
        <rFont val="Arial"/>
        <family val="2"/>
      </rPr>
      <t xml:space="preserve">
Are SW loops (for, while) protected against infinite execution?</t>
    </r>
  </si>
  <si>
    <r>
      <rPr>
        <b/>
        <sz val="10"/>
        <rFont val="Arial"/>
        <family val="2"/>
      </rPr>
      <t>Complier warnings</t>
    </r>
    <r>
      <rPr>
        <sz val="10"/>
        <rFont val="Arial"/>
        <family val="2"/>
      </rPr>
      <t xml:space="preserve">
All code shall be compiled with all compiler warnings enabled at the highest warning level available.  Are all Compiler warnings resolved?  If not possible a justification must be documented.</t>
    </r>
  </si>
  <si>
    <r>
      <rPr>
        <b/>
        <sz val="10"/>
        <rFont val="Arial"/>
        <family val="2"/>
      </rPr>
      <t>Called functions</t>
    </r>
    <r>
      <rPr>
        <sz val="10"/>
        <rFont val="Arial"/>
        <family val="2"/>
      </rPr>
      <t xml:space="preserve">
Is it verified that functions called by this AAU cannot cause reentrancy issues, or that reentrancy is allowed for called functions?</t>
    </r>
  </si>
  <si>
    <r>
      <rPr>
        <b/>
        <sz val="10"/>
        <rFont val="Arial"/>
        <family val="2"/>
      </rPr>
      <t>Shared data objects</t>
    </r>
    <r>
      <rPr>
        <sz val="10"/>
        <rFont val="Arial"/>
        <family val="2"/>
      </rPr>
      <t xml:space="preserve">
If data objects are shared between several functions, is it ensured that they are called from a single task/IT context, or that they are protected against concurrent access ?</t>
    </r>
  </si>
  <si>
    <r>
      <rPr>
        <b/>
        <sz val="10"/>
        <rFont val="Arial"/>
        <family val="2"/>
      </rPr>
      <t>Critical sections</t>
    </r>
    <r>
      <rPr>
        <sz val="10"/>
        <rFont val="Arial"/>
        <family val="2"/>
      </rPr>
      <t xml:space="preserve">
Is it verified that critical sections are opened and closed in the same function call context ? If not, is the strategy justified ?</t>
    </r>
  </si>
  <si>
    <r>
      <rPr>
        <b/>
        <sz val="10"/>
        <rFont val="Arial"/>
        <family val="2"/>
      </rPr>
      <t>Stack</t>
    </r>
    <r>
      <rPr>
        <sz val="10"/>
        <rFont val="Arial"/>
        <family val="2"/>
      </rPr>
      <t xml:space="preserve">
Are the impacts on stack size been considered ?</t>
    </r>
  </si>
  <si>
    <r>
      <rPr>
        <b/>
        <sz val="10"/>
        <rFont val="Arial"/>
        <family val="2"/>
      </rPr>
      <t>Critical code</t>
    </r>
    <r>
      <rPr>
        <sz val="10"/>
        <rFont val="Arial"/>
        <family val="2"/>
      </rPr>
      <t xml:space="preserve">
Are the critical code sections optimized regarding CPU load budget (for example jitter that can be introduced by interrupt routine)?</t>
    </r>
  </si>
  <si>
    <r>
      <rPr>
        <b/>
        <sz val="10"/>
        <rFont val="Arial"/>
        <family val="2"/>
      </rPr>
      <t xml:space="preserve">Shared data </t>
    </r>
    <r>
      <rPr>
        <sz val="10"/>
        <rFont val="Arial"/>
        <family val="2"/>
      </rPr>
      <t xml:space="preserve">
Is the use of semaphores or locks to access shared data justified?</t>
    </r>
  </si>
  <si>
    <t>ê</t>
  </si>
  <si>
    <r>
      <t>If one</t>
    </r>
    <r>
      <rPr>
        <b/>
        <sz val="12"/>
        <color rgb="FFFF0000"/>
        <rFont val="Times New Roman"/>
        <family val="1"/>
      </rPr>
      <t xml:space="preserve"> person cumulates</t>
    </r>
    <r>
      <rPr>
        <sz val="12"/>
        <color rgb="FFFF0000"/>
        <rFont val="Times New Roman"/>
        <family val="1"/>
      </rPr>
      <t xml:space="preserve"> the roles of the </t>
    </r>
    <r>
      <rPr>
        <b/>
        <sz val="12"/>
        <color rgb="FFFF0000"/>
        <rFont val="Times New Roman"/>
        <family val="1"/>
      </rPr>
      <t>author and reviewer</t>
    </r>
    <r>
      <rPr>
        <sz val="12"/>
        <color rgb="FFFF0000"/>
        <rFont val="Times New Roman"/>
        <family val="1"/>
      </rPr>
      <t>, then he</t>
    </r>
    <r>
      <rPr>
        <b/>
        <sz val="12"/>
        <color rgb="FFFF0000"/>
        <rFont val="Times New Roman"/>
        <family val="1"/>
      </rPr>
      <t xml:space="preserve"> cannot review his own work</t>
    </r>
    <r>
      <rPr>
        <sz val="12"/>
        <color rgb="FFFF0000"/>
        <rFont val="Times New Roman"/>
        <family val="1"/>
      </rPr>
      <t>.
In this particular case, he has to delegate to his manager or if not possible to another person with the same role</t>
    </r>
  </si>
  <si>
    <t>&lt;Please describe this sheet&gt;
Usually, the checklists are automatically generated by Question Library (TEM486 - Master questions library.xlsm)</t>
  </si>
  <si>
    <t>Checklists sheet name list</t>
  </si>
  <si>
    <t>All checklists</t>
  </si>
  <si>
    <t>Selected checklist</t>
  </si>
  <si>
    <t>SW-R-COD-0587</t>
  </si>
  <si>
    <t>SW-R-COD-0588</t>
  </si>
  <si>
    <t>SW-R-COD-0782</t>
  </si>
  <si>
    <t>SW-R-COD-0783</t>
  </si>
  <si>
    <t>SW-R-COD-0784</t>
  </si>
  <si>
    <r>
      <rPr>
        <b/>
        <sz val="10"/>
        <rFont val="Arial"/>
        <family val="2"/>
      </rPr>
      <t>Design</t>
    </r>
    <r>
      <rPr>
        <sz val="10"/>
        <rFont val="Arial"/>
        <family val="2"/>
      </rPr>
      <t xml:space="preserve">
Is the SW Code compliant with design (naming, functions, variables, logic, …) ?</t>
    </r>
  </si>
  <si>
    <t>SW-R-COD-0995</t>
  </si>
  <si>
    <r>
      <rPr>
        <b/>
        <sz val="10"/>
        <rFont val="Arial"/>
        <family val="2"/>
      </rPr>
      <t>Operations overflows</t>
    </r>
    <r>
      <rPr>
        <sz val="10"/>
        <rFont val="Arial"/>
        <family val="2"/>
      </rPr>
      <t xml:space="preserve">
Does the SW code ensures that no overflow can occur while performing any + or * operation, either by design, either by a check performed before the operation ?
</t>
    </r>
    <r>
      <rPr>
        <i/>
        <sz val="10"/>
        <rFont val="Arial"/>
        <family val="2"/>
      </rPr>
      <t>COVERS: DES_015 from SW03OTH003 document</t>
    </r>
  </si>
  <si>
    <t>SW-R-COD-0996</t>
  </si>
  <si>
    <t>SW-R-COD-0785</t>
  </si>
  <si>
    <t>SW-R-COD-0786</t>
  </si>
  <si>
    <t>SW-R-COD-0787</t>
  </si>
  <si>
    <t>SW-R-COD-0788</t>
  </si>
  <si>
    <t>SW-R-COD-0789</t>
  </si>
  <si>
    <t>SW-R-COD-0790</t>
  </si>
  <si>
    <t>SW-R-COD-0791</t>
  </si>
  <si>
    <t>SW-R-COD-0792</t>
  </si>
  <si>
    <t>SW-R-COD-0916</t>
  </si>
  <si>
    <t>SW-R-COD-0917</t>
  </si>
  <si>
    <t>SW-R-CM-0396</t>
  </si>
  <si>
    <t>SW-R-PM-0397</t>
  </si>
  <si>
    <t>SW-R-PM-0398</t>
  </si>
  <si>
    <t>SW-R-CM-0399</t>
  </si>
  <si>
    <t>SW-R-REV-0400</t>
  </si>
  <si>
    <t>SW-R-REV-0401</t>
  </si>
  <si>
    <t>XX-X-ALL-0029</t>
  </si>
  <si>
    <t>Process Improvement team</t>
  </si>
  <si>
    <t>Light clean-up</t>
  </si>
  <si>
    <t>Full review of all review checklists</t>
  </si>
  <si>
    <t>Bug fix : the drop down menu for the review checklist evaluation has been fixed</t>
  </si>
  <si>
    <t>QT Seccond level review sheet - for peer to peer review for qualification tests
QT Import for PTC - support sheet to put all tests from PTC and information like revision...
QT First level review - used for first level of the qualification tests review</t>
  </si>
  <si>
    <t>Review and update safety question for the following - all the question from safety point of view are now in the master library :
 o System Architecture
 o Software Architecture
 o Software Detail Design
 o Code Checklist
 o Integration Test Specification
 o Unit test specification
 o Move the MDB Checklist to Master Library
 o Delete and open a user echo task for some question from ITSR:https://autoliv.userecho.com/en/communities/1/topics/150-update-integration-test-strategy
Add that a person cannot review its own documents</t>
  </si>
  <si>
    <t>In FrontPage, add a drop down menu to select the wished checklist</t>
  </si>
  <si>
    <t>Fix 2 minor questions mistakes (discipline issue and spelling)
Add SW-R-COD_0995 and SW-R-COD_0996 in regards to over/under flow detection</t>
  </si>
  <si>
    <t>AEM_PROCESS_1.20.01</t>
  </si>
  <si>
    <t>AEM_PROCESS_1.03.00</t>
  </si>
  <si>
    <t>AEM_PROCESS_1.11.00</t>
  </si>
  <si>
    <t>AEM_PROCESS_1.12.00</t>
  </si>
  <si>
    <t>AEM_PROCESS_1.13.00</t>
  </si>
  <si>
    <t>AEM_PROCESS_1.14.00</t>
  </si>
  <si>
    <t>AEM_PROCESS_1.16.00</t>
  </si>
  <si>
    <t>A</t>
  </si>
  <si>
    <r>
      <t xml:space="preserve">The following rules shall be respected to garantee tuieuiehe </t>
    </r>
    <r>
      <rPr>
        <sz val="10"/>
        <color indexed="17"/>
        <rFont val="Arial"/>
        <family val="2"/>
      </rPr>
      <t xml:space="preserve">Synthesis Charts </t>
    </r>
    <r>
      <rPr>
        <sz val="10"/>
        <rFont val="Arial"/>
        <family val="2"/>
      </rPr>
      <t>accuracy:</t>
    </r>
  </si>
  <si>
    <t>End of the table</t>
  </si>
  <si>
    <t>XX-R-REV-0579</t>
  </si>
  <si>
    <r>
      <rPr>
        <b/>
        <sz val="10"/>
        <rFont val="Arial"/>
        <family val="2"/>
      </rPr>
      <t>Consistency</t>
    </r>
    <r>
      <rPr>
        <sz val="10"/>
        <rFont val="Arial"/>
        <family val="2"/>
      </rPr>
      <t xml:space="preserve">
Is consistency of the traceability checked ?</t>
    </r>
  </si>
  <si>
    <t>SW-R-DSG-0767</t>
  </si>
  <si>
    <t>SW-R-DSG-0768</t>
  </si>
  <si>
    <t>SW-R-DSG-0769</t>
  </si>
  <si>
    <r>
      <rPr>
        <b/>
        <sz val="10"/>
        <rFont val="Arial"/>
        <family val="2"/>
      </rPr>
      <t>Interfaces</t>
    </r>
    <r>
      <rPr>
        <sz val="10"/>
        <rFont val="Arial"/>
        <family val="2"/>
      </rPr>
      <t xml:space="preserve">
Does the SW AAU design conform to the SW architecture (interfaces, naming, constraints)?</t>
    </r>
  </si>
  <si>
    <t>SW-R-DSG-0770</t>
  </si>
  <si>
    <t>SW-R-DSG-0771</t>
  </si>
  <si>
    <t>SW-R-DSG-0772</t>
  </si>
  <si>
    <t>SW-R-DSG-0773</t>
  </si>
  <si>
    <t>SW-R-DSG-0774</t>
  </si>
  <si>
    <t>SW-R-DSG-0775</t>
  </si>
  <si>
    <t>SW-R-DSG-0776</t>
  </si>
  <si>
    <r>
      <rPr>
        <b/>
        <sz val="10"/>
        <rFont val="Arial"/>
        <family val="2"/>
      </rPr>
      <t>Data structure</t>
    </r>
    <r>
      <rPr>
        <sz val="10"/>
        <rFont val="Arial"/>
        <family val="2"/>
      </rPr>
      <t xml:space="preserve">
Is the data structure organization clearly defined in the AAU design including the memory location (ROM, RAM, RAM_NO_INIT, NVM ...)?</t>
    </r>
  </si>
  <si>
    <t>SW-R-DSG-0777</t>
  </si>
  <si>
    <t>SW-R-DSG-0778</t>
  </si>
  <si>
    <t>SW-R-DSG-0779</t>
  </si>
  <si>
    <t>SW-R-DSG-0780</t>
  </si>
  <si>
    <t>SW-R-DSG-0781</t>
  </si>
  <si>
    <r>
      <rPr>
        <b/>
        <sz val="10"/>
        <rFont val="Arial"/>
        <family val="2"/>
      </rPr>
      <t>Dynamic behavior</t>
    </r>
    <r>
      <rPr>
        <sz val="10"/>
        <rFont val="Arial"/>
        <family val="2"/>
      </rPr>
      <t xml:space="preserve">
Is the behavior of the AAU properly described in each System phase (start-up, shutdown, limp mode)?</t>
    </r>
  </si>
  <si>
    <t>NA: There is no loop in .h file</t>
  </si>
  <si>
    <t>No additional questions</t>
  </si>
  <si>
    <t>Ioan Repede</t>
  </si>
  <si>
    <t>Review criteria for
Unit Test specifications and report (UTSR)</t>
  </si>
  <si>
    <t>Tests preparation</t>
  </si>
  <si>
    <t>SW-R-XX-0592</t>
  </si>
  <si>
    <r>
      <rPr>
        <b/>
        <sz val="10"/>
        <rFont val="Arial"/>
        <family val="2"/>
      </rPr>
      <t xml:space="preserve">Purpose
</t>
    </r>
    <r>
      <rPr>
        <sz val="10"/>
        <rFont val="Arial"/>
        <family val="2"/>
      </rPr>
      <t>For each test, is the purpose clearly stated ?</t>
    </r>
  </si>
  <si>
    <t>SW-R-XX-0586</t>
  </si>
  <si>
    <r>
      <rPr>
        <b/>
        <sz val="10"/>
        <rFont val="Arial"/>
        <family val="2"/>
      </rPr>
      <t xml:space="preserve">Specification
</t>
    </r>
    <r>
      <rPr>
        <sz val="10"/>
        <rFont val="Arial"/>
        <family val="2"/>
      </rPr>
      <t>Is the test specification created according to the test strategy defined in the plan (maybe we have to use equivalence partitioning etc).</t>
    </r>
  </si>
  <si>
    <t>For UT and IT : look at the strategy chapter in SDP
For QT : check the QP</t>
  </si>
  <si>
    <t>SW-R-XX-0593</t>
  </si>
  <si>
    <r>
      <rPr>
        <b/>
        <sz val="10"/>
        <rFont val="Arial"/>
        <family val="2"/>
      </rPr>
      <t xml:space="preserve">Tests vs purpose
</t>
    </r>
    <r>
      <rPr>
        <sz val="10"/>
        <rFont val="Arial"/>
        <family val="2"/>
      </rPr>
      <t>For each test, are all test steps aligned with the test purpose?</t>
    </r>
  </si>
  <si>
    <t>SW-R-XX-0583</t>
  </si>
  <si>
    <r>
      <rPr>
        <b/>
        <sz val="10"/>
        <rFont val="Arial"/>
        <family val="2"/>
      </rPr>
      <t xml:space="preserve">Test id
</t>
    </r>
    <r>
      <rPr>
        <sz val="10"/>
        <rFont val="Arial"/>
        <family val="2"/>
      </rPr>
      <t>Is each test uniquely identified?</t>
    </r>
  </si>
  <si>
    <t>SW-R-XX-0611</t>
  </si>
  <si>
    <r>
      <rPr>
        <b/>
        <sz val="10"/>
        <rFont val="Arial"/>
        <family val="2"/>
      </rPr>
      <t xml:space="preserve">Equipment
</t>
    </r>
    <r>
      <rPr>
        <sz val="10"/>
        <rFont val="Arial"/>
        <family val="2"/>
      </rPr>
      <t>Are all equipement listed individually for every test bench with assigned owner?</t>
    </r>
  </si>
  <si>
    <t>Tests report</t>
  </si>
  <si>
    <t>SW-R-XX-0595</t>
  </si>
  <si>
    <r>
      <rPr>
        <b/>
        <sz val="10"/>
        <rFont val="Arial"/>
        <family val="2"/>
      </rPr>
      <t xml:space="preserve">Tests logs
</t>
    </r>
    <r>
      <rPr>
        <sz val="10"/>
        <rFont val="Arial"/>
        <family val="2"/>
      </rPr>
      <t>The test logs :
- are available
- includes the test id
- are archived following CM rules</t>
    </r>
  </si>
  <si>
    <t>NA: no possible logs provided by TESSY</t>
  </si>
  <si>
    <t>XX-R-XX-0596</t>
  </si>
  <si>
    <r>
      <rPr>
        <b/>
        <sz val="10"/>
        <rFont val="Arial"/>
        <family val="2"/>
      </rPr>
      <t xml:space="preserve">Tests report
</t>
    </r>
    <r>
      <rPr>
        <sz val="10"/>
        <rFont val="Arial"/>
        <family val="2"/>
      </rPr>
      <t>A summary of the tests is :
- available
- archived
- communicated to the stakeholders</t>
    </r>
  </si>
  <si>
    <t>XX-R-XX-0597</t>
  </si>
  <si>
    <r>
      <rPr>
        <b/>
        <sz val="10"/>
        <rFont val="Arial"/>
        <family val="2"/>
      </rPr>
      <t xml:space="preserve">Test coverage
</t>
    </r>
    <r>
      <rPr>
        <sz val="10"/>
        <rFont val="Arial"/>
        <family val="2"/>
      </rPr>
      <t>A traceability between requirements and test results show the completness of the test according to test plan (requirements coveages, issues to tests, ...)</t>
    </r>
  </si>
  <si>
    <t>XX-R-XX-0598</t>
  </si>
  <si>
    <r>
      <rPr>
        <b/>
        <sz val="10"/>
        <rFont val="Arial"/>
        <family val="2"/>
      </rPr>
      <t xml:space="preserve">Issue for fail tests
</t>
    </r>
    <r>
      <rPr>
        <sz val="10"/>
        <rFont val="Arial"/>
        <family val="2"/>
      </rPr>
      <t>If not fixed now : do all failed tests have an associated Issue number ?</t>
    </r>
  </si>
  <si>
    <t>Traceability</t>
  </si>
  <si>
    <t>SW-R-UV-0796</t>
  </si>
  <si>
    <r>
      <rPr>
        <b/>
        <sz val="10"/>
        <rFont val="Arial"/>
        <family val="2"/>
      </rPr>
      <t>Traceability</t>
    </r>
    <r>
      <rPr>
        <sz val="10"/>
        <rFont val="Arial"/>
        <family val="2"/>
      </rPr>
      <t xml:space="preserve">
Are all software design requirements covered by the SW unit test cases according with the plan?</t>
    </r>
  </si>
  <si>
    <t>SW-R-UV-0797</t>
  </si>
  <si>
    <r>
      <rPr>
        <b/>
        <sz val="10"/>
        <rFont val="Arial"/>
        <family val="2"/>
      </rPr>
      <t>Traceability</t>
    </r>
    <r>
      <rPr>
        <sz val="10"/>
        <rFont val="Arial"/>
        <family val="2"/>
      </rPr>
      <t xml:space="preserve">
Do the software unit test cases demonstrate:
               - 100% test coverage,
               - mapping to the requirements,
               - expected results?
(we could state that there is not any unintended functionality)</t>
    </r>
  </si>
  <si>
    <t>SW-R-UV-0798</t>
  </si>
  <si>
    <r>
      <rPr>
        <b/>
        <sz val="10"/>
        <rFont val="Arial"/>
        <family val="2"/>
      </rPr>
      <t>Minimum stabilization time</t>
    </r>
    <r>
      <rPr>
        <sz val="10"/>
        <rFont val="Arial"/>
        <family val="2"/>
      </rPr>
      <t xml:space="preserve">
Is the minimum stabilization time required in HSIS tested by unit test cases?
(at AAU level "in product environment, on target board")</t>
    </r>
  </si>
  <si>
    <t>NA: No HIL present</t>
  </si>
  <si>
    <t>SW-R-UV-0799</t>
  </si>
  <si>
    <r>
      <rPr>
        <b/>
        <sz val="10"/>
        <rFont val="Arial"/>
        <family val="2"/>
      </rPr>
      <t>RAM, ROM consumption</t>
    </r>
    <r>
      <rPr>
        <sz val="10"/>
        <rFont val="Arial"/>
        <family val="2"/>
      </rPr>
      <t xml:space="preserve">
Is the RAM and ROM consumption measured and conform to the budgets?
(at AAU level "in product environment, on target board")</t>
    </r>
  </si>
  <si>
    <t>SW-R-UV-0800</t>
  </si>
  <si>
    <r>
      <rPr>
        <b/>
        <sz val="10"/>
        <rFont val="Arial"/>
        <family val="2"/>
      </rPr>
      <t>Shared variables</t>
    </r>
    <r>
      <rPr>
        <sz val="10"/>
        <rFont val="Arial"/>
        <family val="2"/>
      </rPr>
      <t xml:space="preserve">
Are shared variables (existing in AAU scope only) and critical sections tested?
(at AAU level "in product environment, on target board")</t>
    </r>
  </si>
  <si>
    <t>SW-R-UV-0801</t>
  </si>
  <si>
    <r>
      <rPr>
        <b/>
        <sz val="10"/>
        <rFont val="Arial"/>
        <family val="2"/>
      </rPr>
      <t>Out of bounds</t>
    </r>
    <r>
      <rPr>
        <sz val="10"/>
        <rFont val="Arial"/>
        <family val="2"/>
      </rPr>
      <t xml:space="preserve">
Are out of bounds access (array, pointer) tested?</t>
    </r>
  </si>
  <si>
    <t>SW-R-UV-0802</t>
  </si>
  <si>
    <r>
      <rPr>
        <b/>
        <sz val="10"/>
        <rFont val="Arial"/>
        <family val="2"/>
      </rPr>
      <t>Alternate escape mechanism</t>
    </r>
    <r>
      <rPr>
        <sz val="10"/>
        <rFont val="Arial"/>
        <family val="2"/>
      </rPr>
      <t xml:space="preserve">
Is an alternate escape mechanism other than the watchdog timer reset tested for all loops waiting an event?
(at AAU level "in product environment, on target board")</t>
    </r>
  </si>
  <si>
    <t>SW-R-UV-0803</t>
  </si>
  <si>
    <r>
      <rPr>
        <b/>
        <sz val="10"/>
        <rFont val="Arial"/>
        <family val="2"/>
      </rPr>
      <t>Structural coverage</t>
    </r>
    <r>
      <rPr>
        <sz val="10"/>
        <rFont val="Arial"/>
        <family val="2"/>
      </rPr>
      <t xml:space="preserve">
Are the structural coverage targets respected?</t>
    </r>
  </si>
  <si>
    <t>PRWB</t>
  </si>
  <si>
    <t>GBr</t>
  </si>
  <si>
    <t>EIM - Peer Review Workbook.xlsm</t>
  </si>
  <si>
    <t>EIM.h</t>
  </si>
  <si>
    <t>Review coverd by version 1.5</t>
  </si>
  <si>
    <t>Alexandru Nicoara</t>
  </si>
  <si>
    <t>Rename the defines according to the coding guideleins:
&lt;DATA_TYPE&gt;_&lt;MODULE_NAME&gt;_NAME</t>
  </si>
  <si>
    <t>Delete declaration of exported functions which are used localy or generated by the RTE.</t>
  </si>
  <si>
    <t>Move all local functions like macros to the specific source file</t>
  </si>
  <si>
    <t>Move all exported variables which are used as locals to the specific source file</t>
  </si>
  <si>
    <t>Move all local defines to the specific source file</t>
  </si>
  <si>
    <t>NA: Static analysis not aplicable to headers</t>
  </si>
  <si>
    <t>NA: Compiler warnings not aplicable to headers</t>
  </si>
  <si>
    <r>
      <rPr>
        <b/>
        <sz val="10"/>
        <rFont val="Arial"/>
        <family val="2"/>
      </rPr>
      <t>Operations underflows</t>
    </r>
    <r>
      <rPr>
        <sz val="10"/>
        <rFont val="Arial"/>
        <family val="2"/>
      </rPr>
      <t xml:space="preserve">
Does the SW code ensures that no underflow can occur while performing any - operation ? Either by using signed data or adding a check before if  unsigned data used ?</t>
    </r>
  </si>
  <si>
    <t>04.12.2023</t>
  </si>
  <si>
    <t>IRe</t>
  </si>
  <si>
    <t>EIM.c</t>
  </si>
  <si>
    <t>Rename local variables according to the coding guideline</t>
  </si>
  <si>
    <t>Declare the function EIM_Init as local.</t>
  </si>
  <si>
    <t>In function EIM_ManageAecStatus infinite while need to be analyzed</t>
  </si>
  <si>
    <t>Reset timers variables if the functionality of EIM_ManageAecStatus is not used (if((KU32_EIM_INIT_STATUS != EIM_u32ChangeEventStatus[u8Idx])…)</t>
  </si>
  <si>
    <t>EIM.h - v1.5</t>
  </si>
  <si>
    <t>EIM.c - v1.5</t>
  </si>
  <si>
    <t>Set the mask KU32_EIM_QUALIFICATION_TIME_MAX_BITS for extracting 16 bits (0xFFFF)</t>
  </si>
  <si>
    <t>Change the function like macro KU32_EIM_MASK_QUALIFICATION_TIME to return 16bit variable</t>
  </si>
  <si>
    <t>Define timer variables as 16bit variables</t>
  </si>
  <si>
    <t>Set the firs argument of the If condition to be the constant data.</t>
  </si>
  <si>
    <t>1.3.1.2</t>
  </si>
  <si>
    <t>Gabriel Brasoveanu</t>
  </si>
  <si>
    <t>No findings</t>
  </si>
  <si>
    <t>Code review between 1.1 and 1.2 versions is covered by this version (version changed due to new versioning in PTC)</t>
  </si>
  <si>
    <t>Code review between 1.5 and 1.3.1.2 versions is covered by this version (version changed due to new versioning in PTC)</t>
  </si>
  <si>
    <t>eim_u32TimeCounter and eim_u32CounterAfterCycle variables wrong initialization</t>
  </si>
  <si>
    <t>EIM.h - v1.3.1.2</t>
  </si>
  <si>
    <t>EIM.c - v1.2</t>
  </si>
  <si>
    <t>28.06.2023</t>
  </si>
  <si>
    <t>Defines renamed</t>
  </si>
  <si>
    <t>Defines moved</t>
  </si>
  <si>
    <t>Variables moved</t>
  </si>
  <si>
    <t>Fixed.</t>
  </si>
  <si>
    <t>While condition set correctly because in that point a warm reset is necessary.</t>
  </si>
  <si>
    <t>Mihai Motoc</t>
  </si>
  <si>
    <t>No findings between 1.2 and 1.4 versions</t>
  </si>
  <si>
    <t>1.3.1.3</t>
  </si>
  <si>
    <t>EIM.h - v1.3.1.3</t>
  </si>
  <si>
    <t>EIM.c - v1.4</t>
  </si>
  <si>
    <t>17.07.2023</t>
  </si>
  <si>
    <t>eCS_SW_Arhitecture.eapx - v1.3.1.1.1.24</t>
  </si>
  <si>
    <t>LAR</t>
  </si>
  <si>
    <t>DDU</t>
  </si>
  <si>
    <t>1.3.1.1.1.24</t>
  </si>
  <si>
    <t>eCS_SW_Arhitecture.eapx</t>
  </si>
  <si>
    <t>Lucian Ardeleanu</t>
  </si>
  <si>
    <t>eCS_MCC.EIM.tmb - v1.2</t>
  </si>
  <si>
    <t>eCS_MCC.EIM.tmb - v1.1</t>
  </si>
  <si>
    <t>eCS_MCC.EIM.tmb</t>
  </si>
  <si>
    <t>Cornel Albu</t>
  </si>
  <si>
    <t>Alexandru Nastase</t>
  </si>
  <si>
    <t>VCH</t>
  </si>
  <si>
    <t>CAL</t>
  </si>
  <si>
    <t>MMO</t>
  </si>
  <si>
    <t>1.3.1.1.1.25</t>
  </si>
  <si>
    <t>1.3.1.1.1.26</t>
  </si>
  <si>
    <t>eCS_SW_Arhitecture.eapx - v1.3.1.1.1.25</t>
  </si>
  <si>
    <t>eCS_SW_Arhitecture.eapx - v1.3.1.1.1.26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</si>
</sst>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
  </numFmts>
  <fonts count="109">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b/>
      <sz val="10"/>
      <name val="Arial"/>
      <family val="2"/>
    </font>
    <font>
      <sz val="8"/>
      <name val="Arial"/>
      <family val="2"/>
    </font>
    <font>
      <b/>
      <sz val="12"/>
      <name val="Arial"/>
      <family val="2"/>
    </font>
    <font>
      <sz val="10"/>
      <color indexed="12"/>
      <name val="Arial"/>
      <family val="2"/>
    </font>
    <font>
      <i/>
      <sz val="8"/>
      <name val="Arial"/>
      <family val="2"/>
    </font>
    <font>
      <sz val="10"/>
      <name val="Arial"/>
      <family val="2"/>
    </font>
    <font>
      <sz val="10"/>
      <name val="Comic Sans MS"/>
      <family val="4"/>
    </font>
    <font>
      <sz val="12"/>
      <name val="Comic Sans MS"/>
      <family val="4"/>
    </font>
    <font>
      <b/>
      <i/>
      <sz val="14"/>
      <name val="Arial"/>
      <family val="2"/>
    </font>
    <font>
      <b/>
      <sz val="11"/>
      <name val="Arial"/>
      <family val="2"/>
    </font>
    <font>
      <b/>
      <sz val="14"/>
      <color indexed="81"/>
      <name val="Tahoma"/>
      <family val="2"/>
    </font>
    <font>
      <b/>
      <sz val="12"/>
      <color indexed="81"/>
      <name val="Tahoma"/>
      <family val="2"/>
    </font>
    <font>
      <sz val="12"/>
      <color indexed="81"/>
      <name val="Tahoma"/>
      <family val="2"/>
    </font>
    <font>
      <sz val="8"/>
      <color indexed="81"/>
      <name val="Tahoma"/>
      <family val="2"/>
    </font>
    <font>
      <b/>
      <sz val="12"/>
      <color indexed="10"/>
      <name val="Tahoma"/>
      <family val="2"/>
    </font>
    <font>
      <b/>
      <sz val="14"/>
      <color indexed="10"/>
      <name val="Tahoma"/>
      <family val="2"/>
    </font>
    <font>
      <b/>
      <sz val="12"/>
      <color indexed="56"/>
      <name val="Tahoma"/>
      <family val="2"/>
    </font>
    <font>
      <b/>
      <sz val="14"/>
      <color indexed="18"/>
      <name val="Tahoma"/>
      <family val="2"/>
    </font>
    <font>
      <b/>
      <sz val="10"/>
      <color indexed="9"/>
      <name val="Arial"/>
      <family val="2"/>
    </font>
    <font>
      <sz val="9"/>
      <color indexed="81"/>
      <name val="Tahoma"/>
      <family val="2"/>
    </font>
    <font>
      <b/>
      <sz val="9"/>
      <color indexed="81"/>
      <name val="Tahoma"/>
      <family val="2"/>
    </font>
    <font>
      <b/>
      <sz val="14"/>
      <name val="Arial"/>
      <family val="2"/>
    </font>
    <font>
      <sz val="10"/>
      <color indexed="17"/>
      <name val="Arial"/>
      <family val="2"/>
    </font>
    <font>
      <sz val="12"/>
      <name val="Arial"/>
      <family val="2"/>
    </font>
    <font>
      <sz val="10"/>
      <name val="Arial"/>
      <family val="2"/>
      <charset val="238"/>
    </font>
    <font>
      <b/>
      <sz val="16"/>
      <color indexed="81"/>
      <name val="Tahoma"/>
      <family val="2"/>
    </font>
    <font>
      <b/>
      <sz val="16"/>
      <color indexed="10"/>
      <name val="Tahoma"/>
      <family val="2"/>
    </font>
    <font>
      <i/>
      <sz val="10"/>
      <name val="Arial"/>
      <family val="2"/>
    </font>
    <font>
      <sz val="11"/>
      <color theme="1"/>
      <name val="Calibri"/>
      <family val="2"/>
      <scheme val="minor"/>
    </font>
    <font>
      <b/>
      <sz val="11"/>
      <color rgb="FFFA7D00"/>
      <name val="Calibri"/>
      <family val="2"/>
      <scheme val="minor"/>
    </font>
    <font>
      <u/>
      <sz val="10"/>
      <color theme="10"/>
      <name val="Arial"/>
      <family val="2"/>
    </font>
    <font>
      <b/>
      <sz val="11"/>
      <color rgb="FF3F3F3F"/>
      <name val="Calibri"/>
      <family val="2"/>
      <scheme val="minor"/>
    </font>
    <font>
      <sz val="10"/>
      <color theme="0"/>
      <name val="Arial"/>
      <family val="2"/>
    </font>
    <font>
      <sz val="11"/>
      <color rgb="FF3F3F3F"/>
      <name val="Calibri"/>
      <family val="2"/>
      <scheme val="minor"/>
    </font>
    <font>
      <i/>
      <sz val="8"/>
      <color rgb="FF000080"/>
      <name val="Arial"/>
      <family val="2"/>
    </font>
    <font>
      <b/>
      <i/>
      <sz val="10"/>
      <color rgb="FF000080"/>
      <name val="Arial"/>
      <family val="2"/>
    </font>
    <font>
      <b/>
      <i/>
      <sz val="10"/>
      <name val="Arial"/>
      <family val="2"/>
    </font>
    <font>
      <b/>
      <sz val="8"/>
      <color theme="0"/>
      <name val="Arial"/>
      <family val="2"/>
    </font>
    <font>
      <sz val="10"/>
      <color rgb="FF000080"/>
      <name val="Arial"/>
      <family val="2"/>
    </font>
    <font>
      <sz val="8"/>
      <color rgb="FF7030A0"/>
      <name val="Arial"/>
      <family val="2"/>
    </font>
    <font>
      <b/>
      <sz val="8"/>
      <name val="Arial"/>
      <family val="2"/>
    </font>
    <font>
      <sz val="10"/>
      <color rgb="FFC00000"/>
      <name val="Arial"/>
      <family val="2"/>
    </font>
    <font>
      <b/>
      <sz val="10"/>
      <color rgb="FFC00000"/>
      <name val="Arial"/>
      <family val="2"/>
    </font>
    <font>
      <b/>
      <sz val="8"/>
      <color theme="5"/>
      <name val="Arial"/>
      <family val="2"/>
    </font>
    <font>
      <sz val="10"/>
      <color rgb="FF7030A0"/>
      <name val="Arial"/>
      <family val="2"/>
    </font>
    <font>
      <sz val="8"/>
      <color theme="5"/>
      <name val="Arial"/>
      <family val="2"/>
    </font>
    <font>
      <b/>
      <i/>
      <sz val="20"/>
      <name val="Arial"/>
      <family val="2"/>
    </font>
    <font>
      <i/>
      <sz val="8"/>
      <color rgb="FF0070C0"/>
      <name val="Arial"/>
      <family val="2"/>
    </font>
    <font>
      <b/>
      <sz val="20"/>
      <color rgb="FF000080"/>
      <name val="Arial"/>
      <family val="2"/>
    </font>
    <font>
      <b/>
      <i/>
      <sz val="16"/>
      <name val="Arial"/>
      <family val="2"/>
    </font>
    <font>
      <i/>
      <sz val="8"/>
      <name val="Times New Roman"/>
      <family val="1"/>
    </font>
    <font>
      <i/>
      <sz val="14"/>
      <name val="Arial"/>
      <family val="2"/>
    </font>
    <font>
      <b/>
      <sz val="10"/>
      <color theme="0"/>
      <name val="Arial"/>
      <family val="2"/>
    </font>
    <font>
      <sz val="9"/>
      <name val="宋体"/>
      <family val="3"/>
      <charset val="134"/>
    </font>
    <font>
      <sz val="10"/>
      <color rgb="FF00B050"/>
      <name val="Arial"/>
      <family val="2"/>
    </font>
    <font>
      <b/>
      <sz val="10"/>
      <color rgb="FF00B050"/>
      <name val="Arial"/>
      <family val="2"/>
    </font>
    <font>
      <sz val="11"/>
      <color rgb="FF3F3F76"/>
      <name val="Calibri"/>
      <family val="2"/>
      <scheme val="minor"/>
    </font>
    <font>
      <sz val="11"/>
      <color theme="0"/>
      <name val="Calibri"/>
      <family val="2"/>
      <scheme val="minor"/>
    </font>
    <font>
      <b/>
      <sz val="12"/>
      <color indexed="63"/>
      <name val="Arial"/>
      <family val="2"/>
    </font>
    <font>
      <b/>
      <sz val="16"/>
      <color theme="0"/>
      <name val="Calibri"/>
      <family val="2"/>
      <scheme val="minor"/>
    </font>
    <font>
      <b/>
      <sz val="14"/>
      <color theme="1"/>
      <name val="Calibri"/>
      <family val="2"/>
      <scheme val="minor"/>
    </font>
    <font>
      <sz val="14"/>
      <color theme="1"/>
      <name val="Calibri"/>
      <family val="2"/>
      <scheme val="minor"/>
    </font>
    <font>
      <sz val="16"/>
      <color theme="0"/>
      <name val="Calibri"/>
      <family val="2"/>
      <scheme val="minor"/>
    </font>
    <font>
      <b/>
      <sz val="9"/>
      <color indexed="36"/>
      <name val="Tahoma"/>
      <family val="2"/>
    </font>
    <font>
      <b/>
      <sz val="18"/>
      <color theme="0"/>
      <name val="Arial"/>
      <family val="2"/>
    </font>
    <font>
      <b/>
      <sz val="11"/>
      <color theme="0"/>
      <name val="Arial"/>
      <family val="2"/>
    </font>
    <font>
      <b/>
      <sz val="9"/>
      <color theme="0"/>
      <name val="Arial"/>
      <family val="2"/>
    </font>
    <font>
      <sz val="8"/>
      <color theme="0" tint="-0.499984740745262"/>
      <name val="Arial"/>
      <family val="2"/>
    </font>
    <font>
      <b/>
      <sz val="14"/>
      <color theme="0"/>
      <name val="Arial"/>
      <family val="2"/>
    </font>
    <font>
      <sz val="10"/>
      <color rgb="FF000000"/>
      <name val="Arial"/>
      <family val="2"/>
    </font>
    <font>
      <b/>
      <sz val="12"/>
      <name val="Comic Sans MS"/>
      <family val="4"/>
    </font>
    <font>
      <b/>
      <sz val="10"/>
      <name val="Comic Sans MS"/>
      <family val="4"/>
    </font>
    <font>
      <sz val="10"/>
      <color indexed="18"/>
      <name val="Comic Sans MS"/>
      <family val="4"/>
    </font>
    <font>
      <b/>
      <sz val="28"/>
      <color rgb="FFFF0000"/>
      <name val="Webdings"/>
      <family val="1"/>
      <charset val="2"/>
    </font>
    <font>
      <b/>
      <sz val="12"/>
      <color rgb="FFFF0000"/>
      <name val="Times New Roman"/>
      <family val="1"/>
    </font>
    <font>
      <sz val="12"/>
      <color rgb="FFFF0000"/>
      <name val="Times New Roman"/>
      <family val="1"/>
    </font>
    <font>
      <sz val="18"/>
      <color theme="3"/>
      <name val="Cambria"/>
      <family val="2"/>
      <scheme val="major"/>
    </font>
    <font>
      <b/>
      <sz val="12"/>
      <color rgb="FFFA7D00"/>
      <name val="Calibri"/>
      <family val="2"/>
      <scheme val="minor"/>
    </font>
    <font>
      <b/>
      <sz val="5"/>
      <color theme="0"/>
      <name val="Arial"/>
      <family val="2"/>
    </font>
    <font>
      <sz val="11"/>
      <color rgb="FF000000"/>
      <name val="Calibri"/>
      <family val="2"/>
    </font>
  </fonts>
  <fills count="37">
    <fill>
      <patternFill patternType="none"/>
    </fill>
    <fill>
      <patternFill patternType="gray125"/>
    </fill>
    <fill>
      <patternFill patternType="solid">
        <fgColor indexed="9"/>
        <bgColor indexed="64"/>
      </patternFill>
    </fill>
    <fill>
      <patternFill patternType="solid">
        <fgColor indexed="41"/>
        <bgColor indexed="64"/>
      </patternFill>
    </fill>
    <fill>
      <patternFill patternType="solid">
        <fgColor indexed="42"/>
        <bgColor indexed="64"/>
      </patternFill>
    </fill>
    <fill>
      <patternFill patternType="solid">
        <fgColor indexed="65"/>
        <bgColor indexed="64"/>
      </patternFill>
    </fill>
    <fill>
      <patternFill patternType="solid">
        <fgColor rgb="FFF2F2F2"/>
      </patternFill>
    </fill>
    <fill>
      <patternFill patternType="solid">
        <fgColor theme="1"/>
        <bgColor indexed="64"/>
      </patternFill>
    </fill>
    <fill>
      <patternFill patternType="solid">
        <fgColor theme="0"/>
        <bgColor indexed="64"/>
      </patternFill>
    </fill>
    <fill>
      <patternFill patternType="solid">
        <fgColor theme="6" tint="0.79998168889431442"/>
        <bgColor indexed="64"/>
      </patternFill>
    </fill>
    <fill>
      <patternFill patternType="solid">
        <fgColor theme="6" tint="0.39997558519241921"/>
        <bgColor indexed="64"/>
      </patternFill>
    </fill>
    <fill>
      <patternFill patternType="solid">
        <fgColor theme="9" tint="0.59999389629810485"/>
        <bgColor indexed="64"/>
      </patternFill>
    </fill>
    <fill>
      <patternFill patternType="solid">
        <fgColor theme="8" tint="0.39997558519241921"/>
        <bgColor indexed="64"/>
      </patternFill>
    </fill>
    <fill>
      <patternFill patternType="solid">
        <fgColor theme="0" tint="-0.249977111117893"/>
        <bgColor indexed="64"/>
      </patternFill>
    </fill>
    <fill>
      <patternFill patternType="solid">
        <fgColor theme="6" tint="0.59999389629810485"/>
        <bgColor indexed="64"/>
      </patternFill>
    </fill>
    <fill>
      <patternFill patternType="solid">
        <fgColor theme="9" tint="0.39997558519241921"/>
        <bgColor indexed="64"/>
      </patternFill>
    </fill>
    <fill>
      <patternFill patternType="solid">
        <fgColor theme="0" tint="-0.499984740745262"/>
        <bgColor indexed="64"/>
      </patternFill>
    </fill>
    <fill>
      <patternFill patternType="solid">
        <fgColor indexed="65"/>
        <bgColor indexed="10"/>
      </patternFill>
    </fill>
    <fill>
      <patternFill patternType="solid">
        <fgColor indexed="18"/>
        <bgColor indexed="64"/>
      </patternFill>
    </fill>
    <fill>
      <patternFill patternType="solid">
        <fgColor theme="9" tint="0.79998168889431442"/>
        <bgColor indexed="64"/>
      </patternFill>
    </fill>
    <fill>
      <patternFill patternType="solid">
        <fgColor rgb="FF000080"/>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00B050"/>
        <bgColor indexed="64"/>
      </patternFill>
    </fill>
    <fill>
      <patternFill patternType="solid">
        <fgColor rgb="FF7030A0"/>
        <bgColor indexed="64"/>
      </patternFill>
    </fill>
    <fill>
      <patternFill patternType="solid">
        <fgColor rgb="FFFFCC99"/>
      </patternFill>
    </fill>
    <fill>
      <patternFill patternType="solid">
        <fgColor theme="8"/>
      </patternFill>
    </fill>
    <fill>
      <patternFill patternType="solid">
        <fgColor theme="8" tint="0.59999389629810485"/>
        <bgColor indexed="65"/>
      </patternFill>
    </fill>
    <fill>
      <patternFill patternType="solid">
        <fgColor theme="8"/>
        <bgColor indexed="64"/>
      </patternFill>
    </fill>
    <fill>
      <patternFill patternType="solid">
        <fgColor theme="8" tint="0.59999389629810485"/>
        <bgColor indexed="64"/>
      </patternFill>
    </fill>
    <fill>
      <patternFill patternType="solid">
        <fgColor theme="7" tint="0.39997558519241921"/>
        <bgColor indexed="64"/>
      </patternFill>
    </fill>
    <fill>
      <patternFill patternType="solid">
        <fgColor rgb="FFFFFFCC"/>
        <bgColor indexed="64"/>
      </patternFill>
    </fill>
    <fill>
      <patternFill patternType="solid">
        <fgColor theme="6" tint="-0.249977111117893"/>
        <bgColor indexed="64"/>
      </patternFill>
    </fill>
    <fill>
      <patternFill patternType="solid">
        <fgColor theme="7"/>
        <bgColor indexed="64"/>
      </patternFill>
    </fill>
    <fill>
      <patternFill patternType="solid">
        <fgColor theme="9"/>
        <bgColor indexed="64"/>
      </patternFill>
    </fill>
    <fill>
      <patternFill patternType="solid">
        <fgColor rgb="FFC0C0C0"/>
        <bgColor rgb="FF000000"/>
      </patternFill>
    </fill>
    <fill>
      <patternFill patternType="solid">
        <fgColor rgb="FF00FF00"/>
        <bgColor rgb="FF000000"/>
      </patternFill>
    </fill>
  </fills>
  <borders count="26">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thin">
        <color rgb="FF000000"/>
      </left>
      <right style="thin">
        <color rgb="FF000000"/>
      </right>
      <top style="thin">
        <color rgb="FF000000"/>
      </top>
      <bottom style="thin">
        <color rgb="FF000000"/>
      </bottom>
      <diagonal/>
    </border>
    <border>
      <left style="thin">
        <color rgb="FF3F3F3F"/>
      </left>
      <right style="thin">
        <color rgb="FF3F3F3F"/>
      </right>
      <top style="thin">
        <color rgb="FF3F3F3F"/>
      </top>
      <bottom/>
      <diagonal/>
    </border>
    <border>
      <left/>
      <right/>
      <top/>
      <bottom style="thin">
        <color rgb="FF000080"/>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thin">
        <color rgb="FF4F81BD"/>
      </left>
      <right/>
      <top style="thin">
        <color rgb="FF4F81BD"/>
      </top>
      <bottom style="thin">
        <color rgb="FF4F81BD"/>
      </bottom>
      <diagonal/>
    </border>
    <border>
      <left/>
      <right/>
      <top style="thin">
        <color rgb="FF4F81BD"/>
      </top>
      <bottom style="thin">
        <color rgb="FF4F81BD"/>
      </bottom>
      <diagonal/>
    </border>
    <border>
      <left style="thin">
        <color theme="4"/>
      </left>
      <right/>
      <top style="thin">
        <color theme="4"/>
      </top>
      <bottom/>
      <diagonal/>
    </border>
    <border>
      <left/>
      <right/>
      <top style="thin">
        <color theme="4"/>
      </top>
      <bottom/>
      <diagonal/>
    </border>
    <border>
      <left style="thin">
        <color rgb="FF7F7F7F"/>
      </left>
      <right style="thin">
        <color rgb="FF7F7F7F"/>
      </right>
      <top style="thin">
        <color rgb="FF7F7F7F"/>
      </top>
      <bottom/>
      <diagonal/>
    </border>
  </borders>
  <cellStyleXfs count="35">
    <xf numFmtId="0" fontId="0" fillId="0" borderId="0"/>
    <xf numFmtId="0" fontId="58" fillId="6" borderId="14" applyNumberFormat="0" applyAlignment="0" applyProtection="0"/>
    <xf numFmtId="0" fontId="59" fillId="0" borderId="0" applyNumberFormat="0" applyFill="0" applyBorder="0" applyAlignment="0" applyProtection="0"/>
    <xf numFmtId="0" fontId="28" fillId="0" borderId="0"/>
    <xf numFmtId="0" fontId="53" fillId="0" borderId="0"/>
    <xf numFmtId="0" fontId="57" fillId="0" borderId="0"/>
    <xf numFmtId="0" fontId="28" fillId="0" borderId="0"/>
    <xf numFmtId="0" fontId="35" fillId="0" borderId="0"/>
    <xf numFmtId="0" fontId="60" fillId="6" borderId="15" applyNumberFormat="0" applyAlignment="0" applyProtection="0"/>
    <xf numFmtId="0" fontId="27" fillId="0" borderId="0"/>
    <xf numFmtId="0" fontId="26" fillId="0" borderId="0"/>
    <xf numFmtId="0" fontId="25" fillId="0" borderId="0"/>
    <xf numFmtId="0" fontId="85" fillId="25" borderId="14" applyNumberFormat="0" applyAlignment="0" applyProtection="0"/>
    <xf numFmtId="0" fontId="86" fillId="26" borderId="0" applyNumberFormat="0" applyBorder="0" applyAlignment="0" applyProtection="0"/>
    <xf numFmtId="0" fontId="24" fillId="27" borderId="0" applyNumberFormat="0" applyBorder="0" applyAlignment="0" applyProtection="0"/>
    <xf numFmtId="0" fontId="28" fillId="0" borderId="0"/>
    <xf numFmtId="0" fontId="23" fillId="27" borderId="0" applyNumberFormat="0" applyBorder="0" applyAlignment="0" applyProtection="0"/>
    <xf numFmtId="0" fontId="22" fillId="27" borderId="0" applyNumberFormat="0" applyBorder="0" applyAlignment="0" applyProtection="0"/>
    <xf numFmtId="0" fontId="21" fillId="27" borderId="0" applyNumberFormat="0" applyBorder="0" applyAlignment="0" applyProtection="0"/>
    <xf numFmtId="0" fontId="20" fillId="27" borderId="0" applyNumberFormat="0" applyBorder="0" applyAlignment="0" applyProtection="0"/>
    <xf numFmtId="0" fontId="19" fillId="27" borderId="0" applyNumberFormat="0" applyBorder="0" applyAlignment="0" applyProtection="0"/>
    <xf numFmtId="0" fontId="18" fillId="27" borderId="0" applyNumberFormat="0" applyBorder="0" applyAlignment="0" applyProtection="0"/>
    <xf numFmtId="0" fontId="17" fillId="27" borderId="0" applyNumberFormat="0" applyBorder="0" applyAlignment="0" applyProtection="0"/>
    <xf numFmtId="0" fontId="16" fillId="27" borderId="0" applyNumberFormat="0" applyBorder="0" applyAlignment="0" applyProtection="0"/>
    <xf numFmtId="0" fontId="15" fillId="27" borderId="0" applyNumberFormat="0" applyBorder="0" applyAlignment="0" applyProtection="0"/>
    <xf numFmtId="0" fontId="14" fillId="27" borderId="0" applyNumberFormat="0" applyBorder="0" applyAlignment="0" applyProtection="0"/>
    <xf numFmtId="0" fontId="13" fillId="27" borderId="0" applyNumberFormat="0" applyBorder="0" applyAlignment="0" applyProtection="0"/>
    <xf numFmtId="0" fontId="12" fillId="0" borderId="0"/>
    <xf numFmtId="0" fontId="11" fillId="27" borderId="0" applyNumberFormat="0" applyBorder="0" applyAlignment="0" applyProtection="0"/>
    <xf numFmtId="0" fontId="10" fillId="27" borderId="0" applyNumberFormat="0" applyBorder="0" applyAlignment="0" applyProtection="0"/>
    <xf numFmtId="0" fontId="105" fillId="0" borderId="0" applyNumberFormat="0" applyFill="0" applyBorder="0" applyAlignment="0" applyProtection="0"/>
    <xf numFmtId="0" fontId="9" fillId="27" borderId="0" applyNumberFormat="0" applyBorder="0" applyAlignment="0" applyProtection="0"/>
    <xf numFmtId="0" fontId="8" fillId="27" borderId="0" applyNumberFormat="0" applyBorder="0" applyAlignment="0" applyProtection="0"/>
    <xf numFmtId="0" fontId="7" fillId="27" borderId="0" applyNumberFormat="0" applyBorder="0" applyAlignment="0" applyProtection="0"/>
    <xf numFmtId="0" fontId="6" fillId="27" borderId="0" applyNumberFormat="0" applyBorder="0" applyAlignment="0" applyProtection="0"/>
  </cellStyleXfs>
  <cellXfs count="335">
    <xf numFmtId="0" fontId="0" fillId="0" borderId="0" xfId="0"/>
    <xf numFmtId="0" fontId="0" fillId="2" borderId="0" xfId="0" applyFill="1"/>
    <xf numFmtId="0" fontId="0" fillId="2" borderId="2" xfId="0" applyFill="1" applyBorder="1"/>
    <xf numFmtId="0" fontId="0" fillId="2" borderId="0" xfId="0" applyFill="1" applyBorder="1"/>
    <xf numFmtId="0" fontId="0" fillId="2" borderId="3" xfId="0" applyFill="1" applyBorder="1"/>
    <xf numFmtId="0" fontId="0" fillId="2" borderId="4" xfId="0" applyFill="1" applyBorder="1"/>
    <xf numFmtId="0" fontId="0" fillId="2" borderId="5" xfId="0" applyFill="1" applyBorder="1"/>
    <xf numFmtId="0" fontId="0" fillId="2" borderId="6" xfId="0" applyFill="1" applyBorder="1"/>
    <xf numFmtId="0" fontId="0" fillId="2" borderId="7" xfId="0" applyFill="1" applyBorder="1"/>
    <xf numFmtId="0" fontId="0" fillId="2" borderId="8" xfId="0" applyFill="1" applyBorder="1"/>
    <xf numFmtId="0" fontId="0" fillId="2" borderId="9" xfId="0" applyFill="1" applyBorder="1"/>
    <xf numFmtId="0" fontId="0" fillId="2" borderId="1" xfId="0" applyFill="1" applyBorder="1"/>
    <xf numFmtId="0" fontId="0" fillId="2" borderId="10" xfId="0" applyFill="1" applyBorder="1"/>
    <xf numFmtId="0" fontId="0" fillId="2" borderId="11" xfId="0" applyFill="1" applyBorder="1"/>
    <xf numFmtId="0" fontId="0" fillId="2" borderId="1" xfId="0" applyNumberFormat="1" applyFill="1" applyBorder="1"/>
    <xf numFmtId="0" fontId="29" fillId="3" borderId="12" xfId="0" applyFont="1" applyFill="1" applyBorder="1" applyAlignment="1">
      <alignment horizontal="center" wrapText="1"/>
    </xf>
    <xf numFmtId="0" fontId="0" fillId="2" borderId="0" xfId="0" applyFill="1" applyAlignment="1">
      <alignment horizontal="center"/>
    </xf>
    <xf numFmtId="0" fontId="29" fillId="2" borderId="0" xfId="0" applyFont="1" applyFill="1" applyAlignment="1">
      <alignment horizontal="center"/>
    </xf>
    <xf numFmtId="0" fontId="0" fillId="0" borderId="1" xfId="0" applyBorder="1" applyAlignment="1">
      <alignment vertical="center" wrapText="1"/>
    </xf>
    <xf numFmtId="0" fontId="0" fillId="3" borderId="1" xfId="0" applyFill="1" applyBorder="1" applyAlignment="1">
      <alignment horizontal="center" vertical="center" wrapText="1"/>
    </xf>
    <xf numFmtId="0" fontId="0" fillId="4" borderId="1" xfId="0" applyFill="1" applyBorder="1" applyAlignment="1">
      <alignment horizontal="center" vertical="center" wrapText="1"/>
    </xf>
    <xf numFmtId="0" fontId="0" fillId="0" borderId="1" xfId="0" applyBorder="1" applyAlignment="1">
      <alignment horizontal="center" vertical="center" wrapText="1"/>
    </xf>
    <xf numFmtId="0" fontId="0" fillId="0" borderId="1" xfId="0" applyBorder="1" applyAlignment="1">
      <alignment horizontal="center" vertical="center"/>
    </xf>
    <xf numFmtId="14" fontId="0" fillId="0" borderId="1" xfId="0" applyNumberFormat="1" applyFill="1" applyBorder="1" applyAlignment="1">
      <alignment horizontal="center" vertical="center" wrapText="1"/>
    </xf>
    <xf numFmtId="0" fontId="0" fillId="0" borderId="0" xfId="0" applyAlignment="1">
      <alignment horizontal="center" vertical="center"/>
    </xf>
    <xf numFmtId="0" fontId="0" fillId="0" borderId="0" xfId="0" applyAlignment="1">
      <alignment vertical="center"/>
    </xf>
    <xf numFmtId="0" fontId="0" fillId="0" borderId="0" xfId="0" applyBorder="1"/>
    <xf numFmtId="0" fontId="0" fillId="2" borderId="0" xfId="0" applyFill="1" applyBorder="1" applyAlignment="1">
      <alignment wrapText="1"/>
    </xf>
    <xf numFmtId="0" fontId="0" fillId="0" borderId="1" xfId="0" applyFill="1" applyBorder="1" applyAlignment="1">
      <alignment horizontal="center" vertical="center" wrapText="1"/>
    </xf>
    <xf numFmtId="0" fontId="28" fillId="0" borderId="1" xfId="0" applyFont="1" applyBorder="1" applyAlignment="1">
      <alignment vertical="center" wrapText="1"/>
    </xf>
    <xf numFmtId="0" fontId="28" fillId="3" borderId="1" xfId="0" applyFont="1" applyFill="1" applyBorder="1" applyAlignment="1">
      <alignment horizontal="center" vertical="center" wrapText="1"/>
    </xf>
    <xf numFmtId="0" fontId="28" fillId="2" borderId="0" xfId="0" applyFont="1" applyFill="1" applyBorder="1" applyAlignment="1">
      <alignment wrapText="1"/>
    </xf>
    <xf numFmtId="0" fontId="61" fillId="7" borderId="0" xfId="0" applyFont="1" applyFill="1" applyBorder="1" applyAlignment="1">
      <alignment horizontal="center" vertical="center" wrapText="1"/>
    </xf>
    <xf numFmtId="0" fontId="61" fillId="0" borderId="0" xfId="0" applyFont="1" applyFill="1" applyBorder="1" applyAlignment="1">
      <alignment horizontal="center" vertical="center" wrapText="1"/>
    </xf>
    <xf numFmtId="0" fontId="61" fillId="0" borderId="0" xfId="0" applyFont="1" applyFill="1" applyAlignment="1">
      <alignment vertical="center"/>
    </xf>
    <xf numFmtId="0" fontId="61" fillId="0" borderId="0" xfId="0" applyFont="1" applyFill="1" applyBorder="1" applyAlignment="1">
      <alignment vertical="center" wrapText="1"/>
    </xf>
    <xf numFmtId="0" fontId="50" fillId="2" borderId="2" xfId="0" applyFont="1" applyFill="1" applyBorder="1"/>
    <xf numFmtId="0" fontId="28" fillId="2" borderId="0" xfId="0" applyFont="1" applyFill="1" applyAlignment="1">
      <alignment horizontal="center"/>
    </xf>
    <xf numFmtId="0" fontId="0" fillId="8" borderId="0" xfId="0" applyFill="1" applyAlignment="1">
      <alignment horizontal="center"/>
    </xf>
    <xf numFmtId="0" fontId="28" fillId="2" borderId="1" xfId="0" applyFont="1" applyFill="1" applyBorder="1" applyAlignment="1">
      <alignment horizontal="center" wrapText="1"/>
    </xf>
    <xf numFmtId="0" fontId="28" fillId="2" borderId="1" xfId="0" applyFont="1" applyFill="1" applyBorder="1" applyAlignment="1">
      <alignment horizontal="center" vertical="center" wrapText="1"/>
    </xf>
    <xf numFmtId="0" fontId="28" fillId="0" borderId="1" xfId="0" applyFont="1" applyFill="1" applyBorder="1" applyAlignment="1">
      <alignment horizontal="center" vertical="center" wrapText="1"/>
    </xf>
    <xf numFmtId="0" fontId="0" fillId="2" borderId="5" xfId="0" applyFill="1" applyBorder="1" applyAlignment="1">
      <alignment wrapText="1"/>
    </xf>
    <xf numFmtId="0" fontId="28" fillId="2" borderId="0" xfId="0" applyFont="1" applyFill="1" applyBorder="1"/>
    <xf numFmtId="0" fontId="29" fillId="9" borderId="1" xfId="0" applyFont="1" applyFill="1" applyBorder="1" applyAlignment="1">
      <alignment horizontal="center" vertical="center" wrapText="1"/>
    </xf>
    <xf numFmtId="0" fontId="28" fillId="2" borderId="10" xfId="0" applyFont="1" applyFill="1" applyBorder="1"/>
    <xf numFmtId="0" fontId="61" fillId="7" borderId="0" xfId="0" applyFont="1" applyFill="1" applyBorder="1" applyAlignment="1">
      <alignment horizontal="center" vertical="center"/>
    </xf>
    <xf numFmtId="0" fontId="0" fillId="0" borderId="0" xfId="0" applyBorder="1" applyAlignment="1">
      <alignment horizontal="center" wrapText="1"/>
    </xf>
    <xf numFmtId="0" fontId="0" fillId="0" borderId="0" xfId="0" applyBorder="1" applyAlignment="1">
      <alignment wrapText="1"/>
    </xf>
    <xf numFmtId="14" fontId="0" fillId="0" borderId="0" xfId="0" applyNumberFormat="1" applyBorder="1" applyAlignment="1">
      <alignment horizontal="center" wrapText="1"/>
    </xf>
    <xf numFmtId="0" fontId="0" fillId="0" borderId="0" xfId="0" applyBorder="1" applyAlignment="1">
      <alignment horizontal="center"/>
    </xf>
    <xf numFmtId="0" fontId="28" fillId="8" borderId="0" xfId="0" applyFont="1" applyFill="1" applyBorder="1" applyAlignment="1">
      <alignment horizontal="center" vertical="center"/>
    </xf>
    <xf numFmtId="0" fontId="28" fillId="8" borderId="1" xfId="0" applyFont="1" applyFill="1" applyBorder="1" applyAlignment="1">
      <alignment horizontal="center" vertical="center"/>
    </xf>
    <xf numFmtId="0" fontId="28" fillId="13" borderId="1" xfId="0" applyFont="1" applyFill="1" applyBorder="1" applyAlignment="1">
      <alignment horizontal="center" vertical="center" wrapText="1"/>
    </xf>
    <xf numFmtId="0" fontId="28" fillId="0" borderId="0" xfId="0" applyFont="1" applyBorder="1" applyAlignment="1">
      <alignment wrapText="1"/>
    </xf>
    <xf numFmtId="0" fontId="0" fillId="8" borderId="1" xfId="0" applyFill="1" applyBorder="1" applyAlignment="1">
      <alignment horizontal="center" vertical="center" wrapText="1"/>
    </xf>
    <xf numFmtId="0" fontId="0" fillId="8" borderId="0" xfId="0" applyFill="1" applyAlignment="1">
      <alignment horizontal="center" vertical="center" wrapText="1"/>
    </xf>
    <xf numFmtId="0" fontId="0" fillId="8" borderId="0" xfId="0" applyFill="1" applyAlignment="1">
      <alignment horizontal="center" vertical="center"/>
    </xf>
    <xf numFmtId="0" fontId="61" fillId="8" borderId="0" xfId="0" applyFont="1" applyFill="1" applyBorder="1" applyAlignment="1">
      <alignment horizontal="center" vertical="center" wrapText="1"/>
    </xf>
    <xf numFmtId="0" fontId="61" fillId="8" borderId="0" xfId="0" applyFont="1" applyFill="1" applyAlignment="1">
      <alignment horizontal="center" vertical="center" wrapText="1"/>
    </xf>
    <xf numFmtId="0" fontId="61" fillId="8" borderId="0" xfId="0" applyFont="1" applyFill="1" applyAlignment="1">
      <alignment vertical="center"/>
    </xf>
    <xf numFmtId="0" fontId="0" fillId="8" borderId="0" xfId="0" applyFill="1" applyAlignment="1">
      <alignment vertical="center"/>
    </xf>
    <xf numFmtId="0" fontId="0" fillId="8" borderId="0" xfId="0" applyFill="1"/>
    <xf numFmtId="0" fontId="0" fillId="8" borderId="0" xfId="0" applyFill="1" applyBorder="1" applyAlignment="1">
      <alignment horizontal="center" vertical="center"/>
    </xf>
    <xf numFmtId="0" fontId="0" fillId="8" borderId="0" xfId="0" applyFill="1" applyBorder="1"/>
    <xf numFmtId="0" fontId="31" fillId="14" borderId="1" xfId="0" applyFont="1" applyFill="1" applyBorder="1" applyAlignment="1">
      <alignment horizontal="center" vertical="center" wrapText="1"/>
    </xf>
    <xf numFmtId="0" fontId="61" fillId="0" borderId="0" xfId="0" applyFont="1" applyFill="1" applyBorder="1" applyAlignment="1">
      <alignment horizontal="center" vertical="center"/>
    </xf>
    <xf numFmtId="14" fontId="0" fillId="0" borderId="0" xfId="0" applyNumberFormat="1" applyFill="1" applyBorder="1" applyAlignment="1">
      <alignment horizontal="center" wrapText="1"/>
    </xf>
    <xf numFmtId="0" fontId="0" fillId="0" borderId="0" xfId="0" applyFill="1" applyBorder="1" applyAlignment="1">
      <alignment horizontal="center" wrapText="1"/>
    </xf>
    <xf numFmtId="14" fontId="0" fillId="13" borderId="1" xfId="0" applyNumberFormat="1" applyFill="1" applyBorder="1" applyAlignment="1">
      <alignment horizontal="center" vertical="center" wrapText="1"/>
    </xf>
    <xf numFmtId="0" fontId="34" fillId="13" borderId="1" xfId="0" applyFont="1" applyFill="1" applyBorder="1" applyAlignment="1">
      <alignment horizontal="center" vertical="center" wrapText="1"/>
    </xf>
    <xf numFmtId="0" fontId="0" fillId="0" borderId="0" xfId="0" applyFill="1" applyBorder="1" applyAlignment="1">
      <alignment horizontal="center"/>
    </xf>
    <xf numFmtId="0" fontId="28" fillId="13" borderId="1" xfId="0" applyFont="1" applyFill="1" applyBorder="1" applyAlignment="1">
      <alignment horizontal="center" vertical="center"/>
    </xf>
    <xf numFmtId="0" fontId="0" fillId="13" borderId="1" xfId="0" applyFill="1" applyBorder="1" applyAlignment="1">
      <alignment horizontal="center" vertical="center"/>
    </xf>
    <xf numFmtId="0" fontId="28" fillId="2" borderId="5" xfId="0" applyFont="1" applyFill="1" applyBorder="1" applyAlignment="1">
      <alignment wrapText="1"/>
    </xf>
    <xf numFmtId="0" fontId="28" fillId="10" borderId="0" xfId="0" applyFont="1" applyFill="1" applyBorder="1" applyAlignment="1">
      <alignment horizontal="left" vertical="center"/>
    </xf>
    <xf numFmtId="0" fontId="28" fillId="12" borderId="0" xfId="0" applyFont="1" applyFill="1" applyBorder="1" applyAlignment="1">
      <alignment horizontal="left" vertical="center"/>
    </xf>
    <xf numFmtId="0" fontId="28" fillId="15" borderId="0" xfId="0" applyFont="1" applyFill="1" applyBorder="1" applyAlignment="1">
      <alignment horizontal="left" vertical="center"/>
    </xf>
    <xf numFmtId="0" fontId="28" fillId="13" borderId="0" xfId="0" applyFont="1" applyFill="1" applyBorder="1" applyAlignment="1">
      <alignment horizontal="left" vertical="center"/>
    </xf>
    <xf numFmtId="0" fontId="28" fillId="2" borderId="1" xfId="0" applyFont="1" applyFill="1" applyBorder="1"/>
    <xf numFmtId="0" fontId="28" fillId="0" borderId="1" xfId="0" applyFont="1" applyBorder="1" applyAlignment="1">
      <alignment horizontal="center" vertical="center"/>
    </xf>
    <xf numFmtId="14" fontId="28" fillId="0" borderId="1" xfId="0" applyNumberFormat="1" applyFont="1" applyFill="1" applyBorder="1" applyAlignment="1">
      <alignment horizontal="center" vertical="center" wrapText="1"/>
    </xf>
    <xf numFmtId="0" fontId="0" fillId="2" borderId="0" xfId="0" applyFill="1" applyAlignment="1">
      <alignment horizontal="center" wrapText="1"/>
    </xf>
    <xf numFmtId="0" fontId="28" fillId="3" borderId="12" xfId="0" applyFont="1" applyFill="1" applyBorder="1" applyAlignment="1">
      <alignment horizontal="center" vertical="center" wrapText="1"/>
    </xf>
    <xf numFmtId="0" fontId="58" fillId="6" borderId="1" xfId="1" applyFont="1" applyBorder="1" applyAlignment="1">
      <alignment horizontal="center"/>
    </xf>
    <xf numFmtId="0" fontId="62" fillId="6" borderId="15" xfId="8" applyFont="1" applyAlignment="1">
      <alignment horizontal="center"/>
    </xf>
    <xf numFmtId="0" fontId="62" fillId="6" borderId="17" xfId="8" applyFont="1" applyBorder="1" applyAlignment="1">
      <alignment horizontal="center"/>
    </xf>
    <xf numFmtId="0" fontId="58" fillId="6" borderId="1" xfId="1" applyBorder="1" applyAlignment="1">
      <alignment horizontal="center" vertical="center"/>
    </xf>
    <xf numFmtId="0" fontId="28" fillId="2" borderId="1" xfId="0" applyFont="1" applyFill="1" applyBorder="1" applyAlignment="1">
      <alignment horizontal="center"/>
    </xf>
    <xf numFmtId="0" fontId="28" fillId="2" borderId="1" xfId="0" applyNumberFormat="1" applyFont="1" applyFill="1" applyBorder="1"/>
    <xf numFmtId="0" fontId="0" fillId="2" borderId="0" xfId="0" applyFill="1" applyAlignment="1">
      <alignment wrapText="1" shrinkToFit="1"/>
    </xf>
    <xf numFmtId="0" fontId="0" fillId="2" borderId="0" xfId="0" applyFill="1" applyAlignment="1">
      <alignment vertical="top"/>
    </xf>
    <xf numFmtId="0" fontId="0" fillId="2" borderId="3" xfId="0" applyFill="1" applyBorder="1" applyAlignment="1">
      <alignment vertical="top"/>
    </xf>
    <xf numFmtId="0" fontId="28" fillId="2" borderId="8" xfId="0" applyFont="1" applyFill="1" applyBorder="1" applyAlignment="1">
      <alignment wrapText="1" shrinkToFit="1"/>
    </xf>
    <xf numFmtId="0" fontId="28" fillId="2" borderId="0" xfId="0" applyFont="1" applyFill="1"/>
    <xf numFmtId="0" fontId="28" fillId="2" borderId="0" xfId="0" applyFont="1" applyFill="1" applyAlignment="1">
      <alignment vertical="top"/>
    </xf>
    <xf numFmtId="0" fontId="28" fillId="0" borderId="0" xfId="3" applyAlignment="1">
      <alignment vertical="center"/>
    </xf>
    <xf numFmtId="0" fontId="32" fillId="0" borderId="0" xfId="3" applyFont="1" applyAlignment="1">
      <alignment vertical="center" wrapText="1"/>
    </xf>
    <xf numFmtId="164" fontId="32" fillId="0" borderId="0" xfId="3" applyNumberFormat="1" applyFont="1" applyAlignment="1">
      <alignment horizontal="center" vertical="center" wrapText="1"/>
    </xf>
    <xf numFmtId="20" fontId="32" fillId="0" borderId="0" xfId="3" applyNumberFormat="1" applyFont="1" applyAlignment="1">
      <alignment vertical="center" wrapText="1"/>
    </xf>
    <xf numFmtId="0" fontId="32" fillId="0" borderId="0" xfId="3" applyFont="1" applyAlignment="1">
      <alignment horizontal="left" vertical="center" wrapText="1"/>
    </xf>
    <xf numFmtId="0" fontId="63" fillId="0" borderId="0" xfId="3" quotePrefix="1" applyFont="1" applyAlignment="1">
      <alignment horizontal="right" vertical="center"/>
    </xf>
    <xf numFmtId="0" fontId="33" fillId="0" borderId="0" xfId="3" applyFont="1" applyAlignment="1">
      <alignment horizontal="left" vertical="center" wrapText="1"/>
    </xf>
    <xf numFmtId="0" fontId="28" fillId="0" borderId="0" xfId="3" applyAlignment="1">
      <alignment vertical="center" shrinkToFit="1"/>
    </xf>
    <xf numFmtId="0" fontId="65" fillId="0" borderId="0" xfId="3" applyFont="1" applyAlignment="1">
      <alignment horizontal="left" vertical="center" shrinkToFit="1"/>
    </xf>
    <xf numFmtId="0" fontId="29" fillId="0" borderId="0" xfId="3" applyFont="1" applyAlignment="1">
      <alignment horizontal="left" vertical="center" shrinkToFit="1"/>
    </xf>
    <xf numFmtId="0" fontId="28" fillId="0" borderId="0" xfId="3" applyAlignment="1" applyProtection="1">
      <alignment vertical="center"/>
      <protection locked="0"/>
    </xf>
    <xf numFmtId="0" fontId="28" fillId="0" borderId="0" xfId="3" applyAlignment="1" applyProtection="1">
      <alignment vertical="center" shrinkToFit="1"/>
      <protection locked="0"/>
    </xf>
    <xf numFmtId="0" fontId="70" fillId="0" borderId="2" xfId="3" applyFont="1" applyBorder="1" applyAlignment="1" applyProtection="1">
      <alignment horizontal="left" vertical="center" wrapText="1" shrinkToFit="1"/>
      <protection locked="0"/>
    </xf>
    <xf numFmtId="0" fontId="71" fillId="0" borderId="0" xfId="3" applyFont="1" applyAlignment="1" applyProtection="1">
      <alignment horizontal="left" vertical="center" shrinkToFit="1"/>
      <protection locked="0"/>
    </xf>
    <xf numFmtId="0" fontId="70" fillId="0" borderId="0" xfId="3" applyFont="1" applyAlignment="1" applyProtection="1">
      <alignment horizontal="left" vertical="center" wrapText="1" shrinkToFit="1"/>
      <protection locked="0"/>
    </xf>
    <xf numFmtId="0" fontId="71" fillId="0" borderId="3" xfId="3" applyFont="1" applyBorder="1" applyAlignment="1" applyProtection="1">
      <alignment horizontal="left" vertical="center" shrinkToFit="1"/>
      <protection locked="0"/>
    </xf>
    <xf numFmtId="0" fontId="74" fillId="0" borderId="0" xfId="3" applyFont="1" applyAlignment="1" applyProtection="1">
      <alignment vertical="center"/>
      <protection locked="0"/>
    </xf>
    <xf numFmtId="0" fontId="75" fillId="0" borderId="0" xfId="3" applyFont="1" applyAlignment="1" applyProtection="1">
      <alignment horizontal="center" vertical="center"/>
      <protection locked="0"/>
    </xf>
    <xf numFmtId="0" fontId="27" fillId="8" borderId="0" xfId="9" applyFill="1"/>
    <xf numFmtId="0" fontId="76" fillId="0" borderId="0" xfId="3" applyFont="1" applyAlignment="1">
      <alignment horizontal="right" vertical="center"/>
    </xf>
    <xf numFmtId="0" fontId="77" fillId="0" borderId="18" xfId="3" applyFont="1" applyBorder="1" applyAlignment="1" applyProtection="1">
      <alignment vertical="center"/>
      <protection locked="0"/>
    </xf>
    <xf numFmtId="0" fontId="28" fillId="0" borderId="18" xfId="3" applyBorder="1" applyAlignment="1" applyProtection="1">
      <alignment vertical="center"/>
      <protection locked="0"/>
    </xf>
    <xf numFmtId="0" fontId="78" fillId="0" borderId="0" xfId="3" applyFont="1" applyAlignment="1" applyProtection="1">
      <alignment horizontal="left" vertical="center"/>
      <protection locked="0"/>
    </xf>
    <xf numFmtId="0" fontId="37" fillId="0" borderId="0" xfId="3" applyFont="1" applyAlignment="1" applyProtection="1">
      <alignment horizontal="left" vertical="center"/>
      <protection locked="0"/>
    </xf>
    <xf numFmtId="0" fontId="56" fillId="0" borderId="0" xfId="3" applyFont="1" applyAlignment="1" applyProtection="1">
      <alignment vertical="center"/>
      <protection locked="0"/>
    </xf>
    <xf numFmtId="0" fontId="29" fillId="0" borderId="0" xfId="3" applyFont="1" applyAlignment="1" applyProtection="1">
      <alignment vertical="center"/>
      <protection locked="0"/>
    </xf>
    <xf numFmtId="49" fontId="79" fillId="0" borderId="0" xfId="3" applyNumberFormat="1" applyFont="1" applyAlignment="1" applyProtection="1">
      <alignment horizontal="left" vertical="center"/>
      <protection locked="0"/>
    </xf>
    <xf numFmtId="49" fontId="28" fillId="0" borderId="0" xfId="3" applyNumberFormat="1" applyAlignment="1">
      <alignment horizontal="center" vertical="center" wrapText="1"/>
    </xf>
    <xf numFmtId="49" fontId="28" fillId="0" borderId="0" xfId="3" applyNumberFormat="1" applyAlignment="1" applyProtection="1">
      <alignment horizontal="left" vertical="center" wrapText="1"/>
      <protection locked="0"/>
    </xf>
    <xf numFmtId="49" fontId="28" fillId="0" borderId="0" xfId="3" applyNumberFormat="1" applyAlignment="1">
      <alignment horizontal="left" vertical="center" wrapText="1"/>
    </xf>
    <xf numFmtId="14" fontId="28" fillId="0" borderId="0" xfId="3" applyNumberFormat="1" applyAlignment="1" applyProtection="1">
      <alignment vertical="center"/>
      <protection locked="0"/>
    </xf>
    <xf numFmtId="0" fontId="80" fillId="0" borderId="0" xfId="3" applyFont="1" applyAlignment="1" applyProtection="1">
      <alignment horizontal="left" vertical="center"/>
      <protection locked="0"/>
    </xf>
    <xf numFmtId="0" fontId="28" fillId="0" borderId="0" xfId="3" applyAlignment="1">
      <alignment horizontal="left" vertical="center" wrapText="1"/>
    </xf>
    <xf numFmtId="0" fontId="77" fillId="0" borderId="5" xfId="3" applyFont="1" applyBorder="1" applyAlignment="1" applyProtection="1">
      <alignment vertical="center"/>
      <protection locked="0"/>
    </xf>
    <xf numFmtId="49" fontId="28" fillId="0" borderId="5" xfId="3" applyNumberFormat="1" applyBorder="1" applyAlignment="1" applyProtection="1">
      <alignment horizontal="left" vertical="center" wrapText="1"/>
      <protection locked="0"/>
    </xf>
    <xf numFmtId="0" fontId="28" fillId="0" borderId="5" xfId="3" applyBorder="1" applyAlignment="1">
      <alignment horizontal="left" vertical="center" wrapText="1"/>
    </xf>
    <xf numFmtId="0" fontId="77" fillId="0" borderId="0" xfId="3" applyFont="1" applyAlignment="1" applyProtection="1">
      <alignment vertical="center"/>
      <protection locked="0"/>
    </xf>
    <xf numFmtId="49" fontId="28" fillId="0" borderId="0" xfId="3" applyNumberFormat="1" applyAlignment="1" applyProtection="1">
      <alignment horizontal="left" vertical="center"/>
      <protection locked="0"/>
    </xf>
    <xf numFmtId="0" fontId="28" fillId="0" borderId="0" xfId="3" applyAlignment="1">
      <alignment horizontal="left" vertical="center"/>
    </xf>
    <xf numFmtId="0" fontId="29" fillId="2" borderId="1" xfId="0" applyNumberFormat="1" applyFont="1" applyFill="1" applyBorder="1" applyAlignment="1">
      <alignment horizontal="center" vertical="center"/>
    </xf>
    <xf numFmtId="0" fontId="28" fillId="21" borderId="0" xfId="0" applyFont="1" applyFill="1" applyBorder="1" applyAlignment="1">
      <alignment horizontal="left" vertical="top" wrapText="1"/>
    </xf>
    <xf numFmtId="0" fontId="28" fillId="21" borderId="0" xfId="0" applyFont="1" applyFill="1" applyBorder="1" applyAlignment="1">
      <alignment wrapText="1"/>
    </xf>
    <xf numFmtId="0" fontId="0" fillId="21" borderId="0" xfId="0" applyFill="1" applyBorder="1" applyAlignment="1">
      <alignment wrapText="1"/>
    </xf>
    <xf numFmtId="0" fontId="28" fillId="9" borderId="0" xfId="0" applyFont="1" applyFill="1" applyBorder="1" applyAlignment="1">
      <alignment wrapText="1"/>
    </xf>
    <xf numFmtId="0" fontId="0" fillId="9" borderId="0" xfId="0" applyFill="1" applyBorder="1" applyAlignment="1">
      <alignment wrapText="1"/>
    </xf>
    <xf numFmtId="0" fontId="28" fillId="2" borderId="2" xfId="0" applyFont="1" applyFill="1" applyBorder="1" applyAlignment="1">
      <alignment horizontal="right"/>
    </xf>
    <xf numFmtId="0" fontId="0" fillId="2" borderId="4" xfId="0" applyFill="1" applyBorder="1" applyAlignment="1">
      <alignment horizontal="right"/>
    </xf>
    <xf numFmtId="0" fontId="25" fillId="0" borderId="0" xfId="11"/>
    <xf numFmtId="0" fontId="31" fillId="10" borderId="1" xfId="0" applyFont="1" applyFill="1" applyBorder="1" applyAlignment="1">
      <alignment horizontal="center" vertical="center" wrapText="1"/>
    </xf>
    <xf numFmtId="0" fontId="87" fillId="12" borderId="1" xfId="0" applyFont="1" applyFill="1" applyBorder="1" applyAlignment="1">
      <alignment horizontal="center" vertical="center" wrapText="1"/>
    </xf>
    <xf numFmtId="0" fontId="31" fillId="11" borderId="1" xfId="0" applyFont="1" applyFill="1" applyBorder="1" applyAlignment="1">
      <alignment horizontal="center" vertical="center" wrapText="1"/>
    </xf>
    <xf numFmtId="14" fontId="31" fillId="11" borderId="1" xfId="0" applyNumberFormat="1" applyFont="1" applyFill="1" applyBorder="1" applyAlignment="1">
      <alignment horizontal="center" vertical="center" wrapText="1"/>
    </xf>
    <xf numFmtId="0" fontId="52" fillId="8" borderId="0" xfId="0" applyFont="1" applyFill="1" applyAlignment="1">
      <alignment horizontal="center" vertical="center"/>
    </xf>
    <xf numFmtId="0" fontId="52" fillId="8" borderId="0" xfId="0" applyFont="1" applyFill="1" applyAlignment="1">
      <alignment vertical="center"/>
    </xf>
    <xf numFmtId="0" fontId="52" fillId="0" borderId="0" xfId="0" applyFont="1" applyAlignment="1">
      <alignment vertical="center"/>
    </xf>
    <xf numFmtId="0" fontId="31" fillId="0" borderId="0" xfId="0" applyFont="1" applyFill="1" applyAlignment="1">
      <alignment vertical="center"/>
    </xf>
    <xf numFmtId="0" fontId="89" fillId="29" borderId="20" xfId="14" applyFont="1" applyFill="1" applyBorder="1" applyAlignment="1" applyProtection="1">
      <alignment horizontal="center" vertical="center" wrapText="1"/>
      <protection locked="0"/>
    </xf>
    <xf numFmtId="0" fontId="90" fillId="13" borderId="20" xfId="14" applyFont="1" applyFill="1" applyBorder="1" applyAlignment="1" applyProtection="1">
      <alignment horizontal="center" vertical="center" wrapText="1"/>
    </xf>
    <xf numFmtId="0" fontId="89" fillId="7" borderId="1" xfId="14" applyFont="1" applyFill="1" applyBorder="1" applyAlignment="1">
      <alignment horizontal="left" vertical="center"/>
    </xf>
    <xf numFmtId="0" fontId="85" fillId="25" borderId="14" xfId="12" applyAlignment="1">
      <alignment horizontal="center" vertical="center"/>
    </xf>
    <xf numFmtId="0" fontId="89" fillId="7" borderId="1" xfId="14" applyFont="1" applyFill="1" applyBorder="1" applyAlignment="1">
      <alignment horizontal="center" vertical="center"/>
    </xf>
    <xf numFmtId="0" fontId="28" fillId="5" borderId="0" xfId="15" applyFill="1" applyAlignment="1">
      <alignment vertical="center"/>
    </xf>
    <xf numFmtId="0" fontId="28" fillId="5" borderId="0" xfId="15" applyFill="1" applyAlignment="1">
      <alignment vertical="center" wrapText="1"/>
    </xf>
    <xf numFmtId="0" fontId="30" fillId="5" borderId="0" xfId="15" applyFont="1" applyFill="1" applyAlignment="1">
      <alignment vertical="center"/>
    </xf>
    <xf numFmtId="0" fontId="66" fillId="30" borderId="10" xfId="15" applyFont="1" applyFill="1" applyBorder="1" applyAlignment="1">
      <alignment vertical="center"/>
    </xf>
    <xf numFmtId="0" fontId="95" fillId="30" borderId="19" xfId="15" applyFont="1" applyFill="1" applyBorder="1" applyAlignment="1">
      <alignment vertical="center" wrapText="1"/>
    </xf>
    <xf numFmtId="0" fontId="28" fillId="5" borderId="1" xfId="15" applyFill="1" applyBorder="1" applyAlignment="1">
      <alignment vertical="center"/>
    </xf>
    <xf numFmtId="0" fontId="96" fillId="5" borderId="1" xfId="15" applyFont="1" applyFill="1" applyBorder="1" applyAlignment="1">
      <alignment horizontal="center" vertical="center"/>
    </xf>
    <xf numFmtId="0" fontId="66" fillId="31" borderId="10" xfId="15" applyFont="1" applyFill="1" applyBorder="1" applyAlignment="1">
      <alignment vertical="center"/>
    </xf>
    <xf numFmtId="0" fontId="38" fillId="31" borderId="8" xfId="15" applyFont="1" applyFill="1" applyBorder="1" applyAlignment="1">
      <alignment horizontal="center" vertical="center" wrapText="1"/>
    </xf>
    <xf numFmtId="0" fontId="95" fillId="31" borderId="19" xfId="15" applyFont="1" applyFill="1" applyBorder="1" applyAlignment="1">
      <alignment vertical="center" wrapText="1"/>
    </xf>
    <xf numFmtId="0" fontId="95" fillId="31" borderId="11" xfId="15" applyFont="1" applyFill="1" applyBorder="1" applyAlignment="1">
      <alignment vertical="center" wrapText="1"/>
    </xf>
    <xf numFmtId="0" fontId="38" fillId="30" borderId="19" xfId="15" applyFont="1" applyFill="1" applyBorder="1" applyAlignment="1">
      <alignment vertical="center" wrapText="1"/>
    </xf>
    <xf numFmtId="0" fontId="0" fillId="0" borderId="0" xfId="0" applyAlignment="1" applyProtection="1">
      <alignment vertical="center"/>
      <protection locked="0"/>
    </xf>
    <xf numFmtId="0" fontId="78" fillId="0" borderId="0" xfId="0" applyFont="1" applyAlignment="1" applyProtection="1">
      <alignment horizontal="left" vertical="center"/>
      <protection locked="0"/>
    </xf>
    <xf numFmtId="0" fontId="28" fillId="0" borderId="1" xfId="15" applyBorder="1" applyAlignment="1">
      <alignment vertical="center" wrapText="1"/>
    </xf>
    <xf numFmtId="0" fontId="102" fillId="0" borderId="2" xfId="0" applyFont="1" applyBorder="1" applyAlignment="1">
      <alignment horizontal="right" vertical="center"/>
    </xf>
    <xf numFmtId="0" fontId="104" fillId="0" borderId="0" xfId="0" applyFont="1" applyBorder="1" applyAlignment="1">
      <alignment wrapText="1"/>
    </xf>
    <xf numFmtId="0" fontId="86" fillId="7" borderId="1" xfId="14" applyFont="1" applyFill="1" applyBorder="1" applyAlignment="1">
      <alignment horizontal="center" vertical="center"/>
    </xf>
    <xf numFmtId="0" fontId="105" fillId="8" borderId="0" xfId="30" applyFill="1" applyAlignment="1">
      <alignment horizontal="center" wrapText="1"/>
    </xf>
    <xf numFmtId="0" fontId="31" fillId="3" borderId="12" xfId="0" applyFont="1" applyFill="1" applyBorder="1" applyAlignment="1">
      <alignment horizontal="center" vertical="center" wrapText="1"/>
    </xf>
    <xf numFmtId="0" fontId="31" fillId="3" borderId="16" xfId="0" applyFont="1" applyFill="1" applyBorder="1" applyAlignment="1">
      <alignment horizontal="center" vertical="center" wrapText="1"/>
    </xf>
    <xf numFmtId="0" fontId="31" fillId="3" borderId="1" xfId="0" applyFont="1" applyFill="1" applyBorder="1" applyAlignment="1">
      <alignment horizontal="center" vertical="center" wrapText="1"/>
    </xf>
    <xf numFmtId="0" fontId="58" fillId="6" borderId="16" xfId="1" applyFont="1" applyBorder="1" applyAlignment="1">
      <alignment horizontal="center" vertical="center"/>
    </xf>
    <xf numFmtId="0" fontId="58" fillId="6" borderId="1" xfId="1" applyFont="1" applyBorder="1" applyAlignment="1">
      <alignment horizontal="center" vertical="center"/>
    </xf>
    <xf numFmtId="0" fontId="29" fillId="2" borderId="1" xfId="0" applyFont="1" applyFill="1" applyBorder="1" applyAlignment="1">
      <alignment horizontal="center"/>
    </xf>
    <xf numFmtId="0" fontId="66" fillId="33" borderId="12" xfId="15" applyFont="1" applyFill="1" applyBorder="1" applyAlignment="1">
      <alignment horizontal="center" vertical="center" textRotation="45" wrapText="1"/>
    </xf>
    <xf numFmtId="0" fontId="93" fillId="33" borderId="12" xfId="15" applyFont="1" applyFill="1" applyBorder="1" applyAlignment="1">
      <alignment horizontal="center" vertical="center" wrapText="1"/>
    </xf>
    <xf numFmtId="0" fontId="81" fillId="33" borderId="1" xfId="15" applyFont="1" applyFill="1" applyBorder="1" applyAlignment="1">
      <alignment horizontal="center" vertical="center" textRotation="45" wrapText="1"/>
    </xf>
    <xf numFmtId="0" fontId="81" fillId="33" borderId="1" xfId="15" applyFont="1" applyFill="1" applyBorder="1" applyAlignment="1">
      <alignment horizontal="center" vertical="center" wrapText="1"/>
    </xf>
    <xf numFmtId="0" fontId="66" fillId="33" borderId="13" xfId="15" applyFont="1" applyFill="1" applyBorder="1" applyAlignment="1">
      <alignment horizontal="center" vertical="center"/>
    </xf>
    <xf numFmtId="0" fontId="94" fillId="33" borderId="13" xfId="15" applyFont="1" applyFill="1" applyBorder="1" applyAlignment="1">
      <alignment horizontal="center" vertical="center" wrapText="1"/>
    </xf>
    <xf numFmtId="9" fontId="106" fillId="6" borderId="14" xfId="1" applyNumberFormat="1" applyFont="1" applyAlignment="1">
      <alignment horizontal="center" vertical="center" wrapText="1"/>
    </xf>
    <xf numFmtId="0" fontId="66" fillId="33" borderId="7" xfId="15" applyFont="1" applyFill="1" applyBorder="1" applyAlignment="1">
      <alignment horizontal="center" vertical="center"/>
    </xf>
    <xf numFmtId="0" fontId="97" fillId="33" borderId="8" xfId="15" applyFont="1" applyFill="1" applyBorder="1" applyAlignment="1">
      <alignment horizontal="center" vertical="center" wrapText="1"/>
    </xf>
    <xf numFmtId="0" fontId="94" fillId="33" borderId="8" xfId="15" applyFont="1" applyFill="1" applyBorder="1" applyAlignment="1">
      <alignment horizontal="center" vertical="center" wrapText="1"/>
    </xf>
    <xf numFmtId="0" fontId="94" fillId="33" borderId="9" xfId="15" applyFont="1" applyFill="1" applyBorder="1" applyAlignment="1">
      <alignment horizontal="center" vertical="center" wrapText="1"/>
    </xf>
    <xf numFmtId="0" fontId="0" fillId="0" borderId="12" xfId="0" applyBorder="1" applyAlignment="1">
      <alignment vertical="center"/>
    </xf>
    <xf numFmtId="0" fontId="0" fillId="0" borderId="7" xfId="0" applyBorder="1" applyAlignment="1">
      <alignment vertical="center"/>
    </xf>
    <xf numFmtId="0" fontId="0" fillId="34" borderId="1" xfId="0" applyFill="1" applyBorder="1" applyAlignment="1">
      <alignment horizontal="center" vertical="center"/>
    </xf>
    <xf numFmtId="0" fontId="0" fillId="0" borderId="1" xfId="0" applyBorder="1" applyAlignment="1">
      <alignment vertical="center"/>
    </xf>
    <xf numFmtId="0" fontId="38" fillId="15" borderId="0" xfId="0" applyFont="1" applyFill="1" applyAlignment="1">
      <alignment horizontal="center" wrapText="1"/>
    </xf>
    <xf numFmtId="0" fontId="50" fillId="15" borderId="0" xfId="0" applyFont="1" applyFill="1" applyAlignment="1">
      <alignment horizontal="center" wrapText="1"/>
    </xf>
    <xf numFmtId="0" fontId="38" fillId="7" borderId="0" xfId="0" applyFont="1" applyFill="1" applyAlignment="1">
      <alignment horizontal="center" wrapText="1"/>
    </xf>
    <xf numFmtId="0" fontId="107" fillId="7" borderId="0" xfId="0" applyFont="1" applyFill="1" applyAlignment="1">
      <alignment horizontal="center" vertical="center" wrapText="1"/>
    </xf>
    <xf numFmtId="0" fontId="89" fillId="29" borderId="12" xfId="34" applyFont="1" applyFill="1" applyBorder="1" applyAlignment="1">
      <alignment horizontal="center" vertical="center" wrapText="1"/>
    </xf>
    <xf numFmtId="0" fontId="38" fillId="7" borderId="0" xfId="3" applyFont="1" applyFill="1" applyAlignment="1">
      <alignment horizontal="center" wrapText="1"/>
    </xf>
    <xf numFmtId="0" fontId="107" fillId="7" borderId="0" xfId="3" applyFont="1" applyFill="1" applyAlignment="1">
      <alignment horizontal="center" vertical="center" wrapText="1"/>
    </xf>
    <xf numFmtId="0" fontId="28" fillId="0" borderId="1" xfId="0" applyFont="1" applyBorder="1" applyAlignment="1">
      <alignment vertical="center"/>
    </xf>
    <xf numFmtId="0" fontId="28" fillId="5" borderId="1" xfId="15" applyFill="1" applyBorder="1" applyAlignment="1">
      <alignment vertical="center" wrapText="1"/>
    </xf>
    <xf numFmtId="0" fontId="28" fillId="0" borderId="1" xfId="0" applyFont="1" applyBorder="1" applyAlignment="1">
      <alignment horizontal="center" vertical="center" wrapText="1"/>
    </xf>
    <xf numFmtId="0" fontId="28" fillId="34" borderId="1" xfId="0" applyFont="1" applyFill="1" applyBorder="1" applyAlignment="1">
      <alignment horizontal="center" vertical="center"/>
    </xf>
    <xf numFmtId="0" fontId="25" fillId="0" borderId="0" xfId="11" applyFill="1" applyBorder="1"/>
    <xf numFmtId="0" fontId="0" fillId="6" borderId="14" xfId="1" applyFont="1"/>
    <xf numFmtId="14" fontId="0" fillId="0" borderId="1" xfId="0" applyNumberFormat="1" applyBorder="1" applyAlignment="1">
      <alignment horizontal="center" vertical="center" wrapText="1"/>
    </xf>
    <xf numFmtId="0" fontId="5" fillId="0" borderId="0" xfId="11" applyFont="1"/>
    <xf numFmtId="0" fontId="5" fillId="0" borderId="0" xfId="11" applyFont="1" applyFill="1" applyBorder="1"/>
    <xf numFmtId="0" fontId="4" fillId="0" borderId="0" xfId="11" applyFont="1"/>
    <xf numFmtId="0" fontId="4" fillId="0" borderId="0" xfId="11" applyFont="1" applyFill="1" applyBorder="1"/>
    <xf numFmtId="0" fontId="3" fillId="0" borderId="0" xfId="11" applyFont="1"/>
    <xf numFmtId="0" fontId="3" fillId="0" borderId="0" xfId="11" applyFont="1" applyFill="1" applyBorder="1"/>
    <xf numFmtId="0" fontId="108" fillId="0" borderId="21" xfId="0" applyFont="1" applyBorder="1"/>
    <xf numFmtId="0" fontId="108" fillId="0" borderId="22" xfId="0" applyFont="1" applyBorder="1"/>
    <xf numFmtId="14" fontId="108" fillId="0" borderId="22" xfId="0" applyNumberFormat="1" applyFont="1" applyBorder="1" applyAlignment="1">
      <alignment horizontal="left"/>
    </xf>
    <xf numFmtId="0" fontId="28" fillId="35" borderId="1" xfId="0" applyFont="1" applyFill="1" applyBorder="1" applyAlignment="1">
      <alignment horizontal="center" vertical="center" wrapText="1"/>
    </xf>
    <xf numFmtId="0" fontId="28" fillId="35" borderId="11" xfId="0" applyFont="1" applyFill="1" applyBorder="1" applyAlignment="1">
      <alignment horizontal="center" vertical="center" wrapText="1"/>
    </xf>
    <xf numFmtId="0" fontId="28" fillId="35" borderId="11" xfId="0" applyFont="1" applyFill="1" applyBorder="1" applyAlignment="1">
      <alignment vertical="center" wrapText="1"/>
    </xf>
    <xf numFmtId="14" fontId="28" fillId="35" borderId="11" xfId="0" applyNumberFormat="1" applyFont="1" applyFill="1" applyBorder="1" applyAlignment="1">
      <alignment horizontal="center" vertical="center" wrapText="1"/>
    </xf>
    <xf numFmtId="0" fontId="28" fillId="35" borderId="11" xfId="0" applyFont="1" applyFill="1" applyBorder="1" applyAlignment="1">
      <alignment horizontal="center" vertical="center"/>
    </xf>
    <xf numFmtId="0" fontId="28" fillId="0" borderId="11" xfId="0" applyFont="1" applyBorder="1" applyAlignment="1">
      <alignment horizontal="center" vertical="center"/>
    </xf>
    <xf numFmtId="0" fontId="28" fillId="36" borderId="11" xfId="0" applyFont="1" applyFill="1" applyBorder="1" applyAlignment="1">
      <alignment horizontal="center" vertical="center"/>
    </xf>
    <xf numFmtId="0" fontId="2" fillId="0" borderId="23" xfId="11" applyFont="1" applyBorder="1"/>
    <xf numFmtId="0" fontId="2" fillId="0" borderId="24" xfId="11" applyFont="1" applyBorder="1"/>
    <xf numFmtId="0" fontId="58" fillId="6" borderId="25" xfId="1" applyNumberFormat="1" applyBorder="1"/>
    <xf numFmtId="0" fontId="75" fillId="0" borderId="0" xfId="3" applyFont="1" applyAlignment="1" applyProtection="1">
      <alignment horizontal="center" vertical="center" wrapText="1"/>
      <protection locked="0"/>
    </xf>
    <xf numFmtId="0" fontId="28" fillId="0" borderId="0" xfId="3" applyAlignment="1">
      <alignment vertical="center" wrapText="1"/>
    </xf>
    <xf numFmtId="0" fontId="66" fillId="16" borderId="2" xfId="3" applyFont="1" applyFill="1" applyBorder="1" applyAlignment="1" applyProtection="1">
      <alignment horizontal="center" vertical="center" shrinkToFit="1"/>
      <protection locked="0"/>
    </xf>
    <xf numFmtId="0" fontId="66" fillId="16" borderId="0" xfId="3" applyFont="1" applyFill="1" applyAlignment="1" applyProtection="1">
      <alignment horizontal="center" vertical="center" shrinkToFit="1"/>
      <protection locked="0"/>
    </xf>
    <xf numFmtId="0" fontId="66" fillId="16" borderId="3" xfId="3" applyFont="1" applyFill="1" applyBorder="1" applyAlignment="1" applyProtection="1">
      <alignment horizontal="center" vertical="center" shrinkToFit="1"/>
      <protection locked="0"/>
    </xf>
    <xf numFmtId="0" fontId="28" fillId="0" borderId="4" xfId="3" applyBorder="1" applyAlignment="1" applyProtection="1">
      <alignment horizontal="right" vertical="top" wrapText="1" shrinkToFit="1"/>
      <protection locked="0"/>
    </xf>
    <xf numFmtId="0" fontId="28" fillId="0" borderId="5" xfId="3" applyBorder="1" applyAlignment="1" applyProtection="1">
      <alignment horizontal="right" vertical="top" wrapText="1" shrinkToFit="1"/>
      <protection locked="0"/>
    </xf>
    <xf numFmtId="0" fontId="67" fillId="0" borderId="5" xfId="0" applyFont="1" applyBorder="1" applyAlignment="1" applyProtection="1">
      <alignment horizontal="left" vertical="top" wrapText="1" shrinkToFit="1"/>
      <protection locked="0"/>
    </xf>
    <xf numFmtId="0" fontId="67" fillId="0" borderId="6" xfId="0" applyFont="1" applyBorder="1" applyAlignment="1" applyProtection="1">
      <alignment horizontal="left" vertical="top" wrapText="1" shrinkToFit="1"/>
      <protection locked="0"/>
    </xf>
    <xf numFmtId="0" fontId="30" fillId="0" borderId="5" xfId="3" applyFont="1" applyBorder="1" applyAlignment="1" applyProtection="1">
      <alignment horizontal="left" vertical="top" wrapText="1" shrinkToFit="1"/>
      <protection locked="0"/>
    </xf>
    <xf numFmtId="0" fontId="69" fillId="0" borderId="5" xfId="3" applyFont="1" applyBorder="1" applyAlignment="1" applyProtection="1">
      <alignment horizontal="left" vertical="top" shrinkToFit="1"/>
      <protection locked="0"/>
    </xf>
    <xf numFmtId="0" fontId="69" fillId="0" borderId="6" xfId="3" applyFont="1" applyBorder="1" applyAlignment="1" applyProtection="1">
      <alignment horizontal="left" vertical="top" shrinkToFit="1"/>
      <protection locked="0"/>
    </xf>
    <xf numFmtId="0" fontId="66" fillId="16" borderId="7" xfId="3" applyFont="1" applyFill="1" applyBorder="1" applyAlignment="1" applyProtection="1">
      <alignment horizontal="center" vertical="center" shrinkToFit="1"/>
      <protection locked="0"/>
    </xf>
    <xf numFmtId="0" fontId="66" fillId="16" borderId="8" xfId="3" applyFont="1" applyFill="1" applyBorder="1" applyAlignment="1" applyProtection="1">
      <alignment horizontal="center" vertical="center" shrinkToFit="1"/>
      <protection locked="0"/>
    </xf>
    <xf numFmtId="0" fontId="66" fillId="16" borderId="9" xfId="3" applyFont="1" applyFill="1" applyBorder="1" applyAlignment="1" applyProtection="1">
      <alignment horizontal="center" vertical="center" shrinkToFit="1"/>
      <protection locked="0"/>
    </xf>
    <xf numFmtId="0" fontId="28" fillId="0" borderId="4" xfId="3" applyBorder="1" applyAlignment="1" applyProtection="1">
      <alignment horizontal="center" vertical="top" wrapText="1" shrinkToFit="1"/>
      <protection locked="0"/>
    </xf>
    <xf numFmtId="0" fontId="28" fillId="0" borderId="5" xfId="3" applyBorder="1" applyAlignment="1" applyProtection="1">
      <alignment horizontal="center" vertical="top" wrapText="1" shrinkToFit="1"/>
      <protection locked="0"/>
    </xf>
    <xf numFmtId="0" fontId="28" fillId="0" borderId="6" xfId="3" applyBorder="1" applyAlignment="1" applyProtection="1">
      <alignment horizontal="center" vertical="top" wrapText="1" shrinkToFit="1"/>
      <protection locked="0"/>
    </xf>
    <xf numFmtId="0" fontId="66" fillId="16" borderId="8" xfId="3" applyFont="1" applyFill="1" applyBorder="1" applyAlignment="1" applyProtection="1">
      <alignment horizontal="center" vertical="center" wrapText="1"/>
      <protection locked="0"/>
    </xf>
    <xf numFmtId="0" fontId="66" fillId="16" borderId="0" xfId="3" applyFont="1" applyFill="1" applyAlignment="1" applyProtection="1">
      <alignment horizontal="center" vertical="center" wrapText="1"/>
      <protection locked="0"/>
    </xf>
    <xf numFmtId="0" fontId="28" fillId="0" borderId="7" xfId="3" applyBorder="1" applyAlignment="1" applyProtection="1">
      <alignment horizontal="left" vertical="top"/>
      <protection locked="0"/>
    </xf>
    <xf numFmtId="0" fontId="28" fillId="0" borderId="8" xfId="3" applyBorder="1" applyAlignment="1" applyProtection="1">
      <alignment horizontal="left" vertical="top"/>
      <protection locked="0"/>
    </xf>
    <xf numFmtId="0" fontId="28" fillId="0" borderId="9" xfId="3" applyBorder="1" applyAlignment="1" applyProtection="1">
      <alignment horizontal="left" vertical="top"/>
      <protection locked="0"/>
    </xf>
    <xf numFmtId="0" fontId="28" fillId="0" borderId="4" xfId="3" applyBorder="1" applyAlignment="1" applyProtection="1">
      <alignment horizontal="left" vertical="top"/>
      <protection locked="0"/>
    </xf>
    <xf numFmtId="0" fontId="28" fillId="0" borderId="5" xfId="3" applyBorder="1" applyAlignment="1" applyProtection="1">
      <alignment horizontal="left" vertical="top"/>
      <protection locked="0"/>
    </xf>
    <xf numFmtId="0" fontId="28" fillId="0" borderId="6" xfId="3" applyBorder="1" applyAlignment="1" applyProtection="1">
      <alignment horizontal="left" vertical="top"/>
      <protection locked="0"/>
    </xf>
    <xf numFmtId="0" fontId="66" fillId="16" borderId="2" xfId="3" applyFont="1" applyFill="1" applyBorder="1" applyAlignment="1" applyProtection="1">
      <alignment horizontal="center" vertical="center" wrapText="1" shrinkToFit="1"/>
      <protection locked="0"/>
    </xf>
    <xf numFmtId="0" fontId="66" fillId="16" borderId="0" xfId="3" applyFont="1" applyFill="1" applyAlignment="1" applyProtection="1">
      <alignment horizontal="center" vertical="center" wrapText="1" shrinkToFit="1"/>
      <protection locked="0"/>
    </xf>
    <xf numFmtId="0" fontId="85" fillId="25" borderId="14" xfId="12" applyAlignment="1" applyProtection="1">
      <alignment horizontal="center" vertical="center"/>
      <protection locked="0"/>
    </xf>
    <xf numFmtId="0" fontId="33" fillId="0" borderId="7" xfId="3" applyFont="1" applyBorder="1" applyAlignment="1">
      <alignment horizontal="left" vertical="center" wrapText="1"/>
    </xf>
    <xf numFmtId="0" fontId="33" fillId="0" borderId="8" xfId="3" applyFont="1" applyBorder="1" applyAlignment="1">
      <alignment horizontal="left" vertical="center" wrapText="1"/>
    </xf>
    <xf numFmtId="0" fontId="33" fillId="0" borderId="9" xfId="3" applyFont="1" applyBorder="1" applyAlignment="1">
      <alignment horizontal="left" vertical="center" wrapText="1"/>
    </xf>
    <xf numFmtId="0" fontId="33" fillId="0" borderId="7" xfId="3" applyFont="1" applyBorder="1" applyAlignment="1">
      <alignment horizontal="left" vertical="center" shrinkToFit="1"/>
    </xf>
    <xf numFmtId="0" fontId="33" fillId="0" borderId="8" xfId="3" applyFont="1" applyBorder="1" applyAlignment="1">
      <alignment horizontal="left" vertical="center" shrinkToFit="1"/>
    </xf>
    <xf numFmtId="0" fontId="33" fillId="0" borderId="9" xfId="3" applyFont="1" applyBorder="1" applyAlignment="1">
      <alignment horizontal="left" vertical="center" shrinkToFit="1"/>
    </xf>
    <xf numFmtId="0" fontId="64" fillId="0" borderId="4" xfId="0" applyFont="1" applyBorder="1" applyAlignment="1">
      <alignment horizontal="left" vertical="center" shrinkToFit="1"/>
    </xf>
    <xf numFmtId="0" fontId="64" fillId="0" borderId="5" xfId="0" applyFont="1" applyBorder="1" applyAlignment="1">
      <alignment horizontal="left" vertical="center" shrinkToFit="1"/>
    </xf>
    <xf numFmtId="0" fontId="64" fillId="0" borderId="6" xfId="0" applyFont="1" applyBorder="1" applyAlignment="1">
      <alignment horizontal="left" vertical="center" shrinkToFit="1"/>
    </xf>
    <xf numFmtId="0" fontId="64" fillId="0" borderId="4" xfId="3" applyFont="1" applyBorder="1" applyAlignment="1">
      <alignment horizontal="left" vertical="center" shrinkToFit="1"/>
    </xf>
    <xf numFmtId="0" fontId="64" fillId="0" borderId="5" xfId="3" applyFont="1" applyBorder="1" applyAlignment="1">
      <alignment horizontal="left" vertical="center" shrinkToFit="1"/>
    </xf>
    <xf numFmtId="0" fontId="64" fillId="0" borderId="6" xfId="3" applyFont="1" applyBorder="1" applyAlignment="1">
      <alignment horizontal="left" vertical="center" shrinkToFit="1"/>
    </xf>
    <xf numFmtId="49" fontId="28" fillId="0" borderId="10" xfId="3" applyNumberFormat="1" applyBorder="1" applyAlignment="1" applyProtection="1">
      <alignment horizontal="center" vertical="center" wrapText="1"/>
      <protection locked="0"/>
    </xf>
    <xf numFmtId="49" fontId="28" fillId="0" borderId="19" xfId="3" applyNumberFormat="1" applyBorder="1" applyAlignment="1" applyProtection="1">
      <alignment horizontal="center" vertical="center" wrapText="1"/>
      <protection locked="0"/>
    </xf>
    <xf numFmtId="49" fontId="28" fillId="0" borderId="11" xfId="3" applyNumberFormat="1" applyBorder="1" applyAlignment="1" applyProtection="1">
      <alignment horizontal="center" vertical="center" wrapText="1"/>
      <protection locked="0"/>
    </xf>
    <xf numFmtId="0" fontId="28" fillId="0" borderId="10" xfId="3" applyBorder="1" applyAlignment="1">
      <alignment horizontal="left" vertical="center" wrapText="1"/>
    </xf>
    <xf numFmtId="0" fontId="28" fillId="0" borderId="19" xfId="3" applyBorder="1" applyAlignment="1">
      <alignment horizontal="left" vertical="center" wrapText="1"/>
    </xf>
    <xf numFmtId="0" fontId="28" fillId="0" borderId="11" xfId="3" applyBorder="1" applyAlignment="1">
      <alignment horizontal="left" vertical="center" wrapText="1"/>
    </xf>
    <xf numFmtId="0" fontId="59" fillId="0" borderId="10" xfId="2" applyBorder="1" applyAlignment="1">
      <alignment horizontal="left" vertical="center" wrapText="1"/>
    </xf>
    <xf numFmtId="49" fontId="28" fillId="0" borderId="1" xfId="3" applyNumberFormat="1" applyBorder="1" applyAlignment="1" applyProtection="1">
      <alignment horizontal="left" vertical="center" wrapText="1"/>
      <protection locked="0"/>
    </xf>
    <xf numFmtId="0" fontId="28" fillId="0" borderId="1" xfId="3" applyBorder="1" applyAlignment="1">
      <alignment horizontal="left" vertical="center" wrapText="1"/>
    </xf>
    <xf numFmtId="49" fontId="28" fillId="0" borderId="1" xfId="3" applyNumberFormat="1" applyBorder="1" applyAlignment="1" applyProtection="1">
      <alignment vertical="center" wrapText="1"/>
      <protection locked="0"/>
    </xf>
    <xf numFmtId="0" fontId="47" fillId="18" borderId="1" xfId="3" applyFont="1" applyFill="1" applyBorder="1" applyAlignment="1" applyProtection="1">
      <alignment horizontal="center" vertical="center" wrapText="1"/>
      <protection locked="0"/>
    </xf>
    <xf numFmtId="0" fontId="81" fillId="20" borderId="1" xfId="3" applyFont="1" applyFill="1" applyBorder="1" applyAlignment="1">
      <alignment horizontal="center" vertical="center" wrapText="1"/>
    </xf>
    <xf numFmtId="0" fontId="28" fillId="0" borderId="1" xfId="3" applyBorder="1" applyAlignment="1">
      <alignment horizontal="center" vertical="center" wrapText="1"/>
    </xf>
    <xf numFmtId="14" fontId="28" fillId="0" borderId="10" xfId="3" applyNumberFormat="1" applyBorder="1" applyAlignment="1" applyProtection="1">
      <alignment horizontal="left" vertical="center" wrapText="1"/>
      <protection locked="0"/>
    </xf>
    <xf numFmtId="14" fontId="28" fillId="0" borderId="19" xfId="3" applyNumberFormat="1" applyBorder="1" applyAlignment="1" applyProtection="1">
      <alignment horizontal="left" vertical="center" wrapText="1"/>
      <protection locked="0"/>
    </xf>
    <xf numFmtId="14" fontId="28" fillId="0" borderId="11" xfId="3" applyNumberFormat="1" applyBorder="1" applyAlignment="1" applyProtection="1">
      <alignment horizontal="left" vertical="center" wrapText="1"/>
      <protection locked="0"/>
    </xf>
    <xf numFmtId="49" fontId="28" fillId="0" borderId="1" xfId="3" applyNumberFormat="1" applyBorder="1" applyAlignment="1">
      <alignment horizontal="left" vertical="center" wrapText="1"/>
    </xf>
    <xf numFmtId="49" fontId="28" fillId="0" borderId="1" xfId="3" applyNumberFormat="1" applyBorder="1" applyAlignment="1" applyProtection="1">
      <alignment horizontal="center" vertical="center" wrapText="1"/>
      <protection locked="0"/>
    </xf>
    <xf numFmtId="49" fontId="28" fillId="0" borderId="1" xfId="3" applyNumberFormat="1" applyBorder="1" applyAlignment="1">
      <alignment horizontal="center" vertical="center" wrapText="1"/>
    </xf>
    <xf numFmtId="49" fontId="28" fillId="22" borderId="1" xfId="3" applyNumberFormat="1" applyFill="1" applyBorder="1" applyAlignment="1" applyProtection="1">
      <alignment horizontal="center" vertical="center" wrapText="1"/>
      <protection locked="0"/>
    </xf>
    <xf numFmtId="49" fontId="28" fillId="32" borderId="1" xfId="3" applyNumberFormat="1" applyFont="1" applyFill="1" applyBorder="1" applyAlignment="1" applyProtection="1">
      <alignment horizontal="center" vertical="center" wrapText="1"/>
      <protection locked="0"/>
    </xf>
    <xf numFmtId="49" fontId="61" fillId="24" borderId="1" xfId="3" applyNumberFormat="1" applyFont="1" applyFill="1" applyBorder="1" applyAlignment="1" applyProtection="1">
      <alignment horizontal="center" vertical="center" wrapText="1"/>
      <protection locked="0"/>
    </xf>
    <xf numFmtId="0" fontId="33" fillId="17" borderId="7" xfId="3" applyFont="1" applyFill="1" applyBorder="1" applyAlignment="1">
      <alignment horizontal="left" vertical="center" shrinkToFit="1"/>
    </xf>
    <xf numFmtId="0" fontId="33" fillId="17" borderId="8" xfId="3" applyFont="1" applyFill="1" applyBorder="1" applyAlignment="1">
      <alignment horizontal="left" vertical="center" shrinkToFit="1"/>
    </xf>
    <xf numFmtId="0" fontId="33" fillId="17" borderId="9" xfId="3" applyFont="1" applyFill="1" applyBorder="1" applyAlignment="1">
      <alignment horizontal="left" vertical="center" shrinkToFit="1"/>
    </xf>
    <xf numFmtId="0" fontId="65" fillId="17" borderId="4" xfId="3" applyFont="1" applyFill="1" applyBorder="1" applyAlignment="1">
      <alignment horizontal="left" vertical="center" shrinkToFit="1"/>
    </xf>
    <xf numFmtId="0" fontId="65" fillId="17" borderId="5" xfId="3" applyFont="1" applyFill="1" applyBorder="1" applyAlignment="1">
      <alignment horizontal="left" vertical="center" shrinkToFit="1"/>
    </xf>
    <xf numFmtId="0" fontId="65" fillId="17" borderId="6" xfId="3" applyFont="1" applyFill="1" applyBorder="1" applyAlignment="1">
      <alignment horizontal="left" vertical="center" shrinkToFit="1"/>
    </xf>
    <xf numFmtId="0" fontId="28" fillId="18" borderId="1" xfId="3" applyFill="1" applyBorder="1" applyAlignment="1" applyProtection="1">
      <alignment horizontal="center" vertical="center" wrapText="1"/>
      <protection locked="0"/>
    </xf>
    <xf numFmtId="49" fontId="28" fillId="19" borderId="1" xfId="3" applyNumberFormat="1" applyFill="1" applyBorder="1" applyAlignment="1" applyProtection="1">
      <alignment horizontal="center" vertical="center" wrapText="1"/>
      <protection locked="0"/>
    </xf>
    <xf numFmtId="0" fontId="33" fillId="17" borderId="7" xfId="3" applyFont="1" applyFill="1" applyBorder="1" applyAlignment="1">
      <alignment horizontal="left" vertical="center" wrapText="1"/>
    </xf>
    <xf numFmtId="0" fontId="33" fillId="17" borderId="8" xfId="3" applyFont="1" applyFill="1" applyBorder="1" applyAlignment="1">
      <alignment horizontal="left" vertical="center" wrapText="1"/>
    </xf>
    <xf numFmtId="0" fontId="33" fillId="17" borderId="9" xfId="3" applyFont="1" applyFill="1" applyBorder="1" applyAlignment="1">
      <alignment horizontal="left" vertical="center" wrapText="1"/>
    </xf>
    <xf numFmtId="0" fontId="64" fillId="17" borderId="4" xfId="3" applyFont="1" applyFill="1" applyBorder="1" applyAlignment="1">
      <alignment horizontal="left" vertical="center" shrinkToFit="1"/>
    </xf>
    <xf numFmtId="0" fontId="64" fillId="17" borderId="5" xfId="3" applyFont="1" applyFill="1" applyBorder="1" applyAlignment="1">
      <alignment horizontal="left" vertical="center" shrinkToFit="1"/>
    </xf>
    <xf numFmtId="0" fontId="64" fillId="17" borderId="6" xfId="3" applyFont="1" applyFill="1" applyBorder="1" applyAlignment="1">
      <alignment horizontal="left" vertical="center" shrinkToFit="1"/>
    </xf>
    <xf numFmtId="49" fontId="28" fillId="23" borderId="1" xfId="3" applyNumberFormat="1" applyFill="1" applyBorder="1" applyAlignment="1" applyProtection="1">
      <alignment horizontal="center" vertical="center" wrapText="1"/>
      <protection locked="0"/>
    </xf>
    <xf numFmtId="0" fontId="99" fillId="2" borderId="10" xfId="7" applyFont="1" applyFill="1" applyBorder="1" applyAlignment="1">
      <alignment horizontal="center" vertical="center"/>
    </xf>
    <xf numFmtId="0" fontId="99" fillId="2" borderId="19" xfId="7" applyFont="1" applyFill="1" applyBorder="1" applyAlignment="1">
      <alignment horizontal="center" vertical="center"/>
    </xf>
    <xf numFmtId="0" fontId="99" fillId="2" borderId="11" xfId="7" applyFont="1" applyFill="1" applyBorder="1" applyAlignment="1">
      <alignment horizontal="center" vertical="center"/>
    </xf>
    <xf numFmtId="0" fontId="35" fillId="2" borderId="10" xfId="7" applyFill="1" applyBorder="1" applyAlignment="1">
      <alignment horizontal="justify" vertical="center" wrapText="1"/>
    </xf>
    <xf numFmtId="0" fontId="35" fillId="2" borderId="19" xfId="7" applyFill="1" applyBorder="1" applyAlignment="1">
      <alignment horizontal="justify" vertical="center" wrapText="1"/>
    </xf>
    <xf numFmtId="0" fontId="35" fillId="2" borderId="11" xfId="7" applyFill="1" applyBorder="1" applyAlignment="1">
      <alignment horizontal="justify" vertical="center" wrapText="1"/>
    </xf>
    <xf numFmtId="0" fontId="29" fillId="21" borderId="2" xfId="0" applyFont="1" applyFill="1" applyBorder="1" applyAlignment="1">
      <alignment horizontal="center" vertical="top" textRotation="45"/>
    </xf>
    <xf numFmtId="0" fontId="29" fillId="9" borderId="2" xfId="0" applyFont="1" applyFill="1" applyBorder="1" applyAlignment="1">
      <alignment horizontal="center" vertical="center" textRotation="45"/>
    </xf>
    <xf numFmtId="0" fontId="36" fillId="3" borderId="7" xfId="7" applyFont="1" applyFill="1" applyBorder="1" applyAlignment="1">
      <alignment horizontal="center" vertical="distributed"/>
    </xf>
    <xf numFmtId="0" fontId="36" fillId="3" borderId="8" xfId="7" applyFont="1" applyFill="1" applyBorder="1" applyAlignment="1">
      <alignment horizontal="center" vertical="distributed"/>
    </xf>
    <xf numFmtId="0" fontId="36" fillId="3" borderId="9" xfId="7" applyFont="1" applyFill="1" applyBorder="1" applyAlignment="1">
      <alignment horizontal="center" vertical="distributed"/>
    </xf>
    <xf numFmtId="0" fontId="29" fillId="3" borderId="7" xfId="0" applyFont="1" applyFill="1" applyBorder="1" applyAlignment="1">
      <alignment horizontal="center" wrapText="1"/>
    </xf>
    <xf numFmtId="0" fontId="29" fillId="3" borderId="8" xfId="0" applyFont="1" applyFill="1" applyBorder="1" applyAlignment="1">
      <alignment horizontal="center" wrapText="1"/>
    </xf>
    <xf numFmtId="0" fontId="29" fillId="3" borderId="9" xfId="0" applyFont="1" applyFill="1" applyBorder="1" applyAlignment="1">
      <alignment horizontal="center" wrapText="1"/>
    </xf>
    <xf numFmtId="0" fontId="28" fillId="2" borderId="10" xfId="0" applyFont="1" applyFill="1" applyBorder="1" applyAlignment="1">
      <alignment horizontal="left" vertical="center" wrapText="1" shrinkToFit="1"/>
    </xf>
    <xf numFmtId="0" fontId="28" fillId="2" borderId="11" xfId="0" applyFont="1" applyFill="1" applyBorder="1" applyAlignment="1">
      <alignment horizontal="left" vertical="center" wrapText="1" shrinkToFit="1"/>
    </xf>
    <xf numFmtId="0" fontId="88" fillId="28" borderId="4" xfId="13" applyFont="1" applyFill="1" applyBorder="1" applyAlignment="1" applyProtection="1">
      <alignment horizontal="center" vertical="center" wrapText="1"/>
      <protection locked="0"/>
    </xf>
    <xf numFmtId="0" fontId="88" fillId="28" borderId="5" xfId="13" applyFont="1" applyFill="1" applyBorder="1" applyAlignment="1" applyProtection="1">
      <alignment horizontal="center" vertical="center" wrapText="1"/>
      <protection locked="0"/>
    </xf>
    <xf numFmtId="0" fontId="88" fillId="28" borderId="6" xfId="13" applyFont="1" applyFill="1" applyBorder="1" applyAlignment="1" applyProtection="1">
      <alignment horizontal="center" vertical="center" wrapText="1"/>
      <protection locked="0"/>
    </xf>
    <xf numFmtId="0" fontId="88" fillId="16" borderId="4" xfId="13" applyFont="1" applyFill="1" applyBorder="1" applyAlignment="1" applyProtection="1">
      <alignment horizontal="center" vertical="center" wrapText="1"/>
    </xf>
    <xf numFmtId="0" fontId="88" fillId="16" borderId="5" xfId="13" applyFont="1" applyFill="1" applyBorder="1" applyAlignment="1" applyProtection="1">
      <alignment horizontal="center" vertical="center" wrapText="1"/>
    </xf>
    <xf numFmtId="0" fontId="85" fillId="25" borderId="14" xfId="12" applyAlignment="1">
      <alignment horizontal="left" vertical="center"/>
    </xf>
    <xf numFmtId="0" fontId="38" fillId="8" borderId="5" xfId="0" applyFont="1" applyFill="1" applyBorder="1" applyAlignment="1">
      <alignment horizontal="center" vertical="center"/>
    </xf>
    <xf numFmtId="0" fontId="38" fillId="8" borderId="6" xfId="0" applyFont="1" applyFill="1" applyBorder="1" applyAlignment="1">
      <alignment horizontal="center" vertical="center"/>
    </xf>
    <xf numFmtId="0" fontId="93" fillId="28" borderId="10" xfId="2" applyFont="1" applyFill="1" applyBorder="1" applyAlignment="1" applyProtection="1">
      <alignment horizontal="center" vertical="center" wrapText="1"/>
      <protection locked="0"/>
    </xf>
    <xf numFmtId="0" fontId="93" fillId="28" borderId="11" xfId="2" applyFont="1" applyFill="1" applyBorder="1" applyAlignment="1" applyProtection="1">
      <alignment horizontal="center" vertical="center" wrapText="1"/>
      <protection locked="0"/>
    </xf>
    <xf numFmtId="0" fontId="1" fillId="0" borderId="0" xfId="11" applyFont="1" applyFill="1" applyBorder="1"/>
  </cellXfs>
  <cellStyles count="35">
    <cellStyle name="40% - Accent5" xfId="14" builtinId="47"/>
    <cellStyle name="40% - Accent5 10" xfId="24" xr:uid="{71FE0213-9191-4153-A5D2-33B8E56BD405}"/>
    <cellStyle name="40% - Accent5 11" xfId="25" xr:uid="{F369736D-7287-4981-8DF2-BA2D29733ACB}"/>
    <cellStyle name="40% - Accent5 12" xfId="26" xr:uid="{489C2876-813A-48F8-96C1-6D03DD0506F8}"/>
    <cellStyle name="40% - Accent5 13" xfId="28" xr:uid="{EA2CC223-53D7-4809-B657-51EE9B011B78}"/>
    <cellStyle name="40% - Accent5 14" xfId="29" xr:uid="{8B88F9F9-74D1-48B7-BDB3-89F9CBB24CBE}"/>
    <cellStyle name="40% - Accent5 15" xfId="31" xr:uid="{C5D1F1AF-68CA-44BB-AB3D-316AC0451B5A}"/>
    <cellStyle name="40% - Accent5 16" xfId="32" xr:uid="{4916647B-0F3E-4C24-B0D2-6AA1A457DEA6}"/>
    <cellStyle name="40% - Accent5 17" xfId="33" xr:uid="{85D57254-7C8E-4F6B-BD70-ECBC9D53E427}"/>
    <cellStyle name="40% - Accent5 18" xfId="34" xr:uid="{57165348-EDD8-4AD1-9ACE-3306CF237454}"/>
    <cellStyle name="40% - Accent5 2" xfId="16" xr:uid="{E02BD580-0412-40C4-AFB1-B8E78FEEA965}"/>
    <cellStyle name="40% - Accent5 3" xfId="17" xr:uid="{CD09EDFE-0A90-4BBD-A61A-76527B03F746}"/>
    <cellStyle name="40% - Accent5 4" xfId="18" xr:uid="{11F07AEA-9B6E-47DA-8798-70CCEDB37012}"/>
    <cellStyle name="40% - Accent5 5" xfId="19" xr:uid="{3D42A060-751E-49BE-AB77-50870AEEF818}"/>
    <cellStyle name="40% - Accent5 6" xfId="20" xr:uid="{D7C1948A-9FF2-41D0-8C88-E40F62306856}"/>
    <cellStyle name="40% - Accent5 7" xfId="21" xr:uid="{D7852DCF-5584-44C4-A0CC-F2B2052A96D6}"/>
    <cellStyle name="40% - Accent5 8" xfId="22" xr:uid="{A894F195-D861-4AA9-8383-6A31E5FE71A5}"/>
    <cellStyle name="40% - Accent5 9" xfId="23" xr:uid="{D11E9EA3-7956-4AEF-AEC6-ACE93170BD8C}"/>
    <cellStyle name="Accent5" xfId="13" builtinId="45"/>
    <cellStyle name="Calculation" xfId="1" builtinId="22"/>
    <cellStyle name="Hyperlink" xfId="2" builtinId="8"/>
    <cellStyle name="Input" xfId="12" builtinId="20"/>
    <cellStyle name="Normal" xfId="0" builtinId="0"/>
    <cellStyle name="Normal 2" xfId="3" xr:uid="{00000000-0005-0000-0000-000003000000}"/>
    <cellStyle name="Normal 2 2" xfId="4" xr:uid="{00000000-0005-0000-0000-000004000000}"/>
    <cellStyle name="Normal 2 2 2" xfId="15" xr:uid="{E055202A-6D3D-413F-9F54-8925A63EF0CB}"/>
    <cellStyle name="Normal 2 3" xfId="9" xr:uid="{D4190D66-FBB4-495A-B63D-24107AA25138}"/>
    <cellStyle name="Normal 3" xfId="5" xr:uid="{00000000-0005-0000-0000-000005000000}"/>
    <cellStyle name="Normal 3 2" xfId="6" xr:uid="{00000000-0005-0000-0000-000006000000}"/>
    <cellStyle name="Normal 3 3" xfId="10" xr:uid="{2D8F856E-DEBA-4A4D-A0B8-A8833DC84CF2}"/>
    <cellStyle name="Normal 4" xfId="11" xr:uid="{FA03DA3C-6890-48A9-8E15-AF189BAA96E6}"/>
    <cellStyle name="Normal 5" xfId="27" xr:uid="{26A5E151-93E7-4FA5-8CB5-3BFAC1804680}"/>
    <cellStyle name="Normal_AEF 0XXX M - MA Process Evaluation Form - v2 - draft" xfId="7" xr:uid="{00000000-0005-0000-0000-000007000000}"/>
    <cellStyle name="Output" xfId="8" builtinId="21"/>
    <cellStyle name="Title" xfId="30" builtinId="15"/>
  </cellStyles>
  <dxfs count="374">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rgb="FF92D050"/>
        </patternFill>
      </fill>
    </dxf>
    <dxf>
      <fill>
        <patternFill>
          <bgColor theme="2" tint="-0.24994659260841701"/>
        </patternFill>
      </fill>
    </dxf>
    <dxf>
      <fill>
        <patternFill>
          <bgColor rgb="FFFF0000"/>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22"/>
        </patternFill>
      </fill>
    </dxf>
    <dxf>
      <fill>
        <patternFill>
          <bgColor indexed="22"/>
        </patternFill>
      </fill>
    </dxf>
    <dxf>
      <fill>
        <patternFill>
          <bgColor indexed="22"/>
        </patternFill>
      </fill>
    </dxf>
    <dxf>
      <fill>
        <patternFill>
          <bgColor indexed="22"/>
        </patternFill>
      </fill>
    </dxf>
    <dxf>
      <fill>
        <gradientFill degree="90">
          <stop position="0">
            <color theme="3" tint="0.80001220740379042"/>
          </stop>
          <stop position="1">
            <color theme="4"/>
          </stop>
        </gradientFill>
      </fill>
    </dxf>
    <dxf>
      <fill>
        <gradientFill degree="90">
          <stop position="0">
            <color theme="6" tint="0.80001220740379042"/>
          </stop>
          <stop position="1">
            <color rgb="FF00B050"/>
          </stop>
        </gradientFill>
      </fill>
    </dxf>
    <dxf>
      <fill>
        <gradientFill degree="90">
          <stop position="0">
            <color rgb="FFFFFF00"/>
          </stop>
          <stop position="1">
            <color rgb="FFFFC000"/>
          </stop>
        </gradientFill>
      </fill>
    </dxf>
    <dxf>
      <fill>
        <gradientFill degree="90">
          <stop position="0">
            <color theme="9" tint="0.59999389629810485"/>
          </stop>
          <stop position="1">
            <color rgb="FFFF0000"/>
          </stop>
        </gradientFill>
      </fill>
    </dxf>
    <dxf>
      <fill>
        <patternFill>
          <bgColor indexed="10"/>
        </patternFill>
      </fill>
    </dxf>
    <dxf>
      <fill>
        <patternFill>
          <bgColor indexed="11"/>
        </patternFill>
      </fill>
    </dxf>
    <dxf>
      <fill>
        <patternFill>
          <bgColor indexed="10"/>
        </patternFill>
      </fill>
    </dxf>
    <dxf>
      <fill>
        <patternFill>
          <bgColor indexed="11"/>
        </patternFill>
      </fill>
    </dxf>
    <dxf>
      <fill>
        <patternFill>
          <bgColor indexed="22"/>
        </patternFill>
      </fill>
    </dxf>
    <dxf>
      <fill>
        <patternFill>
          <bgColor indexed="11"/>
        </patternFill>
      </fill>
    </dxf>
    <dxf>
      <fill>
        <patternFill>
          <bgColor indexed="10"/>
        </patternFill>
      </fill>
    </dxf>
    <dxf>
      <fill>
        <patternFill>
          <bgColor indexed="10"/>
        </patternFill>
      </fill>
    </dxf>
    <dxf>
      <fill>
        <patternFill>
          <bgColor indexed="11"/>
        </patternFill>
      </fill>
    </dxf>
    <dxf>
      <numFmt numFmtId="0" formatCode="General"/>
    </dxf>
    <dxf>
      <font>
        <b val="0"/>
        <i val="0"/>
        <strike val="0"/>
        <condense val="0"/>
        <extend val="0"/>
        <outline val="0"/>
        <shadow val="0"/>
        <u val="none"/>
        <vertAlign val="baseline"/>
        <sz val="11"/>
        <color theme="1"/>
        <name val="Calibri"/>
        <family val="2"/>
        <scheme val="minor"/>
      </font>
    </dxf>
    <dxf>
      <border outline="0">
        <top style="thin">
          <color indexed="64"/>
        </top>
      </border>
    </dxf>
    <dxf>
      <border outline="0">
        <bottom style="thin">
          <color indexed="64"/>
        </bottom>
      </border>
    </dxf>
    <dxf>
      <font>
        <b val="0"/>
        <i val="0"/>
        <strike val="0"/>
        <condense val="0"/>
        <extend val="0"/>
        <outline val="0"/>
        <shadow val="0"/>
        <u val="none"/>
        <vertAlign val="baseline"/>
        <sz val="14"/>
        <color theme="1"/>
        <name val="Calibri"/>
        <family val="2"/>
        <scheme val="minor"/>
      </font>
      <fill>
        <patternFill patternType="solid">
          <fgColor indexed="64"/>
          <bgColor theme="0" tint="-0.249977111117893"/>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0"/>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s>
  <tableStyles count="0" defaultTableStyle="TableStyleMedium2"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customXml" Target="../customXml/item5.xml"/><Relationship Id="rId7" Type="http://schemas.openxmlformats.org/officeDocument/2006/relationships/worksheet" Target="worksheets/sheet7.xml"/><Relationship Id="rId12" Type="http://schemas.openxmlformats.org/officeDocument/2006/relationships/externalLink" Target="externalLinks/externalLink3.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externalLink" Target="externalLinks/externalLink1.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 Id="rId22"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Checklist conformity</a:t>
            </a:r>
          </a:p>
        </c:rich>
      </c:tx>
      <c:layout>
        <c:manualLayout>
          <c:xMode val="edge"/>
          <c:yMode val="edge"/>
          <c:x val="0.20698970321017565"/>
          <c:y val="5.2483050926054736E-2"/>
        </c:manualLayout>
      </c:layout>
      <c:overlay val="0"/>
    </c:title>
    <c:autoTitleDeleted val="0"/>
    <c:plotArea>
      <c:layout>
        <c:manualLayout>
          <c:layoutTarget val="inner"/>
          <c:xMode val="edge"/>
          <c:yMode val="edge"/>
          <c:x val="6.8000000000000005E-2"/>
          <c:y val="0.22393864611985348"/>
          <c:w val="0.88342154791626659"/>
          <c:h val="0.60617874897960333"/>
        </c:manualLayout>
      </c:layout>
      <c:barChart>
        <c:barDir val="col"/>
        <c:grouping val="clustered"/>
        <c:varyColors val="0"/>
        <c:ser>
          <c:idx val="0"/>
          <c:order val="0"/>
          <c:spPr>
            <a:solidFill>
              <a:srgbClr val="00B050"/>
            </a:solidFill>
          </c:spPr>
          <c:invertIfNegative val="0"/>
          <c:dPt>
            <c:idx val="1"/>
            <c:invertIfNegative val="0"/>
            <c:bubble3D val="0"/>
            <c:spPr>
              <a:solidFill>
                <a:srgbClr val="FF0000"/>
              </a:solidFill>
            </c:spPr>
            <c:extLst>
              <c:ext xmlns:c16="http://schemas.microsoft.com/office/drawing/2014/chart" uri="{C3380CC4-5D6E-409C-BE32-E72D297353CC}">
                <c16:uniqueId val="{00000000-BE50-4460-9773-B36FA58A0FA9}"/>
              </c:ext>
            </c:extLst>
          </c:dPt>
          <c:dLbls>
            <c:spPr>
              <a:noFill/>
              <a:ln>
                <a:noFill/>
              </a:ln>
              <a:effectLst/>
            </c:spPr>
            <c:txPr>
              <a:bodyPr wrap="square" lIns="38100" tIns="19050" rIns="38100" bIns="19050" anchor="ctr">
                <a:spAutoFit/>
              </a:bodyPr>
              <a:lstStyle/>
              <a:p>
                <a:pPr>
                  <a:defRPr sz="2000"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Metrics!$C$25:$C$26</c:f>
              <c:strCache>
                <c:ptCount val="2"/>
                <c:pt idx="0">
                  <c:v>Conformities</c:v>
                </c:pt>
                <c:pt idx="1">
                  <c:v>Non conformities</c:v>
                </c:pt>
              </c:strCache>
            </c:strRef>
          </c:cat>
          <c:val>
            <c:numRef>
              <c:f>Metrics!$D$25:$D$26</c:f>
              <c:numCache>
                <c:formatCode>General</c:formatCode>
                <c:ptCount val="2"/>
                <c:pt idx="0">
                  <c:v>19</c:v>
                </c:pt>
                <c:pt idx="1">
                  <c:v>1</c:v>
                </c:pt>
              </c:numCache>
            </c:numRef>
          </c:val>
          <c:extLst>
            <c:ext xmlns:c16="http://schemas.microsoft.com/office/drawing/2014/chart" uri="{C3380CC4-5D6E-409C-BE32-E72D297353CC}">
              <c16:uniqueId val="{00000001-BE50-4460-9773-B36FA58A0FA9}"/>
            </c:ext>
          </c:extLst>
        </c:ser>
        <c:dLbls>
          <c:showLegendKey val="0"/>
          <c:showVal val="0"/>
          <c:showCatName val="0"/>
          <c:showSerName val="0"/>
          <c:showPercent val="0"/>
          <c:showBubbleSize val="0"/>
        </c:dLbls>
        <c:gapWidth val="150"/>
        <c:axId val="647719336"/>
        <c:axId val="1"/>
      </c:barChart>
      <c:catAx>
        <c:axId val="647719336"/>
        <c:scaling>
          <c:orientation val="minMax"/>
        </c:scaling>
        <c:delete val="0"/>
        <c:axPos val="b"/>
        <c:numFmt formatCode="General" sourceLinked="1"/>
        <c:majorTickMark val="out"/>
        <c:minorTickMark val="none"/>
        <c:tickLblPos val="nextTo"/>
        <c:txPr>
          <a:bodyPr rot="0" vert="horz"/>
          <a:lstStyle/>
          <a:p>
            <a:pPr>
              <a:defRPr sz="1100" b="0" i="0" u="none" strike="noStrike" baseline="0">
                <a:solidFill>
                  <a:srgbClr val="000000"/>
                </a:solidFill>
                <a:latin typeface="Calibri"/>
                <a:ea typeface="Calibri"/>
                <a:cs typeface="Calibri"/>
              </a:defRPr>
            </a:pPr>
            <a:endParaRPr lang="en-US"/>
          </a:p>
        </c:txPr>
        <c:crossAx val="1"/>
        <c:crosses val="autoZero"/>
        <c:auto val="1"/>
        <c:lblAlgn val="ctr"/>
        <c:lblOffset val="100"/>
        <c:tickLblSkip val="1"/>
        <c:tickMarkSkip val="1"/>
        <c:noMultiLvlLbl val="0"/>
      </c:catAx>
      <c:valAx>
        <c:axId val="1"/>
        <c:scaling>
          <c:orientation val="minMax"/>
        </c:scaling>
        <c:delete val="0"/>
        <c:axPos val="l"/>
        <c:majorGridlines/>
        <c:numFmt formatCode="General" sourceLinked="1"/>
        <c:majorTickMark val="out"/>
        <c:min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647719336"/>
        <c:crosses val="autoZero"/>
        <c:crossBetween val="between"/>
        <c:minorUnit val="1"/>
      </c:valAx>
    </c:plotArea>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alignWithMargins="0"/>
    <c:pageMargins b="1" l="0.75" r="0.75" t="1" header="0.4921259845" footer="0.492125984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Status</a:t>
            </a:r>
          </a:p>
        </c:rich>
      </c:tx>
      <c:overlay val="0"/>
    </c:title>
    <c:autoTitleDeleted val="0"/>
    <c:view3D>
      <c:rotX val="75"/>
      <c:rotY val="0"/>
      <c:rAngAx val="0"/>
      <c:perspective val="0"/>
    </c:view3D>
    <c:floor>
      <c:thickness val="0"/>
    </c:floor>
    <c:sideWall>
      <c:thickness val="0"/>
    </c:sideWall>
    <c:backWall>
      <c:thickness val="0"/>
    </c:backWall>
    <c:plotArea>
      <c:layout/>
      <c:pie3DChart>
        <c:varyColors val="1"/>
        <c:ser>
          <c:idx val="0"/>
          <c:order val="0"/>
          <c:tx>
            <c:strRef>
              <c:f>Metrics!$D$31</c:f>
              <c:strCache>
                <c:ptCount val="1"/>
                <c:pt idx="0">
                  <c:v>Total</c:v>
                </c:pt>
              </c:strCache>
            </c:strRef>
          </c:tx>
          <c:dPt>
            <c:idx val="0"/>
            <c:bubble3D val="0"/>
            <c:spPr>
              <a:solidFill>
                <a:srgbClr val="FF0000"/>
              </a:solidFill>
            </c:spPr>
            <c:extLst>
              <c:ext xmlns:c16="http://schemas.microsoft.com/office/drawing/2014/chart" uri="{C3380CC4-5D6E-409C-BE32-E72D297353CC}">
                <c16:uniqueId val="{00000000-0394-4E67-8269-0406A5D098FB}"/>
              </c:ext>
            </c:extLst>
          </c:dPt>
          <c:dPt>
            <c:idx val="1"/>
            <c:bubble3D val="0"/>
            <c:spPr>
              <a:solidFill>
                <a:srgbClr val="FFC000"/>
              </a:solidFill>
            </c:spPr>
            <c:extLst>
              <c:ext xmlns:c16="http://schemas.microsoft.com/office/drawing/2014/chart" uri="{C3380CC4-5D6E-409C-BE32-E72D297353CC}">
                <c16:uniqueId val="{00000001-0394-4E67-8269-0406A5D098FB}"/>
              </c:ext>
            </c:extLst>
          </c:dPt>
          <c:dPt>
            <c:idx val="2"/>
            <c:bubble3D val="0"/>
            <c:spPr>
              <a:solidFill>
                <a:srgbClr val="00B050"/>
              </a:solidFill>
            </c:spPr>
            <c:extLst>
              <c:ext xmlns:c16="http://schemas.microsoft.com/office/drawing/2014/chart" uri="{C3380CC4-5D6E-409C-BE32-E72D297353CC}">
                <c16:uniqueId val="{00000002-0394-4E67-8269-0406A5D098FB}"/>
              </c:ext>
            </c:extLst>
          </c:dPt>
          <c:dPt>
            <c:idx val="3"/>
            <c:bubble3D val="0"/>
            <c:spPr>
              <a:solidFill>
                <a:srgbClr val="FFFF00"/>
              </a:solidFill>
            </c:spPr>
            <c:extLst>
              <c:ext xmlns:c16="http://schemas.microsoft.com/office/drawing/2014/chart" uri="{C3380CC4-5D6E-409C-BE32-E72D297353CC}">
                <c16:uniqueId val="{00000003-0394-4E67-8269-0406A5D098FB}"/>
              </c:ext>
            </c:extLst>
          </c:dPt>
          <c:dPt>
            <c:idx val="4"/>
            <c:bubble3D val="0"/>
            <c:extLst>
              <c:ext xmlns:c16="http://schemas.microsoft.com/office/drawing/2014/chart" uri="{C3380CC4-5D6E-409C-BE32-E72D297353CC}">
                <c16:uniqueId val="{00000004-0394-4E67-8269-0406A5D098FB}"/>
              </c:ext>
            </c:extLst>
          </c:dPt>
          <c:dLbls>
            <c:spPr>
              <a:noFill/>
              <a:ln w="25400">
                <a:noFill/>
              </a:ln>
            </c:spPr>
            <c:txPr>
              <a:bodyPr wrap="square" lIns="38100" tIns="19050" rIns="38100" bIns="19050" anchor="ctr">
                <a:spAutoFit/>
              </a:bodyPr>
              <a:lstStyle/>
              <a:p>
                <a:pPr>
                  <a:defRPr sz="1100" b="1"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Metrics!$C$32:$C$36</c:f>
              <c:strCache>
                <c:ptCount val="5"/>
                <c:pt idx="0">
                  <c:v>Open</c:v>
                </c:pt>
                <c:pt idx="1">
                  <c:v>To be fixed</c:v>
                </c:pt>
                <c:pt idx="2">
                  <c:v>Fixed</c:v>
                </c:pt>
                <c:pt idx="3">
                  <c:v>Postponed</c:v>
                </c:pt>
                <c:pt idx="4">
                  <c:v>Will not fixed (or invalid)</c:v>
                </c:pt>
              </c:strCache>
            </c:strRef>
          </c:cat>
          <c:val>
            <c:numRef>
              <c:f>Metrics!$D$32:$D$36</c:f>
              <c:numCache>
                <c:formatCode>General</c:formatCode>
                <c:ptCount val="5"/>
                <c:pt idx="0">
                  <c:v>14</c:v>
                </c:pt>
                <c:pt idx="1">
                  <c:v>0</c:v>
                </c:pt>
                <c:pt idx="2">
                  <c:v>0</c:v>
                </c:pt>
                <c:pt idx="3">
                  <c:v>0</c:v>
                </c:pt>
                <c:pt idx="4">
                  <c:v>8</c:v>
                </c:pt>
              </c:numCache>
            </c:numRef>
          </c:val>
          <c:extLst>
            <c:ext xmlns:c16="http://schemas.microsoft.com/office/drawing/2014/chart" uri="{C3380CC4-5D6E-409C-BE32-E72D297353CC}">
              <c16:uniqueId val="{00000005-0394-4E67-8269-0406A5D098FB}"/>
            </c:ext>
          </c:extLst>
        </c:ser>
        <c:dLbls>
          <c:showLegendKey val="0"/>
          <c:showVal val="0"/>
          <c:showCatName val="0"/>
          <c:showSerName val="0"/>
          <c:showPercent val="0"/>
          <c:showBubbleSize val="0"/>
          <c:showLeaderLines val="1"/>
        </c:dLbls>
      </c:pie3DChart>
    </c:plotArea>
    <c:legend>
      <c:legendPos val="r"/>
      <c:overlay val="0"/>
      <c:txPr>
        <a:bodyPr/>
        <a:lstStyle/>
        <a:p>
          <a:pPr>
            <a:defRPr sz="85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Calibri"/>
                <a:ea typeface="Calibri"/>
                <a:cs typeface="Calibri"/>
              </a:defRPr>
            </a:pPr>
            <a:r>
              <a:rPr lang="en-US"/>
              <a:t>Approval status</a:t>
            </a:r>
          </a:p>
        </c:rich>
      </c:tx>
      <c:overlay val="0"/>
    </c:title>
    <c:autoTitleDeleted val="0"/>
    <c:view3D>
      <c:rotX val="75"/>
      <c:rotY val="0"/>
      <c:rAngAx val="0"/>
      <c:perspective val="0"/>
    </c:view3D>
    <c:floor>
      <c:thickness val="0"/>
    </c:floor>
    <c:sideWall>
      <c:thickness val="0"/>
    </c:sideWall>
    <c:backWall>
      <c:thickness val="0"/>
    </c:backWall>
    <c:plotArea>
      <c:layout/>
      <c:pie3DChart>
        <c:varyColors val="1"/>
        <c:ser>
          <c:idx val="0"/>
          <c:order val="0"/>
          <c:tx>
            <c:strRef>
              <c:f>Metrics!$D$40</c:f>
              <c:strCache>
                <c:ptCount val="1"/>
                <c:pt idx="0">
                  <c:v>Total</c:v>
                </c:pt>
              </c:strCache>
            </c:strRef>
          </c:tx>
          <c:dPt>
            <c:idx val="0"/>
            <c:bubble3D val="0"/>
            <c:spPr>
              <a:solidFill>
                <a:srgbClr val="00B050"/>
              </a:solidFill>
            </c:spPr>
            <c:extLst>
              <c:ext xmlns:c16="http://schemas.microsoft.com/office/drawing/2014/chart" uri="{C3380CC4-5D6E-409C-BE32-E72D297353CC}">
                <c16:uniqueId val="{00000000-77C7-4B8A-B4C3-7458033946D6}"/>
              </c:ext>
            </c:extLst>
          </c:dPt>
          <c:dPt>
            <c:idx val="1"/>
            <c:bubble3D val="0"/>
            <c:spPr>
              <a:solidFill>
                <a:srgbClr val="FFC000"/>
              </a:solidFill>
            </c:spPr>
            <c:extLst>
              <c:ext xmlns:c16="http://schemas.microsoft.com/office/drawing/2014/chart" uri="{C3380CC4-5D6E-409C-BE32-E72D297353CC}">
                <c16:uniqueId val="{00000001-77C7-4B8A-B4C3-7458033946D6}"/>
              </c:ext>
            </c:extLst>
          </c:dPt>
          <c:dPt>
            <c:idx val="2"/>
            <c:bubble3D val="0"/>
            <c:spPr>
              <a:solidFill>
                <a:srgbClr val="FF0000"/>
              </a:solidFill>
            </c:spPr>
            <c:extLst>
              <c:ext xmlns:c16="http://schemas.microsoft.com/office/drawing/2014/chart" uri="{C3380CC4-5D6E-409C-BE32-E72D297353CC}">
                <c16:uniqueId val="{00000002-77C7-4B8A-B4C3-7458033946D6}"/>
              </c:ext>
            </c:extLst>
          </c:dPt>
          <c:dLbls>
            <c:spPr>
              <a:noFill/>
              <a:ln w="25400">
                <a:noFill/>
              </a:ln>
            </c:spPr>
            <c:txPr>
              <a:bodyPr wrap="square" lIns="38100" tIns="19050" rIns="38100" bIns="19050" anchor="ctr">
                <a:spAutoFit/>
              </a:bodyPr>
              <a:lstStyle/>
              <a:p>
                <a:pPr>
                  <a:defRPr sz="1100" b="1" i="0" u="none" strike="noStrike" baseline="0">
                    <a:solidFill>
                      <a:srgbClr val="000000"/>
                    </a:solidFill>
                    <a:latin typeface="Calibri"/>
                    <a:ea typeface="Calibri"/>
                    <a:cs typeface="Calibri"/>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Metrics!$C$41:$C$43</c:f>
              <c:strCache>
                <c:ptCount val="3"/>
                <c:pt idx="0">
                  <c:v>Approved (closed)</c:v>
                </c:pt>
                <c:pt idx="1">
                  <c:v>Postponed and approved</c:v>
                </c:pt>
                <c:pt idx="2">
                  <c:v>Not approved</c:v>
                </c:pt>
              </c:strCache>
            </c:strRef>
          </c:cat>
          <c:val>
            <c:numRef>
              <c:f>Metrics!$D$41:$D$43</c:f>
              <c:numCache>
                <c:formatCode>General</c:formatCode>
                <c:ptCount val="3"/>
                <c:pt idx="0">
                  <c:v>8</c:v>
                </c:pt>
                <c:pt idx="1">
                  <c:v>0</c:v>
                </c:pt>
                <c:pt idx="2">
                  <c:v>14</c:v>
                </c:pt>
              </c:numCache>
            </c:numRef>
          </c:val>
          <c:extLst>
            <c:ext xmlns:c16="http://schemas.microsoft.com/office/drawing/2014/chart" uri="{C3380CC4-5D6E-409C-BE32-E72D297353CC}">
              <c16:uniqueId val="{00000003-77C7-4B8A-B4C3-7458033946D6}"/>
            </c:ext>
          </c:extLst>
        </c:ser>
        <c:dLbls>
          <c:showLegendKey val="0"/>
          <c:showVal val="0"/>
          <c:showCatName val="0"/>
          <c:showSerName val="0"/>
          <c:showPercent val="0"/>
          <c:showBubbleSize val="0"/>
          <c:showLeaderLines val="1"/>
        </c:dLbls>
      </c:pie3DChart>
      <c:spPr>
        <a:noFill/>
        <a:ln w="25400">
          <a:noFill/>
        </a:ln>
      </c:spPr>
    </c:plotArea>
    <c:legend>
      <c:legendPos val="r"/>
      <c:overlay val="0"/>
      <c:txPr>
        <a:bodyPr/>
        <a:lstStyle/>
        <a:p>
          <a:pPr>
            <a:defRPr sz="850" b="0" i="0" u="none" strike="noStrike" baseline="0">
              <a:solidFill>
                <a:srgbClr val="000000"/>
              </a:solidFill>
              <a:latin typeface="Calibri"/>
              <a:ea typeface="Calibri"/>
              <a:cs typeface="Calibri"/>
            </a:defRPr>
          </a:pPr>
          <a:endParaRPr lang="en-US"/>
        </a:p>
      </c:txPr>
    </c:legend>
    <c:plotVisOnly val="1"/>
    <c:dispBlanksAs val="gap"/>
    <c:showDLblsOverMax val="0"/>
  </c:chart>
  <c:txPr>
    <a:bodyPr/>
    <a:lstStyle/>
    <a:p>
      <a:pPr>
        <a:defRPr sz="1000" b="0" i="0" u="none" strike="noStrike" baseline="0">
          <a:solidFill>
            <a:srgbClr val="000000"/>
          </a:solidFill>
          <a:latin typeface="Calibri"/>
          <a:ea typeface="Calibri"/>
          <a:cs typeface="Calibri"/>
        </a:defRPr>
      </a:pPr>
      <a:endParaRPr lang="en-US"/>
    </a:p>
  </c:tx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editAs="oneCell">
    <xdr:from>
      <xdr:col>0</xdr:col>
      <xdr:colOff>19050</xdr:colOff>
      <xdr:row>0</xdr:row>
      <xdr:rowOff>0</xdr:rowOff>
    </xdr:from>
    <xdr:to>
      <xdr:col>5</xdr:col>
      <xdr:colOff>18317</xdr:colOff>
      <xdr:row>2</xdr:row>
      <xdr:rowOff>154795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9050" y="0"/>
          <a:ext cx="981075" cy="478645"/>
        </a:xfrm>
        <a:prstGeom prst="rect">
          <a:avLst/>
        </a:prstGeom>
      </xdr:spPr>
    </xdr:pic>
    <xdr:clientData/>
  </xdr:twoCellAnchor>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18" name="ButtonUpdateFrontpage" hidden="1">
              <a:extLst>
                <a:ext uri="{63B3BB69-23CF-44E3-9099-C40C66FF867C}">
                  <a14:compatExt spid="_x0000_s2679818"/>
                </a:ext>
                <a:ext uri="{FF2B5EF4-FFF2-40B4-BE49-F238E27FC236}">
                  <a16:creationId xmlns:a16="http://schemas.microsoft.com/office/drawing/2014/main" id="{00000000-0008-0000-0000-00000A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19" name="ButtonUpdateFrontpage" hidden="1">
              <a:extLst>
                <a:ext uri="{63B3BB69-23CF-44E3-9099-C40C66FF867C}">
                  <a14:compatExt spid="_x0000_s2679819"/>
                </a:ext>
                <a:ext uri="{FF2B5EF4-FFF2-40B4-BE49-F238E27FC236}">
                  <a16:creationId xmlns:a16="http://schemas.microsoft.com/office/drawing/2014/main" id="{00000000-0008-0000-0000-00000B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0" name="ButtonUpdateFrontpage" hidden="1">
              <a:extLst>
                <a:ext uri="{63B3BB69-23CF-44E3-9099-C40C66FF867C}">
                  <a14:compatExt spid="_x0000_s2679820"/>
                </a:ext>
                <a:ext uri="{FF2B5EF4-FFF2-40B4-BE49-F238E27FC236}">
                  <a16:creationId xmlns:a16="http://schemas.microsoft.com/office/drawing/2014/main" id="{00000000-0008-0000-0000-00000C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1" name="ButtonUpdateFrontpage" hidden="1">
              <a:extLst>
                <a:ext uri="{63B3BB69-23CF-44E3-9099-C40C66FF867C}">
                  <a14:compatExt spid="_x0000_s2679821"/>
                </a:ext>
                <a:ext uri="{FF2B5EF4-FFF2-40B4-BE49-F238E27FC236}">
                  <a16:creationId xmlns:a16="http://schemas.microsoft.com/office/drawing/2014/main" id="{00000000-0008-0000-0000-00000D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2" name="ButtonUpdateFrontpage" hidden="1">
              <a:extLst>
                <a:ext uri="{63B3BB69-23CF-44E3-9099-C40C66FF867C}">
                  <a14:compatExt spid="_x0000_s2679822"/>
                </a:ext>
                <a:ext uri="{FF2B5EF4-FFF2-40B4-BE49-F238E27FC236}">
                  <a16:creationId xmlns:a16="http://schemas.microsoft.com/office/drawing/2014/main" id="{00000000-0008-0000-0000-00000E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28" name="ButtonUpdateFrontpage" hidden="1">
              <a:extLst>
                <a:ext uri="{63B3BB69-23CF-44E3-9099-C40C66FF867C}">
                  <a14:compatExt spid="_x0000_s2679828"/>
                </a:ext>
                <a:ext uri="{FF2B5EF4-FFF2-40B4-BE49-F238E27FC236}">
                  <a16:creationId xmlns:a16="http://schemas.microsoft.com/office/drawing/2014/main" id="{00000000-0008-0000-0000-000014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31" name="ButtonUpdateFrontpage" hidden="1">
              <a:extLst>
                <a:ext uri="{63B3BB69-23CF-44E3-9099-C40C66FF867C}">
                  <a14:compatExt spid="_x0000_s2679831"/>
                </a:ext>
                <a:ext uri="{FF2B5EF4-FFF2-40B4-BE49-F238E27FC236}">
                  <a16:creationId xmlns:a16="http://schemas.microsoft.com/office/drawing/2014/main" id="{00000000-0008-0000-0000-000017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0</xdr:row>
          <xdr:rowOff>0</xdr:rowOff>
        </xdr:from>
        <xdr:to>
          <xdr:col>20</xdr:col>
          <xdr:colOff>0</xdr:colOff>
          <xdr:row>1</xdr:row>
          <xdr:rowOff>0</xdr:rowOff>
        </xdr:to>
        <xdr:sp macro="" textlink="">
          <xdr:nvSpPr>
            <xdr:cNvPr id="2679840" name="ButtonUpdateFrontpage" hidden="1">
              <a:extLst>
                <a:ext uri="{63B3BB69-23CF-44E3-9099-C40C66FF867C}">
                  <a14:compatExt spid="_x0000_s2679840"/>
                </a:ext>
                <a:ext uri="{FF2B5EF4-FFF2-40B4-BE49-F238E27FC236}">
                  <a16:creationId xmlns:a16="http://schemas.microsoft.com/office/drawing/2014/main" id="{00000000-0008-0000-0000-000020E428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frontpage...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0</xdr:col>
      <xdr:colOff>0</xdr:colOff>
      <xdr:row>0</xdr:row>
      <xdr:rowOff>0</xdr:rowOff>
    </xdr:from>
    <xdr:ext cx="981075" cy="478645"/>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981075" cy="478645"/>
        </a:xfrm>
        <a:prstGeom prst="rect">
          <a:avLst/>
        </a:prstGeom>
      </xdr:spPr>
    </xdr:pic>
    <xdr:clientData/>
  </xdr:oneCellAnchor>
</xdr:wsDr>
</file>

<file path=xl/drawings/drawing3.xml><?xml version="1.0" encoding="utf-8"?>
<xdr:wsDr xmlns:xdr="http://schemas.openxmlformats.org/drawingml/2006/spreadsheetDrawing" xmlns:a="http://schemas.openxmlformats.org/drawingml/2006/main">
  <xdr:twoCellAnchor>
    <xdr:from>
      <xdr:col>2</xdr:col>
      <xdr:colOff>5410200</xdr:colOff>
      <xdr:row>44</xdr:row>
      <xdr:rowOff>0</xdr:rowOff>
    </xdr:from>
    <xdr:to>
      <xdr:col>3</xdr:col>
      <xdr:colOff>114300</xdr:colOff>
      <xdr:row>47</xdr:row>
      <xdr:rowOff>123825</xdr:rowOff>
    </xdr:to>
    <xdr:sp macro="" textlink="">
      <xdr:nvSpPr>
        <xdr:cNvPr id="41" name="TextBox 40">
          <a:extLst>
            <a:ext uri="{FF2B5EF4-FFF2-40B4-BE49-F238E27FC236}">
              <a16:creationId xmlns:a16="http://schemas.microsoft.com/office/drawing/2014/main" id="{00000000-0008-0000-0200-000029000000}"/>
            </a:ext>
          </a:extLst>
        </xdr:cNvPr>
        <xdr:cNvSpPr txBox="1"/>
      </xdr:nvSpPr>
      <xdr:spPr>
        <a:xfrm>
          <a:off x="6953250" y="11820525"/>
          <a:ext cx="1419225" cy="6096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Whatever the status (fixed, plan to not fix or postponed)</a:t>
          </a:r>
        </a:p>
      </xdr:txBody>
    </xdr:sp>
    <xdr:clientData/>
  </xdr:twoCellAnchor>
  <xdr:twoCellAnchor>
    <xdr:from>
      <xdr:col>2</xdr:col>
      <xdr:colOff>2990849</xdr:colOff>
      <xdr:row>65</xdr:row>
      <xdr:rowOff>9525</xdr:rowOff>
    </xdr:from>
    <xdr:to>
      <xdr:col>2</xdr:col>
      <xdr:colOff>4410074</xdr:colOff>
      <xdr:row>66</xdr:row>
      <xdr:rowOff>123825</xdr:rowOff>
    </xdr:to>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4533899" y="11401425"/>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open</a:t>
          </a:r>
        </a:p>
      </xdr:txBody>
    </xdr:sp>
    <xdr:clientData/>
  </xdr:twoCellAnchor>
  <xdr:twoCellAnchor>
    <xdr:from>
      <xdr:col>2</xdr:col>
      <xdr:colOff>2190750</xdr:colOff>
      <xdr:row>61</xdr:row>
      <xdr:rowOff>47625</xdr:rowOff>
    </xdr:from>
    <xdr:to>
      <xdr:col>2</xdr:col>
      <xdr:colOff>3648075</xdr:colOff>
      <xdr:row>65</xdr:row>
      <xdr:rowOff>28575</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3733800" y="14106525"/>
          <a:ext cx="1457325" cy="6286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A reviewer submits an </a:t>
          </a:r>
          <a:r>
            <a:rPr lang="fr-FR" sz="1100">
              <a:solidFill>
                <a:schemeClr val="dk1"/>
              </a:solidFill>
              <a:effectLst/>
              <a:latin typeface="+mn-lt"/>
              <a:ea typeface="+mn-ea"/>
              <a:cs typeface="+mn-cs"/>
            </a:rPr>
            <a:t>OIN </a:t>
          </a:r>
          <a:r>
            <a:rPr lang="fr-FR" sz="800">
              <a:solidFill>
                <a:schemeClr val="dk1"/>
              </a:solidFill>
              <a:effectLst/>
              <a:latin typeface="+mn-lt"/>
              <a:ea typeface="+mn-ea"/>
              <a:cs typeface="+mn-cs"/>
            </a:rPr>
            <a:t>(Open Issue Number)</a:t>
          </a:r>
          <a:endParaRPr lang="fr-FR" sz="800"/>
        </a:p>
      </xdr:txBody>
    </xdr:sp>
    <xdr:clientData/>
  </xdr:twoCellAnchor>
  <xdr:twoCellAnchor>
    <xdr:from>
      <xdr:col>2</xdr:col>
      <xdr:colOff>3371849</xdr:colOff>
      <xdr:row>73</xdr:row>
      <xdr:rowOff>114300</xdr:rowOff>
    </xdr:from>
    <xdr:to>
      <xdr:col>2</xdr:col>
      <xdr:colOff>4791074</xdr:colOff>
      <xdr:row>75</xdr:row>
      <xdr:rowOff>66675</xdr:rowOff>
    </xdr:to>
    <xdr:sp macro="" textlink="">
      <xdr:nvSpPr>
        <xdr:cNvPr id="5" name="TextBox 4">
          <a:extLst>
            <a:ext uri="{FF2B5EF4-FFF2-40B4-BE49-F238E27FC236}">
              <a16:creationId xmlns:a16="http://schemas.microsoft.com/office/drawing/2014/main" id="{00000000-0008-0000-0200-000005000000}"/>
            </a:ext>
          </a:extLst>
        </xdr:cNvPr>
        <xdr:cNvSpPr txBox="1"/>
      </xdr:nvSpPr>
      <xdr:spPr>
        <a:xfrm>
          <a:off x="4914899" y="12801600"/>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open</a:t>
          </a:r>
        </a:p>
      </xdr:txBody>
    </xdr:sp>
    <xdr:clientData/>
  </xdr:twoCellAnchor>
  <xdr:twoCellAnchor>
    <xdr:from>
      <xdr:col>2</xdr:col>
      <xdr:colOff>2181225</xdr:colOff>
      <xdr:row>69</xdr:row>
      <xdr:rowOff>133350</xdr:rowOff>
    </xdr:from>
    <xdr:to>
      <xdr:col>2</xdr:col>
      <xdr:colOff>3638550</xdr:colOff>
      <xdr:row>74</xdr:row>
      <xdr:rowOff>0</xdr:rowOff>
    </xdr:to>
    <xdr:sp macro="" textlink="">
      <xdr:nvSpPr>
        <xdr:cNvPr id="6" name="TextBox 5">
          <a:extLst>
            <a:ext uri="{FF2B5EF4-FFF2-40B4-BE49-F238E27FC236}">
              <a16:creationId xmlns:a16="http://schemas.microsoft.com/office/drawing/2014/main" id="{00000000-0008-0000-0200-000006000000}"/>
            </a:ext>
          </a:extLst>
        </xdr:cNvPr>
        <xdr:cNvSpPr txBox="1"/>
      </xdr:nvSpPr>
      <xdr:spPr>
        <a:xfrm>
          <a:off x="3724275" y="12172950"/>
          <a:ext cx="1457325" cy="67627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analyses the OIN</a:t>
          </a:r>
        </a:p>
      </xdr:txBody>
    </xdr:sp>
    <xdr:clientData/>
  </xdr:twoCellAnchor>
  <xdr:twoCellAnchor>
    <xdr:from>
      <xdr:col>2</xdr:col>
      <xdr:colOff>571499</xdr:colOff>
      <xdr:row>82</xdr:row>
      <xdr:rowOff>19050</xdr:rowOff>
    </xdr:from>
    <xdr:to>
      <xdr:col>2</xdr:col>
      <xdr:colOff>1990724</xdr:colOff>
      <xdr:row>83</xdr:row>
      <xdr:rowOff>133350</xdr:rowOff>
    </xdr:to>
    <xdr:sp macro="" textlink="">
      <xdr:nvSpPr>
        <xdr:cNvPr id="7" name="TextBox 6">
          <a:extLst>
            <a:ext uri="{FF2B5EF4-FFF2-40B4-BE49-F238E27FC236}">
              <a16:creationId xmlns:a16="http://schemas.microsoft.com/office/drawing/2014/main" id="{00000000-0008-0000-0200-000007000000}"/>
            </a:ext>
          </a:extLst>
        </xdr:cNvPr>
        <xdr:cNvSpPr txBox="1"/>
      </xdr:nvSpPr>
      <xdr:spPr>
        <a:xfrm>
          <a:off x="2114549" y="14163675"/>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to be fixed</a:t>
          </a:r>
        </a:p>
      </xdr:txBody>
    </xdr:sp>
    <xdr:clientData/>
  </xdr:twoCellAnchor>
  <xdr:twoCellAnchor>
    <xdr:from>
      <xdr:col>1</xdr:col>
      <xdr:colOff>962025</xdr:colOff>
      <xdr:row>78</xdr:row>
      <xdr:rowOff>0</xdr:rowOff>
    </xdr:from>
    <xdr:to>
      <xdr:col>2</xdr:col>
      <xdr:colOff>1123950</xdr:colOff>
      <xdr:row>82</xdr:row>
      <xdr:rowOff>57150</xdr:rowOff>
    </xdr:to>
    <xdr:sp macro="" textlink="">
      <xdr:nvSpPr>
        <xdr:cNvPr id="8" name="TextBox 7">
          <a:extLst>
            <a:ext uri="{FF2B5EF4-FFF2-40B4-BE49-F238E27FC236}">
              <a16:creationId xmlns:a16="http://schemas.microsoft.com/office/drawing/2014/main" id="{00000000-0008-0000-0200-000008000000}"/>
            </a:ext>
          </a:extLst>
        </xdr:cNvPr>
        <xdr:cNvSpPr txBox="1"/>
      </xdr:nvSpPr>
      <xdr:spPr>
        <a:xfrm>
          <a:off x="1209675" y="13496925"/>
          <a:ext cx="1457325" cy="70485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decides to fix the OIN</a:t>
          </a:r>
        </a:p>
      </xdr:txBody>
    </xdr:sp>
    <xdr:clientData/>
  </xdr:twoCellAnchor>
  <xdr:twoCellAnchor>
    <xdr:from>
      <xdr:col>2</xdr:col>
      <xdr:colOff>590549</xdr:colOff>
      <xdr:row>92</xdr:row>
      <xdr:rowOff>104775</xdr:rowOff>
    </xdr:from>
    <xdr:to>
      <xdr:col>2</xdr:col>
      <xdr:colOff>2009774</xdr:colOff>
      <xdr:row>94</xdr:row>
      <xdr:rowOff>57150</xdr:rowOff>
    </xdr:to>
    <xdr:sp macro="" textlink="">
      <xdr:nvSpPr>
        <xdr:cNvPr id="9" name="TextBox 8">
          <a:extLst>
            <a:ext uri="{FF2B5EF4-FFF2-40B4-BE49-F238E27FC236}">
              <a16:creationId xmlns:a16="http://schemas.microsoft.com/office/drawing/2014/main" id="{00000000-0008-0000-0200-000009000000}"/>
            </a:ext>
          </a:extLst>
        </xdr:cNvPr>
        <xdr:cNvSpPr txBox="1"/>
      </xdr:nvSpPr>
      <xdr:spPr>
        <a:xfrm>
          <a:off x="2133599" y="15868650"/>
          <a:ext cx="1419225"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fixed</a:t>
          </a:r>
        </a:p>
      </xdr:txBody>
    </xdr:sp>
    <xdr:clientData/>
  </xdr:twoCellAnchor>
  <xdr:twoCellAnchor>
    <xdr:from>
      <xdr:col>1</xdr:col>
      <xdr:colOff>914400</xdr:colOff>
      <xdr:row>88</xdr:row>
      <xdr:rowOff>76200</xdr:rowOff>
    </xdr:from>
    <xdr:to>
      <xdr:col>2</xdr:col>
      <xdr:colOff>1076325</xdr:colOff>
      <xdr:row>92</xdr:row>
      <xdr:rowOff>133350</xdr:rowOff>
    </xdr:to>
    <xdr:sp macro="" textlink="">
      <xdr:nvSpPr>
        <xdr:cNvPr id="10" name="TextBox 9">
          <a:extLst>
            <a:ext uri="{FF2B5EF4-FFF2-40B4-BE49-F238E27FC236}">
              <a16:creationId xmlns:a16="http://schemas.microsoft.com/office/drawing/2014/main" id="{00000000-0008-0000-0200-00000A000000}"/>
            </a:ext>
          </a:extLst>
        </xdr:cNvPr>
        <xdr:cNvSpPr txBox="1"/>
      </xdr:nvSpPr>
      <xdr:spPr>
        <a:xfrm>
          <a:off x="1162050" y="15192375"/>
          <a:ext cx="1457325" cy="704850"/>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algn="ctr"/>
          <a:r>
            <a:rPr lang="fr-FR" sz="1200"/>
            <a:t>The actor has fixed</a:t>
          </a:r>
          <a:r>
            <a:rPr lang="fr-FR" sz="1200" baseline="0"/>
            <a:t> the </a:t>
          </a:r>
          <a:r>
            <a:rPr lang="fr-FR" sz="1100">
              <a:solidFill>
                <a:schemeClr val="dk1"/>
              </a:solidFill>
              <a:effectLst/>
              <a:latin typeface="+mn-lt"/>
              <a:ea typeface="+mn-ea"/>
              <a:cs typeface="+mn-cs"/>
            </a:rPr>
            <a:t>OIN</a:t>
          </a:r>
          <a:endParaRPr lang="fr-FR" sz="1200"/>
        </a:p>
      </xdr:txBody>
    </xdr:sp>
    <xdr:clientData/>
  </xdr:twoCellAnchor>
  <xdr:twoCellAnchor>
    <xdr:from>
      <xdr:col>2</xdr:col>
      <xdr:colOff>3162299</xdr:colOff>
      <xdr:row>82</xdr:row>
      <xdr:rowOff>28575</xdr:rowOff>
    </xdr:from>
    <xdr:to>
      <xdr:col>2</xdr:col>
      <xdr:colOff>4762500</xdr:colOff>
      <xdr:row>83</xdr:row>
      <xdr:rowOff>142875</xdr:rowOff>
    </xdr:to>
    <xdr:sp macro="" textlink="">
      <xdr:nvSpPr>
        <xdr:cNvPr id="11" name="TextBox 10">
          <a:extLst>
            <a:ext uri="{FF2B5EF4-FFF2-40B4-BE49-F238E27FC236}">
              <a16:creationId xmlns:a16="http://schemas.microsoft.com/office/drawing/2014/main" id="{00000000-0008-0000-0200-00000B000000}"/>
            </a:ext>
          </a:extLst>
        </xdr:cNvPr>
        <xdr:cNvSpPr txBox="1"/>
      </xdr:nvSpPr>
      <xdr:spPr>
        <a:xfrm>
          <a:off x="4705349" y="14173200"/>
          <a:ext cx="1600201"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will not be fixed</a:t>
          </a:r>
        </a:p>
      </xdr:txBody>
    </xdr:sp>
    <xdr:clientData/>
  </xdr:twoCellAnchor>
  <xdr:twoCellAnchor>
    <xdr:from>
      <xdr:col>2</xdr:col>
      <xdr:colOff>2162175</xdr:colOff>
      <xdr:row>78</xdr:row>
      <xdr:rowOff>38100</xdr:rowOff>
    </xdr:from>
    <xdr:to>
      <xdr:col>2</xdr:col>
      <xdr:colOff>3619500</xdr:colOff>
      <xdr:row>82</xdr:row>
      <xdr:rowOff>76200</xdr:rowOff>
    </xdr:to>
    <xdr:sp macro="" textlink="">
      <xdr:nvSpPr>
        <xdr:cNvPr id="12" name="TextBox 11">
          <a:extLst>
            <a:ext uri="{FF2B5EF4-FFF2-40B4-BE49-F238E27FC236}">
              <a16:creationId xmlns:a16="http://schemas.microsoft.com/office/drawing/2014/main" id="{00000000-0008-0000-0200-00000C000000}"/>
            </a:ext>
          </a:extLst>
        </xdr:cNvPr>
        <xdr:cNvSpPr txBox="1"/>
      </xdr:nvSpPr>
      <xdr:spPr>
        <a:xfrm>
          <a:off x="3705225" y="13535025"/>
          <a:ext cx="1457325" cy="685800"/>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decides to not fix the OIN</a:t>
          </a:r>
        </a:p>
      </xdr:txBody>
    </xdr:sp>
    <xdr:clientData/>
  </xdr:twoCellAnchor>
  <xdr:twoCellAnchor>
    <xdr:from>
      <xdr:col>2</xdr:col>
      <xdr:colOff>6048374</xdr:colOff>
      <xdr:row>82</xdr:row>
      <xdr:rowOff>28575</xdr:rowOff>
    </xdr:from>
    <xdr:to>
      <xdr:col>4</xdr:col>
      <xdr:colOff>428625</xdr:colOff>
      <xdr:row>83</xdr:row>
      <xdr:rowOff>142875</xdr:rowOff>
    </xdr:to>
    <xdr:sp macro="" textlink="">
      <xdr:nvSpPr>
        <xdr:cNvPr id="13" name="TextBox 12">
          <a:extLst>
            <a:ext uri="{FF2B5EF4-FFF2-40B4-BE49-F238E27FC236}">
              <a16:creationId xmlns:a16="http://schemas.microsoft.com/office/drawing/2014/main" id="{00000000-0008-0000-0200-00000D000000}"/>
            </a:ext>
          </a:extLst>
        </xdr:cNvPr>
        <xdr:cNvSpPr txBox="1"/>
      </xdr:nvSpPr>
      <xdr:spPr>
        <a:xfrm>
          <a:off x="7591424" y="17973675"/>
          <a:ext cx="1704976" cy="276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postponed</a:t>
          </a:r>
        </a:p>
      </xdr:txBody>
    </xdr:sp>
    <xdr:clientData/>
  </xdr:twoCellAnchor>
  <xdr:twoCellAnchor>
    <xdr:from>
      <xdr:col>2</xdr:col>
      <xdr:colOff>5248275</xdr:colOff>
      <xdr:row>78</xdr:row>
      <xdr:rowOff>9525</xdr:rowOff>
    </xdr:from>
    <xdr:to>
      <xdr:col>2</xdr:col>
      <xdr:colOff>6705600</xdr:colOff>
      <xdr:row>82</xdr:row>
      <xdr:rowOff>57150</xdr:rowOff>
    </xdr:to>
    <xdr:sp macro="" textlink="">
      <xdr:nvSpPr>
        <xdr:cNvPr id="14" name="TextBox 13">
          <a:extLst>
            <a:ext uri="{FF2B5EF4-FFF2-40B4-BE49-F238E27FC236}">
              <a16:creationId xmlns:a16="http://schemas.microsoft.com/office/drawing/2014/main" id="{00000000-0008-0000-0200-00000E000000}"/>
            </a:ext>
          </a:extLst>
        </xdr:cNvPr>
        <xdr:cNvSpPr txBox="1"/>
      </xdr:nvSpPr>
      <xdr:spPr>
        <a:xfrm>
          <a:off x="6791325" y="13506450"/>
          <a:ext cx="1457325" cy="69532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will treat the OIN later</a:t>
          </a:r>
        </a:p>
      </xdr:txBody>
    </xdr:sp>
    <xdr:clientData/>
  </xdr:twoCellAnchor>
  <xdr:twoCellAnchor>
    <xdr:from>
      <xdr:col>2</xdr:col>
      <xdr:colOff>6038849</xdr:colOff>
      <xdr:row>93</xdr:row>
      <xdr:rowOff>142875</xdr:rowOff>
    </xdr:from>
    <xdr:to>
      <xdr:col>3</xdr:col>
      <xdr:colOff>590549</xdr:colOff>
      <xdr:row>96</xdr:row>
      <xdr:rowOff>133350</xdr:rowOff>
    </xdr:to>
    <xdr:sp macro="" textlink="">
      <xdr:nvSpPr>
        <xdr:cNvPr id="15" name="TextBox 14">
          <a:extLst>
            <a:ext uri="{FF2B5EF4-FFF2-40B4-BE49-F238E27FC236}">
              <a16:creationId xmlns:a16="http://schemas.microsoft.com/office/drawing/2014/main" id="{00000000-0008-0000-0200-00000F000000}"/>
            </a:ext>
          </a:extLst>
        </xdr:cNvPr>
        <xdr:cNvSpPr txBox="1"/>
      </xdr:nvSpPr>
      <xdr:spPr>
        <a:xfrm>
          <a:off x="7581899" y="16068675"/>
          <a:ext cx="1419225" cy="47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rejected</a:t>
          </a:r>
        </a:p>
      </xdr:txBody>
    </xdr:sp>
    <xdr:clientData/>
  </xdr:twoCellAnchor>
  <xdr:twoCellAnchor>
    <xdr:from>
      <xdr:col>2</xdr:col>
      <xdr:colOff>5238750</xdr:colOff>
      <xdr:row>89</xdr:row>
      <xdr:rowOff>85725</xdr:rowOff>
    </xdr:from>
    <xdr:to>
      <xdr:col>2</xdr:col>
      <xdr:colOff>6696075</xdr:colOff>
      <xdr:row>93</xdr:row>
      <xdr:rowOff>152400</xdr:rowOff>
    </xdr:to>
    <xdr:sp macro="" textlink="">
      <xdr:nvSpPr>
        <xdr:cNvPr id="16" name="TextBox 15">
          <a:extLst>
            <a:ext uri="{FF2B5EF4-FFF2-40B4-BE49-F238E27FC236}">
              <a16:creationId xmlns:a16="http://schemas.microsoft.com/office/drawing/2014/main" id="{00000000-0008-0000-0200-000010000000}"/>
            </a:ext>
          </a:extLst>
        </xdr:cNvPr>
        <xdr:cNvSpPr txBox="1"/>
      </xdr:nvSpPr>
      <xdr:spPr>
        <a:xfrm>
          <a:off x="6781800" y="16173450"/>
          <a:ext cx="1457325" cy="71437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The reviewer does not accept the author decision</a:t>
          </a:r>
        </a:p>
      </xdr:txBody>
    </xdr:sp>
    <xdr:clientData/>
  </xdr:twoCellAnchor>
  <xdr:twoCellAnchor>
    <xdr:from>
      <xdr:col>2</xdr:col>
      <xdr:colOff>2990849</xdr:colOff>
      <xdr:row>105</xdr:row>
      <xdr:rowOff>57150</xdr:rowOff>
    </xdr:from>
    <xdr:to>
      <xdr:col>2</xdr:col>
      <xdr:colOff>4410074</xdr:colOff>
      <xdr:row>106</xdr:row>
      <xdr:rowOff>152400</xdr:rowOff>
    </xdr:to>
    <xdr:sp macro="" textlink="">
      <xdr:nvSpPr>
        <xdr:cNvPr id="17" name="TextBox 16">
          <a:extLst>
            <a:ext uri="{FF2B5EF4-FFF2-40B4-BE49-F238E27FC236}">
              <a16:creationId xmlns:a16="http://schemas.microsoft.com/office/drawing/2014/main" id="{00000000-0008-0000-0200-000011000000}"/>
            </a:ext>
          </a:extLst>
        </xdr:cNvPr>
        <xdr:cNvSpPr txBox="1"/>
      </xdr:nvSpPr>
      <xdr:spPr>
        <a:xfrm>
          <a:off x="4533899" y="19126200"/>
          <a:ext cx="1419225" cy="257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Approved</a:t>
          </a:r>
        </a:p>
      </xdr:txBody>
    </xdr:sp>
    <xdr:clientData/>
  </xdr:twoCellAnchor>
  <xdr:twoCellAnchor>
    <xdr:from>
      <xdr:col>2</xdr:col>
      <xdr:colOff>2190750</xdr:colOff>
      <xdr:row>100</xdr:row>
      <xdr:rowOff>0</xdr:rowOff>
    </xdr:from>
    <xdr:to>
      <xdr:col>2</xdr:col>
      <xdr:colOff>3648075</xdr:colOff>
      <xdr:row>105</xdr:row>
      <xdr:rowOff>85725</xdr:rowOff>
    </xdr:to>
    <xdr:sp macro="" textlink="">
      <xdr:nvSpPr>
        <xdr:cNvPr id="18" name="TextBox 17">
          <a:extLst>
            <a:ext uri="{FF2B5EF4-FFF2-40B4-BE49-F238E27FC236}">
              <a16:creationId xmlns:a16="http://schemas.microsoft.com/office/drawing/2014/main" id="{00000000-0008-0000-0200-000012000000}"/>
            </a:ext>
          </a:extLst>
        </xdr:cNvPr>
        <xdr:cNvSpPr txBox="1"/>
      </xdr:nvSpPr>
      <xdr:spPr>
        <a:xfrm>
          <a:off x="3733800" y="17868900"/>
          <a:ext cx="1457325" cy="8953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lnSpc>
              <a:spcPts val="1100"/>
            </a:lnSpc>
          </a:pPr>
          <a:r>
            <a:rPr lang="fr-FR" sz="1200"/>
            <a:t>The reviewer accepts the decision and /or</a:t>
          </a:r>
          <a:r>
            <a:rPr lang="fr-FR" sz="1200" baseline="0"/>
            <a:t> the correction</a:t>
          </a:r>
          <a:endParaRPr lang="fr-FR" sz="1200"/>
        </a:p>
      </xdr:txBody>
    </xdr:sp>
    <xdr:clientData/>
  </xdr:twoCellAnchor>
  <xdr:twoCellAnchor>
    <xdr:from>
      <xdr:col>2</xdr:col>
      <xdr:colOff>390524</xdr:colOff>
      <xdr:row>100</xdr:row>
      <xdr:rowOff>142875</xdr:rowOff>
    </xdr:from>
    <xdr:to>
      <xdr:col>2</xdr:col>
      <xdr:colOff>1809749</xdr:colOff>
      <xdr:row>103</xdr:row>
      <xdr:rowOff>133350</xdr:rowOff>
    </xdr:to>
    <xdr:sp macro="" textlink="">
      <xdr:nvSpPr>
        <xdr:cNvPr id="19" name="TextBox 18">
          <a:extLst>
            <a:ext uri="{FF2B5EF4-FFF2-40B4-BE49-F238E27FC236}">
              <a16:creationId xmlns:a16="http://schemas.microsoft.com/office/drawing/2014/main" id="{00000000-0008-0000-0200-000013000000}"/>
            </a:ext>
          </a:extLst>
        </xdr:cNvPr>
        <xdr:cNvSpPr txBox="1"/>
      </xdr:nvSpPr>
      <xdr:spPr>
        <a:xfrm>
          <a:off x="1933574" y="18011775"/>
          <a:ext cx="1419225" cy="4762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a:t>Status = to be fixed and rejected</a:t>
          </a:r>
        </a:p>
      </xdr:txBody>
    </xdr:sp>
    <xdr:clientData/>
  </xdr:twoCellAnchor>
  <xdr:twoCellAnchor>
    <xdr:from>
      <xdr:col>1</xdr:col>
      <xdr:colOff>885825</xdr:colOff>
      <xdr:row>96</xdr:row>
      <xdr:rowOff>152400</xdr:rowOff>
    </xdr:from>
    <xdr:to>
      <xdr:col>2</xdr:col>
      <xdr:colOff>1047750</xdr:colOff>
      <xdr:row>101</xdr:row>
      <xdr:rowOff>57150</xdr:rowOff>
    </xdr:to>
    <xdr:sp macro="" textlink="">
      <xdr:nvSpPr>
        <xdr:cNvPr id="20" name="TextBox 19">
          <a:extLst>
            <a:ext uri="{FF2B5EF4-FFF2-40B4-BE49-F238E27FC236}">
              <a16:creationId xmlns:a16="http://schemas.microsoft.com/office/drawing/2014/main" id="{00000000-0008-0000-0200-000014000000}"/>
            </a:ext>
          </a:extLst>
        </xdr:cNvPr>
        <xdr:cNvSpPr txBox="1"/>
      </xdr:nvSpPr>
      <xdr:spPr>
        <a:xfrm>
          <a:off x="1133475" y="16563975"/>
          <a:ext cx="1457325" cy="71437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The reviewer does not accept the correction</a:t>
          </a:r>
        </a:p>
      </xdr:txBody>
    </xdr:sp>
    <xdr:clientData/>
  </xdr:twoCellAnchor>
  <xdr:twoCellAnchor>
    <xdr:from>
      <xdr:col>2</xdr:col>
      <xdr:colOff>2909888</xdr:colOff>
      <xdr:row>65</xdr:row>
      <xdr:rowOff>28575</xdr:rowOff>
    </xdr:from>
    <xdr:to>
      <xdr:col>2</xdr:col>
      <xdr:colOff>2919413</xdr:colOff>
      <xdr:row>69</xdr:row>
      <xdr:rowOff>133350</xdr:rowOff>
    </xdr:to>
    <xdr:cxnSp macro="">
      <xdr:nvCxnSpPr>
        <xdr:cNvPr id="28" name="Straight Arrow Connector 27">
          <a:extLst>
            <a:ext uri="{FF2B5EF4-FFF2-40B4-BE49-F238E27FC236}">
              <a16:creationId xmlns:a16="http://schemas.microsoft.com/office/drawing/2014/main" id="{00000000-0008-0000-0200-00001C000000}"/>
            </a:ext>
          </a:extLst>
        </xdr:cNvPr>
        <xdr:cNvCxnSpPr>
          <a:stCxn id="2" idx="2"/>
          <a:endCxn id="6" idx="0"/>
        </xdr:cNvCxnSpPr>
      </xdr:nvCxnSpPr>
      <xdr:spPr>
        <a:xfrm flipH="1">
          <a:off x="4452938" y="11420475"/>
          <a:ext cx="9525" cy="752475"/>
        </a:xfrm>
        <a:prstGeom prst="straightConnector1">
          <a:avLst/>
        </a:prstGeom>
        <a:ln>
          <a:tailEnd type="arrow"/>
        </a:ln>
      </xdr:spPr>
      <xdr:style>
        <a:lnRef idx="1">
          <a:schemeClr val="dk1"/>
        </a:lnRef>
        <a:fillRef idx="0">
          <a:schemeClr val="dk1"/>
        </a:fillRef>
        <a:effectRef idx="0">
          <a:schemeClr val="dk1"/>
        </a:effectRef>
        <a:fontRef idx="minor">
          <a:schemeClr val="tx1"/>
        </a:fontRef>
      </xdr:style>
    </xdr:cxnSp>
    <xdr:clientData/>
  </xdr:twoCellAnchor>
  <xdr:twoCellAnchor>
    <xdr:from>
      <xdr:col>2</xdr:col>
      <xdr:colOff>395288</xdr:colOff>
      <xdr:row>74</xdr:row>
      <xdr:rowOff>0</xdr:rowOff>
    </xdr:from>
    <xdr:to>
      <xdr:col>2</xdr:col>
      <xdr:colOff>2909888</xdr:colOff>
      <xdr:row>78</xdr:row>
      <xdr:rowOff>0</xdr:rowOff>
    </xdr:to>
    <xdr:cxnSp macro="">
      <xdr:nvCxnSpPr>
        <xdr:cNvPr id="30" name="Straight Arrow Connector 29">
          <a:extLst>
            <a:ext uri="{FF2B5EF4-FFF2-40B4-BE49-F238E27FC236}">
              <a16:creationId xmlns:a16="http://schemas.microsoft.com/office/drawing/2014/main" id="{00000000-0008-0000-0200-00001E000000}"/>
            </a:ext>
          </a:extLst>
        </xdr:cNvPr>
        <xdr:cNvCxnSpPr>
          <a:stCxn id="6" idx="2"/>
          <a:endCxn id="8" idx="0"/>
        </xdr:cNvCxnSpPr>
      </xdr:nvCxnSpPr>
      <xdr:spPr>
        <a:xfrm flipH="1">
          <a:off x="1938338" y="12849225"/>
          <a:ext cx="2514600" cy="6477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74</xdr:row>
      <xdr:rowOff>0</xdr:rowOff>
    </xdr:from>
    <xdr:to>
      <xdr:col>2</xdr:col>
      <xdr:colOff>2909888</xdr:colOff>
      <xdr:row>78</xdr:row>
      <xdr:rowOff>38100</xdr:rowOff>
    </xdr:to>
    <xdr:cxnSp macro="">
      <xdr:nvCxnSpPr>
        <xdr:cNvPr id="24576" name="Straight Arrow Connector 24575">
          <a:extLst>
            <a:ext uri="{FF2B5EF4-FFF2-40B4-BE49-F238E27FC236}">
              <a16:creationId xmlns:a16="http://schemas.microsoft.com/office/drawing/2014/main" id="{00000000-0008-0000-0200-000000600000}"/>
            </a:ext>
          </a:extLst>
        </xdr:cNvPr>
        <xdr:cNvCxnSpPr>
          <a:stCxn id="6" idx="2"/>
          <a:endCxn id="12" idx="0"/>
        </xdr:cNvCxnSpPr>
      </xdr:nvCxnSpPr>
      <xdr:spPr>
        <a:xfrm flipH="1">
          <a:off x="4433888" y="12849225"/>
          <a:ext cx="19050" cy="6858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2909888</xdr:colOff>
      <xdr:row>74</xdr:row>
      <xdr:rowOff>0</xdr:rowOff>
    </xdr:from>
    <xdr:to>
      <xdr:col>2</xdr:col>
      <xdr:colOff>5976938</xdr:colOff>
      <xdr:row>78</xdr:row>
      <xdr:rowOff>9525</xdr:rowOff>
    </xdr:to>
    <xdr:cxnSp macro="">
      <xdr:nvCxnSpPr>
        <xdr:cNvPr id="24578" name="Straight Arrow Connector 24577">
          <a:extLst>
            <a:ext uri="{FF2B5EF4-FFF2-40B4-BE49-F238E27FC236}">
              <a16:creationId xmlns:a16="http://schemas.microsoft.com/office/drawing/2014/main" id="{00000000-0008-0000-0200-000002600000}"/>
            </a:ext>
          </a:extLst>
        </xdr:cNvPr>
        <xdr:cNvCxnSpPr>
          <a:stCxn id="6" idx="2"/>
          <a:endCxn id="14" idx="0"/>
        </xdr:cNvCxnSpPr>
      </xdr:nvCxnSpPr>
      <xdr:spPr>
        <a:xfrm>
          <a:off x="4452938" y="12849225"/>
          <a:ext cx="3067050" cy="657225"/>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347663</xdr:colOff>
      <xdr:row>82</xdr:row>
      <xdr:rowOff>57150</xdr:rowOff>
    </xdr:from>
    <xdr:to>
      <xdr:col>2</xdr:col>
      <xdr:colOff>395288</xdr:colOff>
      <xdr:row>88</xdr:row>
      <xdr:rowOff>76200</xdr:rowOff>
    </xdr:to>
    <xdr:cxnSp macro="">
      <xdr:nvCxnSpPr>
        <xdr:cNvPr id="24581" name="Straight Arrow Connector 24580">
          <a:extLst>
            <a:ext uri="{FF2B5EF4-FFF2-40B4-BE49-F238E27FC236}">
              <a16:creationId xmlns:a16="http://schemas.microsoft.com/office/drawing/2014/main" id="{00000000-0008-0000-0200-000005600000}"/>
            </a:ext>
          </a:extLst>
        </xdr:cNvPr>
        <xdr:cNvCxnSpPr>
          <a:stCxn id="8" idx="2"/>
          <a:endCxn id="10" idx="0"/>
        </xdr:cNvCxnSpPr>
      </xdr:nvCxnSpPr>
      <xdr:spPr>
        <a:xfrm flipH="1">
          <a:off x="1890713" y="14201775"/>
          <a:ext cx="47625" cy="9906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82</xdr:row>
      <xdr:rowOff>76200</xdr:rowOff>
    </xdr:from>
    <xdr:to>
      <xdr:col>2</xdr:col>
      <xdr:colOff>2919413</xdr:colOff>
      <xdr:row>100</xdr:row>
      <xdr:rowOff>0</xdr:rowOff>
    </xdr:to>
    <xdr:cxnSp macro="">
      <xdr:nvCxnSpPr>
        <xdr:cNvPr id="24583" name="Straight Arrow Connector 24582">
          <a:extLst>
            <a:ext uri="{FF2B5EF4-FFF2-40B4-BE49-F238E27FC236}">
              <a16:creationId xmlns:a16="http://schemas.microsoft.com/office/drawing/2014/main" id="{00000000-0008-0000-0200-000007600000}"/>
            </a:ext>
          </a:extLst>
        </xdr:cNvPr>
        <xdr:cNvCxnSpPr>
          <a:stCxn id="12" idx="2"/>
          <a:endCxn id="18" idx="0"/>
        </xdr:cNvCxnSpPr>
      </xdr:nvCxnSpPr>
      <xdr:spPr>
        <a:xfrm>
          <a:off x="4433888" y="14220825"/>
          <a:ext cx="28575" cy="28384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2890838</xdr:colOff>
      <xdr:row>82</xdr:row>
      <xdr:rowOff>76200</xdr:rowOff>
    </xdr:from>
    <xdr:to>
      <xdr:col>2</xdr:col>
      <xdr:colOff>5967413</xdr:colOff>
      <xdr:row>89</xdr:row>
      <xdr:rowOff>85725</xdr:rowOff>
    </xdr:to>
    <xdr:cxnSp macro="">
      <xdr:nvCxnSpPr>
        <xdr:cNvPr id="24585" name="Straight Arrow Connector 24584">
          <a:extLst>
            <a:ext uri="{FF2B5EF4-FFF2-40B4-BE49-F238E27FC236}">
              <a16:creationId xmlns:a16="http://schemas.microsoft.com/office/drawing/2014/main" id="{00000000-0008-0000-0200-000009600000}"/>
            </a:ext>
          </a:extLst>
        </xdr:cNvPr>
        <xdr:cNvCxnSpPr>
          <a:stCxn id="12" idx="2"/>
          <a:endCxn id="16" idx="0"/>
        </xdr:cNvCxnSpPr>
      </xdr:nvCxnSpPr>
      <xdr:spPr>
        <a:xfrm>
          <a:off x="4433888" y="14220825"/>
          <a:ext cx="3076575" cy="11430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5967413</xdr:colOff>
      <xdr:row>82</xdr:row>
      <xdr:rowOff>57150</xdr:rowOff>
    </xdr:from>
    <xdr:to>
      <xdr:col>2</xdr:col>
      <xdr:colOff>5976938</xdr:colOff>
      <xdr:row>89</xdr:row>
      <xdr:rowOff>85725</xdr:rowOff>
    </xdr:to>
    <xdr:cxnSp macro="">
      <xdr:nvCxnSpPr>
        <xdr:cNvPr id="24587" name="Straight Arrow Connector 24586">
          <a:extLst>
            <a:ext uri="{FF2B5EF4-FFF2-40B4-BE49-F238E27FC236}">
              <a16:creationId xmlns:a16="http://schemas.microsoft.com/office/drawing/2014/main" id="{00000000-0008-0000-0200-00000B600000}"/>
            </a:ext>
          </a:extLst>
        </xdr:cNvPr>
        <xdr:cNvCxnSpPr>
          <a:stCxn id="14" idx="2"/>
          <a:endCxn id="16" idx="0"/>
        </xdr:cNvCxnSpPr>
      </xdr:nvCxnSpPr>
      <xdr:spPr>
        <a:xfrm flipH="1">
          <a:off x="7510463" y="14201775"/>
          <a:ext cx="9525" cy="11620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2919413</xdr:colOff>
      <xdr:row>82</xdr:row>
      <xdr:rowOff>57150</xdr:rowOff>
    </xdr:from>
    <xdr:to>
      <xdr:col>2</xdr:col>
      <xdr:colOff>5976938</xdr:colOff>
      <xdr:row>100</xdr:row>
      <xdr:rowOff>0</xdr:rowOff>
    </xdr:to>
    <xdr:cxnSp macro="">
      <xdr:nvCxnSpPr>
        <xdr:cNvPr id="24589" name="Straight Arrow Connector 24588">
          <a:extLst>
            <a:ext uri="{FF2B5EF4-FFF2-40B4-BE49-F238E27FC236}">
              <a16:creationId xmlns:a16="http://schemas.microsoft.com/office/drawing/2014/main" id="{00000000-0008-0000-0200-00000D600000}"/>
            </a:ext>
          </a:extLst>
        </xdr:cNvPr>
        <xdr:cNvCxnSpPr>
          <a:stCxn id="14" idx="2"/>
          <a:endCxn id="18" idx="0"/>
        </xdr:cNvCxnSpPr>
      </xdr:nvCxnSpPr>
      <xdr:spPr>
        <a:xfrm flipH="1">
          <a:off x="4462463" y="14201775"/>
          <a:ext cx="3057525" cy="285750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347663</xdr:colOff>
      <xdr:row>92</xdr:row>
      <xdr:rowOff>133350</xdr:rowOff>
    </xdr:from>
    <xdr:to>
      <xdr:col>2</xdr:col>
      <xdr:colOff>2919413</xdr:colOff>
      <xdr:row>100</xdr:row>
      <xdr:rowOff>0</xdr:rowOff>
    </xdr:to>
    <xdr:cxnSp macro="">
      <xdr:nvCxnSpPr>
        <xdr:cNvPr id="24591" name="Straight Arrow Connector 24590">
          <a:extLst>
            <a:ext uri="{FF2B5EF4-FFF2-40B4-BE49-F238E27FC236}">
              <a16:creationId xmlns:a16="http://schemas.microsoft.com/office/drawing/2014/main" id="{00000000-0008-0000-0200-00000F600000}"/>
            </a:ext>
          </a:extLst>
        </xdr:cNvPr>
        <xdr:cNvCxnSpPr>
          <a:stCxn id="10" idx="2"/>
          <a:endCxn id="18" idx="0"/>
        </xdr:cNvCxnSpPr>
      </xdr:nvCxnSpPr>
      <xdr:spPr>
        <a:xfrm>
          <a:off x="1890713" y="15897225"/>
          <a:ext cx="2571750" cy="11620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319088</xdr:colOff>
      <xdr:row>92</xdr:row>
      <xdr:rowOff>133350</xdr:rowOff>
    </xdr:from>
    <xdr:to>
      <xdr:col>2</xdr:col>
      <xdr:colOff>347663</xdr:colOff>
      <xdr:row>96</xdr:row>
      <xdr:rowOff>152400</xdr:rowOff>
    </xdr:to>
    <xdr:cxnSp macro="">
      <xdr:nvCxnSpPr>
        <xdr:cNvPr id="24593" name="Straight Arrow Connector 24592">
          <a:extLst>
            <a:ext uri="{FF2B5EF4-FFF2-40B4-BE49-F238E27FC236}">
              <a16:creationId xmlns:a16="http://schemas.microsoft.com/office/drawing/2014/main" id="{00000000-0008-0000-0200-000011600000}"/>
            </a:ext>
          </a:extLst>
        </xdr:cNvPr>
        <xdr:cNvCxnSpPr>
          <a:stCxn id="10" idx="2"/>
          <a:endCxn id="20" idx="0"/>
        </xdr:cNvCxnSpPr>
      </xdr:nvCxnSpPr>
      <xdr:spPr>
        <a:xfrm flipH="1">
          <a:off x="1862138" y="15897225"/>
          <a:ext cx="28575" cy="666750"/>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885825</xdr:colOff>
      <xdr:row>80</xdr:row>
      <xdr:rowOff>28576</xdr:rowOff>
    </xdr:from>
    <xdr:to>
      <xdr:col>1</xdr:col>
      <xdr:colOff>962025</xdr:colOff>
      <xdr:row>99</xdr:row>
      <xdr:rowOff>23814</xdr:rowOff>
    </xdr:to>
    <xdr:cxnSp macro="">
      <xdr:nvCxnSpPr>
        <xdr:cNvPr id="24595" name="Elbow Connector 24594">
          <a:extLst>
            <a:ext uri="{FF2B5EF4-FFF2-40B4-BE49-F238E27FC236}">
              <a16:creationId xmlns:a16="http://schemas.microsoft.com/office/drawing/2014/main" id="{00000000-0008-0000-0200-000013600000}"/>
            </a:ext>
          </a:extLst>
        </xdr:cNvPr>
        <xdr:cNvCxnSpPr>
          <a:stCxn id="20" idx="1"/>
          <a:endCxn id="8" idx="1"/>
        </xdr:cNvCxnSpPr>
      </xdr:nvCxnSpPr>
      <xdr:spPr>
        <a:xfrm rot="10800000" flipH="1">
          <a:off x="1133475" y="13849351"/>
          <a:ext cx="76200" cy="3071813"/>
        </a:xfrm>
        <a:prstGeom prst="bentConnector3">
          <a:avLst>
            <a:gd name="adj1" fmla="val -3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3638550</xdr:colOff>
      <xdr:row>71</xdr:row>
      <xdr:rowOff>147638</xdr:rowOff>
    </xdr:from>
    <xdr:to>
      <xdr:col>2</xdr:col>
      <xdr:colOff>6696075</xdr:colOff>
      <xdr:row>91</xdr:row>
      <xdr:rowOff>119063</xdr:rowOff>
    </xdr:to>
    <xdr:cxnSp macro="">
      <xdr:nvCxnSpPr>
        <xdr:cNvPr id="24597" name="Elbow Connector 24596">
          <a:extLst>
            <a:ext uri="{FF2B5EF4-FFF2-40B4-BE49-F238E27FC236}">
              <a16:creationId xmlns:a16="http://schemas.microsoft.com/office/drawing/2014/main" id="{00000000-0008-0000-0200-000015600000}"/>
            </a:ext>
          </a:extLst>
        </xdr:cNvPr>
        <xdr:cNvCxnSpPr>
          <a:stCxn id="16" idx="3"/>
          <a:endCxn id="6" idx="3"/>
        </xdr:cNvCxnSpPr>
      </xdr:nvCxnSpPr>
      <xdr:spPr>
        <a:xfrm flipH="1" flipV="1">
          <a:off x="5181600" y="12511088"/>
          <a:ext cx="3057525" cy="3209925"/>
        </a:xfrm>
        <a:prstGeom prst="bentConnector3">
          <a:avLst>
            <a:gd name="adj1" fmla="val -7477"/>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2</xdr:col>
          <xdr:colOff>4638675</xdr:colOff>
          <xdr:row>115</xdr:row>
          <xdr:rowOff>104775</xdr:rowOff>
        </xdr:from>
        <xdr:to>
          <xdr:col>2</xdr:col>
          <xdr:colOff>6524625</xdr:colOff>
          <xdr:row>117</xdr:row>
          <xdr:rowOff>47625</xdr:rowOff>
        </xdr:to>
        <xdr:sp macro="" textlink="">
          <xdr:nvSpPr>
            <xdr:cNvPr id="24659" name="Button 83" hidden="1">
              <a:extLst>
                <a:ext uri="{63B3BB69-23CF-44E3-9099-C40C66FF867C}">
                  <a14:compatExt spid="_x0000_s24659"/>
                </a:ext>
                <a:ext uri="{FF2B5EF4-FFF2-40B4-BE49-F238E27FC236}">
                  <a16:creationId xmlns:a16="http://schemas.microsoft.com/office/drawing/2014/main" id="{00000000-0008-0000-0200-0000536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Refresh metrics and charts </a:t>
              </a:r>
            </a:p>
          </xdr:txBody>
        </xdr:sp>
        <xdr:clientData fPrintsWithSheet="0"/>
      </xdr:twoCellAnchor>
    </mc:Choice>
    <mc:Fallback/>
  </mc:AlternateContent>
  <xdr:twoCellAnchor>
    <xdr:from>
      <xdr:col>1</xdr:col>
      <xdr:colOff>552450</xdr:colOff>
      <xdr:row>40</xdr:row>
      <xdr:rowOff>142875</xdr:rowOff>
    </xdr:from>
    <xdr:to>
      <xdr:col>2</xdr:col>
      <xdr:colOff>714375</xdr:colOff>
      <xdr:row>43</xdr:row>
      <xdr:rowOff>152400</xdr:rowOff>
    </xdr:to>
    <xdr:sp macro="" textlink="">
      <xdr:nvSpPr>
        <xdr:cNvPr id="35" name="TextBox 34">
          <a:extLst>
            <a:ext uri="{FF2B5EF4-FFF2-40B4-BE49-F238E27FC236}">
              <a16:creationId xmlns:a16="http://schemas.microsoft.com/office/drawing/2014/main" id="{00000000-0008-0000-0200-000023000000}"/>
            </a:ext>
          </a:extLst>
        </xdr:cNvPr>
        <xdr:cNvSpPr txBox="1"/>
      </xdr:nvSpPr>
      <xdr:spPr>
        <a:xfrm>
          <a:off x="800100" y="11182350"/>
          <a:ext cx="1457325" cy="6286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r>
            <a:rPr lang="fr-FR" sz="1200"/>
            <a:t>A reviewer submits an OIN </a:t>
          </a:r>
          <a:r>
            <a:rPr lang="fr-FR" sz="900"/>
            <a:t>(Open Issue Number)</a:t>
          </a:r>
        </a:p>
      </xdr:txBody>
    </xdr:sp>
    <xdr:clientData/>
  </xdr:twoCellAnchor>
  <xdr:twoCellAnchor>
    <xdr:from>
      <xdr:col>2</xdr:col>
      <xdr:colOff>2114550</xdr:colOff>
      <xdr:row>40</xdr:row>
      <xdr:rowOff>114300</xdr:rowOff>
    </xdr:from>
    <xdr:to>
      <xdr:col>2</xdr:col>
      <xdr:colOff>3571875</xdr:colOff>
      <xdr:row>44</xdr:row>
      <xdr:rowOff>9525</xdr:rowOff>
    </xdr:to>
    <xdr:sp macro="" textlink="">
      <xdr:nvSpPr>
        <xdr:cNvPr id="37" name="TextBox 36">
          <a:extLst>
            <a:ext uri="{FF2B5EF4-FFF2-40B4-BE49-F238E27FC236}">
              <a16:creationId xmlns:a16="http://schemas.microsoft.com/office/drawing/2014/main" id="{00000000-0008-0000-0200-000025000000}"/>
            </a:ext>
          </a:extLst>
        </xdr:cNvPr>
        <xdr:cNvSpPr txBox="1"/>
      </xdr:nvSpPr>
      <xdr:spPr>
        <a:xfrm>
          <a:off x="3657600" y="11153775"/>
          <a:ext cx="1457325" cy="676275"/>
        </a:xfrm>
        <a:prstGeom prst="rect">
          <a:avLst/>
        </a:prstGeom>
        <a:ln/>
      </xdr:spPr>
      <xdr:style>
        <a:lnRef idx="1">
          <a:schemeClr val="accent5"/>
        </a:lnRef>
        <a:fillRef idx="2">
          <a:schemeClr val="accent5"/>
        </a:fillRef>
        <a:effectRef idx="1">
          <a:schemeClr val="accent5"/>
        </a:effectRef>
        <a:fontRef idx="minor">
          <a:schemeClr val="dk1"/>
        </a:fontRef>
      </xdr:style>
      <xdr:txBody>
        <a:bodyPr vertOverflow="clip" horzOverflow="clip" wrap="square" rtlCol="0" anchor="ctr"/>
        <a:lstStyle/>
        <a:p>
          <a:pPr algn="ctr"/>
          <a:r>
            <a:rPr lang="fr-FR" sz="1200"/>
            <a:t>The author treats the </a:t>
          </a:r>
          <a:r>
            <a:rPr lang="fr-FR" sz="1100">
              <a:solidFill>
                <a:schemeClr val="dk1"/>
              </a:solidFill>
              <a:effectLst/>
              <a:latin typeface="+mn-lt"/>
              <a:ea typeface="+mn-ea"/>
              <a:cs typeface="+mn-cs"/>
            </a:rPr>
            <a:t>OIN </a:t>
          </a:r>
          <a:endParaRPr lang="fr-FR" sz="1200"/>
        </a:p>
      </xdr:txBody>
    </xdr:sp>
    <xdr:clientData/>
  </xdr:twoCellAnchor>
  <xdr:twoCellAnchor>
    <xdr:from>
      <xdr:col>2</xdr:col>
      <xdr:colOff>5095875</xdr:colOff>
      <xdr:row>40</xdr:row>
      <xdr:rowOff>104774</xdr:rowOff>
    </xdr:from>
    <xdr:to>
      <xdr:col>3</xdr:col>
      <xdr:colOff>533400</xdr:colOff>
      <xdr:row>44</xdr:row>
      <xdr:rowOff>19049</xdr:rowOff>
    </xdr:to>
    <xdr:sp macro="" textlink="">
      <xdr:nvSpPr>
        <xdr:cNvPr id="40" name="TextBox 39">
          <a:extLst>
            <a:ext uri="{FF2B5EF4-FFF2-40B4-BE49-F238E27FC236}">
              <a16:creationId xmlns:a16="http://schemas.microsoft.com/office/drawing/2014/main" id="{00000000-0008-0000-0200-000028000000}"/>
            </a:ext>
          </a:extLst>
        </xdr:cNvPr>
        <xdr:cNvSpPr txBox="1"/>
      </xdr:nvSpPr>
      <xdr:spPr>
        <a:xfrm>
          <a:off x="6638925" y="11144249"/>
          <a:ext cx="2152650" cy="695325"/>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wrap="square" rtlCol="0" anchor="ctr"/>
        <a:lstStyle/>
        <a:p>
          <a:pPr algn="ctr">
            <a:lnSpc>
              <a:spcPts val="800"/>
            </a:lnSpc>
          </a:pPr>
          <a:r>
            <a:rPr lang="fr-FR" sz="1200"/>
            <a:t>The reviewer approves</a:t>
          </a:r>
          <a:r>
            <a:rPr lang="fr-FR" sz="1200" baseline="0"/>
            <a:t> </a:t>
          </a:r>
          <a:r>
            <a:rPr lang="fr-FR" sz="1200"/>
            <a:t>the </a:t>
          </a:r>
          <a:r>
            <a:rPr lang="fr-FR" sz="1100">
              <a:solidFill>
                <a:schemeClr val="dk1"/>
              </a:solidFill>
              <a:effectLst/>
              <a:latin typeface="+mn-lt"/>
              <a:ea typeface="+mn-ea"/>
              <a:cs typeface="+mn-cs"/>
            </a:rPr>
            <a:t>OIN </a:t>
          </a:r>
          <a:endParaRPr lang="fr-FR" sz="1200"/>
        </a:p>
        <a:p>
          <a:pPr algn="ctr">
            <a:lnSpc>
              <a:spcPts val="1000"/>
            </a:lnSpc>
          </a:pPr>
          <a:r>
            <a:rPr lang="fr-FR" sz="1000"/>
            <a:t>(agreement between author/approver)</a:t>
          </a:r>
        </a:p>
      </xdr:txBody>
    </xdr:sp>
    <xdr:clientData/>
  </xdr:twoCellAnchor>
  <xdr:twoCellAnchor>
    <xdr:from>
      <xdr:col>2</xdr:col>
      <xdr:colOff>2124075</xdr:colOff>
      <xdr:row>36</xdr:row>
      <xdr:rowOff>114300</xdr:rowOff>
    </xdr:from>
    <xdr:to>
      <xdr:col>2</xdr:col>
      <xdr:colOff>3581400</xdr:colOff>
      <xdr:row>39</xdr:row>
      <xdr:rowOff>200025</xdr:rowOff>
    </xdr:to>
    <xdr:sp macro="" textlink="">
      <xdr:nvSpPr>
        <xdr:cNvPr id="43" name="TextBox 42">
          <a:extLst>
            <a:ext uri="{FF2B5EF4-FFF2-40B4-BE49-F238E27FC236}">
              <a16:creationId xmlns:a16="http://schemas.microsoft.com/office/drawing/2014/main" id="{00000000-0008-0000-0200-00002B000000}"/>
            </a:ext>
          </a:extLst>
        </xdr:cNvPr>
        <xdr:cNvSpPr txBox="1"/>
      </xdr:nvSpPr>
      <xdr:spPr>
        <a:xfrm>
          <a:off x="3667125" y="10306050"/>
          <a:ext cx="1457325" cy="704850"/>
        </a:xfrm>
        <a:prstGeom prst="rect">
          <a:avLst/>
        </a:prstGeom>
        <a:ln/>
      </xdr:spPr>
      <xdr:style>
        <a:lnRef idx="1">
          <a:schemeClr val="accent6"/>
        </a:lnRef>
        <a:fillRef idx="2">
          <a:schemeClr val="accent6"/>
        </a:fillRef>
        <a:effectRef idx="1">
          <a:schemeClr val="accent6"/>
        </a:effectRef>
        <a:fontRef idx="minor">
          <a:schemeClr val="dk1"/>
        </a:fontRef>
      </xdr:style>
      <xdr:txBody>
        <a:bodyPr vertOverflow="clip" horzOverflow="clip" wrap="square" rtlCol="0" anchor="ctr"/>
        <a:lstStyle/>
        <a:p>
          <a:pPr algn="ctr"/>
          <a:r>
            <a:rPr lang="fr-FR" sz="1200"/>
            <a:t>The reviewer rejects the treatment of the </a:t>
          </a:r>
          <a:r>
            <a:rPr lang="fr-FR" sz="1100">
              <a:solidFill>
                <a:schemeClr val="dk1"/>
              </a:solidFill>
              <a:effectLst/>
              <a:latin typeface="+mn-lt"/>
              <a:ea typeface="+mn-ea"/>
              <a:cs typeface="+mn-cs"/>
            </a:rPr>
            <a:t>OIN </a:t>
          </a:r>
          <a:endParaRPr lang="fr-FR" sz="1200"/>
        </a:p>
      </xdr:txBody>
    </xdr:sp>
    <xdr:clientData/>
  </xdr:twoCellAnchor>
  <xdr:twoCellAnchor>
    <xdr:from>
      <xdr:col>2</xdr:col>
      <xdr:colOff>714375</xdr:colOff>
      <xdr:row>41</xdr:row>
      <xdr:rowOff>223838</xdr:rowOff>
    </xdr:from>
    <xdr:to>
      <xdr:col>2</xdr:col>
      <xdr:colOff>2114550</xdr:colOff>
      <xdr:row>42</xdr:row>
      <xdr:rowOff>0</xdr:rowOff>
    </xdr:to>
    <xdr:cxnSp macro="">
      <xdr:nvCxnSpPr>
        <xdr:cNvPr id="22" name="Straight Arrow Connector 21">
          <a:extLst>
            <a:ext uri="{FF2B5EF4-FFF2-40B4-BE49-F238E27FC236}">
              <a16:creationId xmlns:a16="http://schemas.microsoft.com/office/drawing/2014/main" id="{00000000-0008-0000-0200-000016000000}"/>
            </a:ext>
          </a:extLst>
        </xdr:cNvPr>
        <xdr:cNvCxnSpPr>
          <a:stCxn id="35" idx="3"/>
          <a:endCxn id="37" idx="1"/>
        </xdr:cNvCxnSpPr>
      </xdr:nvCxnSpPr>
      <xdr:spPr>
        <a:xfrm flipV="1">
          <a:off x="2257425" y="11491913"/>
          <a:ext cx="1400175" cy="4762"/>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3571875</xdr:colOff>
      <xdr:row>41</xdr:row>
      <xdr:rowOff>223837</xdr:rowOff>
    </xdr:from>
    <xdr:to>
      <xdr:col>2</xdr:col>
      <xdr:colOff>5095875</xdr:colOff>
      <xdr:row>41</xdr:row>
      <xdr:rowOff>223838</xdr:rowOff>
    </xdr:to>
    <xdr:cxnSp macro="">
      <xdr:nvCxnSpPr>
        <xdr:cNvPr id="24" name="Straight Arrow Connector 23">
          <a:extLst>
            <a:ext uri="{FF2B5EF4-FFF2-40B4-BE49-F238E27FC236}">
              <a16:creationId xmlns:a16="http://schemas.microsoft.com/office/drawing/2014/main" id="{00000000-0008-0000-0200-000018000000}"/>
            </a:ext>
          </a:extLst>
        </xdr:cNvPr>
        <xdr:cNvCxnSpPr>
          <a:stCxn id="37" idx="3"/>
          <a:endCxn id="40" idx="1"/>
        </xdr:cNvCxnSpPr>
      </xdr:nvCxnSpPr>
      <xdr:spPr>
        <a:xfrm flipV="1">
          <a:off x="5114925" y="11491912"/>
          <a:ext cx="1524000" cy="1"/>
        </a:xfrm>
        <a:prstGeom prst="straightConnector1">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3571875</xdr:colOff>
      <xdr:row>38</xdr:row>
      <xdr:rowOff>76200</xdr:rowOff>
    </xdr:from>
    <xdr:to>
      <xdr:col>2</xdr:col>
      <xdr:colOff>3581400</xdr:colOff>
      <xdr:row>41</xdr:row>
      <xdr:rowOff>223838</xdr:rowOff>
    </xdr:to>
    <xdr:cxnSp macro="">
      <xdr:nvCxnSpPr>
        <xdr:cNvPr id="29" name="Elbow Connector 28">
          <a:extLst>
            <a:ext uri="{FF2B5EF4-FFF2-40B4-BE49-F238E27FC236}">
              <a16:creationId xmlns:a16="http://schemas.microsoft.com/office/drawing/2014/main" id="{00000000-0008-0000-0200-00001D000000}"/>
            </a:ext>
          </a:extLst>
        </xdr:cNvPr>
        <xdr:cNvCxnSpPr>
          <a:stCxn id="37" idx="3"/>
          <a:endCxn id="43" idx="3"/>
        </xdr:cNvCxnSpPr>
      </xdr:nvCxnSpPr>
      <xdr:spPr>
        <a:xfrm flipV="1">
          <a:off x="5114925" y="10658475"/>
          <a:ext cx="9525" cy="833438"/>
        </a:xfrm>
        <a:prstGeom prst="bentConnector3">
          <a:avLst>
            <a:gd name="adj1" fmla="val 76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2114551</xdr:colOff>
      <xdr:row>38</xdr:row>
      <xdr:rowOff>76200</xdr:rowOff>
    </xdr:from>
    <xdr:to>
      <xdr:col>2</xdr:col>
      <xdr:colOff>2124076</xdr:colOff>
      <xdr:row>41</xdr:row>
      <xdr:rowOff>223838</xdr:rowOff>
    </xdr:to>
    <xdr:cxnSp macro="">
      <xdr:nvCxnSpPr>
        <xdr:cNvPr id="24641" name="Elbow Connector 24640">
          <a:extLst>
            <a:ext uri="{FF2B5EF4-FFF2-40B4-BE49-F238E27FC236}">
              <a16:creationId xmlns:a16="http://schemas.microsoft.com/office/drawing/2014/main" id="{00000000-0008-0000-0200-000041600000}"/>
            </a:ext>
          </a:extLst>
        </xdr:cNvPr>
        <xdr:cNvCxnSpPr>
          <a:stCxn id="43" idx="1"/>
          <a:endCxn id="37" idx="1"/>
        </xdr:cNvCxnSpPr>
      </xdr:nvCxnSpPr>
      <xdr:spPr>
        <a:xfrm rot="10800000" flipV="1">
          <a:off x="3657601" y="10658475"/>
          <a:ext cx="9525" cy="833438"/>
        </a:xfrm>
        <a:prstGeom prst="bentConnector3">
          <a:avLst>
            <a:gd name="adj1" fmla="val 6100000"/>
          </a:avLst>
        </a:prstGeom>
        <a:ln>
          <a:tailEnd type="arrow"/>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oneCell">
    <xdr:from>
      <xdr:col>3</xdr:col>
      <xdr:colOff>175260</xdr:colOff>
      <xdr:row>0</xdr:row>
      <xdr:rowOff>60960</xdr:rowOff>
    </xdr:from>
    <xdr:to>
      <xdr:col>7</xdr:col>
      <xdr:colOff>129540</xdr:colOff>
      <xdr:row>2</xdr:row>
      <xdr:rowOff>99060</xdr:rowOff>
    </xdr:to>
    <xdr:sp macro="" textlink="">
      <xdr:nvSpPr>
        <xdr:cNvPr id="14337" name="ComputeSynthesis" hidden="1">
          <a:extLst>
            <a:ext uri="{63B3BB69-23CF-44E3-9099-C40C66FF867C}">
              <a14:compatExt xmlns:a14="http://schemas.microsoft.com/office/drawing/2010/main" spid="_x0000_s14337"/>
            </a:ext>
            <a:ext uri="{FF2B5EF4-FFF2-40B4-BE49-F238E27FC236}">
              <a16:creationId xmlns:a16="http://schemas.microsoft.com/office/drawing/2014/main" id="{00000000-0008-0000-0300-0000013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xdr:from>
      <xdr:col>11</xdr:col>
      <xdr:colOff>47625</xdr:colOff>
      <xdr:row>4</xdr:row>
      <xdr:rowOff>9525</xdr:rowOff>
    </xdr:from>
    <xdr:to>
      <xdr:col>15</xdr:col>
      <xdr:colOff>561975</xdr:colOff>
      <xdr:row>20</xdr:row>
      <xdr:rowOff>114300</xdr:rowOff>
    </xdr:to>
    <xdr:graphicFrame macro="">
      <xdr:nvGraphicFramePr>
        <xdr:cNvPr id="2578561" name="Chart 11">
          <a:extLst>
            <a:ext uri="{FF2B5EF4-FFF2-40B4-BE49-F238E27FC236}">
              <a16:creationId xmlns:a16="http://schemas.microsoft.com/office/drawing/2014/main" id="{00000000-0008-0000-0300-000081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476250</xdr:colOff>
      <xdr:row>4</xdr:row>
      <xdr:rowOff>9525</xdr:rowOff>
    </xdr:from>
    <xdr:to>
      <xdr:col>5</xdr:col>
      <xdr:colOff>714375</xdr:colOff>
      <xdr:row>20</xdr:row>
      <xdr:rowOff>114300</xdr:rowOff>
    </xdr:to>
    <xdr:graphicFrame macro="">
      <xdr:nvGraphicFramePr>
        <xdr:cNvPr id="2578562" name="Chart 1">
          <a:extLst>
            <a:ext uri="{FF2B5EF4-FFF2-40B4-BE49-F238E27FC236}">
              <a16:creationId xmlns:a16="http://schemas.microsoft.com/office/drawing/2014/main" id="{00000000-0008-0000-0300-000082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19050</xdr:colOff>
      <xdr:row>4</xdr:row>
      <xdr:rowOff>19050</xdr:rowOff>
    </xdr:from>
    <xdr:to>
      <xdr:col>10</xdr:col>
      <xdr:colOff>361950</xdr:colOff>
      <xdr:row>20</xdr:row>
      <xdr:rowOff>123825</xdr:rowOff>
    </xdr:to>
    <xdr:graphicFrame macro="">
      <xdr:nvGraphicFramePr>
        <xdr:cNvPr id="2578563" name="Chart 1">
          <a:extLst>
            <a:ext uri="{FF2B5EF4-FFF2-40B4-BE49-F238E27FC236}">
              <a16:creationId xmlns:a16="http://schemas.microsoft.com/office/drawing/2014/main" id="{00000000-0008-0000-0300-0000835827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3</xdr:col>
      <xdr:colOff>175260</xdr:colOff>
      <xdr:row>0</xdr:row>
      <xdr:rowOff>60960</xdr:rowOff>
    </xdr:from>
    <xdr:to>
      <xdr:col>7</xdr:col>
      <xdr:colOff>129540</xdr:colOff>
      <xdr:row>2</xdr:row>
      <xdr:rowOff>99060</xdr:rowOff>
    </xdr:to>
    <xdr:pic macro="[0]!Feuil3.ComputeSynthesis_Click">
      <xdr:nvPicPr>
        <xdr:cNvPr id="2" name="ComputeSynthesis">
          <a:extLst>
            <a:ext uri="{FF2B5EF4-FFF2-40B4-BE49-F238E27FC236}">
              <a16:creationId xmlns:a16="http://schemas.microsoft.com/office/drawing/2014/main" id="{00000000-0008-0000-0300-000002000000}"/>
            </a:ext>
          </a:extLst>
        </xdr:cNvPr>
        <xdr:cNvPicPr preferRelativeResize="0">
          <a:picLocks noChangeArrowheads="1" noChangeShapeType="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446020" y="60960"/>
          <a:ext cx="3078480" cy="37338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alvteams.alv.autoliv.int/sites/aeuaeequalityassurance/Documents/QA/TEM486%20-%20Master%20questions%20library.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cornel.albu/AppData/Roaming/Microsoft/AddIns/alvDocProp.xla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Startup" Target="TOL494%20-%20AEM%20Process%20Toolbox.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rontPage"/>
      <sheetName val="General info"/>
      <sheetName val="General info.Milestone"/>
      <sheetName val="Generate checklists"/>
      <sheetName val="LIBRARY"/>
      <sheetName val="Library (old)"/>
      <sheetName val="Guideline"/>
      <sheetName val="Sections"/>
      <sheetName val="template.Milestone"/>
      <sheetName val="Template.Audit"/>
      <sheetName val="Template.Review"/>
      <sheetName val="Quality criteria"/>
      <sheetName val="TEM486 - Master questions libra"/>
      <sheetName val="template.MilestoneOld"/>
    </sheetNames>
    <sheetDataSet>
      <sheetData sheetId="0">
        <row r="3">
          <cell r="AD3" t="str">
            <v>AEF1007 - Peer Review Workbook.xlsm</v>
          </cell>
        </row>
      </sheetData>
      <sheetData sheetId="1">
        <row r="62">
          <cell r="V62">
            <v>1</v>
          </cell>
        </row>
        <row r="63">
          <cell r="V63">
            <v>0.7</v>
          </cell>
        </row>
        <row r="64">
          <cell r="V64">
            <v>0.4</v>
          </cell>
        </row>
        <row r="65">
          <cell r="V65">
            <v>0</v>
          </cell>
        </row>
        <row r="73">
          <cell r="B73" t="str">
            <v>Next Id</v>
          </cell>
          <cell r="AJ73" t="str">
            <v>Acronyms</v>
          </cell>
          <cell r="AM73" t="str">
            <v>Acronyms</v>
          </cell>
          <cell r="AO73" t="str">
            <v>Milestone name</v>
          </cell>
          <cell r="AR73" t="str">
            <v>Process</v>
          </cell>
          <cell r="AS73" t="str">
            <v>Acronyms</v>
          </cell>
          <cell r="AU73" t="str">
            <v>Review / work-product</v>
          </cell>
        </row>
        <row r="74">
          <cell r="AI74" t="str">
            <v>Hardware</v>
          </cell>
          <cell r="AJ74" t="str">
            <v>HW</v>
          </cell>
          <cell r="AL74" t="str">
            <v>Audit</v>
          </cell>
          <cell r="AM74" t="str">
            <v>A</v>
          </cell>
          <cell r="AO74" t="str">
            <v>All milestones</v>
          </cell>
          <cell r="AR74" t="str">
            <v>All</v>
          </cell>
          <cell r="AS74" t="str">
            <v>ALL</v>
          </cell>
          <cell r="AU74" t="str">
            <v>Configuration Management Plan</v>
          </cell>
          <cell r="BA74" t="str">
            <v>High</v>
          </cell>
          <cell r="BJ74" t="str">
            <v>Draft</v>
          </cell>
        </row>
        <row r="75">
          <cell r="AI75" t="str">
            <v>All</v>
          </cell>
          <cell r="AJ75" t="str">
            <v>ALL</v>
          </cell>
          <cell r="AL75" t="str">
            <v>Audit</v>
          </cell>
          <cell r="AM75" t="str">
            <v>A</v>
          </cell>
          <cell r="AO75" t="str">
            <v>All milestones</v>
          </cell>
          <cell r="AR75" t="str">
            <v>All</v>
          </cell>
          <cell r="AS75" t="str">
            <v>ALL</v>
          </cell>
          <cell r="AU75" t="str">
            <v>Configuration Management Plan</v>
          </cell>
          <cell r="BA75" t="str">
            <v>High</v>
          </cell>
          <cell r="BJ75" t="str">
            <v>Draft</v>
          </cell>
          <cell r="BM75" t="str">
            <v>AEF1128 - MM Checklists.xlsm</v>
          </cell>
          <cell r="BO75" t="str">
            <v>delete this row</v>
          </cell>
        </row>
        <row r="76">
          <cell r="AI76" t="str">
            <v>All</v>
          </cell>
          <cell r="AJ76" t="str">
            <v>ALL</v>
          </cell>
          <cell r="AL76" t="str">
            <v>Work-Product audit</v>
          </cell>
          <cell r="AM76" t="str">
            <v>W</v>
          </cell>
          <cell r="AO76" t="str">
            <v>swM0 - Planning</v>
          </cell>
          <cell r="AR76" t="str">
            <v>Architecture</v>
          </cell>
          <cell r="AS76" t="str">
            <v>ARC</v>
          </cell>
          <cell r="AU76" t="str">
            <v>Code</v>
          </cell>
          <cell r="BA76" t="str">
            <v>Medium</v>
          </cell>
          <cell r="BJ76" t="str">
            <v>Released</v>
          </cell>
          <cell r="BM76" t="str">
            <v>AEF1128 - Major Milestones (MM) checklists.xlsm</v>
          </cell>
          <cell r="BO76" t="str">
            <v>MM</v>
          </cell>
        </row>
        <row r="77">
          <cell r="AI77" t="str">
            <v xml:space="preserve">Cyber Security </v>
          </cell>
          <cell r="AJ77" t="str">
            <v>CS</v>
          </cell>
          <cell r="AL77" t="str">
            <v>Milestone</v>
          </cell>
          <cell r="AM77" t="str">
            <v>M</v>
          </cell>
          <cell r="AO77" t="str">
            <v>swM1 - Qualification preparation</v>
          </cell>
          <cell r="AR77" t="str">
            <v>Configuration management</v>
          </cell>
          <cell r="AS77" t="str">
            <v>CM</v>
          </cell>
          <cell r="AU77" t="str">
            <v>Schedules (PS, DS, SPS, QS)</v>
          </cell>
          <cell r="BA77" t="str">
            <v>Low</v>
          </cell>
          <cell r="BM77" t="str">
            <v>TEM479 - System and software milestones checklist.xlsm</v>
          </cell>
          <cell r="BO77" t="str">
            <v>sysM</v>
          </cell>
        </row>
        <row r="78">
          <cell r="AI78" t="str">
            <v>Functional safety</v>
          </cell>
          <cell r="AJ78" t="str">
            <v>SA</v>
          </cell>
          <cell r="AO78" t="str">
            <v>swM2 - Qualification execution</v>
          </cell>
          <cell r="AR78" t="str">
            <v>Construction</v>
          </cell>
          <cell r="AS78" t="str">
            <v>COD</v>
          </cell>
          <cell r="AU78" t="str">
            <v>Integration test plan (SW/SYS)</v>
          </cell>
          <cell r="BO78" t="str">
            <v>swM</v>
          </cell>
        </row>
        <row r="79">
          <cell r="AI79" t="str">
            <v>Mechanical</v>
          </cell>
          <cell r="AJ79" t="str">
            <v>ME</v>
          </cell>
          <cell r="AO79" t="str">
            <v>swM3 - End of release</v>
          </cell>
          <cell r="AR79" t="str">
            <v>Delivery and release</v>
          </cell>
          <cell r="AS79" t="str">
            <v>DLV</v>
          </cell>
          <cell r="AU79" t="str">
            <v>Integration tests specifications and report</v>
          </cell>
          <cell r="BO79" t="str">
            <v>saM</v>
          </cell>
        </row>
        <row r="80">
          <cell r="AI80" t="str">
            <v>Product</v>
          </cell>
          <cell r="AJ80" t="str">
            <v>PD</v>
          </cell>
          <cell r="AO80" t="str">
            <v>sysMD - Delivery</v>
          </cell>
          <cell r="AR80" t="str">
            <v>Design</v>
          </cell>
          <cell r="AS80" t="str">
            <v>DSG</v>
          </cell>
          <cell r="AU80" t="str">
            <v>Model-Based Design</v>
          </cell>
        </row>
        <row r="81">
          <cell r="AI81" t="str">
            <v>Project</v>
          </cell>
          <cell r="AJ81" t="str">
            <v>PJ</v>
          </cell>
          <cell r="AO81" t="str">
            <v>sysMD - Delivery</v>
          </cell>
          <cell r="AR81" t="str">
            <v>Functional Safety</v>
          </cell>
          <cell r="AS81" t="str">
            <v>FUSA</v>
          </cell>
          <cell r="AU81" t="str">
            <v>Project Development Plan</v>
          </cell>
        </row>
        <row r="82">
          <cell r="AI82" t="str">
            <v>Quality assurance</v>
          </cell>
          <cell r="AJ82" t="str">
            <v>QA</v>
          </cell>
          <cell r="AO82" t="str">
            <v>sysMP - Planning</v>
          </cell>
          <cell r="AR82" t="str">
            <v>Integration tests</v>
          </cell>
          <cell r="AS82" t="str">
            <v>INT</v>
          </cell>
          <cell r="AU82" t="str">
            <v>Qualification plan (SW/SYS)</v>
          </cell>
        </row>
        <row r="83">
          <cell r="AI83" t="str">
            <v>Software</v>
          </cell>
          <cell r="AJ83" t="str">
            <v>SW</v>
          </cell>
          <cell r="AO83" t="str">
            <v>sysMR - End of release</v>
          </cell>
          <cell r="AR83" t="str">
            <v>Project management</v>
          </cell>
          <cell r="AS83" t="str">
            <v>PM</v>
          </cell>
          <cell r="AU83" t="str">
            <v>Qualification Specification and Report</v>
          </cell>
        </row>
        <row r="84">
          <cell r="AO84" t="str">
            <v>Major milestone 1.1</v>
          </cell>
          <cell r="AR84" t="str">
            <v>Qualification</v>
          </cell>
          <cell r="AS84" t="str">
            <v>QAF</v>
          </cell>
          <cell r="AU84" t="str">
            <v>Quality assurance plan</v>
          </cell>
        </row>
        <row r="85">
          <cell r="AO85" t="str">
            <v>Major milestone 1.1</v>
          </cell>
          <cell r="AR85" t="str">
            <v>Quality assurance</v>
          </cell>
          <cell r="AS85" t="str">
            <v>QA</v>
          </cell>
          <cell r="AU85" t="str">
            <v>Requirements</v>
          </cell>
        </row>
        <row r="86">
          <cell r="AI86" t="str">
            <v>Software</v>
          </cell>
          <cell r="AO86" t="str">
            <v>Major milestone 1.2</v>
          </cell>
          <cell r="AR86" t="str">
            <v>Requirement management</v>
          </cell>
          <cell r="AS86" t="str">
            <v>RQM</v>
          </cell>
          <cell r="AU86" t="str">
            <v>Reuse strategy definition / reuse plan</v>
          </cell>
        </row>
        <row r="87">
          <cell r="AO87" t="str">
            <v>Major milestone 2.1</v>
          </cell>
          <cell r="AR87" t="str">
            <v>ReUse</v>
          </cell>
          <cell r="AS87" t="str">
            <v>REU</v>
          </cell>
          <cell r="AU87" t="str">
            <v>Software detailed design</v>
          </cell>
        </row>
        <row r="88">
          <cell r="AO88" t="str">
            <v>Major milestone 2.2</v>
          </cell>
          <cell r="AR88" t="str">
            <v>Review</v>
          </cell>
          <cell r="AS88" t="str">
            <v>REV</v>
          </cell>
          <cell r="AU88" t="str">
            <v>Software architecture</v>
          </cell>
        </row>
        <row r="89">
          <cell r="AO89" t="str">
            <v>Major milestone 3.1</v>
          </cell>
          <cell r="AR89" t="str">
            <v>Risk Management</v>
          </cell>
          <cell r="AS89" t="str">
            <v>RSK</v>
          </cell>
          <cell r="AU89" t="str">
            <v>Software development plan</v>
          </cell>
        </row>
        <row r="90">
          <cell r="AO90" t="str">
            <v>Major milestone 3.2</v>
          </cell>
          <cell r="AR90" t="str">
            <v>Supplier Management</v>
          </cell>
          <cell r="AS90" t="str">
            <v>SM</v>
          </cell>
          <cell r="AU90" t="str">
            <v>Software work-product follow-up</v>
          </cell>
        </row>
        <row r="91">
          <cell r="AO91" t="str">
            <v>FUSA - Safety Milestone for TG1</v>
          </cell>
          <cell r="AR91" t="str">
            <v>Unit verification</v>
          </cell>
          <cell r="AS91" t="str">
            <v>UV</v>
          </cell>
          <cell r="AU91" t="str">
            <v>System architecture</v>
          </cell>
        </row>
        <row r="92">
          <cell r="AO92" t="str">
            <v>FuSa milestone for TG1</v>
          </cell>
          <cell r="AU92" t="str">
            <v>Unit Test specifications and report</v>
          </cell>
        </row>
        <row r="93">
          <cell r="AO93" t="str">
            <v>FuSa milestone for MM2.1</v>
          </cell>
        </row>
        <row r="94">
          <cell r="AO94" t="str">
            <v>FuSa milestone for TG2</v>
          </cell>
          <cell r="AU94" t="str">
            <v>Process assets (procedure, method and template)</v>
          </cell>
        </row>
        <row r="95">
          <cell r="AU95" t="str">
            <v>Process assets (procedure, method and template)</v>
          </cell>
        </row>
        <row r="96">
          <cell r="AU96" t="str">
            <v>Process assets (procedure, method and template)</v>
          </cell>
        </row>
        <row r="97">
          <cell r="AO97" t="str">
            <v>Current milestone</v>
          </cell>
          <cell r="AU97" t="str">
            <v>Other documents (when no specific checklist exists)</v>
          </cell>
        </row>
        <row r="98">
          <cell r="AO98" t="str">
            <v>Current milestone</v>
          </cell>
        </row>
        <row r="100">
          <cell r="AU100" t="str">
            <v>Current review</v>
          </cell>
        </row>
        <row r="101">
          <cell r="AU101" t="str">
            <v>Current review</v>
          </cell>
        </row>
      </sheetData>
      <sheetData sheetId="2">
        <row r="184">
          <cell r="C184" t="str">
            <v>OK</v>
          </cell>
        </row>
        <row r="185">
          <cell r="C185" t="str">
            <v>NOK</v>
          </cell>
        </row>
        <row r="186">
          <cell r="C186" t="str">
            <v>No response</v>
          </cell>
        </row>
        <row r="204">
          <cell r="C204" t="str">
            <v>Seatbelt - SBE</v>
          </cell>
        </row>
        <row r="205">
          <cell r="C205" t="str">
            <v>Steering - SWE</v>
          </cell>
        </row>
        <row r="210">
          <cell r="C210" t="str">
            <v>For prototype usage</v>
          </cell>
        </row>
        <row r="211">
          <cell r="C211" t="str">
            <v>For production</v>
          </cell>
        </row>
      </sheetData>
      <sheetData sheetId="3">
        <row r="23">
          <cell r="C23" t="str">
            <v>TEM479 - System and software milestones checklist.xlsm</v>
          </cell>
          <cell r="J23" t="str">
            <v>TEM482 - Process audits.xlsm</v>
          </cell>
          <cell r="Q23" t="str">
            <v>AEF1007 - Peer Review Workbook (PRWB).xlsm</v>
          </cell>
        </row>
      </sheetData>
      <sheetData sheetId="4"/>
      <sheetData sheetId="5" refreshError="1"/>
      <sheetData sheetId="6">
        <row r="6">
          <cell r="H6" t="str">
            <v xml:space="preserve">Check :
o There are review evidence (list of comments with date and reviewers names)
o If the list of reviewers is consistent with the Project Master Document (PMD) 
o If there is an agreement on all comments between reviews and author (Meaning all comments are "treated")
o if the checklist it is properly completed
o if the "N/A" or "NO" answers are justified in the checklist
o if the correct version of the document is reviewed
</v>
          </cell>
        </row>
      </sheetData>
      <sheetData sheetId="7" refreshError="1"/>
      <sheetData sheetId="8">
        <row r="98">
          <cell r="L98" t="str">
            <v>Request deviation (in the next 3 days)</v>
          </cell>
        </row>
        <row r="99">
          <cell r="L99" t="str">
            <v>Request a new milestone (see milestone date bellow)</v>
          </cell>
        </row>
        <row r="100">
          <cell r="L100" t="str">
            <v>NA (milestone is accepted)</v>
          </cell>
        </row>
      </sheetData>
      <sheetData sheetId="9"/>
      <sheetData sheetId="10"/>
      <sheetData sheetId="11" refreshError="1"/>
      <sheetData sheetId="12" refreshError="1"/>
      <sheetData sheetId="13"/>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VersionInfo"/>
      <sheetName val="alvDocProp"/>
    </sheetNames>
    <definedNames>
      <definedName name="alvDocProperty"/>
    </definedNames>
    <sheetDataSet>
      <sheetData sheetId="0"/>
      <sheetData sheetId="1"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 val="TOL494 - AEM Process Toolbox"/>
    </sheetNames>
    <definedNames>
      <definedName name="autofillFrontPage"/>
    </definedNames>
    <sheetDataSet>
      <sheetData sheetId="0"/>
      <sheetData sheetId="1"/>
      <sheetData sheetId="2"/>
      <sheetData sheetId="3"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C7FAD57-8BDA-4B8C-9A52-0229E8580684}" name="Table1" displayName="Table1" ref="A2:O11" totalsRowShown="0" headerRowDxfId="352" headerRowBorderDxfId="351" tableBorderDxfId="350" headerRowCellStyle="40% - Accent5" dataCellStyle="Normal 4">
  <autoFilter ref="A2:O11" xr:uid="{55CAA4EB-488C-4F32-9F6A-6870B577A4DE}"/>
  <tableColumns count="15">
    <tableColumn id="1" xr3:uid="{FEEDD6BA-8576-4483-B3A7-B40672627BC2}" name="Work-product(s)" dataCellStyle="Normal 4"/>
    <tableColumn id="2" xr3:uid="{0C995001-8C07-4D73-A1A0-A5E13B326418}" name="Review type" dataCellStyle="Normal 4"/>
    <tableColumn id="3" xr3:uid="{D964FAA7-465B-48F7-B997-F16421BB3246}" name="Starting date" dataCellStyle="Normal 4"/>
    <tableColumn id="4" xr3:uid="{7CAB5B69-9FD6-4BE7-A3E1-3148F51E8C55}" name="Due date" dataDxfId="349" dataCellStyle="Normal 4"/>
    <tableColumn id="5" xr3:uid="{A7E8DB5D-2E5B-4D50-802A-7373C2649DB9}" name="Effort (in mn)" dataDxfId="348" dataCellStyle="Calculation">
      <calculatedColumnFormula>SUM(F3:O3)</calculatedColumnFormula>
    </tableColumn>
    <tableColumn id="6" xr3:uid="{DD9655BE-E53F-4CA5-885B-7FC10F8D2395}" name="IRe" dataCellStyle="Normal 4"/>
    <tableColumn id="7" xr3:uid="{525D8884-0C8A-4478-BF05-7E1372CD45F9}" name="GBr" dataCellStyle="Normal 4"/>
    <tableColumn id="8" xr3:uid="{967B83B5-4BDD-455D-9479-4517937966AE}" name="LAR" dataCellStyle="Normal 4"/>
    <tableColumn id="9" xr3:uid="{B1B837F4-0787-4CAA-BD5D-A6B2F7E9368A}" name="DDU" dataCellStyle="Normal 4"/>
    <tableColumn id="10" xr3:uid="{4B029EAF-CE65-4128-A016-A786C51E5D01}" name="VCH" dataCellStyle="Normal 4"/>
    <tableColumn id="11" xr3:uid="{5B3D026C-0D6F-4D5D-949A-921EED9750D8}" name="CAL" dataCellStyle="Normal 4"/>
    <tableColumn id="12" xr3:uid="{F47E4945-FC46-4596-99F8-6868803682F5}" name="MMO" dataCellStyle="Normal 4"/>
    <tableColumn id="13" xr3:uid="{5139BD5E-7132-4168-905C-F6084CD7F3D0}" name="Reviewer 8" dataCellStyle="Normal 4"/>
    <tableColumn id="14" xr3:uid="{209C6056-7295-438E-8AAC-53D245A1A566}" name="Reviewer 9" dataCellStyle="Normal 4"/>
    <tableColumn id="15" xr3:uid="{44523813-F64C-4FE7-A45B-D7EB2E82E7C4}" name="Reviewer 10" dataCellStyle="Normal 4"/>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AEM%20Process%20wiki/acronyms.aspx" TargetMode="External"/><Relationship Id="rId6" Type="http://schemas.openxmlformats.org/officeDocument/2006/relationships/comments" Target="../comments2.xml"/><Relationship Id="rId5" Type="http://schemas.openxmlformats.org/officeDocument/2006/relationships/vmlDrawing" Target="../drawings/vmlDrawing3.v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9.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vmlDrawing" Target="../drawings/vmlDrawing6.vml"/><Relationship Id="rId1" Type="http://schemas.openxmlformats.org/officeDocument/2006/relationships/printerSettings" Target="../printerSettings/printerSettings5.bin"/><Relationship Id="rId5" Type="http://schemas.openxmlformats.org/officeDocument/2006/relationships/comments" Target="../comments4.xml"/><Relationship Id="rId4"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11.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487ECB-5433-4EA7-B21D-A5B255C41A81}">
  <sheetPr codeName="FrontPage">
    <tabColor theme="9" tint="0.59999389629810485"/>
  </sheetPr>
  <dimension ref="A1:BH26"/>
  <sheetViews>
    <sheetView showGridLines="0" zoomScale="130" zoomScaleNormal="130" workbookViewId="0">
      <selection activeCell="A23" sqref="A23:AG23"/>
    </sheetView>
  </sheetViews>
  <sheetFormatPr defaultColWidth="0" defaultRowHeight="12.75" customHeight="1" zeroHeight="1"/>
  <cols>
    <col min="1" max="3" width="2.85546875" style="106" customWidth="1"/>
    <col min="4" max="4" width="3.28515625" style="106" customWidth="1"/>
    <col min="5" max="33" width="2.85546875" style="106" customWidth="1"/>
    <col min="34" max="34" width="1.28515625" style="106" customWidth="1"/>
    <col min="35" max="60" width="3.28515625" style="106" hidden="1" customWidth="1"/>
    <col min="61" max="16384" width="0" style="106" hidden="1"/>
  </cols>
  <sheetData>
    <row r="1" spans="1:37" s="96" customFormat="1">
      <c r="C1" s="97"/>
      <c r="D1" s="97"/>
      <c r="E1" s="97"/>
      <c r="F1" s="97"/>
      <c r="G1" s="98"/>
      <c r="H1" s="99"/>
      <c r="I1" s="99"/>
      <c r="J1" s="99"/>
      <c r="K1" s="99"/>
      <c r="L1" s="99"/>
      <c r="M1" s="99"/>
      <c r="N1" s="99"/>
      <c r="O1" s="99"/>
      <c r="P1" s="100"/>
      <c r="Q1" s="100"/>
      <c r="R1" s="100"/>
      <c r="S1" s="100"/>
      <c r="T1" s="100"/>
      <c r="U1" s="100"/>
      <c r="V1" s="100"/>
      <c r="W1" s="100"/>
      <c r="X1" s="100"/>
      <c r="Y1" s="100"/>
      <c r="Z1" s="100"/>
      <c r="AA1" s="100"/>
      <c r="AB1" s="100"/>
      <c r="AC1" s="100"/>
      <c r="AD1" s="100"/>
      <c r="AE1" s="100"/>
      <c r="AF1" s="100"/>
      <c r="AG1" s="100"/>
      <c r="AH1" s="100"/>
      <c r="AI1" s="100"/>
      <c r="AJ1" s="100"/>
      <c r="AK1" s="100"/>
    </row>
    <row r="2" spans="1:37" s="96" customFormat="1"/>
    <row r="3" spans="1:37" s="96" customFormat="1">
      <c r="AD3" s="101" t="s">
        <v>403</v>
      </c>
    </row>
    <row r="4" spans="1:37" s="96" customFormat="1" ht="11.1" customHeight="1">
      <c r="A4" s="262" t="s">
        <v>5</v>
      </c>
      <c r="B4" s="263"/>
      <c r="C4" s="263"/>
      <c r="D4" s="263"/>
      <c r="E4" s="263"/>
      <c r="F4" s="263"/>
      <c r="G4" s="263"/>
      <c r="H4" s="263"/>
      <c r="I4" s="263"/>
      <c r="J4" s="263"/>
      <c r="K4" s="263"/>
      <c r="L4" s="263"/>
      <c r="M4" s="263"/>
      <c r="N4" s="263"/>
      <c r="O4" s="263"/>
      <c r="P4" s="263"/>
      <c r="Q4" s="264"/>
      <c r="R4" s="259" t="s">
        <v>12</v>
      </c>
      <c r="S4" s="260"/>
      <c r="T4" s="260"/>
      <c r="U4" s="260"/>
      <c r="V4" s="261"/>
      <c r="W4" s="259" t="s">
        <v>6</v>
      </c>
      <c r="X4" s="260"/>
      <c r="Y4" s="260"/>
      <c r="Z4" s="260"/>
      <c r="AA4" s="261"/>
      <c r="AB4" s="262" t="s">
        <v>136</v>
      </c>
      <c r="AC4" s="263"/>
      <c r="AD4" s="263"/>
      <c r="AE4" s="263"/>
      <c r="AF4" s="263"/>
      <c r="AG4" s="264"/>
      <c r="AH4" s="102"/>
      <c r="AI4" s="102"/>
      <c r="AJ4" s="102"/>
    </row>
    <row r="5" spans="1:37" s="103" customFormat="1" ht="12.75" customHeight="1">
      <c r="A5" s="265" t="str">
        <f ca="1" xml:space="preserve"> IFERROR(IF([2]!alvDocProperty("MXAuthority")="","272502 VW VWA VN 41S1_NAR EL SB",[2]!alvDocProperty("MXAuthority")),"272502 VW VWA VN 41S1_NAR EL SB")</f>
        <v>272502 VW VWA VN 41S1_NAR EL SB</v>
      </c>
      <c r="B5" s="266"/>
      <c r="C5" s="266"/>
      <c r="D5" s="266"/>
      <c r="E5" s="266"/>
      <c r="F5" s="266"/>
      <c r="G5" s="266"/>
      <c r="H5" s="266"/>
      <c r="I5" s="266"/>
      <c r="J5" s="266"/>
      <c r="K5" s="266"/>
      <c r="L5" s="266"/>
      <c r="M5" s="266"/>
      <c r="N5" s="266"/>
      <c r="O5" s="266"/>
      <c r="P5" s="266"/>
      <c r="Q5" s="267"/>
      <c r="R5" s="265" t="s">
        <v>401</v>
      </c>
      <c r="S5" s="266"/>
      <c r="T5" s="266"/>
      <c r="U5" s="266"/>
      <c r="V5" s="267"/>
      <c r="W5" s="265" t="str">
        <f ca="1" xml:space="preserve"> IFERROR(IF([2]!alvDocProperty("MXCurrent.Localized")="","Template released",[2]!alvDocProperty("MXCurrent.Localized")),"Template released")</f>
        <v>Template released</v>
      </c>
      <c r="X5" s="266"/>
      <c r="Y5" s="266"/>
      <c r="Z5" s="266"/>
      <c r="AA5" s="267"/>
      <c r="AB5" s="265" t="str">
        <f ca="1" xml:space="preserve"> IFERROR(IF([2]!alvDocProperty("MXActual_state_Released")="","2022-07",[2]!alvDocProperty("MXActual_state_Released")),"2022-07")</f>
        <v>2022-07</v>
      </c>
      <c r="AC5" s="266"/>
      <c r="AD5" s="266"/>
      <c r="AE5" s="266"/>
      <c r="AF5" s="266"/>
      <c r="AG5" s="267"/>
    </row>
    <row r="6" spans="1:37" s="96" customFormat="1" ht="11.1" customHeight="1">
      <c r="A6" s="259" t="s">
        <v>7</v>
      </c>
      <c r="B6" s="260"/>
      <c r="C6" s="260"/>
      <c r="D6" s="261"/>
      <c r="E6" s="259" t="s">
        <v>8</v>
      </c>
      <c r="F6" s="260"/>
      <c r="G6" s="260"/>
      <c r="H6" s="260"/>
      <c r="I6" s="260"/>
      <c r="J6" s="260"/>
      <c r="K6" s="260"/>
      <c r="L6" s="260"/>
      <c r="M6" s="260"/>
      <c r="N6" s="260"/>
      <c r="O6" s="260"/>
      <c r="P6" s="260"/>
      <c r="Q6" s="260"/>
      <c r="R6" s="260"/>
      <c r="S6" s="260"/>
      <c r="T6" s="260"/>
      <c r="U6" s="260"/>
      <c r="V6" s="261"/>
      <c r="W6" s="262" t="s">
        <v>10</v>
      </c>
      <c r="X6" s="263"/>
      <c r="Y6" s="263"/>
      <c r="Z6" s="263"/>
      <c r="AA6" s="264"/>
      <c r="AB6" s="259" t="s">
        <v>34</v>
      </c>
      <c r="AC6" s="260"/>
      <c r="AD6" s="261"/>
      <c r="AE6" s="259" t="s">
        <v>9</v>
      </c>
      <c r="AF6" s="260"/>
      <c r="AG6" s="261"/>
    </row>
    <row r="7" spans="1:37" s="103" customFormat="1" ht="12.75" customHeight="1">
      <c r="A7" s="265" t="str">
        <f ca="1" xml:space="preserve"> IFERROR(IF([2]!alvDocProperty("MXName")="","TBD",[2]!alvDocProperty("MXName")),"TBD")</f>
        <v>TBD</v>
      </c>
      <c r="B7" s="266"/>
      <c r="C7" s="266"/>
      <c r="D7" s="267"/>
      <c r="E7" s="265" t="str">
        <f ca="1" xml:space="preserve"> IFERROR(IF([2]!alvDocProperty("MXTitle")="","EIM - Peer Review Workbook (PRWB)",[2]!alvDocProperty("MXTitle")),"EIM - Peer Review Workbook (PRWB)")</f>
        <v>EIM - Peer Review Workbook (PRWB)</v>
      </c>
      <c r="F7" s="266"/>
      <c r="G7" s="266"/>
      <c r="H7" s="266"/>
      <c r="I7" s="266"/>
      <c r="J7" s="266"/>
      <c r="K7" s="266"/>
      <c r="L7" s="266"/>
      <c r="M7" s="266"/>
      <c r="N7" s="266"/>
      <c r="O7" s="266"/>
      <c r="P7" s="266"/>
      <c r="Q7" s="266"/>
      <c r="R7" s="266"/>
      <c r="S7" s="266"/>
      <c r="T7" s="266"/>
      <c r="U7" s="266"/>
      <c r="V7" s="267"/>
      <c r="W7" s="268" t="str">
        <f ca="1" xml:space="preserve"> IFERROR(IF([2]!alvDocProperty("MXDocTemplate_Name")="","AEF1007",[2]!alvDocProperty("MXDocTemplate_Name")),"AEF1007")</f>
        <v>AEF1007</v>
      </c>
      <c r="X7" s="269"/>
      <c r="Y7" s="269"/>
      <c r="Z7" s="269"/>
      <c r="AA7" s="270"/>
      <c r="AB7" s="265" t="str">
        <f ca="1" xml:space="preserve"> IFERROR(IF([2]!alvDocProperty("MXRevision")="","TBD",[2]!alvDocProperty("MXRevision")),"TBD")</f>
        <v>TBD</v>
      </c>
      <c r="AC7" s="266"/>
      <c r="AD7" s="267"/>
      <c r="AE7" s="265">
        <v>1.6</v>
      </c>
      <c r="AF7" s="266"/>
      <c r="AG7" s="267"/>
    </row>
    <row r="8" spans="1:37" s="103" customFormat="1">
      <c r="A8" s="104"/>
      <c r="B8" s="104"/>
      <c r="C8" s="104"/>
      <c r="D8" s="104"/>
      <c r="E8" s="104"/>
      <c r="F8" s="104"/>
      <c r="G8" s="104"/>
      <c r="H8" s="104"/>
      <c r="I8" s="104"/>
      <c r="J8" s="104"/>
      <c r="K8" s="104"/>
      <c r="L8" s="104"/>
      <c r="M8" s="104"/>
      <c r="N8" s="104"/>
      <c r="O8" s="104"/>
      <c r="P8" s="104"/>
      <c r="Q8" s="104"/>
      <c r="R8" s="104"/>
      <c r="S8" s="104"/>
      <c r="T8" s="104"/>
      <c r="U8" s="104"/>
      <c r="V8" s="104"/>
      <c r="W8" s="105"/>
      <c r="X8" s="105"/>
      <c r="Y8" s="105"/>
      <c r="Z8" s="105"/>
      <c r="AA8" s="105"/>
      <c r="AB8" s="104"/>
      <c r="AC8" s="104"/>
      <c r="AD8" s="104"/>
      <c r="AE8" s="104"/>
      <c r="AF8" s="104"/>
      <c r="AG8" s="104"/>
    </row>
    <row r="9" spans="1:37" ht="11.1" customHeight="1">
      <c r="A9" s="232" t="s">
        <v>60</v>
      </c>
      <c r="B9" s="233"/>
      <c r="C9" s="233"/>
      <c r="D9" s="233"/>
      <c r="E9" s="233"/>
      <c r="F9" s="233"/>
      <c r="G9" s="233"/>
      <c r="H9" s="233"/>
      <c r="I9" s="233"/>
      <c r="J9" s="233"/>
      <c r="K9" s="234"/>
      <c r="L9" s="232" t="s">
        <v>12</v>
      </c>
      <c r="M9" s="233"/>
      <c r="N9" s="233"/>
      <c r="O9" s="233"/>
      <c r="P9" s="233"/>
      <c r="Q9" s="233"/>
      <c r="R9" s="233"/>
      <c r="S9" s="233"/>
      <c r="T9" s="233"/>
      <c r="U9" s="233"/>
      <c r="V9" s="234"/>
      <c r="W9" s="232" t="s">
        <v>17</v>
      </c>
      <c r="X9" s="233"/>
      <c r="Y9" s="233"/>
      <c r="Z9" s="233"/>
      <c r="AA9" s="233"/>
      <c r="AB9" s="233"/>
      <c r="AC9" s="233"/>
      <c r="AD9" s="233"/>
      <c r="AE9" s="233"/>
      <c r="AF9" s="233"/>
      <c r="AG9" s="234"/>
    </row>
    <row r="10" spans="1:37" s="107" customFormat="1" ht="39" customHeight="1">
      <c r="A10" s="235" t="s">
        <v>137</v>
      </c>
      <c r="B10" s="236"/>
      <c r="C10" s="236"/>
      <c r="D10" s="236"/>
      <c r="E10" s="236"/>
      <c r="F10" s="237" t="str">
        <f ca="1" xml:space="preserve"> IFERROR(IF([2]!alvDocProperty("MXUser")="","Vlad Chiovenau",[2]!alvDocProperty("MXUser")),"Invalid")</f>
        <v>Invalid</v>
      </c>
      <c r="G10" s="237"/>
      <c r="H10" s="237"/>
      <c r="I10" s="237"/>
      <c r="J10" s="237"/>
      <c r="K10" s="238"/>
      <c r="L10" s="239" t="s">
        <v>138</v>
      </c>
      <c r="M10" s="240"/>
      <c r="N10" s="240"/>
      <c r="O10" s="240"/>
      <c r="P10" s="240"/>
      <c r="Q10" s="240"/>
      <c r="R10" s="240"/>
      <c r="S10" s="240"/>
      <c r="T10" s="240"/>
      <c r="U10" s="240"/>
      <c r="V10" s="241"/>
      <c r="W10" s="239" t="s">
        <v>138</v>
      </c>
      <c r="X10" s="240"/>
      <c r="Y10" s="240"/>
      <c r="Z10" s="240"/>
      <c r="AA10" s="240"/>
      <c r="AB10" s="240"/>
      <c r="AC10" s="240"/>
      <c r="AD10" s="240"/>
      <c r="AE10" s="240"/>
      <c r="AF10" s="240"/>
      <c r="AG10" s="241"/>
    </row>
    <row r="11" spans="1:37" s="107" customFormat="1" ht="4.5" customHeight="1">
      <c r="A11" s="108"/>
      <c r="B11" s="109"/>
      <c r="C11" s="109"/>
      <c r="D11" s="109"/>
      <c r="E11" s="109"/>
      <c r="F11" s="109"/>
      <c r="G11" s="109"/>
      <c r="H11" s="109"/>
      <c r="I11" s="109"/>
      <c r="J11" s="109"/>
      <c r="K11" s="109"/>
      <c r="L11" s="110"/>
      <c r="M11" s="109"/>
      <c r="N11" s="109"/>
      <c r="O11" s="109"/>
      <c r="P11" s="109"/>
      <c r="Q11" s="109"/>
      <c r="R11" s="109"/>
      <c r="S11" s="109"/>
      <c r="T11" s="109"/>
      <c r="U11" s="109"/>
      <c r="V11" s="109"/>
      <c r="W11" s="110"/>
      <c r="X11" s="109"/>
      <c r="Y11" s="109"/>
      <c r="Z11" s="109"/>
      <c r="AA11" s="109"/>
      <c r="AB11" s="109"/>
      <c r="AC11" s="109"/>
      <c r="AD11" s="109"/>
      <c r="AE11" s="109"/>
      <c r="AF11" s="109"/>
      <c r="AG11" s="111"/>
    </row>
    <row r="12" spans="1:37" ht="11.1" customHeight="1">
      <c r="A12" s="242" t="s">
        <v>139</v>
      </c>
      <c r="B12" s="243"/>
      <c r="C12" s="243"/>
      <c r="D12" s="243"/>
      <c r="E12" s="243"/>
      <c r="F12" s="243"/>
      <c r="G12" s="243"/>
      <c r="H12" s="243"/>
      <c r="I12" s="243"/>
      <c r="J12" s="243"/>
      <c r="K12" s="243"/>
      <c r="L12" s="243"/>
      <c r="M12" s="243"/>
      <c r="N12" s="243"/>
      <c r="O12" s="243"/>
      <c r="P12" s="243"/>
      <c r="Q12" s="243"/>
      <c r="R12" s="243"/>
      <c r="S12" s="243"/>
      <c r="T12" s="243"/>
      <c r="U12" s="243"/>
      <c r="V12" s="243"/>
      <c r="W12" s="243"/>
      <c r="X12" s="243"/>
      <c r="Y12" s="243"/>
      <c r="Z12" s="243"/>
      <c r="AA12" s="243"/>
      <c r="AB12" s="243"/>
      <c r="AC12" s="243"/>
      <c r="AD12" s="243"/>
      <c r="AE12" s="243"/>
      <c r="AF12" s="243"/>
      <c r="AG12" s="244"/>
    </row>
    <row r="13" spans="1:37" s="107" customFormat="1" ht="28.5" customHeight="1">
      <c r="A13" s="245" t="s">
        <v>140</v>
      </c>
      <c r="B13" s="246"/>
      <c r="C13" s="246"/>
      <c r="D13" s="246"/>
      <c r="E13" s="246"/>
      <c r="F13" s="246"/>
      <c r="G13" s="246"/>
      <c r="H13" s="246"/>
      <c r="I13" s="246"/>
      <c r="J13" s="246"/>
      <c r="K13" s="246"/>
      <c r="L13" s="246"/>
      <c r="M13" s="246"/>
      <c r="N13" s="246"/>
      <c r="O13" s="246"/>
      <c r="P13" s="246"/>
      <c r="Q13" s="246"/>
      <c r="R13" s="246"/>
      <c r="S13" s="246"/>
      <c r="T13" s="246"/>
      <c r="U13" s="246"/>
      <c r="V13" s="246"/>
      <c r="W13" s="246"/>
      <c r="X13" s="246"/>
      <c r="Y13" s="246"/>
      <c r="Z13" s="246"/>
      <c r="AA13" s="246"/>
      <c r="AB13" s="246"/>
      <c r="AC13" s="246"/>
      <c r="AD13" s="246"/>
      <c r="AE13" s="246"/>
      <c r="AF13" s="246"/>
      <c r="AG13" s="247"/>
    </row>
    <row r="14" spans="1:37" s="107" customFormat="1" ht="4.5" customHeight="1">
      <c r="A14" s="110"/>
      <c r="B14" s="109"/>
      <c r="C14" s="109"/>
      <c r="D14" s="109"/>
      <c r="E14" s="109"/>
      <c r="F14" s="109"/>
      <c r="G14" s="109"/>
      <c r="H14" s="109"/>
      <c r="I14" s="109"/>
      <c r="J14" s="109"/>
      <c r="K14" s="109"/>
      <c r="L14" s="110"/>
      <c r="M14" s="109"/>
      <c r="N14" s="109"/>
      <c r="O14" s="109"/>
      <c r="P14" s="109"/>
      <c r="Q14" s="109"/>
      <c r="R14" s="109"/>
      <c r="S14" s="109"/>
      <c r="T14" s="109"/>
      <c r="U14" s="109"/>
      <c r="V14" s="109"/>
      <c r="W14" s="110"/>
      <c r="X14" s="109"/>
      <c r="Y14" s="109"/>
      <c r="Z14" s="109"/>
      <c r="AA14" s="109"/>
      <c r="AB14" s="109"/>
      <c r="AC14" s="109"/>
      <c r="AD14" s="109"/>
      <c r="AE14" s="109"/>
      <c r="AF14" s="109"/>
      <c r="AG14" s="109"/>
    </row>
    <row r="15" spans="1:37" ht="37.5" customHeight="1">
      <c r="A15" s="248" t="s">
        <v>141</v>
      </c>
      <c r="B15" s="248"/>
      <c r="C15" s="248"/>
      <c r="D15" s="248"/>
      <c r="E15" s="250"/>
      <c r="F15" s="251"/>
      <c r="G15" s="251"/>
      <c r="H15" s="251"/>
      <c r="I15" s="251"/>
      <c r="J15" s="251"/>
      <c r="K15" s="251"/>
      <c r="L15" s="251"/>
      <c r="M15" s="251"/>
      <c r="N15" s="251"/>
      <c r="O15" s="251"/>
      <c r="P15" s="251"/>
      <c r="Q15" s="251"/>
      <c r="R15" s="251"/>
      <c r="S15" s="251"/>
      <c r="T15" s="251"/>
      <c r="U15" s="251"/>
      <c r="V15" s="251"/>
      <c r="W15" s="251"/>
      <c r="X15" s="251"/>
      <c r="Y15" s="251"/>
      <c r="Z15" s="251"/>
      <c r="AA15" s="251"/>
      <c r="AB15" s="251"/>
      <c r="AC15" s="251"/>
      <c r="AD15" s="251"/>
      <c r="AE15" s="251"/>
      <c r="AF15" s="251"/>
      <c r="AG15" s="252"/>
    </row>
    <row r="16" spans="1:37" ht="37.5" customHeight="1">
      <c r="A16" s="249"/>
      <c r="B16" s="249"/>
      <c r="C16" s="249"/>
      <c r="D16" s="249"/>
      <c r="E16" s="253"/>
      <c r="F16" s="254"/>
      <c r="G16" s="254"/>
      <c r="H16" s="254"/>
      <c r="I16" s="254"/>
      <c r="J16" s="254"/>
      <c r="K16" s="254"/>
      <c r="L16" s="254"/>
      <c r="M16" s="254"/>
      <c r="N16" s="254"/>
      <c r="O16" s="254"/>
      <c r="P16" s="254"/>
      <c r="Q16" s="254"/>
      <c r="R16" s="254"/>
      <c r="S16" s="254"/>
      <c r="T16" s="254"/>
      <c r="U16" s="254"/>
      <c r="V16" s="254"/>
      <c r="W16" s="254"/>
      <c r="X16" s="254"/>
      <c r="Y16" s="254"/>
      <c r="Z16" s="254"/>
      <c r="AA16" s="254"/>
      <c r="AB16" s="254"/>
      <c r="AC16" s="254"/>
      <c r="AD16" s="254"/>
      <c r="AE16" s="254"/>
      <c r="AF16" s="254"/>
      <c r="AG16" s="255"/>
    </row>
    <row r="17" spans="1:33">
      <c r="A17" s="112"/>
    </row>
    <row r="18" spans="1:33" ht="26.25" customHeight="1">
      <c r="A18" s="256" t="s">
        <v>292</v>
      </c>
      <c r="B18" s="257"/>
      <c r="C18" s="257"/>
      <c r="D18" s="257"/>
      <c r="E18" s="258" t="s">
        <v>291</v>
      </c>
      <c r="F18" s="258"/>
      <c r="G18" s="258"/>
      <c r="H18" s="258"/>
      <c r="I18" s="258"/>
      <c r="J18" s="258"/>
      <c r="K18" s="258"/>
      <c r="L18" s="258"/>
      <c r="M18" s="258"/>
      <c r="N18" s="258"/>
      <c r="O18" s="258"/>
      <c r="P18" s="258"/>
    </row>
    <row r="19" spans="1:33"/>
    <row r="20" spans="1:33"/>
    <row r="21" spans="1:33" ht="15.75" customHeight="1">
      <c r="Q21" s="113"/>
    </row>
    <row r="22" spans="1:33" ht="12" customHeight="1">
      <c r="Q22" s="113"/>
    </row>
    <row r="23" spans="1:33" ht="60" customHeight="1">
      <c r="A23" s="230" t="str">
        <f ca="1">MXTitle</f>
        <v>EIM - Peer Review Workbook (PRWB)</v>
      </c>
      <c r="B23" s="231"/>
      <c r="C23" s="231"/>
      <c r="D23" s="231"/>
      <c r="E23" s="231"/>
      <c r="F23" s="231"/>
      <c r="G23" s="231"/>
      <c r="H23" s="231"/>
      <c r="I23" s="231"/>
      <c r="J23" s="231"/>
      <c r="K23" s="231"/>
      <c r="L23" s="231"/>
      <c r="M23" s="231"/>
      <c r="N23" s="231"/>
      <c r="O23" s="231"/>
      <c r="P23" s="231"/>
      <c r="Q23" s="231"/>
      <c r="R23" s="231"/>
      <c r="S23" s="231"/>
      <c r="T23" s="231"/>
      <c r="U23" s="231"/>
      <c r="V23" s="231"/>
      <c r="W23" s="231"/>
      <c r="X23" s="231"/>
      <c r="Y23" s="231"/>
      <c r="Z23" s="231"/>
      <c r="AA23" s="231"/>
      <c r="AB23" s="231"/>
      <c r="AC23" s="231"/>
      <c r="AD23" s="231"/>
      <c r="AE23" s="231"/>
      <c r="AF23" s="231"/>
      <c r="AG23" s="231"/>
    </row>
    <row r="24" spans="1:33" ht="25.5">
      <c r="Q24" s="113"/>
    </row>
    <row r="25" spans="1:33"/>
    <row r="26" spans="1:33"/>
  </sheetData>
  <sheetProtection formatCells="0" formatRows="0" insertColumns="0" insertRows="0" insertHyperlinks="0" deleteRows="0" selectLockedCells="1" sort="0" autoFilter="0" pivotTables="0"/>
  <dataConsolidate/>
  <mergeCells count="33">
    <mergeCell ref="A4:Q4"/>
    <mergeCell ref="R4:V4"/>
    <mergeCell ref="W4:AA4"/>
    <mergeCell ref="AB4:AG4"/>
    <mergeCell ref="A5:Q5"/>
    <mergeCell ref="R5:V5"/>
    <mergeCell ref="W5:AA5"/>
    <mergeCell ref="AB5:AG5"/>
    <mergeCell ref="A7:D7"/>
    <mergeCell ref="E7:V7"/>
    <mergeCell ref="W7:AA7"/>
    <mergeCell ref="AB7:AD7"/>
    <mergeCell ref="AE7:AG7"/>
    <mergeCell ref="A6:D6"/>
    <mergeCell ref="E6:V6"/>
    <mergeCell ref="W6:AA6"/>
    <mergeCell ref="AB6:AD6"/>
    <mergeCell ref="AE6:AG6"/>
    <mergeCell ref="A23:AG23"/>
    <mergeCell ref="A9:K9"/>
    <mergeCell ref="L9:V9"/>
    <mergeCell ref="W9:AG9"/>
    <mergeCell ref="A10:E10"/>
    <mergeCell ref="F10:K10"/>
    <mergeCell ref="L10:V10"/>
    <mergeCell ref="W10:AG10"/>
    <mergeCell ref="A12:AG12"/>
    <mergeCell ref="A13:AG13"/>
    <mergeCell ref="A15:D16"/>
    <mergeCell ref="E15:AG15"/>
    <mergeCell ref="E16:AG16"/>
    <mergeCell ref="A18:D18"/>
    <mergeCell ref="E18:P18"/>
  </mergeCells>
  <phoneticPr fontId="82" type="noConversion"/>
  <conditionalFormatting sqref="W5">
    <cfRule type="cellIs" dxfId="373" priority="21" operator="equal">
      <formula>"draft"</formula>
    </cfRule>
  </conditionalFormatting>
  <conditionalFormatting sqref="W5:AA5">
    <cfRule type="cellIs" dxfId="372" priority="1" operator="equal">
      <formula>"In-Work"</formula>
    </cfRule>
    <cfRule type="cellIs" dxfId="371" priority="2" stopIfTrue="1" operator="equal">
      <formula>"draft"</formula>
    </cfRule>
    <cfRule type="cellIs" dxfId="370" priority="3" operator="equal">
      <formula>"In-Work"</formula>
    </cfRule>
    <cfRule type="cellIs" dxfId="369" priority="4" stopIfTrue="1" operator="equal">
      <formula>"draft"</formula>
    </cfRule>
    <cfRule type="cellIs" dxfId="368" priority="5" operator="equal">
      <formula>"In-Work"</formula>
    </cfRule>
    <cfRule type="cellIs" dxfId="367" priority="6" stopIfTrue="1" operator="equal">
      <formula>"draft"</formula>
    </cfRule>
    <cfRule type="cellIs" dxfId="366" priority="7" operator="equal">
      <formula>"In-Work"</formula>
    </cfRule>
    <cfRule type="cellIs" dxfId="365" priority="8" stopIfTrue="1" operator="equal">
      <formula>"draft"</formula>
    </cfRule>
    <cfRule type="cellIs" dxfId="364" priority="9" operator="equal">
      <formula>"In-Work"</formula>
    </cfRule>
    <cfRule type="cellIs" dxfId="363" priority="10" stopIfTrue="1" operator="equal">
      <formula>"draft"</formula>
    </cfRule>
    <cfRule type="cellIs" dxfId="362" priority="11" operator="equal">
      <formula>"In-Work"</formula>
    </cfRule>
    <cfRule type="cellIs" dxfId="361" priority="12" stopIfTrue="1" operator="equal">
      <formula>"draft"</formula>
    </cfRule>
    <cfRule type="cellIs" dxfId="360" priority="13" operator="equal">
      <formula>"In-Work"</formula>
    </cfRule>
    <cfRule type="cellIs" dxfId="359" priority="14" stopIfTrue="1" operator="equal">
      <formula>"draft"</formula>
    </cfRule>
    <cfRule type="cellIs" dxfId="358" priority="15" operator="equal">
      <formula>"In-Work"</formula>
    </cfRule>
    <cfRule type="cellIs" dxfId="357" priority="16" stopIfTrue="1" operator="equal">
      <formula>"draft"</formula>
    </cfRule>
    <cfRule type="cellIs" dxfId="356" priority="17" operator="equal">
      <formula>"In-Work"</formula>
    </cfRule>
    <cfRule type="cellIs" dxfId="355" priority="18" stopIfTrue="1" operator="equal">
      <formula>"draft"</formula>
    </cfRule>
    <cfRule type="cellIs" dxfId="354" priority="19" operator="equal">
      <formula>"In-Work"</formula>
    </cfRule>
    <cfRule type="cellIs" dxfId="353" priority="20" stopIfTrue="1" operator="equal">
      <formula>"draft"</formula>
    </cfRule>
  </conditionalFormatting>
  <dataValidations count="1">
    <dataValidation type="list" allowBlank="1" showInputMessage="1" showErrorMessage="1" sqref="E18:P18" xr:uid="{77868581-5143-49F8-85D4-ADEB2DA28229}">
      <formula1>ChecklistsSheetNameList</formula1>
    </dataValidation>
  </dataValidations>
  <pageMargins left="0.55118110236220474" right="0.35433070866141736" top="0.39370078740157483" bottom="0.39370078740157483" header="0.19685039370078741" footer="0.19685039370078741"/>
  <pageSetup paperSize="9" orientation="portrait" r:id="rId1"/>
  <headerFooter alignWithMargins="0">
    <oddFooter>&amp;C&amp;8Copyright Autoliv Inc., All Rights Reserved&amp;LExxxxxx rev xxx ver xxx&amp;R&amp;P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679818" r:id="rId4" name="ButtonUpdateFrontpage">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19" r:id="rId5" name="ButtonUpdateFrontpage">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0" r:id="rId6" name="ButtonUpdateFrontpage">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1" r:id="rId7" name="ButtonUpdateFrontpage">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2" r:id="rId8" name="ButtonUpdateFrontpage">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28" r:id="rId9" name="ButtonUpdateFrontpage">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31" r:id="rId10" name="ButtonUpdateFrontpage">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mc:AlternateContent xmlns:mc="http://schemas.openxmlformats.org/markup-compatibility/2006">
          <mc:Choice Requires="x14">
            <control shapeId="2679840" r:id="rId11" name="ButtonUpdateFrontpage">
              <controlPr defaultSize="0" print="0" autoFill="0" autoPict="0" macro="[3]!autofillFrontPage">
                <anchor moveWithCells="1" sizeWithCells="1">
                  <from>
                    <xdr:col>9</xdr:col>
                    <xdr:colOff>0</xdr:colOff>
                    <xdr:row>0</xdr:row>
                    <xdr:rowOff>0</xdr:rowOff>
                  </from>
                  <to>
                    <xdr:col>20</xdr:col>
                    <xdr:colOff>0</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E4549C-5E36-4A4E-99FB-92B1F79D8B92}">
  <sheetPr codeName="GeneralInfo">
    <tabColor theme="9" tint="0.59999389629810485"/>
    <pageSetUpPr fitToPage="1"/>
  </sheetPr>
  <dimension ref="A1:AJ105"/>
  <sheetViews>
    <sheetView showGridLines="0" zoomScaleNormal="100" workbookViewId="0">
      <selection activeCell="AH7" sqref="AH7"/>
    </sheetView>
  </sheetViews>
  <sheetFormatPr defaultColWidth="9.140625" defaultRowHeight="15"/>
  <cols>
    <col min="1" max="34" width="2.85546875" style="114" customWidth="1"/>
    <col min="35" max="35" width="9.140625" style="114"/>
    <col min="36" max="36" width="22" style="114" customWidth="1"/>
    <col min="37" max="16384" width="9.140625" style="114"/>
  </cols>
  <sheetData>
    <row r="1" spans="1:34">
      <c r="A1" s="96"/>
      <c r="B1" s="96"/>
      <c r="C1" s="97"/>
      <c r="D1" s="97"/>
      <c r="E1" s="97"/>
      <c r="F1" s="97"/>
      <c r="G1" s="98"/>
      <c r="H1" s="99"/>
      <c r="I1" s="99"/>
      <c r="J1" s="99"/>
      <c r="K1" s="99"/>
      <c r="L1" s="99"/>
      <c r="M1" s="99"/>
      <c r="N1" s="99"/>
      <c r="O1" s="99"/>
      <c r="P1" s="100"/>
      <c r="Q1" s="100"/>
      <c r="R1" s="100"/>
      <c r="S1" s="100"/>
      <c r="T1" s="100"/>
      <c r="U1" s="100"/>
      <c r="V1" s="100"/>
      <c r="W1" s="100"/>
      <c r="X1" s="100"/>
      <c r="Y1" s="100"/>
      <c r="Z1" s="100"/>
      <c r="AA1" s="100"/>
      <c r="AB1" s="100"/>
      <c r="AC1" s="100"/>
      <c r="AD1" s="100"/>
      <c r="AE1" s="100"/>
      <c r="AF1" s="100"/>
      <c r="AG1" s="100"/>
      <c r="AH1" s="100"/>
    </row>
    <row r="2" spans="1:34">
      <c r="A2" s="96"/>
      <c r="B2" s="96"/>
      <c r="C2" s="96"/>
      <c r="D2" s="96"/>
      <c r="E2" s="96"/>
      <c r="F2" s="96"/>
      <c r="G2" s="96"/>
      <c r="H2" s="96"/>
      <c r="I2" s="96"/>
      <c r="J2" s="96"/>
      <c r="K2" s="96"/>
      <c r="L2" s="96"/>
      <c r="M2" s="96"/>
      <c r="N2" s="96"/>
      <c r="O2" s="96"/>
      <c r="P2" s="96"/>
      <c r="Q2" s="96"/>
      <c r="R2" s="96"/>
      <c r="S2" s="96"/>
      <c r="T2" s="96"/>
      <c r="U2" s="96"/>
      <c r="V2" s="96"/>
      <c r="W2" s="96"/>
      <c r="X2" s="96"/>
      <c r="Y2" s="96"/>
      <c r="Z2" s="96"/>
      <c r="AA2" s="96"/>
      <c r="AB2" s="96"/>
      <c r="AC2" s="96"/>
      <c r="AD2" s="96"/>
      <c r="AE2" s="96"/>
      <c r="AF2" s="96"/>
      <c r="AG2" s="96"/>
      <c r="AH2" s="96"/>
    </row>
    <row r="3" spans="1:34">
      <c r="A3" s="96"/>
      <c r="B3" s="96"/>
      <c r="C3" s="96"/>
      <c r="D3" s="96"/>
      <c r="E3" s="96"/>
      <c r="F3" s="96"/>
      <c r="G3" s="96"/>
      <c r="H3" s="96"/>
      <c r="I3" s="96"/>
      <c r="J3" s="96"/>
      <c r="K3" s="96"/>
      <c r="L3" s="96"/>
      <c r="M3" s="96"/>
      <c r="N3" s="96"/>
      <c r="O3" s="96"/>
      <c r="P3" s="96"/>
      <c r="Q3" s="96"/>
      <c r="R3" s="96"/>
      <c r="S3" s="96"/>
      <c r="T3" s="96"/>
      <c r="U3" s="96"/>
      <c r="V3" s="96"/>
      <c r="W3" s="96"/>
      <c r="X3" s="96"/>
      <c r="Y3" s="96"/>
      <c r="Z3" s="96"/>
      <c r="AA3" s="96"/>
      <c r="AB3" s="96"/>
      <c r="AC3" s="96"/>
      <c r="AD3" s="115" t="str">
        <f>FileName</f>
        <v>EIM - Peer Review Workbook.xlsm</v>
      </c>
      <c r="AE3" s="96"/>
      <c r="AF3" s="96"/>
      <c r="AG3" s="96"/>
      <c r="AH3" s="96"/>
    </row>
    <row r="4" spans="1:34">
      <c r="A4" s="262" t="s">
        <v>5</v>
      </c>
      <c r="B4" s="263"/>
      <c r="C4" s="263"/>
      <c r="D4" s="263"/>
      <c r="E4" s="263"/>
      <c r="F4" s="263"/>
      <c r="G4" s="263"/>
      <c r="H4" s="263"/>
      <c r="I4" s="263"/>
      <c r="J4" s="263"/>
      <c r="K4" s="263"/>
      <c r="L4" s="263"/>
      <c r="M4" s="263"/>
      <c r="N4" s="263"/>
      <c r="O4" s="263"/>
      <c r="P4" s="263"/>
      <c r="Q4" s="263"/>
      <c r="R4" s="263"/>
      <c r="S4" s="263"/>
      <c r="T4" s="263"/>
      <c r="U4" s="263"/>
      <c r="V4" s="264"/>
      <c r="W4" s="301" t="s">
        <v>6</v>
      </c>
      <c r="X4" s="302"/>
      <c r="Y4" s="302"/>
      <c r="Z4" s="302"/>
      <c r="AA4" s="303"/>
      <c r="AB4" s="262" t="s">
        <v>136</v>
      </c>
      <c r="AC4" s="263"/>
      <c r="AD4" s="263"/>
      <c r="AE4" s="263"/>
      <c r="AF4" s="263"/>
      <c r="AG4" s="264"/>
      <c r="AH4" s="102"/>
    </row>
    <row r="5" spans="1:34">
      <c r="A5" s="268" t="s">
        <v>203</v>
      </c>
      <c r="B5" s="269"/>
      <c r="C5" s="269"/>
      <c r="D5" s="269"/>
      <c r="E5" s="269"/>
      <c r="F5" s="269"/>
      <c r="G5" s="269"/>
      <c r="H5" s="269"/>
      <c r="I5" s="269"/>
      <c r="J5" s="269"/>
      <c r="K5" s="269"/>
      <c r="L5" s="269"/>
      <c r="M5" s="269"/>
      <c r="N5" s="269"/>
      <c r="O5" s="269"/>
      <c r="P5" s="269"/>
      <c r="Q5" s="269"/>
      <c r="R5" s="269"/>
      <c r="S5" s="269"/>
      <c r="T5" s="269"/>
      <c r="U5" s="269"/>
      <c r="V5" s="270"/>
      <c r="W5" s="304" t="s">
        <v>202</v>
      </c>
      <c r="X5" s="305"/>
      <c r="Y5" s="305"/>
      <c r="Z5" s="305"/>
      <c r="AA5" s="306"/>
      <c r="AB5" s="268" t="s">
        <v>201</v>
      </c>
      <c r="AC5" s="269"/>
      <c r="AD5" s="269"/>
      <c r="AE5" s="269"/>
      <c r="AF5" s="269"/>
      <c r="AG5" s="270"/>
      <c r="AH5" s="103"/>
    </row>
    <row r="6" spans="1:34">
      <c r="A6" s="293" t="s">
        <v>7</v>
      </c>
      <c r="B6" s="294"/>
      <c r="C6" s="294"/>
      <c r="D6" s="295"/>
      <c r="E6" s="293" t="s">
        <v>8</v>
      </c>
      <c r="F6" s="294"/>
      <c r="G6" s="294"/>
      <c r="H6" s="294"/>
      <c r="I6" s="294"/>
      <c r="J6" s="294"/>
      <c r="K6" s="294"/>
      <c r="L6" s="294"/>
      <c r="M6" s="294"/>
      <c r="N6" s="294"/>
      <c r="O6" s="294"/>
      <c r="P6" s="294"/>
      <c r="Q6" s="294"/>
      <c r="R6" s="294"/>
      <c r="S6" s="294"/>
      <c r="T6" s="294"/>
      <c r="U6" s="294"/>
      <c r="V6" s="295"/>
      <c r="W6" s="262" t="s">
        <v>10</v>
      </c>
      <c r="X6" s="263"/>
      <c r="Y6" s="263"/>
      <c r="Z6" s="263"/>
      <c r="AA6" s="264"/>
      <c r="AB6" s="301" t="s">
        <v>34</v>
      </c>
      <c r="AC6" s="302"/>
      <c r="AD6" s="303"/>
      <c r="AE6" s="301" t="s">
        <v>9</v>
      </c>
      <c r="AF6" s="302"/>
      <c r="AG6" s="303"/>
      <c r="AH6" s="96"/>
    </row>
    <row r="7" spans="1:34">
      <c r="A7" s="304" t="s">
        <v>200</v>
      </c>
      <c r="B7" s="305"/>
      <c r="C7" s="305"/>
      <c r="D7" s="306"/>
      <c r="E7" s="304" t="s">
        <v>205</v>
      </c>
      <c r="F7" s="305"/>
      <c r="G7" s="305"/>
      <c r="H7" s="305"/>
      <c r="I7" s="305"/>
      <c r="J7" s="305"/>
      <c r="K7" s="305"/>
      <c r="L7" s="305"/>
      <c r="M7" s="305"/>
      <c r="N7" s="305"/>
      <c r="O7" s="305"/>
      <c r="P7" s="305"/>
      <c r="Q7" s="305"/>
      <c r="R7" s="305"/>
      <c r="S7" s="305"/>
      <c r="T7" s="305"/>
      <c r="U7" s="305"/>
      <c r="V7" s="306"/>
      <c r="W7" s="304" t="str">
        <f ca="1">TemplateRef</f>
        <v>AEF1007</v>
      </c>
      <c r="X7" s="305"/>
      <c r="Y7" s="305"/>
      <c r="Z7" s="305"/>
      <c r="AA7" s="306"/>
      <c r="AB7" s="304" t="s">
        <v>204</v>
      </c>
      <c r="AC7" s="305"/>
      <c r="AD7" s="306"/>
      <c r="AE7" s="304" t="s">
        <v>204</v>
      </c>
      <c r="AF7" s="305"/>
      <c r="AG7" s="306"/>
      <c r="AH7" s="103"/>
    </row>
    <row r="8" spans="1:34">
      <c r="A8" s="293" t="s">
        <v>142</v>
      </c>
      <c r="B8" s="294"/>
      <c r="C8" s="294"/>
      <c r="D8" s="294"/>
      <c r="E8" s="294"/>
      <c r="F8" s="294"/>
      <c r="G8" s="294"/>
      <c r="H8" s="294"/>
      <c r="I8" s="294"/>
      <c r="J8" s="294"/>
      <c r="K8" s="294"/>
      <c r="L8" s="294"/>
      <c r="M8" s="294"/>
      <c r="N8" s="294"/>
      <c r="O8" s="294"/>
      <c r="P8" s="294"/>
      <c r="Q8" s="294"/>
      <c r="R8" s="294"/>
      <c r="S8" s="294"/>
      <c r="T8" s="294"/>
      <c r="U8" s="294"/>
      <c r="V8" s="294"/>
      <c r="W8" s="294"/>
      <c r="X8" s="294"/>
      <c r="Y8" s="294"/>
      <c r="Z8" s="294"/>
      <c r="AA8" s="294"/>
      <c r="AB8" s="294"/>
      <c r="AC8" s="294"/>
      <c r="AD8" s="294"/>
      <c r="AE8" s="294"/>
      <c r="AF8" s="294"/>
      <c r="AG8" s="295"/>
      <c r="AH8" s="106"/>
    </row>
    <row r="9" spans="1:34">
      <c r="A9" s="296" t="s">
        <v>143</v>
      </c>
      <c r="B9" s="297"/>
      <c r="C9" s="297"/>
      <c r="D9" s="297"/>
      <c r="E9" s="297"/>
      <c r="F9" s="297"/>
      <c r="G9" s="297"/>
      <c r="H9" s="297"/>
      <c r="I9" s="297"/>
      <c r="J9" s="297"/>
      <c r="K9" s="297"/>
      <c r="L9" s="297"/>
      <c r="M9" s="297"/>
      <c r="N9" s="297"/>
      <c r="O9" s="297"/>
      <c r="P9" s="297"/>
      <c r="Q9" s="297"/>
      <c r="R9" s="297"/>
      <c r="S9" s="297"/>
      <c r="T9" s="297"/>
      <c r="U9" s="297"/>
      <c r="V9" s="297"/>
      <c r="W9" s="297"/>
      <c r="X9" s="297"/>
      <c r="Y9" s="297"/>
      <c r="Z9" s="297"/>
      <c r="AA9" s="297"/>
      <c r="AB9" s="297"/>
      <c r="AC9" s="297"/>
      <c r="AD9" s="297"/>
      <c r="AE9" s="297"/>
      <c r="AF9" s="297"/>
      <c r="AG9" s="298"/>
      <c r="AH9" s="106"/>
    </row>
    <row r="10" spans="1:34">
      <c r="A10" s="106"/>
      <c r="B10" s="106"/>
      <c r="C10" s="106"/>
      <c r="D10" s="106"/>
      <c r="E10" s="106"/>
      <c r="F10" s="106"/>
      <c r="G10" s="106"/>
      <c r="H10" s="106"/>
      <c r="I10" s="106"/>
      <c r="J10" s="106"/>
      <c r="K10" s="106"/>
      <c r="L10" s="106"/>
      <c r="M10" s="106"/>
      <c r="N10" s="106"/>
      <c r="O10" s="106"/>
      <c r="P10" s="106"/>
      <c r="Q10" s="106"/>
      <c r="R10" s="106"/>
      <c r="S10" s="106"/>
      <c r="T10" s="106"/>
      <c r="U10" s="106"/>
      <c r="V10" s="106"/>
      <c r="W10" s="106"/>
      <c r="X10" s="106"/>
      <c r="Y10" s="106"/>
      <c r="Z10" s="106"/>
      <c r="AA10" s="106"/>
      <c r="AB10" s="106"/>
      <c r="AC10" s="106"/>
      <c r="AD10" s="106"/>
      <c r="AE10" s="106"/>
      <c r="AF10" s="106"/>
      <c r="AG10" s="106"/>
      <c r="AH10" s="106"/>
    </row>
    <row r="11" spans="1:34">
      <c r="A11" s="106"/>
      <c r="B11" s="106"/>
      <c r="C11" s="106"/>
      <c r="D11" s="106"/>
      <c r="E11" s="106"/>
      <c r="F11" s="106"/>
      <c r="G11" s="106"/>
      <c r="H11" s="106"/>
      <c r="I11" s="106"/>
      <c r="J11" s="106"/>
      <c r="K11" s="106"/>
      <c r="L11" s="106"/>
      <c r="M11" s="106"/>
      <c r="N11" s="106"/>
      <c r="O11" s="106"/>
      <c r="P11" s="106"/>
      <c r="Q11" s="106"/>
      <c r="R11" s="106"/>
      <c r="S11" s="106"/>
      <c r="T11" s="106"/>
      <c r="U11" s="106"/>
      <c r="V11" s="106"/>
      <c r="W11" s="106"/>
      <c r="X11" s="106"/>
      <c r="Y11" s="106"/>
      <c r="Z11" s="106"/>
      <c r="AA11" s="106"/>
      <c r="AB11" s="106"/>
      <c r="AC11" s="106"/>
      <c r="AD11" s="106"/>
      <c r="AE11" s="106"/>
      <c r="AF11" s="106"/>
      <c r="AG11" s="106"/>
      <c r="AH11" s="106"/>
    </row>
    <row r="12" spans="1:34" ht="26.25">
      <c r="A12" s="106"/>
      <c r="B12" s="116" t="s">
        <v>144</v>
      </c>
      <c r="C12" s="117"/>
      <c r="D12" s="117"/>
      <c r="E12" s="117"/>
      <c r="F12" s="117"/>
      <c r="G12" s="117"/>
      <c r="H12" s="117"/>
      <c r="I12" s="117"/>
      <c r="J12" s="117"/>
      <c r="K12" s="117"/>
      <c r="L12" s="117"/>
      <c r="M12" s="117"/>
      <c r="N12" s="117"/>
      <c r="O12" s="117"/>
      <c r="P12" s="117"/>
      <c r="Q12" s="117"/>
      <c r="R12" s="117"/>
      <c r="S12" s="117"/>
      <c r="T12" s="117"/>
      <c r="U12" s="117"/>
      <c r="V12" s="117"/>
      <c r="W12" s="117"/>
      <c r="X12" s="117"/>
      <c r="Y12" s="117"/>
      <c r="Z12" s="117"/>
      <c r="AA12" s="117"/>
      <c r="AB12" s="117"/>
      <c r="AC12" s="117"/>
      <c r="AD12" s="117"/>
      <c r="AE12" s="117"/>
      <c r="AF12" s="117"/>
      <c r="AG12" s="106"/>
      <c r="AH12" s="106"/>
    </row>
    <row r="13" spans="1:34">
      <c r="A13" s="106"/>
      <c r="B13" s="106"/>
      <c r="C13" s="106"/>
      <c r="D13" s="106"/>
      <c r="E13" s="106"/>
      <c r="F13" s="106"/>
      <c r="G13" s="106"/>
      <c r="H13" s="106"/>
      <c r="I13" s="106"/>
      <c r="J13" s="106"/>
      <c r="K13" s="106"/>
      <c r="L13" s="106"/>
      <c r="M13" s="106"/>
      <c r="N13" s="106"/>
      <c r="O13" s="106"/>
      <c r="P13" s="106"/>
      <c r="Q13" s="106"/>
      <c r="R13" s="106"/>
      <c r="S13" s="106"/>
      <c r="T13" s="106"/>
      <c r="U13" s="106"/>
      <c r="V13" s="106"/>
      <c r="W13" s="106"/>
      <c r="X13" s="106"/>
      <c r="Y13" s="106"/>
      <c r="Z13" s="106"/>
      <c r="AA13" s="106"/>
      <c r="AB13" s="106"/>
      <c r="AC13" s="106"/>
      <c r="AD13" s="106"/>
      <c r="AE13" s="106"/>
      <c r="AF13" s="106"/>
      <c r="AG13" s="106"/>
      <c r="AH13" s="106"/>
    </row>
    <row r="14" spans="1:34" ht="20.25">
      <c r="A14" s="106"/>
      <c r="B14" s="118" t="s">
        <v>145</v>
      </c>
      <c r="C14" s="119"/>
      <c r="D14" s="106"/>
      <c r="E14" s="106"/>
      <c r="F14" s="106"/>
      <c r="G14" s="106"/>
      <c r="H14" s="106"/>
      <c r="I14" s="106"/>
      <c r="J14" s="106"/>
      <c r="K14" s="106"/>
      <c r="L14" s="106"/>
      <c r="M14" s="106"/>
      <c r="N14" s="106"/>
      <c r="O14" s="106"/>
      <c r="P14" s="106"/>
      <c r="Q14" s="106"/>
      <c r="R14" s="106"/>
      <c r="S14" s="106"/>
      <c r="T14" s="106"/>
      <c r="U14" s="106"/>
      <c r="V14" s="106"/>
      <c r="W14" s="106"/>
      <c r="X14" s="106"/>
      <c r="Y14" s="106"/>
      <c r="Z14" s="106"/>
      <c r="AA14" s="106"/>
      <c r="AB14" s="106"/>
      <c r="AC14" s="106"/>
      <c r="AD14" s="106"/>
      <c r="AE14" s="106"/>
      <c r="AF14" s="106"/>
      <c r="AG14" s="106"/>
      <c r="AH14" s="106"/>
    </row>
    <row r="15" spans="1:34">
      <c r="A15" s="106"/>
      <c r="B15" s="281" t="s">
        <v>146</v>
      </c>
      <c r="C15" s="299"/>
      <c r="D15" s="299"/>
      <c r="E15" s="299"/>
      <c r="F15" s="299"/>
      <c r="G15" s="281" t="s">
        <v>147</v>
      </c>
      <c r="H15" s="281"/>
      <c r="I15" s="281"/>
      <c r="J15" s="281"/>
      <c r="K15" s="281"/>
      <c r="L15" s="281"/>
      <c r="M15" s="281"/>
      <c r="N15" s="281"/>
      <c r="O15" s="281"/>
      <c r="P15" s="281"/>
      <c r="Q15" s="281"/>
      <c r="R15" s="281"/>
      <c r="S15" s="281"/>
      <c r="T15" s="281"/>
      <c r="U15" s="281"/>
      <c r="V15" s="281"/>
      <c r="W15" s="281"/>
      <c r="X15" s="281"/>
      <c r="Y15" s="281"/>
      <c r="Z15" s="281"/>
      <c r="AA15" s="281"/>
      <c r="AB15" s="281"/>
      <c r="AC15" s="281"/>
      <c r="AD15" s="281"/>
      <c r="AE15" s="281"/>
      <c r="AF15" s="281"/>
      <c r="AG15" s="106"/>
      <c r="AH15" s="106"/>
    </row>
    <row r="16" spans="1:34" ht="55.5" customHeight="1">
      <c r="A16" s="106"/>
      <c r="B16" s="300" t="s">
        <v>148</v>
      </c>
      <c r="C16" s="300"/>
      <c r="D16" s="300"/>
      <c r="E16" s="300"/>
      <c r="F16" s="300"/>
      <c r="G16" s="278" t="s">
        <v>149</v>
      </c>
      <c r="H16" s="278"/>
      <c r="I16" s="278"/>
      <c r="J16" s="278"/>
      <c r="K16" s="278"/>
      <c r="L16" s="278"/>
      <c r="M16" s="278"/>
      <c r="N16" s="278"/>
      <c r="O16" s="278"/>
      <c r="P16" s="278"/>
      <c r="Q16" s="278"/>
      <c r="R16" s="278"/>
      <c r="S16" s="278"/>
      <c r="T16" s="278"/>
      <c r="U16" s="278"/>
      <c r="V16" s="278"/>
      <c r="W16" s="278"/>
      <c r="X16" s="278"/>
      <c r="Y16" s="278"/>
      <c r="Z16" s="278"/>
      <c r="AA16" s="278"/>
      <c r="AB16" s="278"/>
      <c r="AC16" s="278"/>
      <c r="AD16" s="278"/>
      <c r="AE16" s="278"/>
      <c r="AF16" s="278"/>
      <c r="AG16" s="106"/>
      <c r="AH16" s="106"/>
    </row>
    <row r="17" spans="1:34">
      <c r="A17" s="106"/>
      <c r="B17" s="300" t="s">
        <v>150</v>
      </c>
      <c r="C17" s="300"/>
      <c r="D17" s="300"/>
      <c r="E17" s="300"/>
      <c r="F17" s="300"/>
      <c r="G17" s="278" t="s">
        <v>151</v>
      </c>
      <c r="H17" s="278"/>
      <c r="I17" s="278"/>
      <c r="J17" s="278"/>
      <c r="K17" s="278"/>
      <c r="L17" s="278"/>
      <c r="M17" s="278"/>
      <c r="N17" s="278"/>
      <c r="O17" s="278"/>
      <c r="P17" s="278"/>
      <c r="Q17" s="278"/>
      <c r="R17" s="278"/>
      <c r="S17" s="278"/>
      <c r="T17" s="278"/>
      <c r="U17" s="278"/>
      <c r="V17" s="278"/>
      <c r="W17" s="278"/>
      <c r="X17" s="278"/>
      <c r="Y17" s="278"/>
      <c r="Z17" s="278"/>
      <c r="AA17" s="278"/>
      <c r="AB17" s="278"/>
      <c r="AC17" s="278"/>
      <c r="AD17" s="278"/>
      <c r="AE17" s="278"/>
      <c r="AF17" s="278"/>
      <c r="AG17" s="106"/>
      <c r="AH17" s="106"/>
    </row>
    <row r="18" spans="1:34" ht="15" customHeight="1">
      <c r="A18" s="106"/>
      <c r="B18" s="300" t="s">
        <v>15</v>
      </c>
      <c r="C18" s="300"/>
      <c r="D18" s="300"/>
      <c r="E18" s="300"/>
      <c r="F18" s="300"/>
      <c r="G18" s="278" t="s">
        <v>152</v>
      </c>
      <c r="H18" s="278"/>
      <c r="I18" s="278"/>
      <c r="J18" s="278"/>
      <c r="K18" s="278"/>
      <c r="L18" s="278"/>
      <c r="M18" s="278"/>
      <c r="N18" s="278"/>
      <c r="O18" s="278"/>
      <c r="P18" s="278"/>
      <c r="Q18" s="278"/>
      <c r="R18" s="278"/>
      <c r="S18" s="278"/>
      <c r="T18" s="278"/>
      <c r="U18" s="278"/>
      <c r="V18" s="278"/>
      <c r="W18" s="278"/>
      <c r="X18" s="278"/>
      <c r="Y18" s="278"/>
      <c r="Z18" s="278"/>
      <c r="AA18" s="278"/>
      <c r="AB18" s="278"/>
      <c r="AC18" s="278"/>
      <c r="AD18" s="278"/>
      <c r="AE18" s="278"/>
      <c r="AF18" s="278"/>
      <c r="AG18" s="106"/>
      <c r="AH18" s="106"/>
    </row>
    <row r="19" spans="1:34" ht="24" customHeight="1">
      <c r="A19" s="106"/>
      <c r="B19" s="290" t="s">
        <v>187</v>
      </c>
      <c r="C19" s="290"/>
      <c r="D19" s="290"/>
      <c r="E19" s="290"/>
      <c r="F19" s="290"/>
      <c r="G19" s="278" t="s">
        <v>152</v>
      </c>
      <c r="H19" s="278"/>
      <c r="I19" s="278"/>
      <c r="J19" s="278"/>
      <c r="K19" s="278"/>
      <c r="L19" s="278"/>
      <c r="M19" s="278"/>
      <c r="N19" s="278"/>
      <c r="O19" s="278"/>
      <c r="P19" s="278"/>
      <c r="Q19" s="278"/>
      <c r="R19" s="278"/>
      <c r="S19" s="278"/>
      <c r="T19" s="278"/>
      <c r="U19" s="278"/>
      <c r="V19" s="278"/>
      <c r="W19" s="278"/>
      <c r="X19" s="278"/>
      <c r="Y19" s="278"/>
      <c r="Z19" s="278"/>
      <c r="AA19" s="278"/>
      <c r="AB19" s="278"/>
      <c r="AC19" s="278"/>
      <c r="AD19" s="278"/>
      <c r="AE19" s="278"/>
      <c r="AF19" s="278"/>
      <c r="AG19" s="106"/>
      <c r="AH19" s="106"/>
    </row>
    <row r="20" spans="1:34">
      <c r="A20" s="106"/>
      <c r="B20" s="307" t="s">
        <v>188</v>
      </c>
      <c r="C20" s="307"/>
      <c r="D20" s="307"/>
      <c r="E20" s="307"/>
      <c r="F20" s="307"/>
      <c r="G20" s="278" t="s">
        <v>152</v>
      </c>
      <c r="H20" s="278"/>
      <c r="I20" s="278"/>
      <c r="J20" s="278"/>
      <c r="K20" s="278"/>
      <c r="L20" s="278"/>
      <c r="M20" s="278"/>
      <c r="N20" s="278"/>
      <c r="O20" s="278"/>
      <c r="P20" s="278"/>
      <c r="Q20" s="278"/>
      <c r="R20" s="278"/>
      <c r="S20" s="278"/>
      <c r="T20" s="278"/>
      <c r="U20" s="278"/>
      <c r="V20" s="278"/>
      <c r="W20" s="278"/>
      <c r="X20" s="278"/>
      <c r="Y20" s="278"/>
      <c r="Z20" s="278"/>
      <c r="AA20" s="278"/>
      <c r="AB20" s="278"/>
      <c r="AC20" s="278"/>
      <c r="AD20" s="278"/>
      <c r="AE20" s="278"/>
      <c r="AF20" s="278"/>
      <c r="AG20" s="106"/>
      <c r="AH20" s="106"/>
    </row>
    <row r="21" spans="1:34" ht="35.25" customHeight="1">
      <c r="A21" s="106"/>
      <c r="B21" s="291" t="s">
        <v>257</v>
      </c>
      <c r="C21" s="291"/>
      <c r="D21" s="291"/>
      <c r="E21" s="291"/>
      <c r="F21" s="291"/>
      <c r="G21" s="278" t="s">
        <v>258</v>
      </c>
      <c r="H21" s="278"/>
      <c r="I21" s="278"/>
      <c r="J21" s="278"/>
      <c r="K21" s="278"/>
      <c r="L21" s="278"/>
      <c r="M21" s="278"/>
      <c r="N21" s="278"/>
      <c r="O21" s="278"/>
      <c r="P21" s="278"/>
      <c r="Q21" s="278"/>
      <c r="R21" s="278"/>
      <c r="S21" s="278"/>
      <c r="T21" s="278"/>
      <c r="U21" s="278"/>
      <c r="V21" s="278"/>
      <c r="W21" s="278"/>
      <c r="X21" s="278"/>
      <c r="Y21" s="278"/>
      <c r="Z21" s="278"/>
      <c r="AA21" s="278"/>
      <c r="AB21" s="278"/>
      <c r="AC21" s="278"/>
      <c r="AD21" s="278"/>
      <c r="AE21" s="278"/>
      <c r="AF21" s="278"/>
      <c r="AG21" s="106"/>
      <c r="AH21" s="106"/>
    </row>
    <row r="22" spans="1:34" ht="28.5" customHeight="1">
      <c r="A22" s="106"/>
      <c r="B22" s="291" t="s">
        <v>259</v>
      </c>
      <c r="C22" s="291"/>
      <c r="D22" s="291"/>
      <c r="E22" s="291"/>
      <c r="F22" s="291"/>
      <c r="G22" s="278" t="s">
        <v>260</v>
      </c>
      <c r="H22" s="278"/>
      <c r="I22" s="278"/>
      <c r="J22" s="278"/>
      <c r="K22" s="278"/>
      <c r="L22" s="278"/>
      <c r="M22" s="278"/>
      <c r="N22" s="278"/>
      <c r="O22" s="278"/>
      <c r="P22" s="278"/>
      <c r="Q22" s="278"/>
      <c r="R22" s="278"/>
      <c r="S22" s="278"/>
      <c r="T22" s="278"/>
      <c r="U22" s="278"/>
      <c r="V22" s="278"/>
      <c r="W22" s="278"/>
      <c r="X22" s="278"/>
      <c r="Y22" s="278"/>
      <c r="Z22" s="278"/>
      <c r="AA22" s="278"/>
      <c r="AB22" s="278"/>
      <c r="AC22" s="278"/>
      <c r="AD22" s="278"/>
      <c r="AE22" s="278"/>
      <c r="AF22" s="278"/>
      <c r="AG22" s="106"/>
      <c r="AH22" s="106"/>
    </row>
    <row r="23" spans="1:34" ht="22.5" customHeight="1">
      <c r="A23" s="106"/>
      <c r="B23" s="291" t="s">
        <v>261</v>
      </c>
      <c r="C23" s="291"/>
      <c r="D23" s="291"/>
      <c r="E23" s="291"/>
      <c r="F23" s="291"/>
      <c r="G23" s="278" t="s">
        <v>262</v>
      </c>
      <c r="H23" s="278"/>
      <c r="I23" s="278"/>
      <c r="J23" s="278"/>
      <c r="K23" s="278"/>
      <c r="L23" s="278"/>
      <c r="M23" s="278"/>
      <c r="N23" s="278"/>
      <c r="O23" s="278"/>
      <c r="P23" s="278"/>
      <c r="Q23" s="278"/>
      <c r="R23" s="278"/>
      <c r="S23" s="278"/>
      <c r="T23" s="278"/>
      <c r="U23" s="278"/>
      <c r="V23" s="278"/>
      <c r="W23" s="278"/>
      <c r="X23" s="278"/>
      <c r="Y23" s="278"/>
      <c r="Z23" s="278"/>
      <c r="AA23" s="278"/>
      <c r="AB23" s="278"/>
      <c r="AC23" s="278"/>
      <c r="AD23" s="278"/>
      <c r="AE23" s="278"/>
      <c r="AF23" s="278"/>
      <c r="AG23" s="106"/>
      <c r="AH23" s="106"/>
    </row>
    <row r="24" spans="1:34" ht="45" customHeight="1">
      <c r="A24" s="106"/>
      <c r="B24" s="292" t="s">
        <v>189</v>
      </c>
      <c r="C24" s="292"/>
      <c r="D24" s="292"/>
      <c r="E24" s="292"/>
      <c r="F24" s="292"/>
      <c r="G24" s="278" t="s">
        <v>289</v>
      </c>
      <c r="H24" s="278"/>
      <c r="I24" s="278"/>
      <c r="J24" s="278"/>
      <c r="K24" s="278"/>
      <c r="L24" s="278"/>
      <c r="M24" s="278"/>
      <c r="N24" s="278"/>
      <c r="O24" s="278"/>
      <c r="P24" s="278"/>
      <c r="Q24" s="278"/>
      <c r="R24" s="278"/>
      <c r="S24" s="278"/>
      <c r="T24" s="278"/>
      <c r="U24" s="278"/>
      <c r="V24" s="278"/>
      <c r="W24" s="278"/>
      <c r="X24" s="278"/>
      <c r="Y24" s="278"/>
      <c r="Z24" s="278"/>
      <c r="AA24" s="278"/>
      <c r="AB24" s="278"/>
      <c r="AC24" s="278"/>
      <c r="AD24" s="278"/>
      <c r="AE24" s="278"/>
      <c r="AF24" s="278"/>
      <c r="AG24" s="106"/>
      <c r="AH24" s="106"/>
    </row>
    <row r="25" spans="1:34">
      <c r="A25" s="106"/>
      <c r="B25" s="106"/>
      <c r="C25" s="120"/>
      <c r="D25" s="106"/>
      <c r="E25" s="106"/>
      <c r="F25" s="106"/>
      <c r="G25" s="106"/>
      <c r="H25" s="106"/>
      <c r="I25" s="121"/>
      <c r="J25" s="106"/>
      <c r="K25" s="106"/>
      <c r="L25" s="106"/>
      <c r="M25" s="106"/>
      <c r="N25" s="106"/>
      <c r="O25" s="106"/>
      <c r="P25" s="106"/>
      <c r="Q25" s="106"/>
      <c r="R25" s="106"/>
      <c r="S25" s="106"/>
      <c r="T25" s="106"/>
      <c r="U25" s="106"/>
      <c r="V25" s="106"/>
      <c r="W25" s="106"/>
      <c r="X25" s="106"/>
      <c r="Y25" s="106"/>
      <c r="Z25" s="106"/>
      <c r="AA25" s="106"/>
      <c r="AB25" s="106"/>
      <c r="AC25" s="106"/>
      <c r="AD25" s="106"/>
      <c r="AE25" s="106"/>
      <c r="AF25" s="106"/>
      <c r="AG25" s="106"/>
      <c r="AH25" s="106"/>
    </row>
    <row r="26" spans="1:34" ht="20.25">
      <c r="A26" s="118"/>
      <c r="B26" s="118" t="s">
        <v>153</v>
      </c>
      <c r="C26" s="120"/>
      <c r="D26" s="106"/>
      <c r="E26" s="106"/>
      <c r="F26" s="106"/>
      <c r="G26" s="106"/>
      <c r="H26" s="106"/>
      <c r="I26" s="121"/>
      <c r="J26" s="106"/>
      <c r="K26" s="106"/>
      <c r="L26" s="106"/>
      <c r="M26" s="106"/>
      <c r="N26" s="106"/>
      <c r="O26" s="106"/>
      <c r="P26" s="106"/>
      <c r="Q26" s="106"/>
      <c r="R26" s="106"/>
      <c r="S26" s="106"/>
      <c r="T26" s="106"/>
      <c r="U26" s="106"/>
      <c r="V26" s="106"/>
      <c r="W26" s="106"/>
      <c r="X26" s="106"/>
      <c r="Y26" s="106"/>
      <c r="Z26" s="106"/>
      <c r="AA26" s="106"/>
      <c r="AB26" s="106"/>
      <c r="AC26" s="106"/>
      <c r="AD26" s="106"/>
      <c r="AE26" s="106"/>
      <c r="AF26" s="106"/>
      <c r="AG26" s="106"/>
      <c r="AH26" s="106"/>
    </row>
    <row r="27" spans="1:34">
      <c r="A27" s="106"/>
      <c r="B27" s="281" t="s">
        <v>34</v>
      </c>
      <c r="C27" s="283"/>
      <c r="D27" s="283"/>
      <c r="E27" s="281" t="s">
        <v>92</v>
      </c>
      <c r="F27" s="281"/>
      <c r="G27" s="281"/>
      <c r="H27" s="281"/>
      <c r="I27" s="281" t="s">
        <v>154</v>
      </c>
      <c r="J27" s="283"/>
      <c r="K27" s="283"/>
      <c r="L27" s="283"/>
      <c r="M27" s="283"/>
      <c r="N27" s="283"/>
      <c r="O27" s="283"/>
      <c r="P27" s="283"/>
      <c r="Q27" s="283"/>
      <c r="R27" s="281" t="s">
        <v>155</v>
      </c>
      <c r="S27" s="281"/>
      <c r="T27" s="281"/>
      <c r="U27" s="281"/>
      <c r="V27" s="281"/>
      <c r="W27" s="281"/>
      <c r="X27" s="281"/>
      <c r="Y27" s="281"/>
      <c r="Z27" s="281"/>
      <c r="AA27" s="281"/>
      <c r="AB27" s="281"/>
      <c r="AC27" s="281"/>
      <c r="AD27" s="281"/>
      <c r="AE27" s="281"/>
      <c r="AF27" s="281"/>
      <c r="AG27" s="106"/>
      <c r="AH27" s="106"/>
    </row>
    <row r="28" spans="1:34" ht="40.5" customHeight="1">
      <c r="A28" s="106"/>
      <c r="B28" s="271" t="s">
        <v>334</v>
      </c>
      <c r="C28" s="272" t="s">
        <v>3</v>
      </c>
      <c r="D28" s="273" t="s">
        <v>3</v>
      </c>
      <c r="E28" s="284"/>
      <c r="F28" s="285"/>
      <c r="G28" s="285"/>
      <c r="H28" s="286"/>
      <c r="I28" s="278"/>
      <c r="J28" s="287"/>
      <c r="K28" s="287"/>
      <c r="L28" s="287"/>
      <c r="M28" s="287"/>
      <c r="N28" s="287"/>
      <c r="O28" s="287"/>
      <c r="P28" s="287"/>
      <c r="Q28" s="287"/>
      <c r="R28" s="278" t="s">
        <v>14</v>
      </c>
      <c r="S28" s="278" t="s">
        <v>14</v>
      </c>
      <c r="T28" s="278" t="s">
        <v>14</v>
      </c>
      <c r="U28" s="278" t="s">
        <v>14</v>
      </c>
      <c r="V28" s="278" t="s">
        <v>14</v>
      </c>
      <c r="W28" s="278" t="s">
        <v>14</v>
      </c>
      <c r="X28" s="278" t="s">
        <v>14</v>
      </c>
      <c r="Y28" s="278" t="s">
        <v>14</v>
      </c>
      <c r="Z28" s="278" t="s">
        <v>14</v>
      </c>
      <c r="AA28" s="278" t="s">
        <v>14</v>
      </c>
      <c r="AB28" s="278" t="s">
        <v>14</v>
      </c>
      <c r="AC28" s="278" t="s">
        <v>14</v>
      </c>
      <c r="AD28" s="278" t="s">
        <v>14</v>
      </c>
      <c r="AE28" s="278" t="s">
        <v>14</v>
      </c>
      <c r="AF28" s="278" t="s">
        <v>14</v>
      </c>
      <c r="AG28" s="106"/>
      <c r="AH28" s="106"/>
    </row>
    <row r="29" spans="1:34" ht="60" customHeight="1">
      <c r="A29" s="106"/>
      <c r="B29" s="271" t="s">
        <v>18</v>
      </c>
      <c r="C29" s="272" t="s">
        <v>18</v>
      </c>
      <c r="D29" s="273" t="s">
        <v>18</v>
      </c>
      <c r="E29" s="284">
        <v>40591.490486111114</v>
      </c>
      <c r="F29" s="285">
        <v>40591.490486111114</v>
      </c>
      <c r="G29" s="285">
        <v>40591.490486111114</v>
      </c>
      <c r="H29" s="286">
        <v>40591.490486111114</v>
      </c>
      <c r="I29" s="278" t="s">
        <v>4</v>
      </c>
      <c r="J29" s="287" t="s">
        <v>4</v>
      </c>
      <c r="K29" s="287" t="s">
        <v>4</v>
      </c>
      <c r="L29" s="287" t="s">
        <v>4</v>
      </c>
      <c r="M29" s="287" t="s">
        <v>4</v>
      </c>
      <c r="N29" s="287" t="s">
        <v>4</v>
      </c>
      <c r="O29" s="287" t="s">
        <v>4</v>
      </c>
      <c r="P29" s="287" t="s">
        <v>4</v>
      </c>
      <c r="Q29" s="287" t="s">
        <v>4</v>
      </c>
      <c r="R29" s="278" t="s">
        <v>35</v>
      </c>
      <c r="S29" s="278" t="s">
        <v>35</v>
      </c>
      <c r="T29" s="278" t="s">
        <v>35</v>
      </c>
      <c r="U29" s="278" t="s">
        <v>35</v>
      </c>
      <c r="V29" s="278" t="s">
        <v>35</v>
      </c>
      <c r="W29" s="278" t="s">
        <v>35</v>
      </c>
      <c r="X29" s="278" t="s">
        <v>35</v>
      </c>
      <c r="Y29" s="278" t="s">
        <v>35</v>
      </c>
      <c r="Z29" s="278" t="s">
        <v>35</v>
      </c>
      <c r="AA29" s="278" t="s">
        <v>35</v>
      </c>
      <c r="AB29" s="278" t="s">
        <v>35</v>
      </c>
      <c r="AC29" s="278" t="s">
        <v>35</v>
      </c>
      <c r="AD29" s="278" t="s">
        <v>35</v>
      </c>
      <c r="AE29" s="278" t="s">
        <v>35</v>
      </c>
      <c r="AF29" s="278" t="s">
        <v>35</v>
      </c>
      <c r="AG29" s="106"/>
      <c r="AH29" s="106"/>
    </row>
    <row r="30" spans="1:34" ht="291" customHeight="1">
      <c r="A30" s="106"/>
      <c r="B30" s="271" t="s">
        <v>98</v>
      </c>
      <c r="C30" s="272" t="s">
        <v>98</v>
      </c>
      <c r="D30" s="273" t="s">
        <v>98</v>
      </c>
      <c r="E30" s="284">
        <v>41071.656145833331</v>
      </c>
      <c r="F30" s="285">
        <v>41071.656145833331</v>
      </c>
      <c r="G30" s="285">
        <v>41071.656145833331</v>
      </c>
      <c r="H30" s="286">
        <v>41071.656145833331</v>
      </c>
      <c r="I30" s="278" t="s">
        <v>4</v>
      </c>
      <c r="J30" s="287" t="s">
        <v>4</v>
      </c>
      <c r="K30" s="287" t="s">
        <v>4</v>
      </c>
      <c r="L30" s="287" t="s">
        <v>4</v>
      </c>
      <c r="M30" s="287" t="s">
        <v>4</v>
      </c>
      <c r="N30" s="287" t="s">
        <v>4</v>
      </c>
      <c r="O30" s="287" t="s">
        <v>4</v>
      </c>
      <c r="P30" s="287" t="s">
        <v>4</v>
      </c>
      <c r="Q30" s="287" t="s">
        <v>4</v>
      </c>
      <c r="R30" s="278" t="s">
        <v>129</v>
      </c>
      <c r="S30" s="278" t="s">
        <v>129</v>
      </c>
      <c r="T30" s="278" t="s">
        <v>129</v>
      </c>
      <c r="U30" s="278" t="s">
        <v>129</v>
      </c>
      <c r="V30" s="278" t="s">
        <v>129</v>
      </c>
      <c r="W30" s="278" t="s">
        <v>129</v>
      </c>
      <c r="X30" s="278" t="s">
        <v>129</v>
      </c>
      <c r="Y30" s="278" t="s">
        <v>129</v>
      </c>
      <c r="Z30" s="278" t="s">
        <v>129</v>
      </c>
      <c r="AA30" s="278" t="s">
        <v>129</v>
      </c>
      <c r="AB30" s="278" t="s">
        <v>129</v>
      </c>
      <c r="AC30" s="278" t="s">
        <v>129</v>
      </c>
      <c r="AD30" s="278" t="s">
        <v>129</v>
      </c>
      <c r="AE30" s="278" t="s">
        <v>129</v>
      </c>
      <c r="AF30" s="278" t="s">
        <v>129</v>
      </c>
      <c r="AG30" s="106"/>
      <c r="AH30" s="106"/>
    </row>
    <row r="31" spans="1:34" ht="40.5" customHeight="1">
      <c r="A31" s="106"/>
      <c r="B31" s="271" t="s">
        <v>86</v>
      </c>
      <c r="C31" s="272" t="s">
        <v>86</v>
      </c>
      <c r="D31" s="273" t="s">
        <v>86</v>
      </c>
      <c r="E31" s="284">
        <v>41071.656145833331</v>
      </c>
      <c r="F31" s="285">
        <v>41071.656145833331</v>
      </c>
      <c r="G31" s="285">
        <v>41071.656145833331</v>
      </c>
      <c r="H31" s="286">
        <v>41071.656145833331</v>
      </c>
      <c r="I31" s="278" t="s">
        <v>87</v>
      </c>
      <c r="J31" s="287" t="s">
        <v>87</v>
      </c>
      <c r="K31" s="287" t="s">
        <v>87</v>
      </c>
      <c r="L31" s="287" t="s">
        <v>87</v>
      </c>
      <c r="M31" s="287" t="s">
        <v>87</v>
      </c>
      <c r="N31" s="287" t="s">
        <v>87</v>
      </c>
      <c r="O31" s="287" t="s">
        <v>87</v>
      </c>
      <c r="P31" s="287" t="s">
        <v>87</v>
      </c>
      <c r="Q31" s="287" t="s">
        <v>87</v>
      </c>
      <c r="R31" s="278" t="s">
        <v>100</v>
      </c>
      <c r="S31" s="278" t="s">
        <v>100</v>
      </c>
      <c r="T31" s="278" t="s">
        <v>100</v>
      </c>
      <c r="U31" s="278" t="s">
        <v>100</v>
      </c>
      <c r="V31" s="278" t="s">
        <v>100</v>
      </c>
      <c r="W31" s="278" t="s">
        <v>100</v>
      </c>
      <c r="X31" s="278" t="s">
        <v>100</v>
      </c>
      <c r="Y31" s="278" t="s">
        <v>100</v>
      </c>
      <c r="Z31" s="278" t="s">
        <v>100</v>
      </c>
      <c r="AA31" s="278" t="s">
        <v>100</v>
      </c>
      <c r="AB31" s="278" t="s">
        <v>100</v>
      </c>
      <c r="AC31" s="278" t="s">
        <v>100</v>
      </c>
      <c r="AD31" s="278" t="s">
        <v>100</v>
      </c>
      <c r="AE31" s="278" t="s">
        <v>100</v>
      </c>
      <c r="AF31" s="278" t="s">
        <v>100</v>
      </c>
      <c r="AG31" s="106"/>
      <c r="AH31" s="106"/>
    </row>
    <row r="32" spans="1:34" ht="121.5" customHeight="1">
      <c r="A32" s="106"/>
      <c r="B32" s="271"/>
      <c r="C32" s="272"/>
      <c r="D32" s="273"/>
      <c r="E32" s="284">
        <v>42195</v>
      </c>
      <c r="F32" s="285">
        <v>42195</v>
      </c>
      <c r="G32" s="285">
        <v>42195</v>
      </c>
      <c r="H32" s="286">
        <v>42195</v>
      </c>
      <c r="I32" s="278" t="s">
        <v>99</v>
      </c>
      <c r="J32" s="287" t="s">
        <v>99</v>
      </c>
      <c r="K32" s="287" t="s">
        <v>99</v>
      </c>
      <c r="L32" s="287" t="s">
        <v>99</v>
      </c>
      <c r="M32" s="287" t="s">
        <v>99</v>
      </c>
      <c r="N32" s="287" t="s">
        <v>99</v>
      </c>
      <c r="O32" s="287" t="s">
        <v>99</v>
      </c>
      <c r="P32" s="287" t="s">
        <v>99</v>
      </c>
      <c r="Q32" s="287" t="s">
        <v>99</v>
      </c>
      <c r="R32" s="278" t="s">
        <v>102</v>
      </c>
      <c r="S32" s="278" t="s">
        <v>102</v>
      </c>
      <c r="T32" s="278" t="s">
        <v>102</v>
      </c>
      <c r="U32" s="278" t="s">
        <v>102</v>
      </c>
      <c r="V32" s="278" t="s">
        <v>102</v>
      </c>
      <c r="W32" s="278" t="s">
        <v>102</v>
      </c>
      <c r="X32" s="278" t="s">
        <v>102</v>
      </c>
      <c r="Y32" s="278" t="s">
        <v>102</v>
      </c>
      <c r="Z32" s="278" t="s">
        <v>102</v>
      </c>
      <c r="AA32" s="278" t="s">
        <v>102</v>
      </c>
      <c r="AB32" s="278" t="s">
        <v>102</v>
      </c>
      <c r="AC32" s="278" t="s">
        <v>102</v>
      </c>
      <c r="AD32" s="278" t="s">
        <v>102</v>
      </c>
      <c r="AE32" s="278" t="s">
        <v>102</v>
      </c>
      <c r="AF32" s="278" t="s">
        <v>102</v>
      </c>
      <c r="AG32" s="106"/>
      <c r="AH32" s="106"/>
    </row>
    <row r="33" spans="1:34" ht="114" customHeight="1">
      <c r="A33" s="106"/>
      <c r="B33" s="271" t="s">
        <v>103</v>
      </c>
      <c r="C33" s="272" t="s">
        <v>103</v>
      </c>
      <c r="D33" s="273" t="s">
        <v>103</v>
      </c>
      <c r="E33" s="284">
        <v>42391.634837962964</v>
      </c>
      <c r="F33" s="285">
        <v>42391.634837962964</v>
      </c>
      <c r="G33" s="285">
        <v>42391.634837962964</v>
      </c>
      <c r="H33" s="286">
        <v>42391.634837962964</v>
      </c>
      <c r="I33" s="278" t="s">
        <v>104</v>
      </c>
      <c r="J33" s="287" t="s">
        <v>104</v>
      </c>
      <c r="K33" s="287" t="s">
        <v>104</v>
      </c>
      <c r="L33" s="287" t="s">
        <v>104</v>
      </c>
      <c r="M33" s="287" t="s">
        <v>104</v>
      </c>
      <c r="N33" s="287" t="s">
        <v>104</v>
      </c>
      <c r="O33" s="287" t="s">
        <v>104</v>
      </c>
      <c r="P33" s="287" t="s">
        <v>104</v>
      </c>
      <c r="Q33" s="287" t="s">
        <v>104</v>
      </c>
      <c r="R33" s="278" t="s">
        <v>128</v>
      </c>
      <c r="S33" s="278" t="s">
        <v>128</v>
      </c>
      <c r="T33" s="278" t="s">
        <v>128</v>
      </c>
      <c r="U33" s="278" t="s">
        <v>128</v>
      </c>
      <c r="V33" s="278" t="s">
        <v>128</v>
      </c>
      <c r="W33" s="278" t="s">
        <v>128</v>
      </c>
      <c r="X33" s="278" t="s">
        <v>128</v>
      </c>
      <c r="Y33" s="278" t="s">
        <v>128</v>
      </c>
      <c r="Z33" s="278" t="s">
        <v>128</v>
      </c>
      <c r="AA33" s="278" t="s">
        <v>128</v>
      </c>
      <c r="AB33" s="278" t="s">
        <v>128</v>
      </c>
      <c r="AC33" s="278" t="s">
        <v>128</v>
      </c>
      <c r="AD33" s="278" t="s">
        <v>128</v>
      </c>
      <c r="AE33" s="278" t="s">
        <v>128</v>
      </c>
      <c r="AF33" s="278" t="s">
        <v>128</v>
      </c>
      <c r="AG33" s="106"/>
      <c r="AH33" s="106"/>
    </row>
    <row r="34" spans="1:34" ht="40.5" customHeight="1">
      <c r="A34" s="106"/>
      <c r="B34" s="288" t="s">
        <v>328</v>
      </c>
      <c r="C34" s="289"/>
      <c r="D34" s="289"/>
      <c r="E34" s="284"/>
      <c r="F34" s="285"/>
      <c r="G34" s="285"/>
      <c r="H34" s="286"/>
      <c r="I34" s="278" t="s">
        <v>319</v>
      </c>
      <c r="J34" s="287"/>
      <c r="K34" s="287"/>
      <c r="L34" s="287"/>
      <c r="M34" s="287"/>
      <c r="N34" s="287"/>
      <c r="O34" s="287"/>
      <c r="P34" s="287"/>
      <c r="Q34" s="287"/>
      <c r="R34" s="278" t="s">
        <v>320</v>
      </c>
      <c r="S34" s="278"/>
      <c r="T34" s="278"/>
      <c r="U34" s="278"/>
      <c r="V34" s="278"/>
      <c r="W34" s="278"/>
      <c r="X34" s="278"/>
      <c r="Y34" s="278"/>
      <c r="Z34" s="278"/>
      <c r="AA34" s="278"/>
      <c r="AB34" s="278"/>
      <c r="AC34" s="278"/>
      <c r="AD34" s="278"/>
      <c r="AE34" s="278"/>
      <c r="AF34" s="278"/>
      <c r="AG34" s="106"/>
      <c r="AH34" s="106"/>
    </row>
    <row r="35" spans="1:34" ht="40.5" customHeight="1">
      <c r="A35" s="106"/>
      <c r="B35" s="288" t="s">
        <v>329</v>
      </c>
      <c r="C35" s="289"/>
      <c r="D35" s="289"/>
      <c r="E35" s="284"/>
      <c r="F35" s="285"/>
      <c r="G35" s="285"/>
      <c r="H35" s="286"/>
      <c r="I35" s="278" t="s">
        <v>319</v>
      </c>
      <c r="J35" s="287"/>
      <c r="K35" s="287"/>
      <c r="L35" s="287"/>
      <c r="M35" s="287"/>
      <c r="N35" s="287"/>
      <c r="O35" s="287"/>
      <c r="P35" s="287"/>
      <c r="Q35" s="287"/>
      <c r="R35" s="278" t="s">
        <v>321</v>
      </c>
      <c r="S35" s="278"/>
      <c r="T35" s="278"/>
      <c r="U35" s="278"/>
      <c r="V35" s="278"/>
      <c r="W35" s="278"/>
      <c r="X35" s="278"/>
      <c r="Y35" s="278"/>
      <c r="Z35" s="278"/>
      <c r="AA35" s="278"/>
      <c r="AB35" s="278"/>
      <c r="AC35" s="278"/>
      <c r="AD35" s="278"/>
      <c r="AE35" s="278"/>
      <c r="AF35" s="278"/>
      <c r="AG35" s="106"/>
      <c r="AH35" s="106"/>
    </row>
    <row r="36" spans="1:34" ht="40.5" customHeight="1">
      <c r="A36" s="106"/>
      <c r="B36" s="288" t="s">
        <v>330</v>
      </c>
      <c r="C36" s="289"/>
      <c r="D36" s="289"/>
      <c r="E36" s="284"/>
      <c r="F36" s="285"/>
      <c r="G36" s="285"/>
      <c r="H36" s="286"/>
      <c r="I36" s="278" t="s">
        <v>319</v>
      </c>
      <c r="J36" s="287"/>
      <c r="K36" s="287"/>
      <c r="L36" s="287"/>
      <c r="M36" s="287"/>
      <c r="N36" s="287"/>
      <c r="O36" s="287"/>
      <c r="P36" s="287"/>
      <c r="Q36" s="287"/>
      <c r="R36" s="278" t="s">
        <v>322</v>
      </c>
      <c r="S36" s="278"/>
      <c r="T36" s="278"/>
      <c r="U36" s="278"/>
      <c r="V36" s="278"/>
      <c r="W36" s="278"/>
      <c r="X36" s="278"/>
      <c r="Y36" s="278"/>
      <c r="Z36" s="278"/>
      <c r="AA36" s="278"/>
      <c r="AB36" s="278"/>
      <c r="AC36" s="278"/>
      <c r="AD36" s="278"/>
      <c r="AE36" s="278"/>
      <c r="AF36" s="278"/>
      <c r="AG36" s="106"/>
      <c r="AH36" s="106"/>
    </row>
    <row r="37" spans="1:34" ht="102" customHeight="1">
      <c r="A37" s="106"/>
      <c r="B37" s="288" t="s">
        <v>331</v>
      </c>
      <c r="C37" s="289"/>
      <c r="D37" s="289"/>
      <c r="E37" s="284"/>
      <c r="F37" s="285"/>
      <c r="G37" s="285"/>
      <c r="H37" s="286"/>
      <c r="I37" s="278" t="s">
        <v>319</v>
      </c>
      <c r="J37" s="287"/>
      <c r="K37" s="287"/>
      <c r="L37" s="287"/>
      <c r="M37" s="287"/>
      <c r="N37" s="287"/>
      <c r="O37" s="287"/>
      <c r="P37" s="287"/>
      <c r="Q37" s="287"/>
      <c r="R37" s="278" t="s">
        <v>323</v>
      </c>
      <c r="S37" s="278"/>
      <c r="T37" s="278"/>
      <c r="U37" s="278"/>
      <c r="V37" s="278"/>
      <c r="W37" s="278"/>
      <c r="X37" s="278"/>
      <c r="Y37" s="278"/>
      <c r="Z37" s="278"/>
      <c r="AA37" s="278"/>
      <c r="AB37" s="278"/>
      <c r="AC37" s="278"/>
      <c r="AD37" s="278"/>
      <c r="AE37" s="278"/>
      <c r="AF37" s="278"/>
      <c r="AG37" s="106"/>
      <c r="AH37" s="106"/>
    </row>
    <row r="38" spans="1:34" ht="217.5" customHeight="1">
      <c r="A38" s="106"/>
      <c r="B38" s="288" t="s">
        <v>332</v>
      </c>
      <c r="C38" s="289"/>
      <c r="D38" s="289"/>
      <c r="E38" s="284"/>
      <c r="F38" s="285"/>
      <c r="G38" s="285"/>
      <c r="H38" s="286"/>
      <c r="I38" s="278" t="s">
        <v>319</v>
      </c>
      <c r="J38" s="287"/>
      <c r="K38" s="287"/>
      <c r="L38" s="287"/>
      <c r="M38" s="287"/>
      <c r="N38" s="287"/>
      <c r="O38" s="287"/>
      <c r="P38" s="287"/>
      <c r="Q38" s="287"/>
      <c r="R38" s="278" t="s">
        <v>324</v>
      </c>
      <c r="S38" s="278"/>
      <c r="T38" s="278"/>
      <c r="U38" s="278"/>
      <c r="V38" s="278"/>
      <c r="W38" s="278"/>
      <c r="X38" s="278"/>
      <c r="Y38" s="278"/>
      <c r="Z38" s="278"/>
      <c r="AA38" s="278"/>
      <c r="AB38" s="278"/>
      <c r="AC38" s="278"/>
      <c r="AD38" s="278"/>
      <c r="AE38" s="278"/>
      <c r="AF38" s="278"/>
      <c r="AG38" s="106"/>
      <c r="AH38" s="106"/>
    </row>
    <row r="39" spans="1:34" ht="40.5" customHeight="1">
      <c r="A39" s="106"/>
      <c r="B39" s="288" t="s">
        <v>333</v>
      </c>
      <c r="C39" s="289"/>
      <c r="D39" s="289"/>
      <c r="E39" s="284"/>
      <c r="F39" s="285"/>
      <c r="G39" s="285"/>
      <c r="H39" s="286"/>
      <c r="I39" s="278" t="s">
        <v>319</v>
      </c>
      <c r="J39" s="287"/>
      <c r="K39" s="287"/>
      <c r="L39" s="287"/>
      <c r="M39" s="287"/>
      <c r="N39" s="287"/>
      <c r="O39" s="287"/>
      <c r="P39" s="287"/>
      <c r="Q39" s="287"/>
      <c r="R39" s="278" t="s">
        <v>325</v>
      </c>
      <c r="S39" s="278"/>
      <c r="T39" s="278"/>
      <c r="U39" s="278"/>
      <c r="V39" s="278"/>
      <c r="W39" s="278"/>
      <c r="X39" s="278"/>
      <c r="Y39" s="278"/>
      <c r="Z39" s="278"/>
      <c r="AA39" s="278"/>
      <c r="AB39" s="278"/>
      <c r="AC39" s="278"/>
      <c r="AD39" s="278"/>
      <c r="AE39" s="278"/>
      <c r="AF39" s="278"/>
      <c r="AG39" s="106"/>
      <c r="AH39" s="106"/>
    </row>
    <row r="40" spans="1:34" ht="69" customHeight="1">
      <c r="A40" s="106"/>
      <c r="B40" s="288" t="s">
        <v>327</v>
      </c>
      <c r="C40" s="289"/>
      <c r="D40" s="289"/>
      <c r="E40" s="284">
        <v>44562</v>
      </c>
      <c r="F40" s="285"/>
      <c r="G40" s="285"/>
      <c r="H40" s="286"/>
      <c r="I40" s="278" t="s">
        <v>319</v>
      </c>
      <c r="J40" s="287"/>
      <c r="K40" s="287"/>
      <c r="L40" s="287"/>
      <c r="M40" s="287"/>
      <c r="N40" s="287"/>
      <c r="O40" s="287"/>
      <c r="P40" s="287"/>
      <c r="Q40" s="287"/>
      <c r="R40" s="278" t="s">
        <v>326</v>
      </c>
      <c r="S40" s="278"/>
      <c r="T40" s="278"/>
      <c r="U40" s="278"/>
      <c r="V40" s="278"/>
      <c r="W40" s="278"/>
      <c r="X40" s="278"/>
      <c r="Y40" s="278"/>
      <c r="Z40" s="278"/>
      <c r="AA40" s="278"/>
      <c r="AB40" s="278"/>
      <c r="AC40" s="278"/>
      <c r="AD40" s="278"/>
      <c r="AE40" s="278"/>
      <c r="AF40" s="278"/>
      <c r="AG40" s="106"/>
      <c r="AH40" s="106"/>
    </row>
    <row r="41" spans="1:34">
      <c r="A41" s="106"/>
      <c r="B41" s="122" t="s">
        <v>156</v>
      </c>
      <c r="C41" s="123"/>
      <c r="D41" s="123"/>
      <c r="E41" s="124"/>
      <c r="F41" s="124"/>
      <c r="G41" s="124"/>
      <c r="H41" s="124"/>
      <c r="I41" s="124"/>
      <c r="J41" s="125"/>
      <c r="K41" s="125"/>
      <c r="L41" s="125"/>
      <c r="M41" s="125"/>
      <c r="N41" s="125"/>
      <c r="O41" s="125"/>
      <c r="P41" s="125"/>
      <c r="Q41" s="125"/>
      <c r="R41" s="124"/>
      <c r="S41" s="124"/>
      <c r="T41" s="124"/>
      <c r="U41" s="124"/>
      <c r="V41" s="124"/>
      <c r="W41" s="124"/>
      <c r="X41" s="124"/>
      <c r="Y41" s="124"/>
      <c r="Z41" s="124"/>
      <c r="AA41" s="124"/>
      <c r="AB41" s="124"/>
      <c r="AC41" s="124"/>
      <c r="AD41" s="124"/>
      <c r="AE41" s="124"/>
      <c r="AF41" s="124"/>
      <c r="AG41" s="106"/>
      <c r="AH41" s="106"/>
    </row>
    <row r="42" spans="1:34">
      <c r="A42" s="106"/>
      <c r="B42" s="106"/>
      <c r="C42" s="120"/>
      <c r="D42" s="106"/>
      <c r="E42" s="106"/>
      <c r="F42" s="106"/>
      <c r="G42" s="106"/>
      <c r="H42" s="106"/>
      <c r="I42" s="121"/>
      <c r="J42" s="106"/>
      <c r="K42" s="106"/>
      <c r="L42" s="106"/>
      <c r="M42" s="106"/>
      <c r="N42" s="106"/>
      <c r="O42" s="106"/>
      <c r="P42" s="106"/>
      <c r="Q42" s="106"/>
      <c r="R42" s="106"/>
      <c r="S42" s="106"/>
      <c r="T42" s="106"/>
      <c r="U42" s="106"/>
      <c r="V42" s="106"/>
      <c r="W42" s="106"/>
      <c r="X42" s="106"/>
      <c r="Y42" s="106"/>
      <c r="Z42" s="106"/>
      <c r="AA42" s="106"/>
      <c r="AB42" s="106"/>
      <c r="AC42" s="106"/>
      <c r="AD42" s="106"/>
      <c r="AE42" s="106"/>
      <c r="AF42" s="106"/>
      <c r="AG42" s="106"/>
      <c r="AH42" s="106"/>
    </row>
    <row r="43" spans="1:34">
      <c r="A43" s="106"/>
      <c r="B43" s="106"/>
      <c r="C43" s="106"/>
      <c r="D43" s="106"/>
      <c r="E43" s="106"/>
      <c r="F43" s="106"/>
      <c r="G43" s="106"/>
      <c r="H43" s="106"/>
      <c r="I43" s="106"/>
      <c r="J43" s="126"/>
      <c r="K43" s="106"/>
      <c r="L43" s="106"/>
      <c r="M43" s="106"/>
      <c r="N43" s="106"/>
      <c r="O43" s="106"/>
      <c r="P43" s="106"/>
      <c r="Q43" s="106"/>
      <c r="R43" s="106"/>
      <c r="S43" s="106"/>
      <c r="T43" s="106"/>
      <c r="U43" s="106"/>
      <c r="V43" s="106"/>
      <c r="W43" s="106"/>
      <c r="X43" s="106"/>
      <c r="Y43" s="106"/>
      <c r="Z43" s="106"/>
      <c r="AA43" s="106"/>
      <c r="AB43" s="106"/>
      <c r="AC43" s="106"/>
      <c r="AD43" s="106"/>
      <c r="AE43" s="106"/>
      <c r="AF43" s="106"/>
      <c r="AG43" s="106"/>
      <c r="AH43" s="106"/>
    </row>
    <row r="44" spans="1:34" ht="20.25">
      <c r="A44" s="106"/>
      <c r="B44" s="118" t="s">
        <v>157</v>
      </c>
      <c r="C44" s="119"/>
      <c r="D44" s="106"/>
      <c r="E44" s="106"/>
      <c r="F44" s="106"/>
      <c r="G44" s="106"/>
      <c r="H44" s="106"/>
      <c r="I44" s="121"/>
      <c r="J44" s="106"/>
      <c r="K44" s="106"/>
      <c r="L44" s="106"/>
      <c r="M44" s="106"/>
      <c r="N44" s="106"/>
      <c r="O44" s="106"/>
      <c r="P44" s="106"/>
      <c r="Q44" s="106"/>
      <c r="R44" s="106"/>
      <c r="S44" s="106"/>
      <c r="T44" s="106"/>
      <c r="U44" s="106"/>
      <c r="V44" s="106"/>
      <c r="W44" s="106"/>
      <c r="X44" s="106"/>
      <c r="Y44" s="106"/>
      <c r="Z44" s="106"/>
      <c r="AA44" s="106"/>
      <c r="AB44" s="106"/>
      <c r="AC44" s="106"/>
      <c r="AD44" s="106"/>
      <c r="AE44" s="106"/>
      <c r="AF44" s="106"/>
      <c r="AG44" s="106"/>
      <c r="AH44" s="106"/>
    </row>
    <row r="45" spans="1:34" ht="18.75">
      <c r="A45" s="106"/>
      <c r="B45" s="127" t="s">
        <v>158</v>
      </c>
      <c r="C45" s="119"/>
      <c r="D45" s="106"/>
      <c r="E45" s="106"/>
      <c r="F45" s="106"/>
      <c r="G45" s="106"/>
      <c r="H45" s="106"/>
      <c r="I45" s="121"/>
      <c r="J45" s="106"/>
      <c r="K45" s="106"/>
      <c r="L45" s="106"/>
      <c r="M45" s="106"/>
      <c r="N45" s="106"/>
      <c r="O45" s="106"/>
      <c r="P45" s="106"/>
      <c r="Q45" s="106"/>
      <c r="R45" s="106"/>
      <c r="S45" s="106"/>
      <c r="T45" s="106"/>
      <c r="U45" s="106"/>
      <c r="V45" s="106"/>
      <c r="W45" s="106"/>
      <c r="X45" s="106"/>
      <c r="Y45" s="106"/>
      <c r="Z45" s="106"/>
      <c r="AA45" s="106"/>
      <c r="AB45" s="106"/>
      <c r="AC45" s="106"/>
      <c r="AD45" s="106"/>
      <c r="AE45" s="106"/>
      <c r="AF45" s="106"/>
      <c r="AG45" s="106"/>
      <c r="AH45" s="106"/>
    </row>
    <row r="46" spans="1:34">
      <c r="A46" s="106"/>
      <c r="B46" s="281" t="s">
        <v>159</v>
      </c>
      <c r="C46" s="281"/>
      <c r="D46" s="281"/>
      <c r="E46" s="281" t="s">
        <v>160</v>
      </c>
      <c r="F46" s="283"/>
      <c r="G46" s="283"/>
      <c r="H46" s="283"/>
      <c r="I46" s="283"/>
      <c r="J46" s="283"/>
      <c r="K46" s="283"/>
      <c r="L46" s="283"/>
      <c r="M46" s="283"/>
      <c r="N46" s="283"/>
      <c r="O46" s="283"/>
      <c r="P46" s="283"/>
      <c r="Q46" s="283"/>
      <c r="R46" s="283"/>
      <c r="S46" s="283"/>
      <c r="T46" s="283"/>
      <c r="U46" s="283"/>
      <c r="V46" s="283"/>
      <c r="W46" s="283"/>
      <c r="X46" s="283"/>
      <c r="Y46" s="281" t="s">
        <v>161</v>
      </c>
      <c r="Z46" s="281"/>
      <c r="AA46" s="281"/>
      <c r="AB46" s="281"/>
      <c r="AC46" s="281"/>
      <c r="AD46" s="281"/>
      <c r="AE46" s="281"/>
      <c r="AF46" s="281"/>
      <c r="AG46" s="106"/>
      <c r="AH46" s="106"/>
    </row>
    <row r="47" spans="1:34">
      <c r="A47" s="106"/>
      <c r="B47" s="280"/>
      <c r="C47" s="280"/>
      <c r="D47" s="280"/>
      <c r="E47" s="278"/>
      <c r="F47" s="279"/>
      <c r="G47" s="279"/>
      <c r="H47" s="279"/>
      <c r="I47" s="279"/>
      <c r="J47" s="279"/>
      <c r="K47" s="279"/>
      <c r="L47" s="279"/>
      <c r="M47" s="279"/>
      <c r="N47" s="279"/>
      <c r="O47" s="279"/>
      <c r="P47" s="279"/>
      <c r="Q47" s="279"/>
      <c r="R47" s="279"/>
      <c r="S47" s="279"/>
      <c r="T47" s="279"/>
      <c r="U47" s="279"/>
      <c r="V47" s="279"/>
      <c r="W47" s="279"/>
      <c r="X47" s="279"/>
      <c r="Y47" s="278"/>
      <c r="Z47" s="279"/>
      <c r="AA47" s="279"/>
      <c r="AB47" s="279"/>
      <c r="AC47" s="279"/>
      <c r="AD47" s="279"/>
      <c r="AE47" s="279"/>
      <c r="AF47" s="279"/>
      <c r="AG47" s="106"/>
      <c r="AH47" s="106"/>
    </row>
    <row r="48" spans="1:34">
      <c r="A48" s="106"/>
      <c r="B48" s="280"/>
      <c r="C48" s="280"/>
      <c r="D48" s="280"/>
      <c r="E48" s="278"/>
      <c r="F48" s="279"/>
      <c r="G48" s="279"/>
      <c r="H48" s="279"/>
      <c r="I48" s="279"/>
      <c r="J48" s="279"/>
      <c r="K48" s="279"/>
      <c r="L48" s="279"/>
      <c r="M48" s="279"/>
      <c r="N48" s="279"/>
      <c r="O48" s="279"/>
      <c r="P48" s="279"/>
      <c r="Q48" s="279"/>
      <c r="R48" s="279"/>
      <c r="S48" s="279"/>
      <c r="T48" s="279"/>
      <c r="U48" s="279"/>
      <c r="V48" s="279"/>
      <c r="W48" s="279"/>
      <c r="X48" s="279"/>
      <c r="Y48" s="278"/>
      <c r="Z48" s="279"/>
      <c r="AA48" s="279"/>
      <c r="AB48" s="279"/>
      <c r="AC48" s="279"/>
      <c r="AD48" s="279"/>
      <c r="AE48" s="279"/>
      <c r="AF48" s="279"/>
      <c r="AG48" s="106"/>
      <c r="AH48" s="106"/>
    </row>
    <row r="49" spans="1:34">
      <c r="A49" s="106"/>
      <c r="B49" s="280"/>
      <c r="C49" s="280"/>
      <c r="D49" s="280"/>
      <c r="E49" s="278"/>
      <c r="F49" s="279"/>
      <c r="G49" s="279"/>
      <c r="H49" s="279"/>
      <c r="I49" s="279"/>
      <c r="J49" s="279"/>
      <c r="K49" s="279"/>
      <c r="L49" s="279"/>
      <c r="M49" s="279"/>
      <c r="N49" s="279"/>
      <c r="O49" s="279"/>
      <c r="P49" s="279"/>
      <c r="Q49" s="279"/>
      <c r="R49" s="279"/>
      <c r="S49" s="279"/>
      <c r="T49" s="279"/>
      <c r="U49" s="279"/>
      <c r="V49" s="279"/>
      <c r="W49" s="279"/>
      <c r="X49" s="279"/>
      <c r="Y49" s="278"/>
      <c r="Z49" s="279"/>
      <c r="AA49" s="279"/>
      <c r="AB49" s="279"/>
      <c r="AC49" s="279"/>
      <c r="AD49" s="279"/>
      <c r="AE49" s="279"/>
      <c r="AF49" s="279"/>
      <c r="AG49" s="106"/>
      <c r="AH49" s="106"/>
    </row>
    <row r="50" spans="1:34">
      <c r="A50" s="106"/>
      <c r="B50" s="280"/>
      <c r="C50" s="280"/>
      <c r="D50" s="280"/>
      <c r="E50" s="278"/>
      <c r="F50" s="279"/>
      <c r="G50" s="279"/>
      <c r="H50" s="279"/>
      <c r="I50" s="279"/>
      <c r="J50" s="279"/>
      <c r="K50" s="279"/>
      <c r="L50" s="279"/>
      <c r="M50" s="279"/>
      <c r="N50" s="279"/>
      <c r="O50" s="279"/>
      <c r="P50" s="279"/>
      <c r="Q50" s="279"/>
      <c r="R50" s="279"/>
      <c r="S50" s="279"/>
      <c r="T50" s="279"/>
      <c r="U50" s="279"/>
      <c r="V50" s="279"/>
      <c r="W50" s="279"/>
      <c r="X50" s="279"/>
      <c r="Y50" s="278"/>
      <c r="Z50" s="279"/>
      <c r="AA50" s="279"/>
      <c r="AB50" s="279"/>
      <c r="AC50" s="279"/>
      <c r="AD50" s="279"/>
      <c r="AE50" s="279"/>
      <c r="AF50" s="279"/>
      <c r="AG50" s="106"/>
      <c r="AH50" s="106"/>
    </row>
    <row r="51" spans="1:34" ht="18.75">
      <c r="A51" s="106"/>
      <c r="B51" s="127" t="s">
        <v>162</v>
      </c>
      <c r="C51" s="119"/>
      <c r="D51" s="106"/>
      <c r="E51" s="106"/>
      <c r="F51" s="106"/>
      <c r="G51" s="106"/>
      <c r="H51" s="106"/>
      <c r="I51" s="121"/>
      <c r="J51" s="106"/>
      <c r="K51" s="106"/>
      <c r="L51" s="106"/>
      <c r="M51" s="106"/>
      <c r="N51" s="106"/>
      <c r="O51" s="106"/>
      <c r="P51" s="106"/>
      <c r="Q51" s="106"/>
      <c r="R51" s="106"/>
      <c r="S51" s="106"/>
      <c r="T51" s="106"/>
      <c r="U51" s="106"/>
      <c r="V51" s="106"/>
      <c r="W51" s="106"/>
      <c r="X51" s="106"/>
      <c r="Y51" s="106"/>
      <c r="Z51" s="106"/>
      <c r="AA51" s="106"/>
      <c r="AB51" s="106"/>
      <c r="AC51" s="106"/>
      <c r="AD51" s="106"/>
      <c r="AE51" s="106"/>
      <c r="AF51" s="106"/>
      <c r="AG51" s="106"/>
      <c r="AH51" s="106"/>
    </row>
    <row r="52" spans="1:34">
      <c r="A52" s="106"/>
      <c r="B52" s="281" t="s">
        <v>159</v>
      </c>
      <c r="C52" s="281"/>
      <c r="D52" s="281"/>
      <c r="E52" s="281" t="s">
        <v>160</v>
      </c>
      <c r="F52" s="283"/>
      <c r="G52" s="283"/>
      <c r="H52" s="283"/>
      <c r="I52" s="283"/>
      <c r="J52" s="283"/>
      <c r="K52" s="283"/>
      <c r="L52" s="283"/>
      <c r="M52" s="283"/>
      <c r="N52" s="283"/>
      <c r="O52" s="283"/>
      <c r="P52" s="283"/>
      <c r="Q52" s="283"/>
      <c r="R52" s="283"/>
      <c r="S52" s="283"/>
      <c r="T52" s="283"/>
      <c r="U52" s="283"/>
      <c r="V52" s="283"/>
      <c r="W52" s="283"/>
      <c r="X52" s="283"/>
      <c r="Y52" s="281" t="s">
        <v>161</v>
      </c>
      <c r="Z52" s="281"/>
      <c r="AA52" s="281"/>
      <c r="AB52" s="281"/>
      <c r="AC52" s="281"/>
      <c r="AD52" s="281"/>
      <c r="AE52" s="281"/>
      <c r="AF52" s="281"/>
      <c r="AG52" s="106"/>
      <c r="AH52" s="106"/>
    </row>
    <row r="53" spans="1:34">
      <c r="A53" s="106"/>
      <c r="B53" s="280"/>
      <c r="C53" s="280"/>
      <c r="D53" s="280"/>
      <c r="E53" s="278"/>
      <c r="F53" s="279"/>
      <c r="G53" s="279"/>
      <c r="H53" s="279"/>
      <c r="I53" s="279"/>
      <c r="J53" s="279"/>
      <c r="K53" s="279"/>
      <c r="L53" s="279"/>
      <c r="M53" s="279"/>
      <c r="N53" s="279"/>
      <c r="O53" s="279"/>
      <c r="P53" s="279"/>
      <c r="Q53" s="279"/>
      <c r="R53" s="279"/>
      <c r="S53" s="279"/>
      <c r="T53" s="279"/>
      <c r="U53" s="279"/>
      <c r="V53" s="279"/>
      <c r="W53" s="279"/>
      <c r="X53" s="279"/>
      <c r="Y53" s="278"/>
      <c r="Z53" s="279"/>
      <c r="AA53" s="279"/>
      <c r="AB53" s="279"/>
      <c r="AC53" s="279"/>
      <c r="AD53" s="279"/>
      <c r="AE53" s="279"/>
      <c r="AF53" s="279"/>
      <c r="AG53" s="106"/>
      <c r="AH53" s="106"/>
    </row>
    <row r="54" spans="1:34">
      <c r="A54" s="106"/>
      <c r="B54" s="280"/>
      <c r="C54" s="280"/>
      <c r="D54" s="280"/>
      <c r="E54" s="278"/>
      <c r="F54" s="279"/>
      <c r="G54" s="279"/>
      <c r="H54" s="279"/>
      <c r="I54" s="279"/>
      <c r="J54" s="279"/>
      <c r="K54" s="279"/>
      <c r="L54" s="279"/>
      <c r="M54" s="279"/>
      <c r="N54" s="279"/>
      <c r="O54" s="279"/>
      <c r="P54" s="279"/>
      <c r="Q54" s="279"/>
      <c r="R54" s="279"/>
      <c r="S54" s="279"/>
      <c r="T54" s="279"/>
      <c r="U54" s="279"/>
      <c r="V54" s="279"/>
      <c r="W54" s="279"/>
      <c r="X54" s="279"/>
      <c r="Y54" s="278"/>
      <c r="Z54" s="279"/>
      <c r="AA54" s="279"/>
      <c r="AB54" s="279"/>
      <c r="AC54" s="279"/>
      <c r="AD54" s="279"/>
      <c r="AE54" s="279"/>
      <c r="AF54" s="279"/>
      <c r="AG54" s="106"/>
      <c r="AH54" s="106"/>
    </row>
    <row r="55" spans="1:34">
      <c r="A55" s="106"/>
      <c r="B55" s="280"/>
      <c r="C55" s="280"/>
      <c r="D55" s="280"/>
      <c r="E55" s="278"/>
      <c r="F55" s="279"/>
      <c r="G55" s="279"/>
      <c r="H55" s="279"/>
      <c r="I55" s="279"/>
      <c r="J55" s="279"/>
      <c r="K55" s="279"/>
      <c r="L55" s="279"/>
      <c r="M55" s="279"/>
      <c r="N55" s="279"/>
      <c r="O55" s="279"/>
      <c r="P55" s="279"/>
      <c r="Q55" s="279"/>
      <c r="R55" s="279"/>
      <c r="S55" s="279"/>
      <c r="T55" s="279"/>
      <c r="U55" s="279"/>
      <c r="V55" s="279"/>
      <c r="W55" s="279"/>
      <c r="X55" s="279"/>
      <c r="Y55" s="278"/>
      <c r="Z55" s="279"/>
      <c r="AA55" s="279"/>
      <c r="AB55" s="279"/>
      <c r="AC55" s="279"/>
      <c r="AD55" s="279"/>
      <c r="AE55" s="279"/>
      <c r="AF55" s="279"/>
      <c r="AG55" s="106"/>
      <c r="AH55" s="106"/>
    </row>
    <row r="56" spans="1:34">
      <c r="A56" s="106"/>
      <c r="B56" s="280"/>
      <c r="C56" s="280"/>
      <c r="D56" s="280"/>
      <c r="E56" s="278"/>
      <c r="F56" s="279"/>
      <c r="G56" s="279"/>
      <c r="H56" s="279"/>
      <c r="I56" s="279"/>
      <c r="J56" s="279"/>
      <c r="K56" s="279"/>
      <c r="L56" s="279"/>
      <c r="M56" s="279"/>
      <c r="N56" s="279"/>
      <c r="O56" s="279"/>
      <c r="P56" s="279"/>
      <c r="Q56" s="279"/>
      <c r="R56" s="279"/>
      <c r="S56" s="279"/>
      <c r="T56" s="279"/>
      <c r="U56" s="279"/>
      <c r="V56" s="279"/>
      <c r="W56" s="279"/>
      <c r="X56" s="279"/>
      <c r="Y56" s="278"/>
      <c r="Z56" s="279"/>
      <c r="AA56" s="279"/>
      <c r="AB56" s="279"/>
      <c r="AC56" s="279"/>
      <c r="AD56" s="279"/>
      <c r="AE56" s="279"/>
      <c r="AF56" s="279"/>
      <c r="AG56" s="106"/>
      <c r="AH56" s="106"/>
    </row>
    <row r="57" spans="1:34">
      <c r="A57" s="106"/>
      <c r="B57" s="106"/>
      <c r="C57" s="120"/>
      <c r="D57" s="106"/>
      <c r="E57" s="106"/>
      <c r="F57" s="106"/>
      <c r="G57" s="106"/>
      <c r="H57" s="106"/>
      <c r="I57" s="121"/>
      <c r="J57" s="106"/>
      <c r="K57" s="106"/>
      <c r="L57" s="106"/>
      <c r="M57" s="106"/>
      <c r="N57" s="106"/>
      <c r="O57" s="106"/>
      <c r="P57" s="106"/>
      <c r="Q57" s="106"/>
      <c r="R57" s="106"/>
      <c r="S57" s="106"/>
      <c r="T57" s="106"/>
      <c r="U57" s="106"/>
      <c r="V57" s="106"/>
      <c r="W57" s="106"/>
      <c r="X57" s="106"/>
      <c r="Y57" s="106"/>
      <c r="Z57" s="106"/>
      <c r="AA57" s="106"/>
      <c r="AB57" s="106"/>
      <c r="AC57" s="106"/>
      <c r="AD57" s="106"/>
      <c r="AE57" s="106"/>
      <c r="AF57" s="106"/>
      <c r="AG57" s="106"/>
      <c r="AH57" s="106"/>
    </row>
    <row r="58" spans="1:34" ht="20.25">
      <c r="A58" s="106"/>
      <c r="B58" s="118" t="s">
        <v>163</v>
      </c>
      <c r="C58" s="119"/>
      <c r="D58" s="106"/>
      <c r="E58" s="106"/>
      <c r="F58" s="106"/>
      <c r="G58" s="106"/>
      <c r="H58" s="106"/>
      <c r="I58" s="121"/>
      <c r="J58" s="106"/>
      <c r="K58" s="106"/>
      <c r="L58" s="106"/>
      <c r="M58" s="106"/>
      <c r="N58" s="106"/>
      <c r="O58" s="106"/>
      <c r="P58" s="106"/>
      <c r="Q58" s="106"/>
      <c r="R58" s="106"/>
      <c r="S58" s="106"/>
      <c r="T58" s="106"/>
      <c r="U58" s="106"/>
      <c r="V58" s="106"/>
      <c r="W58" s="106"/>
      <c r="X58" s="106"/>
      <c r="Y58" s="106"/>
      <c r="Z58" s="106"/>
      <c r="AA58" s="106"/>
      <c r="AB58" s="106"/>
      <c r="AC58" s="106"/>
      <c r="AD58" s="106"/>
      <c r="AE58" s="106"/>
      <c r="AF58" s="106"/>
      <c r="AG58" s="106"/>
      <c r="AH58" s="106"/>
    </row>
    <row r="59" spans="1:34">
      <c r="A59" s="106"/>
      <c r="B59" s="281" t="s">
        <v>164</v>
      </c>
      <c r="C59" s="281"/>
      <c r="D59" s="281"/>
      <c r="E59" s="281"/>
      <c r="F59" s="281"/>
      <c r="G59" s="281"/>
      <c r="H59" s="282"/>
      <c r="I59" s="282"/>
      <c r="J59" s="282"/>
      <c r="K59" s="282"/>
      <c r="L59" s="282"/>
      <c r="M59" s="282"/>
      <c r="N59" s="282"/>
      <c r="O59" s="282"/>
      <c r="P59" s="282"/>
      <c r="Q59" s="282"/>
      <c r="R59" s="282"/>
      <c r="S59" s="282"/>
      <c r="T59" s="282"/>
      <c r="U59" s="282"/>
      <c r="V59" s="282"/>
      <c r="W59" s="282"/>
      <c r="X59" s="282"/>
      <c r="Y59" s="282"/>
      <c r="Z59" s="282"/>
      <c r="AA59" s="282"/>
      <c r="AB59" s="282"/>
      <c r="AC59" s="282"/>
      <c r="AD59" s="282"/>
      <c r="AE59" s="282"/>
      <c r="AF59" s="282"/>
      <c r="AG59" s="106"/>
      <c r="AH59" s="106"/>
    </row>
    <row r="60" spans="1:34" ht="27.75" customHeight="1">
      <c r="A60" s="106"/>
      <c r="B60" s="271" t="s">
        <v>165</v>
      </c>
      <c r="C60" s="272"/>
      <c r="D60" s="272"/>
      <c r="E60" s="272"/>
      <c r="F60" s="272"/>
      <c r="G60" s="273"/>
      <c r="H60" s="277" t="s">
        <v>166</v>
      </c>
      <c r="I60" s="275"/>
      <c r="J60" s="275"/>
      <c r="K60" s="275"/>
      <c r="L60" s="275"/>
      <c r="M60" s="275"/>
      <c r="N60" s="275"/>
      <c r="O60" s="275"/>
      <c r="P60" s="275"/>
      <c r="Q60" s="275"/>
      <c r="R60" s="275"/>
      <c r="S60" s="275"/>
      <c r="T60" s="275"/>
      <c r="U60" s="275"/>
      <c r="V60" s="275"/>
      <c r="W60" s="275"/>
      <c r="X60" s="275"/>
      <c r="Y60" s="275"/>
      <c r="Z60" s="275"/>
      <c r="AA60" s="275"/>
      <c r="AB60" s="275"/>
      <c r="AC60" s="275"/>
      <c r="AD60" s="275"/>
      <c r="AE60" s="275"/>
      <c r="AF60" s="276"/>
      <c r="AG60" s="106"/>
      <c r="AH60" s="106"/>
    </row>
    <row r="61" spans="1:34">
      <c r="A61" s="106"/>
      <c r="B61" s="271"/>
      <c r="C61" s="272"/>
      <c r="D61" s="272"/>
      <c r="E61" s="272"/>
      <c r="F61" s="272"/>
      <c r="G61" s="273"/>
      <c r="H61" s="274"/>
      <c r="I61" s="275"/>
      <c r="J61" s="275"/>
      <c r="K61" s="275"/>
      <c r="L61" s="275"/>
      <c r="M61" s="275"/>
      <c r="N61" s="275"/>
      <c r="O61" s="275"/>
      <c r="P61" s="275"/>
      <c r="Q61" s="275"/>
      <c r="R61" s="275"/>
      <c r="S61" s="275"/>
      <c r="T61" s="275"/>
      <c r="U61" s="275"/>
      <c r="V61" s="275"/>
      <c r="W61" s="275"/>
      <c r="X61" s="275"/>
      <c r="Y61" s="275"/>
      <c r="Z61" s="275"/>
      <c r="AA61" s="275"/>
      <c r="AB61" s="275"/>
      <c r="AC61" s="275"/>
      <c r="AD61" s="275"/>
      <c r="AE61" s="275"/>
      <c r="AF61" s="276"/>
      <c r="AG61" s="106"/>
      <c r="AH61" s="106"/>
    </row>
    <row r="62" spans="1:34">
      <c r="A62" s="106"/>
      <c r="B62" s="271"/>
      <c r="C62" s="272"/>
      <c r="D62" s="272"/>
      <c r="E62" s="272"/>
      <c r="F62" s="272"/>
      <c r="G62" s="273"/>
      <c r="H62" s="274"/>
      <c r="I62" s="275"/>
      <c r="J62" s="275"/>
      <c r="K62" s="275"/>
      <c r="L62" s="275"/>
      <c r="M62" s="275"/>
      <c r="N62" s="275"/>
      <c r="O62" s="275"/>
      <c r="P62" s="275"/>
      <c r="Q62" s="275"/>
      <c r="R62" s="275"/>
      <c r="S62" s="275"/>
      <c r="T62" s="275"/>
      <c r="U62" s="275"/>
      <c r="V62" s="275"/>
      <c r="W62" s="275"/>
      <c r="X62" s="275"/>
      <c r="Y62" s="275"/>
      <c r="Z62" s="275"/>
      <c r="AA62" s="275"/>
      <c r="AB62" s="275"/>
      <c r="AC62" s="275"/>
      <c r="AD62" s="275"/>
      <c r="AE62" s="275"/>
      <c r="AF62" s="276"/>
      <c r="AG62" s="106"/>
      <c r="AH62" s="106"/>
    </row>
    <row r="63" spans="1:34">
      <c r="A63" s="106"/>
      <c r="B63" s="271"/>
      <c r="C63" s="272"/>
      <c r="D63" s="272"/>
      <c r="E63" s="272"/>
      <c r="F63" s="272"/>
      <c r="G63" s="273"/>
      <c r="H63" s="274"/>
      <c r="I63" s="275"/>
      <c r="J63" s="275"/>
      <c r="K63" s="275"/>
      <c r="L63" s="275"/>
      <c r="M63" s="275"/>
      <c r="N63" s="275"/>
      <c r="O63" s="275"/>
      <c r="P63" s="275"/>
      <c r="Q63" s="275"/>
      <c r="R63" s="275"/>
      <c r="S63" s="275"/>
      <c r="T63" s="275"/>
      <c r="U63" s="275"/>
      <c r="V63" s="275"/>
      <c r="W63" s="275"/>
      <c r="X63" s="275"/>
      <c r="Y63" s="275"/>
      <c r="Z63" s="275"/>
      <c r="AA63" s="275"/>
      <c r="AB63" s="275"/>
      <c r="AC63" s="275"/>
      <c r="AD63" s="275"/>
      <c r="AE63" s="275"/>
      <c r="AF63" s="276"/>
      <c r="AG63" s="106"/>
      <c r="AH63" s="106"/>
    </row>
    <row r="64" spans="1:34">
      <c r="A64" s="106"/>
      <c r="B64" s="271"/>
      <c r="C64" s="272"/>
      <c r="D64" s="272"/>
      <c r="E64" s="272"/>
      <c r="F64" s="272"/>
      <c r="G64" s="273"/>
      <c r="H64" s="274"/>
      <c r="I64" s="275"/>
      <c r="J64" s="275"/>
      <c r="K64" s="275"/>
      <c r="L64" s="275"/>
      <c r="M64" s="275"/>
      <c r="N64" s="275"/>
      <c r="O64" s="275"/>
      <c r="P64" s="275"/>
      <c r="Q64" s="275"/>
      <c r="R64" s="275"/>
      <c r="S64" s="275"/>
      <c r="T64" s="275"/>
      <c r="U64" s="275"/>
      <c r="V64" s="275"/>
      <c r="W64" s="275"/>
      <c r="X64" s="275"/>
      <c r="Y64" s="275"/>
      <c r="Z64" s="275"/>
      <c r="AA64" s="275"/>
      <c r="AB64" s="275"/>
      <c r="AC64" s="275"/>
      <c r="AD64" s="275"/>
      <c r="AE64" s="275"/>
      <c r="AF64" s="276"/>
      <c r="AG64" s="106"/>
      <c r="AH64" s="106"/>
    </row>
    <row r="65" spans="1:34">
      <c r="A65" s="106"/>
      <c r="B65" s="124"/>
      <c r="C65" s="124"/>
      <c r="D65" s="124"/>
      <c r="E65" s="124"/>
      <c r="F65" s="124"/>
      <c r="G65" s="124"/>
      <c r="H65" s="128"/>
      <c r="I65" s="128"/>
      <c r="J65" s="128"/>
      <c r="K65" s="128"/>
      <c r="L65" s="128"/>
      <c r="M65" s="128"/>
      <c r="N65" s="128"/>
      <c r="O65" s="128"/>
      <c r="P65" s="128"/>
      <c r="Q65" s="128"/>
      <c r="R65" s="128"/>
      <c r="S65" s="128"/>
      <c r="T65" s="128"/>
      <c r="U65" s="128"/>
      <c r="V65" s="128"/>
      <c r="W65" s="128"/>
      <c r="X65" s="128"/>
      <c r="Y65" s="128"/>
      <c r="Z65" s="128"/>
      <c r="AA65" s="128"/>
      <c r="AB65" s="128"/>
      <c r="AC65" s="128"/>
      <c r="AD65" s="128"/>
      <c r="AE65" s="128"/>
      <c r="AF65" s="128"/>
      <c r="AG65" s="106"/>
      <c r="AH65" s="106"/>
    </row>
    <row r="66" spans="1:34">
      <c r="A66" s="106"/>
      <c r="B66" s="124"/>
      <c r="C66" s="124"/>
      <c r="D66" s="124"/>
      <c r="E66" s="124"/>
      <c r="F66" s="124"/>
      <c r="G66" s="124"/>
      <c r="H66" s="128"/>
      <c r="I66" s="128"/>
      <c r="J66" s="128"/>
      <c r="K66" s="128"/>
      <c r="L66" s="128"/>
      <c r="M66" s="128"/>
      <c r="N66" s="128"/>
      <c r="O66" s="128"/>
      <c r="P66" s="128"/>
      <c r="Q66" s="128"/>
      <c r="R66" s="128"/>
      <c r="S66" s="128"/>
      <c r="T66" s="128"/>
      <c r="U66" s="128"/>
      <c r="V66" s="128"/>
      <c r="W66" s="128"/>
      <c r="X66" s="128"/>
      <c r="Y66" s="128"/>
      <c r="Z66" s="128"/>
      <c r="AA66" s="128"/>
      <c r="AB66" s="128"/>
      <c r="AC66" s="128"/>
      <c r="AD66" s="128"/>
      <c r="AE66" s="128"/>
      <c r="AF66" s="128"/>
      <c r="AG66" s="106"/>
      <c r="AH66" s="106"/>
    </row>
    <row r="67" spans="1:34" ht="26.25">
      <c r="A67" s="106"/>
      <c r="B67" s="129" t="s">
        <v>167</v>
      </c>
      <c r="C67" s="130"/>
      <c r="D67" s="130"/>
      <c r="E67" s="130"/>
      <c r="F67" s="130"/>
      <c r="G67" s="130"/>
      <c r="H67" s="131"/>
      <c r="I67" s="131"/>
      <c r="J67" s="131"/>
      <c r="K67" s="131"/>
      <c r="L67" s="131"/>
      <c r="M67" s="131"/>
      <c r="N67" s="131"/>
      <c r="O67" s="131"/>
      <c r="P67" s="131"/>
      <c r="Q67" s="131"/>
      <c r="R67" s="131"/>
      <c r="S67" s="131"/>
      <c r="T67" s="131"/>
      <c r="U67" s="131"/>
      <c r="V67" s="131"/>
      <c r="W67" s="131"/>
      <c r="X67" s="131"/>
      <c r="Y67" s="131"/>
      <c r="Z67" s="131"/>
      <c r="AA67" s="131"/>
      <c r="AB67" s="131"/>
      <c r="AC67" s="131"/>
      <c r="AD67" s="131"/>
      <c r="AE67" s="131"/>
      <c r="AF67" s="131"/>
      <c r="AG67" s="106"/>
      <c r="AH67" s="106"/>
    </row>
    <row r="68" spans="1:34" ht="26.25">
      <c r="A68" s="106"/>
      <c r="B68" s="132"/>
      <c r="C68" s="124"/>
      <c r="D68" s="124"/>
      <c r="E68" s="124"/>
      <c r="F68" s="124"/>
      <c r="G68" s="124"/>
      <c r="H68" s="128"/>
      <c r="I68" s="128"/>
      <c r="J68" s="128"/>
      <c r="K68" s="128"/>
      <c r="L68" s="128"/>
      <c r="M68" s="128"/>
      <c r="N68" s="128"/>
      <c r="O68" s="128"/>
      <c r="P68" s="128"/>
      <c r="Q68" s="128"/>
      <c r="R68" s="128"/>
      <c r="S68" s="128"/>
      <c r="T68" s="128"/>
      <c r="U68" s="128"/>
      <c r="V68" s="128"/>
      <c r="W68" s="128"/>
      <c r="X68" s="128"/>
      <c r="Y68" s="128"/>
      <c r="Z68" s="128"/>
      <c r="AA68" s="128"/>
      <c r="AB68" s="128"/>
      <c r="AC68" s="128"/>
      <c r="AD68" s="128"/>
      <c r="AE68" s="128"/>
      <c r="AF68" s="128"/>
      <c r="AG68" s="106"/>
      <c r="AH68" s="106"/>
    </row>
    <row r="69" spans="1:34" s="169" customFormat="1" ht="20.25">
      <c r="B69" s="170" t="s">
        <v>242</v>
      </c>
    </row>
    <row r="70" spans="1:34">
      <c r="A70" s="106"/>
      <c r="B70" s="133"/>
      <c r="C70" s="133"/>
      <c r="D70" s="133"/>
      <c r="E70" s="133"/>
      <c r="F70" s="133"/>
      <c r="G70" s="133"/>
      <c r="H70" s="134"/>
      <c r="I70" s="134"/>
      <c r="J70" s="134"/>
      <c r="K70" s="134"/>
      <c r="L70" s="134"/>
      <c r="M70" s="134"/>
      <c r="N70" s="134"/>
      <c r="O70" s="134"/>
      <c r="P70" s="134"/>
      <c r="Q70" s="134"/>
      <c r="R70" s="134"/>
      <c r="S70" s="134"/>
      <c r="T70" s="134"/>
      <c r="U70" s="134"/>
      <c r="V70" s="134"/>
      <c r="W70" s="134"/>
      <c r="X70" s="134"/>
      <c r="Y70" s="134"/>
      <c r="Z70" s="134"/>
      <c r="AA70" s="134"/>
      <c r="AB70" s="134"/>
      <c r="AC70" s="134"/>
      <c r="AD70" s="134"/>
      <c r="AE70" s="134"/>
      <c r="AF70" s="134"/>
      <c r="AG70" s="106"/>
      <c r="AH70" s="106"/>
    </row>
    <row r="71" spans="1:34" ht="52.5" customHeight="1">
      <c r="A71" s="106"/>
      <c r="B71" s="308" t="s">
        <v>238</v>
      </c>
      <c r="C71" s="309"/>
      <c r="D71" s="309"/>
      <c r="E71" s="309"/>
      <c r="F71" s="309"/>
      <c r="G71" s="310"/>
      <c r="H71" s="311" t="s">
        <v>233</v>
      </c>
      <c r="I71" s="312"/>
      <c r="J71" s="312"/>
      <c r="K71" s="312"/>
      <c r="L71" s="312"/>
      <c r="M71" s="312"/>
      <c r="N71" s="312"/>
      <c r="O71" s="312"/>
      <c r="P71" s="312"/>
      <c r="Q71" s="312"/>
      <c r="R71" s="312"/>
      <c r="S71" s="312"/>
      <c r="T71" s="312"/>
      <c r="U71" s="312"/>
      <c r="V71" s="312"/>
      <c r="W71" s="312"/>
      <c r="X71" s="312"/>
      <c r="Y71" s="312"/>
      <c r="Z71" s="312"/>
      <c r="AA71" s="312"/>
      <c r="AB71" s="312"/>
      <c r="AC71" s="312"/>
      <c r="AD71" s="312"/>
      <c r="AE71" s="312"/>
      <c r="AF71" s="313"/>
      <c r="AG71" s="106"/>
      <c r="AH71" s="106"/>
    </row>
    <row r="72" spans="1:34" ht="111" customHeight="1">
      <c r="A72" s="106"/>
      <c r="B72" s="308" t="s">
        <v>239</v>
      </c>
      <c r="C72" s="309"/>
      <c r="D72" s="309"/>
      <c r="E72" s="309"/>
      <c r="F72" s="309"/>
      <c r="G72" s="310"/>
      <c r="H72" s="311" t="s">
        <v>235</v>
      </c>
      <c r="I72" s="312"/>
      <c r="J72" s="312"/>
      <c r="K72" s="312"/>
      <c r="L72" s="312"/>
      <c r="M72" s="312"/>
      <c r="N72" s="312"/>
      <c r="O72" s="312"/>
      <c r="P72" s="312"/>
      <c r="Q72" s="312"/>
      <c r="R72" s="312"/>
      <c r="S72" s="312"/>
      <c r="T72" s="312"/>
      <c r="U72" s="312"/>
      <c r="V72" s="312"/>
      <c r="W72" s="312"/>
      <c r="X72" s="312"/>
      <c r="Y72" s="312"/>
      <c r="Z72" s="312"/>
      <c r="AA72" s="312"/>
      <c r="AB72" s="312"/>
      <c r="AC72" s="312"/>
      <c r="AD72" s="312"/>
      <c r="AE72" s="312"/>
      <c r="AF72" s="313"/>
      <c r="AG72" s="106"/>
      <c r="AH72" s="106"/>
    </row>
    <row r="73" spans="1:34" ht="52.5" customHeight="1">
      <c r="A73" s="106"/>
      <c r="B73" s="308" t="s">
        <v>240</v>
      </c>
      <c r="C73" s="309"/>
      <c r="D73" s="309"/>
      <c r="E73" s="309"/>
      <c r="F73" s="309"/>
      <c r="G73" s="310"/>
      <c r="H73" s="311" t="s">
        <v>243</v>
      </c>
      <c r="I73" s="312"/>
      <c r="J73" s="312"/>
      <c r="K73" s="312"/>
      <c r="L73" s="312"/>
      <c r="M73" s="312"/>
      <c r="N73" s="312"/>
      <c r="O73" s="312"/>
      <c r="P73" s="312"/>
      <c r="Q73" s="312"/>
      <c r="R73" s="312"/>
      <c r="S73" s="312"/>
      <c r="T73" s="312"/>
      <c r="U73" s="312"/>
      <c r="V73" s="312"/>
      <c r="W73" s="312"/>
      <c r="X73" s="312"/>
      <c r="Y73" s="312"/>
      <c r="Z73" s="312"/>
      <c r="AA73" s="312"/>
      <c r="AB73" s="312"/>
      <c r="AC73" s="312"/>
      <c r="AD73" s="312"/>
      <c r="AE73" s="312"/>
      <c r="AF73" s="313"/>
      <c r="AG73" s="106"/>
      <c r="AH73" s="106"/>
    </row>
    <row r="74" spans="1:34" ht="52.5" customHeight="1">
      <c r="A74" s="106"/>
      <c r="B74" s="308" t="s">
        <v>232</v>
      </c>
      <c r="C74" s="309"/>
      <c r="D74" s="309"/>
      <c r="E74" s="309"/>
      <c r="F74" s="309"/>
      <c r="G74" s="310"/>
      <c r="H74" s="311" t="s">
        <v>236</v>
      </c>
      <c r="I74" s="312"/>
      <c r="J74" s="312"/>
      <c r="K74" s="312"/>
      <c r="L74" s="312"/>
      <c r="M74" s="312"/>
      <c r="N74" s="312"/>
      <c r="O74" s="312"/>
      <c r="P74" s="312"/>
      <c r="Q74" s="312"/>
      <c r="R74" s="312"/>
      <c r="S74" s="312"/>
      <c r="T74" s="312"/>
      <c r="U74" s="312"/>
      <c r="V74" s="312"/>
      <c r="W74" s="312"/>
      <c r="X74" s="312"/>
      <c r="Y74" s="312"/>
      <c r="Z74" s="312"/>
      <c r="AA74" s="312"/>
      <c r="AB74" s="312"/>
      <c r="AC74" s="312"/>
      <c r="AD74" s="312"/>
      <c r="AE74" s="312"/>
      <c r="AF74" s="313"/>
      <c r="AG74" s="106"/>
      <c r="AH74" s="106"/>
    </row>
    <row r="75" spans="1:34" ht="81" customHeight="1">
      <c r="A75" s="106"/>
      <c r="B75" s="308" t="s">
        <v>241</v>
      </c>
      <c r="C75" s="309"/>
      <c r="D75" s="309"/>
      <c r="E75" s="309"/>
      <c r="F75" s="309"/>
      <c r="G75" s="310"/>
      <c r="H75" s="311" t="s">
        <v>244</v>
      </c>
      <c r="I75" s="312"/>
      <c r="J75" s="312"/>
      <c r="K75" s="312"/>
      <c r="L75" s="312"/>
      <c r="M75" s="312"/>
      <c r="N75" s="312"/>
      <c r="O75" s="312"/>
      <c r="P75" s="312"/>
      <c r="Q75" s="312"/>
      <c r="R75" s="312"/>
      <c r="S75" s="312"/>
      <c r="T75" s="312"/>
      <c r="U75" s="312"/>
      <c r="V75" s="312"/>
      <c r="W75" s="312"/>
      <c r="X75" s="312"/>
      <c r="Y75" s="312"/>
      <c r="Z75" s="312"/>
      <c r="AA75" s="312"/>
      <c r="AB75" s="312"/>
      <c r="AC75" s="312"/>
      <c r="AD75" s="312"/>
      <c r="AE75" s="312"/>
      <c r="AF75" s="313"/>
      <c r="AG75" s="106"/>
      <c r="AH75" s="106"/>
    </row>
    <row r="76" spans="1:34" ht="97.5" customHeight="1">
      <c r="A76" s="106"/>
      <c r="B76" s="308" t="s">
        <v>234</v>
      </c>
      <c r="C76" s="309"/>
      <c r="D76" s="309"/>
      <c r="E76" s="309"/>
      <c r="F76" s="309"/>
      <c r="G76" s="310"/>
      <c r="H76" s="311" t="s">
        <v>237</v>
      </c>
      <c r="I76" s="312"/>
      <c r="J76" s="312"/>
      <c r="K76" s="312"/>
      <c r="L76" s="312"/>
      <c r="M76" s="312"/>
      <c r="N76" s="312"/>
      <c r="O76" s="312"/>
      <c r="P76" s="312"/>
      <c r="Q76" s="312"/>
      <c r="R76" s="312"/>
      <c r="S76" s="312"/>
      <c r="T76" s="312"/>
      <c r="U76" s="312"/>
      <c r="V76" s="312"/>
      <c r="W76" s="312"/>
      <c r="X76" s="312"/>
      <c r="Y76" s="312"/>
      <c r="Z76" s="312"/>
      <c r="AA76" s="312"/>
      <c r="AB76" s="312"/>
      <c r="AC76" s="312"/>
      <c r="AD76" s="312"/>
      <c r="AE76" s="312"/>
      <c r="AF76" s="313"/>
      <c r="AG76" s="106"/>
      <c r="AH76" s="106"/>
    </row>
    <row r="77" spans="1:34">
      <c r="A77" s="106"/>
      <c r="B77" s="133"/>
      <c r="C77" s="133"/>
      <c r="D77" s="133"/>
      <c r="E77" s="133"/>
      <c r="F77" s="133"/>
      <c r="G77" s="133"/>
      <c r="H77" s="134"/>
      <c r="I77" s="134"/>
      <c r="J77" s="134"/>
      <c r="K77" s="134"/>
      <c r="L77" s="134"/>
      <c r="M77" s="134"/>
      <c r="N77" s="134"/>
      <c r="O77" s="134"/>
      <c r="P77" s="134"/>
      <c r="Q77" s="134"/>
      <c r="R77" s="134"/>
      <c r="S77" s="134"/>
      <c r="T77" s="134"/>
      <c r="U77" s="134"/>
      <c r="V77" s="134"/>
      <c r="W77" s="134"/>
      <c r="X77" s="134"/>
      <c r="Y77" s="134"/>
      <c r="Z77" s="134"/>
      <c r="AA77" s="134"/>
      <c r="AB77" s="134"/>
      <c r="AC77" s="134"/>
      <c r="AD77" s="134"/>
      <c r="AE77" s="134"/>
      <c r="AF77" s="134"/>
      <c r="AG77" s="106"/>
      <c r="AH77" s="106"/>
    </row>
    <row r="78" spans="1:34">
      <c r="A78" s="106"/>
      <c r="B78" s="133"/>
      <c r="C78" s="133"/>
      <c r="D78" s="133"/>
      <c r="E78" s="133"/>
      <c r="F78" s="133"/>
      <c r="G78" s="133"/>
      <c r="H78" s="134"/>
      <c r="I78" s="134"/>
      <c r="J78" s="134"/>
      <c r="K78" s="134"/>
      <c r="L78" s="134"/>
      <c r="M78" s="134"/>
      <c r="N78" s="134"/>
      <c r="O78" s="134"/>
      <c r="P78" s="134"/>
      <c r="Q78" s="134"/>
      <c r="R78" s="134"/>
      <c r="S78" s="134"/>
      <c r="T78" s="134"/>
      <c r="U78" s="134"/>
      <c r="V78" s="134"/>
      <c r="W78" s="134"/>
      <c r="X78" s="134"/>
      <c r="Y78" s="134"/>
      <c r="Z78" s="134"/>
      <c r="AA78" s="134"/>
      <c r="AB78" s="134"/>
      <c r="AC78" s="134"/>
      <c r="AD78" s="134"/>
      <c r="AE78" s="134"/>
      <c r="AF78" s="134"/>
      <c r="AG78" s="106"/>
      <c r="AH78" s="106"/>
    </row>
    <row r="79" spans="1:34">
      <c r="A79" s="106"/>
      <c r="B79" s="133"/>
      <c r="C79" s="133"/>
      <c r="D79" s="133"/>
      <c r="E79" s="133"/>
      <c r="F79" s="133"/>
      <c r="G79" s="133"/>
      <c r="H79" s="134"/>
      <c r="I79" s="134"/>
      <c r="J79" s="134"/>
      <c r="K79" s="134"/>
      <c r="L79" s="134"/>
      <c r="M79" s="134"/>
      <c r="N79" s="134"/>
      <c r="O79" s="134"/>
      <c r="P79" s="134"/>
      <c r="Q79" s="134"/>
      <c r="R79" s="134"/>
      <c r="S79" s="134"/>
      <c r="T79" s="134"/>
      <c r="U79" s="134"/>
      <c r="V79" s="134"/>
      <c r="W79" s="134"/>
      <c r="X79" s="134"/>
      <c r="Y79" s="134"/>
      <c r="Z79" s="134"/>
      <c r="AA79" s="134"/>
      <c r="AB79" s="134"/>
      <c r="AC79" s="134"/>
      <c r="AD79" s="134"/>
      <c r="AE79" s="134"/>
      <c r="AF79" s="134"/>
      <c r="AG79" s="106"/>
      <c r="AH79" s="106"/>
    </row>
    <row r="80" spans="1:34" ht="26.25">
      <c r="A80" s="106"/>
      <c r="B80" s="129" t="s">
        <v>168</v>
      </c>
      <c r="C80" s="130"/>
      <c r="D80" s="130"/>
      <c r="E80" s="130"/>
      <c r="F80" s="130"/>
      <c r="G80" s="130"/>
      <c r="H80" s="131"/>
      <c r="I80" s="131"/>
      <c r="J80" s="131"/>
      <c r="K80" s="131"/>
      <c r="L80" s="131"/>
      <c r="M80" s="131"/>
      <c r="N80" s="131"/>
      <c r="O80" s="131"/>
      <c r="P80" s="131"/>
      <c r="Q80" s="131"/>
      <c r="R80" s="131"/>
      <c r="S80" s="131"/>
      <c r="T80" s="131"/>
      <c r="U80" s="131"/>
      <c r="V80" s="131"/>
      <c r="W80" s="131"/>
      <c r="X80" s="131"/>
      <c r="Y80" s="131"/>
      <c r="Z80" s="131"/>
      <c r="AA80" s="131"/>
      <c r="AB80" s="131"/>
      <c r="AC80" s="131"/>
      <c r="AD80" s="131"/>
      <c r="AE80" s="131"/>
      <c r="AF80" s="131"/>
      <c r="AG80" s="106"/>
      <c r="AH80" s="106"/>
    </row>
    <row r="81" spans="1:36">
      <c r="A81" s="106"/>
      <c r="B81" s="133"/>
      <c r="C81" s="133"/>
      <c r="D81" s="133"/>
      <c r="E81" s="133"/>
      <c r="F81" s="133"/>
      <c r="G81" s="133"/>
      <c r="H81" s="134"/>
      <c r="I81" s="134"/>
      <c r="J81" s="134"/>
      <c r="K81" s="134"/>
      <c r="L81" s="134"/>
      <c r="M81" s="134"/>
      <c r="N81" s="134"/>
      <c r="O81" s="134"/>
      <c r="P81" s="134"/>
      <c r="Q81" s="134"/>
      <c r="R81" s="134"/>
      <c r="S81" s="134"/>
      <c r="T81" s="134"/>
      <c r="U81" s="134"/>
      <c r="V81" s="134"/>
      <c r="W81" s="134"/>
      <c r="X81" s="134"/>
      <c r="Y81" s="134"/>
      <c r="Z81" s="134"/>
      <c r="AA81" s="134"/>
      <c r="AB81" s="134"/>
      <c r="AC81" s="134"/>
      <c r="AD81" s="134"/>
      <c r="AE81" s="134"/>
      <c r="AF81" s="134"/>
      <c r="AG81" s="106"/>
      <c r="AH81" s="106"/>
    </row>
    <row r="82" spans="1:36">
      <c r="A82" s="106"/>
      <c r="B82" s="133" t="s">
        <v>169</v>
      </c>
      <c r="C82" s="133"/>
      <c r="D82" s="133"/>
      <c r="E82" s="133"/>
      <c r="F82" s="133"/>
      <c r="G82" s="133"/>
      <c r="H82" s="134"/>
      <c r="I82" s="134"/>
      <c r="J82" s="134"/>
      <c r="K82" s="134"/>
      <c r="L82" s="134"/>
      <c r="M82" s="134"/>
      <c r="N82" s="134"/>
      <c r="O82" s="134"/>
      <c r="P82" s="134"/>
      <c r="Q82" s="134"/>
      <c r="R82" s="134"/>
      <c r="S82" s="134"/>
      <c r="T82" s="134"/>
      <c r="U82" s="134"/>
      <c r="V82" s="134"/>
      <c r="W82" s="134"/>
      <c r="X82" s="134"/>
      <c r="Y82" s="134"/>
      <c r="Z82" s="134"/>
      <c r="AA82" s="134"/>
      <c r="AB82" s="134"/>
      <c r="AC82" s="134"/>
      <c r="AD82" s="134"/>
      <c r="AE82" s="134"/>
      <c r="AF82" s="134"/>
      <c r="AG82" s="106"/>
      <c r="AH82" s="106"/>
    </row>
    <row r="83" spans="1:36" ht="67.5">
      <c r="A83" s="106"/>
      <c r="B83" s="133"/>
      <c r="C83" s="133"/>
      <c r="D83" s="133"/>
      <c r="E83" s="133"/>
      <c r="F83" s="133"/>
      <c r="G83" s="133"/>
      <c r="H83" s="134"/>
      <c r="I83" s="134"/>
      <c r="J83" s="134"/>
      <c r="K83" s="134"/>
      <c r="L83" s="134"/>
      <c r="M83" s="134"/>
      <c r="N83" s="134"/>
      <c r="O83" s="134"/>
      <c r="P83" s="134"/>
      <c r="Q83" s="134"/>
      <c r="R83" s="134"/>
      <c r="S83" s="134"/>
      <c r="T83" s="134"/>
      <c r="U83" s="134"/>
      <c r="V83" s="134"/>
      <c r="W83" s="134"/>
      <c r="X83" s="134"/>
      <c r="Y83" s="134"/>
      <c r="Z83" s="134"/>
      <c r="AA83" s="134"/>
      <c r="AB83" s="134"/>
      <c r="AC83" s="134"/>
      <c r="AD83" s="134"/>
      <c r="AE83" s="134"/>
      <c r="AF83" s="134"/>
      <c r="AG83" s="106"/>
      <c r="AH83" s="106"/>
      <c r="AJ83" s="175" t="s">
        <v>290</v>
      </c>
    </row>
    <row r="84" spans="1:36" ht="18.75">
      <c r="A84" s="106"/>
      <c r="C84" s="133"/>
      <c r="D84" s="133"/>
      <c r="E84" s="133"/>
      <c r="F84" s="133"/>
      <c r="G84" s="133"/>
      <c r="H84" s="134"/>
      <c r="I84" s="134"/>
      <c r="J84" s="134"/>
      <c r="K84" s="134"/>
      <c r="L84" s="134"/>
      <c r="M84" s="134"/>
      <c r="N84" s="134"/>
      <c r="O84" s="134"/>
      <c r="P84" s="134"/>
      <c r="Q84" s="134"/>
      <c r="R84" s="134"/>
      <c r="S84" s="134"/>
      <c r="T84" s="134"/>
      <c r="U84" s="134"/>
      <c r="V84" s="134"/>
      <c r="W84" s="134"/>
      <c r="X84" s="134"/>
      <c r="Y84" s="134"/>
      <c r="Z84" s="134"/>
      <c r="AA84" s="134"/>
      <c r="AB84" s="134"/>
      <c r="AC84" s="134"/>
      <c r="AD84" s="134"/>
      <c r="AE84" s="134"/>
      <c r="AF84" s="134"/>
      <c r="AG84" s="106"/>
      <c r="AH84" s="106"/>
      <c r="AI84" s="154"/>
      <c r="AJ84" s="174" t="s">
        <v>291</v>
      </c>
    </row>
    <row r="85" spans="1:36">
      <c r="A85" s="106"/>
      <c r="C85" s="133"/>
      <c r="D85" s="133"/>
      <c r="E85" s="133"/>
      <c r="F85" s="133"/>
      <c r="G85" s="133"/>
      <c r="H85" s="134"/>
      <c r="I85" s="134"/>
      <c r="J85" s="134"/>
      <c r="K85" s="134"/>
      <c r="L85" s="134"/>
      <c r="M85" s="134"/>
      <c r="N85" s="134"/>
      <c r="O85" s="134"/>
      <c r="P85" s="134"/>
      <c r="Q85" s="134"/>
      <c r="R85" s="134"/>
      <c r="S85" s="134"/>
      <c r="T85" s="134"/>
      <c r="U85" s="134"/>
      <c r="V85" s="134"/>
      <c r="W85" s="134"/>
      <c r="X85" s="134"/>
      <c r="Y85" s="134"/>
      <c r="Z85" s="134"/>
      <c r="AA85" s="134"/>
      <c r="AB85" s="134"/>
      <c r="AC85" s="134"/>
      <c r="AD85" s="134"/>
      <c r="AE85" s="134"/>
      <c r="AF85" s="134"/>
      <c r="AG85" s="106"/>
      <c r="AH85" s="106"/>
      <c r="AI85" s="155" t="s">
        <v>214</v>
      </c>
      <c r="AJ85" s="155" t="s">
        <v>170</v>
      </c>
    </row>
    <row r="86" spans="1:36">
      <c r="A86" s="106"/>
      <c r="C86" s="133"/>
      <c r="D86" s="133"/>
      <c r="E86" s="133"/>
      <c r="F86" s="133"/>
      <c r="G86" s="133"/>
      <c r="H86" s="134"/>
      <c r="I86" s="134"/>
      <c r="J86" s="134"/>
      <c r="K86" s="134"/>
      <c r="L86" s="134"/>
      <c r="M86" s="134"/>
      <c r="N86" s="134"/>
      <c r="O86" s="134"/>
      <c r="P86" s="134"/>
      <c r="Q86" s="134"/>
      <c r="R86" s="134"/>
      <c r="S86" s="134"/>
      <c r="T86" s="134"/>
      <c r="U86" s="134"/>
      <c r="V86" s="134"/>
      <c r="W86" s="134"/>
      <c r="X86" s="134"/>
      <c r="Y86" s="134"/>
      <c r="Z86" s="134"/>
      <c r="AA86" s="134"/>
      <c r="AB86" s="134"/>
      <c r="AC86" s="134"/>
      <c r="AD86" s="134"/>
      <c r="AE86" s="134"/>
      <c r="AF86" s="134"/>
      <c r="AG86" s="106"/>
      <c r="AH86" s="106"/>
      <c r="AI86" s="155" t="s">
        <v>23</v>
      </c>
      <c r="AJ86" s="155" t="s">
        <v>172</v>
      </c>
    </row>
    <row r="87" spans="1:36">
      <c r="A87" s="106"/>
      <c r="C87" s="133"/>
      <c r="D87" s="133"/>
      <c r="E87" s="133"/>
      <c r="F87" s="133"/>
      <c r="G87" s="133"/>
      <c r="H87" s="134"/>
      <c r="I87" s="134"/>
      <c r="J87" s="134"/>
      <c r="K87" s="134"/>
      <c r="L87" s="134"/>
      <c r="M87" s="134"/>
      <c r="N87" s="134"/>
      <c r="O87" s="134"/>
      <c r="P87" s="134"/>
      <c r="Q87" s="134"/>
      <c r="R87" s="134"/>
      <c r="S87" s="134"/>
      <c r="T87" s="134"/>
      <c r="U87" s="134"/>
      <c r="V87" s="134"/>
      <c r="W87" s="134"/>
      <c r="X87" s="134"/>
      <c r="Y87" s="134"/>
      <c r="Z87" s="134"/>
      <c r="AA87" s="134"/>
      <c r="AB87" s="134"/>
      <c r="AC87" s="134"/>
      <c r="AD87" s="134"/>
      <c r="AE87" s="134"/>
      <c r="AF87" s="134"/>
      <c r="AG87" s="106"/>
      <c r="AH87" s="106"/>
      <c r="AI87" s="155" t="s">
        <v>11</v>
      </c>
      <c r="AJ87" s="155" t="s">
        <v>216</v>
      </c>
    </row>
    <row r="88" spans="1:36" ht="18.75">
      <c r="A88" s="106"/>
      <c r="C88" s="133"/>
      <c r="D88" s="133"/>
      <c r="E88" s="133"/>
      <c r="F88" s="133"/>
      <c r="G88" s="133"/>
      <c r="H88" s="134"/>
      <c r="I88" s="134"/>
      <c r="J88" s="134"/>
      <c r="K88" s="134"/>
      <c r="L88" s="134"/>
      <c r="M88" s="134"/>
      <c r="N88" s="134"/>
      <c r="O88" s="134"/>
      <c r="P88" s="134"/>
      <c r="Q88" s="134"/>
      <c r="R88" s="134"/>
      <c r="S88" s="134"/>
      <c r="T88" s="134"/>
      <c r="U88" s="134"/>
      <c r="V88" s="134"/>
      <c r="W88" s="134"/>
      <c r="X88" s="134"/>
      <c r="Y88" s="134"/>
      <c r="Z88" s="134"/>
      <c r="AA88" s="134"/>
      <c r="AB88" s="134"/>
      <c r="AC88" s="134"/>
      <c r="AD88" s="134"/>
      <c r="AE88" s="134"/>
      <c r="AF88" s="134"/>
      <c r="AG88" s="106"/>
      <c r="AH88" s="106"/>
      <c r="AI88" s="156"/>
      <c r="AJ88" s="155" t="s">
        <v>173</v>
      </c>
    </row>
    <row r="89" spans="1:36">
      <c r="A89" s="106"/>
      <c r="B89" s="133"/>
      <c r="C89" s="133"/>
      <c r="D89" s="133"/>
      <c r="E89" s="133"/>
      <c r="F89" s="133"/>
      <c r="G89" s="133"/>
      <c r="H89" s="134"/>
      <c r="I89" s="134"/>
      <c r="J89" s="134"/>
      <c r="K89" s="134"/>
      <c r="L89" s="134"/>
      <c r="M89" s="134"/>
      <c r="N89" s="134"/>
      <c r="O89" s="134"/>
      <c r="P89" s="134"/>
      <c r="Q89" s="134"/>
      <c r="R89" s="134"/>
      <c r="S89" s="134"/>
      <c r="T89" s="134"/>
      <c r="U89" s="134"/>
      <c r="V89" s="134"/>
      <c r="W89" s="134"/>
      <c r="X89" s="134"/>
      <c r="Y89" s="134"/>
      <c r="Z89" s="134"/>
      <c r="AA89" s="134"/>
      <c r="AB89" s="134"/>
      <c r="AC89" s="134"/>
      <c r="AD89" s="134"/>
      <c r="AE89" s="134"/>
      <c r="AF89" s="134"/>
      <c r="AG89" s="106"/>
      <c r="AH89" s="106"/>
      <c r="AJ89" s="155" t="s">
        <v>245</v>
      </c>
    </row>
    <row r="90" spans="1:36">
      <c r="A90" s="106"/>
      <c r="B90" s="106"/>
      <c r="C90" s="106"/>
      <c r="D90" s="106"/>
      <c r="E90" s="106"/>
      <c r="F90" s="106"/>
      <c r="G90" s="106"/>
      <c r="H90" s="106"/>
      <c r="I90" s="106"/>
      <c r="J90" s="106"/>
      <c r="K90" s="106"/>
      <c r="L90" s="106"/>
      <c r="M90" s="106"/>
      <c r="N90" s="106"/>
      <c r="O90" s="106"/>
      <c r="P90" s="106"/>
      <c r="Q90" s="106"/>
      <c r="R90" s="106"/>
      <c r="S90" s="106"/>
      <c r="T90" s="106"/>
      <c r="U90" s="106"/>
      <c r="V90" s="106"/>
      <c r="W90" s="106"/>
      <c r="X90" s="106"/>
      <c r="Y90" s="106"/>
      <c r="Z90" s="106"/>
      <c r="AA90" s="106"/>
      <c r="AB90" s="106"/>
      <c r="AC90" s="106"/>
      <c r="AD90" s="106"/>
      <c r="AE90" s="106"/>
      <c r="AF90" s="106"/>
      <c r="AG90" s="106"/>
      <c r="AH90" s="106"/>
      <c r="AJ90" s="155" t="s">
        <v>171</v>
      </c>
    </row>
    <row r="91" spans="1:36">
      <c r="AJ91" s="155" t="s">
        <v>220</v>
      </c>
    </row>
    <row r="92" spans="1:36">
      <c r="AJ92" s="155" t="s">
        <v>246</v>
      </c>
    </row>
    <row r="93" spans="1:36">
      <c r="AJ93" s="155" t="s">
        <v>247</v>
      </c>
    </row>
    <row r="94" spans="1:36">
      <c r="AJ94" s="155" t="s">
        <v>248</v>
      </c>
    </row>
    <row r="95" spans="1:36">
      <c r="AJ95" s="155" t="s">
        <v>249</v>
      </c>
    </row>
    <row r="96" spans="1:36">
      <c r="AJ96" s="155" t="s">
        <v>255</v>
      </c>
    </row>
    <row r="97" spans="36:36">
      <c r="AJ97" s="155" t="s">
        <v>174</v>
      </c>
    </row>
    <row r="98" spans="36:36">
      <c r="AJ98" s="155" t="s">
        <v>250</v>
      </c>
    </row>
    <row r="99" spans="36:36">
      <c r="AJ99" s="155" t="s">
        <v>251</v>
      </c>
    </row>
    <row r="100" spans="36:36">
      <c r="AJ100" s="155" t="s">
        <v>252</v>
      </c>
    </row>
    <row r="101" spans="36:36">
      <c r="AJ101" s="155" t="s">
        <v>253</v>
      </c>
    </row>
    <row r="102" spans="36:36">
      <c r="AJ102" s="155" t="s">
        <v>254</v>
      </c>
    </row>
    <row r="103" spans="36:36">
      <c r="AJ103" s="155" t="s">
        <v>175</v>
      </c>
    </row>
    <row r="104" spans="36:36">
      <c r="AJ104" s="155" t="s">
        <v>256</v>
      </c>
    </row>
    <row r="105" spans="36:36" ht="18.75">
      <c r="AJ105" s="156" t="s">
        <v>251</v>
      </c>
    </row>
  </sheetData>
  <mergeCells count="148">
    <mergeCell ref="E38:H38"/>
    <mergeCell ref="I38:Q38"/>
    <mergeCell ref="R38:AF38"/>
    <mergeCell ref="B39:D39"/>
    <mergeCell ref="E39:H39"/>
    <mergeCell ref="I39:Q39"/>
    <mergeCell ref="R39:AF39"/>
    <mergeCell ref="B37:D37"/>
    <mergeCell ref="E37:H37"/>
    <mergeCell ref="I37:Q37"/>
    <mergeCell ref="R37:AF37"/>
    <mergeCell ref="B38:D38"/>
    <mergeCell ref="B40:D40"/>
    <mergeCell ref="E40:H40"/>
    <mergeCell ref="I40:Q40"/>
    <mergeCell ref="R40:AF40"/>
    <mergeCell ref="B76:G76"/>
    <mergeCell ref="H76:AF76"/>
    <mergeCell ref="B71:G71"/>
    <mergeCell ref="H71:AF71"/>
    <mergeCell ref="B72:G72"/>
    <mergeCell ref="H72:AF72"/>
    <mergeCell ref="B73:G73"/>
    <mergeCell ref="H73:AF73"/>
    <mergeCell ref="B74:G74"/>
    <mergeCell ref="H74:AF74"/>
    <mergeCell ref="B75:G75"/>
    <mergeCell ref="H75:AF75"/>
    <mergeCell ref="B46:D46"/>
    <mergeCell ref="E46:X46"/>
    <mergeCell ref="Y46:AF46"/>
    <mergeCell ref="B47:D47"/>
    <mergeCell ref="E47:X47"/>
    <mergeCell ref="Y47:AF47"/>
    <mergeCell ref="B48:D48"/>
    <mergeCell ref="E48:X48"/>
    <mergeCell ref="B32:D32"/>
    <mergeCell ref="E32:H32"/>
    <mergeCell ref="I32:Q32"/>
    <mergeCell ref="R32:AF32"/>
    <mergeCell ref="B20:F20"/>
    <mergeCell ref="G20:AF20"/>
    <mergeCell ref="B21:F21"/>
    <mergeCell ref="G21:AF21"/>
    <mergeCell ref="B29:D29"/>
    <mergeCell ref="E29:H29"/>
    <mergeCell ref="I29:Q29"/>
    <mergeCell ref="R29:AF29"/>
    <mergeCell ref="B30:D30"/>
    <mergeCell ref="E30:H30"/>
    <mergeCell ref="I30:Q30"/>
    <mergeCell ref="R30:AF30"/>
    <mergeCell ref="B31:D31"/>
    <mergeCell ref="E31:H31"/>
    <mergeCell ref="I31:Q31"/>
    <mergeCell ref="R31:AF31"/>
    <mergeCell ref="A4:V4"/>
    <mergeCell ref="W4:AA4"/>
    <mergeCell ref="AB4:AG4"/>
    <mergeCell ref="A5:V5"/>
    <mergeCell ref="W5:AA5"/>
    <mergeCell ref="AB5:AG5"/>
    <mergeCell ref="A7:D7"/>
    <mergeCell ref="E7:V7"/>
    <mergeCell ref="W7:AA7"/>
    <mergeCell ref="AB7:AD7"/>
    <mergeCell ref="AE7:AG7"/>
    <mergeCell ref="A6:D6"/>
    <mergeCell ref="E6:V6"/>
    <mergeCell ref="W6:AA6"/>
    <mergeCell ref="AB6:AD6"/>
    <mergeCell ref="AE6:AG6"/>
    <mergeCell ref="A8:AG8"/>
    <mergeCell ref="A9:AG9"/>
    <mergeCell ref="B15:F15"/>
    <mergeCell ref="G15:AF15"/>
    <mergeCell ref="B16:F16"/>
    <mergeCell ref="G16:AF16"/>
    <mergeCell ref="B17:F17"/>
    <mergeCell ref="G17:AF17"/>
    <mergeCell ref="B18:F18"/>
    <mergeCell ref="G18:AF18"/>
    <mergeCell ref="B19:F19"/>
    <mergeCell ref="G19:AF19"/>
    <mergeCell ref="B27:D27"/>
    <mergeCell ref="E27:H27"/>
    <mergeCell ref="I27:Q27"/>
    <mergeCell ref="R27:AF27"/>
    <mergeCell ref="B28:D28"/>
    <mergeCell ref="E28:H28"/>
    <mergeCell ref="I28:Q28"/>
    <mergeCell ref="R28:AF28"/>
    <mergeCell ref="B22:F22"/>
    <mergeCell ref="G22:AF22"/>
    <mergeCell ref="B23:F23"/>
    <mergeCell ref="G23:AF23"/>
    <mergeCell ref="B24:F24"/>
    <mergeCell ref="G24:AF24"/>
    <mergeCell ref="B33:D33"/>
    <mergeCell ref="E33:H33"/>
    <mergeCell ref="I33:Q33"/>
    <mergeCell ref="R33:AF33"/>
    <mergeCell ref="B34:D34"/>
    <mergeCell ref="E34:H34"/>
    <mergeCell ref="I34:Q34"/>
    <mergeCell ref="R34:AF34"/>
    <mergeCell ref="B36:D36"/>
    <mergeCell ref="E36:H36"/>
    <mergeCell ref="I36:Q36"/>
    <mergeCell ref="R36:AF36"/>
    <mergeCell ref="B35:D35"/>
    <mergeCell ref="E35:H35"/>
    <mergeCell ref="I35:Q35"/>
    <mergeCell ref="R35:AF35"/>
    <mergeCell ref="Y48:AF48"/>
    <mergeCell ref="B49:D49"/>
    <mergeCell ref="E49:X49"/>
    <mergeCell ref="Y49:AF49"/>
    <mergeCell ref="B59:G59"/>
    <mergeCell ref="H59:AF59"/>
    <mergeCell ref="B50:D50"/>
    <mergeCell ref="E50:X50"/>
    <mergeCell ref="Y50:AF50"/>
    <mergeCell ref="B52:D52"/>
    <mergeCell ref="E52:X52"/>
    <mergeCell ref="Y52:AF52"/>
    <mergeCell ref="B53:D53"/>
    <mergeCell ref="E53:X53"/>
    <mergeCell ref="Y53:AF53"/>
    <mergeCell ref="B54:D54"/>
    <mergeCell ref="E54:X54"/>
    <mergeCell ref="Y54:AF54"/>
    <mergeCell ref="B55:D55"/>
    <mergeCell ref="E55:X55"/>
    <mergeCell ref="Y55:AF55"/>
    <mergeCell ref="B56:D56"/>
    <mergeCell ref="E56:X56"/>
    <mergeCell ref="Y56:AF56"/>
    <mergeCell ref="B64:G64"/>
    <mergeCell ref="H64:AF64"/>
    <mergeCell ref="B61:G61"/>
    <mergeCell ref="H61:AF61"/>
    <mergeCell ref="B62:G62"/>
    <mergeCell ref="H62:AF62"/>
    <mergeCell ref="B63:G63"/>
    <mergeCell ref="H63:AF63"/>
    <mergeCell ref="B60:G60"/>
    <mergeCell ref="H60:AF60"/>
  </mergeCells>
  <phoneticPr fontId="82" type="noConversion"/>
  <hyperlinks>
    <hyperlink ref="H60" r:id="rId1" display="https://alvteams.alv.autoliv.int/sites/aeuaeequalityassurance/AEM%20Process%20wiki/acronyms.aspx" xr:uid="{F41053EA-BD92-4C32-BFE7-2CB8AFAD0005}"/>
  </hyperlinks>
  <pageMargins left="0.86614173228346458" right="0.47244094488188981" top="0.98425196850393704" bottom="0.98425196850393704" header="0.47244094488188981" footer="0.51181102362204722"/>
  <pageSetup paperSize="9" orientation="portrait" horizontalDpi="4294967295" verticalDpi="4294967295" r:id="rId2"/>
  <headerFooter>
    <oddHeader>&amp;R&amp;G</oddHeader>
  </headerFooter>
  <drawing r:id="rId3"/>
  <legacyDrawing r:id="rId4"/>
  <legacyDrawingHF r:id="rId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elp">
    <tabColor indexed="47"/>
  </sheetPr>
  <dimension ref="A1:H140"/>
  <sheetViews>
    <sheetView showGridLines="0" zoomScaleNormal="100" workbookViewId="0">
      <pane ySplit="1" topLeftCell="A11" activePane="bottomLeft" state="frozenSplit"/>
      <selection pane="bottomLeft" sqref="A1:D1"/>
    </sheetView>
  </sheetViews>
  <sheetFormatPr defaultColWidth="9.140625" defaultRowHeight="12.75"/>
  <cols>
    <col min="1" max="1" width="3.7109375" style="1" customWidth="1"/>
    <col min="2" max="2" width="19.42578125" style="1" customWidth="1"/>
    <col min="3" max="3" width="100.7109375" style="1" customWidth="1"/>
    <col min="4" max="16384" width="9.140625" style="1"/>
  </cols>
  <sheetData>
    <row r="1" spans="1:8" ht="19.5">
      <c r="A1" s="316" t="s">
        <v>15</v>
      </c>
      <c r="B1" s="317"/>
      <c r="C1" s="317"/>
      <c r="D1" s="318"/>
    </row>
    <row r="3" spans="1:8">
      <c r="B3" s="319" t="s">
        <v>16</v>
      </c>
      <c r="C3" s="320"/>
      <c r="D3" s="321"/>
    </row>
    <row r="4" spans="1:8">
      <c r="B4" s="89" t="s">
        <v>96</v>
      </c>
      <c r="C4" s="45" t="s">
        <v>97</v>
      </c>
      <c r="D4" s="13"/>
    </row>
    <row r="5" spans="1:8">
      <c r="B5" s="14" t="s">
        <v>36</v>
      </c>
      <c r="C5" s="12" t="s">
        <v>40</v>
      </c>
      <c r="D5" s="13"/>
    </row>
    <row r="6" spans="1:8">
      <c r="B6" s="14" t="s">
        <v>39</v>
      </c>
      <c r="C6" s="12" t="s">
        <v>41</v>
      </c>
      <c r="D6" s="13"/>
    </row>
    <row r="7" spans="1:8">
      <c r="B7" s="14" t="s">
        <v>38</v>
      </c>
      <c r="C7" s="12" t="s">
        <v>42</v>
      </c>
      <c r="D7" s="13"/>
    </row>
    <row r="8" spans="1:8">
      <c r="B8" s="11" t="s">
        <v>37</v>
      </c>
      <c r="C8" s="12" t="s">
        <v>43</v>
      </c>
      <c r="D8" s="13"/>
    </row>
    <row r="9" spans="1:8">
      <c r="B9" s="79" t="s">
        <v>83</v>
      </c>
      <c r="C9" s="45" t="s">
        <v>84</v>
      </c>
      <c r="D9" s="13"/>
    </row>
    <row r="10" spans="1:8">
      <c r="B10" s="79" t="s">
        <v>57</v>
      </c>
      <c r="C10" s="45" t="s">
        <v>58</v>
      </c>
      <c r="D10" s="13"/>
    </row>
    <row r="11" spans="1:8">
      <c r="B11" s="3"/>
      <c r="C11" s="3"/>
      <c r="D11" s="3"/>
    </row>
    <row r="12" spans="1:8">
      <c r="B12" s="319" t="s">
        <v>183</v>
      </c>
      <c r="C12" s="320"/>
      <c r="D12" s="321"/>
    </row>
    <row r="13" spans="1:8" ht="24.75" customHeight="1">
      <c r="B13" s="135" t="s">
        <v>178</v>
      </c>
      <c r="C13" s="322" t="s">
        <v>180</v>
      </c>
      <c r="D13" s="323"/>
    </row>
    <row r="14" spans="1:8" ht="25.5" customHeight="1">
      <c r="B14" s="135" t="s">
        <v>106</v>
      </c>
      <c r="C14" s="322" t="s">
        <v>181</v>
      </c>
      <c r="D14" s="323"/>
      <c r="E14" s="90"/>
      <c r="F14" s="90"/>
      <c r="G14" s="90"/>
      <c r="H14" s="90"/>
    </row>
    <row r="15" spans="1:8" ht="49.5" customHeight="1">
      <c r="B15" s="135" t="s">
        <v>179</v>
      </c>
      <c r="C15" s="322" t="s">
        <v>182</v>
      </c>
      <c r="D15" s="323"/>
      <c r="F15" s="94" t="s">
        <v>135</v>
      </c>
    </row>
    <row r="17" spans="2:6">
      <c r="B17" s="319" t="s">
        <v>13</v>
      </c>
      <c r="C17" s="320"/>
      <c r="D17" s="321"/>
    </row>
    <row r="18" spans="2:6">
      <c r="B18" s="2"/>
      <c r="C18" s="3"/>
      <c r="D18" s="4"/>
      <c r="F18" s="94" t="s">
        <v>132</v>
      </c>
    </row>
    <row r="19" spans="2:6" s="91" customFormat="1" ht="38.25">
      <c r="B19" s="314" t="s">
        <v>184</v>
      </c>
      <c r="C19" s="136" t="s">
        <v>107</v>
      </c>
      <c r="D19" s="92"/>
      <c r="F19" s="95" t="s">
        <v>133</v>
      </c>
    </row>
    <row r="20" spans="2:6">
      <c r="B20" s="314"/>
      <c r="C20" s="137"/>
      <c r="D20" s="4"/>
      <c r="F20" s="94" t="s">
        <v>134</v>
      </c>
    </row>
    <row r="21" spans="2:6" ht="25.5">
      <c r="B21" s="314"/>
      <c r="C21" s="138" t="s">
        <v>108</v>
      </c>
      <c r="D21" s="4"/>
    </row>
    <row r="22" spans="2:6" ht="25.5">
      <c r="B22" s="314"/>
      <c r="C22" s="138" t="s">
        <v>0</v>
      </c>
      <c r="D22" s="4"/>
    </row>
    <row r="23" spans="2:6">
      <c r="B23" s="314"/>
      <c r="C23" s="138" t="s">
        <v>1</v>
      </c>
      <c r="D23" s="4"/>
    </row>
    <row r="24" spans="2:6">
      <c r="B24" s="2"/>
      <c r="C24" s="27"/>
      <c r="D24" s="4"/>
    </row>
    <row r="25" spans="2:6">
      <c r="B25" s="315" t="s">
        <v>185</v>
      </c>
      <c r="C25" s="139" t="s">
        <v>335</v>
      </c>
      <c r="D25" s="4"/>
    </row>
    <row r="26" spans="2:6" ht="25.5">
      <c r="B26" s="315"/>
      <c r="C26" s="140" t="s">
        <v>2</v>
      </c>
      <c r="D26" s="4"/>
    </row>
    <row r="27" spans="2:6">
      <c r="B27" s="315"/>
      <c r="C27" s="139" t="s">
        <v>130</v>
      </c>
      <c r="D27" s="4"/>
    </row>
    <row r="28" spans="2:6">
      <c r="B28" s="2"/>
      <c r="C28" s="27"/>
      <c r="D28" s="4"/>
    </row>
    <row r="29" spans="2:6">
      <c r="B29" s="5"/>
      <c r="C29" s="6"/>
      <c r="D29" s="7"/>
    </row>
    <row r="30" spans="2:6">
      <c r="B30" s="3"/>
      <c r="C30" s="3"/>
      <c r="D30" s="3"/>
    </row>
    <row r="32" spans="2:6">
      <c r="B32" s="15" t="s">
        <v>52</v>
      </c>
    </row>
    <row r="33" spans="2:4">
      <c r="B33" s="8"/>
      <c r="C33" s="9"/>
      <c r="D33" s="10"/>
    </row>
    <row r="34" spans="2:4" ht="18">
      <c r="B34" s="36" t="s">
        <v>55</v>
      </c>
      <c r="C34" s="3"/>
      <c r="D34" s="4"/>
    </row>
    <row r="35" spans="2:4" ht="25.5">
      <c r="B35" s="2"/>
      <c r="C35" s="31" t="s">
        <v>53</v>
      </c>
      <c r="D35" s="4"/>
    </row>
    <row r="36" spans="2:4">
      <c r="B36" s="5"/>
      <c r="C36" s="74"/>
      <c r="D36" s="7"/>
    </row>
    <row r="37" spans="2:4">
      <c r="B37" s="2"/>
      <c r="C37" s="31"/>
      <c r="D37" s="4"/>
    </row>
    <row r="38" spans="2:4" ht="18">
      <c r="B38" s="36" t="s">
        <v>88</v>
      </c>
      <c r="C38" s="31"/>
      <c r="D38" s="4"/>
    </row>
    <row r="39" spans="2:4" ht="18">
      <c r="B39" s="36"/>
      <c r="C39" s="31"/>
      <c r="D39" s="4"/>
    </row>
    <row r="40" spans="2:4" ht="18">
      <c r="B40" s="36"/>
      <c r="C40" s="31"/>
      <c r="D40" s="4"/>
    </row>
    <row r="41" spans="2:4" ht="18">
      <c r="B41" s="36"/>
      <c r="C41" s="31"/>
      <c r="D41" s="4"/>
    </row>
    <row r="42" spans="2:4" ht="18">
      <c r="B42" s="36"/>
      <c r="C42" s="31"/>
      <c r="D42" s="4"/>
    </row>
    <row r="43" spans="2:4">
      <c r="B43" s="2"/>
      <c r="C43" s="31"/>
      <c r="D43" s="4"/>
    </row>
    <row r="44" spans="2:4">
      <c r="B44" s="2"/>
      <c r="C44" s="31"/>
      <c r="D44" s="4"/>
    </row>
    <row r="45" spans="2:4">
      <c r="B45" s="2"/>
      <c r="C45" s="31"/>
      <c r="D45" s="4"/>
    </row>
    <row r="46" spans="2:4">
      <c r="B46" s="2"/>
      <c r="C46" s="31"/>
      <c r="D46" s="4"/>
    </row>
    <row r="47" spans="2:4">
      <c r="B47" s="2"/>
      <c r="C47" s="31"/>
      <c r="D47" s="4"/>
    </row>
    <row r="48" spans="2:4">
      <c r="B48" s="2"/>
      <c r="C48" s="31"/>
      <c r="D48" s="4"/>
    </row>
    <row r="49" spans="2:4">
      <c r="B49" s="2"/>
      <c r="C49" s="31"/>
      <c r="D49" s="4"/>
    </row>
    <row r="50" spans="2:4" ht="34.5">
      <c r="B50" s="172" t="s">
        <v>287</v>
      </c>
      <c r="C50" s="173" t="s">
        <v>288</v>
      </c>
      <c r="D50" s="4"/>
    </row>
    <row r="51" spans="2:4">
      <c r="B51" s="5"/>
      <c r="C51" s="42"/>
      <c r="D51" s="7"/>
    </row>
    <row r="52" spans="2:4">
      <c r="B52" s="2"/>
      <c r="C52" s="31"/>
      <c r="D52" s="4"/>
    </row>
    <row r="53" spans="2:4" ht="18">
      <c r="B53" s="36" t="s">
        <v>82</v>
      </c>
      <c r="C53" s="31"/>
      <c r="D53" s="4"/>
    </row>
    <row r="54" spans="2:4">
      <c r="B54" s="2"/>
      <c r="C54" s="75" t="s">
        <v>59</v>
      </c>
      <c r="D54" s="4"/>
    </row>
    <row r="55" spans="2:4">
      <c r="B55" s="2"/>
      <c r="C55" s="76" t="s">
        <v>60</v>
      </c>
      <c r="D55" s="4"/>
    </row>
    <row r="56" spans="2:4">
      <c r="B56" s="2"/>
      <c r="C56" s="77" t="s">
        <v>61</v>
      </c>
      <c r="D56" s="4"/>
    </row>
    <row r="57" spans="2:4">
      <c r="B57" s="2"/>
      <c r="C57" s="78" t="s">
        <v>131</v>
      </c>
      <c r="D57" s="4"/>
    </row>
    <row r="58" spans="2:4">
      <c r="B58" s="5"/>
      <c r="C58" s="42"/>
      <c r="D58" s="7"/>
    </row>
    <row r="59" spans="2:4">
      <c r="B59" s="2"/>
      <c r="C59" s="27"/>
      <c r="D59" s="4"/>
    </row>
    <row r="60" spans="2:4" ht="18">
      <c r="B60" s="36" t="s">
        <v>54</v>
      </c>
      <c r="C60" s="27"/>
      <c r="D60" s="4"/>
    </row>
    <row r="61" spans="2:4">
      <c r="B61" s="2"/>
      <c r="C61" s="27"/>
      <c r="D61" s="4"/>
    </row>
    <row r="62" spans="2:4">
      <c r="B62" s="2"/>
      <c r="C62" s="27"/>
      <c r="D62" s="4"/>
    </row>
    <row r="63" spans="2:4">
      <c r="B63" s="2"/>
      <c r="C63" s="27"/>
      <c r="D63" s="4"/>
    </row>
    <row r="64" spans="2:4">
      <c r="B64" s="2"/>
      <c r="C64" s="27"/>
      <c r="D64" s="4"/>
    </row>
    <row r="65" spans="2:4">
      <c r="B65" s="2"/>
      <c r="C65" s="27"/>
      <c r="D65" s="4"/>
    </row>
    <row r="66" spans="2:4">
      <c r="B66" s="2"/>
      <c r="C66" s="27"/>
      <c r="D66" s="4"/>
    </row>
    <row r="67" spans="2:4">
      <c r="B67" s="2"/>
      <c r="C67" s="27"/>
      <c r="D67" s="4"/>
    </row>
    <row r="68" spans="2:4">
      <c r="B68" s="2"/>
      <c r="C68" s="27"/>
      <c r="D68" s="4"/>
    </row>
    <row r="69" spans="2:4">
      <c r="B69" s="2"/>
      <c r="C69" s="27"/>
      <c r="D69" s="4"/>
    </row>
    <row r="70" spans="2:4">
      <c r="B70" s="2"/>
      <c r="C70" s="27"/>
      <c r="D70" s="4"/>
    </row>
    <row r="71" spans="2:4">
      <c r="B71" s="2"/>
      <c r="C71" s="27"/>
      <c r="D71" s="4"/>
    </row>
    <row r="72" spans="2:4">
      <c r="B72" s="2"/>
      <c r="C72" s="27"/>
      <c r="D72" s="4"/>
    </row>
    <row r="73" spans="2:4">
      <c r="B73" s="2"/>
      <c r="C73" s="27"/>
      <c r="D73" s="4"/>
    </row>
    <row r="74" spans="2:4">
      <c r="B74" s="2"/>
      <c r="C74" s="27"/>
      <c r="D74" s="4"/>
    </row>
    <row r="75" spans="2:4">
      <c r="B75" s="2"/>
      <c r="C75" s="27"/>
      <c r="D75" s="4"/>
    </row>
    <row r="76" spans="2:4">
      <c r="B76" s="2"/>
      <c r="C76" s="27"/>
      <c r="D76" s="4"/>
    </row>
    <row r="77" spans="2:4">
      <c r="B77" s="2"/>
      <c r="C77" s="27"/>
      <c r="D77" s="4"/>
    </row>
    <row r="78" spans="2:4">
      <c r="B78" s="2"/>
      <c r="C78" s="27"/>
      <c r="D78" s="4"/>
    </row>
    <row r="79" spans="2:4">
      <c r="B79" s="2"/>
      <c r="C79" s="27"/>
      <c r="D79" s="4"/>
    </row>
    <row r="80" spans="2:4">
      <c r="B80" s="2"/>
      <c r="C80" s="27"/>
      <c r="D80" s="4"/>
    </row>
    <row r="81" spans="2:4">
      <c r="B81" s="2"/>
      <c r="C81" s="27"/>
      <c r="D81" s="4"/>
    </row>
    <row r="82" spans="2:4">
      <c r="B82" s="2"/>
      <c r="C82" s="27"/>
      <c r="D82" s="4"/>
    </row>
    <row r="83" spans="2:4">
      <c r="B83" s="2"/>
      <c r="C83" s="27"/>
      <c r="D83" s="4"/>
    </row>
    <row r="84" spans="2:4">
      <c r="B84" s="2"/>
      <c r="C84" s="27"/>
      <c r="D84" s="4"/>
    </row>
    <row r="85" spans="2:4">
      <c r="B85" s="2"/>
      <c r="C85" s="27"/>
      <c r="D85" s="4"/>
    </row>
    <row r="86" spans="2:4">
      <c r="B86" s="2"/>
      <c r="C86" s="27"/>
      <c r="D86" s="4"/>
    </row>
    <row r="87" spans="2:4">
      <c r="B87" s="2"/>
      <c r="C87" s="27"/>
      <c r="D87" s="4"/>
    </row>
    <row r="88" spans="2:4">
      <c r="B88" s="2"/>
      <c r="C88" s="27"/>
      <c r="D88" s="4"/>
    </row>
    <row r="89" spans="2:4">
      <c r="B89" s="2"/>
      <c r="C89" s="27"/>
      <c r="D89" s="4"/>
    </row>
    <row r="90" spans="2:4">
      <c r="B90" s="2"/>
      <c r="C90" s="27"/>
      <c r="D90" s="4"/>
    </row>
    <row r="91" spans="2:4">
      <c r="B91" s="2"/>
      <c r="C91" s="27"/>
      <c r="D91" s="4"/>
    </row>
    <row r="92" spans="2:4">
      <c r="B92" s="2"/>
      <c r="C92" s="27"/>
      <c r="D92" s="4"/>
    </row>
    <row r="93" spans="2:4">
      <c r="B93" s="2"/>
      <c r="C93" s="27"/>
      <c r="D93" s="4"/>
    </row>
    <row r="94" spans="2:4">
      <c r="B94" s="2"/>
      <c r="C94" s="27"/>
      <c r="D94" s="4"/>
    </row>
    <row r="95" spans="2:4">
      <c r="B95" s="2"/>
      <c r="C95" s="27"/>
      <c r="D95" s="4"/>
    </row>
    <row r="96" spans="2:4">
      <c r="B96" s="2"/>
      <c r="C96" s="27"/>
      <c r="D96" s="4"/>
    </row>
    <row r="97" spans="2:4">
      <c r="B97" s="2"/>
      <c r="C97" s="27"/>
      <c r="D97" s="4"/>
    </row>
    <row r="98" spans="2:4">
      <c r="B98" s="2"/>
      <c r="C98" s="27"/>
      <c r="D98" s="4"/>
    </row>
    <row r="99" spans="2:4">
      <c r="B99" s="2"/>
      <c r="C99" s="27"/>
      <c r="D99" s="4"/>
    </row>
    <row r="100" spans="2:4">
      <c r="B100" s="2"/>
      <c r="C100" s="27"/>
      <c r="D100" s="4"/>
    </row>
    <row r="101" spans="2:4">
      <c r="B101" s="2"/>
      <c r="C101" s="27"/>
      <c r="D101" s="4"/>
    </row>
    <row r="102" spans="2:4">
      <c r="B102" s="2"/>
      <c r="C102" s="27"/>
      <c r="D102" s="4"/>
    </row>
    <row r="103" spans="2:4">
      <c r="B103" s="2"/>
      <c r="C103" s="27"/>
      <c r="D103" s="4"/>
    </row>
    <row r="104" spans="2:4">
      <c r="B104" s="2"/>
      <c r="C104" s="27"/>
      <c r="D104" s="4"/>
    </row>
    <row r="105" spans="2:4">
      <c r="B105" s="2"/>
      <c r="C105" s="27"/>
      <c r="D105" s="4"/>
    </row>
    <row r="106" spans="2:4">
      <c r="B106" s="2"/>
      <c r="C106" s="27"/>
      <c r="D106" s="4"/>
    </row>
    <row r="107" spans="2:4">
      <c r="B107" s="2"/>
      <c r="C107" s="27"/>
      <c r="D107" s="4"/>
    </row>
    <row r="108" spans="2:4">
      <c r="B108" s="5"/>
      <c r="C108" s="42"/>
      <c r="D108" s="7"/>
    </row>
    <row r="111" spans="2:4" ht="25.5">
      <c r="B111" s="15" t="s">
        <v>56</v>
      </c>
    </row>
    <row r="112" spans="2:4">
      <c r="B112" s="8"/>
      <c r="C112" s="9"/>
      <c r="D112" s="10"/>
    </row>
    <row r="113" spans="2:4">
      <c r="B113" s="2"/>
      <c r="C113" s="3"/>
      <c r="D113" s="4"/>
    </row>
    <row r="114" spans="2:4">
      <c r="B114" s="2"/>
      <c r="C114" s="3"/>
      <c r="D114" s="4"/>
    </row>
    <row r="115" spans="2:4">
      <c r="B115" s="2"/>
      <c r="C115" s="43" t="s">
        <v>85</v>
      </c>
      <c r="D115" s="4"/>
    </row>
    <row r="116" spans="2:4">
      <c r="B116" s="2"/>
      <c r="C116" s="3"/>
      <c r="D116" s="4"/>
    </row>
    <row r="117" spans="2:4" ht="12.75" customHeight="1">
      <c r="B117" s="2"/>
      <c r="C117" s="43" t="s">
        <v>80</v>
      </c>
      <c r="D117" s="4"/>
    </row>
    <row r="118" spans="2:4" ht="12.75" customHeight="1">
      <c r="B118" s="2"/>
      <c r="C118" s="3"/>
      <c r="D118" s="4"/>
    </row>
    <row r="119" spans="2:4" ht="12.75" customHeight="1">
      <c r="B119" s="2"/>
      <c r="C119" s="3"/>
      <c r="D119" s="4"/>
    </row>
    <row r="120" spans="2:4">
      <c r="B120" s="5"/>
      <c r="C120" s="6"/>
      <c r="D120" s="7"/>
    </row>
    <row r="122" spans="2:4">
      <c r="B122" s="15" t="s">
        <v>109</v>
      </c>
    </row>
    <row r="123" spans="2:4" ht="38.25">
      <c r="B123" s="8"/>
      <c r="C123" s="93" t="s">
        <v>111</v>
      </c>
      <c r="D123" s="10"/>
    </row>
    <row r="124" spans="2:4">
      <c r="B124" s="141" t="s">
        <v>186</v>
      </c>
      <c r="C124" s="1" t="s">
        <v>110</v>
      </c>
      <c r="D124" s="4"/>
    </row>
    <row r="125" spans="2:4">
      <c r="B125" s="141" t="s">
        <v>186</v>
      </c>
      <c r="C125" s="31" t="s">
        <v>114</v>
      </c>
      <c r="D125" s="4"/>
    </row>
    <row r="126" spans="2:4">
      <c r="B126" s="141" t="s">
        <v>186</v>
      </c>
      <c r="C126" s="27" t="s">
        <v>115</v>
      </c>
      <c r="D126" s="4"/>
    </row>
    <row r="127" spans="2:4">
      <c r="B127" s="141" t="s">
        <v>186</v>
      </c>
      <c r="C127" s="27" t="s">
        <v>116</v>
      </c>
      <c r="D127" s="4"/>
    </row>
    <row r="128" spans="2:4">
      <c r="B128" s="141" t="s">
        <v>186</v>
      </c>
      <c r="C128" s="27" t="s">
        <v>117</v>
      </c>
      <c r="D128" s="4"/>
    </row>
    <row r="129" spans="2:4">
      <c r="B129" s="141" t="s">
        <v>186</v>
      </c>
      <c r="C129" s="27" t="s">
        <v>121</v>
      </c>
      <c r="D129" s="4"/>
    </row>
    <row r="130" spans="2:4">
      <c r="B130" s="141" t="s">
        <v>186</v>
      </c>
      <c r="C130" s="27" t="s">
        <v>122</v>
      </c>
      <c r="D130" s="4"/>
    </row>
    <row r="131" spans="2:4">
      <c r="B131" s="141" t="s">
        <v>186</v>
      </c>
      <c r="C131" s="31" t="s">
        <v>124</v>
      </c>
      <c r="D131" s="4"/>
    </row>
    <row r="132" spans="2:4">
      <c r="B132" s="141" t="s">
        <v>186</v>
      </c>
      <c r="C132" s="31" t="s">
        <v>125</v>
      </c>
      <c r="D132" s="4"/>
    </row>
    <row r="133" spans="2:4">
      <c r="B133" s="141" t="s">
        <v>186</v>
      </c>
      <c r="C133" s="1" t="s">
        <v>123</v>
      </c>
      <c r="D133" s="4"/>
    </row>
    <row r="134" spans="2:4">
      <c r="B134" s="141" t="s">
        <v>186</v>
      </c>
      <c r="C134" s="27" t="s">
        <v>118</v>
      </c>
      <c r="D134" s="4"/>
    </row>
    <row r="135" spans="2:4">
      <c r="B135" s="141" t="s">
        <v>186</v>
      </c>
      <c r="C135" s="27" t="s">
        <v>113</v>
      </c>
      <c r="D135" s="4"/>
    </row>
    <row r="136" spans="2:4">
      <c r="B136" s="141" t="s">
        <v>186</v>
      </c>
      <c r="C136" s="31" t="s">
        <v>119</v>
      </c>
      <c r="D136" s="4"/>
    </row>
    <row r="137" spans="2:4">
      <c r="B137" s="141" t="s">
        <v>186</v>
      </c>
      <c r="C137" s="31" t="s">
        <v>127</v>
      </c>
      <c r="D137" s="4"/>
    </row>
    <row r="138" spans="2:4">
      <c r="B138" s="141" t="s">
        <v>186</v>
      </c>
      <c r="C138" s="31" t="s">
        <v>112</v>
      </c>
      <c r="D138" s="4"/>
    </row>
    <row r="139" spans="2:4">
      <c r="B139" s="141" t="s">
        <v>186</v>
      </c>
      <c r="C139" s="31" t="s">
        <v>126</v>
      </c>
      <c r="D139" s="4"/>
    </row>
    <row r="140" spans="2:4">
      <c r="B140" s="142" t="s">
        <v>186</v>
      </c>
      <c r="C140" s="6" t="s">
        <v>120</v>
      </c>
      <c r="D140" s="7"/>
    </row>
  </sheetData>
  <mergeCells count="9">
    <mergeCell ref="B19:B23"/>
    <mergeCell ref="B25:B27"/>
    <mergeCell ref="A1:D1"/>
    <mergeCell ref="B17:D17"/>
    <mergeCell ref="B3:D3"/>
    <mergeCell ref="B12:D12"/>
    <mergeCell ref="C14:D14"/>
    <mergeCell ref="C15:D15"/>
    <mergeCell ref="C13:D13"/>
  </mergeCells>
  <phoneticPr fontId="30" type="noConversion"/>
  <pageMargins left="0.75" right="0.75" top="1" bottom="1" header="0.4921259845" footer="0.492125984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4659" r:id="rId4" name="Button 83">
              <controlPr defaultSize="0" print="0" autoFill="0" autoPict="0" macro="[0]!Feuil3.ComputeSynthesis_Click">
                <anchor moveWithCells="1" sizeWithCells="1">
                  <from>
                    <xdr:col>2</xdr:col>
                    <xdr:colOff>4638675</xdr:colOff>
                    <xdr:row>115</xdr:row>
                    <xdr:rowOff>104775</xdr:rowOff>
                  </from>
                  <to>
                    <xdr:col>2</xdr:col>
                    <xdr:colOff>6524625</xdr:colOff>
                    <xdr:row>117</xdr:row>
                    <xdr:rowOff>47625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tabColor indexed="41"/>
    <outlinePr summaryBelow="0" summaryRight="0"/>
    <pageSetUpPr fitToPage="1"/>
  </sheetPr>
  <dimension ref="A4:AZ48"/>
  <sheetViews>
    <sheetView zoomScale="85" workbookViewId="0">
      <pane ySplit="3" topLeftCell="A4" activePane="bottomLeft" state="frozen"/>
      <selection pane="bottomLeft" activeCell="G24" sqref="G24:G27"/>
    </sheetView>
  </sheetViews>
  <sheetFormatPr defaultColWidth="9.140625" defaultRowHeight="12.75" outlineLevelCol="1"/>
  <cols>
    <col min="1" max="1" width="9.140625" style="16" collapsed="1"/>
    <col min="2" max="2" width="9.140625" style="16" hidden="1" customWidth="1" outlineLevel="1"/>
    <col min="3" max="3" width="24" style="16" bestFit="1" customWidth="1"/>
    <col min="4" max="4" width="14.85546875" style="16" customWidth="1"/>
    <col min="5" max="5" width="10.140625" style="16" customWidth="1"/>
    <col min="6" max="6" width="11.42578125" style="16" customWidth="1"/>
    <col min="7" max="7" width="9.140625" style="16" customWidth="1"/>
    <col min="8" max="8" width="10.5703125" style="16" customWidth="1"/>
    <col min="9" max="9" width="12.85546875" style="16" customWidth="1"/>
    <col min="10" max="10" width="13.5703125" style="16" customWidth="1"/>
    <col min="11" max="11" width="9.140625" style="16" customWidth="1"/>
    <col min="12" max="12" width="12.140625" style="16" customWidth="1"/>
    <col min="13" max="13" width="12.28515625" style="16" customWidth="1"/>
    <col min="14" max="14" width="10.5703125" style="16" customWidth="1"/>
    <col min="15" max="15" width="9.28515625" style="16" customWidth="1"/>
    <col min="16" max="16" width="10.140625" style="16" customWidth="1"/>
    <col min="17" max="18" width="10" style="16" bestFit="1" customWidth="1"/>
    <col min="19" max="19" width="11.140625" style="16" customWidth="1"/>
    <col min="20" max="16384" width="9.140625" style="16"/>
  </cols>
  <sheetData>
    <row r="4" spans="3:17">
      <c r="C4" s="38"/>
      <c r="D4" s="38"/>
      <c r="E4" s="38"/>
      <c r="F4" s="38"/>
      <c r="G4" s="38"/>
      <c r="H4" s="38"/>
      <c r="I4" s="38"/>
      <c r="J4" s="38"/>
      <c r="K4" s="38"/>
      <c r="L4" s="38"/>
      <c r="M4" s="38"/>
      <c r="N4" s="38"/>
      <c r="O4" s="38"/>
      <c r="P4" s="38"/>
      <c r="Q4" s="38"/>
    </row>
    <row r="5" spans="3:17">
      <c r="C5" s="38"/>
      <c r="D5" s="38"/>
      <c r="E5" s="38"/>
      <c r="F5" s="38"/>
      <c r="G5" s="38"/>
      <c r="H5" s="37"/>
      <c r="I5" s="38"/>
      <c r="J5" s="38"/>
      <c r="K5" s="38"/>
      <c r="L5" s="38"/>
      <c r="M5" s="38"/>
      <c r="N5" s="38"/>
      <c r="O5" s="38"/>
      <c r="P5" s="38"/>
      <c r="Q5" s="38"/>
    </row>
    <row r="6" spans="3:17">
      <c r="C6" s="38"/>
      <c r="D6" s="38"/>
      <c r="E6" s="38"/>
      <c r="F6" s="38"/>
      <c r="G6" s="38"/>
      <c r="H6" s="37"/>
      <c r="I6" s="38"/>
      <c r="J6" s="38"/>
      <c r="K6" s="38"/>
      <c r="L6" s="38"/>
      <c r="M6" s="38"/>
      <c r="N6" s="38"/>
      <c r="O6" s="38"/>
      <c r="P6" s="38"/>
      <c r="Q6" s="38"/>
    </row>
    <row r="7" spans="3:17">
      <c r="C7" s="38"/>
      <c r="D7" s="38"/>
      <c r="E7" s="38"/>
      <c r="F7" s="38"/>
      <c r="G7" s="38"/>
      <c r="H7" s="37"/>
      <c r="I7" s="38"/>
      <c r="J7" s="38"/>
      <c r="K7" s="38"/>
      <c r="L7" s="38"/>
      <c r="M7" s="38"/>
      <c r="N7" s="38"/>
      <c r="O7" s="38"/>
      <c r="P7" s="38"/>
      <c r="Q7" s="38"/>
    </row>
    <row r="8" spans="3:17">
      <c r="C8" s="38"/>
      <c r="D8" s="38"/>
      <c r="E8" s="38"/>
      <c r="F8" s="38"/>
      <c r="G8" s="38"/>
      <c r="H8" s="37"/>
      <c r="I8" s="38"/>
      <c r="J8" s="38"/>
      <c r="K8" s="38"/>
      <c r="L8" s="38"/>
      <c r="M8" s="38"/>
      <c r="N8" s="38"/>
      <c r="O8" s="38"/>
      <c r="P8" s="38"/>
      <c r="Q8" s="38"/>
    </row>
    <row r="9" spans="3:17">
      <c r="C9" s="38"/>
      <c r="D9" s="38"/>
      <c r="E9" s="38"/>
      <c r="F9" s="38"/>
      <c r="G9" s="38"/>
      <c r="H9" s="37"/>
      <c r="I9" s="38"/>
      <c r="J9" s="38"/>
      <c r="K9" s="38"/>
      <c r="L9" s="38"/>
      <c r="M9" s="38"/>
      <c r="N9" s="38"/>
      <c r="O9" s="38"/>
      <c r="P9" s="38"/>
      <c r="Q9" s="38"/>
    </row>
    <row r="10" spans="3:17">
      <c r="C10" s="38"/>
      <c r="D10" s="38"/>
      <c r="E10" s="38"/>
      <c r="F10" s="38"/>
      <c r="G10" s="38"/>
      <c r="H10" s="37"/>
      <c r="I10" s="38"/>
      <c r="J10" s="38"/>
      <c r="K10" s="38"/>
      <c r="L10" s="38"/>
      <c r="M10" s="38"/>
      <c r="N10" s="38"/>
      <c r="O10" s="38"/>
      <c r="P10" s="38"/>
      <c r="Q10" s="38"/>
    </row>
    <row r="11" spans="3:17">
      <c r="C11" s="38"/>
      <c r="D11" s="38"/>
      <c r="E11" s="38"/>
      <c r="F11" s="38"/>
      <c r="G11" s="38"/>
      <c r="H11" s="37"/>
      <c r="I11" s="38"/>
      <c r="J11" s="38"/>
      <c r="K11" s="38"/>
      <c r="L11" s="38"/>
      <c r="M11" s="38"/>
      <c r="N11" s="38"/>
      <c r="O11" s="38"/>
      <c r="P11" s="38"/>
      <c r="Q11" s="38"/>
    </row>
    <row r="12" spans="3:17">
      <c r="C12" s="38"/>
      <c r="D12" s="38"/>
      <c r="E12" s="38"/>
      <c r="F12" s="38"/>
      <c r="G12" s="38"/>
      <c r="H12" s="37"/>
      <c r="I12" s="38"/>
      <c r="J12" s="38"/>
      <c r="K12" s="38"/>
      <c r="L12" s="38"/>
      <c r="M12" s="38"/>
      <c r="N12" s="38"/>
      <c r="O12" s="38"/>
      <c r="P12" s="38"/>
      <c r="Q12" s="38"/>
    </row>
    <row r="13" spans="3:17">
      <c r="C13" s="38"/>
      <c r="D13" s="38"/>
      <c r="E13" s="38"/>
      <c r="F13" s="38"/>
      <c r="G13" s="38"/>
      <c r="H13" s="37"/>
      <c r="I13" s="38"/>
      <c r="J13" s="38"/>
      <c r="K13" s="38"/>
      <c r="L13" s="38"/>
      <c r="M13" s="38"/>
      <c r="N13" s="38"/>
      <c r="O13" s="38"/>
      <c r="P13" s="38"/>
      <c r="Q13" s="38"/>
    </row>
    <row r="14" spans="3:17">
      <c r="C14" s="38"/>
      <c r="D14" s="38"/>
      <c r="E14" s="38"/>
      <c r="F14" s="38"/>
      <c r="G14" s="38"/>
      <c r="H14" s="37"/>
      <c r="I14" s="38"/>
      <c r="J14" s="38"/>
      <c r="K14" s="38"/>
      <c r="L14" s="38"/>
      <c r="M14" s="38"/>
      <c r="N14" s="38"/>
      <c r="O14" s="38"/>
      <c r="P14" s="38"/>
      <c r="Q14" s="38"/>
    </row>
    <row r="15" spans="3:17">
      <c r="C15" s="38"/>
      <c r="D15" s="38"/>
      <c r="E15" s="38"/>
      <c r="F15" s="38"/>
      <c r="G15" s="38"/>
      <c r="H15" s="37"/>
      <c r="I15" s="38"/>
      <c r="J15" s="38"/>
      <c r="K15" s="38"/>
      <c r="L15" s="38"/>
      <c r="M15" s="38"/>
      <c r="N15" s="38"/>
      <c r="O15" s="38"/>
      <c r="P15" s="38"/>
      <c r="Q15" s="38"/>
    </row>
    <row r="16" spans="3:17">
      <c r="C16" s="38"/>
      <c r="D16" s="38"/>
      <c r="E16" s="38"/>
      <c r="F16" s="38"/>
      <c r="G16" s="38"/>
      <c r="H16" s="37"/>
      <c r="I16" s="38"/>
      <c r="J16" s="38"/>
      <c r="K16" s="38"/>
      <c r="L16" s="38"/>
      <c r="M16" s="38"/>
      <c r="N16" s="38"/>
      <c r="O16" s="38"/>
      <c r="P16" s="38"/>
      <c r="Q16" s="38"/>
    </row>
    <row r="17" spans="2:52">
      <c r="C17" s="38"/>
      <c r="H17" s="37"/>
    </row>
    <row r="18" spans="2:52">
      <c r="C18" s="38"/>
      <c r="H18" s="37"/>
    </row>
    <row r="19" spans="2:52">
      <c r="C19" s="38"/>
      <c r="H19" s="37"/>
    </row>
    <row r="20" spans="2:52">
      <c r="C20" s="38"/>
      <c r="H20" s="37"/>
    </row>
    <row r="21" spans="2:52">
      <c r="C21" s="38"/>
      <c r="H21" s="37"/>
    </row>
    <row r="22" spans="2:52">
      <c r="C22" s="38"/>
      <c r="H22" s="37"/>
    </row>
    <row r="23" spans="2:52">
      <c r="H23" s="37"/>
    </row>
    <row r="24" spans="2:52" s="82" customFormat="1" ht="76.5">
      <c r="B24" s="83" t="s">
        <v>89</v>
      </c>
      <c r="C24" s="176" t="s">
        <v>51</v>
      </c>
      <c r="D24" s="177" t="s">
        <v>68</v>
      </c>
      <c r="E24" s="83" t="s">
        <v>250</v>
      </c>
      <c r="F24" s="83" t="s">
        <v>251</v>
      </c>
      <c r="G24" s="83" t="s">
        <v>253</v>
      </c>
      <c r="H24" s="16"/>
      <c r="I24" s="16"/>
      <c r="J24" s="16"/>
      <c r="K24" s="16"/>
      <c r="L24" s="16"/>
      <c r="M24" s="16"/>
      <c r="N24" s="16"/>
      <c r="O24" s="16"/>
      <c r="P24" s="16"/>
      <c r="Q24" s="16"/>
      <c r="R24" s="16"/>
      <c r="S24" s="16"/>
      <c r="T24" s="16"/>
      <c r="U24" s="16"/>
      <c r="V24" s="16"/>
      <c r="W24" s="16"/>
      <c r="X24" s="16"/>
      <c r="Y24" s="16"/>
      <c r="Z24" s="16"/>
      <c r="AA24" s="16"/>
      <c r="AB24" s="16"/>
      <c r="AC24" s="16"/>
      <c r="AD24" s="16"/>
      <c r="AE24" s="16"/>
      <c r="AF24" s="16"/>
      <c r="AG24" s="16"/>
      <c r="AH24" s="16"/>
      <c r="AI24" s="16"/>
      <c r="AJ24" s="16"/>
      <c r="AK24" s="16"/>
      <c r="AL24" s="16"/>
      <c r="AM24" s="16"/>
      <c r="AN24" s="16"/>
      <c r="AO24" s="16"/>
      <c r="AP24" s="16"/>
      <c r="AQ24" s="16"/>
      <c r="AR24" s="16"/>
      <c r="AS24" s="16"/>
      <c r="AT24" s="16"/>
      <c r="AU24" s="16"/>
      <c r="AV24" s="16"/>
      <c r="AW24" s="16"/>
      <c r="AX24" s="16"/>
      <c r="AY24" s="16"/>
      <c r="AZ24" s="16"/>
    </row>
    <row r="25" spans="2:52" ht="15">
      <c r="B25" s="85"/>
      <c r="C25" s="39" t="s">
        <v>76</v>
      </c>
      <c r="D25" s="179">
        <f>SUM(E25:AA25)</f>
        <v>19</v>
      </c>
      <c r="E25" s="85">
        <v>0</v>
      </c>
      <c r="F25" s="85">
        <v>19</v>
      </c>
      <c r="G25" s="85">
        <v>0</v>
      </c>
    </row>
    <row r="26" spans="2:52" ht="15">
      <c r="B26" s="86"/>
      <c r="C26" s="40" t="s">
        <v>77</v>
      </c>
      <c r="D26" s="179">
        <f>SUM(E26:AA26)</f>
        <v>1</v>
      </c>
      <c r="E26" s="86">
        <v>0</v>
      </c>
      <c r="F26" s="86">
        <v>1</v>
      </c>
      <c r="G26" s="86">
        <v>0</v>
      </c>
    </row>
    <row r="27" spans="2:52" ht="15">
      <c r="B27" s="84">
        <f>B25+B26</f>
        <v>0</v>
      </c>
      <c r="C27" s="44" t="s">
        <v>22</v>
      </c>
      <c r="D27" s="84">
        <f t="shared" ref="D27" si="0">D25+D26</f>
        <v>20</v>
      </c>
      <c r="E27" s="84">
        <f>E25+E26</f>
        <v>0</v>
      </c>
      <c r="F27" s="84">
        <f>F25+F26</f>
        <v>20</v>
      </c>
      <c r="G27" s="84">
        <f>G25+G26</f>
        <v>0</v>
      </c>
    </row>
    <row r="28" spans="2:52">
      <c r="D28" s="17"/>
      <c r="H28" s="37"/>
    </row>
    <row r="29" spans="2:52">
      <c r="D29" s="17"/>
      <c r="H29" s="37"/>
    </row>
    <row r="30" spans="2:52">
      <c r="D30" s="17"/>
      <c r="H30" s="37"/>
    </row>
    <row r="31" spans="2:52" s="82" customFormat="1" ht="60" customHeight="1">
      <c r="B31" s="83" t="s">
        <v>90</v>
      </c>
      <c r="C31" s="176" t="s">
        <v>47</v>
      </c>
      <c r="D31" s="177" t="s">
        <v>68</v>
      </c>
      <c r="E31" s="83" t="s">
        <v>12</v>
      </c>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c r="AL31" s="16"/>
      <c r="AM31" s="16"/>
      <c r="AN31" s="16"/>
      <c r="AO31" s="16"/>
      <c r="AP31" s="16"/>
      <c r="AQ31" s="16"/>
      <c r="AR31" s="16"/>
      <c r="AS31" s="16"/>
      <c r="AT31" s="16"/>
      <c r="AU31" s="16"/>
      <c r="AV31" s="16"/>
      <c r="AW31" s="16"/>
      <c r="AX31" s="16"/>
      <c r="AY31" s="16"/>
      <c r="AZ31" s="16"/>
    </row>
    <row r="32" spans="2:52" s="37" customFormat="1" ht="15">
      <c r="B32" s="85"/>
      <c r="C32" s="40" t="s">
        <v>19</v>
      </c>
      <c r="D32" s="179">
        <f>SUM(E32:AA32)</f>
        <v>14</v>
      </c>
      <c r="E32" s="85">
        <v>14</v>
      </c>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c r="AL32" s="16"/>
      <c r="AM32" s="16"/>
      <c r="AN32" s="16"/>
      <c r="AO32" s="16"/>
      <c r="AP32" s="16"/>
      <c r="AQ32" s="16"/>
      <c r="AR32" s="16"/>
      <c r="AS32" s="16"/>
      <c r="AT32" s="16"/>
      <c r="AU32" s="16"/>
      <c r="AV32" s="16"/>
      <c r="AW32" s="16"/>
      <c r="AX32" s="16"/>
      <c r="AY32" s="16"/>
      <c r="AZ32" s="16"/>
    </row>
    <row r="33" spans="2:52" s="37" customFormat="1" ht="15">
      <c r="B33" s="86"/>
      <c r="C33" s="40" t="s">
        <v>44</v>
      </c>
      <c r="D33" s="179">
        <f>SUM(E33:AA33)</f>
        <v>0</v>
      </c>
      <c r="E33" s="86">
        <v>0</v>
      </c>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c r="AL33" s="16"/>
      <c r="AM33" s="16"/>
      <c r="AN33" s="16"/>
      <c r="AO33" s="16"/>
      <c r="AP33" s="16"/>
      <c r="AQ33" s="16"/>
      <c r="AR33" s="16"/>
      <c r="AS33" s="16"/>
      <c r="AT33" s="16"/>
      <c r="AU33" s="16"/>
      <c r="AV33" s="16"/>
      <c r="AW33" s="16"/>
      <c r="AX33" s="16"/>
      <c r="AY33" s="16"/>
      <c r="AZ33" s="16"/>
    </row>
    <row r="34" spans="2:52" s="37" customFormat="1" ht="15">
      <c r="B34" s="86"/>
      <c r="C34" s="40" t="s">
        <v>20</v>
      </c>
      <c r="D34" s="179">
        <f>SUM(E34:AA34)</f>
        <v>0</v>
      </c>
      <c r="E34" s="86">
        <v>0</v>
      </c>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c r="AL34" s="16"/>
      <c r="AM34" s="16"/>
      <c r="AN34" s="16"/>
      <c r="AO34" s="16"/>
      <c r="AP34" s="16"/>
      <c r="AQ34" s="16"/>
      <c r="AR34" s="16"/>
      <c r="AS34" s="16"/>
      <c r="AT34" s="16"/>
      <c r="AU34" s="16"/>
      <c r="AV34" s="16"/>
      <c r="AW34" s="16"/>
      <c r="AX34" s="16"/>
      <c r="AY34" s="16"/>
      <c r="AZ34" s="16"/>
    </row>
    <row r="35" spans="2:52" s="37" customFormat="1" ht="15">
      <c r="B35" s="86"/>
      <c r="C35" s="40" t="s">
        <v>21</v>
      </c>
      <c r="D35" s="179">
        <f>SUM(E35:AA35)</f>
        <v>0</v>
      </c>
      <c r="E35" s="86">
        <v>0</v>
      </c>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c r="AL35" s="16"/>
      <c r="AM35" s="16"/>
      <c r="AN35" s="16"/>
      <c r="AO35" s="16"/>
      <c r="AP35" s="16"/>
      <c r="AQ35" s="16"/>
      <c r="AR35" s="16"/>
      <c r="AS35" s="16"/>
      <c r="AT35" s="16"/>
      <c r="AU35" s="16"/>
      <c r="AV35" s="16"/>
      <c r="AW35" s="16"/>
      <c r="AX35" s="16"/>
      <c r="AY35" s="16"/>
      <c r="AZ35" s="16"/>
    </row>
    <row r="36" spans="2:52" s="37" customFormat="1" ht="15">
      <c r="B36" s="86"/>
      <c r="C36" s="40" t="s">
        <v>78</v>
      </c>
      <c r="D36" s="179">
        <f>SUM(E36:AA36)</f>
        <v>8</v>
      </c>
      <c r="E36" s="86">
        <v>8</v>
      </c>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c r="AL36" s="16"/>
      <c r="AM36" s="16"/>
      <c r="AN36" s="16"/>
      <c r="AO36" s="16"/>
      <c r="AP36" s="16"/>
      <c r="AQ36" s="16"/>
      <c r="AR36" s="16"/>
      <c r="AS36" s="16"/>
      <c r="AT36" s="16"/>
      <c r="AU36" s="16"/>
      <c r="AV36" s="16"/>
      <c r="AW36" s="16"/>
      <c r="AX36" s="16"/>
      <c r="AY36" s="16"/>
      <c r="AZ36" s="16"/>
    </row>
    <row r="37" spans="2:52" ht="15">
      <c r="B37" s="87">
        <f>SUM(B32:B36)</f>
        <v>0</v>
      </c>
      <c r="C37" s="44" t="s">
        <v>22</v>
      </c>
      <c r="D37" s="180">
        <f>SUM(D32:D36)</f>
        <v>22</v>
      </c>
      <c r="E37" s="87">
        <f>SUM(E32:E36)</f>
        <v>22</v>
      </c>
    </row>
    <row r="38" spans="2:52">
      <c r="D38" s="17"/>
      <c r="H38" s="37"/>
    </row>
    <row r="39" spans="2:52">
      <c r="D39" s="17"/>
      <c r="H39" s="37"/>
    </row>
    <row r="40" spans="2:52" s="82" customFormat="1" ht="63.75">
      <c r="B40" s="83" t="s">
        <v>90</v>
      </c>
      <c r="C40" s="176" t="s">
        <v>67</v>
      </c>
      <c r="D40" s="177" t="s">
        <v>68</v>
      </c>
      <c r="E40" s="83" t="s">
        <v>12</v>
      </c>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c r="AZ40" s="16"/>
    </row>
    <row r="41" spans="2:52" ht="15">
      <c r="B41" s="86"/>
      <c r="C41" s="40" t="s">
        <v>75</v>
      </c>
      <c r="D41" s="179">
        <f>SUM(E41:AA41)</f>
        <v>8</v>
      </c>
      <c r="E41" s="86">
        <v>8</v>
      </c>
    </row>
    <row r="42" spans="2:52" ht="15">
      <c r="B42" s="86"/>
      <c r="C42" s="40" t="s">
        <v>74</v>
      </c>
      <c r="D42" s="179">
        <f>SUM(E42:AA42)</f>
        <v>0</v>
      </c>
      <c r="E42" s="86">
        <v>0</v>
      </c>
    </row>
    <row r="43" spans="2:52" s="17" customFormat="1" ht="15">
      <c r="B43" s="86"/>
      <c r="C43" s="40" t="s">
        <v>101</v>
      </c>
      <c r="D43" s="179">
        <f>SUM(E43:AA43)</f>
        <v>14</v>
      </c>
      <c r="E43" s="86">
        <v>14</v>
      </c>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c r="AL43" s="16"/>
      <c r="AM43" s="16"/>
      <c r="AN43" s="16"/>
      <c r="AO43" s="16"/>
      <c r="AP43" s="16"/>
      <c r="AQ43" s="16"/>
      <c r="AR43" s="16"/>
      <c r="AS43" s="16"/>
      <c r="AT43" s="16"/>
      <c r="AU43" s="16"/>
      <c r="AV43" s="16"/>
      <c r="AW43" s="16"/>
      <c r="AX43" s="16"/>
      <c r="AY43" s="16"/>
      <c r="AZ43" s="16"/>
    </row>
    <row r="44" spans="2:52" ht="15">
      <c r="B44" s="87">
        <f>SUM(B41:B43)</f>
        <v>0</v>
      </c>
      <c r="C44" s="44" t="s">
        <v>22</v>
      </c>
      <c r="D44" s="180">
        <f>SUM(D41:D43)</f>
        <v>22</v>
      </c>
      <c r="E44" s="87">
        <f>SUM(E41:E43)</f>
        <v>22</v>
      </c>
    </row>
    <row r="45" spans="2:52">
      <c r="D45" s="17"/>
    </row>
    <row r="46" spans="2:52">
      <c r="D46" s="17"/>
    </row>
    <row r="47" spans="2:52" ht="25.5">
      <c r="C47" s="178" t="s">
        <v>59</v>
      </c>
      <c r="D47" s="178" t="s">
        <v>92</v>
      </c>
      <c r="E47" s="30" t="s">
        <v>91</v>
      </c>
    </row>
    <row r="48" spans="2:52">
      <c r="C48" s="88" t="s">
        <v>93</v>
      </c>
      <c r="D48" s="181" t="s">
        <v>94</v>
      </c>
      <c r="E48" s="88" t="s">
        <v>95</v>
      </c>
    </row>
  </sheetData>
  <phoneticPr fontId="30" type="noConversion"/>
  <pageMargins left="0.75" right="0.75" top="1" bottom="1" header="0.4921259845" footer="0.4921259845"/>
  <pageSetup paperSize="9" scale="58" fitToHeight="0" orientation="portrait" r:id="rId1"/>
  <headerFooter alignWithMargins="0"/>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C1165D-8683-4B05-9BA4-36808F0B7B70}">
  <sheetPr codeName="Overview">
    <tabColor theme="5"/>
    <outlinePr summaryRight="0"/>
    <pageSetUpPr fitToPage="1"/>
  </sheetPr>
  <dimension ref="A1:O11"/>
  <sheetViews>
    <sheetView showGridLines="0" zoomScaleNormal="100" workbookViewId="0">
      <selection activeCell="C13" sqref="C13"/>
    </sheetView>
  </sheetViews>
  <sheetFormatPr defaultColWidth="8.85546875" defaultRowHeight="15" outlineLevelCol="1"/>
  <cols>
    <col min="1" max="2" width="31.5703125" style="143" customWidth="1"/>
    <col min="3" max="3" width="43.28515625" style="143" customWidth="1"/>
    <col min="4" max="4" width="13.42578125" style="143" customWidth="1"/>
    <col min="5" max="5" width="18.140625" style="143" customWidth="1"/>
    <col min="6" max="14" width="15.28515625" style="143" customWidth="1" outlineLevel="1"/>
    <col min="15" max="15" width="16.7109375" style="143" customWidth="1" outlineLevel="1"/>
    <col min="16" max="16384" width="8.85546875" style="143"/>
  </cols>
  <sheetData>
    <row r="1" spans="1:15" ht="21" customHeight="1">
      <c r="A1" s="324" t="s">
        <v>191</v>
      </c>
      <c r="B1" s="325"/>
      <c r="C1" s="325"/>
      <c r="D1" s="325"/>
      <c r="E1" s="326"/>
      <c r="F1" s="327" t="s">
        <v>199</v>
      </c>
      <c r="G1" s="328"/>
      <c r="H1" s="328"/>
      <c r="I1" s="328"/>
      <c r="J1" s="328"/>
      <c r="K1" s="328"/>
      <c r="L1" s="328"/>
      <c r="M1" s="328"/>
      <c r="N1" s="328"/>
      <c r="O1" s="328"/>
    </row>
    <row r="2" spans="1:15" ht="18.75">
      <c r="A2" s="152" t="s">
        <v>194</v>
      </c>
      <c r="B2" s="152" t="s">
        <v>190</v>
      </c>
      <c r="C2" s="152" t="s">
        <v>192</v>
      </c>
      <c r="D2" s="152" t="s">
        <v>193</v>
      </c>
      <c r="E2" s="152" t="s">
        <v>195</v>
      </c>
      <c r="F2" s="153" t="s">
        <v>416</v>
      </c>
      <c r="G2" s="153" t="s">
        <v>402</v>
      </c>
      <c r="H2" s="153" t="s">
        <v>449</v>
      </c>
      <c r="I2" s="153" t="s">
        <v>450</v>
      </c>
      <c r="J2" s="153" t="s">
        <v>459</v>
      </c>
      <c r="K2" s="153" t="s">
        <v>460</v>
      </c>
      <c r="L2" s="153" t="s">
        <v>461</v>
      </c>
      <c r="M2" s="153" t="s">
        <v>196</v>
      </c>
      <c r="N2" s="153" t="s">
        <v>197</v>
      </c>
      <c r="O2" s="153" t="s">
        <v>198</v>
      </c>
    </row>
    <row r="3" spans="1:15">
      <c r="A3" s="211" t="s">
        <v>422</v>
      </c>
      <c r="B3" s="143" t="s">
        <v>106</v>
      </c>
      <c r="C3" s="211" t="s">
        <v>415</v>
      </c>
      <c r="D3" s="211" t="s">
        <v>415</v>
      </c>
      <c r="E3" s="209">
        <f t="shared" ref="E3:E10" si="0">SUM(F3:O3)</f>
        <v>60</v>
      </c>
      <c r="F3" s="143">
        <v>30</v>
      </c>
      <c r="G3" s="143">
        <v>30</v>
      </c>
    </row>
    <row r="4" spans="1:15">
      <c r="A4" s="212" t="s">
        <v>423</v>
      </c>
      <c r="B4" s="143" t="s">
        <v>106</v>
      </c>
      <c r="C4" s="211" t="s">
        <v>415</v>
      </c>
      <c r="D4" s="211" t="s">
        <v>415</v>
      </c>
      <c r="E4" s="209">
        <f t="shared" si="0"/>
        <v>120</v>
      </c>
      <c r="F4" s="143">
        <v>60</v>
      </c>
      <c r="G4" s="143">
        <v>60</v>
      </c>
      <c r="H4" s="208"/>
      <c r="I4" s="208"/>
      <c r="J4" s="208"/>
      <c r="K4" s="208"/>
      <c r="L4" s="208"/>
      <c r="M4" s="208"/>
      <c r="N4" s="208"/>
      <c r="O4" s="208"/>
    </row>
    <row r="5" spans="1:15">
      <c r="A5" s="213" t="s">
        <v>434</v>
      </c>
      <c r="B5" s="143" t="s">
        <v>106</v>
      </c>
      <c r="C5" s="213" t="s">
        <v>436</v>
      </c>
      <c r="D5" s="213" t="s">
        <v>436</v>
      </c>
      <c r="E5" s="209">
        <f t="shared" ref="E5:E6" si="1">SUM(F5:O5)</f>
        <v>20</v>
      </c>
      <c r="F5" s="143">
        <v>10</v>
      </c>
      <c r="G5" s="143">
        <v>10</v>
      </c>
    </row>
    <row r="6" spans="1:15">
      <c r="A6" s="214" t="s">
        <v>435</v>
      </c>
      <c r="B6" s="143" t="s">
        <v>106</v>
      </c>
      <c r="C6" s="213" t="s">
        <v>436</v>
      </c>
      <c r="D6" s="213" t="s">
        <v>436</v>
      </c>
      <c r="E6" s="209">
        <f t="shared" si="1"/>
        <v>40</v>
      </c>
      <c r="F6" s="143">
        <v>20</v>
      </c>
      <c r="G6" s="143">
        <v>20</v>
      </c>
      <c r="H6" s="208"/>
      <c r="I6" s="208"/>
      <c r="J6" s="208"/>
      <c r="K6" s="208"/>
      <c r="L6" s="208"/>
      <c r="M6" s="208"/>
      <c r="N6" s="208"/>
      <c r="O6" s="208"/>
    </row>
    <row r="7" spans="1:15">
      <c r="A7" s="215" t="s">
        <v>445</v>
      </c>
      <c r="B7" s="143" t="s">
        <v>106</v>
      </c>
      <c r="C7" s="215" t="s">
        <v>447</v>
      </c>
      <c r="D7" s="215" t="s">
        <v>447</v>
      </c>
      <c r="E7" s="209">
        <f t="shared" ref="E7:E8" si="2">SUM(F7:O7)</f>
        <v>10</v>
      </c>
      <c r="F7" s="143">
        <v>5</v>
      </c>
      <c r="G7" s="143">
        <v>5</v>
      </c>
    </row>
    <row r="8" spans="1:15">
      <c r="A8" s="216" t="s">
        <v>446</v>
      </c>
      <c r="B8" s="143" t="s">
        <v>106</v>
      </c>
      <c r="C8" s="215" t="s">
        <v>447</v>
      </c>
      <c r="D8" s="215" t="s">
        <v>447</v>
      </c>
      <c r="E8" s="209">
        <f t="shared" si="2"/>
        <v>30</v>
      </c>
      <c r="F8" s="143">
        <v>15</v>
      </c>
      <c r="G8" s="143">
        <v>15</v>
      </c>
      <c r="H8" s="208"/>
      <c r="I8" s="208"/>
      <c r="J8" s="208"/>
      <c r="K8" s="208"/>
      <c r="L8" s="208"/>
      <c r="M8" s="208"/>
      <c r="N8" s="208"/>
      <c r="O8" s="208"/>
    </row>
    <row r="9" spans="1:15">
      <c r="A9" s="217" t="s">
        <v>448</v>
      </c>
      <c r="B9" s="218" t="s">
        <v>106</v>
      </c>
      <c r="C9" s="219">
        <v>45132</v>
      </c>
      <c r="D9" s="219">
        <v>45132</v>
      </c>
      <c r="E9" s="209">
        <f t="shared" si="0"/>
        <v>20</v>
      </c>
      <c r="F9" s="208"/>
      <c r="G9" s="208"/>
      <c r="H9" s="208">
        <v>10</v>
      </c>
      <c r="I9" s="208">
        <v>10</v>
      </c>
      <c r="J9" s="208"/>
      <c r="K9" s="208"/>
      <c r="L9" s="208"/>
      <c r="M9" s="208"/>
      <c r="N9" s="208"/>
      <c r="O9" s="208"/>
    </row>
    <row r="10" spans="1:15">
      <c r="A10" s="227" t="s">
        <v>454</v>
      </c>
      <c r="B10" s="228" t="s">
        <v>106</v>
      </c>
      <c r="C10" s="219">
        <v>45133</v>
      </c>
      <c r="D10" s="219">
        <v>45133</v>
      </c>
      <c r="E10" s="209">
        <f t="shared" si="0"/>
        <v>30</v>
      </c>
      <c r="F10" s="208"/>
      <c r="G10" s="208"/>
      <c r="H10" s="208"/>
      <c r="I10" s="208"/>
      <c r="J10" s="208">
        <v>15</v>
      </c>
      <c r="K10" s="208">
        <v>15</v>
      </c>
      <c r="L10" s="208"/>
      <c r="M10" s="208"/>
      <c r="N10" s="208"/>
      <c r="O10" s="208"/>
    </row>
    <row r="11" spans="1:15">
      <c r="A11" s="334" t="s">
        <v>465</v>
      </c>
      <c r="B11" s="218" t="s">
        <v>106</v>
      </c>
      <c r="C11" s="219">
        <v>45138</v>
      </c>
      <c r="D11" s="219">
        <v>45138</v>
      </c>
      <c r="E11" s="229">
        <v>20</v>
      </c>
      <c r="F11" s="208"/>
      <c r="G11" s="208"/>
      <c r="H11" s="208"/>
      <c r="I11" s="208">
        <v>10</v>
      </c>
      <c r="J11" s="208"/>
      <c r="K11" s="208"/>
      <c r="L11" s="208">
        <v>10</v>
      </c>
      <c r="M11" s="208"/>
      <c r="N11" s="208"/>
      <c r="O11" s="208"/>
    </row>
  </sheetData>
  <mergeCells count="2">
    <mergeCell ref="A1:E1"/>
    <mergeCell ref="F1:O1"/>
  </mergeCells>
  <pageMargins left="0.86614173228346458" right="0.47244094488188981" top="0.98425196850393704" bottom="0.98425196850393704" header="0.47244094488188981" footer="0.51181102362204722"/>
  <pageSetup paperSize="9" orientation="portrait" horizontalDpi="4294967295" verticalDpi="4294967295" r:id="rId1"/>
  <headerFooter>
    <oddHeader>&amp;R&amp;G</oddHeader>
  </headerFooter>
  <legacyDrawing r:id="rId2"/>
  <legacyDrawingHF r:id="rId3"/>
  <tableParts count="1">
    <tablePart r:id="rId4"/>
  </tableParts>
  <extLst>
    <ext xmlns:x14="http://schemas.microsoft.com/office/spreadsheetml/2009/9/main" uri="{CCE6A557-97BC-4b89-ADB6-D9C93CAAB3DF}">
      <x14:dataValidations xmlns:xm="http://schemas.microsoft.com/office/excel/2006/main" count="1">
        <x14:dataValidation type="list" allowBlank="1" showInputMessage="1" showErrorMessage="1" xr:uid="{3B2CCF6D-F27E-437E-B5AF-06EB56376CD3}">
          <x14:formula1>
            <xm:f>Help!$B$13:$B$15</xm:f>
          </x14:formula1>
          <xm:sqref>B3:B9 B11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Review1">
    <tabColor rgb="FF92D050"/>
    <outlinePr summaryRight="0"/>
    <pageSetUpPr fitToPage="1"/>
  </sheetPr>
  <dimension ref="A1:AT205"/>
  <sheetViews>
    <sheetView zoomScaleNormal="100" workbookViewId="0">
      <pane xSplit="1" ySplit="4" topLeftCell="B23" activePane="bottomRight" state="frozenSplit"/>
      <selection activeCell="K17" sqref="K17"/>
      <selection pane="topRight" activeCell="K17" sqref="K17"/>
      <selection pane="bottomLeft" activeCell="K17" sqref="K17"/>
      <selection pane="bottomRight" activeCell="K36" sqref="K36"/>
    </sheetView>
  </sheetViews>
  <sheetFormatPr defaultRowHeight="12.75" outlineLevelRow="1" outlineLevelCol="1"/>
  <cols>
    <col min="1" max="1" width="5.28515625" style="71" customWidth="1"/>
    <col min="2" max="2" width="14.28515625" style="47" bestFit="1" customWidth="1"/>
    <col min="3" max="3" width="22.5703125" style="47" customWidth="1"/>
    <col min="4" max="4" width="59" style="48" bestFit="1" customWidth="1"/>
    <col min="5" max="5" width="11" style="67" customWidth="1" outlineLevel="1"/>
    <col min="6" max="6" width="14.5703125" style="68" customWidth="1" outlineLevel="1"/>
    <col min="7" max="7" width="33.7109375" style="48" customWidth="1"/>
    <col min="8" max="9" width="11.28515625" style="47" customWidth="1" outlineLevel="1"/>
    <col min="10" max="10" width="18.28515625" style="47" customWidth="1" outlineLevel="1"/>
    <col min="11" max="11" width="12.5703125" style="49" customWidth="1"/>
    <col min="12" max="12" width="13.7109375" style="50" customWidth="1"/>
    <col min="13" max="13" width="13.140625" style="50" customWidth="1"/>
    <col min="14" max="14" width="12" style="38" bestFit="1" customWidth="1"/>
    <col min="15" max="15" width="20.85546875" style="38" bestFit="1" customWidth="1"/>
    <col min="16" max="16" width="13.28515625" style="38" bestFit="1" customWidth="1"/>
    <col min="17" max="22" width="11.42578125" style="62" customWidth="1"/>
    <col min="23" max="23" width="11.85546875" style="62" bestFit="1" customWidth="1"/>
    <col min="24" max="24" width="15.5703125" bestFit="1" customWidth="1"/>
    <col min="25" max="25" width="15" bestFit="1" customWidth="1"/>
    <col min="26" max="26" width="9.7109375" bestFit="1" customWidth="1"/>
  </cols>
  <sheetData>
    <row r="1" spans="1:46" s="24" customFormat="1" ht="51" hidden="1">
      <c r="A1" s="66"/>
      <c r="B1" s="46"/>
      <c r="C1" s="46"/>
      <c r="D1" s="46" t="s">
        <v>50</v>
      </c>
      <c r="E1" s="66"/>
      <c r="F1" s="66"/>
      <c r="G1" s="46"/>
      <c r="H1" s="46" t="s">
        <v>50</v>
      </c>
      <c r="I1" s="46"/>
      <c r="J1" s="46"/>
      <c r="K1" s="46"/>
      <c r="L1" s="30" t="s">
        <v>64</v>
      </c>
      <c r="M1" s="30" t="s">
        <v>79</v>
      </c>
      <c r="N1" s="30" t="s">
        <v>65</v>
      </c>
      <c r="O1" s="30" t="s">
        <v>66</v>
      </c>
      <c r="P1" s="55"/>
      <c r="Q1" s="30" t="s">
        <v>44</v>
      </c>
      <c r="R1" s="30" t="s">
        <v>20</v>
      </c>
      <c r="S1" s="30" t="s">
        <v>21</v>
      </c>
      <c r="T1" s="30" t="s">
        <v>27</v>
      </c>
      <c r="U1" s="30" t="s">
        <v>19</v>
      </c>
      <c r="V1" s="56"/>
      <c r="W1" s="57"/>
      <c r="X1" s="30" t="s">
        <v>70</v>
      </c>
      <c r="Y1" s="30" t="s">
        <v>71</v>
      </c>
      <c r="Z1" s="30" t="s">
        <v>73</v>
      </c>
      <c r="AA1" s="30" t="s">
        <v>72</v>
      </c>
      <c r="AH1" s="19" t="s">
        <v>28</v>
      </c>
      <c r="AI1" s="19" t="s">
        <v>29</v>
      </c>
      <c r="AJ1" s="30" t="s">
        <v>62</v>
      </c>
      <c r="AO1" s="21"/>
      <c r="AP1" s="21"/>
      <c r="AQ1" s="20" t="s">
        <v>26</v>
      </c>
      <c r="AR1" s="20" t="s">
        <v>24</v>
      </c>
      <c r="AS1" s="20" t="s">
        <v>25</v>
      </c>
      <c r="AT1" s="20" t="s">
        <v>23</v>
      </c>
    </row>
    <row r="2" spans="1:46" s="34" customFormat="1" hidden="1">
      <c r="A2" s="66"/>
      <c r="B2" s="46"/>
      <c r="C2" s="32"/>
      <c r="D2" s="46" t="s">
        <v>45</v>
      </c>
      <c r="E2" s="66"/>
      <c r="F2" s="66"/>
      <c r="G2" s="32"/>
      <c r="H2" s="46" t="s">
        <v>45</v>
      </c>
      <c r="I2" s="46"/>
      <c r="J2" s="32"/>
      <c r="K2" s="32"/>
      <c r="L2" s="53">
        <f>COUNTA(D5:D500)+COUNTIF(L5:L500,"=Open")+COUNTIF(L5:L500,"=To be fixed")-COUNTA(L5:L500)</f>
        <v>0</v>
      </c>
      <c r="M2" s="53">
        <f>COUNTIF(M5:M500,"=Rejected")</f>
        <v>0</v>
      </c>
      <c r="N2" s="53">
        <f>COUNTA(D5:D500)-COUNTIF(M5:M500,"=Approved")</f>
        <v>0</v>
      </c>
      <c r="O2" s="53">
        <f>COUNTIFS(L5:L500,"=Postponed",M5:M500,"=Approved")</f>
        <v>0</v>
      </c>
      <c r="P2" s="58"/>
      <c r="Q2" s="53">
        <f>COUNTIF($L5:$L500,"=" &amp; Q1)</f>
        <v>0</v>
      </c>
      <c r="R2" s="53">
        <f>COUNTIF($L5:$L500,"=" &amp; R1)</f>
        <v>15</v>
      </c>
      <c r="S2" s="53">
        <f>COUNTIF($L5:$L500,"=" &amp; S1)</f>
        <v>0</v>
      </c>
      <c r="T2" s="53">
        <f>COUNTIF($L5:$L500,"=" &amp; T1)</f>
        <v>17</v>
      </c>
      <c r="U2" s="53">
        <f>COUNTIF($L5:$L500,"=" &amp; U1)+COUNTIFS($L5:$L500,"",$D5:$D500,"&lt;&gt;")</f>
        <v>0</v>
      </c>
      <c r="V2" s="59"/>
      <c r="W2" s="60"/>
      <c r="X2" s="53">
        <f>IF(OR(NbOfNotTreatedIssues&gt;0,NbOfRejectedIssues&gt;0),1,0)</f>
        <v>0</v>
      </c>
      <c r="Y2" s="53">
        <f>IF(AND(Issue_to_treat=0,NbOfNotApprovedIssues&gt;0),1,0)</f>
        <v>0</v>
      </c>
      <c r="Z2" s="53">
        <f>IF(AND(Issues_to_approve=0,NbOfNotApprovedAndPostponedIssues&gt;0),1,0)</f>
        <v>0</v>
      </c>
      <c r="AA2" s="53">
        <f>IF(AND(Issue_to_treat=0,Issues_to_approve=0,Issues_postponed=0),1,0)</f>
        <v>1</v>
      </c>
      <c r="AB2" s="33"/>
      <c r="AC2" s="33"/>
      <c r="AD2" s="33"/>
      <c r="AE2" s="33"/>
      <c r="AF2" s="33"/>
      <c r="AH2" s="53">
        <f>COUNTIF($M5:$M500,"=" &amp; AH1)</f>
        <v>32</v>
      </c>
      <c r="AI2" s="53">
        <f>COUNTIF($M5:$M500,"=" &amp; AI1)</f>
        <v>0</v>
      </c>
      <c r="AJ2" s="53">
        <f>COUNTIF($M5:$M500,"=" &amp; AJ1)</f>
        <v>0</v>
      </c>
      <c r="AM2" s="33"/>
      <c r="AN2" s="33"/>
      <c r="AO2" s="33"/>
      <c r="AP2" s="35"/>
      <c r="AQ2" s="35"/>
      <c r="AR2" s="33"/>
      <c r="AS2" s="35"/>
      <c r="AT2" s="35"/>
    </row>
    <row r="3" spans="1:46" s="52" customFormat="1" ht="25.5" customHeight="1" outlineLevel="1">
      <c r="A3" s="330" t="str">
        <f>IF(Issue_to_treat=1,NbOfNotTreatedIssues+NbOfRejectedIssues&amp;" issue(s) to treat",IF(Issues_to_approve=1,NbOfNotApprovedIssues&amp;" issue(s) to approve",IF(Issues_postponed=1,NbOfNotApprovedAndPostponedIssues&amp;" issue(s) postponed","Status OK")))</f>
        <v>Status OK</v>
      </c>
      <c r="B3" s="330"/>
      <c r="C3" s="331"/>
      <c r="D3" s="65" t="s">
        <v>63</v>
      </c>
      <c r="E3" s="329" t="s">
        <v>81</v>
      </c>
      <c r="F3" s="329"/>
      <c r="G3" s="329"/>
      <c r="H3" s="51"/>
      <c r="I3" s="51"/>
      <c r="J3" s="51"/>
      <c r="K3" s="51"/>
      <c r="L3" s="51"/>
      <c r="M3" s="51"/>
      <c r="N3" s="57"/>
      <c r="O3" s="57"/>
      <c r="P3" s="57"/>
      <c r="Q3" s="61"/>
      <c r="R3" s="61"/>
      <c r="S3" s="61"/>
      <c r="T3" s="61"/>
      <c r="U3" s="61"/>
      <c r="V3" s="61"/>
      <c r="W3" s="61"/>
      <c r="X3" s="25"/>
      <c r="Y3" s="25"/>
      <c r="Z3" s="25"/>
      <c r="AA3" s="25"/>
      <c r="AB3" s="25"/>
    </row>
    <row r="4" spans="1:46" s="151" customFormat="1" ht="47.25">
      <c r="A4" s="144" t="s">
        <v>30</v>
      </c>
      <c r="B4" s="144" t="s">
        <v>9</v>
      </c>
      <c r="C4" s="144" t="s">
        <v>32</v>
      </c>
      <c r="D4" s="144" t="s">
        <v>176</v>
      </c>
      <c r="E4" s="144" t="s">
        <v>69</v>
      </c>
      <c r="F4" s="144" t="s">
        <v>31</v>
      </c>
      <c r="G4" s="145" t="s">
        <v>46</v>
      </c>
      <c r="H4" s="146" t="s">
        <v>48</v>
      </c>
      <c r="I4" s="146" t="s">
        <v>105</v>
      </c>
      <c r="J4" s="146" t="s">
        <v>33</v>
      </c>
      <c r="K4" s="147" t="s">
        <v>49</v>
      </c>
      <c r="L4" s="146" t="s">
        <v>47</v>
      </c>
      <c r="M4" s="144" t="s">
        <v>177</v>
      </c>
      <c r="N4" s="148"/>
      <c r="O4" s="148"/>
      <c r="P4" s="148"/>
      <c r="Q4" s="149"/>
      <c r="R4" s="149"/>
      <c r="S4" s="149"/>
      <c r="T4" s="149"/>
      <c r="U4" s="149"/>
      <c r="V4" s="149"/>
      <c r="W4" s="149"/>
      <c r="X4" s="150"/>
      <c r="Y4" s="150"/>
      <c r="Z4" s="150"/>
      <c r="AA4" s="150"/>
      <c r="AB4" s="150"/>
    </row>
    <row r="5" spans="1:46" s="25" customFormat="1">
      <c r="A5" s="72">
        <v>1</v>
      </c>
      <c r="B5" s="21">
        <v>1.1000000000000001</v>
      </c>
      <c r="C5" s="41" t="s">
        <v>404</v>
      </c>
      <c r="D5" s="29" t="s">
        <v>405</v>
      </c>
      <c r="E5" s="69">
        <v>45028.613900462966</v>
      </c>
      <c r="F5" s="70" t="s">
        <v>359</v>
      </c>
      <c r="G5" s="29"/>
      <c r="H5" s="22"/>
      <c r="I5" s="22"/>
      <c r="J5" s="80" t="s">
        <v>406</v>
      </c>
      <c r="K5" s="23">
        <v>45028.613993055558</v>
      </c>
      <c r="L5" s="22" t="s">
        <v>27</v>
      </c>
      <c r="M5" s="80" t="s">
        <v>28</v>
      </c>
      <c r="N5" s="57"/>
      <c r="O5" s="57"/>
      <c r="P5" s="57"/>
      <c r="Q5" s="61"/>
      <c r="R5" s="61"/>
      <c r="S5" s="61"/>
      <c r="T5" s="61"/>
      <c r="U5" s="61"/>
      <c r="V5" s="61"/>
      <c r="W5" s="61"/>
    </row>
    <row r="6" spans="1:46" s="25" customFormat="1">
      <c r="A6" s="73">
        <v>2</v>
      </c>
      <c r="B6" s="21">
        <v>1.2</v>
      </c>
      <c r="C6" s="41" t="s">
        <v>404</v>
      </c>
      <c r="D6" s="29" t="s">
        <v>405</v>
      </c>
      <c r="E6" s="69">
        <v>45028.613900462966</v>
      </c>
      <c r="F6" s="70" t="s">
        <v>359</v>
      </c>
      <c r="G6" s="29"/>
      <c r="H6" s="22"/>
      <c r="I6" s="22"/>
      <c r="J6" s="80" t="s">
        <v>406</v>
      </c>
      <c r="K6" s="23">
        <v>45028.613993055558</v>
      </c>
      <c r="L6" s="22" t="s">
        <v>27</v>
      </c>
      <c r="M6" s="80" t="s">
        <v>28</v>
      </c>
      <c r="N6" s="57"/>
      <c r="O6" s="57"/>
      <c r="P6" s="57"/>
      <c r="Q6" s="61"/>
      <c r="R6" s="61"/>
      <c r="S6" s="61"/>
      <c r="T6" s="61"/>
      <c r="U6" s="61"/>
      <c r="V6" s="61"/>
      <c r="W6" s="61"/>
    </row>
    <row r="7" spans="1:46" s="25" customFormat="1">
      <c r="A7" s="73">
        <v>3</v>
      </c>
      <c r="B7" s="21">
        <v>1.3</v>
      </c>
      <c r="C7" s="41" t="s">
        <v>404</v>
      </c>
      <c r="D7" s="29" t="s">
        <v>405</v>
      </c>
      <c r="E7" s="69">
        <v>45028.613900462966</v>
      </c>
      <c r="F7" s="70" t="s">
        <v>359</v>
      </c>
      <c r="G7" s="29"/>
      <c r="H7" s="22"/>
      <c r="I7" s="22"/>
      <c r="J7" s="80" t="s">
        <v>406</v>
      </c>
      <c r="K7" s="23">
        <v>45028.613993055558</v>
      </c>
      <c r="L7" s="22" t="s">
        <v>27</v>
      </c>
      <c r="M7" s="80" t="s">
        <v>28</v>
      </c>
      <c r="N7" s="57"/>
      <c r="O7" s="57"/>
      <c r="P7" s="57"/>
      <c r="Q7" s="61"/>
      <c r="R7" s="61"/>
      <c r="S7" s="61"/>
      <c r="T7" s="61"/>
      <c r="U7" s="61"/>
      <c r="V7" s="61"/>
      <c r="W7" s="61"/>
    </row>
    <row r="8" spans="1:46" s="25" customFormat="1">
      <c r="A8" s="73">
        <v>4</v>
      </c>
      <c r="B8" s="21">
        <v>1.4</v>
      </c>
      <c r="C8" s="41" t="s">
        <v>404</v>
      </c>
      <c r="D8" s="29" t="s">
        <v>405</v>
      </c>
      <c r="E8" s="69">
        <v>45028.613900462966</v>
      </c>
      <c r="F8" s="70" t="s">
        <v>359</v>
      </c>
      <c r="G8" s="29"/>
      <c r="H8" s="22"/>
      <c r="I8" s="22"/>
      <c r="J8" s="80" t="s">
        <v>406</v>
      </c>
      <c r="K8" s="23">
        <v>45028.613993055558</v>
      </c>
      <c r="L8" s="22" t="s">
        <v>27</v>
      </c>
      <c r="M8" s="80" t="s">
        <v>28</v>
      </c>
      <c r="N8" s="57"/>
      <c r="O8" s="57"/>
      <c r="P8" s="57"/>
      <c r="Q8" s="61"/>
      <c r="R8" s="61"/>
      <c r="S8" s="61"/>
      <c r="T8" s="61"/>
      <c r="U8" s="61"/>
      <c r="V8" s="61"/>
      <c r="W8" s="61"/>
    </row>
    <row r="9" spans="1:46" s="25" customFormat="1" ht="25.5">
      <c r="A9" s="73">
        <v>5</v>
      </c>
      <c r="B9" s="21">
        <v>1.5</v>
      </c>
      <c r="C9" s="41" t="s">
        <v>404</v>
      </c>
      <c r="D9" s="29" t="s">
        <v>407</v>
      </c>
      <c r="E9" s="69">
        <v>45028.617800925924</v>
      </c>
      <c r="F9" s="70" t="s">
        <v>359</v>
      </c>
      <c r="G9" s="29" t="s">
        <v>437</v>
      </c>
      <c r="H9" s="22"/>
      <c r="I9" s="22"/>
      <c r="J9" s="80" t="s">
        <v>442</v>
      </c>
      <c r="K9" s="23">
        <v>45124.476782407408</v>
      </c>
      <c r="L9" s="22" t="s">
        <v>20</v>
      </c>
      <c r="M9" s="22" t="s">
        <v>28</v>
      </c>
      <c r="N9" s="57"/>
      <c r="O9" s="57"/>
      <c r="P9" s="57"/>
      <c r="Q9" s="61"/>
      <c r="R9" s="61"/>
      <c r="S9" s="61"/>
      <c r="T9" s="61"/>
      <c r="U9" s="61"/>
      <c r="V9" s="61"/>
      <c r="W9" s="61"/>
    </row>
    <row r="10" spans="1:46" s="25" customFormat="1">
      <c r="A10" s="73">
        <v>6</v>
      </c>
      <c r="B10" s="21">
        <v>1.5</v>
      </c>
      <c r="C10" s="41" t="s">
        <v>404</v>
      </c>
      <c r="D10" s="29" t="s">
        <v>411</v>
      </c>
      <c r="E10" s="69">
        <v>45028.621620370373</v>
      </c>
      <c r="F10" s="70" t="s">
        <v>359</v>
      </c>
      <c r="G10" s="18" t="s">
        <v>438</v>
      </c>
      <c r="H10" s="22"/>
      <c r="I10" s="22"/>
      <c r="J10" s="22" t="s">
        <v>442</v>
      </c>
      <c r="K10" s="23">
        <v>45124.476817129631</v>
      </c>
      <c r="L10" s="22" t="s">
        <v>20</v>
      </c>
      <c r="M10" s="22" t="s">
        <v>28</v>
      </c>
      <c r="N10" s="57"/>
      <c r="O10" s="57"/>
      <c r="P10" s="57"/>
      <c r="Q10" s="61"/>
      <c r="R10" s="61"/>
      <c r="S10" s="61"/>
      <c r="T10" s="61"/>
      <c r="U10" s="61"/>
      <c r="V10" s="61"/>
      <c r="W10" s="61"/>
    </row>
    <row r="11" spans="1:46" s="25" customFormat="1" ht="25.5">
      <c r="A11" s="73">
        <v>7</v>
      </c>
      <c r="B11" s="21">
        <v>1.5</v>
      </c>
      <c r="C11" s="41" t="s">
        <v>404</v>
      </c>
      <c r="D11" s="29" t="s">
        <v>410</v>
      </c>
      <c r="E11" s="69">
        <v>45028.62462962963</v>
      </c>
      <c r="F11" s="70" t="s">
        <v>359</v>
      </c>
      <c r="G11" s="29" t="s">
        <v>439</v>
      </c>
      <c r="H11" s="22"/>
      <c r="I11" s="22"/>
      <c r="J11" s="80" t="s">
        <v>442</v>
      </c>
      <c r="K11" s="81">
        <v>45124.476851851854</v>
      </c>
      <c r="L11" s="22" t="s">
        <v>20</v>
      </c>
      <c r="M11" s="22" t="s">
        <v>28</v>
      </c>
      <c r="N11" s="57"/>
      <c r="O11" s="57"/>
      <c r="P11" s="57"/>
      <c r="Q11" s="61"/>
      <c r="R11" s="61"/>
      <c r="S11" s="61"/>
      <c r="T11" s="61"/>
      <c r="U11" s="61"/>
      <c r="V11" s="61"/>
      <c r="W11" s="61"/>
    </row>
    <row r="12" spans="1:46" s="25" customFormat="1" ht="25.5">
      <c r="A12" s="73">
        <v>8</v>
      </c>
      <c r="B12" s="21">
        <v>1.5</v>
      </c>
      <c r="C12" s="41" t="s">
        <v>404</v>
      </c>
      <c r="D12" s="29" t="s">
        <v>408</v>
      </c>
      <c r="E12" s="69">
        <v>45028.62667824074</v>
      </c>
      <c r="F12" s="70" t="s">
        <v>359</v>
      </c>
      <c r="G12" s="18" t="s">
        <v>440</v>
      </c>
      <c r="H12" s="22"/>
      <c r="I12" s="22"/>
      <c r="J12" s="22" t="s">
        <v>442</v>
      </c>
      <c r="K12" s="23">
        <v>45124.476875</v>
      </c>
      <c r="L12" s="22" t="s">
        <v>20</v>
      </c>
      <c r="M12" s="22" t="s">
        <v>28</v>
      </c>
      <c r="N12" s="57"/>
      <c r="O12" s="57"/>
      <c r="P12" s="57"/>
      <c r="Q12" s="61"/>
      <c r="R12" s="61"/>
      <c r="S12" s="61"/>
      <c r="T12" s="61"/>
      <c r="U12" s="61"/>
      <c r="V12" s="61"/>
      <c r="W12" s="61"/>
    </row>
    <row r="13" spans="1:46" s="25" customFormat="1">
      <c r="A13" s="73">
        <v>9</v>
      </c>
      <c r="B13" s="21">
        <v>1.5</v>
      </c>
      <c r="C13" s="41" t="s">
        <v>404</v>
      </c>
      <c r="D13" s="29" t="s">
        <v>409</v>
      </c>
      <c r="E13" s="69">
        <v>45028.631041666667</v>
      </c>
      <c r="F13" s="70" t="s">
        <v>359</v>
      </c>
      <c r="G13" s="18" t="s">
        <v>440</v>
      </c>
      <c r="H13" s="22"/>
      <c r="I13" s="22"/>
      <c r="J13" s="22" t="s">
        <v>442</v>
      </c>
      <c r="K13" s="23">
        <v>45124.476898148147</v>
      </c>
      <c r="L13" s="22" t="s">
        <v>20</v>
      </c>
      <c r="M13" s="22" t="s">
        <v>28</v>
      </c>
      <c r="N13" s="57"/>
      <c r="O13" s="57"/>
      <c r="P13" s="57"/>
      <c r="Q13" s="61"/>
      <c r="R13" s="61"/>
      <c r="S13" s="61"/>
      <c r="T13" s="61"/>
      <c r="U13" s="61"/>
      <c r="V13" s="61"/>
      <c r="W13" s="61"/>
    </row>
    <row r="14" spans="1:46" s="25" customFormat="1">
      <c r="A14" s="73">
        <v>10</v>
      </c>
      <c r="B14" s="21">
        <v>1.1000000000000001</v>
      </c>
      <c r="C14" s="41" t="s">
        <v>417</v>
      </c>
      <c r="D14" s="29" t="s">
        <v>405</v>
      </c>
      <c r="E14" s="69">
        <v>45028.649421296293</v>
      </c>
      <c r="F14" s="70" t="s">
        <v>359</v>
      </c>
      <c r="G14" s="18"/>
      <c r="H14" s="22"/>
      <c r="I14" s="22"/>
      <c r="J14" s="80" t="s">
        <v>406</v>
      </c>
      <c r="K14" s="23">
        <v>45028.649537037039</v>
      </c>
      <c r="L14" s="22" t="s">
        <v>27</v>
      </c>
      <c r="M14" s="22" t="s">
        <v>28</v>
      </c>
      <c r="N14" s="57"/>
      <c r="O14" s="57"/>
      <c r="P14" s="57"/>
      <c r="Q14" s="61"/>
      <c r="R14" s="61"/>
      <c r="S14" s="61"/>
      <c r="T14" s="61"/>
      <c r="U14" s="61"/>
      <c r="V14" s="61"/>
      <c r="W14" s="61"/>
    </row>
    <row r="15" spans="1:46" s="25" customFormat="1">
      <c r="A15" s="73">
        <v>11</v>
      </c>
      <c r="B15" s="21">
        <v>1.2</v>
      </c>
      <c r="C15" s="41" t="s">
        <v>417</v>
      </c>
      <c r="D15" s="29" t="s">
        <v>405</v>
      </c>
      <c r="E15" s="69">
        <v>45028.649421296293</v>
      </c>
      <c r="F15" s="70" t="s">
        <v>359</v>
      </c>
      <c r="G15" s="18"/>
      <c r="H15" s="22"/>
      <c r="I15" s="22"/>
      <c r="J15" s="80" t="s">
        <v>406</v>
      </c>
      <c r="K15" s="23">
        <v>45028.649537037039</v>
      </c>
      <c r="L15" s="22" t="s">
        <v>27</v>
      </c>
      <c r="M15" s="22" t="s">
        <v>28</v>
      </c>
      <c r="N15" s="57"/>
      <c r="O15" s="57"/>
      <c r="P15" s="57"/>
      <c r="Q15" s="61"/>
      <c r="R15" s="61"/>
      <c r="S15" s="61"/>
      <c r="T15" s="61"/>
      <c r="U15" s="61"/>
      <c r="V15" s="61"/>
      <c r="W15" s="61"/>
    </row>
    <row r="16" spans="1:46" s="25" customFormat="1">
      <c r="A16" s="73">
        <v>12</v>
      </c>
      <c r="B16" s="21">
        <v>1.3</v>
      </c>
      <c r="C16" s="41" t="s">
        <v>417</v>
      </c>
      <c r="D16" s="29" t="s">
        <v>405</v>
      </c>
      <c r="E16" s="69">
        <v>45028.649421296293</v>
      </c>
      <c r="F16" s="70" t="s">
        <v>359</v>
      </c>
      <c r="G16" s="18"/>
      <c r="H16" s="22"/>
      <c r="I16" s="22"/>
      <c r="J16" s="80" t="s">
        <v>406</v>
      </c>
      <c r="K16" s="23">
        <v>45028.649537037039</v>
      </c>
      <c r="L16" s="22" t="s">
        <v>27</v>
      </c>
      <c r="M16" s="22" t="s">
        <v>28</v>
      </c>
      <c r="N16" s="57"/>
      <c r="O16" s="57"/>
      <c r="P16" s="57"/>
      <c r="Q16" s="61"/>
      <c r="R16" s="61"/>
      <c r="S16" s="61"/>
      <c r="T16" s="61"/>
      <c r="U16" s="61"/>
      <c r="V16" s="61"/>
      <c r="W16" s="61"/>
    </row>
    <row r="17" spans="1:23" s="25" customFormat="1">
      <c r="A17" s="73">
        <v>13</v>
      </c>
      <c r="B17" s="21">
        <v>1.4</v>
      </c>
      <c r="C17" s="41" t="s">
        <v>417</v>
      </c>
      <c r="D17" s="29" t="s">
        <v>405</v>
      </c>
      <c r="E17" s="69">
        <v>45028.649421296293</v>
      </c>
      <c r="F17" s="70" t="s">
        <v>359</v>
      </c>
      <c r="G17" s="18"/>
      <c r="H17" s="22"/>
      <c r="I17" s="22"/>
      <c r="J17" s="80" t="s">
        <v>406</v>
      </c>
      <c r="K17" s="23">
        <v>45028.649537037039</v>
      </c>
      <c r="L17" s="22" t="s">
        <v>27</v>
      </c>
      <c r="M17" s="22" t="s">
        <v>28</v>
      </c>
      <c r="N17" s="57"/>
      <c r="O17" s="57"/>
      <c r="P17" s="57"/>
      <c r="Q17" s="61"/>
      <c r="R17" s="61"/>
      <c r="S17" s="61"/>
      <c r="T17" s="61"/>
      <c r="U17" s="61"/>
      <c r="V17" s="61"/>
      <c r="W17" s="61"/>
    </row>
    <row r="18" spans="1:23" s="25" customFormat="1" ht="25.5">
      <c r="A18" s="73">
        <v>14</v>
      </c>
      <c r="B18" s="21">
        <v>1.5</v>
      </c>
      <c r="C18" s="41" t="s">
        <v>417</v>
      </c>
      <c r="D18" s="29" t="s">
        <v>407</v>
      </c>
      <c r="E18" s="69">
        <v>45028.650335648148</v>
      </c>
      <c r="F18" s="70" t="s">
        <v>359</v>
      </c>
      <c r="G18" s="18" t="s">
        <v>440</v>
      </c>
      <c r="H18" s="22"/>
      <c r="I18" s="22"/>
      <c r="J18" s="22" t="s">
        <v>442</v>
      </c>
      <c r="K18" s="23">
        <v>45124.477129629631</v>
      </c>
      <c r="L18" s="22" t="s">
        <v>20</v>
      </c>
      <c r="M18" s="22" t="s">
        <v>28</v>
      </c>
      <c r="N18" s="57"/>
      <c r="O18" s="57"/>
      <c r="P18" s="57"/>
      <c r="Q18" s="61"/>
      <c r="R18" s="61"/>
      <c r="S18" s="61"/>
      <c r="T18" s="61"/>
      <c r="U18" s="61"/>
      <c r="V18" s="61"/>
      <c r="W18" s="61"/>
    </row>
    <row r="19" spans="1:23" s="25" customFormat="1">
      <c r="A19" s="73">
        <v>15</v>
      </c>
      <c r="B19" s="21">
        <v>1.5</v>
      </c>
      <c r="C19" s="41" t="s">
        <v>417</v>
      </c>
      <c r="D19" s="29" t="s">
        <v>418</v>
      </c>
      <c r="E19" s="69">
        <v>45028.651446759257</v>
      </c>
      <c r="F19" s="70" t="s">
        <v>359</v>
      </c>
      <c r="G19" s="18" t="s">
        <v>440</v>
      </c>
      <c r="H19" s="22"/>
      <c r="I19" s="22"/>
      <c r="J19" s="22" t="s">
        <v>442</v>
      </c>
      <c r="K19" s="23">
        <v>45124.477152777778</v>
      </c>
      <c r="L19" s="22" t="s">
        <v>20</v>
      </c>
      <c r="M19" s="22" t="s">
        <v>28</v>
      </c>
      <c r="N19" s="57"/>
      <c r="O19" s="57"/>
      <c r="P19" s="57"/>
      <c r="Q19" s="61"/>
      <c r="R19" s="61"/>
      <c r="S19" s="61"/>
      <c r="T19" s="61"/>
      <c r="U19" s="61"/>
      <c r="V19" s="61"/>
      <c r="W19" s="61"/>
    </row>
    <row r="20" spans="1:23" s="25" customFormat="1">
      <c r="A20" s="73">
        <v>16</v>
      </c>
      <c r="B20" s="21">
        <v>1.5</v>
      </c>
      <c r="C20" s="41" t="s">
        <v>417</v>
      </c>
      <c r="D20" s="29" t="s">
        <v>419</v>
      </c>
      <c r="E20" s="69">
        <v>45028.653831018521</v>
      </c>
      <c r="F20" s="70" t="s">
        <v>359</v>
      </c>
      <c r="G20" s="18" t="s">
        <v>440</v>
      </c>
      <c r="H20" s="22"/>
      <c r="I20" s="22"/>
      <c r="J20" s="22" t="s">
        <v>442</v>
      </c>
      <c r="K20" s="23">
        <v>45124.477175925924</v>
      </c>
      <c r="L20" s="22" t="s">
        <v>20</v>
      </c>
      <c r="M20" s="22" t="s">
        <v>28</v>
      </c>
      <c r="N20" s="57"/>
      <c r="O20" s="57"/>
      <c r="P20" s="57"/>
      <c r="Q20" s="61"/>
      <c r="R20" s="61"/>
      <c r="S20" s="61"/>
      <c r="T20" s="61"/>
      <c r="U20" s="61"/>
      <c r="V20" s="61"/>
      <c r="W20" s="61"/>
    </row>
    <row r="21" spans="1:23" s="25" customFormat="1" ht="38.25">
      <c r="A21" s="73">
        <v>17</v>
      </c>
      <c r="B21" s="21">
        <v>1.5</v>
      </c>
      <c r="C21" s="41" t="s">
        <v>417</v>
      </c>
      <c r="D21" s="29" t="s">
        <v>420</v>
      </c>
      <c r="E21" s="69">
        <v>45028.65828703704</v>
      </c>
      <c r="F21" s="70" t="s">
        <v>359</v>
      </c>
      <c r="G21" s="18" t="s">
        <v>441</v>
      </c>
      <c r="H21" s="22"/>
      <c r="I21" s="22"/>
      <c r="J21" s="22" t="s">
        <v>442</v>
      </c>
      <c r="K21" s="23">
        <v>45124.477199074077</v>
      </c>
      <c r="L21" s="22" t="s">
        <v>20</v>
      </c>
      <c r="M21" s="22" t="s">
        <v>28</v>
      </c>
      <c r="N21" s="57"/>
      <c r="O21" s="57"/>
      <c r="P21" s="57"/>
      <c r="Q21" s="61"/>
      <c r="R21" s="61"/>
      <c r="S21" s="61"/>
      <c r="T21" s="61"/>
      <c r="U21" s="61"/>
      <c r="V21" s="61"/>
      <c r="W21" s="61"/>
    </row>
    <row r="22" spans="1:23" s="25" customFormat="1" ht="38.25">
      <c r="A22" s="73">
        <v>18</v>
      </c>
      <c r="B22" s="21">
        <v>1.5</v>
      </c>
      <c r="C22" s="41" t="s">
        <v>417</v>
      </c>
      <c r="D22" s="29" t="s">
        <v>421</v>
      </c>
      <c r="E22" s="69">
        <v>45028.672071759262</v>
      </c>
      <c r="F22" s="70" t="s">
        <v>359</v>
      </c>
      <c r="G22" s="18" t="s">
        <v>440</v>
      </c>
      <c r="H22" s="22"/>
      <c r="I22" s="80"/>
      <c r="J22" s="80" t="s">
        <v>442</v>
      </c>
      <c r="K22" s="210">
        <v>45124.477222222224</v>
      </c>
      <c r="L22" s="22" t="s">
        <v>20</v>
      </c>
      <c r="M22" s="22" t="s">
        <v>28</v>
      </c>
      <c r="N22" s="57"/>
      <c r="O22" s="57"/>
      <c r="P22" s="57"/>
      <c r="Q22" s="61"/>
      <c r="R22" s="61"/>
      <c r="S22" s="61"/>
      <c r="T22" s="61"/>
      <c r="U22" s="61"/>
      <c r="V22" s="61"/>
      <c r="W22" s="61"/>
    </row>
    <row r="23" spans="1:23" s="25" customFormat="1" ht="25.5">
      <c r="A23" s="73">
        <v>19</v>
      </c>
      <c r="B23" s="21">
        <v>1.5</v>
      </c>
      <c r="C23" s="41" t="s">
        <v>417</v>
      </c>
      <c r="D23" s="29" t="s">
        <v>424</v>
      </c>
      <c r="E23" s="69">
        <v>45028.678854166668</v>
      </c>
      <c r="F23" s="70" t="s">
        <v>359</v>
      </c>
      <c r="G23" s="18" t="s">
        <v>440</v>
      </c>
      <c r="H23" s="22"/>
      <c r="I23" s="22"/>
      <c r="J23" s="22" t="s">
        <v>442</v>
      </c>
      <c r="K23" s="23">
        <v>45124.477256944447</v>
      </c>
      <c r="L23" s="22" t="s">
        <v>20</v>
      </c>
      <c r="M23" s="22" t="s">
        <v>28</v>
      </c>
      <c r="N23" s="57"/>
      <c r="O23" s="57"/>
      <c r="P23" s="57"/>
      <c r="Q23" s="61"/>
      <c r="R23" s="61"/>
      <c r="S23" s="61"/>
      <c r="T23" s="61"/>
      <c r="U23" s="61"/>
      <c r="V23" s="61"/>
      <c r="W23" s="61"/>
    </row>
    <row r="24" spans="1:23" s="25" customFormat="1" ht="25.5">
      <c r="A24" s="73">
        <v>20</v>
      </c>
      <c r="B24" s="21">
        <v>1.5</v>
      </c>
      <c r="C24" s="41" t="s">
        <v>417</v>
      </c>
      <c r="D24" s="29" t="s">
        <v>425</v>
      </c>
      <c r="E24" s="69">
        <v>45028.679293981484</v>
      </c>
      <c r="F24" s="70" t="s">
        <v>359</v>
      </c>
      <c r="G24" s="18" t="s">
        <v>440</v>
      </c>
      <c r="H24" s="22"/>
      <c r="I24" s="80"/>
      <c r="J24" s="80" t="s">
        <v>442</v>
      </c>
      <c r="K24" s="210">
        <v>45124.477268518516</v>
      </c>
      <c r="L24" s="22" t="s">
        <v>20</v>
      </c>
      <c r="M24" s="22" t="s">
        <v>28</v>
      </c>
      <c r="N24" s="57"/>
      <c r="O24" s="57"/>
      <c r="P24" s="57"/>
      <c r="Q24" s="61"/>
      <c r="R24" s="61"/>
      <c r="S24" s="61"/>
      <c r="T24" s="61"/>
      <c r="U24" s="61"/>
      <c r="V24" s="61"/>
      <c r="W24" s="61"/>
    </row>
    <row r="25" spans="1:23" s="25" customFormat="1">
      <c r="A25" s="73">
        <v>21</v>
      </c>
      <c r="B25" s="21">
        <v>1.5</v>
      </c>
      <c r="C25" s="41" t="s">
        <v>417</v>
      </c>
      <c r="D25" s="29" t="s">
        <v>426</v>
      </c>
      <c r="E25" s="69">
        <v>45028.680150462962</v>
      </c>
      <c r="F25" s="70" t="s">
        <v>359</v>
      </c>
      <c r="G25" s="18" t="s">
        <v>440</v>
      </c>
      <c r="H25" s="22"/>
      <c r="I25" s="80"/>
      <c r="J25" s="80" t="s">
        <v>442</v>
      </c>
      <c r="K25" s="210">
        <v>45124.47729166667</v>
      </c>
      <c r="L25" s="22" t="s">
        <v>20</v>
      </c>
      <c r="M25" s="22" t="s">
        <v>28</v>
      </c>
      <c r="N25" s="57"/>
      <c r="O25" s="57"/>
      <c r="P25" s="57"/>
      <c r="Q25" s="61"/>
      <c r="R25" s="61"/>
      <c r="S25" s="61"/>
      <c r="T25" s="61"/>
      <c r="U25" s="61"/>
      <c r="V25" s="61"/>
      <c r="W25" s="61"/>
    </row>
    <row r="26" spans="1:23" s="25" customFormat="1">
      <c r="A26" s="73">
        <v>22</v>
      </c>
      <c r="B26" s="21">
        <v>1.5</v>
      </c>
      <c r="C26" s="41" t="s">
        <v>417</v>
      </c>
      <c r="D26" s="29" t="s">
        <v>427</v>
      </c>
      <c r="E26" s="69">
        <v>45028.681377314817</v>
      </c>
      <c r="F26" s="70" t="s">
        <v>359</v>
      </c>
      <c r="G26" s="18" t="s">
        <v>440</v>
      </c>
      <c r="H26" s="22"/>
      <c r="I26" s="80"/>
      <c r="J26" s="80" t="s">
        <v>442</v>
      </c>
      <c r="K26" s="210">
        <v>45124.477314814816</v>
      </c>
      <c r="L26" s="22" t="s">
        <v>20</v>
      </c>
      <c r="M26" s="22" t="s">
        <v>28</v>
      </c>
      <c r="N26" s="57"/>
      <c r="O26" s="57"/>
      <c r="P26" s="57"/>
      <c r="Q26" s="61"/>
      <c r="R26" s="61"/>
      <c r="S26" s="61"/>
      <c r="T26" s="61"/>
      <c r="U26" s="61"/>
      <c r="V26" s="61"/>
      <c r="W26" s="61"/>
    </row>
    <row r="27" spans="1:23" s="25" customFormat="1" ht="25.5">
      <c r="A27" s="73">
        <v>23</v>
      </c>
      <c r="B27" s="206" t="s">
        <v>428</v>
      </c>
      <c r="C27" s="41" t="s">
        <v>404</v>
      </c>
      <c r="D27" s="29" t="s">
        <v>432</v>
      </c>
      <c r="E27" s="69">
        <v>45105.565752314818</v>
      </c>
      <c r="F27" s="70" t="s">
        <v>429</v>
      </c>
      <c r="G27" s="18"/>
      <c r="H27" s="22"/>
      <c r="I27" s="22"/>
      <c r="J27" s="80" t="s">
        <v>406</v>
      </c>
      <c r="K27" s="23">
        <v>45105.566018518519</v>
      </c>
      <c r="L27" s="22" t="s">
        <v>27</v>
      </c>
      <c r="M27" s="22" t="s">
        <v>28</v>
      </c>
      <c r="N27" s="57"/>
      <c r="O27" s="57"/>
      <c r="P27" s="57"/>
      <c r="Q27" s="61"/>
      <c r="R27" s="61"/>
      <c r="S27" s="61"/>
      <c r="T27" s="61"/>
      <c r="U27" s="61"/>
      <c r="V27" s="61"/>
      <c r="W27" s="61"/>
    </row>
    <row r="28" spans="1:23" s="25" customFormat="1" ht="25.5">
      <c r="A28" s="73">
        <v>24</v>
      </c>
      <c r="B28" s="206" t="s">
        <v>428</v>
      </c>
      <c r="C28" s="41" t="s">
        <v>404</v>
      </c>
      <c r="D28" s="29" t="s">
        <v>430</v>
      </c>
      <c r="E28" s="69">
        <v>45105.571631944447</v>
      </c>
      <c r="F28" s="70" t="s">
        <v>429</v>
      </c>
      <c r="G28" s="18"/>
      <c r="H28" s="22"/>
      <c r="I28" s="22"/>
      <c r="J28" s="80" t="s">
        <v>406</v>
      </c>
      <c r="K28" s="23">
        <v>45105.57167824074</v>
      </c>
      <c r="L28" s="22" t="s">
        <v>27</v>
      </c>
      <c r="M28" s="22" t="s">
        <v>28</v>
      </c>
      <c r="N28" s="57"/>
      <c r="O28" s="57"/>
      <c r="P28" s="57"/>
      <c r="Q28" s="61"/>
      <c r="R28" s="61"/>
      <c r="S28" s="61"/>
      <c r="T28" s="61"/>
      <c r="U28" s="61"/>
      <c r="V28" s="61"/>
      <c r="W28" s="61"/>
    </row>
    <row r="29" spans="1:23" s="25" customFormat="1" ht="25.5">
      <c r="A29" s="73">
        <v>25</v>
      </c>
      <c r="B29" s="21">
        <v>1.2</v>
      </c>
      <c r="C29" s="41" t="s">
        <v>417</v>
      </c>
      <c r="D29" s="29" t="s">
        <v>431</v>
      </c>
      <c r="E29" s="69">
        <v>45105.572025462963</v>
      </c>
      <c r="F29" s="70" t="s">
        <v>429</v>
      </c>
      <c r="G29" s="18"/>
      <c r="H29" s="22"/>
      <c r="I29" s="22"/>
      <c r="J29" s="80" t="s">
        <v>406</v>
      </c>
      <c r="K29" s="23">
        <v>45105.572824074072</v>
      </c>
      <c r="L29" s="22" t="s">
        <v>27</v>
      </c>
      <c r="M29" s="22" t="s">
        <v>28</v>
      </c>
      <c r="N29" s="57"/>
      <c r="O29" s="57"/>
      <c r="P29" s="57"/>
      <c r="Q29" s="61"/>
      <c r="R29" s="61"/>
      <c r="S29" s="61"/>
      <c r="T29" s="61"/>
      <c r="U29" s="61"/>
      <c r="V29" s="61"/>
      <c r="W29" s="61"/>
    </row>
    <row r="30" spans="1:23" s="25" customFormat="1" ht="25.5">
      <c r="A30" s="73">
        <v>26</v>
      </c>
      <c r="B30" s="21">
        <v>1.2</v>
      </c>
      <c r="C30" s="41" t="s">
        <v>417</v>
      </c>
      <c r="D30" s="29" t="s">
        <v>433</v>
      </c>
      <c r="E30" s="69">
        <v>45105.573611111111</v>
      </c>
      <c r="F30" s="70" t="s">
        <v>429</v>
      </c>
      <c r="G30" s="18" t="s">
        <v>440</v>
      </c>
      <c r="H30" s="22"/>
      <c r="I30" s="22"/>
      <c r="J30" s="22" t="s">
        <v>442</v>
      </c>
      <c r="K30" s="23">
        <v>45124.477337962962</v>
      </c>
      <c r="L30" s="22" t="s">
        <v>20</v>
      </c>
      <c r="M30" s="22" t="s">
        <v>28</v>
      </c>
      <c r="N30" s="57"/>
      <c r="O30" s="57"/>
      <c r="P30" s="57"/>
      <c r="Q30" s="61"/>
      <c r="R30" s="61"/>
      <c r="S30" s="61"/>
      <c r="T30" s="61"/>
      <c r="U30" s="61"/>
      <c r="V30" s="61"/>
      <c r="W30" s="61"/>
    </row>
    <row r="31" spans="1:23" s="25" customFormat="1" ht="25.5">
      <c r="A31" s="73">
        <v>27</v>
      </c>
      <c r="B31" s="21">
        <v>1.4</v>
      </c>
      <c r="C31" s="41" t="s">
        <v>417</v>
      </c>
      <c r="D31" s="29" t="s">
        <v>443</v>
      </c>
      <c r="E31" s="69">
        <v>45124.562685185185</v>
      </c>
      <c r="F31" s="70" t="s">
        <v>429</v>
      </c>
      <c r="G31" s="29"/>
      <c r="H31" s="22"/>
      <c r="I31" s="22"/>
      <c r="J31" s="22" t="s">
        <v>429</v>
      </c>
      <c r="K31" s="23">
        <v>45124.562743055554</v>
      </c>
      <c r="L31" s="22" t="s">
        <v>27</v>
      </c>
      <c r="M31" s="22" t="s">
        <v>28</v>
      </c>
      <c r="N31" s="57"/>
      <c r="O31" s="57"/>
      <c r="P31" s="57"/>
      <c r="Q31" s="61"/>
      <c r="R31" s="61"/>
      <c r="S31" s="61"/>
      <c r="T31" s="61"/>
      <c r="U31" s="61"/>
      <c r="V31" s="61"/>
      <c r="W31" s="61"/>
    </row>
    <row r="32" spans="1:23" s="25" customFormat="1" ht="25.5">
      <c r="A32" s="73">
        <v>28</v>
      </c>
      <c r="B32" s="206" t="s">
        <v>444</v>
      </c>
      <c r="C32" s="41" t="s">
        <v>404</v>
      </c>
      <c r="D32" s="29" t="s">
        <v>430</v>
      </c>
      <c r="E32" s="69">
        <v>45124.562939814816</v>
      </c>
      <c r="F32" s="70" t="s">
        <v>429</v>
      </c>
      <c r="G32" s="18"/>
      <c r="H32" s="22"/>
      <c r="I32" s="22"/>
      <c r="J32" s="22" t="s">
        <v>429</v>
      </c>
      <c r="K32" s="23">
        <v>45124.562986111108</v>
      </c>
      <c r="L32" s="22" t="s">
        <v>27</v>
      </c>
      <c r="M32" s="22" t="s">
        <v>28</v>
      </c>
      <c r="N32" s="57"/>
      <c r="O32" s="57"/>
      <c r="P32" s="57"/>
      <c r="Q32" s="61"/>
      <c r="R32" s="61"/>
      <c r="S32" s="61"/>
      <c r="T32" s="61"/>
      <c r="U32" s="61"/>
      <c r="V32" s="61"/>
      <c r="W32" s="61"/>
    </row>
    <row r="33" spans="1:23" s="25" customFormat="1" ht="25.5">
      <c r="A33" s="73">
        <v>29</v>
      </c>
      <c r="B33" s="220" t="s">
        <v>451</v>
      </c>
      <c r="C33" s="221" t="s">
        <v>452</v>
      </c>
      <c r="D33" s="222" t="s">
        <v>430</v>
      </c>
      <c r="E33" s="223">
        <v>45132</v>
      </c>
      <c r="F33" s="221" t="s">
        <v>453</v>
      </c>
      <c r="G33" s="222"/>
      <c r="H33" s="224"/>
      <c r="I33" s="224"/>
      <c r="J33" s="224" t="s">
        <v>442</v>
      </c>
      <c r="K33" s="223">
        <v>45132</v>
      </c>
      <c r="L33" s="225" t="s">
        <v>27</v>
      </c>
      <c r="M33" s="226" t="s">
        <v>28</v>
      </c>
      <c r="N33" s="57"/>
      <c r="O33" s="57"/>
      <c r="P33" s="57"/>
      <c r="Q33" s="61"/>
      <c r="R33" s="61"/>
      <c r="S33" s="61"/>
      <c r="T33" s="61"/>
      <c r="U33" s="61"/>
      <c r="V33" s="61"/>
      <c r="W33" s="61"/>
    </row>
    <row r="34" spans="1:23" s="25" customFormat="1">
      <c r="A34" s="73">
        <v>30</v>
      </c>
      <c r="B34" s="21">
        <v>1.2</v>
      </c>
      <c r="C34" s="206" t="s">
        <v>456</v>
      </c>
      <c r="D34" s="29" t="s">
        <v>430</v>
      </c>
      <c r="E34" s="69">
        <v>45133.500486111108</v>
      </c>
      <c r="F34" s="70" t="s">
        <v>457</v>
      </c>
      <c r="G34" s="18"/>
      <c r="H34" s="22"/>
      <c r="I34" s="22"/>
      <c r="J34" s="22" t="s">
        <v>458</v>
      </c>
      <c r="K34" s="23">
        <v>45133.500613425924</v>
      </c>
      <c r="L34" s="22" t="s">
        <v>27</v>
      </c>
      <c r="M34" s="22" t="s">
        <v>28</v>
      </c>
      <c r="N34" s="57"/>
      <c r="O34" s="57"/>
      <c r="P34" s="57"/>
      <c r="Q34" s="61"/>
      <c r="R34" s="61"/>
      <c r="S34" s="61"/>
      <c r="T34" s="61"/>
      <c r="U34" s="61"/>
      <c r="V34" s="61"/>
      <c r="W34" s="61"/>
    </row>
    <row r="35" spans="1:23" s="25" customFormat="1" ht="25.5">
      <c r="A35" s="73">
        <v>31</v>
      </c>
      <c r="B35" s="220" t="s">
        <v>462</v>
      </c>
      <c r="C35" s="221" t="s">
        <v>452</v>
      </c>
      <c r="D35" s="222" t="s">
        <v>430</v>
      </c>
      <c r="E35" s="223">
        <v>45138</v>
      </c>
      <c r="F35" s="224" t="s">
        <v>442</v>
      </c>
      <c r="G35" s="222"/>
      <c r="H35" s="224"/>
      <c r="I35" s="224"/>
      <c r="J35" s="221" t="s">
        <v>453</v>
      </c>
      <c r="K35" s="223">
        <v>45138</v>
      </c>
      <c r="L35" s="225" t="s">
        <v>27</v>
      </c>
      <c r="M35" s="226" t="s">
        <v>28</v>
      </c>
      <c r="N35" s="57"/>
      <c r="O35" s="57"/>
      <c r="P35" s="57"/>
      <c r="Q35" s="61"/>
      <c r="R35" s="61"/>
      <c r="S35" s="61"/>
      <c r="T35" s="61"/>
      <c r="U35" s="61"/>
      <c r="V35" s="61"/>
      <c r="W35" s="61"/>
    </row>
    <row r="36" spans="1:23" s="25" customFormat="1" ht="25.5">
      <c r="A36" s="73">
        <v>32</v>
      </c>
      <c r="B36" s="220" t="s">
        <v>463</v>
      </c>
      <c r="C36" s="221" t="s">
        <v>452</v>
      </c>
      <c r="D36" s="222" t="s">
        <v>430</v>
      </c>
      <c r="E36" s="223">
        <v>45138</v>
      </c>
      <c r="F36" s="224" t="s">
        <v>442</v>
      </c>
      <c r="G36" s="222"/>
      <c r="H36" s="224"/>
      <c r="I36" s="224"/>
      <c r="J36" s="221" t="s">
        <v>453</v>
      </c>
      <c r="K36" s="223">
        <v>45138</v>
      </c>
      <c r="L36" s="225" t="s">
        <v>27</v>
      </c>
      <c r="M36" s="226" t="s">
        <v>28</v>
      </c>
      <c r="N36" s="57"/>
      <c r="O36" s="57"/>
      <c r="P36" s="57"/>
      <c r="Q36" s="61"/>
      <c r="R36" s="61"/>
      <c r="S36" s="61"/>
      <c r="T36" s="61"/>
      <c r="U36" s="61"/>
      <c r="V36" s="61"/>
      <c r="W36" s="61"/>
    </row>
    <row r="37" spans="1:23" s="25" customFormat="1">
      <c r="A37" s="73">
        <v>33</v>
      </c>
      <c r="B37" s="21"/>
      <c r="C37" s="41"/>
      <c r="D37" s="29"/>
      <c r="E37" s="69"/>
      <c r="F37" s="70"/>
      <c r="G37" s="18"/>
      <c r="H37" s="22"/>
      <c r="I37" s="22"/>
      <c r="J37" s="22"/>
      <c r="K37" s="23"/>
      <c r="L37" s="22"/>
      <c r="M37" s="22"/>
      <c r="N37" s="57"/>
      <c r="O37" s="57"/>
      <c r="P37" s="57"/>
      <c r="Q37" s="61"/>
      <c r="R37" s="61"/>
      <c r="S37" s="61"/>
      <c r="T37" s="61"/>
      <c r="U37" s="61"/>
      <c r="V37" s="61"/>
      <c r="W37" s="61"/>
    </row>
    <row r="38" spans="1:23" s="25" customFormat="1">
      <c r="A38" s="73">
        <v>34</v>
      </c>
      <c r="B38" s="206"/>
      <c r="C38" s="41"/>
      <c r="D38" s="29"/>
      <c r="E38" s="69"/>
      <c r="F38" s="70"/>
      <c r="G38" s="18"/>
      <c r="H38" s="22"/>
      <c r="I38" s="22"/>
      <c r="J38" s="22"/>
      <c r="K38" s="23"/>
      <c r="L38" s="22"/>
      <c r="M38" s="22"/>
      <c r="N38" s="57"/>
      <c r="O38" s="57"/>
      <c r="P38" s="57"/>
      <c r="Q38" s="61"/>
      <c r="R38" s="61"/>
      <c r="S38" s="61"/>
      <c r="T38" s="61"/>
      <c r="U38" s="61"/>
      <c r="V38" s="61"/>
      <c r="W38" s="61"/>
    </row>
    <row r="39" spans="1:23" s="25" customFormat="1">
      <c r="A39" s="73">
        <v>35</v>
      </c>
      <c r="B39" s="206"/>
      <c r="C39" s="41"/>
      <c r="D39" s="29"/>
      <c r="E39" s="69"/>
      <c r="F39" s="70"/>
      <c r="G39" s="18"/>
      <c r="H39" s="22"/>
      <c r="I39" s="22"/>
      <c r="J39" s="22"/>
      <c r="K39" s="23"/>
      <c r="L39" s="22"/>
      <c r="M39" s="22"/>
      <c r="N39" s="57"/>
      <c r="O39" s="57"/>
      <c r="P39" s="57"/>
      <c r="Q39" s="61"/>
      <c r="R39" s="61"/>
      <c r="S39" s="61"/>
      <c r="T39" s="61"/>
      <c r="U39" s="61"/>
      <c r="V39" s="61"/>
      <c r="W39" s="61"/>
    </row>
    <row r="40" spans="1:23" s="25" customFormat="1">
      <c r="A40" s="73">
        <v>36</v>
      </c>
      <c r="B40" s="206"/>
      <c r="C40" s="41"/>
      <c r="D40" s="29"/>
      <c r="E40" s="69"/>
      <c r="F40" s="70"/>
      <c r="G40" s="18"/>
      <c r="H40" s="22"/>
      <c r="I40" s="22"/>
      <c r="J40" s="22"/>
      <c r="K40" s="23"/>
      <c r="L40" s="22"/>
      <c r="M40" s="22"/>
      <c r="N40" s="57"/>
      <c r="O40" s="57"/>
      <c r="P40" s="57"/>
      <c r="Q40" s="61"/>
      <c r="R40" s="61"/>
      <c r="S40" s="61"/>
      <c r="T40" s="61"/>
      <c r="U40" s="61"/>
      <c r="V40" s="61"/>
      <c r="W40" s="61"/>
    </row>
    <row r="41" spans="1:23" s="25" customFormat="1">
      <c r="A41" s="73">
        <v>37</v>
      </c>
      <c r="B41" s="206"/>
      <c r="C41" s="41"/>
      <c r="D41" s="29"/>
      <c r="E41" s="69"/>
      <c r="F41" s="70"/>
      <c r="G41" s="18"/>
      <c r="H41" s="22"/>
      <c r="I41" s="22"/>
      <c r="J41" s="22"/>
      <c r="K41" s="23"/>
      <c r="L41" s="22"/>
      <c r="M41" s="22"/>
      <c r="N41" s="57"/>
      <c r="O41" s="57"/>
      <c r="P41" s="57"/>
      <c r="Q41" s="61"/>
      <c r="R41" s="61"/>
      <c r="S41" s="61"/>
      <c r="T41" s="61"/>
      <c r="U41" s="61"/>
      <c r="V41" s="61"/>
      <c r="W41" s="61"/>
    </row>
    <row r="42" spans="1:23" s="25" customFormat="1">
      <c r="A42" s="73">
        <v>38</v>
      </c>
      <c r="B42" s="28"/>
      <c r="C42" s="28"/>
      <c r="D42" s="29"/>
      <c r="E42" s="69"/>
      <c r="F42" s="70"/>
      <c r="G42" s="18"/>
      <c r="H42" s="22"/>
      <c r="I42" s="22"/>
      <c r="J42" s="22"/>
      <c r="K42" s="23"/>
      <c r="L42" s="22"/>
      <c r="M42" s="22"/>
      <c r="N42" s="57"/>
      <c r="O42" s="57"/>
      <c r="P42" s="57"/>
      <c r="Q42" s="61"/>
      <c r="R42" s="61"/>
      <c r="S42" s="61"/>
      <c r="T42" s="61"/>
      <c r="U42" s="61"/>
      <c r="V42" s="61"/>
      <c r="W42" s="61"/>
    </row>
    <row r="43" spans="1:23" s="25" customFormat="1">
      <c r="A43" s="73">
        <v>39</v>
      </c>
      <c r="B43" s="28"/>
      <c r="C43" s="28"/>
      <c r="D43" s="29"/>
      <c r="E43" s="69"/>
      <c r="F43" s="70"/>
      <c r="G43" s="18"/>
      <c r="H43" s="22"/>
      <c r="I43" s="22"/>
      <c r="J43" s="22"/>
      <c r="K43" s="23"/>
      <c r="L43" s="22"/>
      <c r="M43" s="22"/>
      <c r="N43" s="57"/>
      <c r="O43" s="57"/>
      <c r="P43" s="57"/>
      <c r="Q43" s="61"/>
      <c r="R43" s="61"/>
      <c r="S43" s="61"/>
      <c r="T43" s="61"/>
      <c r="U43" s="61"/>
      <c r="V43" s="61"/>
      <c r="W43" s="61"/>
    </row>
    <row r="44" spans="1:23" s="25" customFormat="1">
      <c r="A44" s="73">
        <v>40</v>
      </c>
      <c r="B44" s="28"/>
      <c r="C44" s="28"/>
      <c r="D44" s="29"/>
      <c r="E44" s="69"/>
      <c r="F44" s="70"/>
      <c r="G44" s="18"/>
      <c r="H44" s="22"/>
      <c r="I44" s="22"/>
      <c r="J44" s="22"/>
      <c r="K44" s="23"/>
      <c r="L44" s="22"/>
      <c r="M44" s="22"/>
      <c r="N44" s="57"/>
      <c r="O44" s="57"/>
      <c r="P44" s="57"/>
      <c r="Q44" s="61"/>
      <c r="R44" s="61"/>
      <c r="S44" s="61"/>
      <c r="T44" s="61"/>
      <c r="U44" s="61"/>
      <c r="V44" s="61"/>
      <c r="W44" s="61"/>
    </row>
    <row r="45" spans="1:23" s="25" customFormat="1">
      <c r="A45" s="73">
        <v>41</v>
      </c>
      <c r="B45" s="28"/>
      <c r="C45" s="28"/>
      <c r="D45" s="29"/>
      <c r="E45" s="69"/>
      <c r="F45" s="70"/>
      <c r="G45" s="18"/>
      <c r="H45" s="22"/>
      <c r="I45" s="22"/>
      <c r="J45" s="22"/>
      <c r="K45" s="23"/>
      <c r="L45" s="22"/>
      <c r="M45" s="22"/>
      <c r="N45" s="57"/>
      <c r="O45" s="57"/>
      <c r="P45" s="57"/>
      <c r="Q45" s="61"/>
      <c r="R45" s="61"/>
      <c r="S45" s="61"/>
      <c r="T45" s="61"/>
      <c r="U45" s="61"/>
      <c r="V45" s="61"/>
      <c r="W45" s="61"/>
    </row>
    <row r="46" spans="1:23" s="25" customFormat="1">
      <c r="A46" s="73">
        <v>42</v>
      </c>
      <c r="B46" s="28"/>
      <c r="C46" s="28"/>
      <c r="D46" s="18"/>
      <c r="E46" s="69"/>
      <c r="F46" s="70"/>
      <c r="G46" s="18"/>
      <c r="H46" s="22"/>
      <c r="I46" s="22"/>
      <c r="J46" s="22"/>
      <c r="K46" s="23"/>
      <c r="L46" s="22"/>
      <c r="M46" s="22"/>
      <c r="N46" s="57"/>
      <c r="O46" s="57"/>
      <c r="P46" s="57"/>
      <c r="Q46" s="61"/>
      <c r="R46" s="61"/>
      <c r="S46" s="61"/>
      <c r="T46" s="61"/>
      <c r="U46" s="61"/>
      <c r="V46" s="61"/>
      <c r="W46" s="61"/>
    </row>
    <row r="47" spans="1:23" s="25" customFormat="1">
      <c r="A47" s="73">
        <v>43</v>
      </c>
      <c r="B47" s="28"/>
      <c r="C47" s="41"/>
      <c r="D47" s="18"/>
      <c r="E47" s="69"/>
      <c r="F47" s="70"/>
      <c r="G47" s="18"/>
      <c r="H47" s="22"/>
      <c r="I47" s="22"/>
      <c r="J47" s="22"/>
      <c r="K47" s="23"/>
      <c r="L47" s="22"/>
      <c r="M47" s="22"/>
      <c r="N47" s="57"/>
      <c r="O47" s="57"/>
      <c r="P47" s="57"/>
      <c r="Q47" s="61"/>
      <c r="R47" s="61"/>
      <c r="S47" s="61"/>
      <c r="T47" s="61"/>
      <c r="U47" s="61"/>
      <c r="V47" s="61"/>
      <c r="W47" s="61"/>
    </row>
    <row r="48" spans="1:23" s="25" customFormat="1">
      <c r="A48" s="73">
        <v>44</v>
      </c>
      <c r="B48" s="28"/>
      <c r="C48" s="41"/>
      <c r="D48" s="18"/>
      <c r="E48" s="69"/>
      <c r="F48" s="70"/>
      <c r="G48" s="18"/>
      <c r="H48" s="22"/>
      <c r="I48" s="22"/>
      <c r="J48" s="22"/>
      <c r="K48" s="23"/>
      <c r="L48" s="22"/>
      <c r="M48" s="22"/>
      <c r="N48" s="57"/>
      <c r="O48" s="57"/>
      <c r="P48" s="57"/>
      <c r="Q48" s="61"/>
      <c r="R48" s="61"/>
      <c r="S48" s="61"/>
      <c r="T48" s="61"/>
      <c r="U48" s="61"/>
      <c r="V48" s="61"/>
      <c r="W48" s="61"/>
    </row>
    <row r="49" spans="1:23" s="25" customFormat="1">
      <c r="A49" s="73">
        <v>45</v>
      </c>
      <c r="B49" s="28"/>
      <c r="C49" s="28"/>
      <c r="D49" s="18"/>
      <c r="E49" s="69"/>
      <c r="F49" s="70"/>
      <c r="G49" s="18"/>
      <c r="H49" s="22"/>
      <c r="I49" s="22"/>
      <c r="J49" s="22"/>
      <c r="K49" s="23"/>
      <c r="L49" s="22"/>
      <c r="M49" s="22"/>
      <c r="N49" s="57"/>
      <c r="O49" s="57"/>
      <c r="P49" s="57"/>
      <c r="Q49" s="61"/>
      <c r="R49" s="61"/>
      <c r="S49" s="61"/>
      <c r="T49" s="61"/>
      <c r="U49" s="61"/>
      <c r="V49" s="61"/>
      <c r="W49" s="61"/>
    </row>
    <row r="50" spans="1:23" s="25" customFormat="1">
      <c r="A50" s="73">
        <v>46</v>
      </c>
      <c r="B50" s="28"/>
      <c r="C50" s="28"/>
      <c r="D50" s="18"/>
      <c r="E50" s="69"/>
      <c r="F50" s="70"/>
      <c r="G50" s="18"/>
      <c r="H50" s="22"/>
      <c r="I50" s="22"/>
      <c r="J50" s="22"/>
      <c r="K50" s="23"/>
      <c r="L50" s="22"/>
      <c r="M50" s="22"/>
      <c r="N50" s="57"/>
      <c r="O50" s="57"/>
      <c r="P50" s="57"/>
      <c r="Q50" s="61"/>
      <c r="R50" s="61"/>
      <c r="S50" s="61"/>
      <c r="T50" s="61"/>
      <c r="U50" s="61"/>
      <c r="V50" s="61"/>
      <c r="W50" s="61"/>
    </row>
    <row r="51" spans="1:23" s="25" customFormat="1">
      <c r="A51" s="73">
        <v>47</v>
      </c>
      <c r="B51" s="28"/>
      <c r="C51" s="28"/>
      <c r="D51" s="18"/>
      <c r="E51" s="69"/>
      <c r="F51" s="70"/>
      <c r="G51" s="18"/>
      <c r="H51" s="22"/>
      <c r="I51" s="22"/>
      <c r="J51" s="22"/>
      <c r="K51" s="23"/>
      <c r="L51" s="22"/>
      <c r="M51" s="22"/>
      <c r="N51" s="57"/>
      <c r="O51" s="57"/>
      <c r="P51" s="57"/>
      <c r="Q51" s="61"/>
      <c r="R51" s="61"/>
      <c r="S51" s="61"/>
      <c r="T51" s="61"/>
      <c r="U51" s="61"/>
      <c r="V51" s="61"/>
      <c r="W51" s="61"/>
    </row>
    <row r="52" spans="1:23" s="25" customFormat="1">
      <c r="A52" s="73">
        <v>48</v>
      </c>
      <c r="B52" s="28"/>
      <c r="C52" s="28"/>
      <c r="D52" s="18"/>
      <c r="E52" s="69"/>
      <c r="F52" s="70"/>
      <c r="G52" s="18"/>
      <c r="H52" s="22"/>
      <c r="I52" s="22"/>
      <c r="J52" s="22"/>
      <c r="K52" s="23"/>
      <c r="L52" s="22"/>
      <c r="M52" s="22"/>
      <c r="N52" s="57"/>
      <c r="O52" s="57"/>
      <c r="P52" s="57"/>
      <c r="Q52" s="61"/>
      <c r="R52" s="61"/>
      <c r="S52" s="61"/>
      <c r="T52" s="61"/>
      <c r="U52" s="61"/>
      <c r="V52" s="61"/>
      <c r="W52" s="61"/>
    </row>
    <row r="53" spans="1:23" s="25" customFormat="1">
      <c r="A53" s="73">
        <v>49</v>
      </c>
      <c r="B53" s="28"/>
      <c r="C53" s="28"/>
      <c r="D53" s="18"/>
      <c r="E53" s="69"/>
      <c r="F53" s="70"/>
      <c r="G53" s="18"/>
      <c r="H53" s="22"/>
      <c r="I53" s="22"/>
      <c r="J53" s="22"/>
      <c r="K53" s="23"/>
      <c r="L53" s="22"/>
      <c r="M53" s="22"/>
      <c r="N53" s="57"/>
      <c r="O53" s="57"/>
      <c r="P53" s="57"/>
      <c r="Q53" s="61"/>
      <c r="R53" s="61"/>
      <c r="S53" s="61"/>
      <c r="T53" s="61"/>
      <c r="U53" s="61"/>
      <c r="V53" s="61"/>
      <c r="W53" s="61"/>
    </row>
    <row r="54" spans="1:23" s="25" customFormat="1">
      <c r="A54" s="73">
        <v>50</v>
      </c>
      <c r="B54" s="28"/>
      <c r="C54" s="28"/>
      <c r="D54" s="18"/>
      <c r="E54" s="69"/>
      <c r="F54" s="70"/>
      <c r="G54" s="18"/>
      <c r="H54" s="22"/>
      <c r="I54" s="22"/>
      <c r="J54" s="22"/>
      <c r="K54" s="23"/>
      <c r="L54" s="22"/>
      <c r="M54" s="22"/>
      <c r="N54" s="57"/>
      <c r="O54" s="57"/>
      <c r="P54" s="57"/>
      <c r="Q54" s="61"/>
      <c r="R54" s="61"/>
      <c r="S54" s="61"/>
      <c r="T54" s="61"/>
      <c r="U54" s="61"/>
      <c r="V54" s="61"/>
      <c r="W54" s="61"/>
    </row>
    <row r="55" spans="1:23" s="25" customFormat="1">
      <c r="A55" s="73">
        <v>51</v>
      </c>
      <c r="B55" s="28"/>
      <c r="C55" s="28"/>
      <c r="D55" s="18"/>
      <c r="E55" s="69"/>
      <c r="F55" s="70"/>
      <c r="G55" s="18"/>
      <c r="H55" s="22"/>
      <c r="I55" s="22"/>
      <c r="J55" s="22"/>
      <c r="K55" s="23"/>
      <c r="L55" s="22"/>
      <c r="M55" s="22"/>
      <c r="N55" s="57"/>
      <c r="O55" s="57"/>
      <c r="P55" s="57"/>
      <c r="Q55" s="61"/>
      <c r="R55" s="61"/>
      <c r="S55" s="61"/>
      <c r="T55" s="61"/>
      <c r="U55" s="61"/>
      <c r="V55" s="61"/>
      <c r="W55" s="61"/>
    </row>
    <row r="56" spans="1:23" s="25" customFormat="1">
      <c r="A56" s="73">
        <v>52</v>
      </c>
      <c r="B56" s="28"/>
      <c r="C56" s="28"/>
      <c r="D56" s="29"/>
      <c r="E56" s="69"/>
      <c r="F56" s="70"/>
      <c r="G56" s="18"/>
      <c r="H56" s="22"/>
      <c r="I56" s="22"/>
      <c r="J56" s="22"/>
      <c r="K56" s="23"/>
      <c r="L56" s="22"/>
      <c r="M56" s="22"/>
      <c r="N56" s="57"/>
      <c r="O56" s="57"/>
      <c r="P56" s="57"/>
      <c r="Q56" s="61"/>
      <c r="R56" s="61"/>
      <c r="S56" s="61"/>
      <c r="T56" s="61"/>
      <c r="U56" s="61"/>
      <c r="V56" s="61"/>
      <c r="W56" s="61"/>
    </row>
    <row r="57" spans="1:23" s="25" customFormat="1">
      <c r="A57" s="73">
        <v>53</v>
      </c>
      <c r="B57" s="28"/>
      <c r="C57" s="28"/>
      <c r="D57" s="18"/>
      <c r="E57" s="69"/>
      <c r="F57" s="70"/>
      <c r="G57" s="18"/>
      <c r="H57" s="22"/>
      <c r="I57" s="22"/>
      <c r="J57" s="22"/>
      <c r="K57" s="23"/>
      <c r="L57" s="22"/>
      <c r="M57" s="22"/>
      <c r="N57" s="57"/>
      <c r="O57" s="57"/>
      <c r="P57" s="57"/>
      <c r="Q57" s="61"/>
      <c r="R57" s="61"/>
      <c r="S57" s="61"/>
      <c r="T57" s="61"/>
      <c r="U57" s="61"/>
      <c r="V57" s="61"/>
      <c r="W57" s="61"/>
    </row>
    <row r="58" spans="1:23" s="25" customFormat="1">
      <c r="A58" s="73">
        <v>54</v>
      </c>
      <c r="B58" s="28"/>
      <c r="C58" s="28"/>
      <c r="D58" s="29"/>
      <c r="E58" s="69"/>
      <c r="F58" s="70"/>
      <c r="G58" s="18"/>
      <c r="H58" s="22"/>
      <c r="I58" s="22"/>
      <c r="J58" s="22"/>
      <c r="K58" s="23"/>
      <c r="L58" s="22"/>
      <c r="M58" s="22"/>
      <c r="N58" s="57"/>
      <c r="O58" s="57"/>
      <c r="P58" s="57"/>
      <c r="Q58" s="61"/>
      <c r="R58" s="61"/>
      <c r="S58" s="61"/>
      <c r="T58" s="61"/>
      <c r="U58" s="61"/>
      <c r="V58" s="61"/>
      <c r="W58" s="61"/>
    </row>
    <row r="59" spans="1:23" s="25" customFormat="1">
      <c r="A59" s="73">
        <v>55</v>
      </c>
      <c r="B59" s="28"/>
      <c r="C59" s="28"/>
      <c r="D59" s="18"/>
      <c r="E59" s="69"/>
      <c r="F59" s="70"/>
      <c r="G59" s="18"/>
      <c r="H59" s="22"/>
      <c r="I59" s="22"/>
      <c r="J59" s="22"/>
      <c r="K59" s="23"/>
      <c r="L59" s="22"/>
      <c r="M59" s="22"/>
      <c r="N59" s="57"/>
      <c r="O59" s="57"/>
      <c r="P59" s="57"/>
      <c r="Q59" s="61"/>
      <c r="R59" s="61"/>
      <c r="S59" s="61"/>
      <c r="T59" s="61"/>
      <c r="U59" s="61"/>
      <c r="V59" s="61"/>
      <c r="W59" s="61"/>
    </row>
    <row r="60" spans="1:23" s="25" customFormat="1">
      <c r="A60" s="73">
        <v>56</v>
      </c>
      <c r="B60" s="28"/>
      <c r="C60" s="28"/>
      <c r="D60" s="18"/>
      <c r="E60" s="69"/>
      <c r="F60" s="70"/>
      <c r="G60" s="18"/>
      <c r="H60" s="22"/>
      <c r="I60" s="22"/>
      <c r="J60" s="22"/>
      <c r="K60" s="23"/>
      <c r="L60" s="22"/>
      <c r="M60" s="22"/>
      <c r="N60" s="57"/>
      <c r="O60" s="57"/>
      <c r="P60" s="57"/>
      <c r="Q60" s="61"/>
      <c r="R60" s="61"/>
      <c r="S60" s="61"/>
      <c r="T60" s="61"/>
      <c r="U60" s="61"/>
      <c r="V60" s="61"/>
      <c r="W60" s="61"/>
    </row>
    <row r="61" spans="1:23" s="25" customFormat="1">
      <c r="A61" s="73">
        <v>57</v>
      </c>
      <c r="B61" s="28"/>
      <c r="C61" s="28"/>
      <c r="D61" s="18"/>
      <c r="E61" s="69"/>
      <c r="F61" s="70"/>
      <c r="G61" s="18"/>
      <c r="H61" s="22"/>
      <c r="I61" s="22"/>
      <c r="J61" s="22"/>
      <c r="K61" s="23"/>
      <c r="L61" s="22"/>
      <c r="M61" s="22"/>
      <c r="N61" s="57"/>
      <c r="O61" s="57"/>
      <c r="P61" s="57"/>
      <c r="Q61" s="61"/>
      <c r="R61" s="61"/>
      <c r="S61" s="61"/>
      <c r="T61" s="61"/>
      <c r="U61" s="61"/>
      <c r="V61" s="61"/>
      <c r="W61" s="61"/>
    </row>
    <row r="62" spans="1:23" s="25" customFormat="1">
      <c r="A62" s="73">
        <v>58</v>
      </c>
      <c r="B62" s="28"/>
      <c r="C62" s="28"/>
      <c r="D62" s="18"/>
      <c r="E62" s="69"/>
      <c r="F62" s="70"/>
      <c r="G62" s="18"/>
      <c r="H62" s="22"/>
      <c r="I62" s="22"/>
      <c r="J62" s="22"/>
      <c r="K62" s="23"/>
      <c r="L62" s="22"/>
      <c r="M62" s="22"/>
      <c r="N62" s="57"/>
      <c r="O62" s="57"/>
      <c r="P62" s="57"/>
      <c r="Q62" s="61"/>
      <c r="R62" s="61"/>
      <c r="S62" s="61"/>
      <c r="T62" s="61"/>
      <c r="U62" s="61"/>
      <c r="V62" s="61"/>
      <c r="W62" s="61"/>
    </row>
    <row r="63" spans="1:23" s="25" customFormat="1">
      <c r="A63" s="73">
        <v>59</v>
      </c>
      <c r="B63" s="28"/>
      <c r="C63" s="28"/>
      <c r="D63" s="18"/>
      <c r="E63" s="69"/>
      <c r="F63" s="70"/>
      <c r="G63" s="18"/>
      <c r="H63" s="22"/>
      <c r="I63" s="22"/>
      <c r="J63" s="22"/>
      <c r="K63" s="23"/>
      <c r="L63" s="22"/>
      <c r="M63" s="22"/>
      <c r="N63" s="57"/>
      <c r="O63" s="57"/>
      <c r="P63" s="57"/>
      <c r="Q63" s="61"/>
      <c r="R63" s="61"/>
      <c r="S63" s="61"/>
      <c r="T63" s="61"/>
      <c r="U63" s="61"/>
      <c r="V63" s="61"/>
      <c r="W63" s="61"/>
    </row>
    <row r="64" spans="1:23" s="25" customFormat="1">
      <c r="A64" s="73">
        <v>60</v>
      </c>
      <c r="B64" s="28"/>
      <c r="C64" s="28"/>
      <c r="D64" s="18"/>
      <c r="E64" s="69"/>
      <c r="F64" s="70"/>
      <c r="G64" s="18"/>
      <c r="H64" s="22"/>
      <c r="I64" s="22"/>
      <c r="J64" s="22"/>
      <c r="K64" s="23"/>
      <c r="L64" s="22"/>
      <c r="M64" s="22"/>
      <c r="N64" s="57"/>
      <c r="O64" s="57"/>
      <c r="P64" s="57"/>
      <c r="Q64" s="61"/>
      <c r="R64" s="61"/>
      <c r="S64" s="61"/>
      <c r="T64" s="61"/>
      <c r="U64" s="61"/>
      <c r="V64" s="61"/>
      <c r="W64" s="61"/>
    </row>
    <row r="65" spans="1:23" s="25" customFormat="1">
      <c r="A65" s="73">
        <v>61</v>
      </c>
      <c r="B65" s="28"/>
      <c r="C65" s="28"/>
      <c r="D65" s="18"/>
      <c r="E65" s="69"/>
      <c r="F65" s="70"/>
      <c r="G65" s="18"/>
      <c r="H65" s="22"/>
      <c r="I65" s="22"/>
      <c r="J65" s="22"/>
      <c r="K65" s="23"/>
      <c r="L65" s="22"/>
      <c r="M65" s="22"/>
      <c r="N65" s="57"/>
      <c r="O65" s="57"/>
      <c r="P65" s="57"/>
      <c r="Q65" s="61"/>
      <c r="R65" s="61"/>
      <c r="S65" s="61"/>
      <c r="T65" s="61"/>
      <c r="U65" s="61"/>
      <c r="V65" s="61"/>
      <c r="W65" s="61"/>
    </row>
    <row r="66" spans="1:23" s="25" customFormat="1">
      <c r="A66" s="73">
        <v>62</v>
      </c>
      <c r="B66" s="28"/>
      <c r="C66" s="28"/>
      <c r="D66" s="18"/>
      <c r="E66" s="69"/>
      <c r="F66" s="70"/>
      <c r="G66" s="18"/>
      <c r="H66" s="22"/>
      <c r="I66" s="22"/>
      <c r="J66" s="22"/>
      <c r="K66" s="23"/>
      <c r="L66" s="22"/>
      <c r="M66" s="22"/>
      <c r="N66" s="57"/>
      <c r="O66" s="57"/>
      <c r="P66" s="57"/>
      <c r="Q66" s="61"/>
      <c r="R66" s="61"/>
      <c r="S66" s="61"/>
      <c r="T66" s="61"/>
      <c r="U66" s="61"/>
      <c r="V66" s="61"/>
      <c r="W66" s="61"/>
    </row>
    <row r="67" spans="1:23" s="25" customFormat="1">
      <c r="A67" s="73">
        <v>63</v>
      </c>
      <c r="B67" s="28"/>
      <c r="C67" s="28"/>
      <c r="D67" s="18"/>
      <c r="E67" s="69"/>
      <c r="F67" s="70"/>
      <c r="G67" s="18"/>
      <c r="H67" s="22"/>
      <c r="I67" s="22"/>
      <c r="J67" s="22"/>
      <c r="K67" s="23"/>
      <c r="L67" s="22"/>
      <c r="M67" s="22"/>
      <c r="N67" s="57"/>
      <c r="O67" s="57"/>
      <c r="P67" s="57"/>
      <c r="Q67" s="61"/>
      <c r="R67" s="61"/>
      <c r="S67" s="61"/>
      <c r="T67" s="61"/>
      <c r="U67" s="61"/>
      <c r="V67" s="61"/>
      <c r="W67" s="61"/>
    </row>
    <row r="68" spans="1:23" s="25" customFormat="1">
      <c r="A68" s="73">
        <v>64</v>
      </c>
      <c r="B68" s="28"/>
      <c r="C68" s="28"/>
      <c r="D68" s="18"/>
      <c r="E68" s="69"/>
      <c r="F68" s="70"/>
      <c r="G68" s="18"/>
      <c r="H68" s="22"/>
      <c r="I68" s="22"/>
      <c r="J68" s="22"/>
      <c r="K68" s="23"/>
      <c r="L68" s="22"/>
      <c r="M68" s="22"/>
      <c r="N68" s="57"/>
      <c r="O68" s="57"/>
      <c r="P68" s="57"/>
      <c r="Q68" s="61"/>
      <c r="R68" s="61"/>
      <c r="S68" s="61"/>
      <c r="T68" s="61"/>
      <c r="U68" s="61"/>
      <c r="V68" s="61"/>
      <c r="W68" s="61"/>
    </row>
    <row r="69" spans="1:23" s="25" customFormat="1">
      <c r="A69" s="73">
        <v>65</v>
      </c>
      <c r="B69" s="28"/>
      <c r="C69" s="28"/>
      <c r="D69" s="18"/>
      <c r="E69" s="69"/>
      <c r="F69" s="70"/>
      <c r="G69" s="18"/>
      <c r="H69" s="22"/>
      <c r="I69" s="22"/>
      <c r="J69" s="22"/>
      <c r="K69" s="23"/>
      <c r="L69" s="22"/>
      <c r="M69" s="22"/>
      <c r="N69" s="57"/>
      <c r="O69" s="57"/>
      <c r="P69" s="57"/>
      <c r="Q69" s="61"/>
      <c r="R69" s="61"/>
      <c r="S69" s="61"/>
      <c r="T69" s="61"/>
      <c r="U69" s="61"/>
      <c r="V69" s="61"/>
      <c r="W69" s="61"/>
    </row>
    <row r="70" spans="1:23" s="25" customFormat="1">
      <c r="A70" s="73">
        <v>66</v>
      </c>
      <c r="B70" s="28"/>
      <c r="C70" s="28"/>
      <c r="D70" s="18"/>
      <c r="E70" s="69"/>
      <c r="F70" s="70"/>
      <c r="G70" s="18"/>
      <c r="H70" s="22"/>
      <c r="I70" s="22"/>
      <c r="J70" s="22"/>
      <c r="K70" s="23"/>
      <c r="L70" s="22"/>
      <c r="M70" s="22"/>
      <c r="N70" s="57"/>
      <c r="O70" s="57"/>
      <c r="P70" s="57"/>
      <c r="Q70" s="61"/>
      <c r="R70" s="61"/>
      <c r="S70" s="61"/>
      <c r="T70" s="61"/>
      <c r="U70" s="61"/>
      <c r="V70" s="61"/>
      <c r="W70" s="61"/>
    </row>
    <row r="71" spans="1:23" s="25" customFormat="1">
      <c r="A71" s="73">
        <v>67</v>
      </c>
      <c r="B71" s="28"/>
      <c r="C71" s="28"/>
      <c r="D71" s="18"/>
      <c r="E71" s="69"/>
      <c r="F71" s="70"/>
      <c r="G71" s="18"/>
      <c r="H71" s="22"/>
      <c r="I71" s="22"/>
      <c r="J71" s="22"/>
      <c r="K71" s="23"/>
      <c r="L71" s="22"/>
      <c r="M71" s="22"/>
      <c r="N71" s="57"/>
      <c r="O71" s="57"/>
      <c r="P71" s="57"/>
      <c r="Q71" s="61"/>
      <c r="R71" s="61"/>
      <c r="S71" s="61"/>
      <c r="T71" s="61"/>
      <c r="U71" s="61"/>
      <c r="V71" s="61"/>
      <c r="W71" s="61"/>
    </row>
    <row r="72" spans="1:23" s="25" customFormat="1">
      <c r="A72" s="73">
        <v>68</v>
      </c>
      <c r="B72" s="28"/>
      <c r="C72" s="28"/>
      <c r="D72" s="18"/>
      <c r="E72" s="69"/>
      <c r="F72" s="70"/>
      <c r="G72" s="18"/>
      <c r="H72" s="22"/>
      <c r="I72" s="22"/>
      <c r="J72" s="22"/>
      <c r="K72" s="23"/>
      <c r="L72" s="22"/>
      <c r="M72" s="22"/>
      <c r="N72" s="57"/>
      <c r="O72" s="57"/>
      <c r="P72" s="57"/>
      <c r="Q72" s="61"/>
      <c r="R72" s="61"/>
      <c r="S72" s="61"/>
      <c r="T72" s="61"/>
      <c r="U72" s="61"/>
      <c r="V72" s="61"/>
      <c r="W72" s="61"/>
    </row>
    <row r="73" spans="1:23" s="25" customFormat="1">
      <c r="A73" s="73">
        <v>69</v>
      </c>
      <c r="B73" s="28"/>
      <c r="C73" s="28"/>
      <c r="D73" s="18"/>
      <c r="E73" s="69"/>
      <c r="F73" s="70"/>
      <c r="G73" s="18"/>
      <c r="H73" s="22"/>
      <c r="I73" s="22"/>
      <c r="J73" s="22"/>
      <c r="K73" s="23"/>
      <c r="L73" s="22"/>
      <c r="M73" s="22"/>
      <c r="N73" s="57"/>
      <c r="O73" s="57"/>
      <c r="P73" s="57"/>
      <c r="Q73" s="61"/>
      <c r="R73" s="61"/>
      <c r="S73" s="61"/>
      <c r="T73" s="61"/>
      <c r="U73" s="61"/>
      <c r="V73" s="61"/>
      <c r="W73" s="61"/>
    </row>
    <row r="74" spans="1:23" s="25" customFormat="1">
      <c r="A74" s="73">
        <v>70</v>
      </c>
      <c r="B74" s="28"/>
      <c r="C74" s="28"/>
      <c r="D74" s="18"/>
      <c r="E74" s="69"/>
      <c r="F74" s="70"/>
      <c r="G74" s="18"/>
      <c r="H74" s="22"/>
      <c r="I74" s="22"/>
      <c r="J74" s="22"/>
      <c r="K74" s="23"/>
      <c r="L74" s="22"/>
      <c r="M74" s="22"/>
      <c r="N74" s="57"/>
      <c r="O74" s="57"/>
      <c r="P74" s="57"/>
      <c r="Q74" s="61"/>
      <c r="R74" s="61"/>
      <c r="S74" s="61"/>
      <c r="T74" s="61"/>
      <c r="U74" s="61"/>
      <c r="V74" s="61"/>
      <c r="W74" s="61"/>
    </row>
    <row r="75" spans="1:23" s="25" customFormat="1">
      <c r="A75" s="73">
        <v>71</v>
      </c>
      <c r="B75" s="28"/>
      <c r="C75" s="28"/>
      <c r="D75" s="18"/>
      <c r="E75" s="69"/>
      <c r="F75" s="70"/>
      <c r="G75" s="18"/>
      <c r="H75" s="22"/>
      <c r="I75" s="22"/>
      <c r="J75" s="22"/>
      <c r="K75" s="23"/>
      <c r="L75" s="22"/>
      <c r="M75" s="22"/>
      <c r="N75" s="57"/>
      <c r="O75" s="57"/>
      <c r="P75" s="57"/>
      <c r="Q75" s="61"/>
      <c r="R75" s="61"/>
      <c r="S75" s="61"/>
      <c r="T75" s="61"/>
      <c r="U75" s="61"/>
      <c r="V75" s="61"/>
      <c r="W75" s="61"/>
    </row>
    <row r="76" spans="1:23" s="25" customFormat="1">
      <c r="A76" s="73">
        <v>72</v>
      </c>
      <c r="B76" s="28"/>
      <c r="C76" s="28"/>
      <c r="D76" s="18"/>
      <c r="E76" s="69"/>
      <c r="F76" s="70"/>
      <c r="G76" s="18"/>
      <c r="H76" s="22"/>
      <c r="I76" s="22"/>
      <c r="J76" s="22"/>
      <c r="K76" s="23"/>
      <c r="L76" s="22"/>
      <c r="M76" s="22"/>
      <c r="N76" s="57"/>
      <c r="O76" s="57"/>
      <c r="P76" s="57"/>
      <c r="Q76" s="61"/>
      <c r="R76" s="61"/>
      <c r="S76" s="61"/>
      <c r="T76" s="61"/>
      <c r="U76" s="61"/>
      <c r="V76" s="61"/>
      <c r="W76" s="61"/>
    </row>
    <row r="77" spans="1:23" s="25" customFormat="1">
      <c r="A77" s="73">
        <v>73</v>
      </c>
      <c r="B77" s="28"/>
      <c r="C77" s="28"/>
      <c r="D77" s="18"/>
      <c r="E77" s="69"/>
      <c r="F77" s="70"/>
      <c r="G77" s="18"/>
      <c r="H77" s="22"/>
      <c r="I77" s="22"/>
      <c r="J77" s="22"/>
      <c r="K77" s="23"/>
      <c r="L77" s="22"/>
      <c r="M77" s="22"/>
      <c r="N77" s="57"/>
      <c r="O77" s="57"/>
      <c r="P77" s="57"/>
      <c r="Q77" s="61"/>
      <c r="R77" s="61"/>
      <c r="S77" s="61"/>
      <c r="T77" s="61"/>
      <c r="U77" s="61"/>
      <c r="V77" s="61"/>
      <c r="W77" s="61"/>
    </row>
    <row r="78" spans="1:23" s="25" customFormat="1">
      <c r="A78" s="73">
        <v>74</v>
      </c>
      <c r="B78" s="28"/>
      <c r="C78" s="28"/>
      <c r="D78" s="18"/>
      <c r="E78" s="69"/>
      <c r="F78" s="70"/>
      <c r="G78" s="18"/>
      <c r="H78" s="22"/>
      <c r="I78" s="22"/>
      <c r="J78" s="22"/>
      <c r="K78" s="23"/>
      <c r="L78" s="22"/>
      <c r="M78" s="22"/>
      <c r="N78" s="57"/>
      <c r="O78" s="57"/>
      <c r="P78" s="57"/>
      <c r="Q78" s="61"/>
      <c r="R78" s="61"/>
      <c r="S78" s="61"/>
      <c r="T78" s="61"/>
      <c r="U78" s="61"/>
      <c r="V78" s="61"/>
      <c r="W78" s="61"/>
    </row>
    <row r="79" spans="1:23" s="25" customFormat="1">
      <c r="A79" s="73">
        <v>75</v>
      </c>
      <c r="B79" s="28"/>
      <c r="C79" s="28"/>
      <c r="D79" s="18"/>
      <c r="E79" s="69"/>
      <c r="F79" s="70"/>
      <c r="G79" s="18"/>
      <c r="H79" s="22"/>
      <c r="I79" s="22"/>
      <c r="J79" s="22"/>
      <c r="K79" s="23"/>
      <c r="L79" s="22"/>
      <c r="M79" s="22"/>
      <c r="N79" s="57"/>
      <c r="O79" s="57"/>
      <c r="P79" s="57"/>
      <c r="Q79" s="61"/>
      <c r="R79" s="61"/>
      <c r="S79" s="61"/>
      <c r="T79" s="61"/>
      <c r="U79" s="61"/>
      <c r="V79" s="61"/>
      <c r="W79" s="61"/>
    </row>
    <row r="80" spans="1:23" s="25" customFormat="1">
      <c r="A80" s="73">
        <v>76</v>
      </c>
      <c r="B80" s="28"/>
      <c r="C80" s="28"/>
      <c r="D80" s="18"/>
      <c r="E80" s="69"/>
      <c r="F80" s="70"/>
      <c r="G80" s="18"/>
      <c r="H80" s="22"/>
      <c r="I80" s="22"/>
      <c r="J80" s="22"/>
      <c r="K80" s="23"/>
      <c r="L80" s="22"/>
      <c r="M80" s="22"/>
      <c r="N80" s="57"/>
      <c r="O80" s="57"/>
      <c r="P80" s="57"/>
      <c r="Q80" s="61"/>
      <c r="R80" s="61"/>
      <c r="S80" s="61"/>
      <c r="T80" s="61"/>
      <c r="U80" s="61"/>
      <c r="V80" s="61"/>
      <c r="W80" s="61"/>
    </row>
    <row r="81" spans="1:23" s="25" customFormat="1">
      <c r="A81" s="73">
        <v>77</v>
      </c>
      <c r="B81" s="28"/>
      <c r="C81" s="28"/>
      <c r="D81" s="18"/>
      <c r="E81" s="69"/>
      <c r="F81" s="70"/>
      <c r="G81" s="18"/>
      <c r="H81" s="22"/>
      <c r="I81" s="22"/>
      <c r="J81" s="22"/>
      <c r="K81" s="23"/>
      <c r="L81" s="22"/>
      <c r="M81" s="22"/>
      <c r="N81" s="57"/>
      <c r="O81" s="57"/>
      <c r="P81" s="57"/>
      <c r="Q81" s="61"/>
      <c r="R81" s="61"/>
      <c r="S81" s="61"/>
      <c r="T81" s="61"/>
      <c r="U81" s="61"/>
      <c r="V81" s="61"/>
      <c r="W81" s="61"/>
    </row>
    <row r="82" spans="1:23" s="25" customFormat="1">
      <c r="A82" s="73">
        <v>78</v>
      </c>
      <c r="B82" s="28"/>
      <c r="C82" s="28"/>
      <c r="D82" s="18"/>
      <c r="E82" s="69"/>
      <c r="F82" s="70"/>
      <c r="G82" s="18"/>
      <c r="H82" s="22"/>
      <c r="I82" s="22"/>
      <c r="J82" s="22"/>
      <c r="K82" s="23"/>
      <c r="L82" s="22"/>
      <c r="M82" s="22"/>
      <c r="N82" s="57"/>
      <c r="O82" s="57"/>
      <c r="P82" s="57"/>
      <c r="Q82" s="61"/>
      <c r="R82" s="61"/>
      <c r="S82" s="61"/>
      <c r="T82" s="61"/>
      <c r="U82" s="61"/>
      <c r="V82" s="61"/>
      <c r="W82" s="61"/>
    </row>
    <row r="83" spans="1:23" s="25" customFormat="1">
      <c r="A83" s="73">
        <v>79</v>
      </c>
      <c r="B83" s="28"/>
      <c r="C83" s="28"/>
      <c r="D83" s="18"/>
      <c r="E83" s="69"/>
      <c r="F83" s="70"/>
      <c r="G83" s="18"/>
      <c r="H83" s="22"/>
      <c r="I83" s="22"/>
      <c r="J83" s="22"/>
      <c r="K83" s="23"/>
      <c r="L83" s="22"/>
      <c r="M83" s="22"/>
      <c r="N83" s="57"/>
      <c r="O83" s="57"/>
      <c r="P83" s="57"/>
      <c r="Q83" s="61"/>
      <c r="R83" s="61"/>
      <c r="S83" s="61"/>
      <c r="T83" s="61"/>
      <c r="U83" s="61"/>
      <c r="V83" s="61"/>
      <c r="W83" s="61"/>
    </row>
    <row r="84" spans="1:23" s="25" customFormat="1">
      <c r="A84" s="73">
        <v>80</v>
      </c>
      <c r="B84" s="28"/>
      <c r="C84" s="28"/>
      <c r="D84" s="18"/>
      <c r="E84" s="69"/>
      <c r="F84" s="70"/>
      <c r="G84" s="18"/>
      <c r="H84" s="22"/>
      <c r="I84" s="22"/>
      <c r="J84" s="22"/>
      <c r="K84" s="23"/>
      <c r="L84" s="22"/>
      <c r="M84" s="22"/>
      <c r="N84" s="57"/>
      <c r="O84" s="57"/>
      <c r="P84" s="57"/>
      <c r="Q84" s="61"/>
      <c r="R84" s="61"/>
      <c r="S84" s="61"/>
      <c r="T84" s="61"/>
      <c r="U84" s="61"/>
      <c r="V84" s="61"/>
      <c r="W84" s="61"/>
    </row>
    <row r="85" spans="1:23" s="25" customFormat="1">
      <c r="A85" s="73">
        <v>81</v>
      </c>
      <c r="B85" s="28"/>
      <c r="C85" s="28"/>
      <c r="D85" s="18"/>
      <c r="E85" s="69"/>
      <c r="F85" s="70"/>
      <c r="G85" s="18"/>
      <c r="H85" s="22"/>
      <c r="I85" s="22"/>
      <c r="J85" s="22"/>
      <c r="K85" s="23"/>
      <c r="L85" s="22"/>
      <c r="M85" s="22"/>
      <c r="N85" s="57"/>
      <c r="O85" s="57"/>
      <c r="P85" s="57"/>
      <c r="Q85" s="61"/>
      <c r="R85" s="61"/>
      <c r="S85" s="61"/>
      <c r="T85" s="61"/>
      <c r="U85" s="61"/>
      <c r="V85" s="61"/>
      <c r="W85" s="61"/>
    </row>
    <row r="86" spans="1:23" s="25" customFormat="1">
      <c r="A86" s="73">
        <v>82</v>
      </c>
      <c r="B86" s="28"/>
      <c r="C86" s="28"/>
      <c r="D86" s="18"/>
      <c r="E86" s="69"/>
      <c r="F86" s="70"/>
      <c r="G86" s="18"/>
      <c r="H86" s="22"/>
      <c r="I86" s="22"/>
      <c r="J86" s="22"/>
      <c r="K86" s="23"/>
      <c r="L86" s="22"/>
      <c r="M86" s="22"/>
      <c r="N86" s="57"/>
      <c r="O86" s="57"/>
      <c r="P86" s="57"/>
      <c r="Q86" s="61"/>
      <c r="R86" s="61"/>
      <c r="S86" s="61"/>
      <c r="T86" s="61"/>
      <c r="U86" s="61"/>
      <c r="V86" s="61"/>
      <c r="W86" s="61"/>
    </row>
    <row r="87" spans="1:23" s="25" customFormat="1">
      <c r="A87" s="73">
        <v>83</v>
      </c>
      <c r="B87" s="28"/>
      <c r="C87" s="28"/>
      <c r="D87" s="18"/>
      <c r="E87" s="69"/>
      <c r="F87" s="70"/>
      <c r="G87" s="18"/>
      <c r="H87" s="22"/>
      <c r="I87" s="22"/>
      <c r="J87" s="22"/>
      <c r="K87" s="23"/>
      <c r="L87" s="22"/>
      <c r="M87" s="22"/>
      <c r="N87" s="57"/>
      <c r="O87" s="57"/>
      <c r="P87" s="57"/>
      <c r="Q87" s="61"/>
      <c r="R87" s="61"/>
      <c r="S87" s="61"/>
      <c r="T87" s="61"/>
      <c r="U87" s="61"/>
      <c r="V87" s="61"/>
      <c r="W87" s="61"/>
    </row>
    <row r="88" spans="1:23" s="25" customFormat="1">
      <c r="A88" s="73">
        <v>84</v>
      </c>
      <c r="B88" s="28"/>
      <c r="C88" s="28"/>
      <c r="D88" s="18"/>
      <c r="E88" s="69"/>
      <c r="F88" s="70"/>
      <c r="G88" s="18"/>
      <c r="H88" s="22"/>
      <c r="I88" s="22"/>
      <c r="J88" s="22"/>
      <c r="K88" s="23"/>
      <c r="L88" s="22"/>
      <c r="M88" s="22"/>
      <c r="N88" s="57"/>
      <c r="O88" s="57"/>
      <c r="P88" s="57"/>
      <c r="Q88" s="61"/>
      <c r="R88" s="61"/>
      <c r="S88" s="61"/>
      <c r="T88" s="61"/>
      <c r="U88" s="61"/>
      <c r="V88" s="61"/>
      <c r="W88" s="61"/>
    </row>
    <row r="89" spans="1:23" s="25" customFormat="1">
      <c r="A89" s="73">
        <v>85</v>
      </c>
      <c r="B89" s="28"/>
      <c r="C89" s="28"/>
      <c r="D89" s="18"/>
      <c r="E89" s="69"/>
      <c r="F89" s="70"/>
      <c r="G89" s="18"/>
      <c r="H89" s="22"/>
      <c r="I89" s="22"/>
      <c r="J89" s="22"/>
      <c r="K89" s="23"/>
      <c r="L89" s="22"/>
      <c r="M89" s="22"/>
      <c r="N89" s="57"/>
      <c r="O89" s="57"/>
      <c r="P89" s="57"/>
      <c r="Q89" s="61"/>
      <c r="R89" s="61"/>
      <c r="S89" s="61"/>
      <c r="T89" s="61"/>
      <c r="U89" s="61"/>
      <c r="V89" s="61"/>
      <c r="W89" s="61"/>
    </row>
    <row r="90" spans="1:23" s="25" customFormat="1">
      <c r="A90" s="73">
        <v>86</v>
      </c>
      <c r="B90" s="28"/>
      <c r="C90" s="28"/>
      <c r="D90" s="18"/>
      <c r="E90" s="69"/>
      <c r="F90" s="70"/>
      <c r="G90" s="18"/>
      <c r="H90" s="22"/>
      <c r="I90" s="22"/>
      <c r="J90" s="22"/>
      <c r="K90" s="23"/>
      <c r="L90" s="22"/>
      <c r="M90" s="22"/>
      <c r="N90" s="57"/>
      <c r="O90" s="57"/>
      <c r="P90" s="57"/>
      <c r="Q90" s="61"/>
      <c r="R90" s="61"/>
      <c r="S90" s="61"/>
      <c r="T90" s="61"/>
      <c r="U90" s="61"/>
      <c r="V90" s="61"/>
      <c r="W90" s="61"/>
    </row>
    <row r="91" spans="1:23" s="25" customFormat="1">
      <c r="A91" s="73">
        <v>87</v>
      </c>
      <c r="B91" s="28"/>
      <c r="C91" s="28"/>
      <c r="D91" s="18"/>
      <c r="E91" s="69"/>
      <c r="F91" s="70"/>
      <c r="G91" s="18"/>
      <c r="H91" s="22"/>
      <c r="I91" s="22"/>
      <c r="J91" s="22"/>
      <c r="K91" s="23"/>
      <c r="L91" s="22"/>
      <c r="M91" s="22"/>
      <c r="N91" s="57"/>
      <c r="O91" s="57"/>
      <c r="P91" s="57"/>
      <c r="Q91" s="61"/>
      <c r="R91" s="61"/>
      <c r="S91" s="61"/>
      <c r="T91" s="61"/>
      <c r="U91" s="61"/>
      <c r="V91" s="61"/>
      <c r="W91" s="61"/>
    </row>
    <row r="92" spans="1:23" s="25" customFormat="1">
      <c r="A92" s="73">
        <v>88</v>
      </c>
      <c r="B92" s="28"/>
      <c r="C92" s="28"/>
      <c r="D92" s="18"/>
      <c r="E92" s="69"/>
      <c r="F92" s="70"/>
      <c r="G92" s="18"/>
      <c r="H92" s="22"/>
      <c r="I92" s="22"/>
      <c r="J92" s="22"/>
      <c r="K92" s="23"/>
      <c r="L92" s="22"/>
      <c r="M92" s="22"/>
      <c r="N92" s="57"/>
      <c r="O92" s="57"/>
      <c r="P92" s="57"/>
      <c r="Q92" s="61"/>
      <c r="R92" s="61"/>
      <c r="S92" s="61"/>
      <c r="T92" s="61"/>
      <c r="U92" s="61"/>
      <c r="V92" s="61"/>
      <c r="W92" s="61"/>
    </row>
    <row r="93" spans="1:23" s="25" customFormat="1">
      <c r="A93" s="73">
        <v>89</v>
      </c>
      <c r="B93" s="28"/>
      <c r="C93" s="28"/>
      <c r="D93" s="18"/>
      <c r="E93" s="69"/>
      <c r="F93" s="70"/>
      <c r="G93" s="18"/>
      <c r="H93" s="22"/>
      <c r="I93" s="22"/>
      <c r="J93" s="22"/>
      <c r="K93" s="23"/>
      <c r="L93" s="22"/>
      <c r="M93" s="22"/>
      <c r="N93" s="57"/>
      <c r="O93" s="57"/>
      <c r="P93" s="57"/>
      <c r="Q93" s="61"/>
      <c r="R93" s="61"/>
      <c r="S93" s="61"/>
      <c r="T93" s="61"/>
      <c r="U93" s="61"/>
      <c r="V93" s="61"/>
      <c r="W93" s="61"/>
    </row>
    <row r="94" spans="1:23">
      <c r="A94" s="73">
        <v>90</v>
      </c>
      <c r="B94" s="28"/>
      <c r="C94" s="28"/>
      <c r="D94" s="18"/>
      <c r="E94" s="69"/>
      <c r="F94" s="70"/>
      <c r="G94" s="18"/>
      <c r="H94" s="22"/>
      <c r="I94" s="22"/>
      <c r="J94" s="22"/>
      <c r="K94" s="23"/>
      <c r="L94" s="22"/>
      <c r="M94" s="22"/>
      <c r="N94" s="57"/>
      <c r="O94" s="57"/>
      <c r="P94" s="57"/>
    </row>
    <row r="95" spans="1:23">
      <c r="A95" s="73">
        <v>91</v>
      </c>
      <c r="B95" s="28"/>
      <c r="C95" s="28"/>
      <c r="D95" s="18"/>
      <c r="E95" s="69"/>
      <c r="F95" s="70"/>
      <c r="G95" s="18"/>
      <c r="H95" s="22"/>
      <c r="I95" s="22"/>
      <c r="J95" s="22"/>
      <c r="K95" s="23"/>
      <c r="L95" s="22"/>
      <c r="M95" s="22"/>
      <c r="N95" s="57"/>
      <c r="O95" s="57"/>
      <c r="P95" s="57"/>
    </row>
    <row r="96" spans="1:23">
      <c r="A96" s="73">
        <v>92</v>
      </c>
      <c r="B96" s="28"/>
      <c r="C96" s="28"/>
      <c r="D96" s="18"/>
      <c r="E96" s="69"/>
      <c r="F96" s="70"/>
      <c r="G96" s="18"/>
      <c r="H96" s="22"/>
      <c r="I96" s="22"/>
      <c r="J96" s="22"/>
      <c r="K96" s="23"/>
      <c r="L96" s="22"/>
      <c r="M96" s="22"/>
      <c r="N96" s="57"/>
      <c r="O96" s="57"/>
      <c r="P96" s="57"/>
    </row>
    <row r="97" spans="1:23">
      <c r="A97" s="73">
        <v>93</v>
      </c>
      <c r="B97" s="28"/>
      <c r="C97" s="28"/>
      <c r="D97" s="18"/>
      <c r="E97" s="69"/>
      <c r="F97" s="70"/>
      <c r="G97" s="18"/>
      <c r="H97" s="22"/>
      <c r="I97" s="22"/>
      <c r="J97" s="22"/>
      <c r="K97" s="23"/>
      <c r="L97" s="22"/>
      <c r="M97" s="22"/>
      <c r="N97" s="57"/>
      <c r="O97" s="57"/>
      <c r="P97" s="57"/>
    </row>
    <row r="98" spans="1:23">
      <c r="A98" s="73">
        <v>94</v>
      </c>
      <c r="B98" s="28"/>
      <c r="C98" s="28"/>
      <c r="D98" s="18"/>
      <c r="E98" s="69"/>
      <c r="F98" s="70"/>
      <c r="G98" s="18"/>
      <c r="H98" s="22"/>
      <c r="I98" s="22"/>
      <c r="J98" s="22"/>
      <c r="K98" s="23"/>
      <c r="L98" s="22"/>
      <c r="M98" s="22"/>
      <c r="N98" s="57"/>
      <c r="O98" s="57"/>
      <c r="P98" s="57"/>
    </row>
    <row r="99" spans="1:23">
      <c r="A99" s="73">
        <v>95</v>
      </c>
      <c r="B99" s="28"/>
      <c r="C99" s="28"/>
      <c r="D99" s="18"/>
      <c r="E99" s="69"/>
      <c r="F99" s="70"/>
      <c r="G99" s="18"/>
      <c r="H99" s="22"/>
      <c r="I99" s="22"/>
      <c r="J99" s="22"/>
      <c r="K99" s="23"/>
      <c r="L99" s="22"/>
      <c r="M99" s="22"/>
      <c r="N99" s="57"/>
      <c r="O99" s="57"/>
      <c r="P99" s="57"/>
    </row>
    <row r="100" spans="1:23">
      <c r="A100" s="73">
        <v>96</v>
      </c>
      <c r="B100" s="28"/>
      <c r="C100" s="28"/>
      <c r="D100" s="18"/>
      <c r="E100" s="69"/>
      <c r="F100" s="70"/>
      <c r="G100" s="18"/>
      <c r="H100" s="22"/>
      <c r="I100" s="22"/>
      <c r="J100" s="22"/>
      <c r="K100" s="23"/>
      <c r="L100" s="22"/>
      <c r="M100" s="22"/>
      <c r="N100" s="57"/>
      <c r="O100" s="57"/>
      <c r="P100" s="57"/>
    </row>
    <row r="101" spans="1:23">
      <c r="A101" s="73">
        <v>97</v>
      </c>
      <c r="B101" s="28"/>
      <c r="C101" s="28"/>
      <c r="D101" s="18"/>
      <c r="E101" s="69"/>
      <c r="F101" s="70"/>
      <c r="G101" s="18"/>
      <c r="H101" s="22"/>
      <c r="I101" s="22"/>
      <c r="J101" s="22"/>
      <c r="K101" s="23"/>
      <c r="L101" s="22"/>
      <c r="M101" s="22"/>
      <c r="N101" s="57"/>
      <c r="O101" s="57"/>
      <c r="P101" s="57"/>
    </row>
    <row r="102" spans="1:23">
      <c r="A102" s="73">
        <v>98</v>
      </c>
      <c r="B102" s="28"/>
      <c r="C102" s="28"/>
      <c r="D102" s="18"/>
      <c r="E102" s="69"/>
      <c r="F102" s="70"/>
      <c r="G102" s="18"/>
      <c r="H102" s="22"/>
      <c r="I102" s="22"/>
      <c r="J102" s="22"/>
      <c r="K102" s="23"/>
      <c r="L102" s="22"/>
      <c r="M102" s="22"/>
      <c r="N102" s="57"/>
      <c r="O102" s="57"/>
      <c r="P102" s="57"/>
    </row>
    <row r="103" spans="1:23">
      <c r="A103" s="73">
        <v>99</v>
      </c>
      <c r="B103" s="28"/>
      <c r="C103" s="28"/>
      <c r="D103" s="18"/>
      <c r="E103" s="69"/>
      <c r="F103" s="70"/>
      <c r="G103" s="18"/>
      <c r="H103" s="22"/>
      <c r="I103" s="22"/>
      <c r="J103" s="22"/>
      <c r="K103" s="23"/>
      <c r="L103" s="22"/>
      <c r="M103" s="22"/>
      <c r="N103" s="57"/>
      <c r="O103" s="57"/>
      <c r="P103" s="57"/>
    </row>
    <row r="104" spans="1:23" s="26" customFormat="1">
      <c r="A104" s="73">
        <v>100</v>
      </c>
      <c r="B104" s="28"/>
      <c r="C104" s="28"/>
      <c r="D104" s="18"/>
      <c r="E104" s="69"/>
      <c r="F104" s="70"/>
      <c r="G104" s="18"/>
      <c r="H104" s="22"/>
      <c r="I104" s="22"/>
      <c r="J104" s="22"/>
      <c r="K104" s="23"/>
      <c r="L104" s="22"/>
      <c r="M104" s="22"/>
      <c r="N104" s="63"/>
      <c r="O104" s="63"/>
      <c r="P104" s="63"/>
      <c r="Q104" s="64"/>
      <c r="R104" s="64"/>
      <c r="S104" s="64"/>
      <c r="T104" s="64"/>
      <c r="U104" s="64"/>
      <c r="V104" s="64"/>
      <c r="W104" s="64"/>
    </row>
    <row r="105" spans="1:23">
      <c r="A105" s="73">
        <v>101</v>
      </c>
      <c r="B105" s="28"/>
      <c r="C105" s="28"/>
      <c r="D105" s="18"/>
      <c r="E105" s="69"/>
      <c r="F105" s="70"/>
      <c r="G105" s="18"/>
      <c r="H105" s="22"/>
      <c r="I105" s="22"/>
      <c r="J105" s="22"/>
      <c r="K105" s="23"/>
      <c r="L105" s="22"/>
      <c r="M105" s="22"/>
      <c r="N105" s="63"/>
      <c r="O105" s="63"/>
      <c r="P105" s="63"/>
    </row>
    <row r="106" spans="1:23">
      <c r="A106" s="73">
        <v>102</v>
      </c>
      <c r="B106" s="28"/>
      <c r="C106" s="28"/>
      <c r="D106" s="18"/>
      <c r="E106" s="69"/>
      <c r="F106" s="70"/>
      <c r="G106" s="18"/>
      <c r="H106" s="22"/>
      <c r="I106" s="22"/>
      <c r="J106" s="22"/>
      <c r="K106" s="23"/>
      <c r="L106" s="22"/>
      <c r="M106" s="22"/>
    </row>
    <row r="107" spans="1:23">
      <c r="A107" s="73">
        <v>103</v>
      </c>
      <c r="B107" s="28"/>
      <c r="C107" s="28"/>
      <c r="D107" s="18"/>
      <c r="E107" s="69"/>
      <c r="F107" s="70"/>
      <c r="G107" s="18"/>
      <c r="H107" s="22"/>
      <c r="I107" s="22"/>
      <c r="J107" s="22"/>
      <c r="K107" s="23"/>
      <c r="L107" s="22"/>
      <c r="M107" s="22"/>
    </row>
    <row r="108" spans="1:23">
      <c r="A108" s="73">
        <v>104</v>
      </c>
      <c r="B108" s="28"/>
      <c r="C108" s="28"/>
      <c r="D108" s="18"/>
      <c r="E108" s="69"/>
      <c r="F108" s="70"/>
      <c r="G108" s="18"/>
      <c r="H108" s="22"/>
      <c r="I108" s="22"/>
      <c r="J108" s="22"/>
      <c r="K108" s="23"/>
      <c r="L108" s="22"/>
      <c r="M108" s="22"/>
    </row>
    <row r="109" spans="1:23">
      <c r="A109" s="73">
        <v>105</v>
      </c>
      <c r="B109" s="28"/>
      <c r="C109" s="28"/>
      <c r="D109" s="18"/>
      <c r="E109" s="69"/>
      <c r="F109" s="70"/>
      <c r="G109" s="18"/>
      <c r="H109" s="22"/>
      <c r="I109" s="22"/>
      <c r="J109" s="22"/>
      <c r="K109" s="23"/>
      <c r="L109" s="22"/>
      <c r="M109" s="22"/>
    </row>
    <row r="110" spans="1:23">
      <c r="A110" s="73">
        <v>106</v>
      </c>
      <c r="B110" s="28"/>
      <c r="C110" s="28"/>
      <c r="D110" s="18"/>
      <c r="E110" s="69"/>
      <c r="F110" s="70"/>
      <c r="G110" s="18"/>
      <c r="H110" s="22"/>
      <c r="I110" s="22"/>
      <c r="J110" s="22"/>
      <c r="K110" s="23"/>
      <c r="L110" s="22"/>
      <c r="M110" s="22"/>
    </row>
    <row r="111" spans="1:23">
      <c r="A111" s="73">
        <v>107</v>
      </c>
      <c r="B111" s="28"/>
      <c r="C111" s="28"/>
      <c r="D111" s="18"/>
      <c r="E111" s="69"/>
      <c r="F111" s="70"/>
      <c r="G111" s="18"/>
      <c r="H111" s="22"/>
      <c r="I111" s="22"/>
      <c r="J111" s="22"/>
      <c r="K111" s="23"/>
      <c r="L111" s="22"/>
      <c r="M111" s="22"/>
    </row>
    <row r="112" spans="1:23">
      <c r="A112" s="73">
        <v>108</v>
      </c>
      <c r="B112" s="28"/>
      <c r="C112" s="28"/>
      <c r="D112" s="18"/>
      <c r="E112" s="69"/>
      <c r="F112" s="70"/>
      <c r="G112" s="18"/>
      <c r="H112" s="22"/>
      <c r="I112" s="22"/>
      <c r="J112" s="22"/>
      <c r="K112" s="23"/>
      <c r="L112" s="22"/>
      <c r="M112" s="22"/>
    </row>
    <row r="113" spans="1:13">
      <c r="A113" s="73">
        <v>109</v>
      </c>
      <c r="B113" s="28"/>
      <c r="C113" s="28"/>
      <c r="D113" s="18"/>
      <c r="E113" s="69"/>
      <c r="F113" s="70"/>
      <c r="G113" s="18"/>
      <c r="H113" s="22"/>
      <c r="I113" s="22"/>
      <c r="J113" s="22"/>
      <c r="K113" s="23"/>
      <c r="L113" s="22"/>
      <c r="M113" s="22"/>
    </row>
    <row r="114" spans="1:13">
      <c r="A114" s="73">
        <v>110</v>
      </c>
      <c r="B114" s="28"/>
      <c r="C114" s="28"/>
      <c r="D114" s="18"/>
      <c r="E114" s="69"/>
      <c r="F114" s="70"/>
      <c r="G114" s="18"/>
      <c r="H114" s="22"/>
      <c r="I114" s="22"/>
      <c r="J114" s="22"/>
      <c r="K114" s="23"/>
      <c r="L114" s="22"/>
      <c r="M114" s="22"/>
    </row>
    <row r="115" spans="1:13">
      <c r="A115" s="73">
        <v>111</v>
      </c>
      <c r="B115" s="28"/>
      <c r="C115" s="28"/>
      <c r="D115" s="18"/>
      <c r="E115" s="69"/>
      <c r="F115" s="70"/>
      <c r="G115" s="18"/>
      <c r="H115" s="22"/>
      <c r="I115" s="22"/>
      <c r="J115" s="22"/>
      <c r="K115" s="23"/>
      <c r="L115" s="22"/>
      <c r="M115" s="22"/>
    </row>
    <row r="116" spans="1:13">
      <c r="A116" s="73">
        <v>112</v>
      </c>
      <c r="B116" s="28"/>
      <c r="C116" s="28"/>
      <c r="D116" s="18"/>
      <c r="E116" s="69"/>
      <c r="F116" s="70"/>
      <c r="G116" s="18"/>
      <c r="H116" s="22"/>
      <c r="I116" s="22"/>
      <c r="J116" s="22"/>
      <c r="K116" s="23"/>
      <c r="L116" s="22"/>
      <c r="M116" s="22"/>
    </row>
    <row r="117" spans="1:13">
      <c r="A117" s="73">
        <v>113</v>
      </c>
      <c r="B117" s="28"/>
      <c r="C117" s="28"/>
      <c r="D117" s="18"/>
      <c r="E117" s="69"/>
      <c r="F117" s="70"/>
      <c r="G117" s="18"/>
      <c r="H117" s="22"/>
      <c r="I117" s="22"/>
      <c r="J117" s="22"/>
      <c r="K117" s="23"/>
      <c r="L117" s="22"/>
      <c r="M117" s="22"/>
    </row>
    <row r="118" spans="1:13">
      <c r="A118" s="73">
        <v>114</v>
      </c>
      <c r="B118" s="28"/>
      <c r="C118" s="28"/>
      <c r="D118" s="18"/>
      <c r="E118" s="69"/>
      <c r="F118" s="70"/>
      <c r="G118" s="18"/>
      <c r="H118" s="22"/>
      <c r="I118" s="22"/>
      <c r="J118" s="22"/>
      <c r="K118" s="23"/>
      <c r="L118" s="22"/>
      <c r="M118" s="22"/>
    </row>
    <row r="119" spans="1:13">
      <c r="A119" s="73">
        <v>115</v>
      </c>
      <c r="B119" s="28"/>
      <c r="C119" s="28"/>
      <c r="D119" s="18"/>
      <c r="E119" s="69"/>
      <c r="F119" s="70"/>
      <c r="G119" s="18"/>
      <c r="H119" s="22"/>
      <c r="I119" s="22"/>
      <c r="J119" s="22"/>
      <c r="K119" s="23"/>
      <c r="L119" s="22"/>
      <c r="M119" s="22"/>
    </row>
    <row r="120" spans="1:13">
      <c r="A120" s="73">
        <v>116</v>
      </c>
      <c r="B120" s="28"/>
      <c r="C120" s="28"/>
      <c r="D120" s="18"/>
      <c r="E120" s="69"/>
      <c r="F120" s="70"/>
      <c r="G120" s="18"/>
      <c r="H120" s="22"/>
      <c r="I120" s="22"/>
      <c r="J120" s="22"/>
      <c r="K120" s="23"/>
      <c r="L120" s="22"/>
      <c r="M120" s="22"/>
    </row>
    <row r="121" spans="1:13">
      <c r="A121" s="73">
        <v>117</v>
      </c>
      <c r="B121" s="28"/>
      <c r="C121" s="28"/>
      <c r="D121" s="18"/>
      <c r="E121" s="69"/>
      <c r="F121" s="70"/>
      <c r="G121" s="18"/>
      <c r="H121" s="22"/>
      <c r="I121" s="22"/>
      <c r="J121" s="22"/>
      <c r="K121" s="23"/>
      <c r="L121" s="22"/>
      <c r="M121" s="22"/>
    </row>
    <row r="122" spans="1:13">
      <c r="A122" s="73">
        <v>118</v>
      </c>
      <c r="B122" s="28"/>
      <c r="C122" s="28"/>
      <c r="D122" s="18"/>
      <c r="E122" s="69"/>
      <c r="F122" s="70"/>
      <c r="G122" s="18"/>
      <c r="H122" s="22"/>
      <c r="I122" s="22"/>
      <c r="J122" s="22"/>
      <c r="K122" s="23"/>
      <c r="L122" s="22"/>
      <c r="M122" s="22"/>
    </row>
    <row r="123" spans="1:13">
      <c r="A123" s="73">
        <v>119</v>
      </c>
      <c r="B123" s="28"/>
      <c r="C123" s="28"/>
      <c r="D123" s="18"/>
      <c r="E123" s="69"/>
      <c r="F123" s="70"/>
      <c r="G123" s="18"/>
      <c r="H123" s="22"/>
      <c r="I123" s="22"/>
      <c r="J123" s="22"/>
      <c r="K123" s="23"/>
      <c r="L123" s="22"/>
      <c r="M123" s="22"/>
    </row>
    <row r="124" spans="1:13">
      <c r="A124" s="73">
        <v>120</v>
      </c>
      <c r="B124" s="28"/>
      <c r="C124" s="28"/>
      <c r="D124" s="18"/>
      <c r="E124" s="69"/>
      <c r="F124" s="70"/>
      <c r="G124" s="18"/>
      <c r="H124" s="22"/>
      <c r="I124" s="22"/>
      <c r="J124" s="22"/>
      <c r="K124" s="23"/>
      <c r="L124" s="22"/>
      <c r="M124" s="22"/>
    </row>
    <row r="125" spans="1:13">
      <c r="A125" s="73">
        <v>121</v>
      </c>
      <c r="B125" s="28"/>
      <c r="C125" s="28"/>
      <c r="D125" s="18"/>
      <c r="E125" s="69"/>
      <c r="F125" s="70"/>
      <c r="G125" s="18"/>
      <c r="H125" s="22"/>
      <c r="I125" s="22"/>
      <c r="J125" s="22"/>
      <c r="K125" s="23"/>
      <c r="L125" s="22"/>
      <c r="M125" s="22"/>
    </row>
    <row r="126" spans="1:13">
      <c r="A126" s="73">
        <v>122</v>
      </c>
      <c r="B126" s="28"/>
      <c r="C126" s="28"/>
      <c r="D126" s="18"/>
      <c r="E126" s="69"/>
      <c r="F126" s="70"/>
      <c r="G126" s="18"/>
      <c r="H126" s="22"/>
      <c r="I126" s="22"/>
      <c r="J126" s="22"/>
      <c r="K126" s="23"/>
      <c r="L126" s="22"/>
      <c r="M126" s="22"/>
    </row>
    <row r="127" spans="1:13">
      <c r="A127" s="73">
        <v>123</v>
      </c>
      <c r="B127" s="28"/>
      <c r="C127" s="28"/>
      <c r="D127" s="18"/>
      <c r="E127" s="69"/>
      <c r="F127" s="70"/>
      <c r="G127" s="18"/>
      <c r="H127" s="22"/>
      <c r="I127" s="22"/>
      <c r="J127" s="22"/>
      <c r="K127" s="23"/>
      <c r="L127" s="22"/>
      <c r="M127" s="22"/>
    </row>
    <row r="128" spans="1:13">
      <c r="A128" s="73">
        <v>124</v>
      </c>
      <c r="B128" s="28"/>
      <c r="C128" s="28"/>
      <c r="D128" s="18"/>
      <c r="E128" s="69"/>
      <c r="F128" s="70"/>
      <c r="G128" s="18"/>
      <c r="H128" s="22"/>
      <c r="I128" s="22"/>
      <c r="J128" s="22"/>
      <c r="K128" s="23"/>
      <c r="L128" s="22"/>
      <c r="M128" s="22"/>
    </row>
    <row r="129" spans="1:13">
      <c r="A129" s="73">
        <v>125</v>
      </c>
      <c r="B129" s="28"/>
      <c r="C129" s="28"/>
      <c r="D129" s="18"/>
      <c r="E129" s="69"/>
      <c r="F129" s="70"/>
      <c r="G129" s="18"/>
      <c r="H129" s="22"/>
      <c r="I129" s="22"/>
      <c r="J129" s="22"/>
      <c r="K129" s="23"/>
      <c r="L129" s="22"/>
      <c r="M129" s="22"/>
    </row>
    <row r="130" spans="1:13">
      <c r="A130" s="73">
        <v>126</v>
      </c>
      <c r="B130" s="28"/>
      <c r="C130" s="28"/>
      <c r="D130" s="18"/>
      <c r="E130" s="69"/>
      <c r="F130" s="70"/>
      <c r="G130" s="18"/>
      <c r="H130" s="22"/>
      <c r="I130" s="22"/>
      <c r="J130" s="22"/>
      <c r="K130" s="23"/>
      <c r="L130" s="22"/>
      <c r="M130" s="22"/>
    </row>
    <row r="131" spans="1:13">
      <c r="A131" s="73">
        <v>127</v>
      </c>
      <c r="B131" s="28"/>
      <c r="C131" s="28"/>
      <c r="D131" s="18"/>
      <c r="E131" s="69"/>
      <c r="F131" s="70"/>
      <c r="G131" s="18"/>
      <c r="H131" s="22"/>
      <c r="I131" s="22"/>
      <c r="J131" s="22"/>
      <c r="K131" s="23"/>
      <c r="L131" s="22"/>
      <c r="M131" s="22"/>
    </row>
    <row r="132" spans="1:13">
      <c r="A132" s="73">
        <v>128</v>
      </c>
      <c r="B132" s="28"/>
      <c r="C132" s="28"/>
      <c r="D132" s="18"/>
      <c r="E132" s="69"/>
      <c r="F132" s="70"/>
      <c r="G132" s="18"/>
      <c r="H132" s="22"/>
      <c r="I132" s="22"/>
      <c r="J132" s="22"/>
      <c r="K132" s="23"/>
      <c r="L132" s="22"/>
      <c r="M132" s="22"/>
    </row>
    <row r="133" spans="1:13">
      <c r="A133" s="73">
        <v>129</v>
      </c>
      <c r="B133" s="28"/>
      <c r="C133" s="28"/>
      <c r="D133" s="18"/>
      <c r="E133" s="69"/>
      <c r="F133" s="70"/>
      <c r="G133" s="18"/>
      <c r="H133" s="22"/>
      <c r="I133" s="22"/>
      <c r="J133" s="22"/>
      <c r="K133" s="23"/>
      <c r="L133" s="22"/>
      <c r="M133" s="22"/>
    </row>
    <row r="134" spans="1:13">
      <c r="A134" s="73">
        <v>130</v>
      </c>
      <c r="B134" s="28"/>
      <c r="C134" s="28"/>
      <c r="D134" s="18"/>
      <c r="E134" s="69"/>
      <c r="F134" s="70"/>
      <c r="G134" s="18"/>
      <c r="H134" s="22"/>
      <c r="I134" s="22"/>
      <c r="J134" s="22"/>
      <c r="K134" s="23"/>
      <c r="L134" s="22"/>
      <c r="M134" s="22"/>
    </row>
    <row r="135" spans="1:13">
      <c r="A135" s="73">
        <v>131</v>
      </c>
      <c r="B135" s="28"/>
      <c r="C135" s="28"/>
      <c r="D135" s="18"/>
      <c r="E135" s="69"/>
      <c r="F135" s="70"/>
      <c r="G135" s="18"/>
      <c r="H135" s="22"/>
      <c r="I135" s="22"/>
      <c r="J135" s="22"/>
      <c r="K135" s="23"/>
      <c r="L135" s="22"/>
      <c r="M135" s="22"/>
    </row>
    <row r="136" spans="1:13">
      <c r="A136" s="73">
        <v>132</v>
      </c>
      <c r="B136" s="28"/>
      <c r="C136" s="28"/>
      <c r="D136" s="18"/>
      <c r="E136" s="69"/>
      <c r="F136" s="70"/>
      <c r="G136" s="18"/>
      <c r="H136" s="22"/>
      <c r="I136" s="22"/>
      <c r="J136" s="22"/>
      <c r="K136" s="23"/>
      <c r="L136" s="22"/>
      <c r="M136" s="22"/>
    </row>
    <row r="137" spans="1:13">
      <c r="A137" s="73">
        <v>133</v>
      </c>
      <c r="B137" s="28"/>
      <c r="C137" s="28"/>
      <c r="D137" s="18"/>
      <c r="E137" s="69"/>
      <c r="F137" s="70"/>
      <c r="G137" s="18"/>
      <c r="H137" s="22"/>
      <c r="I137" s="22"/>
      <c r="J137" s="22"/>
      <c r="K137" s="23"/>
      <c r="L137" s="22"/>
      <c r="M137" s="22"/>
    </row>
    <row r="138" spans="1:13">
      <c r="A138" s="73">
        <v>134</v>
      </c>
      <c r="B138" s="28"/>
      <c r="C138" s="28"/>
      <c r="D138" s="18"/>
      <c r="E138" s="69"/>
      <c r="F138" s="70"/>
      <c r="G138" s="18"/>
      <c r="H138" s="22"/>
      <c r="I138" s="22"/>
      <c r="J138" s="22"/>
      <c r="K138" s="23"/>
      <c r="L138" s="22"/>
      <c r="M138" s="22"/>
    </row>
    <row r="139" spans="1:13">
      <c r="A139" s="73">
        <v>135</v>
      </c>
      <c r="B139" s="28"/>
      <c r="C139" s="28"/>
      <c r="D139" s="18"/>
      <c r="E139" s="69"/>
      <c r="F139" s="70"/>
      <c r="G139" s="18"/>
      <c r="H139" s="22"/>
      <c r="I139" s="22"/>
      <c r="J139" s="22"/>
      <c r="K139" s="23"/>
      <c r="L139" s="22"/>
      <c r="M139" s="22"/>
    </row>
    <row r="140" spans="1:13">
      <c r="A140" s="73">
        <v>136</v>
      </c>
      <c r="B140" s="28"/>
      <c r="C140" s="28"/>
      <c r="D140" s="18"/>
      <c r="E140" s="69"/>
      <c r="F140" s="70"/>
      <c r="G140" s="18"/>
      <c r="H140" s="22"/>
      <c r="I140" s="22"/>
      <c r="J140" s="22"/>
      <c r="K140" s="23"/>
      <c r="L140" s="22"/>
      <c r="M140" s="22"/>
    </row>
    <row r="141" spans="1:13">
      <c r="A141" s="73">
        <v>137</v>
      </c>
      <c r="B141" s="28"/>
      <c r="C141" s="28"/>
      <c r="D141" s="18"/>
      <c r="E141" s="69"/>
      <c r="F141" s="70"/>
      <c r="G141" s="18"/>
      <c r="H141" s="22"/>
      <c r="I141" s="22"/>
      <c r="J141" s="22"/>
      <c r="K141" s="23"/>
      <c r="L141" s="22"/>
      <c r="M141" s="22"/>
    </row>
    <row r="142" spans="1:13">
      <c r="A142" s="73">
        <v>138</v>
      </c>
      <c r="B142" s="28"/>
      <c r="C142" s="28"/>
      <c r="D142" s="18"/>
      <c r="E142" s="69"/>
      <c r="F142" s="70"/>
      <c r="G142" s="18"/>
      <c r="H142" s="22"/>
      <c r="I142" s="22"/>
      <c r="J142" s="22"/>
      <c r="K142" s="23"/>
      <c r="L142" s="22"/>
      <c r="M142" s="22"/>
    </row>
    <row r="143" spans="1:13">
      <c r="A143" s="73">
        <v>139</v>
      </c>
      <c r="B143" s="28"/>
      <c r="C143" s="28"/>
      <c r="D143" s="18"/>
      <c r="E143" s="69"/>
      <c r="F143" s="70"/>
      <c r="G143" s="18"/>
      <c r="H143" s="22"/>
      <c r="I143" s="22"/>
      <c r="J143" s="22"/>
      <c r="K143" s="23"/>
      <c r="L143" s="22"/>
      <c r="M143" s="22"/>
    </row>
    <row r="144" spans="1:13">
      <c r="A144" s="73">
        <v>140</v>
      </c>
      <c r="B144" s="28"/>
      <c r="C144" s="28"/>
      <c r="D144" s="18"/>
      <c r="E144" s="69"/>
      <c r="F144" s="70"/>
      <c r="G144" s="18"/>
      <c r="H144" s="22"/>
      <c r="I144" s="22"/>
      <c r="J144" s="22"/>
      <c r="K144" s="23"/>
      <c r="L144" s="22"/>
      <c r="M144" s="22"/>
    </row>
    <row r="145" spans="1:13">
      <c r="A145" s="73">
        <v>141</v>
      </c>
      <c r="B145" s="28"/>
      <c r="C145" s="28"/>
      <c r="D145" s="18"/>
      <c r="E145" s="69"/>
      <c r="F145" s="70"/>
      <c r="G145" s="18"/>
      <c r="H145" s="22"/>
      <c r="I145" s="22"/>
      <c r="J145" s="22"/>
      <c r="K145" s="23"/>
      <c r="L145" s="22"/>
      <c r="M145" s="22"/>
    </row>
    <row r="146" spans="1:13">
      <c r="A146" s="73">
        <v>142</v>
      </c>
      <c r="B146" s="28"/>
      <c r="C146" s="28"/>
      <c r="D146" s="18"/>
      <c r="E146" s="69"/>
      <c r="F146" s="70"/>
      <c r="G146" s="18"/>
      <c r="H146" s="22"/>
      <c r="I146" s="22"/>
      <c r="J146" s="22"/>
      <c r="K146" s="23"/>
      <c r="L146" s="22"/>
      <c r="M146" s="22"/>
    </row>
    <row r="147" spans="1:13">
      <c r="A147" s="73">
        <v>143</v>
      </c>
      <c r="B147" s="28"/>
      <c r="C147" s="28"/>
      <c r="D147" s="18"/>
      <c r="E147" s="69"/>
      <c r="F147" s="70"/>
      <c r="G147" s="18"/>
      <c r="H147" s="22"/>
      <c r="I147" s="22"/>
      <c r="J147" s="22"/>
      <c r="K147" s="23"/>
      <c r="L147" s="22"/>
      <c r="M147" s="22"/>
    </row>
    <row r="148" spans="1:13">
      <c r="A148" s="73">
        <v>144</v>
      </c>
      <c r="B148" s="28"/>
      <c r="C148" s="28"/>
      <c r="D148" s="18"/>
      <c r="E148" s="69"/>
      <c r="F148" s="70"/>
      <c r="G148" s="18"/>
      <c r="H148" s="22"/>
      <c r="I148" s="22"/>
      <c r="J148" s="22"/>
      <c r="K148" s="23"/>
      <c r="L148" s="22"/>
      <c r="M148" s="22"/>
    </row>
    <row r="149" spans="1:13">
      <c r="A149" s="73">
        <v>145</v>
      </c>
      <c r="B149" s="28"/>
      <c r="C149" s="28"/>
      <c r="D149" s="18"/>
      <c r="E149" s="69"/>
      <c r="F149" s="70"/>
      <c r="G149" s="18"/>
      <c r="H149" s="22"/>
      <c r="I149" s="22"/>
      <c r="J149" s="22"/>
      <c r="K149" s="23"/>
      <c r="L149" s="22"/>
      <c r="M149" s="22"/>
    </row>
    <row r="150" spans="1:13">
      <c r="A150" s="73">
        <v>146</v>
      </c>
      <c r="B150" s="28"/>
      <c r="C150" s="28"/>
      <c r="D150" s="18"/>
      <c r="E150" s="69"/>
      <c r="F150" s="70"/>
      <c r="G150" s="18"/>
      <c r="H150" s="22"/>
      <c r="I150" s="22"/>
      <c r="J150" s="22"/>
      <c r="K150" s="23"/>
      <c r="L150" s="22"/>
      <c r="M150" s="22"/>
    </row>
    <row r="151" spans="1:13">
      <c r="A151" s="73">
        <v>147</v>
      </c>
      <c r="B151" s="28"/>
      <c r="C151" s="28"/>
      <c r="D151" s="18"/>
      <c r="E151" s="69"/>
      <c r="F151" s="70"/>
      <c r="G151" s="18"/>
      <c r="H151" s="22"/>
      <c r="I151" s="22"/>
      <c r="J151" s="22"/>
      <c r="K151" s="23"/>
      <c r="L151" s="22"/>
      <c r="M151" s="22"/>
    </row>
    <row r="152" spans="1:13">
      <c r="A152" s="73">
        <v>148</v>
      </c>
      <c r="B152" s="28"/>
      <c r="C152" s="28"/>
      <c r="D152" s="18"/>
      <c r="E152" s="69"/>
      <c r="F152" s="70"/>
      <c r="G152" s="18"/>
      <c r="H152" s="22"/>
      <c r="I152" s="22"/>
      <c r="J152" s="22"/>
      <c r="K152" s="23"/>
      <c r="L152" s="22"/>
      <c r="M152" s="22"/>
    </row>
    <row r="153" spans="1:13">
      <c r="A153" s="73">
        <v>149</v>
      </c>
      <c r="B153" s="28"/>
      <c r="C153" s="28"/>
      <c r="D153" s="18"/>
      <c r="E153" s="69"/>
      <c r="F153" s="70"/>
      <c r="G153" s="18"/>
      <c r="H153" s="22"/>
      <c r="I153" s="22"/>
      <c r="J153" s="22"/>
      <c r="K153" s="23"/>
      <c r="L153" s="22"/>
      <c r="M153" s="22"/>
    </row>
    <row r="154" spans="1:13">
      <c r="A154" s="73">
        <v>150</v>
      </c>
      <c r="B154" s="28"/>
      <c r="C154" s="28"/>
      <c r="D154" s="18"/>
      <c r="E154" s="69"/>
      <c r="F154" s="70"/>
      <c r="G154" s="18"/>
      <c r="H154" s="22"/>
      <c r="I154" s="22"/>
      <c r="J154" s="22"/>
      <c r="K154" s="23"/>
      <c r="L154" s="22"/>
      <c r="M154" s="22"/>
    </row>
    <row r="155" spans="1:13">
      <c r="A155" s="73">
        <v>151</v>
      </c>
      <c r="B155" s="28"/>
      <c r="C155" s="28"/>
      <c r="D155" s="18"/>
      <c r="E155" s="69"/>
      <c r="F155" s="70"/>
      <c r="G155" s="18"/>
      <c r="H155" s="22"/>
      <c r="I155" s="22"/>
      <c r="J155" s="22"/>
      <c r="K155" s="23"/>
      <c r="L155" s="22"/>
      <c r="M155" s="22"/>
    </row>
    <row r="156" spans="1:13">
      <c r="A156" s="73">
        <v>152</v>
      </c>
      <c r="B156" s="28"/>
      <c r="C156" s="28"/>
      <c r="D156" s="18"/>
      <c r="E156" s="69"/>
      <c r="F156" s="70"/>
      <c r="G156" s="18"/>
      <c r="H156" s="22"/>
      <c r="I156" s="22"/>
      <c r="J156" s="22"/>
      <c r="K156" s="23"/>
      <c r="L156" s="22"/>
      <c r="M156" s="22"/>
    </row>
    <row r="157" spans="1:13">
      <c r="A157" s="73">
        <v>153</v>
      </c>
      <c r="B157" s="28"/>
      <c r="C157" s="28"/>
      <c r="D157" s="18"/>
      <c r="E157" s="69"/>
      <c r="F157" s="70"/>
      <c r="G157" s="18"/>
      <c r="H157" s="22"/>
      <c r="I157" s="22"/>
      <c r="J157" s="22"/>
      <c r="K157" s="23"/>
      <c r="L157" s="22"/>
      <c r="M157" s="22"/>
    </row>
    <row r="158" spans="1:13">
      <c r="A158" s="73">
        <v>154</v>
      </c>
      <c r="B158" s="28"/>
      <c r="C158" s="28"/>
      <c r="D158" s="18"/>
      <c r="E158" s="69"/>
      <c r="F158" s="70"/>
      <c r="G158" s="18"/>
      <c r="H158" s="22"/>
      <c r="I158" s="22"/>
      <c r="J158" s="22"/>
      <c r="K158" s="23"/>
      <c r="L158" s="22"/>
      <c r="M158" s="22"/>
    </row>
    <row r="159" spans="1:13">
      <c r="A159" s="73">
        <v>155</v>
      </c>
      <c r="B159" s="28"/>
      <c r="C159" s="28"/>
      <c r="D159" s="18"/>
      <c r="E159" s="69"/>
      <c r="F159" s="70"/>
      <c r="G159" s="18"/>
      <c r="H159" s="22"/>
      <c r="I159" s="22"/>
      <c r="J159" s="22"/>
      <c r="K159" s="23"/>
      <c r="L159" s="22"/>
      <c r="M159" s="22"/>
    </row>
    <row r="160" spans="1:13">
      <c r="A160" s="73">
        <v>156</v>
      </c>
      <c r="B160" s="28"/>
      <c r="C160" s="28"/>
      <c r="D160" s="18"/>
      <c r="E160" s="69"/>
      <c r="F160" s="70"/>
      <c r="G160" s="18"/>
      <c r="H160" s="22"/>
      <c r="I160" s="22"/>
      <c r="J160" s="22"/>
      <c r="K160" s="23"/>
      <c r="L160" s="22"/>
      <c r="M160" s="22"/>
    </row>
    <row r="161" spans="1:13">
      <c r="A161" s="73">
        <v>157</v>
      </c>
      <c r="B161" s="28"/>
      <c r="C161" s="28"/>
      <c r="D161" s="18"/>
      <c r="E161" s="69"/>
      <c r="F161" s="70"/>
      <c r="G161" s="18"/>
      <c r="H161" s="22"/>
      <c r="I161" s="22"/>
      <c r="J161" s="22"/>
      <c r="K161" s="23"/>
      <c r="L161" s="22"/>
      <c r="M161" s="22"/>
    </row>
    <row r="162" spans="1:13">
      <c r="A162" s="73">
        <v>158</v>
      </c>
      <c r="B162" s="28"/>
      <c r="C162" s="28"/>
      <c r="D162" s="18"/>
      <c r="E162" s="69"/>
      <c r="F162" s="70"/>
      <c r="G162" s="18"/>
      <c r="H162" s="22"/>
      <c r="I162" s="22"/>
      <c r="J162" s="22"/>
      <c r="K162" s="23"/>
      <c r="L162" s="22"/>
      <c r="M162" s="22"/>
    </row>
    <row r="163" spans="1:13">
      <c r="A163" s="73">
        <v>159</v>
      </c>
      <c r="B163" s="28"/>
      <c r="C163" s="28"/>
      <c r="D163" s="18"/>
      <c r="E163" s="69"/>
      <c r="F163" s="70"/>
      <c r="G163" s="18"/>
      <c r="H163" s="22"/>
      <c r="I163" s="22"/>
      <c r="J163" s="22"/>
      <c r="K163" s="23"/>
      <c r="L163" s="22"/>
      <c r="M163" s="22"/>
    </row>
    <row r="164" spans="1:13">
      <c r="A164" s="73">
        <v>160</v>
      </c>
      <c r="B164" s="28"/>
      <c r="C164" s="28"/>
      <c r="D164" s="18"/>
      <c r="E164" s="69"/>
      <c r="F164" s="70"/>
      <c r="G164" s="18"/>
      <c r="H164" s="22"/>
      <c r="I164" s="22"/>
      <c r="J164" s="22"/>
      <c r="K164" s="23"/>
      <c r="L164" s="22"/>
      <c r="M164" s="22"/>
    </row>
    <row r="165" spans="1:13">
      <c r="A165" s="73">
        <v>161</v>
      </c>
      <c r="B165" s="28"/>
      <c r="C165" s="28"/>
      <c r="D165" s="18"/>
      <c r="E165" s="69"/>
      <c r="F165" s="70"/>
      <c r="G165" s="18"/>
      <c r="H165" s="22"/>
      <c r="I165" s="22"/>
      <c r="J165" s="22"/>
      <c r="K165" s="23"/>
      <c r="L165" s="22"/>
      <c r="M165" s="22"/>
    </row>
    <row r="166" spans="1:13">
      <c r="A166" s="73">
        <v>162</v>
      </c>
      <c r="B166" s="28"/>
      <c r="C166" s="28"/>
      <c r="D166" s="18"/>
      <c r="E166" s="69"/>
      <c r="F166" s="70"/>
      <c r="G166" s="18"/>
      <c r="H166" s="22"/>
      <c r="I166" s="22"/>
      <c r="J166" s="22"/>
      <c r="K166" s="23"/>
      <c r="L166" s="22"/>
      <c r="M166" s="22"/>
    </row>
    <row r="167" spans="1:13">
      <c r="A167" s="73">
        <v>163</v>
      </c>
      <c r="B167" s="28"/>
      <c r="C167" s="28"/>
      <c r="D167" s="18"/>
      <c r="E167" s="69"/>
      <c r="F167" s="70"/>
      <c r="G167" s="18"/>
      <c r="H167" s="22"/>
      <c r="I167" s="22"/>
      <c r="J167" s="22"/>
      <c r="K167" s="23"/>
      <c r="L167" s="22"/>
      <c r="M167" s="22"/>
    </row>
    <row r="168" spans="1:13">
      <c r="A168" s="73">
        <v>164</v>
      </c>
      <c r="B168" s="28"/>
      <c r="C168" s="28"/>
      <c r="D168" s="18"/>
      <c r="E168" s="69"/>
      <c r="F168" s="70"/>
      <c r="G168" s="18"/>
      <c r="H168" s="22"/>
      <c r="I168" s="22"/>
      <c r="J168" s="22"/>
      <c r="K168" s="23"/>
      <c r="L168" s="22"/>
      <c r="M168" s="22"/>
    </row>
    <row r="169" spans="1:13">
      <c r="A169" s="73">
        <v>165</v>
      </c>
      <c r="B169" s="28"/>
      <c r="C169" s="28"/>
      <c r="D169" s="18"/>
      <c r="E169" s="69"/>
      <c r="F169" s="70"/>
      <c r="G169" s="18"/>
      <c r="H169" s="22"/>
      <c r="I169" s="22"/>
      <c r="J169" s="22"/>
      <c r="K169" s="23"/>
      <c r="L169" s="22"/>
      <c r="M169" s="22"/>
    </row>
    <row r="170" spans="1:13">
      <c r="A170" s="73">
        <v>166</v>
      </c>
      <c r="B170" s="28"/>
      <c r="C170" s="28"/>
      <c r="D170" s="18"/>
      <c r="E170" s="69"/>
      <c r="F170" s="70"/>
      <c r="G170" s="18"/>
      <c r="H170" s="22"/>
      <c r="I170" s="22"/>
      <c r="J170" s="22"/>
      <c r="K170" s="23"/>
      <c r="L170" s="22"/>
      <c r="M170" s="22"/>
    </row>
    <row r="171" spans="1:13">
      <c r="A171" s="73">
        <v>167</v>
      </c>
      <c r="B171" s="28"/>
      <c r="C171" s="28"/>
      <c r="D171" s="18"/>
      <c r="E171" s="69"/>
      <c r="F171" s="70"/>
      <c r="G171" s="18"/>
      <c r="H171" s="22"/>
      <c r="I171" s="22"/>
      <c r="J171" s="22"/>
      <c r="K171" s="23"/>
      <c r="L171" s="22"/>
      <c r="M171" s="22"/>
    </row>
    <row r="172" spans="1:13">
      <c r="A172" s="73">
        <v>168</v>
      </c>
      <c r="B172" s="28"/>
      <c r="C172" s="28"/>
      <c r="D172" s="18"/>
      <c r="E172" s="69"/>
      <c r="F172" s="70"/>
      <c r="G172" s="18"/>
      <c r="H172" s="22"/>
      <c r="I172" s="22"/>
      <c r="J172" s="22"/>
      <c r="K172" s="23"/>
      <c r="L172" s="22"/>
      <c r="M172" s="22"/>
    </row>
    <row r="173" spans="1:13">
      <c r="A173" s="73">
        <v>169</v>
      </c>
      <c r="B173" s="28"/>
      <c r="C173" s="28"/>
      <c r="D173" s="18"/>
      <c r="E173" s="69"/>
      <c r="F173" s="70"/>
      <c r="G173" s="18"/>
      <c r="H173" s="22"/>
      <c r="I173" s="22"/>
      <c r="J173" s="22"/>
      <c r="K173" s="23"/>
      <c r="L173" s="22"/>
      <c r="M173" s="22"/>
    </row>
    <row r="174" spans="1:13">
      <c r="A174" s="73">
        <v>170</v>
      </c>
      <c r="B174" s="28"/>
      <c r="C174" s="28"/>
      <c r="D174" s="18"/>
      <c r="E174" s="69"/>
      <c r="F174" s="70"/>
      <c r="G174" s="18"/>
      <c r="H174" s="22"/>
      <c r="I174" s="22"/>
      <c r="J174" s="22"/>
      <c r="K174" s="23"/>
      <c r="L174" s="22"/>
      <c r="M174" s="22"/>
    </row>
    <row r="175" spans="1:13">
      <c r="A175" s="73">
        <v>171</v>
      </c>
      <c r="B175" s="28"/>
      <c r="C175" s="28"/>
      <c r="D175" s="18"/>
      <c r="E175" s="69"/>
      <c r="F175" s="70"/>
      <c r="G175" s="18"/>
      <c r="H175" s="22"/>
      <c r="I175" s="22"/>
      <c r="J175" s="22"/>
      <c r="K175" s="23"/>
      <c r="L175" s="22"/>
      <c r="M175" s="22"/>
    </row>
    <row r="176" spans="1:13">
      <c r="A176" s="73">
        <v>172</v>
      </c>
      <c r="B176" s="28"/>
      <c r="C176" s="28"/>
      <c r="D176" s="18"/>
      <c r="E176" s="69"/>
      <c r="F176" s="70"/>
      <c r="G176" s="18"/>
      <c r="H176" s="22"/>
      <c r="I176" s="22"/>
      <c r="J176" s="22"/>
      <c r="K176" s="23"/>
      <c r="L176" s="22"/>
      <c r="M176" s="22"/>
    </row>
    <row r="177" spans="1:13">
      <c r="A177" s="73">
        <v>173</v>
      </c>
      <c r="B177" s="28"/>
      <c r="C177" s="28"/>
      <c r="D177" s="18"/>
      <c r="E177" s="69"/>
      <c r="F177" s="70"/>
      <c r="G177" s="18"/>
      <c r="H177" s="22"/>
      <c r="I177" s="22"/>
      <c r="J177" s="22"/>
      <c r="K177" s="23"/>
      <c r="L177" s="22"/>
      <c r="M177" s="22"/>
    </row>
    <row r="178" spans="1:13">
      <c r="A178" s="73">
        <v>174</v>
      </c>
      <c r="B178" s="28"/>
      <c r="C178" s="28"/>
      <c r="D178" s="18"/>
      <c r="E178" s="69"/>
      <c r="F178" s="70"/>
      <c r="G178" s="18"/>
      <c r="H178" s="22"/>
      <c r="I178" s="22"/>
      <c r="J178" s="22"/>
      <c r="K178" s="23"/>
      <c r="L178" s="22"/>
      <c r="M178" s="22"/>
    </row>
    <row r="179" spans="1:13">
      <c r="A179" s="73">
        <v>175</v>
      </c>
      <c r="B179" s="28"/>
      <c r="C179" s="28"/>
      <c r="D179" s="18"/>
      <c r="E179" s="69"/>
      <c r="F179" s="70"/>
      <c r="G179" s="18"/>
      <c r="H179" s="22"/>
      <c r="I179" s="22"/>
      <c r="J179" s="22"/>
      <c r="K179" s="23"/>
      <c r="L179" s="22"/>
      <c r="M179" s="22"/>
    </row>
    <row r="180" spans="1:13">
      <c r="A180" s="73">
        <v>176</v>
      </c>
      <c r="B180" s="28"/>
      <c r="C180" s="28"/>
      <c r="D180" s="18"/>
      <c r="E180" s="69"/>
      <c r="F180" s="70"/>
      <c r="G180" s="18"/>
      <c r="H180" s="22"/>
      <c r="I180" s="22"/>
      <c r="J180" s="22"/>
      <c r="K180" s="23"/>
      <c r="L180" s="22"/>
      <c r="M180" s="22"/>
    </row>
    <row r="181" spans="1:13">
      <c r="A181" s="73">
        <v>177</v>
      </c>
      <c r="B181" s="28"/>
      <c r="C181" s="28"/>
      <c r="D181" s="18"/>
      <c r="E181" s="69"/>
      <c r="F181" s="70"/>
      <c r="G181" s="18"/>
      <c r="H181" s="22"/>
      <c r="I181" s="22"/>
      <c r="J181" s="22"/>
      <c r="K181" s="23"/>
      <c r="L181" s="22"/>
      <c r="M181" s="22"/>
    </row>
    <row r="182" spans="1:13">
      <c r="A182" s="73">
        <v>178</v>
      </c>
      <c r="B182" s="28"/>
      <c r="C182" s="28"/>
      <c r="D182" s="18"/>
      <c r="E182" s="69"/>
      <c r="F182" s="70"/>
      <c r="G182" s="18"/>
      <c r="H182" s="22"/>
      <c r="I182" s="22"/>
      <c r="J182" s="22"/>
      <c r="K182" s="23"/>
      <c r="L182" s="22"/>
      <c r="M182" s="22"/>
    </row>
    <row r="183" spans="1:13">
      <c r="A183" s="73">
        <v>179</v>
      </c>
      <c r="B183" s="28"/>
      <c r="C183" s="28"/>
      <c r="D183" s="18"/>
      <c r="E183" s="69"/>
      <c r="F183" s="70"/>
      <c r="G183" s="18"/>
      <c r="H183" s="22"/>
      <c r="I183" s="22"/>
      <c r="J183" s="22"/>
      <c r="K183" s="23"/>
      <c r="L183" s="22"/>
      <c r="M183" s="22"/>
    </row>
    <row r="184" spans="1:13">
      <c r="A184" s="73">
        <v>180</v>
      </c>
      <c r="B184" s="28"/>
      <c r="C184" s="28"/>
      <c r="D184" s="18"/>
      <c r="E184" s="69"/>
      <c r="F184" s="70"/>
      <c r="G184" s="18"/>
      <c r="H184" s="22"/>
      <c r="I184" s="22"/>
      <c r="J184" s="22"/>
      <c r="K184" s="23"/>
      <c r="L184" s="22"/>
      <c r="M184" s="22"/>
    </row>
    <row r="185" spans="1:13">
      <c r="A185" s="73">
        <v>181</v>
      </c>
      <c r="B185" s="28"/>
      <c r="C185" s="28"/>
      <c r="D185" s="18"/>
      <c r="E185" s="69"/>
      <c r="F185" s="70"/>
      <c r="G185" s="18"/>
      <c r="H185" s="22"/>
      <c r="I185" s="22"/>
      <c r="J185" s="22"/>
      <c r="K185" s="23"/>
      <c r="L185" s="22"/>
      <c r="M185" s="22"/>
    </row>
    <row r="186" spans="1:13">
      <c r="A186" s="73">
        <v>182</v>
      </c>
      <c r="B186" s="28"/>
      <c r="C186" s="28"/>
      <c r="D186" s="18"/>
      <c r="E186" s="69"/>
      <c r="F186" s="70"/>
      <c r="G186" s="18"/>
      <c r="H186" s="22"/>
      <c r="I186" s="22"/>
      <c r="J186" s="22"/>
      <c r="K186" s="23"/>
      <c r="L186" s="22"/>
      <c r="M186" s="22"/>
    </row>
    <row r="187" spans="1:13">
      <c r="A187" s="73">
        <v>183</v>
      </c>
      <c r="B187" s="28"/>
      <c r="C187" s="28"/>
      <c r="D187" s="18"/>
      <c r="E187" s="69"/>
      <c r="F187" s="70"/>
      <c r="G187" s="18"/>
      <c r="H187" s="22"/>
      <c r="I187" s="22"/>
      <c r="J187" s="22"/>
      <c r="K187" s="23"/>
      <c r="L187" s="22"/>
      <c r="M187" s="22"/>
    </row>
    <row r="188" spans="1:13">
      <c r="A188" s="73">
        <v>184</v>
      </c>
      <c r="B188" s="28"/>
      <c r="C188" s="28"/>
      <c r="D188" s="18"/>
      <c r="E188" s="69"/>
      <c r="F188" s="70"/>
      <c r="G188" s="18"/>
      <c r="H188" s="22"/>
      <c r="I188" s="22"/>
      <c r="J188" s="22"/>
      <c r="K188" s="23"/>
      <c r="L188" s="22"/>
      <c r="M188" s="22"/>
    </row>
    <row r="189" spans="1:13">
      <c r="A189" s="73">
        <v>185</v>
      </c>
      <c r="B189" s="28"/>
      <c r="C189" s="28"/>
      <c r="D189" s="18"/>
      <c r="E189" s="69"/>
      <c r="F189" s="70"/>
      <c r="G189" s="18"/>
      <c r="H189" s="22"/>
      <c r="I189" s="22"/>
      <c r="J189" s="22"/>
      <c r="K189" s="23"/>
      <c r="L189" s="22"/>
      <c r="M189" s="22"/>
    </row>
    <row r="190" spans="1:13">
      <c r="A190" s="73">
        <v>186</v>
      </c>
      <c r="B190" s="28"/>
      <c r="C190" s="28"/>
      <c r="D190" s="18"/>
      <c r="E190" s="69"/>
      <c r="F190" s="70"/>
      <c r="G190" s="18"/>
      <c r="H190" s="22"/>
      <c r="I190" s="22"/>
      <c r="J190" s="22"/>
      <c r="K190" s="23"/>
      <c r="L190" s="22"/>
      <c r="M190" s="22"/>
    </row>
    <row r="191" spans="1:13">
      <c r="A191" s="73">
        <v>187</v>
      </c>
      <c r="B191" s="28"/>
      <c r="C191" s="28"/>
      <c r="D191" s="18"/>
      <c r="E191" s="69"/>
      <c r="F191" s="70"/>
      <c r="G191" s="18"/>
      <c r="H191" s="22"/>
      <c r="I191" s="22"/>
      <c r="J191" s="22"/>
      <c r="K191" s="23"/>
      <c r="L191" s="22"/>
      <c r="M191" s="22"/>
    </row>
    <row r="192" spans="1:13">
      <c r="A192" s="73">
        <v>188</v>
      </c>
      <c r="B192" s="28"/>
      <c r="C192" s="28"/>
      <c r="D192" s="18"/>
      <c r="E192" s="69"/>
      <c r="F192" s="70"/>
      <c r="G192" s="18"/>
      <c r="H192" s="22"/>
      <c r="I192" s="22"/>
      <c r="J192" s="22"/>
      <c r="K192" s="23"/>
      <c r="L192" s="22"/>
      <c r="M192" s="22"/>
    </row>
    <row r="193" spans="1:13">
      <c r="A193" s="73">
        <v>189</v>
      </c>
      <c r="B193" s="28"/>
      <c r="C193" s="28"/>
      <c r="D193" s="18"/>
      <c r="E193" s="69"/>
      <c r="F193" s="70"/>
      <c r="G193" s="18"/>
      <c r="H193" s="22"/>
      <c r="I193" s="22"/>
      <c r="J193" s="22"/>
      <c r="K193" s="23"/>
      <c r="L193" s="22"/>
      <c r="M193" s="22"/>
    </row>
    <row r="194" spans="1:13">
      <c r="A194" s="73">
        <v>190</v>
      </c>
      <c r="B194" s="28"/>
      <c r="C194" s="28"/>
      <c r="D194" s="18"/>
      <c r="E194" s="69"/>
      <c r="F194" s="70"/>
      <c r="G194" s="18"/>
      <c r="H194" s="22"/>
      <c r="I194" s="22"/>
      <c r="J194" s="22"/>
      <c r="K194" s="23"/>
      <c r="L194" s="22"/>
      <c r="M194" s="22"/>
    </row>
    <row r="195" spans="1:13">
      <c r="A195" s="73">
        <v>191</v>
      </c>
      <c r="B195" s="28"/>
      <c r="C195" s="28"/>
      <c r="D195" s="18"/>
      <c r="E195" s="69"/>
      <c r="F195" s="70"/>
      <c r="G195" s="18"/>
      <c r="H195" s="22"/>
      <c r="I195" s="22"/>
      <c r="J195" s="22"/>
      <c r="K195" s="23"/>
      <c r="L195" s="22"/>
      <c r="M195" s="22"/>
    </row>
    <row r="196" spans="1:13">
      <c r="A196" s="73">
        <v>192</v>
      </c>
      <c r="B196" s="28"/>
      <c r="C196" s="28"/>
      <c r="D196" s="18"/>
      <c r="E196" s="69"/>
      <c r="F196" s="70"/>
      <c r="G196" s="18"/>
      <c r="H196" s="22"/>
      <c r="I196" s="22"/>
      <c r="J196" s="22"/>
      <c r="K196" s="23"/>
      <c r="L196" s="22"/>
      <c r="M196" s="22"/>
    </row>
    <row r="197" spans="1:13">
      <c r="A197" s="73">
        <v>193</v>
      </c>
      <c r="B197" s="28"/>
      <c r="C197" s="28"/>
      <c r="D197" s="18"/>
      <c r="E197" s="69"/>
      <c r="F197" s="70"/>
      <c r="G197" s="18"/>
      <c r="H197" s="22"/>
      <c r="I197" s="22"/>
      <c r="J197" s="22"/>
      <c r="K197" s="23"/>
      <c r="L197" s="22"/>
      <c r="M197" s="22"/>
    </row>
    <row r="198" spans="1:13">
      <c r="A198" s="73">
        <v>194</v>
      </c>
      <c r="B198" s="28"/>
      <c r="C198" s="28"/>
      <c r="D198" s="18"/>
      <c r="E198" s="69"/>
      <c r="F198" s="70"/>
      <c r="G198" s="18"/>
      <c r="H198" s="22"/>
      <c r="I198" s="22"/>
      <c r="J198" s="22"/>
      <c r="K198" s="23"/>
      <c r="L198" s="22"/>
      <c r="M198" s="22"/>
    </row>
    <row r="199" spans="1:13">
      <c r="A199" s="73">
        <v>195</v>
      </c>
      <c r="B199" s="28"/>
      <c r="C199" s="28"/>
      <c r="D199" s="18"/>
      <c r="E199" s="69"/>
      <c r="F199" s="70"/>
      <c r="G199" s="18"/>
      <c r="H199" s="22"/>
      <c r="I199" s="22"/>
      <c r="J199" s="22"/>
      <c r="K199" s="23"/>
      <c r="L199" s="22"/>
      <c r="M199" s="22"/>
    </row>
    <row r="200" spans="1:13">
      <c r="A200" s="73">
        <v>196</v>
      </c>
      <c r="B200" s="28"/>
      <c r="C200" s="28"/>
      <c r="D200" s="18"/>
      <c r="E200" s="69"/>
      <c r="F200" s="70"/>
      <c r="G200" s="18"/>
      <c r="H200" s="22"/>
      <c r="I200" s="22"/>
      <c r="J200" s="22"/>
      <c r="K200" s="23"/>
      <c r="L200" s="22"/>
      <c r="M200" s="22"/>
    </row>
    <row r="201" spans="1:13">
      <c r="A201" s="73">
        <v>197</v>
      </c>
      <c r="B201" s="28"/>
      <c r="C201" s="28"/>
      <c r="D201" s="18"/>
      <c r="E201" s="69"/>
      <c r="F201" s="70"/>
      <c r="G201" s="18"/>
      <c r="H201" s="22"/>
      <c r="I201" s="22"/>
      <c r="J201" s="22"/>
      <c r="K201" s="23"/>
      <c r="L201" s="22"/>
      <c r="M201" s="22"/>
    </row>
    <row r="202" spans="1:13">
      <c r="A202" s="73">
        <v>198</v>
      </c>
      <c r="B202" s="28"/>
      <c r="C202" s="28"/>
      <c r="D202" s="18"/>
      <c r="E202" s="69"/>
      <c r="F202" s="70"/>
      <c r="G202" s="18"/>
      <c r="H202" s="22"/>
      <c r="I202" s="22"/>
      <c r="J202" s="22"/>
      <c r="K202" s="23"/>
      <c r="L202" s="22"/>
      <c r="M202" s="22"/>
    </row>
    <row r="203" spans="1:13">
      <c r="A203" s="73">
        <v>199</v>
      </c>
      <c r="B203" s="28"/>
      <c r="C203" s="28"/>
      <c r="D203" s="18"/>
      <c r="E203" s="69"/>
      <c r="F203" s="70"/>
      <c r="G203" s="18"/>
      <c r="H203" s="22"/>
      <c r="I203" s="22"/>
      <c r="J203" s="22"/>
      <c r="K203" s="23"/>
      <c r="L203" s="22"/>
      <c r="M203" s="22"/>
    </row>
    <row r="204" spans="1:13">
      <c r="A204" s="73">
        <v>200</v>
      </c>
      <c r="B204" s="28"/>
      <c r="C204" s="28"/>
      <c r="D204" s="18"/>
      <c r="E204" s="69"/>
      <c r="F204" s="70"/>
      <c r="G204" s="18"/>
      <c r="H204" s="22"/>
      <c r="I204" s="22"/>
      <c r="J204" s="22"/>
      <c r="K204" s="23"/>
      <c r="L204" s="22"/>
      <c r="M204" s="22"/>
    </row>
    <row r="205" spans="1:13">
      <c r="D205" s="54"/>
    </row>
  </sheetData>
  <autoFilter ref="A4:M204" xr:uid="{00000000-0009-0000-0000-000003000000}"/>
  <dataConsolidate/>
  <mergeCells count="2">
    <mergeCell ref="E3:G3"/>
    <mergeCell ref="A3:C3"/>
  </mergeCells>
  <phoneticPr fontId="30" type="noConversion"/>
  <conditionalFormatting sqref="L205:L65536 P1:P2">
    <cfRule type="cellIs" dxfId="347" priority="171" stopIfTrue="1" operator="equal">
      <formula>"Fixed"</formula>
    </cfRule>
    <cfRule type="cellIs" dxfId="346" priority="172" stopIfTrue="1" operator="equal">
      <formula>"Open"</formula>
    </cfRule>
  </conditionalFormatting>
  <conditionalFormatting sqref="L4">
    <cfRule type="cellIs" dxfId="345" priority="173" stopIfTrue="1" operator="equal">
      <formula>"Open"</formula>
    </cfRule>
    <cfRule type="cellIs" dxfId="344" priority="174" stopIfTrue="1" operator="equal">
      <formula>"Fixed"</formula>
    </cfRule>
  </conditionalFormatting>
  <conditionalFormatting sqref="L5 L40:L43 L46:L204 L9:L14 L18:L37">
    <cfRule type="expression" dxfId="343" priority="175" stopIfTrue="1">
      <formula>AND($M5="Approved",$L5="Fixed")</formula>
    </cfRule>
    <cfRule type="cellIs" dxfId="342" priority="176" stopIfTrue="1" operator="equal">
      <formula>"Fixed"</formula>
    </cfRule>
    <cfRule type="cellIs" dxfId="341" priority="177" stopIfTrue="1" operator="equal">
      <formula>"Open"</formula>
    </cfRule>
  </conditionalFormatting>
  <conditionalFormatting sqref="M5 M40:M43 M46:M204 M9:M14 M18:M37">
    <cfRule type="expression" dxfId="340" priority="178" stopIfTrue="1">
      <formula>OR(M5="Fixed",M5="Approved")</formula>
    </cfRule>
    <cfRule type="cellIs" dxfId="339" priority="179" stopIfTrue="1" operator="equal">
      <formula>"Rejected"</formula>
    </cfRule>
  </conditionalFormatting>
  <conditionalFormatting sqref="A3">
    <cfRule type="expression" dxfId="338" priority="165" stopIfTrue="1">
      <formula>$X$2=1</formula>
    </cfRule>
    <cfRule type="expression" dxfId="337" priority="166" stopIfTrue="1">
      <formula>$Y$2=1</formula>
    </cfRule>
    <cfRule type="expression" dxfId="336" priority="168" stopIfTrue="1">
      <formula>$AA$2=1</formula>
    </cfRule>
  </conditionalFormatting>
  <conditionalFormatting sqref="A3:C3">
    <cfRule type="expression" dxfId="335" priority="167" stopIfTrue="1">
      <formula>$Z$2=1</formula>
    </cfRule>
  </conditionalFormatting>
  <conditionalFormatting sqref="D37:K37 A5:A41 D40:K41 A42:K43 A44:A46 D46:K46 A47:K204 C5 E5:K5 E10:K11 D9:K9 D12:K12 D22:G22 D23:K23 D24:G26 E13:K13 E14:I14 K14 D18:K21 C27:K33 E34:K34 C35:K36">
    <cfRule type="expression" dxfId="334" priority="349" stopIfTrue="1">
      <formula>AND($M5="Approved",OR($L5=$R$1,$L5=$T$1))</formula>
    </cfRule>
  </conditionalFormatting>
  <conditionalFormatting sqref="B5 B27:B33 B35:B36">
    <cfRule type="expression" dxfId="333" priority="164" stopIfTrue="1">
      <formula>AND($M5="Approved",OR($L5=$R$1,$L5=$T$1))</formula>
    </cfRule>
  </conditionalFormatting>
  <conditionalFormatting sqref="C37">
    <cfRule type="expression" dxfId="332" priority="163" stopIfTrue="1">
      <formula>AND($M37="Approved",OR($L37=$R$1,$L37=$T$1))</formula>
    </cfRule>
  </conditionalFormatting>
  <conditionalFormatting sqref="B37">
    <cfRule type="expression" dxfId="331" priority="162" stopIfTrue="1">
      <formula>AND($M37="Approved",OR($L37=$R$1,$L37=$T$1))</formula>
    </cfRule>
  </conditionalFormatting>
  <conditionalFormatting sqref="L38">
    <cfRule type="expression" dxfId="330" priority="156" stopIfTrue="1">
      <formula>AND($M38="Approved",$L38="Fixed")</formula>
    </cfRule>
    <cfRule type="cellIs" dxfId="329" priority="157" stopIfTrue="1" operator="equal">
      <formula>"Fixed"</formula>
    </cfRule>
    <cfRule type="cellIs" dxfId="328" priority="158" stopIfTrue="1" operator="equal">
      <formula>"Open"</formula>
    </cfRule>
  </conditionalFormatting>
  <conditionalFormatting sqref="M38">
    <cfRule type="expression" dxfId="327" priority="159" stopIfTrue="1">
      <formula>OR(M38="Fixed",M38="Approved")</formula>
    </cfRule>
    <cfRule type="cellIs" dxfId="326" priority="160" stopIfTrue="1" operator="equal">
      <formula>"Rejected"</formula>
    </cfRule>
  </conditionalFormatting>
  <conditionalFormatting sqref="D38:K38">
    <cfRule type="expression" dxfId="325" priority="161" stopIfTrue="1">
      <formula>AND($M38="Approved",OR($L38=$R$1,$L38=$T$1))</formula>
    </cfRule>
  </conditionalFormatting>
  <conditionalFormatting sqref="C38">
    <cfRule type="expression" dxfId="324" priority="155" stopIfTrue="1">
      <formula>AND($M38="Approved",OR($L38=$R$1,$L38=$T$1))</formula>
    </cfRule>
  </conditionalFormatting>
  <conditionalFormatting sqref="B38">
    <cfRule type="expression" dxfId="323" priority="154" stopIfTrue="1">
      <formula>AND($M38="Approved",OR($L38=$R$1,$L38=$T$1))</formula>
    </cfRule>
  </conditionalFormatting>
  <conditionalFormatting sqref="L39">
    <cfRule type="expression" dxfId="322" priority="148" stopIfTrue="1">
      <formula>AND($M39="Approved",$L39="Fixed")</formula>
    </cfRule>
    <cfRule type="cellIs" dxfId="321" priority="149" stopIfTrue="1" operator="equal">
      <formula>"Fixed"</formula>
    </cfRule>
    <cfRule type="cellIs" dxfId="320" priority="150" stopIfTrue="1" operator="equal">
      <formula>"Open"</formula>
    </cfRule>
  </conditionalFormatting>
  <conditionalFormatting sqref="M39">
    <cfRule type="expression" dxfId="319" priority="151" stopIfTrue="1">
      <formula>OR(M39="Fixed",M39="Approved")</formula>
    </cfRule>
    <cfRule type="cellIs" dxfId="318" priority="152" stopIfTrue="1" operator="equal">
      <formula>"Rejected"</formula>
    </cfRule>
  </conditionalFormatting>
  <conditionalFormatting sqref="D39:K39">
    <cfRule type="expression" dxfId="317" priority="153" stopIfTrue="1">
      <formula>AND($M39="Approved",OR($L39=$R$1,$L39=$T$1))</formula>
    </cfRule>
  </conditionalFormatting>
  <conditionalFormatting sqref="C39">
    <cfRule type="expression" dxfId="316" priority="147" stopIfTrue="1">
      <formula>AND($M39="Approved",OR($L39=$R$1,$L39=$T$1))</formula>
    </cfRule>
  </conditionalFormatting>
  <conditionalFormatting sqref="B39">
    <cfRule type="expression" dxfId="315" priority="146" stopIfTrue="1">
      <formula>AND($M39="Approved",OR($L39=$R$1,$L39=$T$1))</formula>
    </cfRule>
  </conditionalFormatting>
  <conditionalFormatting sqref="C40">
    <cfRule type="expression" dxfId="314" priority="145" stopIfTrue="1">
      <formula>AND($M40="Approved",OR($L40=$R$1,$L40=$T$1))</formula>
    </cfRule>
  </conditionalFormatting>
  <conditionalFormatting sqref="B40">
    <cfRule type="expression" dxfId="313" priority="144" stopIfTrue="1">
      <formula>AND($M40="Approved",OR($L40=$R$1,$L40=$T$1))</formula>
    </cfRule>
  </conditionalFormatting>
  <conditionalFormatting sqref="C41">
    <cfRule type="expression" dxfId="312" priority="143" stopIfTrue="1">
      <formula>AND($M41="Approved",OR($L41=$R$1,$L41=$T$1))</formula>
    </cfRule>
  </conditionalFormatting>
  <conditionalFormatting sqref="B41">
    <cfRule type="expression" dxfId="311" priority="142" stopIfTrue="1">
      <formula>AND($M41="Approved",OR($L41=$R$1,$L41=$T$1))</formula>
    </cfRule>
  </conditionalFormatting>
  <conditionalFormatting sqref="L44">
    <cfRule type="expression" dxfId="310" priority="136" stopIfTrue="1">
      <formula>AND($M44="Approved",$L44="Fixed")</formula>
    </cfRule>
    <cfRule type="cellIs" dxfId="309" priority="137" stopIfTrue="1" operator="equal">
      <formula>"Fixed"</formula>
    </cfRule>
    <cfRule type="cellIs" dxfId="308" priority="138" stopIfTrue="1" operator="equal">
      <formula>"Open"</formula>
    </cfRule>
  </conditionalFormatting>
  <conditionalFormatting sqref="M44">
    <cfRule type="expression" dxfId="307" priority="139" stopIfTrue="1">
      <formula>OR(M44="Fixed",M44="Approved")</formula>
    </cfRule>
    <cfRule type="cellIs" dxfId="306" priority="140" stopIfTrue="1" operator="equal">
      <formula>"Rejected"</formula>
    </cfRule>
  </conditionalFormatting>
  <conditionalFormatting sqref="B44:K44">
    <cfRule type="expression" dxfId="305" priority="141" stopIfTrue="1">
      <formula>AND($M44="Approved",OR($L44=$R$1,$L44=$T$1))</formula>
    </cfRule>
  </conditionalFormatting>
  <conditionalFormatting sqref="L45">
    <cfRule type="expression" dxfId="304" priority="130" stopIfTrue="1">
      <formula>AND($M45="Approved",$L45="Fixed")</formula>
    </cfRule>
    <cfRule type="cellIs" dxfId="303" priority="131" stopIfTrue="1" operator="equal">
      <formula>"Fixed"</formula>
    </cfRule>
    <cfRule type="cellIs" dxfId="302" priority="132" stopIfTrue="1" operator="equal">
      <formula>"Open"</formula>
    </cfRule>
  </conditionalFormatting>
  <conditionalFormatting sqref="M45">
    <cfRule type="expression" dxfId="301" priority="133" stopIfTrue="1">
      <formula>OR(M45="Fixed",M45="Approved")</formula>
    </cfRule>
    <cfRule type="cellIs" dxfId="300" priority="134" stopIfTrue="1" operator="equal">
      <formula>"Rejected"</formula>
    </cfRule>
  </conditionalFormatting>
  <conditionalFormatting sqref="B45:K45">
    <cfRule type="expression" dxfId="299" priority="135" stopIfTrue="1">
      <formula>AND($M45="Approved",OR($L45=$R$1,$L45=$T$1))</formula>
    </cfRule>
  </conditionalFormatting>
  <conditionalFormatting sqref="B46:C46">
    <cfRule type="expression" dxfId="298" priority="129" stopIfTrue="1">
      <formula>AND($M46="Approved",OR($L46=$R$1,$L46=$T$1))</formula>
    </cfRule>
  </conditionalFormatting>
  <conditionalFormatting sqref="D5">
    <cfRule type="expression" dxfId="297" priority="128" stopIfTrue="1">
      <formula>AND($M5="Approved",OR($L5=$R$1,$L5=$T$1))</formula>
    </cfRule>
  </conditionalFormatting>
  <conditionalFormatting sqref="D10">
    <cfRule type="expression" dxfId="296" priority="120" stopIfTrue="1">
      <formula>AND($M10="Approved",OR($L10=$R$1,$L10=$T$1))</formula>
    </cfRule>
  </conditionalFormatting>
  <conditionalFormatting sqref="B18">
    <cfRule type="expression" dxfId="295" priority="101" stopIfTrue="1">
      <formula>AND($M18="Approved",OR($L18=$R$1,$L18=$T$1))</formula>
    </cfRule>
  </conditionalFormatting>
  <conditionalFormatting sqref="H22:K22">
    <cfRule type="expression" dxfId="294" priority="97" stopIfTrue="1">
      <formula>AND($M22="Approved",OR($L22=$R$1,$L22=$T$1))</formula>
    </cfRule>
  </conditionalFormatting>
  <conditionalFormatting sqref="H24:K25">
    <cfRule type="expression" dxfId="293" priority="92" stopIfTrue="1">
      <formula>AND($M24="Approved",OR($L24=$R$1,$L24=$T$1))</formula>
    </cfRule>
  </conditionalFormatting>
  <conditionalFormatting sqref="H26:K26">
    <cfRule type="expression" dxfId="292" priority="89" stopIfTrue="1">
      <formula>AND($M26="Approved",OR($L26=$R$1,$L26=$T$1))</formula>
    </cfRule>
  </conditionalFormatting>
  <conditionalFormatting sqref="L6">
    <cfRule type="expression" dxfId="291" priority="83" stopIfTrue="1">
      <formula>AND($M6="Approved",$L6="Fixed")</formula>
    </cfRule>
    <cfRule type="cellIs" dxfId="290" priority="84" stopIfTrue="1" operator="equal">
      <formula>"Fixed"</formula>
    </cfRule>
    <cfRule type="cellIs" dxfId="289" priority="85" stopIfTrue="1" operator="equal">
      <formula>"Open"</formula>
    </cfRule>
  </conditionalFormatting>
  <conditionalFormatting sqref="M6">
    <cfRule type="expression" dxfId="288" priority="86" stopIfTrue="1">
      <formula>OR(M6="Fixed",M6="Approved")</formula>
    </cfRule>
    <cfRule type="cellIs" dxfId="287" priority="87" stopIfTrue="1" operator="equal">
      <formula>"Rejected"</formula>
    </cfRule>
  </conditionalFormatting>
  <conditionalFormatting sqref="C6 E6:K6">
    <cfRule type="expression" dxfId="286" priority="88" stopIfTrue="1">
      <formula>AND($M6="Approved",OR($L6=$R$1,$L6=$T$1))</formula>
    </cfRule>
  </conditionalFormatting>
  <conditionalFormatting sqref="B6">
    <cfRule type="expression" dxfId="285" priority="82" stopIfTrue="1">
      <formula>AND($M6="Approved",OR($L6=$R$1,$L6=$T$1))</formula>
    </cfRule>
  </conditionalFormatting>
  <conditionalFormatting sqref="D6">
    <cfRule type="expression" dxfId="284" priority="81" stopIfTrue="1">
      <formula>AND($M6="Approved",OR($L6=$R$1,$L6=$T$1))</formula>
    </cfRule>
  </conditionalFormatting>
  <conditionalFormatting sqref="L7">
    <cfRule type="expression" dxfId="283" priority="75" stopIfTrue="1">
      <formula>AND($M7="Approved",$L7="Fixed")</formula>
    </cfRule>
    <cfRule type="cellIs" dxfId="282" priority="76" stopIfTrue="1" operator="equal">
      <formula>"Fixed"</formula>
    </cfRule>
    <cfRule type="cellIs" dxfId="281" priority="77" stopIfTrue="1" operator="equal">
      <formula>"Open"</formula>
    </cfRule>
  </conditionalFormatting>
  <conditionalFormatting sqref="M7">
    <cfRule type="expression" dxfId="280" priority="78" stopIfTrue="1">
      <formula>OR(M7="Fixed",M7="Approved")</formula>
    </cfRule>
    <cfRule type="cellIs" dxfId="279" priority="79" stopIfTrue="1" operator="equal">
      <formula>"Rejected"</formula>
    </cfRule>
  </conditionalFormatting>
  <conditionalFormatting sqref="C7 E7:K7">
    <cfRule type="expression" dxfId="278" priority="80" stopIfTrue="1">
      <formula>AND($M7="Approved",OR($L7=$R$1,$L7=$T$1))</formula>
    </cfRule>
  </conditionalFormatting>
  <conditionalFormatting sqref="B7">
    <cfRule type="expression" dxfId="277" priority="74" stopIfTrue="1">
      <formula>AND($M7="Approved",OR($L7=$R$1,$L7=$T$1))</formula>
    </cfRule>
  </conditionalFormatting>
  <conditionalFormatting sqref="D7">
    <cfRule type="expression" dxfId="276" priority="73" stopIfTrue="1">
      <formula>AND($M7="Approved",OR($L7=$R$1,$L7=$T$1))</formula>
    </cfRule>
  </conditionalFormatting>
  <conditionalFormatting sqref="L8">
    <cfRule type="expression" dxfId="275" priority="67" stopIfTrue="1">
      <formula>AND($M8="Approved",$L8="Fixed")</formula>
    </cfRule>
    <cfRule type="cellIs" dxfId="274" priority="68" stopIfTrue="1" operator="equal">
      <formula>"Fixed"</formula>
    </cfRule>
    <cfRule type="cellIs" dxfId="273" priority="69" stopIfTrue="1" operator="equal">
      <formula>"Open"</formula>
    </cfRule>
  </conditionalFormatting>
  <conditionalFormatting sqref="M8">
    <cfRule type="expression" dxfId="272" priority="70" stopIfTrue="1">
      <formula>OR(M8="Fixed",M8="Approved")</formula>
    </cfRule>
    <cfRule type="cellIs" dxfId="271" priority="71" stopIfTrue="1" operator="equal">
      <formula>"Rejected"</formula>
    </cfRule>
  </conditionalFormatting>
  <conditionalFormatting sqref="C8 E8:K8">
    <cfRule type="expression" dxfId="270" priority="72" stopIfTrue="1">
      <formula>AND($M8="Approved",OR($L8=$R$1,$L8=$T$1))</formula>
    </cfRule>
  </conditionalFormatting>
  <conditionalFormatting sqref="B8">
    <cfRule type="expression" dxfId="269" priority="66" stopIfTrue="1">
      <formula>AND($M8="Approved",OR($L8=$R$1,$L8=$T$1))</formula>
    </cfRule>
  </conditionalFormatting>
  <conditionalFormatting sqref="D8">
    <cfRule type="expression" dxfId="268" priority="65" stopIfTrue="1">
      <formula>AND($M8="Approved",OR($L8=$R$1,$L8=$T$1))</formula>
    </cfRule>
  </conditionalFormatting>
  <conditionalFormatting sqref="C9">
    <cfRule type="expression" dxfId="267" priority="64" stopIfTrue="1">
      <formula>AND($M9="Approved",OR($L9=$R$1,$L9=$T$1))</formula>
    </cfRule>
  </conditionalFormatting>
  <conditionalFormatting sqref="B9">
    <cfRule type="expression" dxfId="266" priority="63" stopIfTrue="1">
      <formula>AND($M9="Approved",OR($L9=$R$1,$L9=$T$1))</formula>
    </cfRule>
  </conditionalFormatting>
  <conditionalFormatting sqref="C10">
    <cfRule type="expression" dxfId="265" priority="62" stopIfTrue="1">
      <formula>AND($M10="Approved",OR($L10=$R$1,$L10=$T$1))</formula>
    </cfRule>
  </conditionalFormatting>
  <conditionalFormatting sqref="B10">
    <cfRule type="expression" dxfId="264" priority="61" stopIfTrue="1">
      <formula>AND($M10="Approved",OR($L10=$R$1,$L10=$T$1))</formula>
    </cfRule>
  </conditionalFormatting>
  <conditionalFormatting sqref="C11">
    <cfRule type="expression" dxfId="263" priority="60" stopIfTrue="1">
      <formula>AND($M11="Approved",OR($L11=$R$1,$L11=$T$1))</formula>
    </cfRule>
  </conditionalFormatting>
  <conditionalFormatting sqref="B11">
    <cfRule type="expression" dxfId="262" priority="59" stopIfTrue="1">
      <formula>AND($M11="Approved",OR($L11=$R$1,$L11=$T$1))</formula>
    </cfRule>
  </conditionalFormatting>
  <conditionalFormatting sqref="D11">
    <cfRule type="expression" dxfId="261" priority="58" stopIfTrue="1">
      <formula>AND($M11="Approved",OR($L11=$R$1,$L11=$T$1))</formula>
    </cfRule>
  </conditionalFormatting>
  <conditionalFormatting sqref="C12">
    <cfRule type="expression" dxfId="260" priority="57" stopIfTrue="1">
      <formula>AND($M12="Approved",OR($L12=$R$1,$L12=$T$1))</formula>
    </cfRule>
  </conditionalFormatting>
  <conditionalFormatting sqref="B12">
    <cfRule type="expression" dxfId="259" priority="56" stopIfTrue="1">
      <formula>AND($M12="Approved",OR($L12=$R$1,$L12=$T$1))</formula>
    </cfRule>
  </conditionalFormatting>
  <conditionalFormatting sqref="C13">
    <cfRule type="expression" dxfId="258" priority="55" stopIfTrue="1">
      <formula>AND($M13="Approved",OR($L13=$R$1,$L13=$T$1))</formula>
    </cfRule>
  </conditionalFormatting>
  <conditionalFormatting sqref="B13">
    <cfRule type="expression" dxfId="257" priority="54" stopIfTrue="1">
      <formula>AND($M13="Approved",OR($L13=$R$1,$L13=$T$1))</formula>
    </cfRule>
  </conditionalFormatting>
  <conditionalFormatting sqref="D13">
    <cfRule type="expression" dxfId="256" priority="53" stopIfTrue="1">
      <formula>AND($M13="Approved",OR($L13=$R$1,$L13=$T$1))</formula>
    </cfRule>
  </conditionalFormatting>
  <conditionalFormatting sqref="C14">
    <cfRule type="expression" dxfId="255" priority="52" stopIfTrue="1">
      <formula>AND($M14="Approved",OR($L14=$R$1,$L14=$T$1))</formula>
    </cfRule>
  </conditionalFormatting>
  <conditionalFormatting sqref="B14">
    <cfRule type="expression" dxfId="254" priority="51" stopIfTrue="1">
      <formula>AND($M14="Approved",OR($L14=$R$1,$L14=$T$1))</formula>
    </cfRule>
  </conditionalFormatting>
  <conditionalFormatting sqref="D14">
    <cfRule type="expression" dxfId="253" priority="50" stopIfTrue="1">
      <formula>AND($M14="Approved",OR($L14=$R$1,$L14=$T$1))</formula>
    </cfRule>
  </conditionalFormatting>
  <conditionalFormatting sqref="J14">
    <cfRule type="expression" dxfId="252" priority="49" stopIfTrue="1">
      <formula>AND($M14="Approved",OR($L14=$R$1,$L14=$T$1))</formula>
    </cfRule>
  </conditionalFormatting>
  <conditionalFormatting sqref="L15">
    <cfRule type="expression" dxfId="251" priority="43" stopIfTrue="1">
      <formula>AND($M15="Approved",$L15="Fixed")</formula>
    </cfRule>
    <cfRule type="cellIs" dxfId="250" priority="44" stopIfTrue="1" operator="equal">
      <formula>"Fixed"</formula>
    </cfRule>
    <cfRule type="cellIs" dxfId="249" priority="45" stopIfTrue="1" operator="equal">
      <formula>"Open"</formula>
    </cfRule>
  </conditionalFormatting>
  <conditionalFormatting sqref="M15">
    <cfRule type="expression" dxfId="248" priority="46" stopIfTrue="1">
      <formula>OR(M15="Fixed",M15="Approved")</formula>
    </cfRule>
    <cfRule type="cellIs" dxfId="247" priority="47" stopIfTrue="1" operator="equal">
      <formula>"Rejected"</formula>
    </cfRule>
  </conditionalFormatting>
  <conditionalFormatting sqref="E15:I15 K15">
    <cfRule type="expression" dxfId="246" priority="48" stopIfTrue="1">
      <formula>AND($M15="Approved",OR($L15=$R$1,$L15=$T$1))</formula>
    </cfRule>
  </conditionalFormatting>
  <conditionalFormatting sqref="C15">
    <cfRule type="expression" dxfId="245" priority="42" stopIfTrue="1">
      <formula>AND($M15="Approved",OR($L15=$R$1,$L15=$T$1))</formula>
    </cfRule>
  </conditionalFormatting>
  <conditionalFormatting sqref="B15">
    <cfRule type="expression" dxfId="244" priority="41" stopIfTrue="1">
      <formula>AND($M15="Approved",OR($L15=$R$1,$L15=$T$1))</formula>
    </cfRule>
  </conditionalFormatting>
  <conditionalFormatting sqref="D15">
    <cfRule type="expression" dxfId="243" priority="40" stopIfTrue="1">
      <formula>AND($M15="Approved",OR($L15=$R$1,$L15=$T$1))</formula>
    </cfRule>
  </conditionalFormatting>
  <conditionalFormatting sqref="J15">
    <cfRule type="expression" dxfId="242" priority="39" stopIfTrue="1">
      <formula>AND($M15="Approved",OR($L15=$R$1,$L15=$T$1))</formula>
    </cfRule>
  </conditionalFormatting>
  <conditionalFormatting sqref="L16">
    <cfRule type="expression" dxfId="241" priority="33" stopIfTrue="1">
      <formula>AND($M16="Approved",$L16="Fixed")</formula>
    </cfRule>
    <cfRule type="cellIs" dxfId="240" priority="34" stopIfTrue="1" operator="equal">
      <formula>"Fixed"</formula>
    </cfRule>
    <cfRule type="cellIs" dxfId="239" priority="35" stopIfTrue="1" operator="equal">
      <formula>"Open"</formula>
    </cfRule>
  </conditionalFormatting>
  <conditionalFormatting sqref="M16">
    <cfRule type="expression" dxfId="238" priority="36" stopIfTrue="1">
      <formula>OR(M16="Fixed",M16="Approved")</formula>
    </cfRule>
    <cfRule type="cellIs" dxfId="237" priority="37" stopIfTrue="1" operator="equal">
      <formula>"Rejected"</formula>
    </cfRule>
  </conditionalFormatting>
  <conditionalFormatting sqref="E16:I16 K16">
    <cfRule type="expression" dxfId="236" priority="38" stopIfTrue="1">
      <formula>AND($M16="Approved",OR($L16=$R$1,$L16=$T$1))</formula>
    </cfRule>
  </conditionalFormatting>
  <conditionalFormatting sqref="C16">
    <cfRule type="expression" dxfId="235" priority="32" stopIfTrue="1">
      <formula>AND($M16="Approved",OR($L16=$R$1,$L16=$T$1))</formula>
    </cfRule>
  </conditionalFormatting>
  <conditionalFormatting sqref="B16">
    <cfRule type="expression" dxfId="234" priority="31" stopIfTrue="1">
      <formula>AND($M16="Approved",OR($L16=$R$1,$L16=$T$1))</formula>
    </cfRule>
  </conditionalFormatting>
  <conditionalFormatting sqref="D16">
    <cfRule type="expression" dxfId="233" priority="30" stopIfTrue="1">
      <formula>AND($M16="Approved",OR($L16=$R$1,$L16=$T$1))</formula>
    </cfRule>
  </conditionalFormatting>
  <conditionalFormatting sqref="J16">
    <cfRule type="expression" dxfId="232" priority="29" stopIfTrue="1">
      <formula>AND($M16="Approved",OR($L16=$R$1,$L16=$T$1))</formula>
    </cfRule>
  </conditionalFormatting>
  <conditionalFormatting sqref="L17">
    <cfRule type="expression" dxfId="231" priority="23" stopIfTrue="1">
      <formula>AND($M17="Approved",$L17="Fixed")</formula>
    </cfRule>
    <cfRule type="cellIs" dxfId="230" priority="24" stopIfTrue="1" operator="equal">
      <formula>"Fixed"</formula>
    </cfRule>
    <cfRule type="cellIs" dxfId="229" priority="25" stopIfTrue="1" operator="equal">
      <formula>"Open"</formula>
    </cfRule>
  </conditionalFormatting>
  <conditionalFormatting sqref="M17">
    <cfRule type="expression" dxfId="228" priority="26" stopIfTrue="1">
      <formula>OR(M17="Fixed",M17="Approved")</formula>
    </cfRule>
    <cfRule type="cellIs" dxfId="227" priority="27" stopIfTrue="1" operator="equal">
      <formula>"Rejected"</formula>
    </cfRule>
  </conditionalFormatting>
  <conditionalFormatting sqref="E17:I17 K17">
    <cfRule type="expression" dxfId="226" priority="28" stopIfTrue="1">
      <formula>AND($M17="Approved",OR($L17=$R$1,$L17=$T$1))</formula>
    </cfRule>
  </conditionalFormatting>
  <conditionalFormatting sqref="C17">
    <cfRule type="expression" dxfId="225" priority="22" stopIfTrue="1">
      <formula>AND($M17="Approved",OR($L17=$R$1,$L17=$T$1))</formula>
    </cfRule>
  </conditionalFormatting>
  <conditionalFormatting sqref="B17">
    <cfRule type="expression" dxfId="224" priority="21" stopIfTrue="1">
      <formula>AND($M17="Approved",OR($L17=$R$1,$L17=$T$1))</formula>
    </cfRule>
  </conditionalFormatting>
  <conditionalFormatting sqref="D17">
    <cfRule type="expression" dxfId="223" priority="20" stopIfTrue="1">
      <formula>AND($M17="Approved",OR($L17=$R$1,$L17=$T$1))</formula>
    </cfRule>
  </conditionalFormatting>
  <conditionalFormatting sqref="J17">
    <cfRule type="expression" dxfId="222" priority="19" stopIfTrue="1">
      <formula>AND($M17="Approved",OR($L17=$R$1,$L17=$T$1))</formula>
    </cfRule>
  </conditionalFormatting>
  <conditionalFormatting sqref="C18">
    <cfRule type="expression" dxfId="221" priority="18" stopIfTrue="1">
      <formula>AND($M18="Approved",OR($L18=$R$1,$L18=$T$1))</formula>
    </cfRule>
  </conditionalFormatting>
  <conditionalFormatting sqref="B19">
    <cfRule type="expression" dxfId="220" priority="17" stopIfTrue="1">
      <formula>AND($M19="Approved",OR($L19=$R$1,$L19=$T$1))</formula>
    </cfRule>
  </conditionalFormatting>
  <conditionalFormatting sqref="C19">
    <cfRule type="expression" dxfId="219" priority="16" stopIfTrue="1">
      <formula>AND($M19="Approved",OR($L19=$R$1,$L19=$T$1))</formula>
    </cfRule>
  </conditionalFormatting>
  <conditionalFormatting sqref="B20">
    <cfRule type="expression" dxfId="218" priority="15" stopIfTrue="1">
      <formula>AND($M20="Approved",OR($L20=$R$1,$L20=$T$1))</formula>
    </cfRule>
  </conditionalFormatting>
  <conditionalFormatting sqref="C20">
    <cfRule type="expression" dxfId="217" priority="14" stopIfTrue="1">
      <formula>AND($M20="Approved",OR($L20=$R$1,$L20=$T$1))</formula>
    </cfRule>
  </conditionalFormatting>
  <conditionalFormatting sqref="B21">
    <cfRule type="expression" dxfId="216" priority="13" stopIfTrue="1">
      <formula>AND($M21="Approved",OR($L21=$R$1,$L21=$T$1))</formula>
    </cfRule>
  </conditionalFormatting>
  <conditionalFormatting sqref="C21">
    <cfRule type="expression" dxfId="215" priority="12" stopIfTrue="1">
      <formula>AND($M21="Approved",OR($L21=$R$1,$L21=$T$1))</formula>
    </cfRule>
  </conditionalFormatting>
  <conditionalFormatting sqref="B22">
    <cfRule type="expression" dxfId="214" priority="11" stopIfTrue="1">
      <formula>AND($M22="Approved",OR($L22=$R$1,$L22=$T$1))</formula>
    </cfRule>
  </conditionalFormatting>
  <conditionalFormatting sqref="C22">
    <cfRule type="expression" dxfId="213" priority="10" stopIfTrue="1">
      <formula>AND($M22="Approved",OR($L22=$R$1,$L22=$T$1))</formula>
    </cfRule>
  </conditionalFormatting>
  <conditionalFormatting sqref="B23">
    <cfRule type="expression" dxfId="212" priority="9" stopIfTrue="1">
      <formula>AND($M23="Approved",OR($L23=$R$1,$L23=$T$1))</formula>
    </cfRule>
  </conditionalFormatting>
  <conditionalFormatting sqref="C23">
    <cfRule type="expression" dxfId="211" priority="8" stopIfTrue="1">
      <formula>AND($M23="Approved",OR($L23=$R$1,$L23=$T$1))</formula>
    </cfRule>
  </conditionalFormatting>
  <conditionalFormatting sqref="B24">
    <cfRule type="expression" dxfId="210" priority="7" stopIfTrue="1">
      <formula>AND($M24="Approved",OR($L24=$R$1,$L24=$T$1))</formula>
    </cfRule>
  </conditionalFormatting>
  <conditionalFormatting sqref="C24">
    <cfRule type="expression" dxfId="209" priority="6" stopIfTrue="1">
      <formula>AND($M24="Approved",OR($L24=$R$1,$L24=$T$1))</formula>
    </cfRule>
  </conditionalFormatting>
  <conditionalFormatting sqref="B25">
    <cfRule type="expression" dxfId="208" priority="5" stopIfTrue="1">
      <formula>AND($M25="Approved",OR($L25=$R$1,$L25=$T$1))</formula>
    </cfRule>
  </conditionalFormatting>
  <conditionalFormatting sqref="C25">
    <cfRule type="expression" dxfId="207" priority="4" stopIfTrue="1">
      <formula>AND($M25="Approved",OR($L25=$R$1,$L25=$T$1))</formula>
    </cfRule>
  </conditionalFormatting>
  <conditionalFormatting sqref="B26">
    <cfRule type="expression" dxfId="206" priority="3" stopIfTrue="1">
      <formula>AND($M26="Approved",OR($L26=$R$1,$L26=$T$1))</formula>
    </cfRule>
  </conditionalFormatting>
  <conditionalFormatting sqref="C26">
    <cfRule type="expression" dxfId="205" priority="2" stopIfTrue="1">
      <formula>AND($M26="Approved",OR($L26=$R$1,$L26=$T$1))</formula>
    </cfRule>
  </conditionalFormatting>
  <conditionalFormatting sqref="B34:D34">
    <cfRule type="expression" dxfId="204" priority="1" stopIfTrue="1">
      <formula>AND($M34="Approved",OR($L34=$R$1,$L34=$T$1))</formula>
    </cfRule>
  </conditionalFormatting>
  <dataValidations count="3">
    <dataValidation type="list" allowBlank="1" showInputMessage="1" showErrorMessage="1" sqref="L5:L204" xr:uid="{00000000-0002-0000-0300-000000000000}">
      <formula1>$Q$1:$U$1</formula1>
    </dataValidation>
    <dataValidation type="list" allowBlank="1" showInputMessage="1" showErrorMessage="1" sqref="M5:M204" xr:uid="{00000000-0002-0000-0300-000001000000}">
      <formula1>$AH$1:$AI$1</formula1>
    </dataValidation>
    <dataValidation type="list" allowBlank="1" showInputMessage="1" showErrorMessage="1" sqref="I5:I204" xr:uid="{00000000-0002-0000-0300-000002000000}">
      <formula1>"Low,medium,high"</formula1>
    </dataValidation>
  </dataValidations>
  <pageMargins left="0.75" right="0.75" top="1" bottom="1" header="0.4921259845" footer="0.4921259845"/>
  <pageSetup paperSize="9" scale="67" fitToHeight="0" orientation="landscape"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FEFD14-F4C0-4243-9104-0315213155E3}">
  <sheetPr codeName="Feuil31">
    <tabColor theme="7"/>
    <outlinePr summaryBelow="0" summaryRight="0"/>
    <pageSetUpPr fitToPage="1"/>
  </sheetPr>
  <dimension ref="A2:I35"/>
  <sheetViews>
    <sheetView tabSelected="1" zoomScaleNormal="100" workbookViewId="0">
      <pane xSplit="1" ySplit="3" topLeftCell="B6" activePane="bottomRight" state="frozen"/>
      <selection pane="topRight" activeCell="B1" sqref="B1"/>
      <selection pane="bottomLeft" activeCell="A4" sqref="A4"/>
      <selection pane="bottomRight" activeCell="C2" sqref="C2"/>
    </sheetView>
  </sheetViews>
  <sheetFormatPr defaultColWidth="9.28515625" defaultRowHeight="12.75" outlineLevelCol="1"/>
  <cols>
    <col min="1" max="1" width="12.85546875" style="159" bestFit="1" customWidth="1"/>
    <col min="2" max="2" width="61" style="158" customWidth="1"/>
    <col min="3" max="5" width="6.28515625" style="157" bestFit="1" customWidth="1"/>
    <col min="6" max="6" width="33.7109375" style="157" customWidth="1"/>
    <col min="7" max="8" width="30.7109375" style="157" customWidth="1" outlineLevel="1"/>
    <col min="9" max="16384" width="9.28515625" style="157"/>
  </cols>
  <sheetData>
    <row r="2" spans="1:9" ht="46.5">
      <c r="A2" s="182" t="s">
        <v>215</v>
      </c>
      <c r="B2" s="183" t="s">
        <v>228</v>
      </c>
      <c r="C2" s="184" t="s">
        <v>448</v>
      </c>
      <c r="D2" s="184" t="s">
        <v>464</v>
      </c>
      <c r="E2" s="184" t="s">
        <v>465</v>
      </c>
      <c r="F2" s="185" t="s">
        <v>224</v>
      </c>
      <c r="G2" s="332" t="s">
        <v>185</v>
      </c>
      <c r="H2" s="333"/>
    </row>
    <row r="3" spans="1:9" ht="18.75">
      <c r="A3" s="186"/>
      <c r="B3" s="187"/>
      <c r="C3" s="188">
        <f>COUNTIF(Review.ratings,"Yes") / ( COUNTA(Review.QuestionIds) - COUNTIF(Review.ratings,"NA"))</f>
        <v>1</v>
      </c>
      <c r="D3" s="188">
        <f>COUNTIF(Review.ratings,"Yes") / ( COUNTA(Review.QuestionIds) - COUNTIF(Review.ratings,"NA"))</f>
        <v>1</v>
      </c>
      <c r="E3" s="188">
        <f>COUNTIF(Review.ratings,"Yes") / ( COUNTA(Review.QuestionIds) - COUNTIF(Review.ratings,"NA"))</f>
        <v>1</v>
      </c>
      <c r="F3" s="193"/>
      <c r="G3" s="201" t="s">
        <v>221</v>
      </c>
      <c r="H3" s="201" t="s">
        <v>222</v>
      </c>
      <c r="I3" s="194"/>
    </row>
    <row r="4" spans="1:9" ht="36">
      <c r="A4" s="189"/>
      <c r="B4" s="190" t="s">
        <v>226</v>
      </c>
      <c r="C4" s="191"/>
      <c r="D4" s="191"/>
      <c r="E4" s="191"/>
      <c r="F4" s="191"/>
      <c r="G4" s="191"/>
      <c r="H4" s="192"/>
      <c r="I4" s="25"/>
    </row>
    <row r="5" spans="1:9" ht="18.75">
      <c r="A5" s="160"/>
      <c r="B5" s="168" t="s">
        <v>225</v>
      </c>
      <c r="C5" s="161"/>
      <c r="D5" s="161"/>
      <c r="E5" s="161"/>
      <c r="F5" s="161"/>
      <c r="G5" s="201"/>
      <c r="H5" s="201"/>
    </row>
    <row r="6" spans="1:9" ht="38.25">
      <c r="A6" s="163" t="s">
        <v>337</v>
      </c>
      <c r="B6" s="171" t="s">
        <v>227</v>
      </c>
      <c r="C6" s="195" t="s">
        <v>214</v>
      </c>
      <c r="D6" s="195" t="s">
        <v>214</v>
      </c>
      <c r="E6" s="195" t="s">
        <v>214</v>
      </c>
      <c r="F6" s="196"/>
      <c r="G6" s="162"/>
      <c r="H6" s="162"/>
    </row>
    <row r="7" spans="1:9" ht="18.75">
      <c r="A7" s="160"/>
      <c r="B7" s="168" t="s">
        <v>263</v>
      </c>
      <c r="C7" s="161"/>
      <c r="D7" s="161"/>
      <c r="E7" s="161"/>
      <c r="F7" s="161"/>
      <c r="G7" s="201"/>
      <c r="H7" s="201"/>
    </row>
    <row r="8" spans="1:9" ht="38.25">
      <c r="A8" s="163" t="s">
        <v>339</v>
      </c>
      <c r="B8" s="171" t="s">
        <v>264</v>
      </c>
      <c r="C8" s="195" t="s">
        <v>214</v>
      </c>
      <c r="D8" s="195" t="s">
        <v>214</v>
      </c>
      <c r="E8" s="195" t="s">
        <v>214</v>
      </c>
      <c r="F8" s="196"/>
      <c r="G8" s="162"/>
      <c r="H8" s="162"/>
    </row>
    <row r="9" spans="1:9" ht="25.5">
      <c r="A9" s="163" t="s">
        <v>340</v>
      </c>
      <c r="B9" s="171" t="s">
        <v>265</v>
      </c>
      <c r="C9" s="195" t="s">
        <v>214</v>
      </c>
      <c r="D9" s="195" t="s">
        <v>214</v>
      </c>
      <c r="E9" s="195" t="s">
        <v>214</v>
      </c>
      <c r="F9" s="196"/>
      <c r="G9" s="162"/>
      <c r="H9" s="162"/>
    </row>
    <row r="10" spans="1:9" ht="38.25">
      <c r="A10" s="163" t="s">
        <v>341</v>
      </c>
      <c r="B10" s="171" t="s">
        <v>342</v>
      </c>
      <c r="C10" s="195" t="s">
        <v>214</v>
      </c>
      <c r="D10" s="195" t="s">
        <v>214</v>
      </c>
      <c r="E10" s="195" t="s">
        <v>214</v>
      </c>
      <c r="F10" s="196"/>
      <c r="G10" s="162"/>
      <c r="H10" s="162"/>
    </row>
    <row r="11" spans="1:9" ht="25.5">
      <c r="A11" s="163" t="s">
        <v>343</v>
      </c>
      <c r="B11" s="171" t="s">
        <v>266</v>
      </c>
      <c r="C11" s="195" t="s">
        <v>214</v>
      </c>
      <c r="D11" s="195" t="s">
        <v>214</v>
      </c>
      <c r="E11" s="195" t="s">
        <v>214</v>
      </c>
      <c r="F11" s="196"/>
      <c r="G11" s="162"/>
      <c r="H11" s="162"/>
    </row>
    <row r="12" spans="1:9" ht="51">
      <c r="A12" s="163" t="s">
        <v>344</v>
      </c>
      <c r="B12" s="171" t="s">
        <v>267</v>
      </c>
      <c r="C12" s="195" t="s">
        <v>214</v>
      </c>
      <c r="D12" s="195" t="s">
        <v>214</v>
      </c>
      <c r="E12" s="195" t="s">
        <v>214</v>
      </c>
      <c r="F12" s="196"/>
      <c r="G12" s="162"/>
      <c r="H12" s="162"/>
    </row>
    <row r="13" spans="1:9" ht="25.5">
      <c r="A13" s="163" t="s">
        <v>345</v>
      </c>
      <c r="B13" s="171" t="s">
        <v>268</v>
      </c>
      <c r="C13" s="195" t="s">
        <v>214</v>
      </c>
      <c r="D13" s="195" t="s">
        <v>214</v>
      </c>
      <c r="E13" s="195" t="s">
        <v>214</v>
      </c>
      <c r="F13" s="196"/>
      <c r="G13" s="162"/>
      <c r="H13" s="162"/>
    </row>
    <row r="14" spans="1:9" ht="25.5">
      <c r="A14" s="163" t="s">
        <v>346</v>
      </c>
      <c r="B14" s="171" t="s">
        <v>269</v>
      </c>
      <c r="C14" s="195" t="s">
        <v>214</v>
      </c>
      <c r="D14" s="195" t="s">
        <v>214</v>
      </c>
      <c r="E14" s="195" t="s">
        <v>214</v>
      </c>
      <c r="F14" s="196"/>
      <c r="G14" s="162"/>
      <c r="H14" s="162"/>
    </row>
    <row r="15" spans="1:9" ht="38.25">
      <c r="A15" s="163" t="s">
        <v>347</v>
      </c>
      <c r="B15" s="171" t="s">
        <v>270</v>
      </c>
      <c r="C15" s="195" t="s">
        <v>214</v>
      </c>
      <c r="D15" s="195" t="s">
        <v>214</v>
      </c>
      <c r="E15" s="195" t="s">
        <v>214</v>
      </c>
      <c r="F15" s="196"/>
      <c r="G15" s="162"/>
      <c r="H15" s="162"/>
    </row>
    <row r="16" spans="1:9" ht="25.5">
      <c r="A16" s="163" t="s">
        <v>348</v>
      </c>
      <c r="B16" s="171" t="s">
        <v>338</v>
      </c>
      <c r="C16" s="195" t="s">
        <v>214</v>
      </c>
      <c r="D16" s="195" t="s">
        <v>214</v>
      </c>
      <c r="E16" s="195" t="s">
        <v>214</v>
      </c>
      <c r="F16" s="196"/>
      <c r="G16" s="162"/>
      <c r="H16" s="162"/>
    </row>
    <row r="17" spans="1:8" ht="38.25">
      <c r="A17" s="163" t="s">
        <v>349</v>
      </c>
      <c r="B17" s="171" t="s">
        <v>350</v>
      </c>
      <c r="C17" s="195" t="s">
        <v>214</v>
      </c>
      <c r="D17" s="195" t="s">
        <v>214</v>
      </c>
      <c r="E17" s="195" t="s">
        <v>214</v>
      </c>
      <c r="F17" s="196"/>
      <c r="G17" s="162"/>
      <c r="H17" s="162"/>
    </row>
    <row r="18" spans="1:8" ht="38.25">
      <c r="A18" s="163" t="s">
        <v>351</v>
      </c>
      <c r="B18" s="171" t="s">
        <v>271</v>
      </c>
      <c r="C18" s="195" t="s">
        <v>214</v>
      </c>
      <c r="D18" s="195" t="s">
        <v>214</v>
      </c>
      <c r="E18" s="195" t="s">
        <v>214</v>
      </c>
      <c r="F18" s="196"/>
      <c r="G18" s="162"/>
      <c r="H18" s="162"/>
    </row>
    <row r="19" spans="1:8" ht="25.5">
      <c r="A19" s="163" t="s">
        <v>352</v>
      </c>
      <c r="B19" s="171" t="s">
        <v>272</v>
      </c>
      <c r="C19" s="195" t="s">
        <v>214</v>
      </c>
      <c r="D19" s="195" t="s">
        <v>214</v>
      </c>
      <c r="E19" s="195" t="s">
        <v>214</v>
      </c>
      <c r="F19" s="196"/>
      <c r="G19" s="162"/>
      <c r="H19" s="162"/>
    </row>
    <row r="20" spans="1:8" ht="25.5">
      <c r="A20" s="163" t="s">
        <v>353</v>
      </c>
      <c r="B20" s="171" t="s">
        <v>273</v>
      </c>
      <c r="C20" s="195" t="s">
        <v>214</v>
      </c>
      <c r="D20" s="195" t="s">
        <v>214</v>
      </c>
      <c r="E20" s="195" t="s">
        <v>214</v>
      </c>
      <c r="F20" s="196"/>
      <c r="G20" s="162"/>
      <c r="H20" s="162"/>
    </row>
    <row r="21" spans="1:8" ht="38.25">
      <c r="A21" s="163" t="s">
        <v>354</v>
      </c>
      <c r="B21" s="171" t="s">
        <v>274</v>
      </c>
      <c r="C21" s="195" t="s">
        <v>214</v>
      </c>
      <c r="D21" s="195" t="s">
        <v>214</v>
      </c>
      <c r="E21" s="195" t="s">
        <v>214</v>
      </c>
      <c r="F21" s="196"/>
      <c r="G21" s="162"/>
      <c r="H21" s="162"/>
    </row>
    <row r="22" spans="1:8" ht="38.25">
      <c r="A22" s="163" t="s">
        <v>355</v>
      </c>
      <c r="B22" s="171" t="s">
        <v>356</v>
      </c>
      <c r="C22" s="195" t="s">
        <v>214</v>
      </c>
      <c r="D22" s="195" t="s">
        <v>214</v>
      </c>
      <c r="E22" s="195" t="s">
        <v>214</v>
      </c>
      <c r="F22" s="196"/>
      <c r="G22" s="162"/>
      <c r="H22" s="162"/>
    </row>
    <row r="23" spans="1:8" ht="18.75">
      <c r="A23" s="160"/>
      <c r="B23" s="168" t="s">
        <v>218</v>
      </c>
      <c r="C23" s="161"/>
      <c r="D23" s="161"/>
      <c r="E23" s="161"/>
      <c r="F23" s="161"/>
      <c r="G23" s="201"/>
      <c r="H23" s="201"/>
    </row>
    <row r="24" spans="1:8" ht="38.25">
      <c r="A24" s="163" t="s">
        <v>312</v>
      </c>
      <c r="B24" s="171" t="s">
        <v>208</v>
      </c>
      <c r="C24" s="195" t="s">
        <v>214</v>
      </c>
      <c r="D24" s="195" t="s">
        <v>214</v>
      </c>
      <c r="E24" s="195" t="s">
        <v>214</v>
      </c>
      <c r="F24" s="204"/>
      <c r="G24" s="162"/>
      <c r="H24" s="162"/>
    </row>
    <row r="25" spans="1:8" ht="25.5">
      <c r="A25" s="163" t="s">
        <v>313</v>
      </c>
      <c r="B25" s="171" t="s">
        <v>209</v>
      </c>
      <c r="C25" s="195" t="s">
        <v>214</v>
      </c>
      <c r="D25" s="195" t="s">
        <v>214</v>
      </c>
      <c r="E25" s="195" t="s">
        <v>214</v>
      </c>
      <c r="F25" s="196"/>
      <c r="G25" s="162"/>
      <c r="H25" s="162"/>
    </row>
    <row r="26" spans="1:8" ht="38.25">
      <c r="A26" s="163" t="s">
        <v>314</v>
      </c>
      <c r="B26" s="171" t="s">
        <v>210</v>
      </c>
      <c r="C26" s="195" t="s">
        <v>214</v>
      </c>
      <c r="D26" s="195" t="s">
        <v>214</v>
      </c>
      <c r="E26" s="195" t="s">
        <v>214</v>
      </c>
      <c r="F26" s="204"/>
      <c r="G26" s="162"/>
      <c r="H26" s="162"/>
    </row>
    <row r="27" spans="1:8" ht="38.25">
      <c r="A27" s="163" t="s">
        <v>315</v>
      </c>
      <c r="B27" s="171" t="s">
        <v>211</v>
      </c>
      <c r="C27" s="195" t="s">
        <v>214</v>
      </c>
      <c r="D27" s="195" t="s">
        <v>214</v>
      </c>
      <c r="E27" s="195" t="s">
        <v>214</v>
      </c>
      <c r="F27" s="204"/>
      <c r="G27" s="162"/>
      <c r="H27" s="162"/>
    </row>
    <row r="28" spans="1:8" ht="18.75">
      <c r="A28" s="160"/>
      <c r="B28" s="168" t="s">
        <v>219</v>
      </c>
      <c r="C28" s="161"/>
      <c r="D28" s="161"/>
      <c r="E28" s="161"/>
      <c r="F28" s="161"/>
      <c r="G28" s="201"/>
      <c r="H28" s="201"/>
    </row>
    <row r="29" spans="1:8" ht="38.25">
      <c r="A29" s="163" t="s">
        <v>316</v>
      </c>
      <c r="B29" s="171" t="s">
        <v>212</v>
      </c>
      <c r="C29" s="195" t="s">
        <v>214</v>
      </c>
      <c r="D29" s="195" t="s">
        <v>214</v>
      </c>
      <c r="E29" s="195" t="s">
        <v>214</v>
      </c>
      <c r="F29" s="196"/>
      <c r="G29" s="162"/>
      <c r="H29" s="162"/>
    </row>
    <row r="30" spans="1:8" ht="38.25">
      <c r="A30" s="163" t="s">
        <v>317</v>
      </c>
      <c r="B30" s="171" t="s">
        <v>213</v>
      </c>
      <c r="C30" s="195" t="s">
        <v>214</v>
      </c>
      <c r="D30" s="195" t="s">
        <v>214</v>
      </c>
      <c r="E30" s="195" t="s">
        <v>214</v>
      </c>
      <c r="F30" s="196"/>
      <c r="G30" s="162"/>
      <c r="H30" s="162"/>
    </row>
    <row r="31" spans="1:8" ht="18.75">
      <c r="A31" s="160"/>
      <c r="B31" s="168" t="s">
        <v>206</v>
      </c>
      <c r="C31" s="161"/>
      <c r="D31" s="161"/>
      <c r="E31" s="161"/>
      <c r="F31" s="161"/>
      <c r="G31" s="201"/>
      <c r="H31" s="201"/>
    </row>
    <row r="32" spans="1:8" ht="51">
      <c r="A32" s="163" t="s">
        <v>318</v>
      </c>
      <c r="B32" s="171" t="s">
        <v>207</v>
      </c>
      <c r="C32" s="195" t="s">
        <v>214</v>
      </c>
      <c r="D32" s="195" t="s">
        <v>214</v>
      </c>
      <c r="E32" s="195" t="s">
        <v>214</v>
      </c>
      <c r="F32" s="204"/>
      <c r="G32" s="162"/>
      <c r="H32" s="162"/>
    </row>
    <row r="33" spans="1:8" ht="18">
      <c r="A33" s="197"/>
      <c r="B33" s="198" t="s">
        <v>223</v>
      </c>
      <c r="C33" s="197"/>
      <c r="D33" s="197"/>
      <c r="E33" s="197"/>
      <c r="F33" s="197"/>
      <c r="G33" s="197"/>
      <c r="H33" s="197"/>
    </row>
    <row r="34" spans="1:8">
      <c r="A34" s="163"/>
      <c r="B34" s="171"/>
    </row>
    <row r="35" spans="1:8" ht="15">
      <c r="A35" s="199"/>
      <c r="B35" s="200" t="s">
        <v>336</v>
      </c>
      <c r="C35" s="199"/>
      <c r="D35" s="199"/>
      <c r="E35" s="199"/>
      <c r="F35" s="199"/>
      <c r="G35" s="199"/>
      <c r="H35" s="199"/>
    </row>
  </sheetData>
  <mergeCells count="1">
    <mergeCell ref="G2:H2"/>
  </mergeCells>
  <conditionalFormatting sqref="C6:E6">
    <cfRule type="cellIs" dxfId="203" priority="1080" operator="equal">
      <formula>"No"</formula>
    </cfRule>
    <cfRule type="cellIs" dxfId="202" priority="1081" operator="equal">
      <formula>"NA"</formula>
    </cfRule>
    <cfRule type="cellIs" dxfId="201" priority="1082" operator="equal">
      <formula>"Yes"</formula>
    </cfRule>
  </conditionalFormatting>
  <conditionalFormatting sqref="C8:E22">
    <cfRule type="cellIs" dxfId="200" priority="10" operator="equal">
      <formula>"No"</formula>
    </cfRule>
    <cfRule type="cellIs" dxfId="199" priority="11" operator="equal">
      <formula>"NA"</formula>
    </cfRule>
    <cfRule type="cellIs" dxfId="198" priority="12" operator="equal">
      <formula>"Yes"</formula>
    </cfRule>
  </conditionalFormatting>
  <conditionalFormatting sqref="C24:E27">
    <cfRule type="cellIs" dxfId="197" priority="7" operator="equal">
      <formula>"No"</formula>
    </cfRule>
    <cfRule type="cellIs" dxfId="196" priority="8" operator="equal">
      <formula>"NA"</formula>
    </cfRule>
    <cfRule type="cellIs" dxfId="195" priority="9" operator="equal">
      <formula>"Yes"</formula>
    </cfRule>
  </conditionalFormatting>
  <conditionalFormatting sqref="C29:E30">
    <cfRule type="cellIs" dxfId="194" priority="4" operator="equal">
      <formula>"No"</formula>
    </cfRule>
    <cfRule type="cellIs" dxfId="193" priority="5" operator="equal">
      <formula>"NA"</formula>
    </cfRule>
    <cfRule type="cellIs" dxfId="192" priority="6" operator="equal">
      <formula>"Yes"</formula>
    </cfRule>
  </conditionalFormatting>
  <conditionalFormatting sqref="C32:E32">
    <cfRule type="cellIs" dxfId="191" priority="1" operator="equal">
      <formula>"No"</formula>
    </cfRule>
    <cfRule type="cellIs" dxfId="190" priority="2" operator="equal">
      <formula>"NA"</formula>
    </cfRule>
    <cfRule type="cellIs" dxfId="189" priority="3" operator="equal">
      <formula>"Yes"</formula>
    </cfRule>
  </conditionalFormatting>
  <dataValidations count="1">
    <dataValidation type="list" allowBlank="1" showInputMessage="1" showErrorMessage="1" sqref="C24:E27 C8:E22 C32:E32 C6:E6 C29:E30" xr:uid="{69B754B4-0ACB-437B-8D2B-A578C8CD703E}">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12BD97-BBDF-4075-A32C-01296C6E2E91}">
  <sheetPr codeName="Feuil33">
    <tabColor theme="7"/>
    <outlinePr summaryBelow="0" summaryRight="0"/>
    <pageSetUpPr fitToPage="1"/>
  </sheetPr>
  <dimension ref="A2:L36"/>
  <sheetViews>
    <sheetView zoomScaleNormal="100" workbookViewId="0">
      <pane xSplit="1" ySplit="3" topLeftCell="B7" activePane="bottomRight" state="frozen"/>
      <selection pane="topRight" activeCell="B1" sqref="B1"/>
      <selection pane="bottomLeft" activeCell="A4" sqref="A4"/>
      <selection pane="bottomRight" activeCell="H11" sqref="H11"/>
    </sheetView>
  </sheetViews>
  <sheetFormatPr defaultColWidth="9.28515625" defaultRowHeight="12.75" outlineLevelCol="1"/>
  <cols>
    <col min="1" max="1" width="20.140625" style="159" customWidth="1"/>
    <col min="2" max="2" width="61" style="158" customWidth="1"/>
    <col min="3" max="4" width="6.28515625" style="157" bestFit="1" customWidth="1"/>
    <col min="5" max="5" width="6.7109375" style="157" customWidth="1"/>
    <col min="6" max="6" width="6.28515625" style="157" bestFit="1" customWidth="1"/>
    <col min="7" max="7" width="6.7109375" style="157" customWidth="1"/>
    <col min="8" max="8" width="6.28515625" style="157" bestFit="1" customWidth="1"/>
    <col min="9" max="9" width="41.140625" style="157" bestFit="1" customWidth="1"/>
    <col min="10" max="11" width="30.7109375" style="157" customWidth="1" outlineLevel="1"/>
    <col min="12" max="16384" width="9.28515625" style="157"/>
  </cols>
  <sheetData>
    <row r="2" spans="1:12" ht="107.25" customHeight="1">
      <c r="A2" s="182" t="s">
        <v>215</v>
      </c>
      <c r="B2" s="183" t="s">
        <v>229</v>
      </c>
      <c r="C2" s="184" t="s">
        <v>422</v>
      </c>
      <c r="D2" s="184" t="s">
        <v>423</v>
      </c>
      <c r="E2" s="184" t="s">
        <v>434</v>
      </c>
      <c r="F2" s="184" t="s">
        <v>435</v>
      </c>
      <c r="G2" s="184" t="s">
        <v>445</v>
      </c>
      <c r="H2" s="184" t="s">
        <v>446</v>
      </c>
      <c r="I2" s="185" t="s">
        <v>224</v>
      </c>
      <c r="J2" s="332" t="s">
        <v>185</v>
      </c>
      <c r="K2" s="333"/>
    </row>
    <row r="3" spans="1:12" ht="18.75">
      <c r="A3" s="186"/>
      <c r="B3" s="187"/>
      <c r="C3" s="188">
        <f t="shared" ref="C3:D3" si="0">COUNTIF(C5:C36,"Yes") / ( COUNTA(C5:C36) - COUNTIF(C5:C36,"NA"))</f>
        <v>0.95</v>
      </c>
      <c r="D3" s="188">
        <f t="shared" si="0"/>
        <v>0.86956521739130432</v>
      </c>
      <c r="E3" s="188">
        <f t="shared" ref="E3:F3" si="1">COUNTIF(E5:E36,"Yes") / ( COUNTA(E5:E36) - COUNTIF(E5:E36,"NA"))</f>
        <v>1</v>
      </c>
      <c r="F3" s="188">
        <f t="shared" si="1"/>
        <v>0.95652173913043481</v>
      </c>
      <c r="G3" s="188">
        <f t="shared" ref="G3:H3" si="2">COUNTIF(G5:G36,"Yes") / ( COUNTA(G5:G36) - COUNTIF(G5:G36,"NA"))</f>
        <v>0.95</v>
      </c>
      <c r="H3" s="188">
        <f t="shared" si="2"/>
        <v>0.91304347826086951</v>
      </c>
      <c r="I3" s="193"/>
      <c r="J3" s="201" t="s">
        <v>221</v>
      </c>
      <c r="K3" s="201" t="s">
        <v>222</v>
      </c>
      <c r="L3" s="194"/>
    </row>
    <row r="4" spans="1:12" ht="36">
      <c r="A4" s="189"/>
      <c r="B4" s="190" t="s">
        <v>226</v>
      </c>
      <c r="C4" s="191"/>
      <c r="D4" s="191"/>
      <c r="E4" s="191"/>
      <c r="F4" s="191"/>
      <c r="G4" s="191"/>
      <c r="H4" s="191"/>
      <c r="I4" s="191"/>
      <c r="J4" s="191"/>
      <c r="K4" s="192"/>
      <c r="L4" s="25"/>
    </row>
    <row r="5" spans="1:12" ht="18.75">
      <c r="A5" s="160"/>
      <c r="B5" s="168" t="s">
        <v>217</v>
      </c>
      <c r="C5" s="161"/>
      <c r="D5" s="161"/>
      <c r="E5" s="161"/>
      <c r="F5" s="161"/>
      <c r="G5" s="161"/>
      <c r="H5" s="161"/>
      <c r="I5" s="161"/>
      <c r="J5" s="201"/>
      <c r="K5" s="201"/>
    </row>
    <row r="6" spans="1:12" ht="38.25">
      <c r="A6" s="163" t="s">
        <v>293</v>
      </c>
      <c r="B6" s="171" t="s">
        <v>230</v>
      </c>
      <c r="C6" s="195" t="s">
        <v>214</v>
      </c>
      <c r="D6" s="195" t="s">
        <v>214</v>
      </c>
      <c r="E6" s="195" t="s">
        <v>214</v>
      </c>
      <c r="F6" s="195" t="s">
        <v>214</v>
      </c>
      <c r="G6" s="195" t="s">
        <v>214</v>
      </c>
      <c r="H6" s="195" t="s">
        <v>214</v>
      </c>
      <c r="I6" s="204"/>
      <c r="J6" s="162"/>
      <c r="K6" s="162"/>
    </row>
    <row r="7" spans="1:12" ht="38.25">
      <c r="A7" s="163" t="s">
        <v>294</v>
      </c>
      <c r="B7" s="171" t="s">
        <v>231</v>
      </c>
      <c r="C7" s="195" t="s">
        <v>214</v>
      </c>
      <c r="D7" s="195" t="s">
        <v>214</v>
      </c>
      <c r="E7" s="195" t="s">
        <v>214</v>
      </c>
      <c r="F7" s="195" t="s">
        <v>214</v>
      </c>
      <c r="G7" s="195" t="s">
        <v>214</v>
      </c>
      <c r="H7" s="195" t="s">
        <v>214</v>
      </c>
      <c r="I7" s="196"/>
      <c r="J7" s="162"/>
      <c r="K7" s="162"/>
    </row>
    <row r="8" spans="1:12" ht="18.75">
      <c r="A8" s="160"/>
      <c r="B8" s="168" t="s">
        <v>263</v>
      </c>
      <c r="C8" s="161"/>
      <c r="D8" s="161"/>
      <c r="E8" s="161"/>
      <c r="F8" s="161"/>
      <c r="G8" s="161"/>
      <c r="H8" s="161"/>
      <c r="I8" s="161"/>
      <c r="J8" s="201"/>
      <c r="K8" s="201"/>
    </row>
    <row r="9" spans="1:12" ht="25.5">
      <c r="A9" s="163" t="s">
        <v>295</v>
      </c>
      <c r="B9" s="171" t="s">
        <v>275</v>
      </c>
      <c r="C9" s="195" t="s">
        <v>23</v>
      </c>
      <c r="D9" s="195" t="s">
        <v>23</v>
      </c>
      <c r="E9" s="195" t="s">
        <v>214</v>
      </c>
      <c r="F9" s="195" t="s">
        <v>214</v>
      </c>
      <c r="G9" s="195" t="s">
        <v>214</v>
      </c>
      <c r="H9" s="195" t="s">
        <v>214</v>
      </c>
      <c r="I9" s="196"/>
      <c r="J9" s="162"/>
      <c r="K9" s="162"/>
    </row>
    <row r="10" spans="1:12" ht="25.5">
      <c r="A10" s="163" t="s">
        <v>296</v>
      </c>
      <c r="B10" s="171" t="s">
        <v>276</v>
      </c>
      <c r="C10" s="195" t="s">
        <v>11</v>
      </c>
      <c r="D10" s="195" t="s">
        <v>214</v>
      </c>
      <c r="E10" s="195" t="s">
        <v>11</v>
      </c>
      <c r="F10" s="195" t="s">
        <v>214</v>
      </c>
      <c r="G10" s="195" t="s">
        <v>11</v>
      </c>
      <c r="H10" s="195" t="s">
        <v>214</v>
      </c>
      <c r="I10" s="204" t="s">
        <v>412</v>
      </c>
      <c r="J10" s="162"/>
      <c r="K10" s="162"/>
    </row>
    <row r="11" spans="1:12" ht="38.25">
      <c r="A11" s="163" t="s">
        <v>297</v>
      </c>
      <c r="B11" s="171" t="s">
        <v>298</v>
      </c>
      <c r="C11" s="195" t="s">
        <v>214</v>
      </c>
      <c r="D11" s="195" t="s">
        <v>214</v>
      </c>
      <c r="E11" s="195" t="s">
        <v>214</v>
      </c>
      <c r="F11" s="195" t="s">
        <v>214</v>
      </c>
      <c r="G11" s="195" t="s">
        <v>23</v>
      </c>
      <c r="H11" s="195" t="s">
        <v>23</v>
      </c>
      <c r="I11" s="196"/>
      <c r="J11" s="162"/>
      <c r="K11" s="162"/>
    </row>
    <row r="12" spans="1:12" ht="63.75">
      <c r="A12" s="163" t="s">
        <v>299</v>
      </c>
      <c r="B12" s="171" t="s">
        <v>300</v>
      </c>
      <c r="C12" s="207" t="s">
        <v>214</v>
      </c>
      <c r="D12" s="207" t="s">
        <v>214</v>
      </c>
      <c r="E12" s="207" t="s">
        <v>214</v>
      </c>
      <c r="F12" s="207" t="s">
        <v>214</v>
      </c>
      <c r="G12" s="207" t="s">
        <v>214</v>
      </c>
      <c r="H12" s="207" t="s">
        <v>214</v>
      </c>
      <c r="I12" s="196"/>
      <c r="J12" s="162"/>
      <c r="K12" s="162"/>
    </row>
    <row r="13" spans="1:12" ht="51">
      <c r="A13" s="163" t="s">
        <v>301</v>
      </c>
      <c r="B13" s="171" t="s">
        <v>414</v>
      </c>
      <c r="C13" s="207" t="s">
        <v>214</v>
      </c>
      <c r="D13" s="207" t="s">
        <v>214</v>
      </c>
      <c r="E13" s="207" t="s">
        <v>214</v>
      </c>
      <c r="F13" s="207" t="s">
        <v>214</v>
      </c>
      <c r="G13" s="207" t="s">
        <v>214</v>
      </c>
      <c r="H13" s="207" t="s">
        <v>214</v>
      </c>
      <c r="I13" s="196"/>
      <c r="J13" s="162"/>
      <c r="K13" s="162"/>
    </row>
    <row r="14" spans="1:12" ht="25.5">
      <c r="A14" s="163" t="s">
        <v>302</v>
      </c>
      <c r="B14" s="171" t="s">
        <v>277</v>
      </c>
      <c r="C14" s="207" t="s">
        <v>214</v>
      </c>
      <c r="D14" s="207" t="s">
        <v>214</v>
      </c>
      <c r="E14" s="207" t="s">
        <v>214</v>
      </c>
      <c r="F14" s="207" t="s">
        <v>214</v>
      </c>
      <c r="G14" s="207" t="s">
        <v>214</v>
      </c>
      <c r="H14" s="207" t="s">
        <v>214</v>
      </c>
      <c r="I14" s="196"/>
      <c r="J14" s="162"/>
      <c r="K14" s="162"/>
    </row>
    <row r="15" spans="1:12" ht="25.5">
      <c r="A15" s="163" t="s">
        <v>303</v>
      </c>
      <c r="B15" s="171" t="s">
        <v>278</v>
      </c>
      <c r="C15" s="207" t="s">
        <v>214</v>
      </c>
      <c r="D15" s="207" t="s">
        <v>214</v>
      </c>
      <c r="E15" s="207" t="s">
        <v>214</v>
      </c>
      <c r="F15" s="207" t="s">
        <v>214</v>
      </c>
      <c r="G15" s="207" t="s">
        <v>214</v>
      </c>
      <c r="H15" s="207" t="s">
        <v>214</v>
      </c>
      <c r="I15" s="196"/>
      <c r="J15" s="162"/>
      <c r="K15" s="162"/>
    </row>
    <row r="16" spans="1:12" ht="25.5">
      <c r="A16" s="163" t="s">
        <v>304</v>
      </c>
      <c r="B16" s="171" t="s">
        <v>279</v>
      </c>
      <c r="C16" s="195" t="s">
        <v>11</v>
      </c>
      <c r="D16" s="195" t="s">
        <v>23</v>
      </c>
      <c r="E16" s="195" t="s">
        <v>11</v>
      </c>
      <c r="F16" s="195" t="s">
        <v>214</v>
      </c>
      <c r="G16" s="195" t="s">
        <v>11</v>
      </c>
      <c r="H16" s="195" t="s">
        <v>214</v>
      </c>
      <c r="I16" s="196" t="s">
        <v>357</v>
      </c>
      <c r="J16" s="162"/>
      <c r="K16" s="162"/>
    </row>
    <row r="17" spans="1:11" ht="51">
      <c r="A17" s="163" t="s">
        <v>305</v>
      </c>
      <c r="B17" s="171" t="s">
        <v>280</v>
      </c>
      <c r="C17" s="195" t="s">
        <v>11</v>
      </c>
      <c r="D17" s="195" t="s">
        <v>23</v>
      </c>
      <c r="E17" s="195" t="s">
        <v>11</v>
      </c>
      <c r="F17" s="195" t="s">
        <v>23</v>
      </c>
      <c r="G17" s="195" t="s">
        <v>11</v>
      </c>
      <c r="H17" s="195" t="s">
        <v>23</v>
      </c>
      <c r="I17" s="204" t="s">
        <v>413</v>
      </c>
      <c r="J17" s="162"/>
      <c r="K17" s="162"/>
    </row>
    <row r="18" spans="1:11" ht="38.25">
      <c r="A18" s="163" t="s">
        <v>306</v>
      </c>
      <c r="B18" s="171" t="s">
        <v>281</v>
      </c>
      <c r="C18" s="195" t="s">
        <v>214</v>
      </c>
      <c r="D18" s="195" t="s">
        <v>214</v>
      </c>
      <c r="E18" s="195" t="s">
        <v>214</v>
      </c>
      <c r="F18" s="195" t="s">
        <v>214</v>
      </c>
      <c r="G18" s="195" t="s">
        <v>214</v>
      </c>
      <c r="H18" s="195" t="s">
        <v>214</v>
      </c>
      <c r="I18" s="196"/>
      <c r="J18" s="162"/>
      <c r="K18" s="162"/>
    </row>
    <row r="19" spans="1:11" ht="51">
      <c r="A19" s="163" t="s">
        <v>307</v>
      </c>
      <c r="B19" s="171" t="s">
        <v>282</v>
      </c>
      <c r="C19" s="195" t="s">
        <v>214</v>
      </c>
      <c r="D19" s="195" t="s">
        <v>214</v>
      </c>
      <c r="E19" s="195" t="s">
        <v>214</v>
      </c>
      <c r="F19" s="195" t="s">
        <v>214</v>
      </c>
      <c r="G19" s="195" t="s">
        <v>214</v>
      </c>
      <c r="H19" s="195" t="s">
        <v>214</v>
      </c>
      <c r="I19" s="196"/>
      <c r="J19" s="162"/>
      <c r="K19" s="162"/>
    </row>
    <row r="20" spans="1:11" ht="38.25">
      <c r="A20" s="163" t="s">
        <v>308</v>
      </c>
      <c r="B20" s="171" t="s">
        <v>283</v>
      </c>
      <c r="C20" s="195" t="s">
        <v>214</v>
      </c>
      <c r="D20" s="195" t="s">
        <v>214</v>
      </c>
      <c r="E20" s="195" t="s">
        <v>214</v>
      </c>
      <c r="F20" s="195" t="s">
        <v>214</v>
      </c>
      <c r="G20" s="195" t="s">
        <v>214</v>
      </c>
      <c r="H20" s="195" t="s">
        <v>214</v>
      </c>
      <c r="I20" s="196"/>
      <c r="J20" s="162"/>
      <c r="K20" s="162"/>
    </row>
    <row r="21" spans="1:11" ht="25.5">
      <c r="A21" s="163" t="s">
        <v>309</v>
      </c>
      <c r="B21" s="171" t="s">
        <v>284</v>
      </c>
      <c r="C21" s="195" t="s">
        <v>214</v>
      </c>
      <c r="D21" s="195" t="s">
        <v>214</v>
      </c>
      <c r="E21" s="195" t="s">
        <v>214</v>
      </c>
      <c r="F21" s="195" t="s">
        <v>214</v>
      </c>
      <c r="G21" s="195" t="s">
        <v>214</v>
      </c>
      <c r="H21" s="195" t="s">
        <v>214</v>
      </c>
      <c r="I21" s="196"/>
      <c r="J21" s="162"/>
      <c r="K21" s="162"/>
    </row>
    <row r="22" spans="1:11" ht="38.25">
      <c r="A22" s="163" t="s">
        <v>310</v>
      </c>
      <c r="B22" s="171" t="s">
        <v>285</v>
      </c>
      <c r="C22" s="195" t="s">
        <v>214</v>
      </c>
      <c r="D22" s="195" t="s">
        <v>214</v>
      </c>
      <c r="E22" s="195" t="s">
        <v>214</v>
      </c>
      <c r="F22" s="195" t="s">
        <v>214</v>
      </c>
      <c r="G22" s="195" t="s">
        <v>214</v>
      </c>
      <c r="H22" s="195" t="s">
        <v>214</v>
      </c>
      <c r="I22" s="196"/>
      <c r="J22" s="162"/>
      <c r="K22" s="162"/>
    </row>
    <row r="23" spans="1:11" ht="25.5">
      <c r="A23" s="163" t="s">
        <v>311</v>
      </c>
      <c r="B23" s="171" t="s">
        <v>286</v>
      </c>
      <c r="C23" s="195" t="s">
        <v>214</v>
      </c>
      <c r="D23" s="195" t="s">
        <v>214</v>
      </c>
      <c r="E23" s="195" t="s">
        <v>214</v>
      </c>
      <c r="F23" s="195" t="s">
        <v>214</v>
      </c>
      <c r="G23" s="195" t="s">
        <v>214</v>
      </c>
      <c r="H23" s="195" t="s">
        <v>214</v>
      </c>
      <c r="I23" s="196"/>
      <c r="J23" s="162"/>
      <c r="K23" s="162"/>
    </row>
    <row r="24" spans="1:11" ht="18.75">
      <c r="A24" s="160"/>
      <c r="B24" s="168" t="s">
        <v>218</v>
      </c>
      <c r="C24" s="161"/>
      <c r="D24" s="161"/>
      <c r="E24" s="161"/>
      <c r="F24" s="161"/>
      <c r="G24" s="161"/>
      <c r="H24" s="161"/>
      <c r="I24" s="161"/>
      <c r="J24" s="201"/>
      <c r="K24" s="201"/>
    </row>
    <row r="25" spans="1:11" ht="38.25">
      <c r="A25" s="163" t="s">
        <v>312</v>
      </c>
      <c r="B25" s="171" t="s">
        <v>208</v>
      </c>
      <c r="C25" s="195" t="s">
        <v>214</v>
      </c>
      <c r="D25" s="195" t="s">
        <v>214</v>
      </c>
      <c r="E25" s="195" t="s">
        <v>214</v>
      </c>
      <c r="F25" s="195" t="s">
        <v>214</v>
      </c>
      <c r="G25" s="195" t="s">
        <v>214</v>
      </c>
      <c r="H25" s="195" t="s">
        <v>214</v>
      </c>
      <c r="I25" s="196"/>
      <c r="J25" s="162"/>
      <c r="K25" s="162"/>
    </row>
    <row r="26" spans="1:11" ht="25.5">
      <c r="A26" s="163" t="s">
        <v>313</v>
      </c>
      <c r="B26" s="171" t="s">
        <v>209</v>
      </c>
      <c r="C26" s="195" t="s">
        <v>214</v>
      </c>
      <c r="D26" s="195" t="s">
        <v>214</v>
      </c>
      <c r="E26" s="195" t="s">
        <v>214</v>
      </c>
      <c r="F26" s="195" t="s">
        <v>214</v>
      </c>
      <c r="G26" s="195" t="s">
        <v>214</v>
      </c>
      <c r="H26" s="195" t="s">
        <v>214</v>
      </c>
      <c r="I26" s="196"/>
      <c r="J26" s="162"/>
      <c r="K26" s="162"/>
    </row>
    <row r="27" spans="1:11" ht="38.25">
      <c r="A27" s="163" t="s">
        <v>314</v>
      </c>
      <c r="B27" s="171" t="s">
        <v>210</v>
      </c>
      <c r="C27" s="195" t="s">
        <v>214</v>
      </c>
      <c r="D27" s="195" t="s">
        <v>214</v>
      </c>
      <c r="E27" s="195" t="s">
        <v>214</v>
      </c>
      <c r="F27" s="195" t="s">
        <v>214</v>
      </c>
      <c r="G27" s="195" t="s">
        <v>214</v>
      </c>
      <c r="H27" s="195" t="s">
        <v>214</v>
      </c>
      <c r="I27" s="196"/>
      <c r="J27" s="162"/>
      <c r="K27" s="162"/>
    </row>
    <row r="28" spans="1:11" ht="38.25">
      <c r="A28" s="163" t="s">
        <v>315</v>
      </c>
      <c r="B28" s="171" t="s">
        <v>211</v>
      </c>
      <c r="C28" s="195" t="s">
        <v>214</v>
      </c>
      <c r="D28" s="195" t="s">
        <v>214</v>
      </c>
      <c r="E28" s="195" t="s">
        <v>214</v>
      </c>
      <c r="F28" s="195" t="s">
        <v>214</v>
      </c>
      <c r="G28" s="195" t="s">
        <v>214</v>
      </c>
      <c r="H28" s="195" t="s">
        <v>214</v>
      </c>
      <c r="I28" s="196"/>
      <c r="J28" s="162"/>
      <c r="K28" s="162"/>
    </row>
    <row r="29" spans="1:11" ht="18.75">
      <c r="A29" s="160"/>
      <c r="B29" s="168" t="s">
        <v>219</v>
      </c>
      <c r="C29" s="161"/>
      <c r="D29" s="161"/>
      <c r="E29" s="161"/>
      <c r="F29" s="161"/>
      <c r="G29" s="161"/>
      <c r="H29" s="161"/>
      <c r="I29" s="161"/>
      <c r="J29" s="201"/>
      <c r="K29" s="201"/>
    </row>
    <row r="30" spans="1:11" ht="38.25">
      <c r="A30" s="163" t="s">
        <v>316</v>
      </c>
      <c r="B30" s="171" t="s">
        <v>212</v>
      </c>
      <c r="C30" s="195" t="s">
        <v>214</v>
      </c>
      <c r="D30" s="195" t="s">
        <v>214</v>
      </c>
      <c r="E30" s="195" t="s">
        <v>214</v>
      </c>
      <c r="F30" s="195" t="s">
        <v>214</v>
      </c>
      <c r="G30" s="195" t="s">
        <v>214</v>
      </c>
      <c r="H30" s="195" t="s">
        <v>214</v>
      </c>
      <c r="I30" s="196"/>
      <c r="J30" s="162"/>
      <c r="K30" s="162"/>
    </row>
    <row r="31" spans="1:11" ht="38.25">
      <c r="A31" s="163" t="s">
        <v>317</v>
      </c>
      <c r="B31" s="171" t="s">
        <v>213</v>
      </c>
      <c r="C31" s="195" t="s">
        <v>214</v>
      </c>
      <c r="D31" s="195" t="s">
        <v>214</v>
      </c>
      <c r="E31" s="195" t="s">
        <v>214</v>
      </c>
      <c r="F31" s="195" t="s">
        <v>214</v>
      </c>
      <c r="G31" s="195" t="s">
        <v>214</v>
      </c>
      <c r="H31" s="195" t="s">
        <v>214</v>
      </c>
      <c r="I31" s="196"/>
      <c r="J31" s="162"/>
      <c r="K31" s="162"/>
    </row>
    <row r="32" spans="1:11" ht="18.75">
      <c r="A32" s="160"/>
      <c r="B32" s="168" t="s">
        <v>206</v>
      </c>
      <c r="C32" s="161"/>
      <c r="D32" s="161"/>
      <c r="E32" s="161"/>
      <c r="F32" s="161"/>
      <c r="G32" s="161"/>
      <c r="H32" s="161"/>
      <c r="I32" s="161"/>
      <c r="J32" s="201"/>
      <c r="K32" s="201"/>
    </row>
    <row r="33" spans="1:11" ht="51">
      <c r="A33" s="163" t="s">
        <v>318</v>
      </c>
      <c r="B33" s="171" t="s">
        <v>207</v>
      </c>
      <c r="C33" s="195"/>
      <c r="D33" s="195"/>
      <c r="E33" s="195"/>
      <c r="F33" s="195"/>
      <c r="G33" s="195"/>
      <c r="H33" s="195"/>
      <c r="I33" s="204" t="s">
        <v>358</v>
      </c>
      <c r="J33" s="162"/>
      <c r="K33" s="162"/>
    </row>
    <row r="34" spans="1:11" ht="18">
      <c r="A34" s="197"/>
      <c r="B34" s="198" t="s">
        <v>223</v>
      </c>
      <c r="C34" s="197"/>
      <c r="D34" s="197"/>
      <c r="E34" s="197"/>
      <c r="F34" s="197"/>
      <c r="G34" s="197"/>
      <c r="H34" s="197"/>
      <c r="I34" s="197"/>
      <c r="J34" s="197"/>
      <c r="K34" s="197"/>
    </row>
    <row r="35" spans="1:11" ht="15">
      <c r="A35" s="164"/>
      <c r="B35" s="165"/>
      <c r="C35" s="166"/>
      <c r="D35" s="166"/>
      <c r="E35" s="166"/>
      <c r="F35" s="166"/>
      <c r="G35" s="166"/>
      <c r="H35" s="166"/>
      <c r="I35" s="166"/>
      <c r="J35" s="166"/>
      <c r="K35" s="167"/>
    </row>
    <row r="36" spans="1:11" ht="15">
      <c r="A36" s="202"/>
      <c r="B36" s="203" t="s">
        <v>336</v>
      </c>
      <c r="C36" s="202"/>
      <c r="D36" s="202"/>
      <c r="E36" s="202"/>
      <c r="F36" s="202"/>
      <c r="G36" s="202"/>
      <c r="H36" s="202"/>
      <c r="I36" s="202"/>
      <c r="J36" s="202"/>
      <c r="K36" s="202"/>
    </row>
  </sheetData>
  <mergeCells count="1">
    <mergeCell ref="J2:K2"/>
  </mergeCells>
  <conditionalFormatting sqref="C6">
    <cfRule type="cellIs" dxfId="188" priority="2005" operator="equal">
      <formula>"No"</formula>
    </cfRule>
    <cfRule type="cellIs" dxfId="187" priority="2006" operator="equal">
      <formula>"NA"</formula>
    </cfRule>
    <cfRule type="cellIs" dxfId="186" priority="2007" operator="equal">
      <formula>"Yes"</formula>
    </cfRule>
  </conditionalFormatting>
  <conditionalFormatting sqref="C33">
    <cfRule type="cellIs" dxfId="185" priority="947" operator="equal">
      <formula>"No"</formula>
    </cfRule>
    <cfRule type="cellIs" dxfId="184" priority="948" operator="equal">
      <formula>"NA"</formula>
    </cfRule>
    <cfRule type="cellIs" dxfId="183" priority="949" operator="equal">
      <formula>"Yes"</formula>
    </cfRule>
  </conditionalFormatting>
  <conditionalFormatting sqref="C7">
    <cfRule type="cellIs" dxfId="182" priority="235" operator="equal">
      <formula>"No"</formula>
    </cfRule>
    <cfRule type="cellIs" dxfId="181" priority="236" operator="equal">
      <formula>"NA"</formula>
    </cfRule>
    <cfRule type="cellIs" dxfId="180" priority="237" operator="equal">
      <formula>"Yes"</formula>
    </cfRule>
  </conditionalFormatting>
  <conditionalFormatting sqref="C25:C28 C9:C23">
    <cfRule type="cellIs" dxfId="179" priority="232" operator="equal">
      <formula>"No"</formula>
    </cfRule>
    <cfRule type="cellIs" dxfId="178" priority="233" operator="equal">
      <formula>"NA"</formula>
    </cfRule>
    <cfRule type="cellIs" dxfId="177" priority="234" operator="equal">
      <formula>"Yes"</formula>
    </cfRule>
  </conditionalFormatting>
  <conditionalFormatting sqref="C30">
    <cfRule type="cellIs" dxfId="176" priority="103" operator="equal">
      <formula>"No"</formula>
    </cfRule>
    <cfRule type="cellIs" dxfId="175" priority="104" operator="equal">
      <formula>"NA"</formula>
    </cfRule>
    <cfRule type="cellIs" dxfId="174" priority="105" operator="equal">
      <formula>"Yes"</formula>
    </cfRule>
  </conditionalFormatting>
  <conditionalFormatting sqref="C31">
    <cfRule type="cellIs" dxfId="173" priority="100" operator="equal">
      <formula>"No"</formula>
    </cfRule>
    <cfRule type="cellIs" dxfId="172" priority="101" operator="equal">
      <formula>"NA"</formula>
    </cfRule>
    <cfRule type="cellIs" dxfId="171" priority="102" operator="equal">
      <formula>"Yes"</formula>
    </cfRule>
  </conditionalFormatting>
  <conditionalFormatting sqref="D6">
    <cfRule type="cellIs" dxfId="170" priority="97" operator="equal">
      <formula>"No"</formula>
    </cfRule>
    <cfRule type="cellIs" dxfId="169" priority="98" operator="equal">
      <formula>"NA"</formula>
    </cfRule>
    <cfRule type="cellIs" dxfId="168" priority="99" operator="equal">
      <formula>"Yes"</formula>
    </cfRule>
  </conditionalFormatting>
  <conditionalFormatting sqref="D33">
    <cfRule type="cellIs" dxfId="167" priority="94" operator="equal">
      <formula>"No"</formula>
    </cfRule>
    <cfRule type="cellIs" dxfId="166" priority="95" operator="equal">
      <formula>"NA"</formula>
    </cfRule>
    <cfRule type="cellIs" dxfId="165" priority="96" operator="equal">
      <formula>"Yes"</formula>
    </cfRule>
  </conditionalFormatting>
  <conditionalFormatting sqref="D7">
    <cfRule type="cellIs" dxfId="164" priority="91" operator="equal">
      <formula>"No"</formula>
    </cfRule>
    <cfRule type="cellIs" dxfId="163" priority="92" operator="equal">
      <formula>"NA"</formula>
    </cfRule>
    <cfRule type="cellIs" dxfId="162" priority="93" operator="equal">
      <formula>"Yes"</formula>
    </cfRule>
  </conditionalFormatting>
  <conditionalFormatting sqref="D25:D28 D10:D23">
    <cfRule type="cellIs" dxfId="161" priority="88" operator="equal">
      <formula>"No"</formula>
    </cfRule>
    <cfRule type="cellIs" dxfId="160" priority="89" operator="equal">
      <formula>"NA"</formula>
    </cfRule>
    <cfRule type="cellIs" dxfId="159" priority="90" operator="equal">
      <formula>"Yes"</formula>
    </cfRule>
  </conditionalFormatting>
  <conditionalFormatting sqref="D30">
    <cfRule type="cellIs" dxfId="158" priority="85" operator="equal">
      <formula>"No"</formula>
    </cfRule>
    <cfRule type="cellIs" dxfId="157" priority="86" operator="equal">
      <formula>"NA"</formula>
    </cfRule>
    <cfRule type="cellIs" dxfId="156" priority="87" operator="equal">
      <formula>"Yes"</formula>
    </cfRule>
  </conditionalFormatting>
  <conditionalFormatting sqref="D31">
    <cfRule type="cellIs" dxfId="155" priority="82" operator="equal">
      <formula>"No"</formula>
    </cfRule>
    <cfRule type="cellIs" dxfId="154" priority="83" operator="equal">
      <formula>"NA"</formula>
    </cfRule>
    <cfRule type="cellIs" dxfId="153" priority="84" operator="equal">
      <formula>"Yes"</formula>
    </cfRule>
  </conditionalFormatting>
  <conditionalFormatting sqref="D9">
    <cfRule type="cellIs" dxfId="152" priority="79" operator="equal">
      <formula>"No"</formula>
    </cfRule>
    <cfRule type="cellIs" dxfId="151" priority="80" operator="equal">
      <formula>"NA"</formula>
    </cfRule>
    <cfRule type="cellIs" dxfId="150" priority="81" operator="equal">
      <formula>"Yes"</formula>
    </cfRule>
  </conditionalFormatting>
  <conditionalFormatting sqref="E6">
    <cfRule type="cellIs" dxfId="149" priority="76" operator="equal">
      <formula>"No"</formula>
    </cfRule>
    <cfRule type="cellIs" dxfId="148" priority="77" operator="equal">
      <formula>"NA"</formula>
    </cfRule>
    <cfRule type="cellIs" dxfId="147" priority="78" operator="equal">
      <formula>"Yes"</formula>
    </cfRule>
  </conditionalFormatting>
  <conditionalFormatting sqref="E33">
    <cfRule type="cellIs" dxfId="146" priority="73" operator="equal">
      <formula>"No"</formula>
    </cfRule>
    <cfRule type="cellIs" dxfId="145" priority="74" operator="equal">
      <formula>"NA"</formula>
    </cfRule>
    <cfRule type="cellIs" dxfId="144" priority="75" operator="equal">
      <formula>"Yes"</formula>
    </cfRule>
  </conditionalFormatting>
  <conditionalFormatting sqref="E7">
    <cfRule type="cellIs" dxfId="143" priority="70" operator="equal">
      <formula>"No"</formula>
    </cfRule>
    <cfRule type="cellIs" dxfId="142" priority="71" operator="equal">
      <formula>"NA"</formula>
    </cfRule>
    <cfRule type="cellIs" dxfId="141" priority="72" operator="equal">
      <formula>"Yes"</formula>
    </cfRule>
  </conditionalFormatting>
  <conditionalFormatting sqref="E25:E28 E9:E23">
    <cfRule type="cellIs" dxfId="140" priority="67" operator="equal">
      <formula>"No"</formula>
    </cfRule>
    <cfRule type="cellIs" dxfId="139" priority="68" operator="equal">
      <formula>"NA"</formula>
    </cfRule>
    <cfRule type="cellIs" dxfId="138" priority="69" operator="equal">
      <formula>"Yes"</formula>
    </cfRule>
  </conditionalFormatting>
  <conditionalFormatting sqref="E30">
    <cfRule type="cellIs" dxfId="137" priority="64" operator="equal">
      <formula>"No"</formula>
    </cfRule>
    <cfRule type="cellIs" dxfId="136" priority="65" operator="equal">
      <formula>"NA"</formula>
    </cfRule>
    <cfRule type="cellIs" dxfId="135" priority="66" operator="equal">
      <formula>"Yes"</formula>
    </cfRule>
  </conditionalFormatting>
  <conditionalFormatting sqref="E31">
    <cfRule type="cellIs" dxfId="134" priority="61" operator="equal">
      <formula>"No"</formula>
    </cfRule>
    <cfRule type="cellIs" dxfId="133" priority="62" operator="equal">
      <formula>"NA"</formula>
    </cfRule>
    <cfRule type="cellIs" dxfId="132" priority="63" operator="equal">
      <formula>"Yes"</formula>
    </cfRule>
  </conditionalFormatting>
  <conditionalFormatting sqref="F6">
    <cfRule type="cellIs" dxfId="131" priority="58" operator="equal">
      <formula>"No"</formula>
    </cfRule>
    <cfRule type="cellIs" dxfId="130" priority="59" operator="equal">
      <formula>"NA"</formula>
    </cfRule>
    <cfRule type="cellIs" dxfId="129" priority="60" operator="equal">
      <formula>"Yes"</formula>
    </cfRule>
  </conditionalFormatting>
  <conditionalFormatting sqref="F33">
    <cfRule type="cellIs" dxfId="128" priority="55" operator="equal">
      <formula>"No"</formula>
    </cfRule>
    <cfRule type="cellIs" dxfId="127" priority="56" operator="equal">
      <formula>"NA"</formula>
    </cfRule>
    <cfRule type="cellIs" dxfId="126" priority="57" operator="equal">
      <formula>"Yes"</formula>
    </cfRule>
  </conditionalFormatting>
  <conditionalFormatting sqref="F7">
    <cfRule type="cellIs" dxfId="125" priority="52" operator="equal">
      <formula>"No"</formula>
    </cfRule>
    <cfRule type="cellIs" dxfId="124" priority="53" operator="equal">
      <formula>"NA"</formula>
    </cfRule>
    <cfRule type="cellIs" dxfId="123" priority="54" operator="equal">
      <formula>"Yes"</formula>
    </cfRule>
  </conditionalFormatting>
  <conditionalFormatting sqref="F25:F28 F10:F23">
    <cfRule type="cellIs" dxfId="122" priority="49" operator="equal">
      <formula>"No"</formula>
    </cfRule>
    <cfRule type="cellIs" dxfId="121" priority="50" operator="equal">
      <formula>"NA"</formula>
    </cfRule>
    <cfRule type="cellIs" dxfId="120" priority="51" operator="equal">
      <formula>"Yes"</formula>
    </cfRule>
  </conditionalFormatting>
  <conditionalFormatting sqref="F30">
    <cfRule type="cellIs" dxfId="119" priority="46" operator="equal">
      <formula>"No"</formula>
    </cfRule>
    <cfRule type="cellIs" dxfId="118" priority="47" operator="equal">
      <formula>"NA"</formula>
    </cfRule>
    <cfRule type="cellIs" dxfId="117" priority="48" operator="equal">
      <formula>"Yes"</formula>
    </cfRule>
  </conditionalFormatting>
  <conditionalFormatting sqref="F31">
    <cfRule type="cellIs" dxfId="116" priority="43" operator="equal">
      <formula>"No"</formula>
    </cfRule>
    <cfRule type="cellIs" dxfId="115" priority="44" operator="equal">
      <formula>"NA"</formula>
    </cfRule>
    <cfRule type="cellIs" dxfId="114" priority="45" operator="equal">
      <formula>"Yes"</formula>
    </cfRule>
  </conditionalFormatting>
  <conditionalFormatting sqref="F9">
    <cfRule type="cellIs" dxfId="113" priority="40" operator="equal">
      <formula>"No"</formula>
    </cfRule>
    <cfRule type="cellIs" dxfId="112" priority="41" operator="equal">
      <formula>"NA"</formula>
    </cfRule>
    <cfRule type="cellIs" dxfId="111" priority="42" operator="equal">
      <formula>"Yes"</formula>
    </cfRule>
  </conditionalFormatting>
  <conditionalFormatting sqref="G6">
    <cfRule type="cellIs" dxfId="110" priority="37" operator="equal">
      <formula>"No"</formula>
    </cfRule>
    <cfRule type="cellIs" dxfId="109" priority="38" operator="equal">
      <formula>"NA"</formula>
    </cfRule>
    <cfRule type="cellIs" dxfId="108" priority="39" operator="equal">
      <formula>"Yes"</formula>
    </cfRule>
  </conditionalFormatting>
  <conditionalFormatting sqref="G33">
    <cfRule type="cellIs" dxfId="107" priority="34" operator="equal">
      <formula>"No"</formula>
    </cfRule>
    <cfRule type="cellIs" dxfId="106" priority="35" operator="equal">
      <formula>"NA"</formula>
    </cfRule>
    <cfRule type="cellIs" dxfId="105" priority="36" operator="equal">
      <formula>"Yes"</formula>
    </cfRule>
  </conditionalFormatting>
  <conditionalFormatting sqref="G7">
    <cfRule type="cellIs" dxfId="104" priority="31" operator="equal">
      <formula>"No"</formula>
    </cfRule>
    <cfRule type="cellIs" dxfId="103" priority="32" operator="equal">
      <formula>"NA"</formula>
    </cfRule>
    <cfRule type="cellIs" dxfId="102" priority="33" operator="equal">
      <formula>"Yes"</formula>
    </cfRule>
  </conditionalFormatting>
  <conditionalFormatting sqref="G25:G28 G9:G23">
    <cfRule type="cellIs" dxfId="101" priority="28" operator="equal">
      <formula>"No"</formula>
    </cfRule>
    <cfRule type="cellIs" dxfId="100" priority="29" operator="equal">
      <formula>"NA"</formula>
    </cfRule>
    <cfRule type="cellIs" dxfId="99" priority="30" operator="equal">
      <formula>"Yes"</formula>
    </cfRule>
  </conditionalFormatting>
  <conditionalFormatting sqref="G30">
    <cfRule type="cellIs" dxfId="98" priority="25" operator="equal">
      <formula>"No"</formula>
    </cfRule>
    <cfRule type="cellIs" dxfId="97" priority="26" operator="equal">
      <formula>"NA"</formula>
    </cfRule>
    <cfRule type="cellIs" dxfId="96" priority="27" operator="equal">
      <formula>"Yes"</formula>
    </cfRule>
  </conditionalFormatting>
  <conditionalFormatting sqref="G31">
    <cfRule type="cellIs" dxfId="95" priority="22" operator="equal">
      <formula>"No"</formula>
    </cfRule>
    <cfRule type="cellIs" dxfId="94" priority="23" operator="equal">
      <formula>"NA"</formula>
    </cfRule>
    <cfRule type="cellIs" dxfId="93" priority="24" operator="equal">
      <formula>"Yes"</formula>
    </cfRule>
  </conditionalFormatting>
  <conditionalFormatting sqref="H6">
    <cfRule type="cellIs" dxfId="92" priority="19" operator="equal">
      <formula>"No"</formula>
    </cfRule>
    <cfRule type="cellIs" dxfId="91" priority="20" operator="equal">
      <formula>"NA"</formula>
    </cfRule>
    <cfRule type="cellIs" dxfId="90" priority="21" operator="equal">
      <formula>"Yes"</formula>
    </cfRule>
  </conditionalFormatting>
  <conditionalFormatting sqref="H33">
    <cfRule type="cellIs" dxfId="89" priority="16" operator="equal">
      <formula>"No"</formula>
    </cfRule>
    <cfRule type="cellIs" dxfId="88" priority="17" operator="equal">
      <formula>"NA"</formula>
    </cfRule>
    <cfRule type="cellIs" dxfId="87" priority="18" operator="equal">
      <formula>"Yes"</formula>
    </cfRule>
  </conditionalFormatting>
  <conditionalFormatting sqref="H7">
    <cfRule type="cellIs" dxfId="86" priority="13" operator="equal">
      <formula>"No"</formula>
    </cfRule>
    <cfRule type="cellIs" dxfId="85" priority="14" operator="equal">
      <formula>"NA"</formula>
    </cfRule>
    <cfRule type="cellIs" dxfId="84" priority="15" operator="equal">
      <formula>"Yes"</formula>
    </cfRule>
  </conditionalFormatting>
  <conditionalFormatting sqref="H25:H28 H10:H23">
    <cfRule type="cellIs" dxfId="83" priority="10" operator="equal">
      <formula>"No"</formula>
    </cfRule>
    <cfRule type="cellIs" dxfId="82" priority="11" operator="equal">
      <formula>"NA"</formula>
    </cfRule>
    <cfRule type="cellIs" dxfId="81" priority="12" operator="equal">
      <formula>"Yes"</formula>
    </cfRule>
  </conditionalFormatting>
  <conditionalFormatting sqref="H30">
    <cfRule type="cellIs" dxfId="80" priority="7" operator="equal">
      <formula>"No"</formula>
    </cfRule>
    <cfRule type="cellIs" dxfId="79" priority="8" operator="equal">
      <formula>"NA"</formula>
    </cfRule>
    <cfRule type="cellIs" dxfId="78" priority="9" operator="equal">
      <formula>"Yes"</formula>
    </cfRule>
  </conditionalFormatting>
  <conditionalFormatting sqref="H31">
    <cfRule type="cellIs" dxfId="77" priority="4" operator="equal">
      <formula>"No"</formula>
    </cfRule>
    <cfRule type="cellIs" dxfId="76" priority="5" operator="equal">
      <formula>"NA"</formula>
    </cfRule>
    <cfRule type="cellIs" dxfId="75" priority="6" operator="equal">
      <formula>"Yes"</formula>
    </cfRule>
  </conditionalFormatting>
  <conditionalFormatting sqref="H9">
    <cfRule type="cellIs" dxfId="74" priority="1" operator="equal">
      <formula>"No"</formula>
    </cfRule>
    <cfRule type="cellIs" dxfId="73" priority="2" operator="equal">
      <formula>"NA"</formula>
    </cfRule>
    <cfRule type="cellIs" dxfId="72" priority="3" operator="equal">
      <formula>"Yes"</formula>
    </cfRule>
  </conditionalFormatting>
  <dataValidations count="1">
    <dataValidation type="list" allowBlank="1" showInputMessage="1" showErrorMessage="1" sqref="C33:H33 C30:H31 C9:H23 C25:H28 C6:H7" xr:uid="{E3F832A8-CD8B-462D-8ABC-551D54F60A31}">
      <formula1>Option_ReviewEvaluationScale</formula1>
    </dataValidation>
  </dataValidations>
  <pageMargins left="0.75" right="0.75" top="1" bottom="1" header="0.4921259845" footer="0.4921259845"/>
  <pageSetup paperSize="9" scale="61" fitToHeight="0"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966B65-44E9-4EAB-B811-1F4334C436AE}">
  <sheetPr>
    <tabColor theme="7" tint="0.39997558519241921"/>
  </sheetPr>
  <dimension ref="A2:G38"/>
  <sheetViews>
    <sheetView workbookViewId="0">
      <selection activeCell="D2" sqref="D2"/>
    </sheetView>
  </sheetViews>
  <sheetFormatPr defaultRowHeight="12.75" outlineLevelCol="1"/>
  <cols>
    <col min="1" max="1" width="12.5703125" style="159" bestFit="1" customWidth="1"/>
    <col min="2" max="2" width="61" style="158" customWidth="1"/>
    <col min="3" max="4" width="6.28515625" style="157" bestFit="1" customWidth="1"/>
    <col min="5" max="5" width="33.7109375" style="157" customWidth="1"/>
    <col min="6" max="7" width="30.7109375" style="157" customWidth="1" outlineLevel="1"/>
  </cols>
  <sheetData>
    <row r="2" spans="1:7" ht="69.75">
      <c r="A2" s="182" t="s">
        <v>215</v>
      </c>
      <c r="B2" s="183" t="s">
        <v>360</v>
      </c>
      <c r="C2" s="184" t="s">
        <v>455</v>
      </c>
      <c r="D2" s="184" t="s">
        <v>454</v>
      </c>
      <c r="E2" s="185" t="s">
        <v>224</v>
      </c>
      <c r="F2" s="332" t="s">
        <v>185</v>
      </c>
      <c r="G2" s="333"/>
    </row>
    <row r="3" spans="1:7" ht="18.75">
      <c r="A3" s="186"/>
      <c r="B3" s="187"/>
      <c r="C3" s="188">
        <f>COUNTIF(Review.ratings,"Yes") / ( COUNTA(Review.QuestionIds) - COUNTIF(Review.ratings,"NA"))</f>
        <v>1</v>
      </c>
      <c r="D3" s="188">
        <f>COUNTIF(Review.ratings,"Yes") / ( COUNTA(Review.QuestionIds) - COUNTIF(Review.ratings,"NA"))</f>
        <v>1</v>
      </c>
      <c r="E3" s="193"/>
      <c r="F3" s="201" t="s">
        <v>221</v>
      </c>
      <c r="G3" s="201" t="s">
        <v>222</v>
      </c>
    </row>
    <row r="4" spans="1:7" ht="36">
      <c r="A4" s="189"/>
      <c r="B4" s="190" t="s">
        <v>226</v>
      </c>
      <c r="C4" s="191"/>
      <c r="D4" s="191"/>
      <c r="E4" s="191"/>
      <c r="F4" s="191"/>
      <c r="G4" s="192"/>
    </row>
    <row r="5" spans="1:7" ht="18.75">
      <c r="A5" s="160"/>
      <c r="B5" s="168" t="s">
        <v>361</v>
      </c>
      <c r="C5" s="161"/>
      <c r="D5" s="161"/>
      <c r="E5" s="161"/>
      <c r="F5" s="201"/>
      <c r="G5" s="201"/>
    </row>
    <row r="6" spans="1:7" ht="25.5">
      <c r="A6" s="163" t="s">
        <v>362</v>
      </c>
      <c r="B6" s="171" t="s">
        <v>363</v>
      </c>
      <c r="C6" s="195" t="s">
        <v>214</v>
      </c>
      <c r="D6" s="195" t="s">
        <v>214</v>
      </c>
      <c r="E6" s="196"/>
      <c r="F6" s="162"/>
      <c r="G6" s="162"/>
    </row>
    <row r="7" spans="1:7" ht="38.25">
      <c r="A7" s="163" t="s">
        <v>364</v>
      </c>
      <c r="B7" s="171" t="s">
        <v>365</v>
      </c>
      <c r="C7" s="195" t="s">
        <v>214</v>
      </c>
      <c r="D7" s="195" t="s">
        <v>214</v>
      </c>
      <c r="E7" s="196"/>
      <c r="F7" s="205" t="s">
        <v>366</v>
      </c>
      <c r="G7" s="162"/>
    </row>
    <row r="8" spans="1:7" ht="25.5">
      <c r="A8" s="163" t="s">
        <v>367</v>
      </c>
      <c r="B8" s="171" t="s">
        <v>368</v>
      </c>
      <c r="C8" s="195" t="s">
        <v>214</v>
      </c>
      <c r="D8" s="195" t="s">
        <v>214</v>
      </c>
      <c r="E8" s="196"/>
      <c r="F8" s="162"/>
      <c r="G8" s="162"/>
    </row>
    <row r="9" spans="1:7" ht="25.5">
      <c r="A9" s="163" t="s">
        <v>369</v>
      </c>
      <c r="B9" s="171" t="s">
        <v>370</v>
      </c>
      <c r="C9" s="195" t="s">
        <v>214</v>
      </c>
      <c r="D9" s="195" t="s">
        <v>214</v>
      </c>
      <c r="E9" s="196"/>
      <c r="F9" s="162"/>
      <c r="G9" s="162"/>
    </row>
    <row r="10" spans="1:7" ht="38.25">
      <c r="A10" s="163" t="s">
        <v>371</v>
      </c>
      <c r="B10" s="171" t="s">
        <v>372</v>
      </c>
      <c r="C10" s="195" t="s">
        <v>214</v>
      </c>
      <c r="D10" s="195" t="s">
        <v>214</v>
      </c>
      <c r="E10" s="196"/>
      <c r="F10" s="162"/>
      <c r="G10" s="162"/>
    </row>
    <row r="11" spans="1:7" ht="18.75">
      <c r="A11" s="160"/>
      <c r="B11" s="168" t="s">
        <v>373</v>
      </c>
      <c r="C11" s="161"/>
      <c r="D11" s="161"/>
      <c r="E11" s="161"/>
      <c r="F11" s="201"/>
      <c r="G11" s="201"/>
    </row>
    <row r="12" spans="1:7" ht="63.75">
      <c r="A12" s="163" t="s">
        <v>374</v>
      </c>
      <c r="B12" s="171" t="s">
        <v>375</v>
      </c>
      <c r="C12" s="195" t="s">
        <v>11</v>
      </c>
      <c r="D12" s="195" t="s">
        <v>11</v>
      </c>
      <c r="E12" s="204" t="s">
        <v>376</v>
      </c>
      <c r="F12" s="162"/>
      <c r="G12" s="162"/>
    </row>
    <row r="13" spans="1:7" ht="63.75">
      <c r="A13" s="163" t="s">
        <v>377</v>
      </c>
      <c r="B13" s="171" t="s">
        <v>378</v>
      </c>
      <c r="C13" s="195" t="s">
        <v>214</v>
      </c>
      <c r="D13" s="195" t="s">
        <v>214</v>
      </c>
      <c r="E13" s="196"/>
      <c r="F13" s="162"/>
      <c r="G13" s="162"/>
    </row>
    <row r="14" spans="1:7" ht="51">
      <c r="A14" s="163" t="s">
        <v>379</v>
      </c>
      <c r="B14" s="171" t="s">
        <v>380</v>
      </c>
      <c r="C14" s="195" t="s">
        <v>214</v>
      </c>
      <c r="D14" s="195" t="s">
        <v>214</v>
      </c>
      <c r="E14" s="196"/>
      <c r="F14" s="162"/>
      <c r="G14" s="162"/>
    </row>
    <row r="15" spans="1:7" ht="25.5">
      <c r="A15" s="163" t="s">
        <v>381</v>
      </c>
      <c r="B15" s="171" t="s">
        <v>382</v>
      </c>
      <c r="C15" s="195" t="s">
        <v>214</v>
      </c>
      <c r="D15" s="195" t="s">
        <v>214</v>
      </c>
      <c r="E15" s="196"/>
      <c r="F15" s="162"/>
      <c r="G15" s="162"/>
    </row>
    <row r="16" spans="1:7" ht="18.75">
      <c r="A16" s="160"/>
      <c r="B16" s="168" t="s">
        <v>383</v>
      </c>
      <c r="C16" s="161"/>
      <c r="D16" s="161"/>
      <c r="E16" s="161"/>
      <c r="F16" s="201"/>
      <c r="G16" s="201"/>
    </row>
    <row r="17" spans="1:7" ht="38.25">
      <c r="A17" s="163" t="s">
        <v>384</v>
      </c>
      <c r="B17" s="171" t="s">
        <v>385</v>
      </c>
      <c r="C17" s="195" t="s">
        <v>23</v>
      </c>
      <c r="D17" s="195" t="s">
        <v>214</v>
      </c>
      <c r="E17" s="196"/>
      <c r="F17" s="162"/>
      <c r="G17" s="162"/>
    </row>
    <row r="18" spans="1:7" ht="76.5">
      <c r="A18" s="163" t="s">
        <v>386</v>
      </c>
      <c r="B18" s="171" t="s">
        <v>387</v>
      </c>
      <c r="C18" s="195" t="s">
        <v>23</v>
      </c>
      <c r="D18" s="195" t="s">
        <v>214</v>
      </c>
      <c r="E18" s="196"/>
      <c r="F18" s="162"/>
      <c r="G18" s="162"/>
    </row>
    <row r="19" spans="1:7" ht="18.75">
      <c r="A19" s="160"/>
      <c r="B19" s="168" t="s">
        <v>263</v>
      </c>
      <c r="C19" s="161"/>
      <c r="D19" s="161"/>
      <c r="E19" s="161"/>
      <c r="F19" s="201"/>
      <c r="G19" s="201"/>
    </row>
    <row r="20" spans="1:7" ht="51">
      <c r="A20" s="163" t="s">
        <v>388</v>
      </c>
      <c r="B20" s="171" t="s">
        <v>389</v>
      </c>
      <c r="C20" s="195" t="s">
        <v>11</v>
      </c>
      <c r="D20" s="195" t="s">
        <v>11</v>
      </c>
      <c r="E20" s="204" t="s">
        <v>390</v>
      </c>
      <c r="F20" s="162"/>
      <c r="G20" s="162"/>
    </row>
    <row r="21" spans="1:7" ht="51">
      <c r="A21" s="163" t="s">
        <v>391</v>
      </c>
      <c r="B21" s="171" t="s">
        <v>392</v>
      </c>
      <c r="C21" s="195" t="s">
        <v>11</v>
      </c>
      <c r="D21" s="195" t="s">
        <v>11</v>
      </c>
      <c r="E21" s="204" t="s">
        <v>390</v>
      </c>
      <c r="F21" s="162"/>
      <c r="G21" s="162"/>
    </row>
    <row r="22" spans="1:7" ht="51">
      <c r="A22" s="163" t="s">
        <v>393</v>
      </c>
      <c r="B22" s="171" t="s">
        <v>394</v>
      </c>
      <c r="C22" s="195" t="s">
        <v>11</v>
      </c>
      <c r="D22" s="195" t="s">
        <v>11</v>
      </c>
      <c r="E22" s="204" t="s">
        <v>390</v>
      </c>
      <c r="F22" s="162"/>
      <c r="G22" s="162"/>
    </row>
    <row r="23" spans="1:7" ht="25.5">
      <c r="A23" s="163" t="s">
        <v>395</v>
      </c>
      <c r="B23" s="171" t="s">
        <v>396</v>
      </c>
      <c r="C23" s="195" t="s">
        <v>214</v>
      </c>
      <c r="D23" s="195" t="s">
        <v>214</v>
      </c>
      <c r="E23" s="196"/>
      <c r="F23" s="162"/>
      <c r="G23" s="162"/>
    </row>
    <row r="24" spans="1:7" ht="51">
      <c r="A24" s="163" t="s">
        <v>397</v>
      </c>
      <c r="B24" s="171" t="s">
        <v>398</v>
      </c>
      <c r="C24" s="195" t="s">
        <v>11</v>
      </c>
      <c r="D24" s="195" t="s">
        <v>11</v>
      </c>
      <c r="E24" s="204" t="s">
        <v>390</v>
      </c>
      <c r="F24" s="162"/>
      <c r="G24" s="162"/>
    </row>
    <row r="25" spans="1:7" ht="25.5">
      <c r="A25" s="163" t="s">
        <v>399</v>
      </c>
      <c r="B25" s="171" t="s">
        <v>400</v>
      </c>
      <c r="C25" s="195" t="s">
        <v>214</v>
      </c>
      <c r="D25" s="195" t="s">
        <v>214</v>
      </c>
      <c r="E25" s="196"/>
      <c r="F25" s="162"/>
      <c r="G25" s="162"/>
    </row>
    <row r="26" spans="1:7" ht="18.75">
      <c r="A26" s="160"/>
      <c r="B26" s="168" t="s">
        <v>218</v>
      </c>
      <c r="C26" s="161"/>
      <c r="D26" s="161"/>
      <c r="E26" s="161"/>
      <c r="F26" s="201"/>
      <c r="G26" s="201"/>
    </row>
    <row r="27" spans="1:7" ht="38.25">
      <c r="A27" s="163" t="s">
        <v>312</v>
      </c>
      <c r="B27" s="171" t="s">
        <v>208</v>
      </c>
      <c r="C27" s="195" t="s">
        <v>214</v>
      </c>
      <c r="D27" s="195" t="s">
        <v>214</v>
      </c>
      <c r="E27" s="196"/>
      <c r="F27" s="162"/>
      <c r="G27" s="162"/>
    </row>
    <row r="28" spans="1:7" ht="25.5">
      <c r="A28" s="163" t="s">
        <v>313</v>
      </c>
      <c r="B28" s="171" t="s">
        <v>209</v>
      </c>
      <c r="C28" s="195" t="s">
        <v>214</v>
      </c>
      <c r="D28" s="195" t="s">
        <v>214</v>
      </c>
      <c r="E28" s="196"/>
      <c r="F28" s="162"/>
      <c r="G28" s="162"/>
    </row>
    <row r="29" spans="1:7" ht="38.25">
      <c r="A29" s="163" t="s">
        <v>314</v>
      </c>
      <c r="B29" s="171" t="s">
        <v>210</v>
      </c>
      <c r="C29" s="195" t="s">
        <v>214</v>
      </c>
      <c r="D29" s="195" t="s">
        <v>214</v>
      </c>
      <c r="E29" s="196"/>
      <c r="F29" s="162"/>
      <c r="G29" s="162"/>
    </row>
    <row r="30" spans="1:7" ht="38.25">
      <c r="A30" s="163" t="s">
        <v>315</v>
      </c>
      <c r="B30" s="171" t="s">
        <v>211</v>
      </c>
      <c r="C30" s="195" t="s">
        <v>214</v>
      </c>
      <c r="D30" s="195" t="s">
        <v>214</v>
      </c>
      <c r="E30" s="196"/>
      <c r="F30" s="162"/>
      <c r="G30" s="162"/>
    </row>
    <row r="31" spans="1:7" ht="18.75">
      <c r="A31" s="160"/>
      <c r="B31" s="168" t="s">
        <v>219</v>
      </c>
      <c r="C31" s="161"/>
      <c r="D31" s="161"/>
      <c r="E31" s="161"/>
      <c r="F31" s="201"/>
      <c r="G31" s="201"/>
    </row>
    <row r="32" spans="1:7" ht="38.25">
      <c r="A32" s="163" t="s">
        <v>316</v>
      </c>
      <c r="B32" s="171" t="s">
        <v>212</v>
      </c>
      <c r="C32" s="195" t="s">
        <v>214</v>
      </c>
      <c r="D32" s="195" t="s">
        <v>214</v>
      </c>
      <c r="E32" s="196"/>
      <c r="F32" s="162"/>
      <c r="G32" s="162"/>
    </row>
    <row r="33" spans="1:7" ht="38.25">
      <c r="A33" s="163" t="s">
        <v>317</v>
      </c>
      <c r="B33" s="171" t="s">
        <v>213</v>
      </c>
      <c r="C33" s="195" t="s">
        <v>214</v>
      </c>
      <c r="D33" s="195" t="s">
        <v>214</v>
      </c>
      <c r="E33" s="196"/>
      <c r="F33" s="162"/>
      <c r="G33" s="162"/>
    </row>
    <row r="34" spans="1:7" ht="18.75">
      <c r="A34" s="160"/>
      <c r="B34" s="168" t="s">
        <v>206</v>
      </c>
      <c r="C34" s="161"/>
      <c r="D34" s="161"/>
      <c r="E34" s="161"/>
      <c r="F34" s="201"/>
      <c r="G34" s="201"/>
    </row>
    <row r="35" spans="1:7" ht="51">
      <c r="A35" s="163" t="s">
        <v>318</v>
      </c>
      <c r="B35" s="171" t="s">
        <v>207</v>
      </c>
      <c r="C35" s="195" t="s">
        <v>11</v>
      </c>
      <c r="D35" s="195" t="s">
        <v>11</v>
      </c>
      <c r="E35" s="196"/>
      <c r="F35" s="162"/>
      <c r="G35" s="162"/>
    </row>
    <row r="36" spans="1:7" ht="18">
      <c r="A36" s="197"/>
      <c r="B36" s="198" t="s">
        <v>223</v>
      </c>
      <c r="C36" s="197"/>
      <c r="D36" s="197"/>
      <c r="E36" s="197"/>
      <c r="F36" s="197"/>
      <c r="G36" s="197"/>
    </row>
    <row r="37" spans="1:7">
      <c r="A37" s="163"/>
      <c r="B37" s="171"/>
    </row>
    <row r="38" spans="1:7" ht="15">
      <c r="A38" s="199"/>
      <c r="B38" s="200" t="s">
        <v>336</v>
      </c>
      <c r="C38" s="199"/>
      <c r="D38" s="199"/>
      <c r="E38" s="199"/>
      <c r="F38" s="199"/>
      <c r="G38" s="199"/>
    </row>
  </sheetData>
  <mergeCells count="1">
    <mergeCell ref="F2:G2"/>
  </mergeCells>
  <conditionalFormatting sqref="C6:D6">
    <cfRule type="cellIs" dxfId="71" priority="70" operator="equal">
      <formula>"No"</formula>
    </cfRule>
    <cfRule type="cellIs" dxfId="70" priority="71" operator="equal">
      <formula>"NA"</formula>
    </cfRule>
    <cfRule type="cellIs" dxfId="69" priority="72" operator="equal">
      <formula>"Yes"</formula>
    </cfRule>
  </conditionalFormatting>
  <conditionalFormatting sqref="C7:D7">
    <cfRule type="cellIs" dxfId="68" priority="67" operator="equal">
      <formula>"No"</formula>
    </cfRule>
    <cfRule type="cellIs" dxfId="67" priority="68" operator="equal">
      <formula>"NA"</formula>
    </cfRule>
    <cfRule type="cellIs" dxfId="66" priority="69" operator="equal">
      <formula>"Yes"</formula>
    </cfRule>
  </conditionalFormatting>
  <conditionalFormatting sqref="C8:D8">
    <cfRule type="cellIs" dxfId="65" priority="64" operator="equal">
      <formula>"No"</formula>
    </cfRule>
    <cfRule type="cellIs" dxfId="64" priority="65" operator="equal">
      <formula>"NA"</formula>
    </cfRule>
    <cfRule type="cellIs" dxfId="63" priority="66" operator="equal">
      <formula>"Yes"</formula>
    </cfRule>
  </conditionalFormatting>
  <conditionalFormatting sqref="C9:D9">
    <cfRule type="cellIs" dxfId="62" priority="61" operator="equal">
      <formula>"No"</formula>
    </cfRule>
    <cfRule type="cellIs" dxfId="61" priority="62" operator="equal">
      <formula>"NA"</formula>
    </cfRule>
    <cfRule type="cellIs" dxfId="60" priority="63" operator="equal">
      <formula>"Yes"</formula>
    </cfRule>
  </conditionalFormatting>
  <conditionalFormatting sqref="C10:D10">
    <cfRule type="cellIs" dxfId="59" priority="58" operator="equal">
      <formula>"No"</formula>
    </cfRule>
    <cfRule type="cellIs" dxfId="58" priority="59" operator="equal">
      <formula>"NA"</formula>
    </cfRule>
    <cfRule type="cellIs" dxfId="57" priority="60" operator="equal">
      <formula>"Yes"</formula>
    </cfRule>
  </conditionalFormatting>
  <conditionalFormatting sqref="C12:D12">
    <cfRule type="cellIs" dxfId="56" priority="55" operator="equal">
      <formula>"No"</formula>
    </cfRule>
    <cfRule type="cellIs" dxfId="55" priority="56" operator="equal">
      <formula>"NA"</formula>
    </cfRule>
    <cfRule type="cellIs" dxfId="54" priority="57" operator="equal">
      <formula>"Yes"</formula>
    </cfRule>
  </conditionalFormatting>
  <conditionalFormatting sqref="C13:D13">
    <cfRule type="cellIs" dxfId="53" priority="52" operator="equal">
      <formula>"No"</formula>
    </cfRule>
    <cfRule type="cellIs" dxfId="52" priority="53" operator="equal">
      <formula>"NA"</formula>
    </cfRule>
    <cfRule type="cellIs" dxfId="51" priority="54" operator="equal">
      <formula>"Yes"</formula>
    </cfRule>
  </conditionalFormatting>
  <conditionalFormatting sqref="C14:D14">
    <cfRule type="cellIs" dxfId="50" priority="49" operator="equal">
      <formula>"No"</formula>
    </cfRule>
    <cfRule type="cellIs" dxfId="49" priority="50" operator="equal">
      <formula>"NA"</formula>
    </cfRule>
    <cfRule type="cellIs" dxfId="48" priority="51" operator="equal">
      <formula>"Yes"</formula>
    </cfRule>
  </conditionalFormatting>
  <conditionalFormatting sqref="C15:D15">
    <cfRule type="cellIs" dxfId="47" priority="46" operator="equal">
      <formula>"No"</formula>
    </cfRule>
    <cfRule type="cellIs" dxfId="46" priority="47" operator="equal">
      <formula>"NA"</formula>
    </cfRule>
    <cfRule type="cellIs" dxfId="45" priority="48" operator="equal">
      <formula>"Yes"</formula>
    </cfRule>
  </conditionalFormatting>
  <conditionalFormatting sqref="C17:D17">
    <cfRule type="cellIs" dxfId="44" priority="43" operator="equal">
      <formula>"No"</formula>
    </cfRule>
    <cfRule type="cellIs" dxfId="43" priority="44" operator="equal">
      <formula>"NA"</formula>
    </cfRule>
    <cfRule type="cellIs" dxfId="42" priority="45" operator="equal">
      <formula>"Yes"</formula>
    </cfRule>
  </conditionalFormatting>
  <conditionalFormatting sqref="C18:D18">
    <cfRule type="cellIs" dxfId="41" priority="40" operator="equal">
      <formula>"No"</formula>
    </cfRule>
    <cfRule type="cellIs" dxfId="40" priority="41" operator="equal">
      <formula>"NA"</formula>
    </cfRule>
    <cfRule type="cellIs" dxfId="39" priority="42" operator="equal">
      <formula>"Yes"</formula>
    </cfRule>
  </conditionalFormatting>
  <conditionalFormatting sqref="C20:D20">
    <cfRule type="cellIs" dxfId="38" priority="37" operator="equal">
      <formula>"No"</formula>
    </cfRule>
    <cfRule type="cellIs" dxfId="37" priority="38" operator="equal">
      <formula>"NA"</formula>
    </cfRule>
    <cfRule type="cellIs" dxfId="36" priority="39" operator="equal">
      <formula>"Yes"</formula>
    </cfRule>
  </conditionalFormatting>
  <conditionalFormatting sqref="C21:D21">
    <cfRule type="cellIs" dxfId="35" priority="34" operator="equal">
      <formula>"No"</formula>
    </cfRule>
    <cfRule type="cellIs" dxfId="34" priority="35" operator="equal">
      <formula>"NA"</formula>
    </cfRule>
    <cfRule type="cellIs" dxfId="33" priority="36" operator="equal">
      <formula>"Yes"</formula>
    </cfRule>
  </conditionalFormatting>
  <conditionalFormatting sqref="C22:D22">
    <cfRule type="cellIs" dxfId="32" priority="31" operator="equal">
      <formula>"No"</formula>
    </cfRule>
    <cfRule type="cellIs" dxfId="31" priority="32" operator="equal">
      <formula>"NA"</formula>
    </cfRule>
    <cfRule type="cellIs" dxfId="30" priority="33" operator="equal">
      <formula>"Yes"</formula>
    </cfRule>
  </conditionalFormatting>
  <conditionalFormatting sqref="C23:D23">
    <cfRule type="cellIs" dxfId="29" priority="28" operator="equal">
      <formula>"No"</formula>
    </cfRule>
    <cfRule type="cellIs" dxfId="28" priority="29" operator="equal">
      <formula>"NA"</formula>
    </cfRule>
    <cfRule type="cellIs" dxfId="27" priority="30" operator="equal">
      <formula>"Yes"</formula>
    </cfRule>
  </conditionalFormatting>
  <conditionalFormatting sqref="C24:D24">
    <cfRule type="cellIs" dxfId="26" priority="25" operator="equal">
      <formula>"No"</formula>
    </cfRule>
    <cfRule type="cellIs" dxfId="25" priority="26" operator="equal">
      <formula>"NA"</formula>
    </cfRule>
    <cfRule type="cellIs" dxfId="24" priority="27" operator="equal">
      <formula>"Yes"</formula>
    </cfRule>
  </conditionalFormatting>
  <conditionalFormatting sqref="C25:D25">
    <cfRule type="cellIs" dxfId="23" priority="22" operator="equal">
      <formula>"No"</formula>
    </cfRule>
    <cfRule type="cellIs" dxfId="22" priority="23" operator="equal">
      <formula>"NA"</formula>
    </cfRule>
    <cfRule type="cellIs" dxfId="21" priority="24" operator="equal">
      <formula>"Yes"</formula>
    </cfRule>
  </conditionalFormatting>
  <conditionalFormatting sqref="C27:D27">
    <cfRule type="cellIs" dxfId="20" priority="19" operator="equal">
      <formula>"No"</formula>
    </cfRule>
    <cfRule type="cellIs" dxfId="19" priority="20" operator="equal">
      <formula>"NA"</formula>
    </cfRule>
    <cfRule type="cellIs" dxfId="18" priority="21" operator="equal">
      <formula>"Yes"</formula>
    </cfRule>
  </conditionalFormatting>
  <conditionalFormatting sqref="C28:D28">
    <cfRule type="cellIs" dxfId="17" priority="16" operator="equal">
      <formula>"No"</formula>
    </cfRule>
    <cfRule type="cellIs" dxfId="16" priority="17" operator="equal">
      <formula>"NA"</formula>
    </cfRule>
    <cfRule type="cellIs" dxfId="15" priority="18" operator="equal">
      <formula>"Yes"</formula>
    </cfRule>
  </conditionalFormatting>
  <conditionalFormatting sqref="C29:D29">
    <cfRule type="cellIs" dxfId="14" priority="13" operator="equal">
      <formula>"No"</formula>
    </cfRule>
    <cfRule type="cellIs" dxfId="13" priority="14" operator="equal">
      <formula>"NA"</formula>
    </cfRule>
    <cfRule type="cellIs" dxfId="12" priority="15" operator="equal">
      <formula>"Yes"</formula>
    </cfRule>
  </conditionalFormatting>
  <conditionalFormatting sqref="C30:D30">
    <cfRule type="cellIs" dxfId="11" priority="10" operator="equal">
      <formula>"No"</formula>
    </cfRule>
    <cfRule type="cellIs" dxfId="10" priority="11" operator="equal">
      <formula>"NA"</formula>
    </cfRule>
    <cfRule type="cellIs" dxfId="9" priority="12" operator="equal">
      <formula>"Yes"</formula>
    </cfRule>
  </conditionalFormatting>
  <conditionalFormatting sqref="C32:D32">
    <cfRule type="cellIs" dxfId="8" priority="7" operator="equal">
      <formula>"No"</formula>
    </cfRule>
    <cfRule type="cellIs" dxfId="7" priority="8" operator="equal">
      <formula>"NA"</formula>
    </cfRule>
    <cfRule type="cellIs" dxfId="6" priority="9" operator="equal">
      <formula>"Yes"</formula>
    </cfRule>
  </conditionalFormatting>
  <conditionalFormatting sqref="C33:D33">
    <cfRule type="cellIs" dxfId="5" priority="4" operator="equal">
      <formula>"No"</formula>
    </cfRule>
    <cfRule type="cellIs" dxfId="4" priority="5" operator="equal">
      <formula>"NA"</formula>
    </cfRule>
    <cfRule type="cellIs" dxfId="3" priority="6" operator="equal">
      <formula>"Yes"</formula>
    </cfRule>
  </conditionalFormatting>
  <conditionalFormatting sqref="C35:D35">
    <cfRule type="cellIs" dxfId="2" priority="1" operator="equal">
      <formula>"No"</formula>
    </cfRule>
    <cfRule type="cellIs" dxfId="1" priority="2" operator="equal">
      <formula>"NA"</formula>
    </cfRule>
    <cfRule type="cellIs" dxfId="0" priority="3" operator="equal">
      <formula>"Yes"</formula>
    </cfRule>
  </conditionalFormatting>
  <dataValidations count="1">
    <dataValidation type="list" allowBlank="1" showInputMessage="1" showErrorMessage="1" sqref="C6:D10 C12:D15 C17:D18 C20:D25 C27:D30 C32:D33 C35:D35" xr:uid="{D6EBD489-4A7A-4715-ADD8-45263DE846B0}">
      <formula1>Option_ReviewEvaluationScale</formula1>
    </dataValidation>
  </dataValidations>
  <pageMargins left="0.7" right="0.7" top="0.75" bottom="0.75" header="0.3" footer="0.3"/>
  <legacy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p:properties xmlns:p="http://schemas.microsoft.com/office/2006/metadata/properties" xmlns:xsi="http://www.w3.org/2001/XMLSchema-instance" xmlns:pc="http://schemas.microsoft.com/office/infopath/2007/PartnerControls">
  <documentManagement>
    <PublishingExpirationDate xmlns="http://schemas.microsoft.com/sharepoint/v3" xsi:nil="true"/>
    <PublishingStartDate xmlns="http://schemas.microsoft.com/sharepoint/v3" xsi:nil="true"/>
    <_dlc_DocId xmlns="34c9bd9a-5a71-426a-ab93-6fe2caeb5e9e">YSTUAYFPSYQC-1610908312-827</_dlc_DocId>
    <_dlc_DocIdUrl xmlns="34c9bd9a-5a71-426a-ab93-6fe2caeb5e9e">
      <Url>https://alvteams.alv.autoliv.int/sites/aeuaeequalityassurance/_layouts/15/DocIdRedir.aspx?ID=YSTUAYFPSYQC-1610908312-827</Url>
      <Description>YSTUAYFPSYQC-1610908312-827</Description>
    </_dlc_DocIdUrl>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8E9DFA4D457F9249BF3E1A0236AC8895" ma:contentTypeVersion="3" ma:contentTypeDescription="Create a new document." ma:contentTypeScope="" ma:versionID="8a7ef26b336f453ac580b4376ec74c89">
  <xsd:schema xmlns:xsd="http://www.w3.org/2001/XMLSchema" xmlns:xs="http://www.w3.org/2001/XMLSchema" xmlns:p="http://schemas.microsoft.com/office/2006/metadata/properties" xmlns:ns1="http://schemas.microsoft.com/sharepoint/v3" xmlns:ns2="34c9bd9a-5a71-426a-ab93-6fe2caeb5e9e" xmlns:ns3="46fc4dd3-b727-4544-ab7c-0ad95d465289" targetNamespace="http://schemas.microsoft.com/office/2006/metadata/properties" ma:root="true" ma:fieldsID="1f6b66ffb4818f411c213c89af47e53d" ns1:_="" ns2:_="" ns3:_="">
    <xsd:import namespace="http://schemas.microsoft.com/sharepoint/v3"/>
    <xsd:import namespace="34c9bd9a-5a71-426a-ab93-6fe2caeb5e9e"/>
    <xsd:import namespace="46fc4dd3-b727-4544-ab7c-0ad95d465289"/>
    <xsd:element name="properties">
      <xsd:complexType>
        <xsd:sequence>
          <xsd:element name="documentManagement">
            <xsd:complexType>
              <xsd:all>
                <xsd:element ref="ns2:_dlc_DocId" minOccurs="0"/>
                <xsd:element ref="ns2:_dlc_DocIdUrl" minOccurs="0"/>
                <xsd:element ref="ns2:_dlc_DocIdPersistId" minOccurs="0"/>
                <xsd:element ref="ns1:PublishingStartDate" minOccurs="0"/>
                <xsd:element ref="ns1:PublishingExpirationDate" minOccurs="0"/>
                <xsd:element ref="ns3: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PublishingStartDate" ma:index="11" nillable="true" ma:displayName="Scheduling Start Date" ma:description="" ma:hidden="true" ma:internalName="PublishingStartDate">
      <xsd:simpleType>
        <xsd:restriction base="dms:Unknown"/>
      </xsd:simpleType>
    </xsd:element>
    <xsd:element name="PublishingExpirationDate" ma:index="12" nillable="true" ma:displayName="Scheduling End Date" ma:description="" ma:hidden="true" ma:internalName="PublishingExpirationDat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34c9bd9a-5a71-426a-ab93-6fe2caeb5e9e"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46fc4dd3-b727-4544-ab7c-0ad95d465289"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spe:Receivers xmlns:spe="http://schemas.microsoft.com/sharepoint/events">
  <Receiver>
    <Name>Document ID Generator</Name>
    <Synchronization>Synchronous</Synchronization>
    <Type>10001</Type>
    <SequenceNumber>1000</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10002</Type>
    <SequenceNumber>1001</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10004</Type>
    <SequenceNumber>1002</SequenceNumber>
    <Assembly>Microsoft.Office.DocumentManagement, Version=14.0.0.0, Culture=neutral, PublicKeyToken=71e9bce111e9429c</Assembly>
    <Class>Microsoft.Office.DocumentManagement.Internal.DocIdHandler</Class>
    <Data/>
    <Filter/>
  </Receiver>
  <Receiver>
    <Name>Document ID Generator</Name>
    <Synchronization>Synchronous</Synchronization>
    <Type>10006</Type>
    <SequenceNumber>1003</SequenceNumber>
    <Assembly>Microsoft.Office.DocumentManagement, Version=14.0.0.0, Culture=neutral, PublicKeyToken=71e9bce111e9429c</Assembly>
    <Class>Microsoft.Office.DocumentManagement.Internal.DocIdHandler</Class>
    <Data/>
    <Filter/>
  </Receiver>
</spe:Receivers>
</file>

<file path=customXml/item4.xml><?xml version="1.0" encoding="utf-8"?>
<?mso-contentType ?>
<FormTemplates xmlns="http://schemas.microsoft.com/sharepoint/v3/contenttype/forms">
  <Display>DocumentLibraryForm</Display>
  <Edit>DocumentLibraryForm</Edit>
  <New>DocumentLibraryForm</New>
</FormTemplates>
</file>

<file path=customXml/item5.xml><?xml version="1.0" encoding="utf-8"?>
<LongProperties xmlns="http://schemas.microsoft.com/office/2006/metadata/longProperties"/>
</file>

<file path=customXml/itemProps1.xml><?xml version="1.0" encoding="utf-8"?>
<ds:datastoreItem xmlns:ds="http://schemas.openxmlformats.org/officeDocument/2006/customXml" ds:itemID="{E2965021-A51C-4AA2-B873-44DEF42FF54E}">
  <ds:schemaRefs>
    <ds:schemaRef ds:uri="http://purl.org/dc/terms/"/>
    <ds:schemaRef ds:uri="34c9bd9a-5a71-426a-ab93-6fe2caeb5e9e"/>
    <ds:schemaRef ds:uri="http://schemas.microsoft.com/office/2006/documentManagement/types"/>
    <ds:schemaRef ds:uri="46fc4dd3-b727-4544-ab7c-0ad95d465289"/>
    <ds:schemaRef ds:uri="http://purl.org/dc/elements/1.1/"/>
    <ds:schemaRef ds:uri="http://schemas.microsoft.com/office/2006/metadata/properties"/>
    <ds:schemaRef ds:uri="http://schemas.microsoft.com/office/infopath/2007/PartnerControls"/>
    <ds:schemaRef ds:uri="http://schemas.microsoft.com/sharepoint/v3"/>
    <ds:schemaRef ds:uri="http://schemas.openxmlformats.org/package/2006/metadata/core-properties"/>
    <ds:schemaRef ds:uri="http://www.w3.org/XML/1998/namespace"/>
    <ds:schemaRef ds:uri="http://purl.org/dc/dcmitype/"/>
  </ds:schemaRefs>
</ds:datastoreItem>
</file>

<file path=customXml/itemProps2.xml><?xml version="1.0" encoding="utf-8"?>
<ds:datastoreItem xmlns:ds="http://schemas.openxmlformats.org/officeDocument/2006/customXml" ds:itemID="{D53142D0-A69B-434D-AEAC-65069632623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34c9bd9a-5a71-426a-ab93-6fe2caeb5e9e"/>
    <ds:schemaRef ds:uri="46fc4dd3-b727-4544-ab7c-0ad95d46528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3F123B83-34C8-4520-8355-734DFF82361D}">
  <ds:schemaRefs>
    <ds:schemaRef ds:uri="http://schemas.microsoft.com/sharepoint/events"/>
  </ds:schemaRefs>
</ds:datastoreItem>
</file>

<file path=customXml/itemProps4.xml><?xml version="1.0" encoding="utf-8"?>
<ds:datastoreItem xmlns:ds="http://schemas.openxmlformats.org/officeDocument/2006/customXml" ds:itemID="{98C16EC5-0551-401D-A254-E7E6FEBE4ED0}">
  <ds:schemaRefs>
    <ds:schemaRef ds:uri="http://schemas.microsoft.com/sharepoint/v3/contenttype/forms"/>
  </ds:schemaRefs>
</ds:datastoreItem>
</file>

<file path=customXml/itemProps5.xml><?xml version="1.0" encoding="utf-8"?>
<ds:datastoreItem xmlns:ds="http://schemas.openxmlformats.org/officeDocument/2006/customXml" ds:itemID="{6C7C9468-582C-40E8-A63C-A19DE3429622}">
  <ds:schemaRefs>
    <ds:schemaRef ds:uri="http://schemas.microsoft.com/office/2006/metadata/long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69</vt:i4>
      </vt:variant>
    </vt:vector>
  </HeadingPairs>
  <TitlesOfParts>
    <vt:vector size="78" baseType="lpstr">
      <vt:lpstr>FrontPage</vt:lpstr>
      <vt:lpstr>General info</vt:lpstr>
      <vt:lpstr>Help</vt:lpstr>
      <vt:lpstr>Metrics</vt:lpstr>
      <vt:lpstr>Overview</vt:lpstr>
      <vt:lpstr>Review</vt:lpstr>
      <vt:lpstr>SDD checklist</vt:lpstr>
      <vt:lpstr>CODE checklist</vt:lpstr>
      <vt:lpstr>UTSR checklist</vt:lpstr>
      <vt:lpstr>ActorName</vt:lpstr>
      <vt:lpstr>ApprovalStatus</vt:lpstr>
      <vt:lpstr>AuthorStatus</vt:lpstr>
      <vt:lpstr>Autofill</vt:lpstr>
      <vt:lpstr>ChecklistSelection</vt:lpstr>
      <vt:lpstr>ChecklistsSheetNameList</vt:lpstr>
      <vt:lpstr>Description</vt:lpstr>
      <vt:lpstr>FileName</vt:lpstr>
      <vt:lpstr>Identifier</vt:lpstr>
      <vt:lpstr>Review!Issue_to_treat</vt:lpstr>
      <vt:lpstr>IssuerName</vt:lpstr>
      <vt:lpstr>Review!Issues_postponed</vt:lpstr>
      <vt:lpstr>Review!Issues_to_approve</vt:lpstr>
      <vt:lpstr>ManualFill</vt:lpstr>
      <vt:lpstr>MXActual_state_Released</vt:lpstr>
      <vt:lpstr>MXAuthority</vt:lpstr>
      <vt:lpstr>MXCurrent.Localized</vt:lpstr>
      <vt:lpstr>MXName</vt:lpstr>
      <vt:lpstr>MXRevision</vt:lpstr>
      <vt:lpstr>MXTitle</vt:lpstr>
      <vt:lpstr>MXVersion</vt:lpstr>
      <vt:lpstr>Review!NbOfApprovedIssues</vt:lpstr>
      <vt:lpstr>Review!NbOfNotApprovedAndPostponedIssues</vt:lpstr>
      <vt:lpstr>Review!NbOfNotApprovedIssues</vt:lpstr>
      <vt:lpstr>NbOfNotTreatedIssues</vt:lpstr>
      <vt:lpstr>NbOfRejectedIssues</vt:lpstr>
      <vt:lpstr>OpenDate</vt:lpstr>
      <vt:lpstr>Option_ReviewEvaluationScale</vt:lpstr>
      <vt:lpstr>'CODE checklist'!Review.QuestionIds</vt:lpstr>
      <vt:lpstr>'SDD checklist'!Review.QuestionIds</vt:lpstr>
      <vt:lpstr>'UTSR checklist'!Review.QuestionIds</vt:lpstr>
      <vt:lpstr>'CODE checklist'!Review.ratings</vt:lpstr>
      <vt:lpstr>'SDD checklist'!Review.ratings</vt:lpstr>
      <vt:lpstr>'UTSR checklist'!Review.ratings</vt:lpstr>
      <vt:lpstr>ReviewerStatus</vt:lpstr>
      <vt:lpstr>'CODE checklist'!Sheet.ReviewTempate</vt:lpstr>
      <vt:lpstr>'SDD checklist'!Sheet.ReviewTempate</vt:lpstr>
      <vt:lpstr>Review!Status_OK</vt:lpstr>
      <vt:lpstr>Review!StatusFixed</vt:lpstr>
      <vt:lpstr>Review!StatusOpen</vt:lpstr>
      <vt:lpstr>Review!StatusPostponed</vt:lpstr>
      <vt:lpstr>Review!StatusToBeFixed</vt:lpstr>
      <vt:lpstr>Review!StatusWillNotBeFixed</vt:lpstr>
      <vt:lpstr>Synthesis_ConformityTitle</vt:lpstr>
      <vt:lpstr>Synthesis_Status</vt:lpstr>
      <vt:lpstr>TargetDate</vt:lpstr>
      <vt:lpstr>'CODE checklist'!Template.Name</vt:lpstr>
      <vt:lpstr>'SDD checklist'!Template.Name</vt:lpstr>
      <vt:lpstr>TemplateColumn</vt:lpstr>
      <vt:lpstr>TemplateRef</vt:lpstr>
      <vt:lpstr>Text_AllChecklists</vt:lpstr>
      <vt:lpstr>'CODE checklist'!Title.Checklist.Actions.Description</vt:lpstr>
      <vt:lpstr>'SDD checklist'!Title.Checklist.Actions.Description</vt:lpstr>
      <vt:lpstr>'CODE checklist'!Title.Checklist.Guide.HowToRate</vt:lpstr>
      <vt:lpstr>'SDD checklist'!Title.Checklist.Guide.HowToRate</vt:lpstr>
      <vt:lpstr>'CODE checklist'!Title.Checklist.Guide.WhatToCheck</vt:lpstr>
      <vt:lpstr>'SDD checklist'!Title.Checklist.Guide.WhatToCheck</vt:lpstr>
      <vt:lpstr>'CODE checklist'!Title.Checklist.ManualQuestion</vt:lpstr>
      <vt:lpstr>'SDD checklist'!Title.Checklist.ManualQuestion</vt:lpstr>
      <vt:lpstr>'CODE checklist'!Title.Checklist.NoteForAuditor</vt:lpstr>
      <vt:lpstr>'SDD checklist'!Title.Checklist.NoteForAuditor</vt:lpstr>
      <vt:lpstr>'CODE checklist'!Title.Checklist.Question</vt:lpstr>
      <vt:lpstr>'SDD checklist'!Title.Checklist.Question</vt:lpstr>
      <vt:lpstr>'CODE checklist'!Title.Checklist.QuestionReference</vt:lpstr>
      <vt:lpstr>'SDD checklist'!Title.Checklist.QuestionReference</vt:lpstr>
      <vt:lpstr>'CODE checklist'!Title.Checklist.Rate</vt:lpstr>
      <vt:lpstr>'SDD checklist'!Title.Checklist.Rate</vt:lpstr>
      <vt:lpstr>'CODE checklist'!TitleRow</vt:lpstr>
      <vt:lpstr>'SDD checklist'!TitleRow</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Peer Review Workbook (PRWB)</dc:title>
  <dc:creator>Microsoft Corporation</dc:creator>
  <cp:lastModifiedBy>Mihai Motoc</cp:lastModifiedBy>
  <dcterms:created xsi:type="dcterms:W3CDTF">1996-10-21T11:03:58Z</dcterms:created>
  <dcterms:modified xsi:type="dcterms:W3CDTF">2023-07-31T12:43:12Z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XAccess Type">
    <vt:lpwstr>Inherited</vt:lpwstr>
  </property>
  <property fmtid="{D5CDD505-2E9C-101B-9397-08002B2CF9AE}" pid="3" name="MXActiveVersion">
    <vt:lpwstr>15</vt:lpwstr>
  </property>
  <property fmtid="{D5CDD505-2E9C-101B-9397-08002B2CF9AE}" pid="4" name="MXActual_state_Preliminary">
    <vt:lpwstr>03/06/10 16:23</vt:lpwstr>
  </property>
  <property fmtid="{D5CDD505-2E9C-101B-9397-08002B2CF9AE}" pid="5" name="MXActual_state_Superceded">
    <vt:lpwstr>N/A</vt:lpwstr>
  </property>
  <property fmtid="{D5CDD505-2E9C-101B-9397-08002B2CF9AE}" pid="6" name="MXalvApplicationVersion">
    <vt:lpwstr/>
  </property>
  <property fmtid="{D5CDD505-2E9C-101B-9397-08002B2CF9AE}" pid="7" name="MXalvChangeDescription">
    <vt:lpwstr/>
  </property>
  <property fmtid="{D5CDD505-2E9C-101B-9397-08002B2CF9AE}" pid="8" name="MXAuthority_BusinessUnit">
    <vt:lpwstr>TATA</vt:lpwstr>
  </property>
  <property fmtid="{D5CDD505-2E9C-101B-9397-08002B2CF9AE}" pid="9" name="MXAuthority_Description">
    <vt:lpwstr>Development of Control Electronics for electrical retractor for Land-Rover L405 and L494</vt:lpwstr>
  </property>
  <property fmtid="{D5CDD505-2E9C-101B-9397-08002B2CF9AE}" pid="10" name="MXAuthority_LocalNumber" linkTarget="PLMProjectLocalNumber">
    <vt:lpwstr>14051</vt:lpwstr>
  </property>
  <property fmtid="{D5CDD505-2E9C-101B-9397-08002B2CF9AE}" pid="11" name="MXAuthority_Owner">
    <vt:lpwstr>Frederic Denis-Laroque</vt:lpwstr>
  </property>
  <property fmtid="{D5CDD505-2E9C-101B-9397-08002B2CF9AE}" pid="12" name="MXAuthority_Program">
    <vt:lpwstr>L405</vt:lpwstr>
  </property>
  <property fmtid="{D5CDD505-2E9C-101B-9397-08002B2CF9AE}" pid="13" name="MXCheckin Date" linkTarget="PLMReleaseDate">
    <vt:lpwstr>Non available</vt:lpwstr>
  </property>
  <property fmtid="{D5CDD505-2E9C-101B-9397-08002B2CF9AE}" pid="14" name="MXCheckin Reason">
    <vt:lpwstr>Add automatic links</vt:lpwstr>
  </property>
  <property fmtid="{D5CDD505-2E9C-101B-9397-08002B2CF9AE}" pid="15" name="MXCheckin User" linkTarget="PLMDocAuthor">
    <vt:lpwstr/>
  </property>
  <property fmtid="{D5CDD505-2E9C-101B-9397-08002B2CF9AE}" pid="16" name="MXCurrent">
    <vt:lpwstr>Preliminary</vt:lpwstr>
  </property>
  <property fmtid="{D5CDD505-2E9C-101B-9397-08002B2CF9AE}" pid="17" name="MXDescription">
    <vt:lpwstr/>
  </property>
  <property fmtid="{D5CDD505-2E9C-101B-9397-08002B2CF9AE}" pid="18" name="MXDesignated User">
    <vt:lpwstr>Unassigned</vt:lpwstr>
  </property>
  <property fmtid="{D5CDD505-2E9C-101B-9397-08002B2CF9AE}" pid="19" name="MXEmail">
    <vt:lpwstr>Cyril.Jouhanneau@Autoliv.com</vt:lpwstr>
  </property>
  <property fmtid="{D5CDD505-2E9C-101B-9397-08002B2CF9AE}" pid="20" name="MXFirstName">
    <vt:lpwstr>Cyril</vt:lpwstr>
  </property>
  <property fmtid="{D5CDD505-2E9C-101B-9397-08002B2CF9AE}" pid="21" name="MXIs Version Object">
    <vt:lpwstr>False</vt:lpwstr>
  </property>
  <property fmtid="{D5CDD505-2E9C-101B-9397-08002B2CF9AE}" pid="22" name="MXLanguage">
    <vt:lpwstr>English</vt:lpwstr>
  </property>
  <property fmtid="{D5CDD505-2E9C-101B-9397-08002B2CF9AE}" pid="23" name="MXLastName">
    <vt:lpwstr>Jouhanneau</vt:lpwstr>
  </property>
  <property fmtid="{D5CDD505-2E9C-101B-9397-08002B2CF9AE}" pid="24" name="MXLatestVersion">
    <vt:lpwstr>15</vt:lpwstr>
  </property>
  <property fmtid="{D5CDD505-2E9C-101B-9397-08002B2CF9AE}" pid="25" name="MXMiddleName">
    <vt:lpwstr/>
  </property>
  <property fmtid="{D5CDD505-2E9C-101B-9397-08002B2CF9AE}" pid="26" name="MXMove Files To Version">
    <vt:lpwstr>False</vt:lpwstr>
  </property>
  <property fmtid="{D5CDD505-2E9C-101B-9397-08002B2CF9AE}" pid="27" name="MXOriginator">
    <vt:lpwstr>Cyril Jouhanneau</vt:lpwstr>
  </property>
  <property fmtid="{D5CDD505-2E9C-101B-9397-08002B2CF9AE}" pid="28" name="MXPolicy" linkTarget="PLMDocPolicy">
    <vt:lpwstr>No approval on PRWB</vt:lpwstr>
  </property>
  <property fmtid="{D5CDD505-2E9C-101B-9397-08002B2CF9AE}" pid="29" name="MXPolicy.Localized">
    <vt:lpwstr>NoReview Document</vt:lpwstr>
  </property>
  <property fmtid="{D5CDD505-2E9C-101B-9397-08002B2CF9AE}" pid="30" name="MXRoute_In-Work_date">
    <vt:lpwstr/>
  </property>
  <property fmtid="{D5CDD505-2E9C-101B-9397-08002B2CF9AE}" pid="31" name="MXRoute_In-Work_name">
    <vt:lpwstr/>
  </property>
  <property fmtid="{D5CDD505-2E9C-101B-9397-08002B2CF9AE}" pid="32" name="MXRoute_Released_date">
    <vt:lpwstr/>
  </property>
  <property fmtid="{D5CDD505-2E9C-101B-9397-08002B2CF9AE}" pid="33" name="MXRoute_Released_name">
    <vt:lpwstr/>
  </property>
  <property fmtid="{D5CDD505-2E9C-101B-9397-08002B2CF9AE}" pid="34" name="MXRoute_Superseded_date">
    <vt:lpwstr/>
  </property>
  <property fmtid="{D5CDD505-2E9C-101B-9397-08002B2CF9AE}" pid="35" name="MXRoute_Superseded_name">
    <vt:lpwstr/>
  </property>
  <property fmtid="{D5CDD505-2E9C-101B-9397-08002B2CF9AE}" pid="36" name="MXSignatures_state_Preliminary">
    <vt:lpwstr/>
  </property>
  <property fmtid="{D5CDD505-2E9C-101B-9397-08002B2CF9AE}" pid="37" name="MXSignatures_state_Released">
    <vt:lpwstr/>
  </property>
  <property fmtid="{D5CDD505-2E9C-101B-9397-08002B2CF9AE}" pid="38" name="MXSignatures_state_Superceded">
    <vt:lpwstr/>
  </property>
  <property fmtid="{D5CDD505-2E9C-101B-9397-08002B2CF9AE}" pid="39" name="MXSuspend Versioning">
    <vt:lpwstr>False</vt:lpwstr>
  </property>
  <property fmtid="{D5CDD505-2E9C-101B-9397-08002B2CF9AE}" pid="40" name="MXType">
    <vt:lpwstr>alvMinutes</vt:lpwstr>
  </property>
  <property fmtid="{D5CDD505-2E9C-101B-9397-08002B2CF9AE}" pid="41" name="MXType.Localized" linkTarget="PLMDocType">
    <vt:lpwstr>Template</vt:lpwstr>
  </property>
  <property fmtid="{D5CDD505-2E9C-101B-9397-08002B2CF9AE}" pid="42" name="_dlc_DocId">
    <vt:lpwstr>YSTUAYFPSYQC-1610908312-242</vt:lpwstr>
  </property>
  <property fmtid="{D5CDD505-2E9C-101B-9397-08002B2CF9AE}" pid="43" name="_dlc_DocIdUrl">
    <vt:lpwstr>https://alvteams.alv.autoliv.int/sites/aeuaeequalityassurance/_layouts/15/DocIdRedir.aspx?ID=YSTUAYFPSYQC-1610908312-242, YSTUAYFPSYQC-1610908312-242</vt:lpwstr>
  </property>
  <property fmtid="{D5CDD505-2E9C-101B-9397-08002B2CF9AE}" pid="44" name="_dlc_DocIdItemGuid">
    <vt:lpwstr>992a60fb-67d8-49b9-98bc-5e468d31e383</vt:lpwstr>
  </property>
  <property fmtid="{D5CDD505-2E9C-101B-9397-08002B2CF9AE}" pid="45" name="ContentTypeId">
    <vt:lpwstr>0x0101008E9DFA4D457F9249BF3E1A0236AC8895</vt:lpwstr>
  </property>
  <property fmtid="{D5CDD505-2E9C-101B-9397-08002B2CF9AE}" pid="46" name="MXDocTemplate_Name">
    <vt:lpwstr>AEF1007</vt:lpwstr>
  </property>
  <property fmtid="{D5CDD505-2E9C-101B-9397-08002B2CF9AE}" pid="47" name="MXTitle">
    <vt:lpwstr>EIM - Peer Review Workbook (PRWB)</vt:lpwstr>
  </property>
  <property fmtid="{D5CDD505-2E9C-101B-9397-08002B2CF9AE}" pid="48" name="MXUser">
    <vt:lpwstr>Ioan Repede</vt:lpwstr>
  </property>
</Properties>
</file>