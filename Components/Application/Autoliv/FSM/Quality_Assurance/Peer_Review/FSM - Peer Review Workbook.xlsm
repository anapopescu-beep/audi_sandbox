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Components\Application\Autoliv\FSM\Quality_Assurance\Peer_Review\"/>
    </mc:Choice>
  </mc:AlternateContent>
  <xr:revisionPtr revIDLastSave="0" documentId="13_ncr:1_{3E8AE827-5078-48B9-9808-2CAFC356626A}" xr6:coauthVersionLast="47" xr6:coauthVersionMax="47" xr10:uidLastSave="{00000000-0000-0000-0000-000000000000}"/>
  <bookViews>
    <workbookView xWindow="28680" yWindow="-165" windowWidth="29040" windowHeight="15840" tabRatio="750" activeTab="22"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ITSR checklist" sheetId="247" state="hidden"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4">'ITSR checklist'!$A$5:$A$36</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5">'UTSR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4">'ITSR checklist'!$C$5:$C$36</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checklist'!$D$5:$D$35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5">'UTSR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4">'ITSR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5">'UTSR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4">'ITSR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5">'UTSR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4">'ITSR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5">'UTSR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4">'ITSR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4">'ITSR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5">'UTSR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4">[1]!Table1[[#Headers],[Actions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5">[1]!Table1[[#Headers],[Actions
(description)]]</definedName>
    <definedName name="Title.Checklist.Guide.HowToRate" localSheetId="12">'CMP checklist'!$F$3</definedName>
    <definedName name="Title.Checklist.Guide.HowToRate" localSheetId="23">'CODE checklist'!$AJ$3</definedName>
    <definedName name="Title.Checklist.Guide.HowToRate" localSheetId="14">'ITP checklist'!$F$3</definedName>
    <definedName name="Title.Checklist.Guide.HowToRate" localSheetId="24">'ITSR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checklist'!$I$3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5">'UTSR checklist'!$H$3</definedName>
    <definedName name="Title.Checklist.Guide.WhatToCheck" localSheetId="12">'CMP checklist'!$E$3</definedName>
    <definedName name="Title.Checklist.Guide.WhatToCheck" localSheetId="23">'CODE checklist'!$AI$3</definedName>
    <definedName name="Title.Checklist.Guide.WhatToCheck" localSheetId="14">'ITP checklist'!$E$3</definedName>
    <definedName name="Title.Checklist.Guide.WhatToCheck" localSheetId="24">'ITSR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checklist'!$H$3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5">'UTSR checklist'!$G$3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4">'ITSR checklist'!$B$34</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5">'UTSR checklist'!$B$36</definedName>
    <definedName name="Title.Checklist.NoteForAuditor" localSheetId="12">'CMP checklist'!$E$2</definedName>
    <definedName name="Title.Checklist.NoteForAuditor" localSheetId="23">'CODE checklist'!$AI$2</definedName>
    <definedName name="Title.Checklist.NoteForAuditor" localSheetId="14">'ITP checklist'!$E$2</definedName>
    <definedName name="Title.Checklist.NoteForAuditor" localSheetId="24">'ITSR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checklist'!$H$2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5">'UTSR checklist'!$G$2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4">'ITSR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5">'UTSR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4">'ITSR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5">'UTSR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4">'ITSR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checklist'!$D$2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4">'ITSR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5">'UTSR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245" l="1"/>
  <c r="E3" i="245"/>
  <c r="E3" i="248"/>
  <c r="E38" i="42"/>
  <c r="C3" i="245"/>
  <c r="AG3" i="246"/>
  <c r="AF3" i="246"/>
  <c r="AE3" i="246"/>
  <c r="AD3" i="246"/>
  <c r="AC3" i="246"/>
  <c r="AB3" i="246"/>
  <c r="E33" i="42"/>
  <c r="E32" i="42"/>
  <c r="E31" i="42"/>
  <c r="E30" i="42"/>
  <c r="E29" i="42"/>
  <c r="E28" i="42"/>
  <c r="E27" i="42"/>
  <c r="AA3" i="246"/>
  <c r="Z3" i="246"/>
  <c r="Y3" i="246"/>
  <c r="K3" i="246"/>
  <c r="L3" i="246"/>
  <c r="M3" i="246"/>
  <c r="N3" i="246"/>
  <c r="O3" i="246"/>
  <c r="P3" i="246"/>
  <c r="Q3" i="246"/>
  <c r="R3" i="246"/>
  <c r="S3" i="246"/>
  <c r="T3" i="246"/>
  <c r="U3" i="246"/>
  <c r="V3" i="246"/>
  <c r="W3" i="246"/>
  <c r="X3" i="246"/>
  <c r="D3" i="248"/>
  <c r="E24" i="42"/>
  <c r="E25" i="42"/>
  <c r="E23" i="42"/>
  <c r="E19" i="42"/>
  <c r="E20" i="42"/>
  <c r="E21" i="42"/>
  <c r="E22" i="42"/>
  <c r="E26" i="42"/>
  <c r="E18" i="42"/>
  <c r="F10" i="38"/>
  <c r="A7" i="38"/>
  <c r="W7" i="38"/>
  <c r="AB7" i="38"/>
  <c r="AB5" i="38"/>
  <c r="W5" i="38"/>
  <c r="E17" i="42" l="1"/>
  <c r="E16" i="42"/>
  <c r="E15" i="42"/>
  <c r="E14" i="42"/>
  <c r="E12" i="42"/>
  <c r="E11" i="42"/>
  <c r="J3" i="246"/>
  <c r="E10" i="42"/>
  <c r="I3" i="246"/>
  <c r="E9" i="42"/>
  <c r="H3" i="246"/>
  <c r="E8" i="42"/>
  <c r="G3" i="246"/>
  <c r="F3" i="246"/>
  <c r="E3" i="246"/>
  <c r="D3" i="246"/>
  <c r="C3" i="246"/>
  <c r="E7" i="42"/>
  <c r="E6" i="42"/>
  <c r="A23" i="38" l="1"/>
  <c r="C3" i="248" l="1"/>
  <c r="E5" i="42"/>
  <c r="E3" i="42" l="1"/>
  <c r="E4" i="42"/>
  <c r="C3" i="251"/>
  <c r="C3" i="250"/>
  <c r="C3" i="249"/>
  <c r="C3" i="247"/>
  <c r="D3" i="245"/>
  <c r="C3" i="244"/>
  <c r="C3" i="243"/>
  <c r="C3" i="242"/>
  <c r="C3" i="241"/>
  <c r="C3" i="240"/>
  <c r="C3" i="239"/>
  <c r="C3" i="238"/>
  <c r="C3" i="237"/>
  <c r="C3" i="236"/>
  <c r="C3" i="235"/>
  <c r="C3" i="234"/>
  <c r="C3" i="233"/>
  <c r="C3" i="232"/>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2D55B0-2215-45A1-B884-06D79DE4FDE7}">
      <text>
        <r>
          <rPr>
            <b/>
            <sz val="9"/>
            <color indexed="81"/>
            <rFont val="Tahoma"/>
            <family val="2"/>
          </rPr>
          <t>Overview :</t>
        </r>
        <r>
          <rPr>
            <sz val="9"/>
            <color indexed="81"/>
            <rFont val="Tahoma"/>
            <family val="2"/>
          </rPr>
          <t xml:space="preserve">
Pourcentage of "yes" answers out of applicable answers</t>
        </r>
      </text>
    </comment>
    <comment ref="D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E3" authorId="0" shapeId="0" xr:uid="{7DB75F9F-536E-4C56-ACFF-EC2E75523516}">
      <text>
        <r>
          <rPr>
            <b/>
            <sz val="9"/>
            <color indexed="81"/>
            <rFont val="Tahoma"/>
            <family val="2"/>
          </rPr>
          <t>Overview :</t>
        </r>
        <r>
          <rPr>
            <sz val="9"/>
            <color indexed="81"/>
            <rFont val="Tahoma"/>
            <family val="2"/>
          </rPr>
          <t xml:space="preserve">
Pourcentage of "yes" answers out of applicable answers</t>
        </r>
      </text>
    </comment>
    <comment ref="F3" authorId="0" shapeId="0" xr:uid="{7C7564B3-9A38-47D5-AB23-830265B7A764}">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0767549D-D72C-4C9E-B897-DE80E809F74A}">
      <text>
        <r>
          <rPr>
            <b/>
            <sz val="9"/>
            <color indexed="81"/>
            <rFont val="Tahoma"/>
            <family val="2"/>
          </rPr>
          <t>This cell must be blank</t>
        </r>
      </text>
    </comment>
    <comment ref="D35" authorId="0" shapeId="0" xr:uid="{B34B2126-EEAB-44D0-9AF5-7CB793A8E787}">
      <text>
        <r>
          <rPr>
            <b/>
            <sz val="9"/>
            <color indexed="81"/>
            <rFont val="Tahoma"/>
            <family val="2"/>
          </rPr>
          <t>This cell must be blank</t>
        </r>
      </text>
    </comment>
    <comment ref="E35" authorId="0" shapeId="0" xr:uid="{337582EC-D118-40D2-82AF-8280C35E9A08}">
      <text>
        <r>
          <rPr>
            <b/>
            <sz val="9"/>
            <color indexed="81"/>
            <rFont val="Tahoma"/>
            <family val="2"/>
          </rPr>
          <t>This cell must be blank</t>
        </r>
      </text>
    </comment>
    <comment ref="F35" authorId="0" shapeId="0" xr:uid="{0CEC83F1-5422-4DDB-A60F-784E4E1B0146}">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6092F053-B787-4306-9033-B91B9C40CBC7}">
      <text>
        <r>
          <rPr>
            <b/>
            <sz val="9"/>
            <color indexed="81"/>
            <rFont val="Tahoma"/>
            <family val="2"/>
          </rPr>
          <t>Overview :</t>
        </r>
        <r>
          <rPr>
            <sz val="9"/>
            <color indexed="81"/>
            <rFont val="Tahoma"/>
            <family val="2"/>
          </rPr>
          <t xml:space="preserve">
Pourcentage of "yes" answers out of applicable answers</t>
        </r>
      </text>
    </comment>
    <comment ref="E3" authorId="0" shapeId="0" xr:uid="{DD2A6A4A-8E78-44AA-9414-63CCD5228E4C}">
      <text>
        <r>
          <rPr>
            <b/>
            <sz val="9"/>
            <color indexed="81"/>
            <rFont val="Tahoma"/>
            <family val="2"/>
          </rPr>
          <t>Overview :</t>
        </r>
        <r>
          <rPr>
            <sz val="9"/>
            <color indexed="81"/>
            <rFont val="Tahoma"/>
            <family val="2"/>
          </rPr>
          <t xml:space="preserve">
Pourcentage of "yes" answers out of applicable answers</t>
        </r>
      </text>
    </comment>
    <comment ref="F3" authorId="0" shapeId="0" xr:uid="{A5B78C93-0F25-4E22-8736-443C0AEFC016}">
      <text>
        <r>
          <rPr>
            <b/>
            <sz val="9"/>
            <color indexed="81"/>
            <rFont val="Tahoma"/>
            <family val="2"/>
          </rPr>
          <t>Overview :</t>
        </r>
        <r>
          <rPr>
            <sz val="9"/>
            <color indexed="81"/>
            <rFont val="Tahoma"/>
            <family val="2"/>
          </rPr>
          <t xml:space="preserve">
Pourcentage of "yes" answers out of applicable answers</t>
        </r>
      </text>
    </comment>
    <comment ref="G3" authorId="0" shapeId="0" xr:uid="{DD1CDC33-AF38-44DB-9006-ECAD8B26973E}">
      <text>
        <r>
          <rPr>
            <b/>
            <sz val="9"/>
            <color indexed="81"/>
            <rFont val="Tahoma"/>
            <family val="2"/>
          </rPr>
          <t>Overview :</t>
        </r>
        <r>
          <rPr>
            <sz val="9"/>
            <color indexed="81"/>
            <rFont val="Tahoma"/>
            <family val="2"/>
          </rPr>
          <t xml:space="preserve">
Pourcentage of "yes" answers out of applicable answers</t>
        </r>
      </text>
    </comment>
    <comment ref="H3" authorId="0" shapeId="0" xr:uid="{A708F1EF-CF61-433A-B41C-B992C6BCA1BA}">
      <text>
        <r>
          <rPr>
            <b/>
            <sz val="9"/>
            <color indexed="81"/>
            <rFont val="Tahoma"/>
            <family val="2"/>
          </rPr>
          <t>Overview :</t>
        </r>
        <r>
          <rPr>
            <sz val="9"/>
            <color indexed="81"/>
            <rFont val="Tahoma"/>
            <family val="2"/>
          </rPr>
          <t xml:space="preserve">
Pourcentage of "yes" answers out of applicable answers</t>
        </r>
      </text>
    </comment>
    <comment ref="I3" authorId="0" shapeId="0" xr:uid="{CDB751D2-5B54-4445-ABAF-26CF85026289}">
      <text>
        <r>
          <rPr>
            <b/>
            <sz val="9"/>
            <color indexed="81"/>
            <rFont val="Tahoma"/>
            <family val="2"/>
          </rPr>
          <t>Overview :</t>
        </r>
        <r>
          <rPr>
            <sz val="9"/>
            <color indexed="81"/>
            <rFont val="Tahoma"/>
            <family val="2"/>
          </rPr>
          <t xml:space="preserve">
Pourcentage of "yes" answers out of applicable answers</t>
        </r>
      </text>
    </comment>
    <comment ref="J3" authorId="0" shapeId="0" xr:uid="{63FFED79-F1CB-49E7-8362-F60E525D0197}">
      <text>
        <r>
          <rPr>
            <b/>
            <sz val="9"/>
            <color indexed="81"/>
            <rFont val="Tahoma"/>
            <family val="2"/>
          </rPr>
          <t>Overview :</t>
        </r>
        <r>
          <rPr>
            <sz val="9"/>
            <color indexed="81"/>
            <rFont val="Tahoma"/>
            <family val="2"/>
          </rPr>
          <t xml:space="preserve">
Pourcentage of "yes" answers out of applicable answers</t>
        </r>
      </text>
    </comment>
    <comment ref="K3" authorId="0" shapeId="0" xr:uid="{F0D89C1F-D0C7-4EDE-B43C-B0A9C257DEC6}">
      <text>
        <r>
          <rPr>
            <b/>
            <sz val="9"/>
            <color indexed="81"/>
            <rFont val="Tahoma"/>
            <family val="2"/>
          </rPr>
          <t>Overview :</t>
        </r>
        <r>
          <rPr>
            <sz val="9"/>
            <color indexed="81"/>
            <rFont val="Tahoma"/>
            <family val="2"/>
          </rPr>
          <t xml:space="preserve">
Pourcentage of "yes" answers out of applicable answers</t>
        </r>
      </text>
    </comment>
    <comment ref="L3" authorId="0" shapeId="0" xr:uid="{ED06D8BF-F566-4E87-8B1A-9B94BA67D5BC}">
      <text>
        <r>
          <rPr>
            <b/>
            <sz val="9"/>
            <color indexed="81"/>
            <rFont val="Tahoma"/>
            <family val="2"/>
          </rPr>
          <t>Overview :</t>
        </r>
        <r>
          <rPr>
            <sz val="9"/>
            <color indexed="81"/>
            <rFont val="Tahoma"/>
            <family val="2"/>
          </rPr>
          <t xml:space="preserve">
Pourcentage of "yes" answers out of applicable answers</t>
        </r>
      </text>
    </comment>
    <comment ref="M3" authorId="0" shapeId="0" xr:uid="{E9BE4686-1A4B-4B7A-9383-366C7D5CB5F5}">
      <text>
        <r>
          <rPr>
            <b/>
            <sz val="9"/>
            <color indexed="81"/>
            <rFont val="Tahoma"/>
            <family val="2"/>
          </rPr>
          <t>Overview :</t>
        </r>
        <r>
          <rPr>
            <sz val="9"/>
            <color indexed="81"/>
            <rFont val="Tahoma"/>
            <family val="2"/>
          </rPr>
          <t xml:space="preserve">
Pourcentage of "yes" answers out of applicable answers</t>
        </r>
      </text>
    </comment>
    <comment ref="N3" authorId="0" shapeId="0" xr:uid="{94241D9B-35E1-4B28-9B3C-CD1C2846CA1F}">
      <text>
        <r>
          <rPr>
            <b/>
            <sz val="9"/>
            <color indexed="81"/>
            <rFont val="Tahoma"/>
            <family val="2"/>
          </rPr>
          <t>Overview :</t>
        </r>
        <r>
          <rPr>
            <sz val="9"/>
            <color indexed="81"/>
            <rFont val="Tahoma"/>
            <family val="2"/>
          </rPr>
          <t xml:space="preserve">
Pourcentage of "yes" answers out of applicable answers</t>
        </r>
      </text>
    </comment>
    <comment ref="O3" authorId="0" shapeId="0" xr:uid="{86923413-2EF5-4F66-BA03-A9A34BACDB04}">
      <text>
        <r>
          <rPr>
            <b/>
            <sz val="9"/>
            <color indexed="81"/>
            <rFont val="Tahoma"/>
            <family val="2"/>
          </rPr>
          <t>Overview :</t>
        </r>
        <r>
          <rPr>
            <sz val="9"/>
            <color indexed="81"/>
            <rFont val="Tahoma"/>
            <family val="2"/>
          </rPr>
          <t xml:space="preserve">
Pourcentage of "yes" answers out of applicable answers</t>
        </r>
      </text>
    </comment>
    <comment ref="P3" authorId="0" shapeId="0" xr:uid="{4DC87CEC-8504-4462-987D-E29389E83538}">
      <text>
        <r>
          <rPr>
            <b/>
            <sz val="9"/>
            <color indexed="81"/>
            <rFont val="Tahoma"/>
            <family val="2"/>
          </rPr>
          <t>Overview :</t>
        </r>
        <r>
          <rPr>
            <sz val="9"/>
            <color indexed="81"/>
            <rFont val="Tahoma"/>
            <family val="2"/>
          </rPr>
          <t xml:space="preserve">
Pourcentage of "yes" answers out of applicable answers</t>
        </r>
      </text>
    </comment>
    <comment ref="Q3" authorId="0" shapeId="0" xr:uid="{3FFF8D3A-398E-43E5-849F-5C679D4B7FE5}">
      <text>
        <r>
          <rPr>
            <b/>
            <sz val="9"/>
            <color indexed="81"/>
            <rFont val="Tahoma"/>
            <family val="2"/>
          </rPr>
          <t>Overview :</t>
        </r>
        <r>
          <rPr>
            <sz val="9"/>
            <color indexed="81"/>
            <rFont val="Tahoma"/>
            <family val="2"/>
          </rPr>
          <t xml:space="preserve">
Pourcentage of "yes" answers out of applicable answers</t>
        </r>
      </text>
    </comment>
    <comment ref="R3" authorId="0" shapeId="0" xr:uid="{6EC427F6-705F-4318-B485-93C971E6A471}">
      <text>
        <r>
          <rPr>
            <b/>
            <sz val="9"/>
            <color indexed="81"/>
            <rFont val="Tahoma"/>
            <family val="2"/>
          </rPr>
          <t>Overview :</t>
        </r>
        <r>
          <rPr>
            <sz val="9"/>
            <color indexed="81"/>
            <rFont val="Tahoma"/>
            <family val="2"/>
          </rPr>
          <t xml:space="preserve">
Pourcentage of "yes" answers out of applicable answers</t>
        </r>
      </text>
    </comment>
    <comment ref="S3" authorId="0" shapeId="0" xr:uid="{12797B52-C2BF-4478-AB68-40E89F6F50EF}">
      <text>
        <r>
          <rPr>
            <b/>
            <sz val="9"/>
            <color indexed="81"/>
            <rFont val="Tahoma"/>
            <family val="2"/>
          </rPr>
          <t>Overview :</t>
        </r>
        <r>
          <rPr>
            <sz val="9"/>
            <color indexed="81"/>
            <rFont val="Tahoma"/>
            <family val="2"/>
          </rPr>
          <t xml:space="preserve">
Pourcentage of "yes" answers out of applicable answers</t>
        </r>
      </text>
    </comment>
    <comment ref="T3" authorId="0" shapeId="0" xr:uid="{F6499DB8-57A2-41EF-9E4B-A165880469BB}">
      <text>
        <r>
          <rPr>
            <b/>
            <sz val="9"/>
            <color indexed="81"/>
            <rFont val="Tahoma"/>
            <family val="2"/>
          </rPr>
          <t>Overview :</t>
        </r>
        <r>
          <rPr>
            <sz val="9"/>
            <color indexed="81"/>
            <rFont val="Tahoma"/>
            <family val="2"/>
          </rPr>
          <t xml:space="preserve">
Pourcentage of "yes" answers out of applicable answers</t>
        </r>
      </text>
    </comment>
    <comment ref="U3" authorId="0" shapeId="0" xr:uid="{938EC4E4-0473-4FA6-ADDE-73AC86C321FF}">
      <text>
        <r>
          <rPr>
            <b/>
            <sz val="9"/>
            <color indexed="81"/>
            <rFont val="Tahoma"/>
            <family val="2"/>
          </rPr>
          <t>Overview :</t>
        </r>
        <r>
          <rPr>
            <sz val="9"/>
            <color indexed="81"/>
            <rFont val="Tahoma"/>
            <family val="2"/>
          </rPr>
          <t xml:space="preserve">
Pourcentage of "yes" answers out of applicable answers</t>
        </r>
      </text>
    </comment>
    <comment ref="V3" authorId="0" shapeId="0" xr:uid="{6418DC83-54D3-41B8-A3A5-89D72F490549}">
      <text>
        <r>
          <rPr>
            <b/>
            <sz val="9"/>
            <color indexed="81"/>
            <rFont val="Tahoma"/>
            <family val="2"/>
          </rPr>
          <t>Overview :</t>
        </r>
        <r>
          <rPr>
            <sz val="9"/>
            <color indexed="81"/>
            <rFont val="Tahoma"/>
            <family val="2"/>
          </rPr>
          <t xml:space="preserve">
Pourcentage of "yes" answers out of applicable answers</t>
        </r>
      </text>
    </comment>
    <comment ref="W3" authorId="0" shapeId="0" xr:uid="{B7CC97F5-AD03-4EB7-BF54-200212BDE2BA}">
      <text>
        <r>
          <rPr>
            <b/>
            <sz val="9"/>
            <color indexed="81"/>
            <rFont val="Tahoma"/>
            <family val="2"/>
          </rPr>
          <t>Overview :</t>
        </r>
        <r>
          <rPr>
            <sz val="9"/>
            <color indexed="81"/>
            <rFont val="Tahoma"/>
            <family val="2"/>
          </rPr>
          <t xml:space="preserve">
Pourcentage of "yes" answers out of applicable answers</t>
        </r>
      </text>
    </comment>
    <comment ref="X3" authorId="0" shapeId="0" xr:uid="{F1F2FDB9-799A-4273-88BD-C5E15662A167}">
      <text>
        <r>
          <rPr>
            <b/>
            <sz val="9"/>
            <color indexed="81"/>
            <rFont val="Tahoma"/>
            <family val="2"/>
          </rPr>
          <t>Overview :</t>
        </r>
        <r>
          <rPr>
            <sz val="9"/>
            <color indexed="81"/>
            <rFont val="Tahoma"/>
            <family val="2"/>
          </rPr>
          <t xml:space="preserve">
Pourcentage of "yes" answers out of applicable answers</t>
        </r>
      </text>
    </comment>
    <comment ref="Y3" authorId="0" shapeId="0" xr:uid="{850AE33F-7879-4FBD-9D86-94CD078FD9C5}">
      <text>
        <r>
          <rPr>
            <b/>
            <sz val="9"/>
            <color indexed="81"/>
            <rFont val="Tahoma"/>
            <family val="2"/>
          </rPr>
          <t>Overview :</t>
        </r>
        <r>
          <rPr>
            <sz val="9"/>
            <color indexed="81"/>
            <rFont val="Tahoma"/>
            <family val="2"/>
          </rPr>
          <t xml:space="preserve">
Pourcentage of "yes" answers out of applicable answers</t>
        </r>
      </text>
    </comment>
    <comment ref="Z3" authorId="0" shapeId="0" xr:uid="{03ADD44D-8595-4C65-807F-4E90BFA60C87}">
      <text>
        <r>
          <rPr>
            <b/>
            <sz val="9"/>
            <color indexed="81"/>
            <rFont val="Tahoma"/>
            <family val="2"/>
          </rPr>
          <t>Overview :</t>
        </r>
        <r>
          <rPr>
            <sz val="9"/>
            <color indexed="81"/>
            <rFont val="Tahoma"/>
            <family val="2"/>
          </rPr>
          <t xml:space="preserve">
Pourcentage of "yes" answers out of applicable answers</t>
        </r>
      </text>
    </comment>
    <comment ref="AA3" authorId="0" shapeId="0" xr:uid="{EFA1E102-3196-4519-954A-C7E0DECBA4B1}">
      <text>
        <r>
          <rPr>
            <b/>
            <sz val="9"/>
            <color indexed="81"/>
            <rFont val="Tahoma"/>
            <family val="2"/>
          </rPr>
          <t>Overview :</t>
        </r>
        <r>
          <rPr>
            <sz val="9"/>
            <color indexed="81"/>
            <rFont val="Tahoma"/>
            <family val="2"/>
          </rPr>
          <t xml:space="preserve">
Pourcentage of "yes" answers out of applicable answers</t>
        </r>
      </text>
    </comment>
    <comment ref="AB3" authorId="0" shapeId="0" xr:uid="{377415F0-2172-4585-ACF3-2566D838C5C7}">
      <text>
        <r>
          <rPr>
            <b/>
            <sz val="9"/>
            <color indexed="81"/>
            <rFont val="Tahoma"/>
            <family val="2"/>
          </rPr>
          <t>Overview :</t>
        </r>
        <r>
          <rPr>
            <sz val="9"/>
            <color indexed="81"/>
            <rFont val="Tahoma"/>
            <family val="2"/>
          </rPr>
          <t xml:space="preserve">
Pourcentage of "yes" answers out of applicable answers</t>
        </r>
      </text>
    </comment>
    <comment ref="AC3" authorId="0" shapeId="0" xr:uid="{80C77849-C0F8-45A3-86A5-C66CD91319AB}">
      <text>
        <r>
          <rPr>
            <b/>
            <sz val="9"/>
            <color indexed="81"/>
            <rFont val="Tahoma"/>
            <family val="2"/>
          </rPr>
          <t>Overview :</t>
        </r>
        <r>
          <rPr>
            <sz val="9"/>
            <color indexed="81"/>
            <rFont val="Tahoma"/>
            <family val="2"/>
          </rPr>
          <t xml:space="preserve">
Pourcentage of "yes" answers out of applicable answers</t>
        </r>
      </text>
    </comment>
    <comment ref="AD3" authorId="0" shapeId="0" xr:uid="{16D3C632-BC24-4997-830E-9CCC57A5D319}">
      <text>
        <r>
          <rPr>
            <b/>
            <sz val="9"/>
            <color indexed="81"/>
            <rFont val="Tahoma"/>
            <family val="2"/>
          </rPr>
          <t>Overview :</t>
        </r>
        <r>
          <rPr>
            <sz val="9"/>
            <color indexed="81"/>
            <rFont val="Tahoma"/>
            <family val="2"/>
          </rPr>
          <t xml:space="preserve">
Pourcentage of "yes" answers out of applicable answers</t>
        </r>
      </text>
    </comment>
    <comment ref="AE3" authorId="0" shapeId="0" xr:uid="{6FE8C124-E639-478A-BFFA-5B8798878F3E}">
      <text>
        <r>
          <rPr>
            <b/>
            <sz val="9"/>
            <color indexed="81"/>
            <rFont val="Tahoma"/>
            <family val="2"/>
          </rPr>
          <t>Overview :</t>
        </r>
        <r>
          <rPr>
            <sz val="9"/>
            <color indexed="81"/>
            <rFont val="Tahoma"/>
            <family val="2"/>
          </rPr>
          <t xml:space="preserve">
Pourcentage of "yes" answers out of applicable answers</t>
        </r>
      </text>
    </comment>
    <comment ref="AF3" authorId="0" shapeId="0" xr:uid="{0CEAAD37-D78E-484D-857E-B775B2592963}">
      <text>
        <r>
          <rPr>
            <b/>
            <sz val="9"/>
            <color indexed="81"/>
            <rFont val="Tahoma"/>
            <family val="2"/>
          </rPr>
          <t>Overview :</t>
        </r>
        <r>
          <rPr>
            <sz val="9"/>
            <color indexed="81"/>
            <rFont val="Tahoma"/>
            <family val="2"/>
          </rPr>
          <t xml:space="preserve">
Pourcentage of "yes" answers out of applicable answers</t>
        </r>
      </text>
    </comment>
    <comment ref="AG3" authorId="0" shapeId="0" xr:uid="{F4D6B66A-BF9F-4F56-993A-FB4714DFFFDE}">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K36" authorId="0" shapeId="0" xr:uid="{DE5CA66A-85B0-49E7-8F6D-F483B1362219}">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3EA60DC-A93A-4D96-9194-4C8B61F53572}">
      <text>
        <r>
          <rPr>
            <b/>
            <sz val="9"/>
            <color indexed="81"/>
            <rFont val="Tahoma"/>
            <family val="2"/>
          </rPr>
          <t>Overview :</t>
        </r>
        <r>
          <rPr>
            <sz val="9"/>
            <color indexed="81"/>
            <rFont val="Tahoma"/>
            <family val="2"/>
          </rPr>
          <t xml:space="preserve">
Pourcentage of "yes" answers out of applicable answers</t>
        </r>
      </text>
    </comment>
    <comment ref="D3" authorId="0" shapeId="0" xr:uid="{49CD4713-BCCA-4F71-84A7-BED36F781091}">
      <text>
        <r>
          <rPr>
            <b/>
            <sz val="9"/>
            <color indexed="81"/>
            <rFont val="Tahoma"/>
            <family val="2"/>
          </rPr>
          <t>Overview :</t>
        </r>
        <r>
          <rPr>
            <sz val="9"/>
            <color indexed="81"/>
            <rFont val="Tahoma"/>
            <family val="2"/>
          </rPr>
          <t xml:space="preserve">
Pourcentage of "yes" answers out of applicable answers</t>
        </r>
      </text>
    </comment>
    <comment ref="E3" authorId="0" shapeId="0" xr:uid="{35D188DF-727F-4E07-929C-E9B1B6E40AF2}">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6B76C2D2-0E0C-4D4E-8380-056A46623596}">
      <text>
        <r>
          <rPr>
            <b/>
            <sz val="9"/>
            <color indexed="81"/>
            <rFont val="Tahoma"/>
            <family val="2"/>
          </rPr>
          <t>This cell must be blank</t>
        </r>
      </text>
    </comment>
    <comment ref="D38" authorId="0" shapeId="0" xr:uid="{951FB1F2-F7B5-42F7-87B0-00C0E8B2B3EC}">
      <text>
        <r>
          <rPr>
            <b/>
            <sz val="9"/>
            <color indexed="81"/>
            <rFont val="Tahoma"/>
            <family val="2"/>
          </rPr>
          <t>This cell must be blank</t>
        </r>
      </text>
    </comment>
    <comment ref="E38" authorId="0" shapeId="0" xr:uid="{00937B3F-334B-4AF8-A20A-CC9454235732}">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<sst xmlns="http://schemas.openxmlformats.org/spreadsheetml/2006/main" count="3390" uniqueCount="1026">
  <si>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</si>
  <si>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</si>
  <si>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</si>
  <si>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</si>
  <si>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</si>
  <si>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</si>
  <si>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</si>
  <si>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</si>
  <si>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</si>
  <si>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</si>
  <si>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</si>
  <si>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</si>
  <si>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</si>
  <si>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</si>
  <si>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</si>
  <si>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</si>
  <si>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</si>
  <si>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</si>
  <si>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</si>
  <si>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</si>
  <si>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</si>
  <si>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</si>
  <si>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</si>
  <si>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</si>
  <si>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</si>
  <si>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</si>
  <si>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</si>
  <si>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</si>
  <si>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</si>
  <si>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</si>
  <si>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</si>
  <si>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</si>
  <si>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</si>
  <si>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</si>
  <si>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</si>
  <si>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</si>
  <si>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</si>
  <si>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</si>
  <si>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</si>
  <si>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</si>
  <si>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</si>
  <si>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</si>
  <si>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</si>
  <si>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</si>
  <si>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</si>
  <si>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</si>
  <si>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</si>
  <si>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</si>
  <si>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</si>
  <si>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</si>
  <si>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</si>
  <si>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</si>
  <si>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</si>
  <si>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</si>
  <si>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</si>
  <si>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</si>
  <si>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</si>
  <si>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</si>
  <si>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</si>
  <si>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</si>
  <si>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</si>
  <si>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</si>
  <si>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</si>
  <si>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</si>
  <si>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</si>
  <si>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</si>
  <si>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</si>
  <si>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</si>
  <si>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</si>
  <si>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</si>
  <si>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</si>
  <si>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</si>
  <si>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</si>
  <si>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</si>
  <si>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</si>
  <si>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</si>
  <si>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</si>
  <si>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</si>
  <si>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</si>
  <si>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</si>
  <si>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</si>
  <si>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</si>
  <si>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</si>
  <si>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</si>
  <si>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</si>
  <si>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</si>
  <si>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</si>
  <si>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</si>
  <si>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</si>
  <si>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</si>
  <si>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</si>
  <si>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</si>
  <si>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</si>
  <si>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</si>
  <si>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</si>
  <si>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</si>
  <si>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</si>
  <si>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</si>
  <si>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</si>
  <si>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</si>
  <si>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</si>
  <si>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</si>
  <si>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</si>
  <si>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</si>
  <si>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</si>
  <si>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</si>
  <si>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</si>
  <si>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</si>
  <si>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</si>
  <si>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</si>
  <si>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</si>
  <si>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</si>
  <si>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</si>
  <si>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</si>
  <si>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</si>
  <si>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</si>
  <si>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</si>
  <si>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</si>
  <si>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</si>
  <si>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</si>
  <si>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</si>
  <si>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</si>
  <si>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</si>
  <si>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</si>
  <si>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</si>
  <si>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</si>
  <si>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</si>
  <si>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</si>
  <si>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</si>
  <si>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</si>
  <si>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</si>
  <si>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</si>
  <si>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</si>
  <si>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</si>
  <si>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</si>
  <si>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</si>
  <si>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</si>
  <si>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</si>
  <si>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</si>
  <si>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</si>
  <si>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</si>
  <si>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</si>
  <si>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</si>
  <si>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</si>
  <si>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</si>
  <si>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</si>
  <si>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</si>
  <si>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</si>
  <si>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</si>
  <si>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</si>
  <si>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</si>
  <si>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</si>
  <si>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</si>
  <si>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</si>
  <si>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</si>
  <si>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</si>
  <si>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</si>
  <si>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</si>
  <si>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</si>
  <si>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</si>
  <si>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</si>
  <si>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</si>
  <si>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</si>
  <si>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</si>
  <si>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</si>
  <si>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</si>
  <si>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</si>
  <si>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</si>
  <si>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</si>
  <si>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</si>
  <si>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</si>
  <si>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</si>
  <si>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</si>
  <si>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</si>
  <si>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</si>
  <si>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</si>
  <si>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</si>
  <si>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</si>
  <si>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</si>
  <si>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</si>
  <si>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</si>
  <si>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</si>
  <si>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</si>
  <si>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</si>
  <si>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</si>
  <si>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</si>
  <si>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</si>
  <si>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</si>
  <si>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</si>
  <si>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</si>
  <si>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</si>
  <si>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</si>
  <si>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</si>
  <si>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</si>
  <si>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</si>
  <si>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</si>
  <si>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</si>
  <si>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</si>
  <si>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</si>
  <si>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</si>
  <si>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</si>
  <si>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</si>
  <si>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</si>
  <si>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</si>
  <si>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</si>
  <si>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</si>
  <si>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</si>
  <si>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</si>
  <si>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</si>
  <si>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</si>
  <si>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</si>
  <si>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</si>
  <si>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</si>
  <si>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</si>
  <si>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</si>
  <si>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</si>
  <si>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</si>
  <si>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</si>
  <si>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</si>
  <si>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</si>
  <si>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</si>
  <si>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</si>
  <si>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</si>
  <si>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</si>
  <si>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</si>
  <si>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</si>
  <si>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</si>
  <si>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</si>
  <si>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</si>
  <si>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</si>
  <si>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</si>
  <si>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</si>
  <si>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</si>
  <si>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</si>
  <si>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</si>
  <si>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</si>
  <si>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</si>
  <si>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</si>
  <si>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</si>
  <si>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</si>
  <si>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</si>
  <si>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</si>
  <si>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</si>
  <si>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</si>
  <si>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</si>
  <si>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</si>
  <si>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</si>
  <si>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</si>
  <si>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</si>
  <si>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</si>
  <si>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</si>
  <si>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</si>
  <si>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</si>
  <si>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</si>
  <si>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</si>
  <si>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</si>
  <si>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</si>
  <si>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</si>
  <si>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</si>
  <si>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</si>
  <si>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</si>
  <si>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</si>
  <si>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</si>
  <si>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</si>
  <si>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</si>
  <si>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</si>
  <si>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</si>
  <si>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</si>
  <si>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</si>
  <si>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</si>
  <si>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</si>
  <si>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</si>
  <si>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</si>
  <si>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</si>
  <si>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</si>
  <si>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</si>
  <si>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</si>
  <si>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</si>
  <si>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</si>
  <si>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</si>
  <si>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</si>
  <si>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</si>
  <si>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</si>
  <si>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</si>
  <si>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</si>
  <si>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</si>
  <si>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</si>
  <si>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</si>
  <si>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</si>
  <si>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</si>
  <si>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</si>
  <si>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</si>
  <si>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</si>
  <si>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</si>
  <si>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</si>
  <si>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</si>
  <si>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</si>
  <si>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</si>
  <si>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</si>
  <si>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</si>
  <si>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</si>
  <si>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</si>
  <si>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</si>
  <si>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</si>
  <si>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</si>
  <si>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</si>
  <si>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</si>
  <si>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</si>
  <si>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</si>
  <si>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</si>
  <si>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</si>
  <si>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</si>
  <si>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</si>
  <si>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</si>
  <si>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</si>
  <si>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</si>
  <si>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</si>
  <si>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</si>
  <si>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</si>
  <si>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</si>
  <si>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</si>
  <si>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</si>
  <si>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</si>
  <si>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</si>
  <si>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</si>
  <si>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</si>
  <si>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</si>
  <si>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</si>
  <si>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</si>
  <si>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</si>
  <si>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</si>
  <si>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</si>
  <si>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</si>
  <si>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</si>
  <si>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</si>
  <si>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</si>
  <si>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</si>
  <si>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</si>
  <si>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</si>
  <si>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</si>
  <si>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</si>
  <si>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</si>
  <si>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</si>
  <si>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</si>
  <si>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</si>
  <si>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</si>
  <si>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</si>
  <si>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</si>
  <si>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</si>
  <si>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</si>
  <si>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</si>
  <si>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</si>
  <si>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</si>
  <si>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</si>
  <si>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</si>
  <si>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</si>
  <si>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</si>
  <si>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</si>
  <si>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</si>
  <si>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</si>
  <si>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</si>
  <si>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</si>
  <si>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</si>
  <si>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</si>
  <si>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</si>
  <si>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</si>
  <si>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</si>
  <si>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</si>
  <si>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</si>
  <si>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</si>
  <si>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</si>
  <si>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</si>
  <si>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</si>
  <si>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</si>
  <si>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</si>
  <si>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</si>
  <si>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</si>
  <si>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</si>
  <si>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</si>
  <si>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</si>
  <si>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</si>
  <si>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</si>
  <si>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</si>
  <si>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</si>
  <si>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</si>
  <si>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</si>
  <si>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</si>
  <si>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</si>
  <si>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</si>
  <si>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</si>
  <si>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</si>
  <si>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</si>
  <si>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</si>
  <si>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</si>
  <si>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</si>
  <si>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</si>
  <si>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</si>
  <si>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</si>
  <si>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</si>
  <si>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</si>
  <si>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</si>
  <si>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</si>
  <si>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</si>
  <si>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</si>
  <si>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</si>
  <si>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</si>
  <si>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</si>
  <si>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</si>
  <si>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</si>
  <si>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</si>
  <si>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</si>
  <si>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</si>
  <si>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</si>
  <si>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</si>
  <si>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</si>
  <si>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</si>
  <si>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</si>
  <si>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</si>
  <si>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</si>
  <si>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</si>
  <si>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</si>
  <si>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</si>
  <si>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</si>
  <si>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</si>
  <si>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</si>
  <si>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</si>
  <si>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</si>
  <si>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</si>
  <si>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</si>
  <si>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</si>
  <si>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</si>
  <si>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</si>
  <si>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</si>
  <si>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</si>
  <si>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</si>
  <si>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</si>
  <si>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</si>
  <si>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</si>
  <si>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</si>
  <si>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</si>
  <si>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</si>
  <si>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</si>
  <si>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</si>
  <si>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</si>
  <si>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</si>
  <si>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</si>
  <si>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</si>
  <si>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</si>
  <si>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</si>
  <si>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</si>
  <si>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</si>
  <si>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</si>
  <si>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</si>
  <si>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</si>
  <si>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</si>
  <si>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</si>
  <si>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</si>
  <si>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</si>
  <si>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</si>
  <si>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</si>
  <si>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</si>
  <si>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</si>
  <si>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</si>
  <si>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</si>
  <si>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</si>
  <si>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</si>
  <si>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</si>
  <si>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</si>
  <si>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</si>
  <si>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</si>
  <si>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</si>
  <si>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</si>
  <si>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</si>
  <si>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</si>
  <si>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</si>
  <si>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</si>
  <si>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</si>
  <si>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</si>
  <si>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</si>
  <si>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</si>
  <si>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</si>
  <si>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</si>
  <si>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</si>
  <si>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</si>
  <si>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</si>
  <si>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</si>
  <si>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</si>
  <si>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</si>
  <si>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</si>
  <si>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</si>
  <si>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</si>
  <si>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</si>
  <si>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</si>
  <si>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</si>
  <si>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</si>
  <si>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</si>
  <si>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</si>
  <si>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</si>
  <si>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</si>
  <si>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</si>
  <si>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</si>
  <si>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</si>
  <si>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</si>
  <si>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</si>
  <si>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</si>
  <si>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</si>
  <si>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</si>
  <si>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</si>
  <si>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</si>
  <si>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</si>
  <si>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</si>
  <si>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</si>
  <si>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</si>
  <si>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</si>
  <si>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</si>
  <si>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</si>
  <si>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</si>
  <si>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</si>
  <si>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</si>
  <si>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</si>
  <si>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</si>
  <si>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</si>
  <si>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</si>
  <si>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</si>
  <si>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</si>
  <si>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</si>
  <si>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</si>
  <si>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</si>
  <si>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</si>
  <si>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</si>
  <si>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</si>
  <si>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</si>
  <si>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</si>
  <si>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</si>
  <si>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</si>
  <si>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</si>
  <si>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</si>
  <si>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</si>
  <si>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</si>
  <si>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</si>
  <si>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</si>
  <si>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</si>
  <si>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</si>
  <si>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</si>
  <si>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</si>
  <si>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</si>
  <si>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</si>
  <si>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</si>
  <si>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</si>
  <si>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</si>
  <si>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</si>
  <si>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</si>
  <si>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</si>
  <si>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</si>
  <si>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</si>
  <si>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</si>
  <si>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</si>
  <si>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</si>
  <si>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</si>
  <si>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</si>
  <si>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</si>
  <si>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</si>
  <si>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</si>
  <si>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</si>
  <si>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</si>
  <si>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</si>
  <si>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</si>
  <si>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</si>
  <si>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</si>
  <si>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</si>
  <si>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</si>
  <si>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</si>
  <si>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</si>
  <si>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</si>
  <si>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</si>
  <si>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</si>
  <si>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</si>
  <si>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</si>
  <si>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</si>
  <si>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</si>
  <si>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</si>
  <si>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</si>
  <si>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</si>
  <si>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</si>
  <si>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</si>
  <si>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</si>
  <si>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</si>
  <si>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</si>
  <si>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</si>
  <si>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</si>
  <si>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</si>
  <si>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</si>
  <si>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</si>
  <si>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</si>
  <si>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</si>
  <si>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</si>
  <si>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</si>
  <si>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</si>
  <si>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</si>
  <si>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</si>
  <si>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</si>
  <si>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</si>
  <si>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</si>
  <si>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</si>
  <si>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</si>
  <si>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</si>
  <si>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</si>
  <si>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</si>
  <si>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</si>
  <si>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</si>
  <si>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</si>
  <si>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</si>
  <si>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</si>
  <si>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</si>
  <si>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</si>
  <si>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</si>
  <si>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</si>
  <si>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</si>
  <si>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</si>
  <si>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</si>
  <si>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</si>
  <si>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</si>
  <si>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</si>
  <si>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</si>
  <si>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</si>
  <si>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</si>
  <si>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</si>
  <si>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</si>
  <si>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</si>
  <si>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</si>
  <si>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</si>
  <si>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</si>
  <si>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</si>
  <si>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</si>
  <si>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</si>
  <si>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</si>
  <si>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</si>
  <si>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</si>
  <si>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</si>
  <si>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</si>
  <si>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</si>
  <si>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</si>
  <si>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</si>
  <si>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</si>
  <si>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</si>
  <si>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</si>
  <si>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</si>
  <si>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</si>
  <si>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</si>
  <si>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</si>
  <si>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</si>
  <si>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</si>
  <si>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</si>
  <si>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</si>
  <si>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</si>
  <si>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</si>
  <si>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</si>
  <si>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</si>
  <si>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</si>
  <si>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</si>
  <si>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</si>
  <si>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</si>
  <si>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</si>
  <si>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</si>
  <si>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</si>
  <si>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</si>
  <si>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</si>
  <si>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</si>
  <si>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</si>
  <si>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</si>
  <si>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</si>
  <si>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</si>
  <si>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</si>
  <si>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</si>
  <si>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</si>
  <si>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</si>
  <si>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</si>
  <si>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</si>
  <si>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</si>
  <si>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</si>
  <si>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</si>
  <si>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</si>
  <si>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</si>
  <si>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</si>
  <si>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</si>
  <si>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</si>
  <si>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</si>
  <si>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</si>
  <si>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</si>
  <si>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</si>
  <si>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</si>
  <si>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</si>
  <si>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</si>
  <si>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</si>
  <si>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</si>
  <si>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</si>
  <si>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</si>
  <si>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</si>
  <si>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</si>
  <si>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</si>
  <si>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</si>
  <si>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</si>
  <si>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</si>
  <si>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</si>
  <si>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</si>
  <si>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</si>
  <si>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</si>
  <si>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</si>
  <si>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</si>
  <si>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</si>
  <si>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</si>
  <si>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</si>
  <si>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</si>
  <si>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</si>
  <si>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</si>
  <si>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</si>
  <si>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</si>
  <si>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</si>
  <si>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</si>
  <si>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</si>
  <si>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</si>
  <si>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</si>
  <si>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</si>
  <si>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</si>
  <si>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</si>
  <si>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</si>
  <si>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</si>
  <si>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</si>
  <si>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</si>
  <si>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</si>
  <si>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</si>
  <si>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</si>
  <si>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</si>
  <si>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</si>
  <si>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</si>
  <si>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</si>
  <si>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</si>
  <si>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</si>
  <si>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</si>
  <si>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</si>
  <si>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</si>
  <si>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</si>
  <si>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</si>
  <si>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</si>
  <si>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</si>
  <si>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</si>
  <si>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</si>
  <si>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</si>
  <si>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</si>
  <si>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</si>
  <si>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</si>
  <si>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</si>
  <si>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</si>
  <si>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</si>
  <si>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</si>
  <si>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</si>
  <si>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</si>
  <si>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</si>
  <si>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</si>
  <si>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</si>
  <si>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</si>
  <si>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</si>
  <si>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</si>
  <si>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</si>
  <si>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</si>
  <si>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</si>
  <si>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</si>
  <si>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</si>
  <si>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</si>
  <si>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</si>
  <si>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</si>
  <si>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</si>
  <si>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</si>
  <si>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</si>
  <si>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</si>
  <si>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</si>
  <si>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</si>
  <si>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</si>
  <si>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</si>
  <si>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</si>
  <si>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</si>
  <si>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</si>
  <si>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</si>
  <si>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</si>
  <si>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</si>
  <si>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</si>
  <si>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</si>
  <si>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</si>
  <si>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</si>
  <si>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</si>
  <si>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</si>
  <si>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</si>
  <si>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</si>
  <si>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</si>
  <si>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</si>
  <si>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</si>
  <si>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</si>
  <si>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</si>
  <si>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</si>
  <si>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</si>
  <si>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</si>
  <si>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</si>
  <si>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</si>
  <si>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</si>
  <si>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</si>
  <si>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</si>
  <si>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</si>
  <si>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</si>
  <si>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</si>
  <si>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</si>
  <si>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</si>
  <si>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</si>
  <si>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</si>
  <si>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</si>
  <si>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</si>
  <si>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</si>
  <si>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</si>
  <si>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</si>
  <si>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</si>
  <si>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</si>
  <si>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</si>
  <si>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</si>
  <si>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</si>
  <si>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</si>
  <si>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</si>
  <si>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</si>
  <si>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</si>
  <si>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</si>
  <si>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</si>
  <si>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</si>
  <si>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</si>
  <si>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</si>
  <si>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</si>
  <si>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</si>
  <si>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</si>
  <si>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</si>
  <si>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</si>
  <si>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</si>
  <si>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</si>
  <si>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</si>
  <si>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</si>
  <si>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</si>
  <si>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</si>
  <si>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</si>
  <si>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</si>
  <si>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</si>
  <si>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</si>
  <si>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</si>
  <si>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</si>
  <si>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</si>
  <si>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</si>
  <si>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</si>
  <si>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</si>
  <si>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</si>
  <si>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</si>
  <si>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</si>
  <si>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</si>
  <si>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272502 VW VWA VN 41S1_NAR EL SB</t>
  </si>
  <si>
    <t>Gabriel Brasoveanu</t>
  </si>
  <si>
    <t>PRWB</t>
  </si>
  <si>
    <t>1.31.1.3</t>
  </si>
  <si>
    <t>NA: no possible logs provided by TESSY</t>
  </si>
  <si>
    <t>NA: No HIL present</t>
  </si>
  <si>
    <t>FSM - Peer Review Workbook (PRWB)</t>
  </si>
  <si>
    <t>Dan Dustinta</t>
  </si>
  <si>
    <t>FSM - Peer Review Workbook.xlsm</t>
  </si>
  <si>
    <t>FSM_modes.c</t>
  </si>
  <si>
    <t>FSM_SolenoidCounter.c</t>
  </si>
  <si>
    <t>FSM_Config.h</t>
  </si>
  <si>
    <t>FSM.h</t>
  </si>
  <si>
    <t>Rename defines acording with code guidelines (datatype_modulename)</t>
  </si>
  <si>
    <t>Add memory section for uint8 variables</t>
  </si>
  <si>
    <t>Move external function definition to FSM_Config.h to make it specific for FSM module.</t>
  </si>
  <si>
    <t xml:space="preserve">Rename defines acording with code guidelines </t>
  </si>
  <si>
    <t>Rename defines according with data type</t>
  </si>
  <si>
    <t>Add memory section for boolean variables</t>
  </si>
  <si>
    <t>Add memory section for constant uint8 variables</t>
  </si>
  <si>
    <t>In fsm_UpdateModeStatus_NvmBlockRestore assure that naming of local variables are according with their type.</t>
  </si>
  <si>
    <t>In fsm_UpdateModeStatus_CanInhibit assure that naming of local variables are according with their type.</t>
  </si>
  <si>
    <t>In fsm_UpdateModeStatus_Init assure that naming of local variables are according with their type.</t>
  </si>
  <si>
    <t>Change FSM_runCheckModeStatus parater name according with his data type.</t>
  </si>
  <si>
    <t>Assure that global variables are correctly initialized and her naming is according with code guideliness</t>
  </si>
  <si>
    <t>Add memory sections for uint8, uint16 and const uint32 variables</t>
  </si>
  <si>
    <t>In FSM_manageSolenoidCounters assure that naming of local variables are according with their type.</t>
  </si>
  <si>
    <t>Review covered by 1.3 version</t>
  </si>
  <si>
    <t>No findings</t>
  </si>
  <si>
    <t>FSM_Config.h - 1.3</t>
  </si>
  <si>
    <t>FSM_Config.h - v1.3</t>
  </si>
  <si>
    <t>Review covered by 1.4 version</t>
  </si>
  <si>
    <t>FSM.h - v1.4</t>
  </si>
  <si>
    <t>FSM_modes.c - v1.3</t>
  </si>
  <si>
    <t>FSM.h - 1.4</t>
  </si>
  <si>
    <t>FSM_modes.c - 1.3</t>
  </si>
  <si>
    <t>Add archrequirement for FSM_runUpdateModeStatus method</t>
  </si>
  <si>
    <t>FSM_SolenoidCounter.c - v1.3</t>
  </si>
  <si>
    <t>FSM_SolenoidCounter.c - 1.3</t>
  </si>
  <si>
    <t>Add archrequirement for FSM_manageSolenoidCounters method</t>
  </si>
  <si>
    <t>Review covered by 1.5 version</t>
  </si>
  <si>
    <t>Assure that fsm_au8SolenoidConfirmationModeStatus globa variable is initialized with his data type and not with boolean type</t>
  </si>
  <si>
    <t>Assure that all local variables are defined correctly in FSM_runCheckVehicleInputs method</t>
  </si>
  <si>
    <t>In FSM_runCheckVehicleInputs remove unnecessary casts</t>
  </si>
  <si>
    <t>In FSM_runMainFunction assure that constants are first in all comparison</t>
  </si>
  <si>
    <t>Add archrequirement for FSM_getUnlockDetectionTimeoutPeriod method</t>
  </si>
  <si>
    <t>fsm_au16ProfileTimeoutPeriod is used hust for profile 0. Assure that all profiles are used correctly</t>
  </si>
  <si>
    <t>Defines was renamed according to the rule:&lt;DATA TYPE&gt;_&lt;MODULE NAME&gt;_DEFINE_NAME</t>
  </si>
  <si>
    <t>Ioan Repede</t>
  </si>
  <si>
    <t>The exported variables from header files will not be included inside the memory section defines.</t>
  </si>
  <si>
    <t>Defines was renamed</t>
  </si>
  <si>
    <t>The memory map section was updated.</t>
  </si>
  <si>
    <t>The memory map section was added.</t>
  </si>
  <si>
    <t>The variable name was updated. The RTE connection was also updated.</t>
  </si>
  <si>
    <t>The naming of the local variables of the function was updated.</t>
  </si>
  <si>
    <t>Function extern void FSM_manageSolenoidCounters(void); moved to FSM_Config.h</t>
  </si>
  <si>
    <t>Memory section was added.</t>
  </si>
  <si>
    <t>Archrequirement added</t>
  </si>
  <si>
    <t>Variables were updated.</t>
  </si>
  <si>
    <t>Naming updated.</t>
  </si>
  <si>
    <t>This function is used in FSM module only. No architecture requirement is needed.</t>
  </si>
  <si>
    <t>Defines were renamed.</t>
  </si>
  <si>
    <t>The variable was initialized correctly.</t>
  </si>
  <si>
    <t>Cast removed.</t>
  </si>
  <si>
    <t>If conditions were updated.</t>
  </si>
  <si>
    <t>Architecture requirement added.</t>
  </si>
  <si>
    <t>The timeout for each profile is handled now correctly.</t>
  </si>
  <si>
    <t>FSM.h - v1.5</t>
  </si>
  <si>
    <t>Lucian Ardeleanu</t>
  </si>
  <si>
    <t>FSM_modes.c - v1.4</t>
  </si>
  <si>
    <t>FSM_modes.c - 1.4</t>
  </si>
  <si>
    <t>FSM.c - 1.6</t>
  </si>
  <si>
    <t>FSM.h - 1.5</t>
  </si>
  <si>
    <t>FSM_Config.h - v1.4</t>
  </si>
  <si>
    <t>FSM_Config.h - 1.4</t>
  </si>
  <si>
    <t>Review covered by 1.10 version</t>
  </si>
  <si>
    <t>David Puscasu</t>
  </si>
  <si>
    <t>1.10</t>
  </si>
  <si>
    <t>eCS_MCC.FSM.tmb</t>
  </si>
  <si>
    <t>Popina Victor</t>
  </si>
  <si>
    <t>Cornel Albu</t>
  </si>
  <si>
    <t>no traceability</t>
  </si>
  <si>
    <t>no 100% C0 and C1 coverage</t>
  </si>
  <si>
    <t>medium</t>
  </si>
  <si>
    <t>Vlad Chioveanu</t>
  </si>
  <si>
    <t>eCS_MCC.FSM.tmb 1.1</t>
  </si>
  <si>
    <t>Review covered by 1.7 version</t>
  </si>
  <si>
    <t>FSM.h - 1.7</t>
  </si>
  <si>
    <t>FSM.h - v1.7</t>
  </si>
  <si>
    <t>Review covered by 1.13 version</t>
  </si>
  <si>
    <t>Fsm.c</t>
  </si>
  <si>
    <t>Fsm.c - 1.5</t>
  </si>
  <si>
    <t>Fsm.c - 1.10</t>
  </si>
  <si>
    <t>Fsm.c - 1.13</t>
  </si>
  <si>
    <t>Fsm.c - v1.6</t>
  </si>
  <si>
    <t>Fsm.c - v1.10</t>
  </si>
  <si>
    <t>Fsm.c - v1.5</t>
  </si>
  <si>
    <t>Fsm.c - v1.13</t>
  </si>
  <si>
    <t>FSM_SolenoidCounter.c - 1.7</t>
  </si>
  <si>
    <t>FSM_SolenoidCounter.c - v1.7</t>
  </si>
  <si>
    <t>FSM_modes.c - 1.7</t>
  </si>
  <si>
    <t>FSM_modes.c - v1.7</t>
  </si>
  <si>
    <t>Template not updated according with process</t>
  </si>
  <si>
    <t>The document was full scope checked</t>
  </si>
  <si>
    <t>Project number and name and the other fields from header not completed</t>
  </si>
  <si>
    <t>FSM_SW_DetailedDesign.docx</t>
  </si>
  <si>
    <t>FSM_SW_DetailedDesign.docx - 1.1</t>
  </si>
  <si>
    <t>Open project no.1047503</t>
  </si>
  <si>
    <t>No additional questions</t>
  </si>
  <si>
    <t>FSM_SW_DetailedDesign.docx - v1.1</t>
  </si>
  <si>
    <t>1.8</t>
  </si>
  <si>
    <t>1.16</t>
  </si>
  <si>
    <t>1.9</t>
  </si>
  <si>
    <t>1.11</t>
  </si>
  <si>
    <t>FSM.h - v1.8</t>
  </si>
  <si>
    <t>Fsm.c - v1.16</t>
  </si>
  <si>
    <t>FSM_modes.c - v1.9</t>
  </si>
  <si>
    <t>FSM_SolenoidCounter.c - v1.11</t>
  </si>
  <si>
    <t>Review covered by 1.11 version</t>
  </si>
  <si>
    <t>1.12</t>
  </si>
  <si>
    <t>1.17</t>
  </si>
  <si>
    <t>1.18</t>
  </si>
  <si>
    <t>Review covered by 1.18 version</t>
  </si>
  <si>
    <t>FSM_modes.c - v1.11</t>
  </si>
  <si>
    <t>FSM_SolenoidCounter.c - v1.12</t>
  </si>
  <si>
    <t>Fsm.c - v1.18</t>
  </si>
  <si>
    <t>eCS_MCC.FSM.tmb -v1.2</t>
  </si>
  <si>
    <t>No Findings</t>
  </si>
  <si>
    <t>Robert Hadadea</t>
  </si>
  <si>
    <t>eCS_MCC.FSM.tmb 1.2</t>
  </si>
  <si>
    <t>No: Issue OpenProject: 1048949</t>
  </si>
  <si>
    <t>Code review between 1.8 and 1.11 version is covered by this version</t>
  </si>
  <si>
    <t>Missing brief  description of FSM_au8SolenoidIsStuck variable</t>
  </si>
  <si>
    <t>Code review between 1.11 and 1.35 version is covered by this version</t>
  </si>
  <si>
    <t>Remove duplicate defines (KST_FSM_PERIODIC_1_MS)</t>
  </si>
  <si>
    <t>Move define declarations from "Function like macro" section to "Module defines" section</t>
  </si>
  <si>
    <t>Code review between 1.12 and 1.23 version is covered by this version</t>
  </si>
  <si>
    <t>Code review between 1.18 and 1.46 version is covered by this version</t>
  </si>
  <si>
    <t xml:space="preserve">Assure that fsm_u8RteIsu8EcsFlagUpdated, fsm_u8RteIsau8DiagReqUpdated and fsm_u8RteIsau8DiagReqComplementUpdated variables are initialized with the same type of data that they are declared. </t>
  </si>
  <si>
    <t>FSM.h - v1.11</t>
  </si>
  <si>
    <t>Fsm.c - v1.46</t>
  </si>
  <si>
    <t>FSM_modes.c - v1.35</t>
  </si>
  <si>
    <t>FSM_SolenoidCounter.c - v1.23</t>
  </si>
  <si>
    <t>The description for all exported variables will be moved in source file Fsm.c</t>
  </si>
  <si>
    <t>Duplicate define was removed.</t>
  </si>
  <si>
    <t>Define deleted</t>
  </si>
  <si>
    <t>Variables type updated and unused variables deleted.</t>
  </si>
  <si>
    <t>Code review on 1.47 version is covered by this version</t>
  </si>
  <si>
    <t>FSM.h - v1.12</t>
  </si>
  <si>
    <t>FSM_modes.c - v1.36</t>
  </si>
  <si>
    <t>Fsm.c - v1.48</t>
  </si>
  <si>
    <t>No finding between 1.48 and this version</t>
  </si>
  <si>
    <t>1.50</t>
  </si>
  <si>
    <t>No findings between 1.36 and this version</t>
  </si>
  <si>
    <t>FSM.h - v1.13</t>
  </si>
  <si>
    <t>FSM_modes.c - v1.39</t>
  </si>
  <si>
    <t>Fsm.c - v1.50</t>
  </si>
  <si>
    <t>1.3.1.1.1.24</t>
  </si>
  <si>
    <t>eCS_SW_Arhitecture.eapx</t>
  </si>
  <si>
    <t>Mihai Motoc</t>
  </si>
  <si>
    <t>eCS_SW_Arhitecture.eapx - v1.3.1.1.1.24</t>
  </si>
  <si>
    <t>Nastase Alexandru</t>
  </si>
  <si>
    <t>eCS_MCC.FSM.tmb -v1.4</t>
  </si>
  <si>
    <t>Adina Macaveiu</t>
  </si>
  <si>
    <t>eCS_MCC.FSM.tmb 1.4</t>
  </si>
  <si>
    <t>1.3.1.1.1.25</t>
  </si>
  <si>
    <t>1.3.1.1.1.26</t>
  </si>
  <si>
    <t>eCS_SW_Arhitecture.eapx - v1.3.1.1.1.25</t>
  </si>
  <si>
    <t>eCS_SW_Arhitecture.eapx - v1.3.1.1.1.26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</si>
</sst>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4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00FF00"/>
        <bgColor indexed="64"/>
      </patternFill>
    </fill>
    <fill>
      <patternFill patternType="solid">
        <fgColor rgb="FFC0C0C0"/>
        <bgColor rgb="FF000000"/>
      </patternFill>
    </fill>
    <fill>
      <patternFill patternType="solid">
        <fgColor rgb="FF00FF00"/>
        <bgColor rgb="FF000000"/>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
      <left/>
      <right/>
      <top style="thin">
        <color theme="4"/>
      </top>
      <bottom style="thin">
        <color theme="4"/>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6">
    <xf numFmtId="0" fontId="0" fillId="0" borderId="0"/>
    <xf numFmtId="0" fontId="62" fillId="6" borderId="14" applyNumberFormat="0" applyAlignment="0" applyProtection="0"/>
    <xf numFmtId="0" fontId="63" fillId="0" borderId="0" applyNumberFormat="0" applyFill="0" applyBorder="0" applyAlignment="0" applyProtection="0"/>
    <xf numFmtId="0" fontId="30" fillId="0" borderId="0"/>
    <xf numFmtId="0" fontId="57" fillId="0" borderId="0"/>
    <xf numFmtId="0" fontId="61" fillId="0" borderId="0"/>
    <xf numFmtId="0" fontId="30" fillId="0" borderId="0"/>
    <xf numFmtId="0" fontId="37" fillId="0" borderId="0"/>
    <xf numFmtId="0" fontId="64" fillId="6" borderId="15" applyNumberFormat="0" applyAlignment="0" applyProtection="0"/>
    <xf numFmtId="0" fontId="29" fillId="0" borderId="0"/>
    <xf numFmtId="0" fontId="28" fillId="0" borderId="0"/>
    <xf numFmtId="0" fontId="27" fillId="0" borderId="0"/>
    <xf numFmtId="0" fontId="91" fillId="25" borderId="14" applyNumberFormat="0" applyAlignment="0" applyProtection="0"/>
    <xf numFmtId="0" fontId="92" fillId="26" borderId="0" applyNumberFormat="0" applyBorder="0" applyAlignment="0" applyProtection="0"/>
    <xf numFmtId="0" fontId="26" fillId="27" borderId="0" applyNumberFormat="0" applyBorder="0" applyAlignment="0" applyProtection="0"/>
    <xf numFmtId="0" fontId="30" fillId="0" borderId="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0" borderId="0"/>
    <xf numFmtId="0" fontId="92" fillId="33"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3" fillId="0" borderId="0" applyNumberFormat="0" applyFill="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cellStyleXfs>
  <cellXfs count="381">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1" fillId="3" borderId="12" xfId="0" applyFont="1" applyFill="1" applyBorder="1" applyAlignment="1">
      <alignment horizontal="center" wrapText="1"/>
    </xf>
    <xf numFmtId="0" fontId="0" fillId="2" borderId="0" xfId="0" applyFill="1" applyAlignment="1">
      <alignment horizontal="center"/>
    </xf>
    <xf numFmtId="0" fontId="31"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0" fillId="0" borderId="1" xfId="0" applyFont="1" applyBorder="1" applyAlignment="1">
      <alignment vertical="center" wrapText="1"/>
    </xf>
    <xf numFmtId="0" fontId="30" fillId="3" borderId="1" xfId="0" applyFont="1" applyFill="1" applyBorder="1" applyAlignment="1">
      <alignment horizontal="center" vertical="center" wrapText="1"/>
    </xf>
    <xf numFmtId="0" fontId="30" fillId="2" borderId="0" xfId="0" applyFont="1" applyFill="1" applyBorder="1" applyAlignment="1">
      <alignment wrapText="1"/>
    </xf>
    <xf numFmtId="0" fontId="65" fillId="7" borderId="0" xfId="0" applyFont="1" applyFill="1" applyBorder="1" applyAlignment="1">
      <alignment horizontal="center" vertical="center" wrapText="1"/>
    </xf>
    <xf numFmtId="0" fontId="65" fillId="0" borderId="0" xfId="0" applyFont="1" applyFill="1" applyBorder="1" applyAlignment="1">
      <alignment horizontal="center" vertical="center" wrapText="1"/>
    </xf>
    <xf numFmtId="0" fontId="65" fillId="0" borderId="0" xfId="0" applyFont="1" applyFill="1" applyAlignment="1">
      <alignment vertical="center"/>
    </xf>
    <xf numFmtId="0" fontId="65" fillId="0" borderId="0" xfId="0" applyFont="1" applyFill="1" applyBorder="1" applyAlignment="1">
      <alignment vertical="center" wrapText="1"/>
    </xf>
    <xf numFmtId="0" fontId="52" fillId="2" borderId="2" xfId="0" applyFont="1" applyFill="1" applyBorder="1"/>
    <xf numFmtId="0" fontId="30" fillId="2" borderId="0" xfId="0" applyFont="1" applyFill="1" applyAlignment="1">
      <alignment horizontal="center"/>
    </xf>
    <xf numFmtId="0" fontId="0" fillId="8" borderId="0" xfId="0" applyFill="1" applyAlignment="1">
      <alignment horizontal="center"/>
    </xf>
    <xf numFmtId="0" fontId="30" fillId="2" borderId="1" xfId="0" applyFont="1" applyFill="1" applyBorder="1" applyAlignment="1">
      <alignment horizontal="center" wrapText="1"/>
    </xf>
    <xf numFmtId="0" fontId="30" fillId="2" borderId="1" xfId="0" applyFont="1" applyFill="1" applyBorder="1" applyAlignment="1">
      <alignment horizontal="center" vertical="center" wrapText="1"/>
    </xf>
    <xf numFmtId="0" fontId="30" fillId="0" borderId="1" xfId="0" applyFont="1" applyFill="1" applyBorder="1" applyAlignment="1">
      <alignment horizontal="center" vertical="center" wrapText="1"/>
    </xf>
    <xf numFmtId="0" fontId="0" fillId="2" borderId="5" xfId="0" applyFill="1" applyBorder="1" applyAlignment="1">
      <alignment wrapText="1"/>
    </xf>
    <xf numFmtId="0" fontId="30" fillId="2" borderId="0" xfId="0" applyFont="1" applyFill="1" applyBorder="1"/>
    <xf numFmtId="0" fontId="31" fillId="9" borderId="1" xfId="0" applyFont="1" applyFill="1" applyBorder="1" applyAlignment="1">
      <alignment horizontal="center" vertical="center" wrapText="1"/>
    </xf>
    <xf numFmtId="0" fontId="30" fillId="2" borderId="10" xfId="0" applyFont="1" applyFill="1" applyBorder="1"/>
    <xf numFmtId="0" fontId="65"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0" fillId="8" borderId="0" xfId="0" applyFont="1" applyFill="1" applyBorder="1" applyAlignment="1">
      <alignment horizontal="center" vertical="center"/>
    </xf>
    <xf numFmtId="0" fontId="30" fillId="8" borderId="1" xfId="0" applyFont="1" applyFill="1" applyBorder="1" applyAlignment="1">
      <alignment horizontal="center" vertical="center"/>
    </xf>
    <xf numFmtId="0" fontId="30" fillId="13" borderId="1" xfId="0" applyFont="1" applyFill="1" applyBorder="1" applyAlignment="1">
      <alignment horizontal="center" vertical="center" wrapText="1"/>
    </xf>
    <xf numFmtId="0" fontId="30"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5" fillId="8" borderId="0" xfId="0" applyFont="1" applyFill="1" applyBorder="1" applyAlignment="1">
      <alignment horizontal="center" vertical="center" wrapText="1"/>
    </xf>
    <xf numFmtId="0" fontId="65" fillId="8" borderId="0" xfId="0" applyFont="1" applyFill="1" applyAlignment="1">
      <alignment horizontal="center" vertical="center" wrapText="1"/>
    </xf>
    <xf numFmtId="0" fontId="65"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3" fillId="14" borderId="1" xfId="0" applyFont="1" applyFill="1" applyBorder="1" applyAlignment="1">
      <alignment horizontal="center" vertical="center" wrapText="1"/>
    </xf>
    <xf numFmtId="0" fontId="65"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6" fillId="13" borderId="1" xfId="0" applyFont="1" applyFill="1" applyBorder="1" applyAlignment="1">
      <alignment horizontal="center" vertical="center" wrapText="1"/>
    </xf>
    <xf numFmtId="0" fontId="0" fillId="0" borderId="0" xfId="0" applyFill="1" applyBorder="1" applyAlignment="1">
      <alignment horizontal="center"/>
    </xf>
    <xf numFmtId="0" fontId="30" fillId="13" borderId="1" xfId="0" applyFont="1" applyFill="1" applyBorder="1" applyAlignment="1">
      <alignment horizontal="center" vertical="center"/>
    </xf>
    <xf numFmtId="0" fontId="0" fillId="13" borderId="1" xfId="0" applyFill="1" applyBorder="1" applyAlignment="1">
      <alignment horizontal="center" vertical="center"/>
    </xf>
    <xf numFmtId="0" fontId="30" fillId="2" borderId="5" xfId="0" applyFont="1" applyFill="1" applyBorder="1" applyAlignment="1">
      <alignment wrapText="1"/>
    </xf>
    <xf numFmtId="0" fontId="30" fillId="10" borderId="0" xfId="0" applyFont="1" applyFill="1" applyBorder="1" applyAlignment="1">
      <alignment horizontal="left" vertical="center"/>
    </xf>
    <xf numFmtId="0" fontId="30" fillId="12" borderId="0" xfId="0" applyFont="1" applyFill="1" applyBorder="1" applyAlignment="1">
      <alignment horizontal="left" vertical="center"/>
    </xf>
    <xf numFmtId="0" fontId="30" fillId="15" borderId="0" xfId="0" applyFont="1" applyFill="1" applyBorder="1" applyAlignment="1">
      <alignment horizontal="left" vertical="center"/>
    </xf>
    <xf numFmtId="0" fontId="30" fillId="13" borderId="0" xfId="0" applyFont="1" applyFill="1" applyBorder="1" applyAlignment="1">
      <alignment horizontal="left" vertical="center"/>
    </xf>
    <xf numFmtId="0" fontId="30" fillId="2" borderId="1" xfId="0" applyFont="1" applyFill="1" applyBorder="1"/>
    <xf numFmtId="0" fontId="30" fillId="0" borderId="1" xfId="0" applyFont="1" applyBorder="1" applyAlignment="1">
      <alignment horizontal="center" vertical="center"/>
    </xf>
    <xf numFmtId="14" fontId="30"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0" fillId="3" borderId="12" xfId="0" applyFont="1" applyFill="1" applyBorder="1" applyAlignment="1">
      <alignment horizontal="center" vertical="center" wrapText="1"/>
    </xf>
    <xf numFmtId="0" fontId="62" fillId="6" borderId="1" xfId="1" applyFont="1" applyBorder="1" applyAlignment="1">
      <alignment horizontal="center"/>
    </xf>
    <xf numFmtId="0" fontId="66" fillId="6" borderId="15" xfId="8" applyFont="1" applyAlignment="1">
      <alignment horizontal="center"/>
    </xf>
    <xf numFmtId="0" fontId="66" fillId="6" borderId="17" xfId="8" applyFont="1" applyBorder="1" applyAlignment="1">
      <alignment horizontal="center"/>
    </xf>
    <xf numFmtId="0" fontId="62" fillId="6" borderId="1" xfId="1" applyBorder="1" applyAlignment="1">
      <alignment horizontal="center" vertical="center"/>
    </xf>
    <xf numFmtId="0" fontId="30" fillId="2" borderId="1" xfId="0" applyFont="1" applyFill="1" applyBorder="1" applyAlignment="1">
      <alignment horizontal="center"/>
    </xf>
    <xf numFmtId="0" fontId="30"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0" fillId="2" borderId="8" xfId="0" applyFont="1" applyFill="1" applyBorder="1" applyAlignment="1">
      <alignment wrapText="1" shrinkToFit="1"/>
    </xf>
    <xf numFmtId="0" fontId="30" fillId="2" borderId="0" xfId="0" applyFont="1" applyFill="1"/>
    <xf numFmtId="0" fontId="30" fillId="2" borderId="0" xfId="0" applyFont="1" applyFill="1" applyAlignment="1">
      <alignment vertical="top"/>
    </xf>
    <xf numFmtId="0" fontId="30" fillId="0" borderId="0" xfId="3" applyAlignment="1">
      <alignment vertical="center"/>
    </xf>
    <xf numFmtId="0" fontId="34" fillId="0" borderId="0" xfId="3" applyFont="1" applyAlignment="1">
      <alignment vertical="center" wrapText="1"/>
    </xf>
    <xf numFmtId="164" fontId="34" fillId="0" borderId="0" xfId="3" applyNumberFormat="1" applyFont="1" applyAlignment="1">
      <alignment horizontal="center" vertical="center" wrapText="1"/>
    </xf>
    <xf numFmtId="20" fontId="34" fillId="0" borderId="0" xfId="3" applyNumberFormat="1" applyFont="1" applyAlignment="1">
      <alignment vertical="center" wrapText="1"/>
    </xf>
    <xf numFmtId="0" fontId="34" fillId="0" borderId="0" xfId="3" applyFont="1" applyAlignment="1">
      <alignment horizontal="left" vertical="center" wrapText="1"/>
    </xf>
    <xf numFmtId="0" fontId="67" fillId="0" borderId="0" xfId="3" quotePrefix="1" applyFont="1" applyAlignment="1">
      <alignment horizontal="right" vertical="center"/>
    </xf>
    <xf numFmtId="0" fontId="35" fillId="0" borderId="0" xfId="3" applyFont="1" applyAlignment="1">
      <alignment horizontal="left" vertical="center" wrapText="1"/>
    </xf>
    <xf numFmtId="0" fontId="30" fillId="0" borderId="0" xfId="3" applyAlignment="1">
      <alignment vertical="center" shrinkToFit="1"/>
    </xf>
    <xf numFmtId="0" fontId="69" fillId="0" borderId="0" xfId="3" applyFont="1" applyAlignment="1">
      <alignment horizontal="left" vertical="center" shrinkToFit="1"/>
    </xf>
    <xf numFmtId="0" fontId="31" fillId="0" borderId="0" xfId="3" applyFont="1" applyAlignment="1">
      <alignment horizontal="left" vertical="center" shrinkToFit="1"/>
    </xf>
    <xf numFmtId="0" fontId="30" fillId="0" borderId="0" xfId="3" applyAlignment="1" applyProtection="1">
      <alignment vertical="center"/>
      <protection locked="0"/>
    </xf>
    <xf numFmtId="0" fontId="30" fillId="0" borderId="0" xfId="3" applyAlignment="1" applyProtection="1">
      <alignment vertical="center" shrinkToFit="1"/>
      <protection locked="0"/>
    </xf>
    <xf numFmtId="0" fontId="74" fillId="0" borderId="2" xfId="3" applyFont="1" applyBorder="1" applyAlignment="1" applyProtection="1">
      <alignment horizontal="left" vertical="center" wrapText="1" shrinkToFit="1"/>
      <protection locked="0"/>
    </xf>
    <xf numFmtId="0" fontId="75" fillId="0" borderId="0" xfId="3" applyFont="1" applyAlignment="1" applyProtection="1">
      <alignment horizontal="left" vertical="center" shrinkToFit="1"/>
      <protection locked="0"/>
    </xf>
    <xf numFmtId="0" fontId="74" fillId="0" borderId="0" xfId="3" applyFont="1" applyAlignment="1" applyProtection="1">
      <alignment horizontal="left" vertical="center" wrapText="1" shrinkToFit="1"/>
      <protection locked="0"/>
    </xf>
    <xf numFmtId="0" fontId="75" fillId="0" borderId="3" xfId="3" applyFont="1" applyBorder="1" applyAlignment="1" applyProtection="1">
      <alignment horizontal="left" vertical="center" shrinkToFit="1"/>
      <protection locked="0"/>
    </xf>
    <xf numFmtId="0" fontId="78" fillId="0" borderId="0" xfId="3" applyFont="1" applyAlignment="1" applyProtection="1">
      <alignment vertical="center"/>
      <protection locked="0"/>
    </xf>
    <xf numFmtId="0" fontId="79" fillId="0" borderId="0" xfId="3" applyFont="1" applyAlignment="1" applyProtection="1">
      <alignment horizontal="center" vertical="center"/>
      <protection locked="0"/>
    </xf>
    <xf numFmtId="0" fontId="29" fillId="8" borderId="0" xfId="9" applyFill="1"/>
    <xf numFmtId="0" fontId="80" fillId="0" borderId="0" xfId="3" applyFont="1" applyAlignment="1">
      <alignment horizontal="right" vertical="center"/>
    </xf>
    <xf numFmtId="0" fontId="81" fillId="0" borderId="18" xfId="3" applyFont="1" applyBorder="1" applyAlignment="1" applyProtection="1">
      <alignment vertical="center"/>
      <protection locked="0"/>
    </xf>
    <xf numFmtId="0" fontId="30" fillId="0" borderId="18" xfId="3" applyBorder="1" applyAlignment="1" applyProtection="1">
      <alignment vertical="center"/>
      <protection locked="0"/>
    </xf>
    <xf numFmtId="0" fontId="82" fillId="0" borderId="0" xfId="3" applyFont="1" applyAlignment="1" applyProtection="1">
      <alignment horizontal="left" vertical="center"/>
      <protection locked="0"/>
    </xf>
    <xf numFmtId="0" fontId="39" fillId="0" borderId="0" xfId="3" applyFont="1" applyAlignment="1" applyProtection="1">
      <alignment horizontal="left" vertical="center"/>
      <protection locked="0"/>
    </xf>
    <xf numFmtId="0" fontId="60" fillId="0" borderId="0" xfId="3" applyFont="1" applyAlignment="1" applyProtection="1">
      <alignment vertical="center"/>
      <protection locked="0"/>
    </xf>
    <xf numFmtId="0" fontId="31" fillId="0" borderId="0" xfId="3" applyFont="1" applyAlignment="1" applyProtection="1">
      <alignment vertical="center"/>
      <protection locked="0"/>
    </xf>
    <xf numFmtId="49" fontId="83" fillId="0" borderId="0" xfId="3" applyNumberFormat="1" applyFont="1" applyAlignment="1" applyProtection="1">
      <alignment horizontal="left" vertical="center"/>
      <protection locked="0"/>
    </xf>
    <xf numFmtId="49" fontId="30" fillId="0" borderId="0" xfId="3" applyNumberFormat="1" applyAlignment="1">
      <alignment horizontal="center" vertical="center" wrapText="1"/>
    </xf>
    <xf numFmtId="49" fontId="30" fillId="0" borderId="0" xfId="3" applyNumberFormat="1" applyAlignment="1" applyProtection="1">
      <alignment horizontal="left" vertical="center" wrapText="1"/>
      <protection locked="0"/>
    </xf>
    <xf numFmtId="49" fontId="30" fillId="0" borderId="0" xfId="3" applyNumberFormat="1" applyAlignment="1">
      <alignment horizontal="left" vertical="center" wrapText="1"/>
    </xf>
    <xf numFmtId="14" fontId="30" fillId="0" borderId="0" xfId="3" applyNumberFormat="1" applyAlignment="1" applyProtection="1">
      <alignment vertical="center"/>
      <protection locked="0"/>
    </xf>
    <xf numFmtId="0" fontId="84" fillId="0" borderId="0" xfId="3" applyFont="1" applyAlignment="1" applyProtection="1">
      <alignment horizontal="left" vertical="center"/>
      <protection locked="0"/>
    </xf>
    <xf numFmtId="0" fontId="30" fillId="0" borderId="0" xfId="3" applyAlignment="1">
      <alignment horizontal="left" vertical="center" wrapText="1"/>
    </xf>
    <xf numFmtId="0" fontId="81" fillId="0" borderId="5" xfId="3" applyFont="1" applyBorder="1" applyAlignment="1" applyProtection="1">
      <alignment vertical="center"/>
      <protection locked="0"/>
    </xf>
    <xf numFmtId="49" fontId="30" fillId="0" borderId="5" xfId="3" applyNumberFormat="1" applyBorder="1" applyAlignment="1" applyProtection="1">
      <alignment horizontal="left" vertical="center" wrapText="1"/>
      <protection locked="0"/>
    </xf>
    <xf numFmtId="0" fontId="30" fillId="0" borderId="5" xfId="3" applyBorder="1" applyAlignment="1">
      <alignment horizontal="left" vertical="center" wrapText="1"/>
    </xf>
    <xf numFmtId="0" fontId="81" fillId="0" borderId="0" xfId="3" applyFont="1" applyAlignment="1" applyProtection="1">
      <alignment vertical="center"/>
      <protection locked="0"/>
    </xf>
    <xf numFmtId="49" fontId="30" fillId="0" borderId="0" xfId="3" applyNumberFormat="1" applyAlignment="1" applyProtection="1">
      <alignment horizontal="left" vertical="center"/>
      <protection locked="0"/>
    </xf>
    <xf numFmtId="0" fontId="30" fillId="0" borderId="0" xfId="3" applyAlignment="1">
      <alignment horizontal="left" vertical="center"/>
    </xf>
    <xf numFmtId="0" fontId="31" fillId="2" borderId="1" xfId="0" applyNumberFormat="1" applyFont="1" applyFill="1" applyBorder="1" applyAlignment="1">
      <alignment horizontal="center" vertical="center"/>
    </xf>
    <xf numFmtId="0" fontId="30" fillId="21" borderId="0" xfId="0" applyFont="1" applyFill="1" applyBorder="1" applyAlignment="1">
      <alignment horizontal="left" vertical="top" wrapText="1"/>
    </xf>
    <xf numFmtId="0" fontId="30" fillId="21" borderId="0" xfId="0" applyFont="1" applyFill="1" applyBorder="1" applyAlignment="1">
      <alignment wrapText="1"/>
    </xf>
    <xf numFmtId="0" fontId="0" fillId="21" borderId="0" xfId="0" applyFill="1" applyBorder="1" applyAlignment="1">
      <alignment wrapText="1"/>
    </xf>
    <xf numFmtId="0" fontId="30" fillId="9" borderId="0" xfId="0" applyFont="1" applyFill="1" applyBorder="1" applyAlignment="1">
      <alignment wrapText="1"/>
    </xf>
    <xf numFmtId="0" fontId="0" fillId="9" borderId="0" xfId="0" applyFill="1" applyBorder="1" applyAlignment="1">
      <alignment wrapText="1"/>
    </xf>
    <xf numFmtId="0" fontId="30" fillId="2" borderId="2" xfId="0" applyFont="1" applyFill="1" applyBorder="1" applyAlignment="1">
      <alignment horizontal="right"/>
    </xf>
    <xf numFmtId="0" fontId="0" fillId="2" borderId="4" xfId="0" applyFill="1" applyBorder="1" applyAlignment="1">
      <alignment horizontal="right"/>
    </xf>
    <xf numFmtId="0" fontId="27" fillId="0" borderId="0" xfId="11"/>
    <xf numFmtId="0" fontId="33" fillId="10" borderId="1" xfId="0" applyFont="1" applyFill="1" applyBorder="1" applyAlignment="1">
      <alignment horizontal="center" vertical="center" wrapText="1"/>
    </xf>
    <xf numFmtId="0" fontId="93" fillId="12" borderId="1" xfId="0" applyFont="1" applyFill="1" applyBorder="1" applyAlignment="1">
      <alignment horizontal="center" vertical="center" wrapText="1"/>
    </xf>
    <xf numFmtId="0" fontId="33" fillId="11" borderId="1" xfId="0" applyFont="1" applyFill="1" applyBorder="1" applyAlignment="1">
      <alignment horizontal="center" vertical="center" wrapText="1"/>
    </xf>
    <xf numFmtId="14" fontId="33" fillId="11" borderId="1" xfId="0" applyNumberFormat="1" applyFont="1" applyFill="1" applyBorder="1" applyAlignment="1">
      <alignment horizontal="center" vertical="center" wrapText="1"/>
    </xf>
    <xf numFmtId="0" fontId="54" fillId="8" borderId="0" xfId="0" applyFont="1" applyFill="1" applyAlignment="1">
      <alignment horizontal="center" vertical="center"/>
    </xf>
    <xf numFmtId="0" fontId="54" fillId="8" borderId="0" xfId="0" applyFont="1" applyFill="1" applyAlignment="1">
      <alignment vertical="center"/>
    </xf>
    <xf numFmtId="0" fontId="54" fillId="0" borderId="0" xfId="0" applyFont="1" applyAlignment="1">
      <alignment vertical="center"/>
    </xf>
    <xf numFmtId="0" fontId="33" fillId="0" borderId="0" xfId="0" applyFont="1" applyFill="1" applyAlignment="1">
      <alignment vertical="center"/>
    </xf>
    <xf numFmtId="0" fontId="95" fillId="29" borderId="20" xfId="14" applyFont="1" applyFill="1" applyBorder="1" applyAlignment="1" applyProtection="1">
      <alignment horizontal="center" vertical="center" wrapText="1"/>
      <protection locked="0"/>
    </xf>
    <xf numFmtId="0" fontId="96" fillId="13" borderId="20" xfId="14" applyFont="1" applyFill="1" applyBorder="1" applyAlignment="1" applyProtection="1">
      <alignment horizontal="center" vertical="center" wrapText="1"/>
    </xf>
    <xf numFmtId="0" fontId="95" fillId="7" borderId="1" xfId="14" applyFont="1" applyFill="1" applyBorder="1" applyAlignment="1">
      <alignment horizontal="left" vertical="center"/>
    </xf>
    <xf numFmtId="0" fontId="91" fillId="25" borderId="14" xfId="12" applyAlignment="1">
      <alignment horizontal="center" vertical="center"/>
    </xf>
    <xf numFmtId="0" fontId="95" fillId="7" borderId="1" xfId="14" applyFont="1" applyFill="1" applyBorder="1" applyAlignment="1">
      <alignment horizontal="center" vertical="center"/>
    </xf>
    <xf numFmtId="0" fontId="30" fillId="5" borderId="0" xfId="15" applyFill="1" applyAlignment="1">
      <alignment vertical="center"/>
    </xf>
    <xf numFmtId="0" fontId="30" fillId="5" borderId="0" xfId="15" applyFill="1" applyAlignment="1">
      <alignment vertical="center" wrapText="1"/>
    </xf>
    <xf numFmtId="0" fontId="30" fillId="0" borderId="1" xfId="3" applyBorder="1" applyAlignment="1">
      <alignment vertical="center"/>
    </xf>
    <xf numFmtId="0" fontId="32" fillId="5" borderId="0" xfId="15" applyFont="1" applyFill="1" applyAlignment="1">
      <alignment vertical="center"/>
    </xf>
    <xf numFmtId="0" fontId="70" fillId="30" borderId="10" xfId="15" applyFont="1" applyFill="1" applyBorder="1" applyAlignment="1">
      <alignment vertical="center"/>
    </xf>
    <xf numFmtId="0" fontId="101" fillId="30" borderId="19" xfId="15" applyFont="1" applyFill="1" applyBorder="1" applyAlignment="1">
      <alignment vertical="center" wrapText="1"/>
    </xf>
    <xf numFmtId="0" fontId="30" fillId="5" borderId="1" xfId="15" applyFill="1" applyBorder="1" applyAlignment="1">
      <alignment vertical="center"/>
    </xf>
    <xf numFmtId="0" fontId="102" fillId="5" borderId="1" xfId="15" applyFont="1" applyFill="1" applyBorder="1" applyAlignment="1">
      <alignment horizontal="center" vertical="center"/>
    </xf>
    <xf numFmtId="0" fontId="30" fillId="5" borderId="1" xfId="15" applyFill="1" applyBorder="1" applyAlignment="1">
      <alignment vertical="center" wrapText="1"/>
    </xf>
    <xf numFmtId="0" fontId="70" fillId="31" borderId="10" xfId="15" applyFont="1" applyFill="1" applyBorder="1" applyAlignment="1">
      <alignment vertical="center"/>
    </xf>
    <xf numFmtId="0" fontId="40" fillId="31" borderId="8" xfId="15" applyFont="1" applyFill="1" applyBorder="1" applyAlignment="1">
      <alignment horizontal="center" vertical="center" wrapText="1"/>
    </xf>
    <xf numFmtId="0" fontId="101" fillId="31" borderId="19" xfId="15" applyFont="1" applyFill="1" applyBorder="1" applyAlignment="1">
      <alignment vertical="center" wrapText="1"/>
    </xf>
    <xf numFmtId="0" fontId="101" fillId="31" borderId="11" xfId="15" applyFont="1" applyFill="1" applyBorder="1" applyAlignment="1">
      <alignment vertical="center" wrapText="1"/>
    </xf>
    <xf numFmtId="0" fontId="40" fillId="30" borderId="19" xfId="15" applyFont="1" applyFill="1" applyBorder="1" applyAlignment="1">
      <alignment vertical="center" wrapText="1"/>
    </xf>
    <xf numFmtId="0" fontId="0" fillId="0" borderId="0" xfId="0" applyAlignment="1" applyProtection="1">
      <alignment vertical="center"/>
      <protection locked="0"/>
    </xf>
    <xf numFmtId="0" fontId="82" fillId="0" borderId="0" xfId="0" applyFont="1" applyAlignment="1" applyProtection="1">
      <alignment horizontal="left" vertical="center"/>
      <protection locked="0"/>
    </xf>
    <xf numFmtId="0" fontId="30" fillId="0" borderId="1" xfId="15" applyBorder="1" applyAlignment="1">
      <alignment vertical="center" wrapText="1"/>
    </xf>
    <xf numFmtId="0" fontId="109" fillId="32" borderId="21" xfId="3" applyFont="1" applyFill="1" applyBorder="1" applyAlignment="1" applyProtection="1">
      <alignment horizontal="center" vertical="center" textRotation="45" wrapText="1"/>
      <protection locked="0"/>
    </xf>
    <xf numFmtId="0" fontId="30" fillId="0" borderId="0" xfId="3"/>
    <xf numFmtId="0" fontId="30" fillId="0" borderId="1" xfId="3" applyBorder="1" applyAlignment="1" applyProtection="1">
      <alignment horizontal="center" vertical="center"/>
      <protection locked="0"/>
    </xf>
    <xf numFmtId="0" fontId="30" fillId="0" borderId="1" xfId="3" applyBorder="1" applyAlignment="1">
      <alignment vertical="center" wrapText="1"/>
    </xf>
    <xf numFmtId="0" fontId="30" fillId="0" borderId="20" xfId="3" applyBorder="1" applyAlignment="1" applyProtection="1">
      <alignment horizontal="center" vertical="center"/>
      <protection locked="0"/>
    </xf>
    <xf numFmtId="0" fontId="30" fillId="0" borderId="1" xfId="3" applyBorder="1" applyAlignment="1" applyProtection="1">
      <alignment wrapText="1"/>
      <protection locked="0"/>
    </xf>
    <xf numFmtId="0" fontId="30" fillId="0" borderId="1" xfId="3" applyBorder="1" applyAlignment="1" applyProtection="1">
      <alignment horizontal="center" vertical="center" wrapText="1"/>
      <protection locked="0"/>
    </xf>
    <xf numFmtId="0" fontId="30" fillId="0" borderId="0" xfId="3" applyAlignment="1" applyProtection="1">
      <alignment horizontal="center" vertical="center"/>
      <protection locked="0"/>
    </xf>
    <xf numFmtId="0" fontId="30" fillId="0" borderId="0" xfId="3" applyAlignment="1" applyProtection="1">
      <alignment wrapText="1"/>
      <protection locked="0"/>
    </xf>
    <xf numFmtId="0" fontId="30" fillId="0" borderId="0" xfId="3" applyAlignment="1" applyProtection="1">
      <alignment horizontal="center" vertical="center" wrapText="1"/>
      <protection locked="0"/>
    </xf>
    <xf numFmtId="0" fontId="108" fillId="0" borderId="0" xfId="3" applyFont="1" applyAlignment="1">
      <alignment textRotation="45"/>
    </xf>
    <xf numFmtId="0" fontId="30" fillId="0" borderId="28" xfId="3" applyBorder="1" applyAlignment="1">
      <alignment horizontal="center"/>
    </xf>
    <xf numFmtId="0" fontId="30" fillId="0" borderId="29" xfId="3" applyBorder="1"/>
    <xf numFmtId="0" fontId="30" fillId="0" borderId="29" xfId="3" applyBorder="1" applyAlignment="1">
      <alignment horizontal="center"/>
    </xf>
    <xf numFmtId="0" fontId="30" fillId="0" borderId="28" xfId="3" applyBorder="1"/>
    <xf numFmtId="0" fontId="30" fillId="0" borderId="0" xfId="3" applyAlignment="1">
      <alignment horizontal="center"/>
    </xf>
    <xf numFmtId="0" fontId="30" fillId="0" borderId="30" xfId="3" applyBorder="1"/>
    <xf numFmtId="0" fontId="92" fillId="33" borderId="26" xfId="28" applyBorder="1" applyAlignment="1">
      <alignment horizontal="center" vertical="center" textRotation="45" wrapText="1"/>
    </xf>
    <xf numFmtId="0" fontId="92" fillId="33" borderId="27" xfId="28" applyBorder="1" applyAlignment="1">
      <alignment horizontal="center" vertical="center" textRotation="45" wrapText="1"/>
    </xf>
    <xf numFmtId="0" fontId="92" fillId="33" borderId="21" xfId="28" applyBorder="1" applyAlignment="1" applyProtection="1">
      <alignment horizontal="center" vertical="center" textRotation="45" wrapText="1"/>
      <protection locked="0"/>
    </xf>
    <xf numFmtId="0" fontId="92" fillId="33" borderId="22" xfId="28" applyBorder="1" applyAlignment="1" applyProtection="1">
      <alignment horizontal="center" vertical="center" textRotation="45" wrapText="1"/>
      <protection locked="0"/>
    </xf>
    <xf numFmtId="0" fontId="92" fillId="33" borderId="1" xfId="28" applyBorder="1" applyAlignment="1" applyProtection="1">
      <alignment horizontal="center" vertical="center" textRotation="45" wrapText="1"/>
      <protection locked="0"/>
    </xf>
    <xf numFmtId="0" fontId="92" fillId="33" borderId="23" xfId="28" applyBorder="1" applyAlignment="1" applyProtection="1">
      <alignment horizontal="center" vertical="center" textRotation="45" wrapText="1"/>
      <protection locked="0"/>
    </xf>
    <xf numFmtId="0" fontId="92" fillId="33" borderId="24" xfId="28" applyBorder="1" applyAlignment="1" applyProtection="1">
      <alignment horizontal="center" vertical="center" textRotation="45" wrapText="1"/>
      <protection locked="0"/>
    </xf>
    <xf numFmtId="0" fontId="92" fillId="33" borderId="25" xfId="28" applyBorder="1" applyAlignment="1" applyProtection="1">
      <alignment horizontal="center" vertical="center" textRotation="45" wrapText="1"/>
      <protection locked="0"/>
    </xf>
    <xf numFmtId="0" fontId="92" fillId="33" borderId="1" xfId="28" applyBorder="1" applyAlignment="1">
      <alignment horizontal="center" vertical="center"/>
    </xf>
    <xf numFmtId="0" fontId="110" fillId="0" borderId="2" xfId="0" applyFont="1" applyBorder="1" applyAlignment="1">
      <alignment horizontal="right" vertical="center"/>
    </xf>
    <xf numFmtId="0" fontId="112" fillId="0" borderId="0" xfId="0" applyFont="1" applyBorder="1" applyAlignment="1">
      <alignment wrapText="1"/>
    </xf>
    <xf numFmtId="0" fontId="92" fillId="7" borderId="1" xfId="14" applyFont="1" applyFill="1" applyBorder="1" applyAlignment="1">
      <alignment horizontal="center" vertical="center"/>
    </xf>
    <xf numFmtId="0" fontId="113" fillId="8" borderId="0" xfId="31" applyFill="1" applyAlignment="1">
      <alignment horizontal="center" wrapText="1"/>
    </xf>
    <xf numFmtId="0" fontId="33" fillId="3" borderId="12" xfId="0" applyFont="1" applyFill="1" applyBorder="1" applyAlignment="1">
      <alignment horizontal="center" vertical="center" wrapText="1"/>
    </xf>
    <xf numFmtId="0" fontId="33" fillId="3" borderId="16"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62" fillId="6" borderId="16" xfId="1" applyFont="1" applyBorder="1" applyAlignment="1">
      <alignment horizontal="center" vertical="center"/>
    </xf>
    <xf numFmtId="0" fontId="62" fillId="6" borderId="1" xfId="1" applyFont="1" applyBorder="1" applyAlignment="1">
      <alignment horizontal="center" vertical="center"/>
    </xf>
    <xf numFmtId="0" fontId="31" fillId="2" borderId="1" xfId="0" applyFont="1" applyFill="1" applyBorder="1" applyAlignment="1">
      <alignment horizontal="center"/>
    </xf>
    <xf numFmtId="0" fontId="70" fillId="35" borderId="12" xfId="15" applyFont="1" applyFill="1" applyBorder="1" applyAlignment="1">
      <alignment horizontal="center" vertical="center" textRotation="45" wrapText="1"/>
    </xf>
    <xf numFmtId="0" fontId="99" fillId="35" borderId="12" xfId="15" applyFont="1" applyFill="1" applyBorder="1" applyAlignment="1">
      <alignment horizontal="center" vertical="center" wrapText="1"/>
    </xf>
    <xf numFmtId="0" fontId="85" fillId="35" borderId="1" xfId="15" applyFont="1" applyFill="1" applyBorder="1" applyAlignment="1">
      <alignment horizontal="center" vertical="center" textRotation="45" wrapText="1"/>
    </xf>
    <xf numFmtId="0" fontId="85" fillId="35" borderId="1" xfId="15" applyFont="1" applyFill="1" applyBorder="1" applyAlignment="1">
      <alignment horizontal="center" vertical="center" wrapText="1"/>
    </xf>
    <xf numFmtId="0" fontId="70" fillId="35" borderId="13" xfId="15" applyFont="1" applyFill="1" applyBorder="1" applyAlignment="1">
      <alignment horizontal="center" vertical="center"/>
    </xf>
    <xf numFmtId="0" fontId="100" fillId="35" borderId="13" xfId="15" applyFont="1" applyFill="1" applyBorder="1" applyAlignment="1">
      <alignment horizontal="center" vertical="center" wrapText="1"/>
    </xf>
    <xf numFmtId="9" fontId="114" fillId="6" borderId="14" xfId="1" applyNumberFormat="1" applyFont="1" applyAlignment="1">
      <alignment horizontal="center" vertical="center" wrapText="1"/>
    </xf>
    <xf numFmtId="0" fontId="70" fillId="35" borderId="7" xfId="15" applyFont="1" applyFill="1" applyBorder="1" applyAlignment="1">
      <alignment horizontal="center" vertical="center"/>
    </xf>
    <xf numFmtId="0" fontId="103" fillId="35" borderId="8" xfId="15" applyFont="1" applyFill="1" applyBorder="1" applyAlignment="1">
      <alignment horizontal="center" vertical="center" wrapText="1"/>
    </xf>
    <xf numFmtId="0" fontId="100" fillId="35" borderId="8" xfId="15" applyFont="1" applyFill="1" applyBorder="1" applyAlignment="1">
      <alignment horizontal="center" vertical="center" wrapText="1"/>
    </xf>
    <xf numFmtId="0" fontId="100"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0" fillId="15" borderId="0" xfId="0" applyFont="1" applyFill="1" applyAlignment="1">
      <alignment horizontal="center" wrapText="1"/>
    </xf>
    <xf numFmtId="0" fontId="52" fillId="15" borderId="0" xfId="0" applyFont="1" applyFill="1" applyAlignment="1">
      <alignment horizontal="center" wrapText="1"/>
    </xf>
    <xf numFmtId="0" fontId="40" fillId="7" borderId="0" xfId="0" applyFont="1" applyFill="1" applyAlignment="1">
      <alignment horizontal="center" wrapText="1"/>
    </xf>
    <xf numFmtId="0" fontId="115" fillId="7" borderId="0" xfId="0" applyFont="1" applyFill="1" applyAlignment="1">
      <alignment horizontal="center" vertical="center" wrapText="1"/>
    </xf>
    <xf numFmtId="0" fontId="95" fillId="29" borderId="12" xfId="35" applyFont="1" applyFill="1" applyBorder="1" applyAlignment="1">
      <alignment horizontal="center" vertical="center" wrapText="1"/>
    </xf>
    <xf numFmtId="0" fontId="40" fillId="7" borderId="0" xfId="3" applyFont="1" applyFill="1" applyAlignment="1">
      <alignment horizontal="center" wrapText="1"/>
    </xf>
    <xf numFmtId="0" fontId="115" fillId="7" borderId="0" xfId="3" applyFont="1" applyFill="1" applyAlignment="1">
      <alignment horizontal="center" vertical="center" wrapText="1"/>
    </xf>
    <xf numFmtId="0" fontId="27" fillId="0" borderId="0" xfId="11" applyFill="1" applyBorder="1"/>
    <xf numFmtId="0" fontId="62" fillId="6" borderId="31" xfId="1" applyBorder="1"/>
    <xf numFmtId="0" fontId="0" fillId="6" borderId="14" xfId="1" applyFont="1"/>
    <xf numFmtId="14" fontId="27" fillId="0" borderId="0" xfId="11" applyNumberFormat="1"/>
    <xf numFmtId="0" fontId="62" fillId="6" borderId="31" xfId="1" applyNumberFormat="1" applyBorder="1"/>
    <xf numFmtId="0" fontId="7" fillId="0" borderId="0" xfId="11" applyFont="1" applyFill="1" applyBorder="1"/>
    <xf numFmtId="0" fontId="30" fillId="0" borderId="1" xfId="0" applyFont="1" applyBorder="1" applyAlignment="1">
      <alignment vertical="center"/>
    </xf>
    <xf numFmtId="0" fontId="6" fillId="0" borderId="0" xfId="11" applyFont="1"/>
    <xf numFmtId="0" fontId="6" fillId="0" borderId="0" xfId="11" applyFont="1" applyFill="1" applyBorder="1"/>
    <xf numFmtId="0" fontId="0" fillId="13" borderId="1" xfId="0" applyFill="1" applyBorder="1" applyAlignment="1">
      <alignment horizontal="center" vertical="center" wrapText="1"/>
    </xf>
    <xf numFmtId="0" fontId="30" fillId="13" borderId="1" xfId="0" applyFont="1" applyFill="1" applyBorder="1" applyAlignment="1">
      <alignment vertical="center" wrapText="1"/>
    </xf>
    <xf numFmtId="0" fontId="0" fillId="13" borderId="1" xfId="0" applyFill="1" applyBorder="1" applyAlignment="1">
      <alignment vertical="center" wrapText="1"/>
    </xf>
    <xf numFmtId="14" fontId="30" fillId="13" borderId="1" xfId="0" applyNumberFormat="1" applyFont="1" applyFill="1" applyBorder="1" applyAlignment="1">
      <alignment horizontal="center" vertical="center" wrapText="1"/>
    </xf>
    <xf numFmtId="0" fontId="0" fillId="37" borderId="1" xfId="0" applyFill="1" applyBorder="1" applyAlignment="1">
      <alignment horizontal="center" vertical="center"/>
    </xf>
    <xf numFmtId="49" fontId="30" fillId="0" borderId="1" xfId="0" applyNumberFormat="1" applyFont="1" applyFill="1" applyBorder="1" applyAlignment="1">
      <alignment horizontal="center" vertical="center" wrapText="1"/>
    </xf>
    <xf numFmtId="0" fontId="30"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62" fillId="6" borderId="14" xfId="1" applyNumberFormat="1" applyBorder="1"/>
    <xf numFmtId="49" fontId="0" fillId="0" borderId="1" xfId="0" applyNumberFormat="1" applyBorder="1" applyAlignment="1">
      <alignment horizontal="center" vertical="center" wrapText="1"/>
    </xf>
    <xf numFmtId="49" fontId="30" fillId="0" borderId="1" xfId="0" applyNumberFormat="1" applyFont="1" applyBorder="1" applyAlignment="1">
      <alignment horizontal="center" vertical="center" wrapText="1"/>
    </xf>
    <xf numFmtId="14" fontId="27" fillId="0" borderId="0" xfId="11" applyNumberFormat="1" applyFill="1" applyBorder="1"/>
    <xf numFmtId="0" fontId="5" fillId="0" borderId="0" xfId="11" applyFont="1" applyFill="1" applyBorder="1"/>
    <xf numFmtId="0" fontId="30" fillId="0" borderId="1" xfId="0" applyFont="1" applyBorder="1" applyAlignment="1">
      <alignment horizontal="left" vertical="center" wrapText="1"/>
    </xf>
    <xf numFmtId="14" fontId="0" fillId="0" borderId="1" xfId="0" applyNumberFormat="1" applyBorder="1" applyAlignment="1">
      <alignment horizontal="left" vertical="center" wrapText="1"/>
    </xf>
    <xf numFmtId="14" fontId="30" fillId="0" borderId="1" xfId="0" applyNumberFormat="1" applyFont="1" applyBorder="1" applyAlignment="1">
      <alignment horizontal="left" vertical="center" wrapText="1"/>
    </xf>
    <xf numFmtId="0" fontId="4" fillId="0" borderId="0" xfId="11" applyFont="1" applyFill="1" applyBorder="1"/>
    <xf numFmtId="0" fontId="3" fillId="0" borderId="0" xfId="11" applyFont="1" applyFill="1" applyBorder="1"/>
    <xf numFmtId="14" fontId="3" fillId="0" borderId="32" xfId="11" applyNumberFormat="1" applyFont="1" applyBorder="1" applyAlignment="1"/>
    <xf numFmtId="0" fontId="2" fillId="0" borderId="0" xfId="11" applyFont="1" applyFill="1" applyBorder="1"/>
    <xf numFmtId="0" fontId="30" fillId="38" borderId="1" xfId="0" applyFont="1" applyFill="1" applyBorder="1" applyAlignment="1">
      <alignment horizontal="center" vertical="center" wrapText="1"/>
    </xf>
    <xf numFmtId="0" fontId="30" fillId="38" borderId="11" xfId="0" applyFont="1" applyFill="1" applyBorder="1" applyAlignment="1">
      <alignment horizontal="center" vertical="center" wrapText="1"/>
    </xf>
    <xf numFmtId="0" fontId="30" fillId="38" borderId="11" xfId="0" applyFont="1" applyFill="1" applyBorder="1" applyAlignment="1">
      <alignment vertical="center" wrapText="1"/>
    </xf>
    <xf numFmtId="14" fontId="30" fillId="38" borderId="11" xfId="0" applyNumberFormat="1" applyFont="1" applyFill="1" applyBorder="1" applyAlignment="1">
      <alignment horizontal="center" vertical="center" wrapText="1"/>
    </xf>
    <xf numFmtId="0" fontId="30" fillId="38" borderId="11" xfId="0" applyFont="1" applyFill="1" applyBorder="1" applyAlignment="1">
      <alignment horizontal="center" vertical="center"/>
    </xf>
    <xf numFmtId="0" fontId="30" fillId="0" borderId="11" xfId="0" applyFont="1" applyBorder="1" applyAlignment="1">
      <alignment horizontal="center" vertical="center"/>
    </xf>
    <xf numFmtId="0" fontId="30" fillId="39" borderId="11" xfId="0" applyFont="1" applyFill="1" applyBorder="1" applyAlignment="1">
      <alignment horizontal="center" vertical="center"/>
    </xf>
    <xf numFmtId="0" fontId="116" fillId="0" borderId="33" xfId="0" applyFont="1" applyBorder="1"/>
    <xf numFmtId="0" fontId="116" fillId="0" borderId="34" xfId="0" applyFont="1" applyBorder="1"/>
    <xf numFmtId="14" fontId="116" fillId="0" borderId="34" xfId="0" applyNumberFormat="1" applyFont="1" applyBorder="1" applyAlignment="1">
      <alignment horizontal="left"/>
    </xf>
    <xf numFmtId="0" fontId="1" fillId="0" borderId="35" xfId="11" applyNumberFormat="1" applyFont="1" applyBorder="1" applyAlignment="1"/>
    <xf numFmtId="0" fontId="1" fillId="0" borderId="0" xfId="11" applyFont="1" applyFill="1" applyBorder="1"/>
    <xf numFmtId="0" fontId="1" fillId="0" borderId="36" xfId="11" applyNumberFormat="1" applyFont="1" applyBorder="1" applyAlignment="1"/>
    <xf numFmtId="14" fontId="1" fillId="0" borderId="36" xfId="11" applyNumberFormat="1" applyFont="1" applyBorder="1" applyAlignment="1"/>
    <xf numFmtId="0" fontId="62" fillId="6" borderId="14" xfId="1" applyNumberFormat="1" applyFont="1" applyFill="1" applyBorder="1"/>
    <xf numFmtId="0" fontId="1" fillId="0" borderId="37" xfId="11" applyNumberFormat="1" applyFont="1" applyBorder="1" applyAlignment="1"/>
    <xf numFmtId="0" fontId="35" fillId="0" borderId="7" xfId="3" applyFont="1" applyBorder="1" applyAlignment="1">
      <alignment horizontal="left" vertical="center" shrinkToFit="1"/>
    </xf>
    <xf numFmtId="0" fontId="35" fillId="0" borderId="8" xfId="3" applyFont="1" applyBorder="1" applyAlignment="1">
      <alignment horizontal="left" vertical="center" shrinkToFit="1"/>
    </xf>
    <xf numFmtId="0" fontId="35" fillId="0" borderId="9" xfId="3" applyFont="1" applyBorder="1" applyAlignment="1">
      <alignment horizontal="left" vertical="center" shrinkToFit="1"/>
    </xf>
    <xf numFmtId="0" fontId="35" fillId="0" borderId="7" xfId="3" applyFont="1" applyBorder="1" applyAlignment="1">
      <alignment horizontal="left" vertical="center" wrapText="1"/>
    </xf>
    <xf numFmtId="0" fontId="35" fillId="0" borderId="8" xfId="3" applyFont="1" applyBorder="1" applyAlignment="1">
      <alignment horizontal="left" vertical="center" wrapText="1"/>
    </xf>
    <xf numFmtId="0" fontId="35" fillId="0" borderId="9" xfId="3" applyFont="1" applyBorder="1" applyAlignment="1">
      <alignment horizontal="left" vertical="center" wrapText="1"/>
    </xf>
    <xf numFmtId="0" fontId="68" fillId="0" borderId="4" xfId="0" applyFont="1" applyBorder="1" applyAlignment="1">
      <alignment horizontal="left" vertical="center" shrinkToFit="1"/>
    </xf>
    <xf numFmtId="0" fontId="68" fillId="0" borderId="5" xfId="0" applyFont="1" applyBorder="1" applyAlignment="1">
      <alignment horizontal="left" vertical="center" shrinkToFit="1"/>
    </xf>
    <xf numFmtId="0" fontId="68" fillId="0" borderId="6" xfId="0" applyFont="1" applyBorder="1" applyAlignment="1">
      <alignment horizontal="left" vertical="center" shrinkToFit="1"/>
    </xf>
    <xf numFmtId="0" fontId="68" fillId="0" borderId="4" xfId="3" applyFont="1" applyBorder="1" applyAlignment="1">
      <alignment horizontal="left" vertical="center" shrinkToFit="1"/>
    </xf>
    <xf numFmtId="0" fontId="68" fillId="0" borderId="5" xfId="3" applyFont="1" applyBorder="1" applyAlignment="1">
      <alignment horizontal="left" vertical="center" shrinkToFit="1"/>
    </xf>
    <xf numFmtId="0" fontId="68" fillId="0" borderId="6" xfId="3" applyFont="1" applyBorder="1" applyAlignment="1">
      <alignment horizontal="left" vertical="center" shrinkToFit="1"/>
    </xf>
    <xf numFmtId="0" fontId="79" fillId="0" borderId="0" xfId="3" applyFont="1" applyAlignment="1" applyProtection="1">
      <alignment horizontal="center" vertical="center" wrapText="1"/>
      <protection locked="0"/>
    </xf>
    <xf numFmtId="0" fontId="30" fillId="0" borderId="0" xfId="3" applyAlignment="1">
      <alignment vertical="center" wrapText="1"/>
    </xf>
    <xf numFmtId="0" fontId="70" fillId="16" borderId="2" xfId="3" applyFont="1" applyFill="1" applyBorder="1" applyAlignment="1" applyProtection="1">
      <alignment horizontal="center" vertical="center" shrinkToFit="1"/>
      <protection locked="0"/>
    </xf>
    <xf numFmtId="0" fontId="70" fillId="16" borderId="0" xfId="3" applyFont="1" applyFill="1" applyAlignment="1" applyProtection="1">
      <alignment horizontal="center" vertical="center" shrinkToFit="1"/>
      <protection locked="0"/>
    </xf>
    <xf numFmtId="0" fontId="70" fillId="16" borderId="3" xfId="3" applyFont="1" applyFill="1" applyBorder="1" applyAlignment="1" applyProtection="1">
      <alignment horizontal="center" vertical="center" shrinkToFit="1"/>
      <protection locked="0"/>
    </xf>
    <xf numFmtId="0" fontId="30" fillId="0" borderId="4" xfId="3" applyBorder="1" applyAlignment="1" applyProtection="1">
      <alignment horizontal="right" vertical="top" wrapText="1" shrinkToFit="1"/>
      <protection locked="0"/>
    </xf>
    <xf numFmtId="0" fontId="30" fillId="0" borderId="5" xfId="3" applyBorder="1" applyAlignment="1" applyProtection="1">
      <alignment horizontal="right" vertical="top" wrapText="1" shrinkToFit="1"/>
      <protection locked="0"/>
    </xf>
    <xf numFmtId="0" fontId="71" fillId="0" borderId="5" xfId="0" applyFont="1" applyBorder="1" applyAlignment="1" applyProtection="1">
      <alignment horizontal="left" vertical="top" wrapText="1" shrinkToFit="1"/>
      <protection locked="0"/>
    </xf>
    <xf numFmtId="0" fontId="71" fillId="0" borderId="6" xfId="0" applyFont="1" applyBorder="1" applyAlignment="1" applyProtection="1">
      <alignment horizontal="left" vertical="top" wrapText="1" shrinkToFit="1"/>
      <protection locked="0"/>
    </xf>
    <xf numFmtId="0" fontId="32" fillId="0" borderId="5" xfId="3" applyFont="1" applyBorder="1" applyAlignment="1" applyProtection="1">
      <alignment horizontal="left" vertical="top" wrapText="1" shrinkToFit="1"/>
      <protection locked="0"/>
    </xf>
    <xf numFmtId="0" fontId="73" fillId="0" borderId="5" xfId="3" applyFont="1" applyBorder="1" applyAlignment="1" applyProtection="1">
      <alignment horizontal="left" vertical="top" shrinkToFit="1"/>
      <protection locked="0"/>
    </xf>
    <xf numFmtId="0" fontId="73" fillId="0" borderId="6" xfId="3" applyFont="1" applyBorder="1" applyAlignment="1" applyProtection="1">
      <alignment horizontal="left" vertical="top" shrinkToFit="1"/>
      <protection locked="0"/>
    </xf>
    <xf numFmtId="0" fontId="70" fillId="16" borderId="7" xfId="3" applyFont="1" applyFill="1" applyBorder="1" applyAlignment="1" applyProtection="1">
      <alignment horizontal="center" vertical="center" shrinkToFit="1"/>
      <protection locked="0"/>
    </xf>
    <xf numFmtId="0" fontId="70" fillId="16" borderId="8" xfId="3" applyFont="1" applyFill="1" applyBorder="1" applyAlignment="1" applyProtection="1">
      <alignment horizontal="center" vertical="center" shrinkToFit="1"/>
      <protection locked="0"/>
    </xf>
    <xf numFmtId="0" fontId="70" fillId="16" borderId="9" xfId="3" applyFont="1" applyFill="1" applyBorder="1" applyAlignment="1" applyProtection="1">
      <alignment horizontal="center" vertical="center" shrinkToFit="1"/>
      <protection locked="0"/>
    </xf>
    <xf numFmtId="0" fontId="30" fillId="0" borderId="4" xfId="3" applyBorder="1" applyAlignment="1" applyProtection="1">
      <alignment horizontal="center" vertical="top" wrapText="1" shrinkToFit="1"/>
      <protection locked="0"/>
    </xf>
    <xf numFmtId="0" fontId="30" fillId="0" borderId="5" xfId="3" applyBorder="1" applyAlignment="1" applyProtection="1">
      <alignment horizontal="center" vertical="top" wrapText="1" shrinkToFit="1"/>
      <protection locked="0"/>
    </xf>
    <xf numFmtId="0" fontId="30" fillId="0" borderId="6" xfId="3" applyBorder="1" applyAlignment="1" applyProtection="1">
      <alignment horizontal="center" vertical="top" wrapText="1" shrinkToFit="1"/>
      <protection locked="0"/>
    </xf>
    <xf numFmtId="0" fontId="70" fillId="16" borderId="8" xfId="3" applyFont="1" applyFill="1" applyBorder="1" applyAlignment="1" applyProtection="1">
      <alignment horizontal="center" vertical="center" wrapText="1"/>
      <protection locked="0"/>
    </xf>
    <xf numFmtId="0" fontId="70" fillId="16" borderId="0" xfId="3" applyFont="1" applyFill="1" applyAlignment="1" applyProtection="1">
      <alignment horizontal="center" vertical="center" wrapText="1"/>
      <protection locked="0"/>
    </xf>
    <xf numFmtId="0" fontId="30" fillId="0" borderId="7" xfId="3" applyBorder="1" applyAlignment="1" applyProtection="1">
      <alignment horizontal="left" vertical="top"/>
      <protection locked="0"/>
    </xf>
    <xf numFmtId="0" fontId="30" fillId="0" borderId="8" xfId="3" applyBorder="1" applyAlignment="1" applyProtection="1">
      <alignment horizontal="left" vertical="top"/>
      <protection locked="0"/>
    </xf>
    <xf numFmtId="0" fontId="30" fillId="0" borderId="9" xfId="3" applyBorder="1" applyAlignment="1" applyProtection="1">
      <alignment horizontal="left" vertical="top"/>
      <protection locked="0"/>
    </xf>
    <xf numFmtId="0" fontId="30" fillId="0" borderId="4" xfId="3" applyBorder="1" applyAlignment="1" applyProtection="1">
      <alignment horizontal="left" vertical="top"/>
      <protection locked="0"/>
    </xf>
    <xf numFmtId="0" fontId="30" fillId="0" borderId="5" xfId="3" applyBorder="1" applyAlignment="1" applyProtection="1">
      <alignment horizontal="left" vertical="top"/>
      <protection locked="0"/>
    </xf>
    <xf numFmtId="0" fontId="30" fillId="0" borderId="6" xfId="3" applyBorder="1" applyAlignment="1" applyProtection="1">
      <alignment horizontal="left" vertical="top"/>
      <protection locked="0"/>
    </xf>
    <xf numFmtId="0" fontId="70" fillId="16" borderId="2" xfId="3" applyFont="1" applyFill="1" applyBorder="1" applyAlignment="1" applyProtection="1">
      <alignment horizontal="center" vertical="center" wrapText="1" shrinkToFit="1"/>
      <protection locked="0"/>
    </xf>
    <xf numFmtId="0" fontId="70" fillId="16" borderId="0" xfId="3" applyFont="1" applyFill="1" applyAlignment="1" applyProtection="1">
      <alignment horizontal="center" vertical="center" wrapText="1" shrinkToFit="1"/>
      <protection locked="0"/>
    </xf>
    <xf numFmtId="0" fontId="91" fillId="25" borderId="14" xfId="12" applyAlignment="1" applyProtection="1">
      <alignment horizontal="center" vertical="center"/>
      <protection locked="0"/>
    </xf>
    <xf numFmtId="14" fontId="30" fillId="0" borderId="10" xfId="3" applyNumberFormat="1" applyBorder="1" applyAlignment="1" applyProtection="1">
      <alignment horizontal="left" vertical="center" wrapText="1"/>
      <protection locked="0"/>
    </xf>
    <xf numFmtId="14" fontId="30" fillId="0" borderId="19" xfId="3" applyNumberFormat="1" applyBorder="1" applyAlignment="1" applyProtection="1">
      <alignment horizontal="left" vertical="center" wrapText="1"/>
      <protection locked="0"/>
    </xf>
    <xf numFmtId="14" fontId="30" fillId="0" borderId="11" xfId="3" applyNumberFormat="1" applyBorder="1" applyAlignment="1" applyProtection="1">
      <alignment horizontal="left" vertical="center" wrapText="1"/>
      <protection locked="0"/>
    </xf>
    <xf numFmtId="49" fontId="30" fillId="0" borderId="1" xfId="3" applyNumberFormat="1" applyBorder="1" applyAlignment="1" applyProtection="1">
      <alignment horizontal="left" vertical="center" wrapText="1"/>
      <protection locked="0"/>
    </xf>
    <xf numFmtId="49" fontId="30" fillId="0" borderId="1" xfId="3" applyNumberFormat="1" applyBorder="1" applyAlignment="1">
      <alignment horizontal="left" vertical="center" wrapText="1"/>
    </xf>
    <xf numFmtId="49" fontId="30" fillId="0" borderId="1" xfId="3" applyNumberFormat="1" applyBorder="1" applyAlignment="1" applyProtection="1">
      <alignment horizontal="center" vertical="center" wrapText="1"/>
      <protection locked="0"/>
    </xf>
    <xf numFmtId="49" fontId="30" fillId="0" borderId="1" xfId="3" applyNumberFormat="1" applyBorder="1" applyAlignment="1">
      <alignment horizontal="center" vertical="center" wrapText="1"/>
    </xf>
    <xf numFmtId="0" fontId="105" fillId="2" borderId="10" xfId="7" applyFont="1" applyFill="1" applyBorder="1" applyAlignment="1">
      <alignment horizontal="center" vertical="center"/>
    </xf>
    <xf numFmtId="0" fontId="105" fillId="2" borderId="19" xfId="7" applyFont="1" applyFill="1" applyBorder="1" applyAlignment="1">
      <alignment horizontal="center" vertical="center"/>
    </xf>
    <xf numFmtId="0" fontId="105" fillId="2" borderId="11" xfId="7" applyFont="1" applyFill="1" applyBorder="1" applyAlignment="1">
      <alignment horizontal="center" vertical="center"/>
    </xf>
    <xf numFmtId="0" fontId="37" fillId="2" borderId="10" xfId="7" applyFill="1" applyBorder="1" applyAlignment="1">
      <alignment horizontal="justify" vertical="center" wrapText="1"/>
    </xf>
    <xf numFmtId="0" fontId="37" fillId="2" borderId="19" xfId="7" applyFill="1" applyBorder="1" applyAlignment="1">
      <alignment horizontal="justify" vertical="center" wrapText="1"/>
    </xf>
    <xf numFmtId="0" fontId="37" fillId="2" borderId="11" xfId="7" applyFill="1" applyBorder="1" applyAlignment="1">
      <alignment horizontal="justify" vertical="center" wrapText="1"/>
    </xf>
    <xf numFmtId="0" fontId="49" fillId="18" borderId="1" xfId="3" applyFont="1" applyFill="1" applyBorder="1" applyAlignment="1" applyProtection="1">
      <alignment horizontal="center" vertical="center" wrapText="1"/>
      <protection locked="0"/>
    </xf>
    <xf numFmtId="0" fontId="30" fillId="0" borderId="1" xfId="3" applyBorder="1" applyAlignment="1">
      <alignment horizontal="center" vertical="center" wrapText="1"/>
    </xf>
    <xf numFmtId="49" fontId="30" fillId="0" borderId="1" xfId="3" applyNumberFormat="1" applyBorder="1" applyAlignment="1" applyProtection="1">
      <alignment vertical="center" wrapText="1"/>
      <protection locked="0"/>
    </xf>
    <xf numFmtId="0" fontId="30" fillId="0" borderId="1" xfId="3" applyBorder="1" applyAlignment="1">
      <alignment horizontal="left" vertical="center" wrapText="1"/>
    </xf>
    <xf numFmtId="49" fontId="30" fillId="0" borderId="10" xfId="3" applyNumberFormat="1" applyBorder="1" applyAlignment="1" applyProtection="1">
      <alignment horizontal="center" vertical="center" wrapText="1"/>
      <protection locked="0"/>
    </xf>
    <xf numFmtId="49" fontId="30" fillId="0" borderId="19" xfId="3" applyNumberFormat="1" applyBorder="1" applyAlignment="1" applyProtection="1">
      <alignment horizontal="center" vertical="center" wrapText="1"/>
      <protection locked="0"/>
    </xf>
    <xf numFmtId="49" fontId="30" fillId="0" borderId="11" xfId="3" applyNumberFormat="1" applyBorder="1" applyAlignment="1" applyProtection="1">
      <alignment horizontal="center" vertical="center" wrapText="1"/>
      <protection locked="0"/>
    </xf>
    <xf numFmtId="49" fontId="30" fillId="23" borderId="1" xfId="3" applyNumberFormat="1" applyFill="1" applyBorder="1" applyAlignment="1" applyProtection="1">
      <alignment horizontal="center" vertical="center" wrapText="1"/>
      <protection locked="0"/>
    </xf>
    <xf numFmtId="49" fontId="30" fillId="34" borderId="1" xfId="3" applyNumberFormat="1" applyFont="1" applyFill="1" applyBorder="1" applyAlignment="1" applyProtection="1">
      <alignment horizontal="center" vertical="center" wrapText="1"/>
      <protection locked="0"/>
    </xf>
    <xf numFmtId="0" fontId="35" fillId="17" borderId="7" xfId="3" applyFont="1" applyFill="1" applyBorder="1" applyAlignment="1">
      <alignment horizontal="left" vertical="center" wrapText="1"/>
    </xf>
    <xf numFmtId="0" fontId="35" fillId="17" borderId="8" xfId="3" applyFont="1" applyFill="1" applyBorder="1" applyAlignment="1">
      <alignment horizontal="left" vertical="center" wrapText="1"/>
    </xf>
    <xf numFmtId="0" fontId="35" fillId="17" borderId="9" xfId="3" applyFont="1" applyFill="1" applyBorder="1" applyAlignment="1">
      <alignment horizontal="left" vertical="center" wrapText="1"/>
    </xf>
    <xf numFmtId="0" fontId="68" fillId="17" borderId="4" xfId="3" applyFont="1" applyFill="1" applyBorder="1" applyAlignment="1">
      <alignment horizontal="left" vertical="center" shrinkToFit="1"/>
    </xf>
    <xf numFmtId="0" fontId="68" fillId="17" borderId="5" xfId="3" applyFont="1" applyFill="1" applyBorder="1" applyAlignment="1">
      <alignment horizontal="left" vertical="center" shrinkToFit="1"/>
    </xf>
    <xf numFmtId="0" fontId="68" fillId="17" borderId="6" xfId="3" applyFont="1" applyFill="1" applyBorder="1" applyAlignment="1">
      <alignment horizontal="left" vertical="center" shrinkToFit="1"/>
    </xf>
    <xf numFmtId="0" fontId="35" fillId="17" borderId="7" xfId="3" applyFont="1" applyFill="1" applyBorder="1" applyAlignment="1">
      <alignment horizontal="left" vertical="center" shrinkToFit="1"/>
    </xf>
    <xf numFmtId="0" fontId="35" fillId="17" borderId="8" xfId="3" applyFont="1" applyFill="1" applyBorder="1" applyAlignment="1">
      <alignment horizontal="left" vertical="center" shrinkToFit="1"/>
    </xf>
    <xf numFmtId="0" fontId="35" fillId="17" borderId="9" xfId="3" applyFont="1" applyFill="1" applyBorder="1" applyAlignment="1">
      <alignment horizontal="left" vertical="center" shrinkToFit="1"/>
    </xf>
    <xf numFmtId="0" fontId="69" fillId="17" borderId="4" xfId="3" applyFont="1" applyFill="1" applyBorder="1" applyAlignment="1">
      <alignment horizontal="left" vertical="center" shrinkToFit="1"/>
    </xf>
    <xf numFmtId="0" fontId="69" fillId="17" borderId="5" xfId="3" applyFont="1" applyFill="1" applyBorder="1" applyAlignment="1">
      <alignment horizontal="left" vertical="center" shrinkToFit="1"/>
    </xf>
    <xf numFmtId="0" fontId="69" fillId="17" borderId="6" xfId="3" applyFont="1" applyFill="1" applyBorder="1" applyAlignment="1">
      <alignment horizontal="left" vertical="center" shrinkToFit="1"/>
    </xf>
    <xf numFmtId="0" fontId="30" fillId="18" borderId="1" xfId="3" applyFill="1" applyBorder="1" applyAlignment="1" applyProtection="1">
      <alignment horizontal="center" vertical="center" wrapText="1"/>
      <protection locked="0"/>
    </xf>
    <xf numFmtId="49" fontId="30" fillId="19" borderId="1" xfId="3" applyNumberFormat="1" applyFill="1" applyBorder="1" applyAlignment="1" applyProtection="1">
      <alignment horizontal="center" vertical="center" wrapText="1"/>
      <protection locked="0"/>
    </xf>
    <xf numFmtId="49" fontId="30" fillId="22" borderId="1" xfId="3" applyNumberFormat="1" applyFill="1" applyBorder="1" applyAlignment="1" applyProtection="1">
      <alignment horizontal="center" vertical="center" wrapText="1"/>
      <protection locked="0"/>
    </xf>
    <xf numFmtId="49" fontId="65" fillId="24" borderId="1" xfId="3" applyNumberFormat="1" applyFont="1" applyFill="1" applyBorder="1" applyAlignment="1" applyProtection="1">
      <alignment horizontal="center" vertical="center" wrapText="1"/>
      <protection locked="0"/>
    </xf>
    <xf numFmtId="0" fontId="85" fillId="20" borderId="1" xfId="3" applyFont="1" applyFill="1" applyBorder="1" applyAlignment="1">
      <alignment horizontal="center" vertical="center" wrapText="1"/>
    </xf>
    <xf numFmtId="0" fontId="30" fillId="0" borderId="10" xfId="3" applyBorder="1" applyAlignment="1">
      <alignment horizontal="left" vertical="center" wrapText="1"/>
    </xf>
    <xf numFmtId="0" fontId="30" fillId="0" borderId="19" xfId="3" applyBorder="1" applyAlignment="1">
      <alignment horizontal="left" vertical="center" wrapText="1"/>
    </xf>
    <xf numFmtId="0" fontId="30" fillId="0" borderId="11" xfId="3" applyBorder="1" applyAlignment="1">
      <alignment horizontal="left" vertical="center" wrapText="1"/>
    </xf>
    <xf numFmtId="0" fontId="63" fillId="0" borderId="10" xfId="2" applyBorder="1" applyAlignment="1">
      <alignment horizontal="left" vertical="center" wrapText="1"/>
    </xf>
    <xf numFmtId="0" fontId="31" fillId="21" borderId="2" xfId="0" applyFont="1" applyFill="1" applyBorder="1" applyAlignment="1">
      <alignment horizontal="center" vertical="top" textRotation="45"/>
    </xf>
    <xf numFmtId="0" fontId="31" fillId="9" borderId="2" xfId="0" applyFont="1" applyFill="1" applyBorder="1" applyAlignment="1">
      <alignment horizontal="center" vertical="center" textRotation="45"/>
    </xf>
    <xf numFmtId="0" fontId="38" fillId="3" borderId="7" xfId="7" applyFont="1" applyFill="1" applyBorder="1" applyAlignment="1">
      <alignment horizontal="center" vertical="distributed"/>
    </xf>
    <xf numFmtId="0" fontId="38" fillId="3" borderId="8" xfId="7" applyFont="1" applyFill="1" applyBorder="1" applyAlignment="1">
      <alignment horizontal="center" vertical="distributed"/>
    </xf>
    <xf numFmtId="0" fontId="38" fillId="3" borderId="9" xfId="7" applyFont="1" applyFill="1" applyBorder="1" applyAlignment="1">
      <alignment horizontal="center" vertical="distributed"/>
    </xf>
    <xf numFmtId="0" fontId="31" fillId="3" borderId="7" xfId="0" applyFont="1" applyFill="1" applyBorder="1" applyAlignment="1">
      <alignment horizontal="center" wrapText="1"/>
    </xf>
    <xf numFmtId="0" fontId="31" fillId="3" borderId="8" xfId="0" applyFont="1" applyFill="1" applyBorder="1" applyAlignment="1">
      <alignment horizontal="center" wrapText="1"/>
    </xf>
    <xf numFmtId="0" fontId="31" fillId="3" borderId="9" xfId="0" applyFont="1" applyFill="1" applyBorder="1" applyAlignment="1">
      <alignment horizontal="center" wrapText="1"/>
    </xf>
    <xf numFmtId="0" fontId="30" fillId="2" borderId="10" xfId="0" applyFont="1" applyFill="1" applyBorder="1" applyAlignment="1">
      <alignment horizontal="left" vertical="center" wrapText="1" shrinkToFit="1"/>
    </xf>
    <xf numFmtId="0" fontId="30" fillId="2" borderId="11" xfId="0" applyFont="1" applyFill="1" applyBorder="1" applyAlignment="1">
      <alignment horizontal="left" vertical="center" wrapText="1" shrinkToFit="1"/>
    </xf>
    <xf numFmtId="0" fontId="94" fillId="28" borderId="4" xfId="13" applyFont="1" applyFill="1" applyBorder="1" applyAlignment="1" applyProtection="1">
      <alignment horizontal="center" vertical="center" wrapText="1"/>
      <protection locked="0"/>
    </xf>
    <xf numFmtId="0" fontId="94" fillId="28" borderId="5" xfId="13" applyFont="1" applyFill="1" applyBorder="1" applyAlignment="1" applyProtection="1">
      <alignment horizontal="center" vertical="center" wrapText="1"/>
      <protection locked="0"/>
    </xf>
    <xf numFmtId="0" fontId="94" fillId="28" borderId="6" xfId="13" applyFont="1" applyFill="1" applyBorder="1" applyAlignment="1" applyProtection="1">
      <alignment horizontal="center" vertical="center" wrapText="1"/>
      <protection locked="0"/>
    </xf>
    <xf numFmtId="0" fontId="94" fillId="16" borderId="4" xfId="13" applyFont="1" applyFill="1" applyBorder="1" applyAlignment="1" applyProtection="1">
      <alignment horizontal="center" vertical="center" wrapText="1"/>
    </xf>
    <xf numFmtId="0" fontId="94" fillId="16" borderId="5" xfId="13" applyFont="1" applyFill="1" applyBorder="1" applyAlignment="1" applyProtection="1">
      <alignment horizontal="center" vertical="center" wrapText="1"/>
    </xf>
    <xf numFmtId="0" fontId="91" fillId="25" borderId="14" xfId="12" applyAlignment="1">
      <alignment horizontal="left" vertical="center"/>
    </xf>
    <xf numFmtId="0" fontId="40" fillId="8" borderId="5" xfId="0" applyFont="1" applyFill="1" applyBorder="1" applyAlignment="1">
      <alignment horizontal="center" vertical="center"/>
    </xf>
    <xf numFmtId="0" fontId="40" fillId="8" borderId="6" xfId="0" applyFont="1" applyFill="1" applyBorder="1" applyAlignment="1">
      <alignment horizontal="center" vertical="center"/>
    </xf>
    <xf numFmtId="0" fontId="99" fillId="28" borderId="10" xfId="2" applyFont="1" applyFill="1" applyBorder="1" applyAlignment="1" applyProtection="1">
      <alignment horizontal="center" vertical="center" wrapText="1"/>
      <protection locked="0"/>
    </xf>
    <xf numFmtId="0" fontId="99" fillId="28" borderId="11" xfId="2" applyFont="1" applyFill="1" applyBorder="1" applyAlignment="1" applyProtection="1">
      <alignment horizontal="center" vertical="center" wrapText="1"/>
      <protection locked="0"/>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28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2" totalsRowShown="0" headerRowDxfId="2865" headerRowBorderDxfId="2864" tableBorderDxfId="2863" headerRowCellStyle="40% - Accent5" dataCellStyle="Normal 4">
  <autoFilter ref="A2:O32"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DxfId="2862" dataCellStyle="Calculation">
      <calculatedColumnFormula>SUM(F3:O3)</calculatedColumnFormula>
    </tableColumn>
    <tableColumn id="6" xr3:uid="{DD9655BE-E53F-4CA5-885B-7FC10F8D2395}" name="Gabriel Brasoveanu" dataCellStyle="Normal 4"/>
    <tableColumn id="7" xr3:uid="{525D8884-0C8A-4478-BF05-7E1372CD45F9}" name="Dan Dustinta" dataCellStyle="Normal 4"/>
    <tableColumn id="8" xr3:uid="{967B83B5-4BDD-455D-9479-4517937966AE}" name="Lucian Ardeleanu" dataCellStyle="Normal 4"/>
    <tableColumn id="9" xr3:uid="{B1B837F4-0787-4CAA-BD5D-A6B2F7E9368A}" name="David Puscasu" dataCellStyle="Normal 4"/>
    <tableColumn id="10" xr3:uid="{4B029EAF-CE65-4128-A016-A786C51E5D01}" name="Popina Victor" dataCellStyle="Normal 4"/>
    <tableColumn id="11" xr3:uid="{5B3D026C-0D6F-4D5D-949A-921EED9750D8}" name="Cornel Albu" dataCellStyle="Normal 4"/>
    <tableColumn id="12" xr3:uid="{F47E4945-FC46-4596-99F8-6868803682F5}" name="Vlad Chioveanu" dataCellStyle="Normal 4"/>
    <tableColumn id="13" xr3:uid="{5139BD5E-7132-4168-905C-F6084CD7F3D0}" name="Nastase Alexandru" dataCellStyle="Normal 4"/>
    <tableColumn id="14" xr3:uid="{209C6056-7295-438E-8AAC-53D245A1A566}" name="Mihai Motoc"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E7" sqref="E7:V7"/>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865</v>
      </c>
    </row>
    <row r="4" spans="1:37" s="96" customFormat="1" ht="11.1" customHeight="1">
      <c r="A4" s="277" t="s">
        <v>5</v>
      </c>
      <c r="B4" s="278"/>
      <c r="C4" s="278"/>
      <c r="D4" s="278"/>
      <c r="E4" s="278"/>
      <c r="F4" s="278"/>
      <c r="G4" s="278"/>
      <c r="H4" s="278"/>
      <c r="I4" s="278"/>
      <c r="J4" s="278"/>
      <c r="K4" s="278"/>
      <c r="L4" s="278"/>
      <c r="M4" s="278"/>
      <c r="N4" s="278"/>
      <c r="O4" s="278"/>
      <c r="P4" s="278"/>
      <c r="Q4" s="279"/>
      <c r="R4" s="280" t="s">
        <v>12</v>
      </c>
      <c r="S4" s="281"/>
      <c r="T4" s="281"/>
      <c r="U4" s="281"/>
      <c r="V4" s="282"/>
      <c r="W4" s="280" t="s">
        <v>6</v>
      </c>
      <c r="X4" s="281"/>
      <c r="Y4" s="281"/>
      <c r="Z4" s="281"/>
      <c r="AA4" s="282"/>
      <c r="AB4" s="277" t="s">
        <v>136</v>
      </c>
      <c r="AC4" s="278"/>
      <c r="AD4" s="278"/>
      <c r="AE4" s="278"/>
      <c r="AF4" s="278"/>
      <c r="AG4" s="279"/>
      <c r="AH4" s="102"/>
      <c r="AI4" s="102"/>
      <c r="AJ4" s="102"/>
    </row>
    <row r="5" spans="1:37" s="103" customFormat="1" ht="12.75" customHeight="1">
      <c r="A5" s="283" t="s">
        <v>857</v>
      </c>
      <c r="B5" s="284"/>
      <c r="C5" s="284"/>
      <c r="D5" s="284"/>
      <c r="E5" s="284"/>
      <c r="F5" s="284"/>
      <c r="G5" s="284"/>
      <c r="H5" s="284"/>
      <c r="I5" s="284"/>
      <c r="J5" s="284"/>
      <c r="K5" s="284"/>
      <c r="L5" s="284"/>
      <c r="M5" s="284"/>
      <c r="N5" s="284"/>
      <c r="O5" s="284"/>
      <c r="P5" s="284"/>
      <c r="Q5" s="285"/>
      <c r="R5" s="283" t="s">
        <v>859</v>
      </c>
      <c r="S5" s="284"/>
      <c r="T5" s="284"/>
      <c r="U5" s="284"/>
      <c r="V5" s="285"/>
      <c r="W5" s="283" t="str">
        <f ca="1" xml:space="preserve"> IFERROR(IF([2]!alvDocProperty("MXCurrent.Localized")="","Template released",[2]!alvDocProperty("MXCurrent.Localized")),"Template released")</f>
        <v>Template released</v>
      </c>
      <c r="X5" s="284"/>
      <c r="Y5" s="284"/>
      <c r="Z5" s="284"/>
      <c r="AA5" s="285"/>
      <c r="AB5" s="283" t="str">
        <f ca="1" xml:space="preserve"> IFERROR(IF([2]!alvDocProperty("MXActual_state_Released")="","2022-09",[2]!alvDocProperty("MXActual_state_Released")),"2022-09")</f>
        <v>2022-09</v>
      </c>
      <c r="AC5" s="284"/>
      <c r="AD5" s="284"/>
      <c r="AE5" s="284"/>
      <c r="AF5" s="284"/>
      <c r="AG5" s="285"/>
    </row>
    <row r="6" spans="1:37" s="96" customFormat="1" ht="11.1" customHeight="1">
      <c r="A6" s="280" t="s">
        <v>7</v>
      </c>
      <c r="B6" s="281"/>
      <c r="C6" s="281"/>
      <c r="D6" s="282"/>
      <c r="E6" s="280" t="s">
        <v>8</v>
      </c>
      <c r="F6" s="281"/>
      <c r="G6" s="281"/>
      <c r="H6" s="281"/>
      <c r="I6" s="281"/>
      <c r="J6" s="281"/>
      <c r="K6" s="281"/>
      <c r="L6" s="281"/>
      <c r="M6" s="281"/>
      <c r="N6" s="281"/>
      <c r="O6" s="281"/>
      <c r="P6" s="281"/>
      <c r="Q6" s="281"/>
      <c r="R6" s="281"/>
      <c r="S6" s="281"/>
      <c r="T6" s="281"/>
      <c r="U6" s="281"/>
      <c r="V6" s="282"/>
      <c r="W6" s="277" t="s">
        <v>10</v>
      </c>
      <c r="X6" s="278"/>
      <c r="Y6" s="278"/>
      <c r="Z6" s="278"/>
      <c r="AA6" s="279"/>
      <c r="AB6" s="280" t="s">
        <v>34</v>
      </c>
      <c r="AC6" s="281"/>
      <c r="AD6" s="282"/>
      <c r="AE6" s="280" t="s">
        <v>9</v>
      </c>
      <c r="AF6" s="281"/>
      <c r="AG6" s="282"/>
    </row>
    <row r="7" spans="1:37" s="103" customFormat="1" ht="12.75" customHeight="1">
      <c r="A7" s="283" t="str">
        <f ca="1" xml:space="preserve"> IFERROR(IF([2]!alvDocProperty("MXName")="","TBD",[2]!alvDocProperty("MXName")),"TBD")</f>
        <v>TBD</v>
      </c>
      <c r="B7" s="284"/>
      <c r="C7" s="284"/>
      <c r="D7" s="285"/>
      <c r="E7" s="283" t="s">
        <v>863</v>
      </c>
      <c r="F7" s="284"/>
      <c r="G7" s="284"/>
      <c r="H7" s="284"/>
      <c r="I7" s="284"/>
      <c r="J7" s="284"/>
      <c r="K7" s="284"/>
      <c r="L7" s="284"/>
      <c r="M7" s="284"/>
      <c r="N7" s="284"/>
      <c r="O7" s="284"/>
      <c r="P7" s="284"/>
      <c r="Q7" s="284"/>
      <c r="R7" s="284"/>
      <c r="S7" s="284"/>
      <c r="T7" s="284"/>
      <c r="U7" s="284"/>
      <c r="V7" s="285"/>
      <c r="W7" s="286" t="str">
        <f ca="1" xml:space="preserve"> IFERROR(IF([2]!alvDocProperty("MXDocTemplate_Name")="","AEF1007",[2]!alvDocProperty("MXDocTemplate_Name")),"AEF1007")</f>
        <v>AEF1007</v>
      </c>
      <c r="X7" s="287"/>
      <c r="Y7" s="287"/>
      <c r="Z7" s="287"/>
      <c r="AA7" s="288"/>
      <c r="AB7" s="283" t="str">
        <f ca="1" xml:space="preserve"> IFERROR(IF([2]!alvDocProperty("MXRevision")="","TBD",[2]!alvDocProperty("MXRevision")),"TBD")</f>
        <v>TBD</v>
      </c>
      <c r="AC7" s="284"/>
      <c r="AD7" s="285"/>
      <c r="AE7" s="283" t="s">
        <v>860</v>
      </c>
      <c r="AF7" s="284"/>
      <c r="AG7" s="285"/>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91" t="s">
        <v>60</v>
      </c>
      <c r="B9" s="292"/>
      <c r="C9" s="292"/>
      <c r="D9" s="292"/>
      <c r="E9" s="292"/>
      <c r="F9" s="292"/>
      <c r="G9" s="292"/>
      <c r="H9" s="292"/>
      <c r="I9" s="292"/>
      <c r="J9" s="292"/>
      <c r="K9" s="293"/>
      <c r="L9" s="291" t="s">
        <v>12</v>
      </c>
      <c r="M9" s="292"/>
      <c r="N9" s="292"/>
      <c r="O9" s="292"/>
      <c r="P9" s="292"/>
      <c r="Q9" s="292"/>
      <c r="R9" s="292"/>
      <c r="S9" s="292"/>
      <c r="T9" s="292"/>
      <c r="U9" s="292"/>
      <c r="V9" s="293"/>
      <c r="W9" s="291" t="s">
        <v>17</v>
      </c>
      <c r="X9" s="292"/>
      <c r="Y9" s="292"/>
      <c r="Z9" s="292"/>
      <c r="AA9" s="292"/>
      <c r="AB9" s="292"/>
      <c r="AC9" s="292"/>
      <c r="AD9" s="292"/>
      <c r="AE9" s="292"/>
      <c r="AF9" s="292"/>
      <c r="AG9" s="293"/>
    </row>
    <row r="10" spans="1:37" s="107" customFormat="1" ht="39" customHeight="1">
      <c r="A10" s="294" t="s">
        <v>137</v>
      </c>
      <c r="B10" s="295"/>
      <c r="C10" s="295"/>
      <c r="D10" s="295"/>
      <c r="E10" s="295"/>
      <c r="F10" s="296" t="str">
        <f ca="1" xml:space="preserve"> IFERROR(IF([2]!alvDocProperty("MXUser")="","Gabriel Brasoveanu",[2]!alvDocProperty("MXUser")),"Gabriel Brasoveanu")</f>
        <v>Gabriel Brasoveanu</v>
      </c>
      <c r="G10" s="296"/>
      <c r="H10" s="296"/>
      <c r="I10" s="296"/>
      <c r="J10" s="296"/>
      <c r="K10" s="297"/>
      <c r="L10" s="298" t="s">
        <v>138</v>
      </c>
      <c r="M10" s="299"/>
      <c r="N10" s="299"/>
      <c r="O10" s="299"/>
      <c r="P10" s="299"/>
      <c r="Q10" s="299"/>
      <c r="R10" s="299"/>
      <c r="S10" s="299"/>
      <c r="T10" s="299"/>
      <c r="U10" s="299"/>
      <c r="V10" s="300"/>
      <c r="W10" s="298" t="s">
        <v>138</v>
      </c>
      <c r="X10" s="299"/>
      <c r="Y10" s="299"/>
      <c r="Z10" s="299"/>
      <c r="AA10" s="299"/>
      <c r="AB10" s="299"/>
      <c r="AC10" s="299"/>
      <c r="AD10" s="299"/>
      <c r="AE10" s="299"/>
      <c r="AF10" s="299"/>
      <c r="AG10" s="300"/>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301" t="s">
        <v>139</v>
      </c>
      <c r="B12" s="302"/>
      <c r="C12" s="302"/>
      <c r="D12" s="302"/>
      <c r="E12" s="302"/>
      <c r="F12" s="302"/>
      <c r="G12" s="302"/>
      <c r="H12" s="302"/>
      <c r="I12" s="302"/>
      <c r="J12" s="302"/>
      <c r="K12" s="302"/>
      <c r="L12" s="302"/>
      <c r="M12" s="302"/>
      <c r="N12" s="302"/>
      <c r="O12" s="302"/>
      <c r="P12" s="302"/>
      <c r="Q12" s="302"/>
      <c r="R12" s="302"/>
      <c r="S12" s="302"/>
      <c r="T12" s="302"/>
      <c r="U12" s="302"/>
      <c r="V12" s="302"/>
      <c r="W12" s="302"/>
      <c r="X12" s="302"/>
      <c r="Y12" s="302"/>
      <c r="Z12" s="302"/>
      <c r="AA12" s="302"/>
      <c r="AB12" s="302"/>
      <c r="AC12" s="302"/>
      <c r="AD12" s="302"/>
      <c r="AE12" s="302"/>
      <c r="AF12" s="302"/>
      <c r="AG12" s="303"/>
    </row>
    <row r="13" spans="1:37" s="107" customFormat="1" ht="28.5" customHeight="1">
      <c r="A13" s="304" t="s">
        <v>140</v>
      </c>
      <c r="B13" s="305"/>
      <c r="C13" s="305"/>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c r="AB13" s="305"/>
      <c r="AC13" s="305"/>
      <c r="AD13" s="305"/>
      <c r="AE13" s="305"/>
      <c r="AF13" s="305"/>
      <c r="AG13" s="306"/>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307" t="s">
        <v>141</v>
      </c>
      <c r="B15" s="307"/>
      <c r="C15" s="307"/>
      <c r="D15" s="307"/>
      <c r="E15" s="309"/>
      <c r="F15" s="310"/>
      <c r="G15" s="310"/>
      <c r="H15" s="310"/>
      <c r="I15" s="310"/>
      <c r="J15" s="310"/>
      <c r="K15" s="310"/>
      <c r="L15" s="310"/>
      <c r="M15" s="310"/>
      <c r="N15" s="310"/>
      <c r="O15" s="310"/>
      <c r="P15" s="310"/>
      <c r="Q15" s="310"/>
      <c r="R15" s="310"/>
      <c r="S15" s="310"/>
      <c r="T15" s="310"/>
      <c r="U15" s="310"/>
      <c r="V15" s="310"/>
      <c r="W15" s="310"/>
      <c r="X15" s="310"/>
      <c r="Y15" s="310"/>
      <c r="Z15" s="310"/>
      <c r="AA15" s="310"/>
      <c r="AB15" s="310"/>
      <c r="AC15" s="310"/>
      <c r="AD15" s="310"/>
      <c r="AE15" s="310"/>
      <c r="AF15" s="310"/>
      <c r="AG15" s="311"/>
    </row>
    <row r="16" spans="1:37" ht="37.5" customHeight="1">
      <c r="A16" s="308"/>
      <c r="B16" s="308"/>
      <c r="C16" s="308"/>
      <c r="D16" s="308"/>
      <c r="E16" s="312"/>
      <c r="F16" s="313"/>
      <c r="G16" s="313"/>
      <c r="H16" s="313"/>
      <c r="I16" s="313"/>
      <c r="J16" s="313"/>
      <c r="K16" s="313"/>
      <c r="L16" s="313"/>
      <c r="M16" s="313"/>
      <c r="N16" s="313"/>
      <c r="O16" s="313"/>
      <c r="P16" s="313"/>
      <c r="Q16" s="313"/>
      <c r="R16" s="313"/>
      <c r="S16" s="313"/>
      <c r="T16" s="313"/>
      <c r="U16" s="313"/>
      <c r="V16" s="313"/>
      <c r="W16" s="313"/>
      <c r="X16" s="313"/>
      <c r="Y16" s="313"/>
      <c r="Z16" s="313"/>
      <c r="AA16" s="313"/>
      <c r="AB16" s="313"/>
      <c r="AC16" s="313"/>
      <c r="AD16" s="313"/>
      <c r="AE16" s="313"/>
      <c r="AF16" s="313"/>
      <c r="AG16" s="314"/>
    </row>
    <row r="17" spans="1:33">
      <c r="A17" s="112"/>
    </row>
    <row r="18" spans="1:33" ht="26.25" customHeight="1">
      <c r="A18" s="315" t="s">
        <v>572</v>
      </c>
      <c r="B18" s="316"/>
      <c r="C18" s="316"/>
      <c r="D18" s="316"/>
      <c r="E18" s="317" t="s">
        <v>571</v>
      </c>
      <c r="F18" s="317"/>
      <c r="G18" s="317"/>
      <c r="H18" s="317"/>
      <c r="I18" s="317"/>
      <c r="J18" s="317"/>
      <c r="K18" s="317"/>
      <c r="L18" s="317"/>
      <c r="M18" s="317"/>
      <c r="N18" s="317"/>
      <c r="O18" s="317"/>
      <c r="P18" s="317"/>
    </row>
    <row r="19" spans="1:33"/>
    <row r="20" spans="1:33"/>
    <row r="21" spans="1:33" ht="15.75" customHeight="1">
      <c r="Q21" s="113"/>
    </row>
    <row r="22" spans="1:33" ht="12" customHeight="1">
      <c r="Q22" s="113"/>
    </row>
    <row r="23" spans="1:33" ht="60" customHeight="1">
      <c r="A23" s="289" t="str">
        <f>MXTitle</f>
        <v>FSM - Peer Review Workbook (PRWB)</v>
      </c>
      <c r="B23" s="290"/>
      <c r="C23" s="290"/>
      <c r="D23" s="290"/>
      <c r="E23" s="290"/>
      <c r="F23" s="290"/>
      <c r="G23" s="290"/>
      <c r="H23" s="290"/>
      <c r="I23" s="290"/>
      <c r="J23" s="290"/>
      <c r="K23" s="290"/>
      <c r="L23" s="290"/>
      <c r="M23" s="290"/>
      <c r="N23" s="290"/>
      <c r="O23" s="290"/>
      <c r="P23" s="290"/>
      <c r="Q23" s="290"/>
      <c r="R23" s="290"/>
      <c r="S23" s="290"/>
      <c r="T23" s="290"/>
      <c r="U23" s="290"/>
      <c r="V23" s="290"/>
      <c r="W23" s="290"/>
      <c r="X23" s="290"/>
      <c r="Y23" s="290"/>
      <c r="Z23" s="290"/>
      <c r="AA23" s="290"/>
      <c r="AB23" s="290"/>
      <c r="AC23" s="290"/>
      <c r="AD23" s="290"/>
      <c r="AE23" s="290"/>
      <c r="AF23" s="290"/>
      <c r="AG23" s="290"/>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6" type="noConversion"/>
  <conditionalFormatting sqref="W5">
    <cfRule type="cellIs" dxfId="2861" priority="23" operator="equal">
      <formula>"draft"</formula>
    </cfRule>
  </conditionalFormatting>
  <conditionalFormatting sqref="W5:AA5">
    <cfRule type="cellIs" dxfId="2860" priority="1" operator="equal">
      <formula>"In-Work"</formula>
    </cfRule>
    <cfRule type="cellIs" dxfId="2859" priority="2" stopIfTrue="1" operator="equal">
      <formula>"draft"</formula>
    </cfRule>
    <cfRule type="cellIs" dxfId="2858" priority="3" operator="equal">
      <formula>"In-Work"</formula>
    </cfRule>
    <cfRule type="cellIs" dxfId="2857" priority="4" stopIfTrue="1" operator="equal">
      <formula>"draft"</formula>
    </cfRule>
    <cfRule type="cellIs" dxfId="2856" priority="5" operator="equal">
      <formula>"In-Work"</formula>
    </cfRule>
    <cfRule type="cellIs" dxfId="2855" priority="6" stopIfTrue="1" operator="equal">
      <formula>"draft"</formula>
    </cfRule>
    <cfRule type="cellIs" dxfId="2854" priority="7" operator="equal">
      <formula>"In-Work"</formula>
    </cfRule>
    <cfRule type="cellIs" dxfId="2853" priority="8" stopIfTrue="1" operator="equal">
      <formula>"draft"</formula>
    </cfRule>
    <cfRule type="cellIs" dxfId="2852" priority="9" operator="equal">
      <formula>"In-Work"</formula>
    </cfRule>
    <cfRule type="cellIs" dxfId="2851" priority="10" stopIfTrue="1" operator="equal">
      <formula>"draft"</formula>
    </cfRule>
    <cfRule type="cellIs" dxfId="2850" priority="11" operator="equal">
      <formula>"In-Work"</formula>
    </cfRule>
    <cfRule type="cellIs" dxfId="2849" priority="12" stopIfTrue="1" operator="equal">
      <formula>"draft"</formula>
    </cfRule>
    <cfRule type="cellIs" dxfId="2848" priority="13" operator="equal">
      <formula>"In-Work"</formula>
    </cfRule>
    <cfRule type="cellIs" dxfId="2847" priority="14" stopIfTrue="1" operator="equal">
      <formula>"draft"</formula>
    </cfRule>
    <cfRule type="cellIs" dxfId="2846" priority="15" operator="equal">
      <formula>"In-Work"</formula>
    </cfRule>
    <cfRule type="cellIs" dxfId="2845" priority="16" stopIfTrue="1" operator="equal">
      <formula>"draft"</formula>
    </cfRule>
    <cfRule type="cellIs" dxfId="2844" priority="17" operator="equal">
      <formula>"In-Work"</formula>
    </cfRule>
    <cfRule type="cellIs" dxfId="2843" priority="18" stopIfTrue="1" operator="equal">
      <formula>"draft"</formula>
    </cfRule>
    <cfRule type="cellIs" dxfId="2842" priority="19" operator="equal">
      <formula>"In-Work"</formula>
    </cfRule>
    <cfRule type="cellIs" dxfId="2841" priority="20" stopIfTrue="1" operator="equal">
      <formula>"draft"</formula>
    </cfRule>
    <cfRule type="cellIs" dxfId="2840" priority="21" operator="equal">
      <formula>"In-Work"</formula>
    </cfRule>
    <cfRule type="cellIs" dxfId="2839" priority="22"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FSM - Peer Review Workbook.xlsm</v>
      </c>
      <c r="AE3" s="96"/>
      <c r="AF3" s="96"/>
      <c r="AG3" s="96"/>
      <c r="AH3" s="96"/>
    </row>
    <row r="4" spans="1:34">
      <c r="A4" s="277" t="s">
        <v>5</v>
      </c>
      <c r="B4" s="278"/>
      <c r="C4" s="278"/>
      <c r="D4" s="278"/>
      <c r="E4" s="278"/>
      <c r="F4" s="278"/>
      <c r="G4" s="278"/>
      <c r="H4" s="278"/>
      <c r="I4" s="278"/>
      <c r="J4" s="278"/>
      <c r="K4" s="278"/>
      <c r="L4" s="278"/>
      <c r="M4" s="278"/>
      <c r="N4" s="278"/>
      <c r="O4" s="278"/>
      <c r="P4" s="278"/>
      <c r="Q4" s="278"/>
      <c r="R4" s="278"/>
      <c r="S4" s="278"/>
      <c r="T4" s="278"/>
      <c r="U4" s="278"/>
      <c r="V4" s="279"/>
      <c r="W4" s="340" t="s">
        <v>6</v>
      </c>
      <c r="X4" s="341"/>
      <c r="Y4" s="341"/>
      <c r="Z4" s="341"/>
      <c r="AA4" s="342"/>
      <c r="AB4" s="277" t="s">
        <v>136</v>
      </c>
      <c r="AC4" s="278"/>
      <c r="AD4" s="278"/>
      <c r="AE4" s="278"/>
      <c r="AF4" s="278"/>
      <c r="AG4" s="279"/>
      <c r="AH4" s="102"/>
    </row>
    <row r="5" spans="1:34">
      <c r="A5" s="286" t="s">
        <v>201</v>
      </c>
      <c r="B5" s="287"/>
      <c r="C5" s="287"/>
      <c r="D5" s="287"/>
      <c r="E5" s="287"/>
      <c r="F5" s="287"/>
      <c r="G5" s="287"/>
      <c r="H5" s="287"/>
      <c r="I5" s="287"/>
      <c r="J5" s="287"/>
      <c r="K5" s="287"/>
      <c r="L5" s="287"/>
      <c r="M5" s="287"/>
      <c r="N5" s="287"/>
      <c r="O5" s="287"/>
      <c r="P5" s="287"/>
      <c r="Q5" s="287"/>
      <c r="R5" s="287"/>
      <c r="S5" s="287"/>
      <c r="T5" s="287"/>
      <c r="U5" s="287"/>
      <c r="V5" s="288"/>
      <c r="W5" s="343" t="s">
        <v>200</v>
      </c>
      <c r="X5" s="344"/>
      <c r="Y5" s="344"/>
      <c r="Z5" s="344"/>
      <c r="AA5" s="345"/>
      <c r="AB5" s="286" t="s">
        <v>199</v>
      </c>
      <c r="AC5" s="287"/>
      <c r="AD5" s="287"/>
      <c r="AE5" s="287"/>
      <c r="AF5" s="287"/>
      <c r="AG5" s="288"/>
      <c r="AH5" s="103"/>
    </row>
    <row r="6" spans="1:34">
      <c r="A6" s="346" t="s">
        <v>7</v>
      </c>
      <c r="B6" s="347"/>
      <c r="C6" s="347"/>
      <c r="D6" s="348"/>
      <c r="E6" s="346" t="s">
        <v>8</v>
      </c>
      <c r="F6" s="347"/>
      <c r="G6" s="347"/>
      <c r="H6" s="347"/>
      <c r="I6" s="347"/>
      <c r="J6" s="347"/>
      <c r="K6" s="347"/>
      <c r="L6" s="347"/>
      <c r="M6" s="347"/>
      <c r="N6" s="347"/>
      <c r="O6" s="347"/>
      <c r="P6" s="347"/>
      <c r="Q6" s="347"/>
      <c r="R6" s="347"/>
      <c r="S6" s="347"/>
      <c r="T6" s="347"/>
      <c r="U6" s="347"/>
      <c r="V6" s="348"/>
      <c r="W6" s="277" t="s">
        <v>10</v>
      </c>
      <c r="X6" s="278"/>
      <c r="Y6" s="278"/>
      <c r="Z6" s="278"/>
      <c r="AA6" s="279"/>
      <c r="AB6" s="340" t="s">
        <v>34</v>
      </c>
      <c r="AC6" s="341"/>
      <c r="AD6" s="342"/>
      <c r="AE6" s="340" t="s">
        <v>9</v>
      </c>
      <c r="AF6" s="341"/>
      <c r="AG6" s="342"/>
      <c r="AH6" s="96"/>
    </row>
    <row r="7" spans="1:34">
      <c r="A7" s="343" t="s">
        <v>198</v>
      </c>
      <c r="B7" s="344"/>
      <c r="C7" s="344"/>
      <c r="D7" s="345"/>
      <c r="E7" s="343" t="s">
        <v>203</v>
      </c>
      <c r="F7" s="344"/>
      <c r="G7" s="344"/>
      <c r="H7" s="344"/>
      <c r="I7" s="344"/>
      <c r="J7" s="344"/>
      <c r="K7" s="344"/>
      <c r="L7" s="344"/>
      <c r="M7" s="344"/>
      <c r="N7" s="344"/>
      <c r="O7" s="344"/>
      <c r="P7" s="344"/>
      <c r="Q7" s="344"/>
      <c r="R7" s="344"/>
      <c r="S7" s="344"/>
      <c r="T7" s="344"/>
      <c r="U7" s="344"/>
      <c r="V7" s="345"/>
      <c r="W7" s="343" t="str">
        <f ca="1">TemplateRef</f>
        <v>AEF1007</v>
      </c>
      <c r="X7" s="344"/>
      <c r="Y7" s="344"/>
      <c r="Z7" s="344"/>
      <c r="AA7" s="345"/>
      <c r="AB7" s="343" t="s">
        <v>202</v>
      </c>
      <c r="AC7" s="344"/>
      <c r="AD7" s="345"/>
      <c r="AE7" s="343" t="s">
        <v>202</v>
      </c>
      <c r="AF7" s="344"/>
      <c r="AG7" s="345"/>
      <c r="AH7" s="103"/>
    </row>
    <row r="8" spans="1:34">
      <c r="A8" s="346" t="s">
        <v>142</v>
      </c>
      <c r="B8" s="347"/>
      <c r="C8" s="347"/>
      <c r="D8" s="347"/>
      <c r="E8" s="347"/>
      <c r="F8" s="347"/>
      <c r="G8" s="347"/>
      <c r="H8" s="347"/>
      <c r="I8" s="347"/>
      <c r="J8" s="347"/>
      <c r="K8" s="347"/>
      <c r="L8" s="347"/>
      <c r="M8" s="347"/>
      <c r="N8" s="347"/>
      <c r="O8" s="347"/>
      <c r="P8" s="347"/>
      <c r="Q8" s="347"/>
      <c r="R8" s="347"/>
      <c r="S8" s="347"/>
      <c r="T8" s="347"/>
      <c r="U8" s="347"/>
      <c r="V8" s="347"/>
      <c r="W8" s="347"/>
      <c r="X8" s="347"/>
      <c r="Y8" s="347"/>
      <c r="Z8" s="347"/>
      <c r="AA8" s="347"/>
      <c r="AB8" s="347"/>
      <c r="AC8" s="347"/>
      <c r="AD8" s="347"/>
      <c r="AE8" s="347"/>
      <c r="AF8" s="347"/>
      <c r="AG8" s="348"/>
      <c r="AH8" s="106"/>
    </row>
    <row r="9" spans="1:34">
      <c r="A9" s="349" t="s">
        <v>143</v>
      </c>
      <c r="B9" s="350"/>
      <c r="C9" s="350"/>
      <c r="D9" s="350"/>
      <c r="E9" s="350"/>
      <c r="F9" s="350"/>
      <c r="G9" s="350"/>
      <c r="H9" s="350"/>
      <c r="I9" s="350"/>
      <c r="J9" s="350"/>
      <c r="K9" s="350"/>
      <c r="L9" s="350"/>
      <c r="M9" s="350"/>
      <c r="N9" s="350"/>
      <c r="O9" s="350"/>
      <c r="P9" s="350"/>
      <c r="Q9" s="350"/>
      <c r="R9" s="350"/>
      <c r="S9" s="350"/>
      <c r="T9" s="350"/>
      <c r="U9" s="350"/>
      <c r="V9" s="350"/>
      <c r="W9" s="350"/>
      <c r="X9" s="350"/>
      <c r="Y9" s="350"/>
      <c r="Z9" s="350"/>
      <c r="AA9" s="350"/>
      <c r="AB9" s="350"/>
      <c r="AC9" s="350"/>
      <c r="AD9" s="350"/>
      <c r="AE9" s="350"/>
      <c r="AF9" s="350"/>
      <c r="AG9" s="351"/>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331" t="s">
        <v>146</v>
      </c>
      <c r="C15" s="352"/>
      <c r="D15" s="352"/>
      <c r="E15" s="352"/>
      <c r="F15" s="352"/>
      <c r="G15" s="331" t="s">
        <v>147</v>
      </c>
      <c r="H15" s="331"/>
      <c r="I15" s="331"/>
      <c r="J15" s="331"/>
      <c r="K15" s="331"/>
      <c r="L15" s="331"/>
      <c r="M15" s="331"/>
      <c r="N15" s="331"/>
      <c r="O15" s="331"/>
      <c r="P15" s="331"/>
      <c r="Q15" s="331"/>
      <c r="R15" s="331"/>
      <c r="S15" s="331"/>
      <c r="T15" s="331"/>
      <c r="U15" s="331"/>
      <c r="V15" s="331"/>
      <c r="W15" s="331"/>
      <c r="X15" s="331"/>
      <c r="Y15" s="331"/>
      <c r="Z15" s="331"/>
      <c r="AA15" s="331"/>
      <c r="AB15" s="331"/>
      <c r="AC15" s="331"/>
      <c r="AD15" s="331"/>
      <c r="AE15" s="331"/>
      <c r="AF15" s="331"/>
      <c r="AG15" s="106"/>
      <c r="AH15" s="106"/>
    </row>
    <row r="16" spans="1:34" ht="55.5" customHeight="1">
      <c r="A16" s="106"/>
      <c r="B16" s="353" t="s">
        <v>148</v>
      </c>
      <c r="C16" s="353"/>
      <c r="D16" s="353"/>
      <c r="E16" s="353"/>
      <c r="F16" s="353"/>
      <c r="G16" s="321" t="s">
        <v>149</v>
      </c>
      <c r="H16" s="321"/>
      <c r="I16" s="321"/>
      <c r="J16" s="321"/>
      <c r="K16" s="321"/>
      <c r="L16" s="321"/>
      <c r="M16" s="321"/>
      <c r="N16" s="321"/>
      <c r="O16" s="321"/>
      <c r="P16" s="321"/>
      <c r="Q16" s="321"/>
      <c r="R16" s="321"/>
      <c r="S16" s="321"/>
      <c r="T16" s="321"/>
      <c r="U16" s="321"/>
      <c r="V16" s="321"/>
      <c r="W16" s="321"/>
      <c r="X16" s="321"/>
      <c r="Y16" s="321"/>
      <c r="Z16" s="321"/>
      <c r="AA16" s="321"/>
      <c r="AB16" s="321"/>
      <c r="AC16" s="321"/>
      <c r="AD16" s="321"/>
      <c r="AE16" s="321"/>
      <c r="AF16" s="321"/>
      <c r="AG16" s="106"/>
      <c r="AH16" s="106"/>
    </row>
    <row r="17" spans="1:34">
      <c r="A17" s="106"/>
      <c r="B17" s="353" t="s">
        <v>150</v>
      </c>
      <c r="C17" s="353"/>
      <c r="D17" s="353"/>
      <c r="E17" s="353"/>
      <c r="F17" s="353"/>
      <c r="G17" s="321" t="s">
        <v>151</v>
      </c>
      <c r="H17" s="321"/>
      <c r="I17" s="321"/>
      <c r="J17" s="321"/>
      <c r="K17" s="321"/>
      <c r="L17" s="321"/>
      <c r="M17" s="321"/>
      <c r="N17" s="321"/>
      <c r="O17" s="321"/>
      <c r="P17" s="321"/>
      <c r="Q17" s="321"/>
      <c r="R17" s="321"/>
      <c r="S17" s="321"/>
      <c r="T17" s="321"/>
      <c r="U17" s="321"/>
      <c r="V17" s="321"/>
      <c r="W17" s="321"/>
      <c r="X17" s="321"/>
      <c r="Y17" s="321"/>
      <c r="Z17" s="321"/>
      <c r="AA17" s="321"/>
      <c r="AB17" s="321"/>
      <c r="AC17" s="321"/>
      <c r="AD17" s="321"/>
      <c r="AE17" s="321"/>
      <c r="AF17" s="321"/>
      <c r="AG17" s="106"/>
      <c r="AH17" s="106"/>
    </row>
    <row r="18" spans="1:34" ht="15" customHeight="1">
      <c r="A18" s="106"/>
      <c r="B18" s="353" t="s">
        <v>15</v>
      </c>
      <c r="C18" s="353"/>
      <c r="D18" s="353"/>
      <c r="E18" s="353"/>
      <c r="F18" s="353"/>
      <c r="G18" s="321" t="s">
        <v>152</v>
      </c>
      <c r="H18" s="321"/>
      <c r="I18" s="321"/>
      <c r="J18" s="321"/>
      <c r="K18" s="321"/>
      <c r="L18" s="321"/>
      <c r="M18" s="321"/>
      <c r="N18" s="321"/>
      <c r="O18" s="321"/>
      <c r="P18" s="321"/>
      <c r="Q18" s="321"/>
      <c r="R18" s="321"/>
      <c r="S18" s="321"/>
      <c r="T18" s="321"/>
      <c r="U18" s="321"/>
      <c r="V18" s="321"/>
      <c r="W18" s="321"/>
      <c r="X18" s="321"/>
      <c r="Y18" s="321"/>
      <c r="Z18" s="321"/>
      <c r="AA18" s="321"/>
      <c r="AB18" s="321"/>
      <c r="AC18" s="321"/>
      <c r="AD18" s="321"/>
      <c r="AE18" s="321"/>
      <c r="AF18" s="321"/>
      <c r="AG18" s="106"/>
      <c r="AH18" s="106"/>
    </row>
    <row r="19" spans="1:34" ht="24" customHeight="1">
      <c r="A19" s="106"/>
      <c r="B19" s="354" t="s">
        <v>187</v>
      </c>
      <c r="C19" s="354"/>
      <c r="D19" s="354"/>
      <c r="E19" s="354"/>
      <c r="F19" s="354"/>
      <c r="G19" s="321" t="s">
        <v>152</v>
      </c>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106"/>
      <c r="AH19" s="106"/>
    </row>
    <row r="20" spans="1:34">
      <c r="A20" s="106"/>
      <c r="B20" s="338" t="s">
        <v>188</v>
      </c>
      <c r="C20" s="338"/>
      <c r="D20" s="338"/>
      <c r="E20" s="338"/>
      <c r="F20" s="338"/>
      <c r="G20" s="321" t="s">
        <v>152</v>
      </c>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106"/>
      <c r="AH20" s="106"/>
    </row>
    <row r="21" spans="1:34" ht="35.25" customHeight="1">
      <c r="A21" s="106"/>
      <c r="B21" s="339" t="s">
        <v>478</v>
      </c>
      <c r="C21" s="339"/>
      <c r="D21" s="339"/>
      <c r="E21" s="339"/>
      <c r="F21" s="339"/>
      <c r="G21" s="321" t="s">
        <v>479</v>
      </c>
      <c r="H21" s="321"/>
      <c r="I21" s="321"/>
      <c r="J21" s="321"/>
      <c r="K21" s="321"/>
      <c r="L21" s="321"/>
      <c r="M21" s="321"/>
      <c r="N21" s="321"/>
      <c r="O21" s="321"/>
      <c r="P21" s="321"/>
      <c r="Q21" s="321"/>
      <c r="R21" s="321"/>
      <c r="S21" s="321"/>
      <c r="T21" s="321"/>
      <c r="U21" s="321"/>
      <c r="V21" s="321"/>
      <c r="W21" s="321"/>
      <c r="X21" s="321"/>
      <c r="Y21" s="321"/>
      <c r="Z21" s="321"/>
      <c r="AA21" s="321"/>
      <c r="AB21" s="321"/>
      <c r="AC21" s="321"/>
      <c r="AD21" s="321"/>
      <c r="AE21" s="321"/>
      <c r="AF21" s="321"/>
      <c r="AG21" s="106"/>
      <c r="AH21" s="106"/>
    </row>
    <row r="22" spans="1:34" ht="28.5" customHeight="1">
      <c r="A22" s="106"/>
      <c r="B22" s="339" t="s">
        <v>480</v>
      </c>
      <c r="C22" s="339"/>
      <c r="D22" s="339"/>
      <c r="E22" s="339"/>
      <c r="F22" s="339"/>
      <c r="G22" s="321" t="s">
        <v>481</v>
      </c>
      <c r="H22" s="321"/>
      <c r="I22" s="321"/>
      <c r="J22" s="321"/>
      <c r="K22" s="321"/>
      <c r="L22" s="321"/>
      <c r="M22" s="321"/>
      <c r="N22" s="321"/>
      <c r="O22" s="321"/>
      <c r="P22" s="321"/>
      <c r="Q22" s="321"/>
      <c r="R22" s="321"/>
      <c r="S22" s="321"/>
      <c r="T22" s="321"/>
      <c r="U22" s="321"/>
      <c r="V22" s="321"/>
      <c r="W22" s="321"/>
      <c r="X22" s="321"/>
      <c r="Y22" s="321"/>
      <c r="Z22" s="321"/>
      <c r="AA22" s="321"/>
      <c r="AB22" s="321"/>
      <c r="AC22" s="321"/>
      <c r="AD22" s="321"/>
      <c r="AE22" s="321"/>
      <c r="AF22" s="321"/>
      <c r="AG22" s="106"/>
      <c r="AH22" s="106"/>
    </row>
    <row r="23" spans="1:34" ht="22.5" customHeight="1">
      <c r="A23" s="106"/>
      <c r="B23" s="339" t="s">
        <v>482</v>
      </c>
      <c r="C23" s="339"/>
      <c r="D23" s="339"/>
      <c r="E23" s="339"/>
      <c r="F23" s="339"/>
      <c r="G23" s="321" t="s">
        <v>483</v>
      </c>
      <c r="H23" s="321"/>
      <c r="I23" s="321"/>
      <c r="J23" s="321"/>
      <c r="K23" s="321"/>
      <c r="L23" s="321"/>
      <c r="M23" s="321"/>
      <c r="N23" s="321"/>
      <c r="O23" s="321"/>
      <c r="P23" s="321"/>
      <c r="Q23" s="321"/>
      <c r="R23" s="321"/>
      <c r="S23" s="321"/>
      <c r="T23" s="321"/>
      <c r="U23" s="321"/>
      <c r="V23" s="321"/>
      <c r="W23" s="321"/>
      <c r="X23" s="321"/>
      <c r="Y23" s="321"/>
      <c r="Z23" s="321"/>
      <c r="AA23" s="321"/>
      <c r="AB23" s="321"/>
      <c r="AC23" s="321"/>
      <c r="AD23" s="321"/>
      <c r="AE23" s="321"/>
      <c r="AF23" s="321"/>
      <c r="AG23" s="106"/>
      <c r="AH23" s="106"/>
    </row>
    <row r="24" spans="1:34" ht="45" customHeight="1">
      <c r="A24" s="106"/>
      <c r="B24" s="355" t="s">
        <v>189</v>
      </c>
      <c r="C24" s="355"/>
      <c r="D24" s="355"/>
      <c r="E24" s="355"/>
      <c r="F24" s="355"/>
      <c r="G24" s="321" t="s">
        <v>569</v>
      </c>
      <c r="H24" s="321"/>
      <c r="I24" s="321"/>
      <c r="J24" s="321"/>
      <c r="K24" s="321"/>
      <c r="L24" s="321"/>
      <c r="M24" s="321"/>
      <c r="N24" s="321"/>
      <c r="O24" s="321"/>
      <c r="P24" s="321"/>
      <c r="Q24" s="321"/>
      <c r="R24" s="321"/>
      <c r="S24" s="321"/>
      <c r="T24" s="321"/>
      <c r="U24" s="321"/>
      <c r="V24" s="321"/>
      <c r="W24" s="321"/>
      <c r="X24" s="321"/>
      <c r="Y24" s="321"/>
      <c r="Z24" s="321"/>
      <c r="AA24" s="321"/>
      <c r="AB24" s="321"/>
      <c r="AC24" s="321"/>
      <c r="AD24" s="321"/>
      <c r="AE24" s="321"/>
      <c r="AF24" s="321"/>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331" t="s">
        <v>34</v>
      </c>
      <c r="C27" s="332"/>
      <c r="D27" s="332"/>
      <c r="E27" s="331" t="s">
        <v>92</v>
      </c>
      <c r="F27" s="331"/>
      <c r="G27" s="331"/>
      <c r="H27" s="331"/>
      <c r="I27" s="331" t="s">
        <v>154</v>
      </c>
      <c r="J27" s="332"/>
      <c r="K27" s="332"/>
      <c r="L27" s="332"/>
      <c r="M27" s="332"/>
      <c r="N27" s="332"/>
      <c r="O27" s="332"/>
      <c r="P27" s="332"/>
      <c r="Q27" s="332"/>
      <c r="R27" s="331" t="s">
        <v>155</v>
      </c>
      <c r="S27" s="331"/>
      <c r="T27" s="331"/>
      <c r="U27" s="331"/>
      <c r="V27" s="331"/>
      <c r="W27" s="331"/>
      <c r="X27" s="331"/>
      <c r="Y27" s="331"/>
      <c r="Z27" s="331"/>
      <c r="AA27" s="331"/>
      <c r="AB27" s="331"/>
      <c r="AC27" s="331"/>
      <c r="AD27" s="331"/>
      <c r="AE27" s="331"/>
      <c r="AF27" s="331"/>
      <c r="AG27" s="106"/>
      <c r="AH27" s="106"/>
    </row>
    <row r="28" spans="1:34" ht="40.5" customHeight="1">
      <c r="A28" s="106"/>
      <c r="B28" s="335" t="s">
        <v>615</v>
      </c>
      <c r="C28" s="336" t="s">
        <v>3</v>
      </c>
      <c r="D28" s="337" t="s">
        <v>3</v>
      </c>
      <c r="E28" s="318"/>
      <c r="F28" s="319"/>
      <c r="G28" s="319"/>
      <c r="H28" s="320"/>
      <c r="I28" s="321"/>
      <c r="J28" s="322"/>
      <c r="K28" s="322"/>
      <c r="L28" s="322"/>
      <c r="M28" s="322"/>
      <c r="N28" s="322"/>
      <c r="O28" s="322"/>
      <c r="P28" s="322"/>
      <c r="Q28" s="322"/>
      <c r="R28" s="321" t="s">
        <v>14</v>
      </c>
      <c r="S28" s="321" t="s">
        <v>14</v>
      </c>
      <c r="T28" s="321" t="s">
        <v>14</v>
      </c>
      <c r="U28" s="321" t="s">
        <v>14</v>
      </c>
      <c r="V28" s="321" t="s">
        <v>14</v>
      </c>
      <c r="W28" s="321" t="s">
        <v>14</v>
      </c>
      <c r="X28" s="321" t="s">
        <v>14</v>
      </c>
      <c r="Y28" s="321" t="s">
        <v>14</v>
      </c>
      <c r="Z28" s="321" t="s">
        <v>14</v>
      </c>
      <c r="AA28" s="321" t="s">
        <v>14</v>
      </c>
      <c r="AB28" s="321" t="s">
        <v>14</v>
      </c>
      <c r="AC28" s="321" t="s">
        <v>14</v>
      </c>
      <c r="AD28" s="321" t="s">
        <v>14</v>
      </c>
      <c r="AE28" s="321" t="s">
        <v>14</v>
      </c>
      <c r="AF28" s="321" t="s">
        <v>14</v>
      </c>
      <c r="AG28" s="106"/>
      <c r="AH28" s="106"/>
    </row>
    <row r="29" spans="1:34" ht="60" customHeight="1">
      <c r="A29" s="106"/>
      <c r="B29" s="335" t="s">
        <v>18</v>
      </c>
      <c r="C29" s="336" t="s">
        <v>18</v>
      </c>
      <c r="D29" s="337" t="s">
        <v>18</v>
      </c>
      <c r="E29" s="318">
        <v>40591.490486111114</v>
      </c>
      <c r="F29" s="319">
        <v>40591.490486111114</v>
      </c>
      <c r="G29" s="319">
        <v>40591.490486111114</v>
      </c>
      <c r="H29" s="320">
        <v>40591.490486111114</v>
      </c>
      <c r="I29" s="321" t="s">
        <v>4</v>
      </c>
      <c r="J29" s="322" t="s">
        <v>4</v>
      </c>
      <c r="K29" s="322" t="s">
        <v>4</v>
      </c>
      <c r="L29" s="322" t="s">
        <v>4</v>
      </c>
      <c r="M29" s="322" t="s">
        <v>4</v>
      </c>
      <c r="N29" s="322" t="s">
        <v>4</v>
      </c>
      <c r="O29" s="322" t="s">
        <v>4</v>
      </c>
      <c r="P29" s="322" t="s">
        <v>4</v>
      </c>
      <c r="Q29" s="322" t="s">
        <v>4</v>
      </c>
      <c r="R29" s="321" t="s">
        <v>35</v>
      </c>
      <c r="S29" s="321" t="s">
        <v>35</v>
      </c>
      <c r="T29" s="321" t="s">
        <v>35</v>
      </c>
      <c r="U29" s="321" t="s">
        <v>35</v>
      </c>
      <c r="V29" s="321" t="s">
        <v>35</v>
      </c>
      <c r="W29" s="321" t="s">
        <v>35</v>
      </c>
      <c r="X29" s="321" t="s">
        <v>35</v>
      </c>
      <c r="Y29" s="321" t="s">
        <v>35</v>
      </c>
      <c r="Z29" s="321" t="s">
        <v>35</v>
      </c>
      <c r="AA29" s="321" t="s">
        <v>35</v>
      </c>
      <c r="AB29" s="321" t="s">
        <v>35</v>
      </c>
      <c r="AC29" s="321" t="s">
        <v>35</v>
      </c>
      <c r="AD29" s="321" t="s">
        <v>35</v>
      </c>
      <c r="AE29" s="321" t="s">
        <v>35</v>
      </c>
      <c r="AF29" s="321" t="s">
        <v>35</v>
      </c>
      <c r="AG29" s="106"/>
      <c r="AH29" s="106"/>
    </row>
    <row r="30" spans="1:34" ht="291" customHeight="1">
      <c r="A30" s="106"/>
      <c r="B30" s="335" t="s">
        <v>98</v>
      </c>
      <c r="C30" s="336" t="s">
        <v>98</v>
      </c>
      <c r="D30" s="337" t="s">
        <v>98</v>
      </c>
      <c r="E30" s="318">
        <v>41071.656145833331</v>
      </c>
      <c r="F30" s="319">
        <v>41071.656145833331</v>
      </c>
      <c r="G30" s="319">
        <v>41071.656145833331</v>
      </c>
      <c r="H30" s="320">
        <v>41071.656145833331</v>
      </c>
      <c r="I30" s="321" t="s">
        <v>4</v>
      </c>
      <c r="J30" s="322" t="s">
        <v>4</v>
      </c>
      <c r="K30" s="322" t="s">
        <v>4</v>
      </c>
      <c r="L30" s="322" t="s">
        <v>4</v>
      </c>
      <c r="M30" s="322" t="s">
        <v>4</v>
      </c>
      <c r="N30" s="322" t="s">
        <v>4</v>
      </c>
      <c r="O30" s="322" t="s">
        <v>4</v>
      </c>
      <c r="P30" s="322" t="s">
        <v>4</v>
      </c>
      <c r="Q30" s="322" t="s">
        <v>4</v>
      </c>
      <c r="R30" s="321" t="s">
        <v>129</v>
      </c>
      <c r="S30" s="321" t="s">
        <v>129</v>
      </c>
      <c r="T30" s="321" t="s">
        <v>129</v>
      </c>
      <c r="U30" s="321" t="s">
        <v>129</v>
      </c>
      <c r="V30" s="321" t="s">
        <v>129</v>
      </c>
      <c r="W30" s="321" t="s">
        <v>129</v>
      </c>
      <c r="X30" s="321" t="s">
        <v>129</v>
      </c>
      <c r="Y30" s="321" t="s">
        <v>129</v>
      </c>
      <c r="Z30" s="321" t="s">
        <v>129</v>
      </c>
      <c r="AA30" s="321" t="s">
        <v>129</v>
      </c>
      <c r="AB30" s="321" t="s">
        <v>129</v>
      </c>
      <c r="AC30" s="321" t="s">
        <v>129</v>
      </c>
      <c r="AD30" s="321" t="s">
        <v>129</v>
      </c>
      <c r="AE30" s="321" t="s">
        <v>129</v>
      </c>
      <c r="AF30" s="321" t="s">
        <v>129</v>
      </c>
      <c r="AG30" s="106"/>
      <c r="AH30" s="106"/>
    </row>
    <row r="31" spans="1:34" ht="40.5" customHeight="1">
      <c r="A31" s="106"/>
      <c r="B31" s="335" t="s">
        <v>86</v>
      </c>
      <c r="C31" s="336" t="s">
        <v>86</v>
      </c>
      <c r="D31" s="337" t="s">
        <v>86</v>
      </c>
      <c r="E31" s="318">
        <v>41071.656145833331</v>
      </c>
      <c r="F31" s="319">
        <v>41071.656145833331</v>
      </c>
      <c r="G31" s="319">
        <v>41071.656145833331</v>
      </c>
      <c r="H31" s="320">
        <v>41071.656145833331</v>
      </c>
      <c r="I31" s="321" t="s">
        <v>87</v>
      </c>
      <c r="J31" s="322" t="s">
        <v>87</v>
      </c>
      <c r="K31" s="322" t="s">
        <v>87</v>
      </c>
      <c r="L31" s="322" t="s">
        <v>87</v>
      </c>
      <c r="M31" s="322" t="s">
        <v>87</v>
      </c>
      <c r="N31" s="322" t="s">
        <v>87</v>
      </c>
      <c r="O31" s="322" t="s">
        <v>87</v>
      </c>
      <c r="P31" s="322" t="s">
        <v>87</v>
      </c>
      <c r="Q31" s="322" t="s">
        <v>87</v>
      </c>
      <c r="R31" s="321" t="s">
        <v>100</v>
      </c>
      <c r="S31" s="321" t="s">
        <v>100</v>
      </c>
      <c r="T31" s="321" t="s">
        <v>100</v>
      </c>
      <c r="U31" s="321" t="s">
        <v>100</v>
      </c>
      <c r="V31" s="321" t="s">
        <v>100</v>
      </c>
      <c r="W31" s="321" t="s">
        <v>100</v>
      </c>
      <c r="X31" s="321" t="s">
        <v>100</v>
      </c>
      <c r="Y31" s="321" t="s">
        <v>100</v>
      </c>
      <c r="Z31" s="321" t="s">
        <v>100</v>
      </c>
      <c r="AA31" s="321" t="s">
        <v>100</v>
      </c>
      <c r="AB31" s="321" t="s">
        <v>100</v>
      </c>
      <c r="AC31" s="321" t="s">
        <v>100</v>
      </c>
      <c r="AD31" s="321" t="s">
        <v>100</v>
      </c>
      <c r="AE31" s="321" t="s">
        <v>100</v>
      </c>
      <c r="AF31" s="321" t="s">
        <v>100</v>
      </c>
      <c r="AG31" s="106"/>
      <c r="AH31" s="106"/>
    </row>
    <row r="32" spans="1:34" ht="121.5" customHeight="1">
      <c r="A32" s="106"/>
      <c r="B32" s="335"/>
      <c r="C32" s="336"/>
      <c r="D32" s="337"/>
      <c r="E32" s="318">
        <v>42195</v>
      </c>
      <c r="F32" s="319">
        <v>42195</v>
      </c>
      <c r="G32" s="319">
        <v>42195</v>
      </c>
      <c r="H32" s="320">
        <v>42195</v>
      </c>
      <c r="I32" s="321" t="s">
        <v>99</v>
      </c>
      <c r="J32" s="322" t="s">
        <v>99</v>
      </c>
      <c r="K32" s="322" t="s">
        <v>99</v>
      </c>
      <c r="L32" s="322" t="s">
        <v>99</v>
      </c>
      <c r="M32" s="322" t="s">
        <v>99</v>
      </c>
      <c r="N32" s="322" t="s">
        <v>99</v>
      </c>
      <c r="O32" s="322" t="s">
        <v>99</v>
      </c>
      <c r="P32" s="322" t="s">
        <v>99</v>
      </c>
      <c r="Q32" s="322" t="s">
        <v>99</v>
      </c>
      <c r="R32" s="321" t="s">
        <v>102</v>
      </c>
      <c r="S32" s="321" t="s">
        <v>102</v>
      </c>
      <c r="T32" s="321" t="s">
        <v>102</v>
      </c>
      <c r="U32" s="321" t="s">
        <v>102</v>
      </c>
      <c r="V32" s="321" t="s">
        <v>102</v>
      </c>
      <c r="W32" s="321" t="s">
        <v>102</v>
      </c>
      <c r="X32" s="321" t="s">
        <v>102</v>
      </c>
      <c r="Y32" s="321" t="s">
        <v>102</v>
      </c>
      <c r="Z32" s="321" t="s">
        <v>102</v>
      </c>
      <c r="AA32" s="321" t="s">
        <v>102</v>
      </c>
      <c r="AB32" s="321" t="s">
        <v>102</v>
      </c>
      <c r="AC32" s="321" t="s">
        <v>102</v>
      </c>
      <c r="AD32" s="321" t="s">
        <v>102</v>
      </c>
      <c r="AE32" s="321" t="s">
        <v>102</v>
      </c>
      <c r="AF32" s="321" t="s">
        <v>102</v>
      </c>
      <c r="AG32" s="106"/>
      <c r="AH32" s="106"/>
    </row>
    <row r="33" spans="1:34" ht="114" customHeight="1">
      <c r="A33" s="106"/>
      <c r="B33" s="335" t="s">
        <v>103</v>
      </c>
      <c r="C33" s="336" t="s">
        <v>103</v>
      </c>
      <c r="D33" s="337" t="s">
        <v>103</v>
      </c>
      <c r="E33" s="318">
        <v>42391.634837962964</v>
      </c>
      <c r="F33" s="319">
        <v>42391.634837962964</v>
      </c>
      <c r="G33" s="319">
        <v>42391.634837962964</v>
      </c>
      <c r="H33" s="320">
        <v>42391.634837962964</v>
      </c>
      <c r="I33" s="321" t="s">
        <v>104</v>
      </c>
      <c r="J33" s="322" t="s">
        <v>104</v>
      </c>
      <c r="K33" s="322" t="s">
        <v>104</v>
      </c>
      <c r="L33" s="322" t="s">
        <v>104</v>
      </c>
      <c r="M33" s="322" t="s">
        <v>104</v>
      </c>
      <c r="N33" s="322" t="s">
        <v>104</v>
      </c>
      <c r="O33" s="322" t="s">
        <v>104</v>
      </c>
      <c r="P33" s="322" t="s">
        <v>104</v>
      </c>
      <c r="Q33" s="322" t="s">
        <v>104</v>
      </c>
      <c r="R33" s="321" t="s">
        <v>128</v>
      </c>
      <c r="S33" s="321" t="s">
        <v>128</v>
      </c>
      <c r="T33" s="321" t="s">
        <v>128</v>
      </c>
      <c r="U33" s="321" t="s">
        <v>128</v>
      </c>
      <c r="V33" s="321" t="s">
        <v>128</v>
      </c>
      <c r="W33" s="321" t="s">
        <v>128</v>
      </c>
      <c r="X33" s="321" t="s">
        <v>128</v>
      </c>
      <c r="Y33" s="321" t="s">
        <v>128</v>
      </c>
      <c r="Z33" s="321" t="s">
        <v>128</v>
      </c>
      <c r="AA33" s="321" t="s">
        <v>128</v>
      </c>
      <c r="AB33" s="321" t="s">
        <v>128</v>
      </c>
      <c r="AC33" s="321" t="s">
        <v>128</v>
      </c>
      <c r="AD33" s="321" t="s">
        <v>128</v>
      </c>
      <c r="AE33" s="321" t="s">
        <v>128</v>
      </c>
      <c r="AF33" s="321" t="s">
        <v>128</v>
      </c>
      <c r="AG33" s="106"/>
      <c r="AH33" s="106"/>
    </row>
    <row r="34" spans="1:34" ht="40.5" customHeight="1">
      <c r="A34" s="106"/>
      <c r="B34" s="323" t="s">
        <v>609</v>
      </c>
      <c r="C34" s="324"/>
      <c r="D34" s="324"/>
      <c r="E34" s="318"/>
      <c r="F34" s="319"/>
      <c r="G34" s="319"/>
      <c r="H34" s="320"/>
      <c r="I34" s="321" t="s">
        <v>600</v>
      </c>
      <c r="J34" s="322"/>
      <c r="K34" s="322"/>
      <c r="L34" s="322"/>
      <c r="M34" s="322"/>
      <c r="N34" s="322"/>
      <c r="O34" s="322"/>
      <c r="P34" s="322"/>
      <c r="Q34" s="322"/>
      <c r="R34" s="321" t="s">
        <v>601</v>
      </c>
      <c r="S34" s="321"/>
      <c r="T34" s="321"/>
      <c r="U34" s="321"/>
      <c r="V34" s="321"/>
      <c r="W34" s="321"/>
      <c r="X34" s="321"/>
      <c r="Y34" s="321"/>
      <c r="Z34" s="321"/>
      <c r="AA34" s="321"/>
      <c r="AB34" s="321"/>
      <c r="AC34" s="321"/>
      <c r="AD34" s="321"/>
      <c r="AE34" s="321"/>
      <c r="AF34" s="321"/>
      <c r="AG34" s="106"/>
      <c r="AH34" s="106"/>
    </row>
    <row r="35" spans="1:34" ht="40.5" customHeight="1">
      <c r="A35" s="106"/>
      <c r="B35" s="323" t="s">
        <v>610</v>
      </c>
      <c r="C35" s="324"/>
      <c r="D35" s="324"/>
      <c r="E35" s="318"/>
      <c r="F35" s="319"/>
      <c r="G35" s="319"/>
      <c r="H35" s="320"/>
      <c r="I35" s="321" t="s">
        <v>600</v>
      </c>
      <c r="J35" s="322"/>
      <c r="K35" s="322"/>
      <c r="L35" s="322"/>
      <c r="M35" s="322"/>
      <c r="N35" s="322"/>
      <c r="O35" s="322"/>
      <c r="P35" s="322"/>
      <c r="Q35" s="322"/>
      <c r="R35" s="321" t="s">
        <v>602</v>
      </c>
      <c r="S35" s="321"/>
      <c r="T35" s="321"/>
      <c r="U35" s="321"/>
      <c r="V35" s="321"/>
      <c r="W35" s="321"/>
      <c r="X35" s="321"/>
      <c r="Y35" s="321"/>
      <c r="Z35" s="321"/>
      <c r="AA35" s="321"/>
      <c r="AB35" s="321"/>
      <c r="AC35" s="321"/>
      <c r="AD35" s="321"/>
      <c r="AE35" s="321"/>
      <c r="AF35" s="321"/>
      <c r="AG35" s="106"/>
      <c r="AH35" s="106"/>
    </row>
    <row r="36" spans="1:34" ht="40.5" customHeight="1">
      <c r="A36" s="106"/>
      <c r="B36" s="323" t="s">
        <v>611</v>
      </c>
      <c r="C36" s="324"/>
      <c r="D36" s="324"/>
      <c r="E36" s="318"/>
      <c r="F36" s="319"/>
      <c r="G36" s="319"/>
      <c r="H36" s="320"/>
      <c r="I36" s="321" t="s">
        <v>600</v>
      </c>
      <c r="J36" s="322"/>
      <c r="K36" s="322"/>
      <c r="L36" s="322"/>
      <c r="M36" s="322"/>
      <c r="N36" s="322"/>
      <c r="O36" s="322"/>
      <c r="P36" s="322"/>
      <c r="Q36" s="322"/>
      <c r="R36" s="321" t="s">
        <v>603</v>
      </c>
      <c r="S36" s="321"/>
      <c r="T36" s="321"/>
      <c r="U36" s="321"/>
      <c r="V36" s="321"/>
      <c r="W36" s="321"/>
      <c r="X36" s="321"/>
      <c r="Y36" s="321"/>
      <c r="Z36" s="321"/>
      <c r="AA36" s="321"/>
      <c r="AB36" s="321"/>
      <c r="AC36" s="321"/>
      <c r="AD36" s="321"/>
      <c r="AE36" s="321"/>
      <c r="AF36" s="321"/>
      <c r="AG36" s="106"/>
      <c r="AH36" s="106"/>
    </row>
    <row r="37" spans="1:34" ht="102" customHeight="1">
      <c r="A37" s="106"/>
      <c r="B37" s="323" t="s">
        <v>612</v>
      </c>
      <c r="C37" s="324"/>
      <c r="D37" s="324"/>
      <c r="E37" s="318"/>
      <c r="F37" s="319"/>
      <c r="G37" s="319"/>
      <c r="H37" s="320"/>
      <c r="I37" s="321" t="s">
        <v>600</v>
      </c>
      <c r="J37" s="322"/>
      <c r="K37" s="322"/>
      <c r="L37" s="322"/>
      <c r="M37" s="322"/>
      <c r="N37" s="322"/>
      <c r="O37" s="322"/>
      <c r="P37" s="322"/>
      <c r="Q37" s="322"/>
      <c r="R37" s="321" t="s">
        <v>604</v>
      </c>
      <c r="S37" s="321"/>
      <c r="T37" s="321"/>
      <c r="U37" s="321"/>
      <c r="V37" s="321"/>
      <c r="W37" s="321"/>
      <c r="X37" s="321"/>
      <c r="Y37" s="321"/>
      <c r="Z37" s="321"/>
      <c r="AA37" s="321"/>
      <c r="AB37" s="321"/>
      <c r="AC37" s="321"/>
      <c r="AD37" s="321"/>
      <c r="AE37" s="321"/>
      <c r="AF37" s="321"/>
      <c r="AG37" s="106"/>
      <c r="AH37" s="106"/>
    </row>
    <row r="38" spans="1:34" ht="217.5" customHeight="1">
      <c r="A38" s="106"/>
      <c r="B38" s="323" t="s">
        <v>613</v>
      </c>
      <c r="C38" s="324"/>
      <c r="D38" s="324"/>
      <c r="E38" s="318"/>
      <c r="F38" s="319"/>
      <c r="G38" s="319"/>
      <c r="H38" s="320"/>
      <c r="I38" s="321" t="s">
        <v>600</v>
      </c>
      <c r="J38" s="322"/>
      <c r="K38" s="322"/>
      <c r="L38" s="322"/>
      <c r="M38" s="322"/>
      <c r="N38" s="322"/>
      <c r="O38" s="322"/>
      <c r="P38" s="322"/>
      <c r="Q38" s="322"/>
      <c r="R38" s="321" t="s">
        <v>605</v>
      </c>
      <c r="S38" s="321"/>
      <c r="T38" s="321"/>
      <c r="U38" s="321"/>
      <c r="V38" s="321"/>
      <c r="W38" s="321"/>
      <c r="X38" s="321"/>
      <c r="Y38" s="321"/>
      <c r="Z38" s="321"/>
      <c r="AA38" s="321"/>
      <c r="AB38" s="321"/>
      <c r="AC38" s="321"/>
      <c r="AD38" s="321"/>
      <c r="AE38" s="321"/>
      <c r="AF38" s="321"/>
      <c r="AG38" s="106"/>
      <c r="AH38" s="106"/>
    </row>
    <row r="39" spans="1:34" ht="40.5" customHeight="1">
      <c r="A39" s="106"/>
      <c r="B39" s="323" t="s">
        <v>614</v>
      </c>
      <c r="C39" s="324"/>
      <c r="D39" s="324"/>
      <c r="E39" s="318"/>
      <c r="F39" s="319"/>
      <c r="G39" s="319"/>
      <c r="H39" s="320"/>
      <c r="I39" s="321" t="s">
        <v>600</v>
      </c>
      <c r="J39" s="322"/>
      <c r="K39" s="322"/>
      <c r="L39" s="322"/>
      <c r="M39" s="322"/>
      <c r="N39" s="322"/>
      <c r="O39" s="322"/>
      <c r="P39" s="322"/>
      <c r="Q39" s="322"/>
      <c r="R39" s="321" t="s">
        <v>606</v>
      </c>
      <c r="S39" s="321"/>
      <c r="T39" s="321"/>
      <c r="U39" s="321"/>
      <c r="V39" s="321"/>
      <c r="W39" s="321"/>
      <c r="X39" s="321"/>
      <c r="Y39" s="321"/>
      <c r="Z39" s="321"/>
      <c r="AA39" s="321"/>
      <c r="AB39" s="321"/>
      <c r="AC39" s="321"/>
      <c r="AD39" s="321"/>
      <c r="AE39" s="321"/>
      <c r="AF39" s="321"/>
      <c r="AG39" s="106"/>
      <c r="AH39" s="106"/>
    </row>
    <row r="40" spans="1:34" ht="69" customHeight="1">
      <c r="A40" s="106"/>
      <c r="B40" s="323" t="s">
        <v>608</v>
      </c>
      <c r="C40" s="324"/>
      <c r="D40" s="324"/>
      <c r="E40" s="318">
        <v>44562</v>
      </c>
      <c r="F40" s="319"/>
      <c r="G40" s="319"/>
      <c r="H40" s="320"/>
      <c r="I40" s="321" t="s">
        <v>600</v>
      </c>
      <c r="J40" s="322"/>
      <c r="K40" s="322"/>
      <c r="L40" s="322"/>
      <c r="M40" s="322"/>
      <c r="N40" s="322"/>
      <c r="O40" s="322"/>
      <c r="P40" s="322"/>
      <c r="Q40" s="322"/>
      <c r="R40" s="321" t="s">
        <v>607</v>
      </c>
      <c r="S40" s="321"/>
      <c r="T40" s="321"/>
      <c r="U40" s="321"/>
      <c r="V40" s="321"/>
      <c r="W40" s="321"/>
      <c r="X40" s="321"/>
      <c r="Y40" s="321"/>
      <c r="Z40" s="321"/>
      <c r="AA40" s="321"/>
      <c r="AB40" s="321"/>
      <c r="AC40" s="321"/>
      <c r="AD40" s="321"/>
      <c r="AE40" s="321"/>
      <c r="AF40" s="321"/>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331" t="s">
        <v>159</v>
      </c>
      <c r="C46" s="331"/>
      <c r="D46" s="331"/>
      <c r="E46" s="331" t="s">
        <v>160</v>
      </c>
      <c r="F46" s="332"/>
      <c r="G46" s="332"/>
      <c r="H46" s="332"/>
      <c r="I46" s="332"/>
      <c r="J46" s="332"/>
      <c r="K46" s="332"/>
      <c r="L46" s="332"/>
      <c r="M46" s="332"/>
      <c r="N46" s="332"/>
      <c r="O46" s="332"/>
      <c r="P46" s="332"/>
      <c r="Q46" s="332"/>
      <c r="R46" s="332"/>
      <c r="S46" s="332"/>
      <c r="T46" s="332"/>
      <c r="U46" s="332"/>
      <c r="V46" s="332"/>
      <c r="W46" s="332"/>
      <c r="X46" s="332"/>
      <c r="Y46" s="331" t="s">
        <v>161</v>
      </c>
      <c r="Z46" s="331"/>
      <c r="AA46" s="331"/>
      <c r="AB46" s="331"/>
      <c r="AC46" s="331"/>
      <c r="AD46" s="331"/>
      <c r="AE46" s="331"/>
      <c r="AF46" s="331"/>
      <c r="AG46" s="106"/>
      <c r="AH46" s="106"/>
    </row>
    <row r="47" spans="1:34">
      <c r="A47" s="106"/>
      <c r="B47" s="333"/>
      <c r="C47" s="333"/>
      <c r="D47" s="333"/>
      <c r="E47" s="321"/>
      <c r="F47" s="334"/>
      <c r="G47" s="334"/>
      <c r="H47" s="334"/>
      <c r="I47" s="334"/>
      <c r="J47" s="334"/>
      <c r="K47" s="334"/>
      <c r="L47" s="334"/>
      <c r="M47" s="334"/>
      <c r="N47" s="334"/>
      <c r="O47" s="334"/>
      <c r="P47" s="334"/>
      <c r="Q47" s="334"/>
      <c r="R47" s="334"/>
      <c r="S47" s="334"/>
      <c r="T47" s="334"/>
      <c r="U47" s="334"/>
      <c r="V47" s="334"/>
      <c r="W47" s="334"/>
      <c r="X47" s="334"/>
      <c r="Y47" s="321"/>
      <c r="Z47" s="334"/>
      <c r="AA47" s="334"/>
      <c r="AB47" s="334"/>
      <c r="AC47" s="334"/>
      <c r="AD47" s="334"/>
      <c r="AE47" s="334"/>
      <c r="AF47" s="334"/>
      <c r="AG47" s="106"/>
      <c r="AH47" s="106"/>
    </row>
    <row r="48" spans="1:34">
      <c r="A48" s="106"/>
      <c r="B48" s="333"/>
      <c r="C48" s="333"/>
      <c r="D48" s="333"/>
      <c r="E48" s="321"/>
      <c r="F48" s="334"/>
      <c r="G48" s="334"/>
      <c r="H48" s="334"/>
      <c r="I48" s="334"/>
      <c r="J48" s="334"/>
      <c r="K48" s="334"/>
      <c r="L48" s="334"/>
      <c r="M48" s="334"/>
      <c r="N48" s="334"/>
      <c r="O48" s="334"/>
      <c r="P48" s="334"/>
      <c r="Q48" s="334"/>
      <c r="R48" s="334"/>
      <c r="S48" s="334"/>
      <c r="T48" s="334"/>
      <c r="U48" s="334"/>
      <c r="V48" s="334"/>
      <c r="W48" s="334"/>
      <c r="X48" s="334"/>
      <c r="Y48" s="321"/>
      <c r="Z48" s="334"/>
      <c r="AA48" s="334"/>
      <c r="AB48" s="334"/>
      <c r="AC48" s="334"/>
      <c r="AD48" s="334"/>
      <c r="AE48" s="334"/>
      <c r="AF48" s="334"/>
      <c r="AG48" s="106"/>
      <c r="AH48" s="106"/>
    </row>
    <row r="49" spans="1:34">
      <c r="A49" s="106"/>
      <c r="B49" s="333"/>
      <c r="C49" s="333"/>
      <c r="D49" s="333"/>
      <c r="E49" s="321"/>
      <c r="F49" s="334"/>
      <c r="G49" s="334"/>
      <c r="H49" s="334"/>
      <c r="I49" s="334"/>
      <c r="J49" s="334"/>
      <c r="K49" s="334"/>
      <c r="L49" s="334"/>
      <c r="M49" s="334"/>
      <c r="N49" s="334"/>
      <c r="O49" s="334"/>
      <c r="P49" s="334"/>
      <c r="Q49" s="334"/>
      <c r="R49" s="334"/>
      <c r="S49" s="334"/>
      <c r="T49" s="334"/>
      <c r="U49" s="334"/>
      <c r="V49" s="334"/>
      <c r="W49" s="334"/>
      <c r="X49" s="334"/>
      <c r="Y49" s="321"/>
      <c r="Z49" s="334"/>
      <c r="AA49" s="334"/>
      <c r="AB49" s="334"/>
      <c r="AC49" s="334"/>
      <c r="AD49" s="334"/>
      <c r="AE49" s="334"/>
      <c r="AF49" s="334"/>
      <c r="AG49" s="106"/>
      <c r="AH49" s="106"/>
    </row>
    <row r="50" spans="1:34">
      <c r="A50" s="106"/>
      <c r="B50" s="333"/>
      <c r="C50" s="333"/>
      <c r="D50" s="333"/>
      <c r="E50" s="321"/>
      <c r="F50" s="334"/>
      <c r="G50" s="334"/>
      <c r="H50" s="334"/>
      <c r="I50" s="334"/>
      <c r="J50" s="334"/>
      <c r="K50" s="334"/>
      <c r="L50" s="334"/>
      <c r="M50" s="334"/>
      <c r="N50" s="334"/>
      <c r="O50" s="334"/>
      <c r="P50" s="334"/>
      <c r="Q50" s="334"/>
      <c r="R50" s="334"/>
      <c r="S50" s="334"/>
      <c r="T50" s="334"/>
      <c r="U50" s="334"/>
      <c r="V50" s="334"/>
      <c r="W50" s="334"/>
      <c r="X50" s="334"/>
      <c r="Y50" s="321"/>
      <c r="Z50" s="334"/>
      <c r="AA50" s="334"/>
      <c r="AB50" s="334"/>
      <c r="AC50" s="334"/>
      <c r="AD50" s="334"/>
      <c r="AE50" s="334"/>
      <c r="AF50" s="334"/>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331" t="s">
        <v>159</v>
      </c>
      <c r="C52" s="331"/>
      <c r="D52" s="331"/>
      <c r="E52" s="331" t="s">
        <v>160</v>
      </c>
      <c r="F52" s="332"/>
      <c r="G52" s="332"/>
      <c r="H52" s="332"/>
      <c r="I52" s="332"/>
      <c r="J52" s="332"/>
      <c r="K52" s="332"/>
      <c r="L52" s="332"/>
      <c r="M52" s="332"/>
      <c r="N52" s="332"/>
      <c r="O52" s="332"/>
      <c r="P52" s="332"/>
      <c r="Q52" s="332"/>
      <c r="R52" s="332"/>
      <c r="S52" s="332"/>
      <c r="T52" s="332"/>
      <c r="U52" s="332"/>
      <c r="V52" s="332"/>
      <c r="W52" s="332"/>
      <c r="X52" s="332"/>
      <c r="Y52" s="331" t="s">
        <v>161</v>
      </c>
      <c r="Z52" s="331"/>
      <c r="AA52" s="331"/>
      <c r="AB52" s="331"/>
      <c r="AC52" s="331"/>
      <c r="AD52" s="331"/>
      <c r="AE52" s="331"/>
      <c r="AF52" s="331"/>
      <c r="AG52" s="106"/>
      <c r="AH52" s="106"/>
    </row>
    <row r="53" spans="1:34">
      <c r="A53" s="106"/>
      <c r="B53" s="333"/>
      <c r="C53" s="333"/>
      <c r="D53" s="333"/>
      <c r="E53" s="321"/>
      <c r="F53" s="334"/>
      <c r="G53" s="334"/>
      <c r="H53" s="334"/>
      <c r="I53" s="334"/>
      <c r="J53" s="334"/>
      <c r="K53" s="334"/>
      <c r="L53" s="334"/>
      <c r="M53" s="334"/>
      <c r="N53" s="334"/>
      <c r="O53" s="334"/>
      <c r="P53" s="334"/>
      <c r="Q53" s="334"/>
      <c r="R53" s="334"/>
      <c r="S53" s="334"/>
      <c r="T53" s="334"/>
      <c r="U53" s="334"/>
      <c r="V53" s="334"/>
      <c r="W53" s="334"/>
      <c r="X53" s="334"/>
      <c r="Y53" s="321"/>
      <c r="Z53" s="334"/>
      <c r="AA53" s="334"/>
      <c r="AB53" s="334"/>
      <c r="AC53" s="334"/>
      <c r="AD53" s="334"/>
      <c r="AE53" s="334"/>
      <c r="AF53" s="334"/>
      <c r="AG53" s="106"/>
      <c r="AH53" s="106"/>
    </row>
    <row r="54" spans="1:34">
      <c r="A54" s="106"/>
      <c r="B54" s="333"/>
      <c r="C54" s="333"/>
      <c r="D54" s="333"/>
      <c r="E54" s="321"/>
      <c r="F54" s="334"/>
      <c r="G54" s="334"/>
      <c r="H54" s="334"/>
      <c r="I54" s="334"/>
      <c r="J54" s="334"/>
      <c r="K54" s="334"/>
      <c r="L54" s="334"/>
      <c r="M54" s="334"/>
      <c r="N54" s="334"/>
      <c r="O54" s="334"/>
      <c r="P54" s="334"/>
      <c r="Q54" s="334"/>
      <c r="R54" s="334"/>
      <c r="S54" s="334"/>
      <c r="T54" s="334"/>
      <c r="U54" s="334"/>
      <c r="V54" s="334"/>
      <c r="W54" s="334"/>
      <c r="X54" s="334"/>
      <c r="Y54" s="321"/>
      <c r="Z54" s="334"/>
      <c r="AA54" s="334"/>
      <c r="AB54" s="334"/>
      <c r="AC54" s="334"/>
      <c r="AD54" s="334"/>
      <c r="AE54" s="334"/>
      <c r="AF54" s="334"/>
      <c r="AG54" s="106"/>
      <c r="AH54" s="106"/>
    </row>
    <row r="55" spans="1:34">
      <c r="A55" s="106"/>
      <c r="B55" s="333"/>
      <c r="C55" s="333"/>
      <c r="D55" s="333"/>
      <c r="E55" s="321"/>
      <c r="F55" s="334"/>
      <c r="G55" s="334"/>
      <c r="H55" s="334"/>
      <c r="I55" s="334"/>
      <c r="J55" s="334"/>
      <c r="K55" s="334"/>
      <c r="L55" s="334"/>
      <c r="M55" s="334"/>
      <c r="N55" s="334"/>
      <c r="O55" s="334"/>
      <c r="P55" s="334"/>
      <c r="Q55" s="334"/>
      <c r="R55" s="334"/>
      <c r="S55" s="334"/>
      <c r="T55" s="334"/>
      <c r="U55" s="334"/>
      <c r="V55" s="334"/>
      <c r="W55" s="334"/>
      <c r="X55" s="334"/>
      <c r="Y55" s="321"/>
      <c r="Z55" s="334"/>
      <c r="AA55" s="334"/>
      <c r="AB55" s="334"/>
      <c r="AC55" s="334"/>
      <c r="AD55" s="334"/>
      <c r="AE55" s="334"/>
      <c r="AF55" s="334"/>
      <c r="AG55" s="106"/>
      <c r="AH55" s="106"/>
    </row>
    <row r="56" spans="1:34">
      <c r="A56" s="106"/>
      <c r="B56" s="333"/>
      <c r="C56" s="333"/>
      <c r="D56" s="333"/>
      <c r="E56" s="321"/>
      <c r="F56" s="334"/>
      <c r="G56" s="334"/>
      <c r="H56" s="334"/>
      <c r="I56" s="334"/>
      <c r="J56" s="334"/>
      <c r="K56" s="334"/>
      <c r="L56" s="334"/>
      <c r="M56" s="334"/>
      <c r="N56" s="334"/>
      <c r="O56" s="334"/>
      <c r="P56" s="334"/>
      <c r="Q56" s="334"/>
      <c r="R56" s="334"/>
      <c r="S56" s="334"/>
      <c r="T56" s="334"/>
      <c r="U56" s="334"/>
      <c r="V56" s="334"/>
      <c r="W56" s="334"/>
      <c r="X56" s="334"/>
      <c r="Y56" s="321"/>
      <c r="Z56" s="334"/>
      <c r="AA56" s="334"/>
      <c r="AB56" s="334"/>
      <c r="AC56" s="334"/>
      <c r="AD56" s="334"/>
      <c r="AE56" s="334"/>
      <c r="AF56" s="334"/>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331" t="s">
        <v>164</v>
      </c>
      <c r="C59" s="331"/>
      <c r="D59" s="331"/>
      <c r="E59" s="331"/>
      <c r="F59" s="331"/>
      <c r="G59" s="331"/>
      <c r="H59" s="356"/>
      <c r="I59" s="356"/>
      <c r="J59" s="356"/>
      <c r="K59" s="356"/>
      <c r="L59" s="356"/>
      <c r="M59" s="356"/>
      <c r="N59" s="356"/>
      <c r="O59" s="356"/>
      <c r="P59" s="356"/>
      <c r="Q59" s="356"/>
      <c r="R59" s="356"/>
      <c r="S59" s="356"/>
      <c r="T59" s="356"/>
      <c r="U59" s="356"/>
      <c r="V59" s="356"/>
      <c r="W59" s="356"/>
      <c r="X59" s="356"/>
      <c r="Y59" s="356"/>
      <c r="Z59" s="356"/>
      <c r="AA59" s="356"/>
      <c r="AB59" s="356"/>
      <c r="AC59" s="356"/>
      <c r="AD59" s="356"/>
      <c r="AE59" s="356"/>
      <c r="AF59" s="356"/>
      <c r="AG59" s="106"/>
      <c r="AH59" s="106"/>
    </row>
    <row r="60" spans="1:34" ht="27.75" customHeight="1">
      <c r="A60" s="106"/>
      <c r="B60" s="335" t="s">
        <v>165</v>
      </c>
      <c r="C60" s="336"/>
      <c r="D60" s="336"/>
      <c r="E60" s="336"/>
      <c r="F60" s="336"/>
      <c r="G60" s="337"/>
      <c r="H60" s="360" t="s">
        <v>166</v>
      </c>
      <c r="I60" s="358"/>
      <c r="J60" s="358"/>
      <c r="K60" s="358"/>
      <c r="L60" s="358"/>
      <c r="M60" s="358"/>
      <c r="N60" s="358"/>
      <c r="O60" s="358"/>
      <c r="P60" s="358"/>
      <c r="Q60" s="358"/>
      <c r="R60" s="358"/>
      <c r="S60" s="358"/>
      <c r="T60" s="358"/>
      <c r="U60" s="358"/>
      <c r="V60" s="358"/>
      <c r="W60" s="358"/>
      <c r="X60" s="358"/>
      <c r="Y60" s="358"/>
      <c r="Z60" s="358"/>
      <c r="AA60" s="358"/>
      <c r="AB60" s="358"/>
      <c r="AC60" s="358"/>
      <c r="AD60" s="358"/>
      <c r="AE60" s="358"/>
      <c r="AF60" s="359"/>
      <c r="AG60" s="106"/>
      <c r="AH60" s="106"/>
    </row>
    <row r="61" spans="1:34">
      <c r="A61" s="106"/>
      <c r="B61" s="335"/>
      <c r="C61" s="336"/>
      <c r="D61" s="336"/>
      <c r="E61" s="336"/>
      <c r="F61" s="336"/>
      <c r="G61" s="337"/>
      <c r="H61" s="357"/>
      <c r="I61" s="358"/>
      <c r="J61" s="358"/>
      <c r="K61" s="358"/>
      <c r="L61" s="358"/>
      <c r="M61" s="358"/>
      <c r="N61" s="358"/>
      <c r="O61" s="358"/>
      <c r="P61" s="358"/>
      <c r="Q61" s="358"/>
      <c r="R61" s="358"/>
      <c r="S61" s="358"/>
      <c r="T61" s="358"/>
      <c r="U61" s="358"/>
      <c r="V61" s="358"/>
      <c r="W61" s="358"/>
      <c r="X61" s="358"/>
      <c r="Y61" s="358"/>
      <c r="Z61" s="358"/>
      <c r="AA61" s="358"/>
      <c r="AB61" s="358"/>
      <c r="AC61" s="358"/>
      <c r="AD61" s="358"/>
      <c r="AE61" s="358"/>
      <c r="AF61" s="359"/>
      <c r="AG61" s="106"/>
      <c r="AH61" s="106"/>
    </row>
    <row r="62" spans="1:34">
      <c r="A62" s="106"/>
      <c r="B62" s="335"/>
      <c r="C62" s="336"/>
      <c r="D62" s="336"/>
      <c r="E62" s="336"/>
      <c r="F62" s="336"/>
      <c r="G62" s="337"/>
      <c r="H62" s="357"/>
      <c r="I62" s="358"/>
      <c r="J62" s="358"/>
      <c r="K62" s="358"/>
      <c r="L62" s="358"/>
      <c r="M62" s="358"/>
      <c r="N62" s="358"/>
      <c r="O62" s="358"/>
      <c r="P62" s="358"/>
      <c r="Q62" s="358"/>
      <c r="R62" s="358"/>
      <c r="S62" s="358"/>
      <c r="T62" s="358"/>
      <c r="U62" s="358"/>
      <c r="V62" s="358"/>
      <c r="W62" s="358"/>
      <c r="X62" s="358"/>
      <c r="Y62" s="358"/>
      <c r="Z62" s="358"/>
      <c r="AA62" s="358"/>
      <c r="AB62" s="358"/>
      <c r="AC62" s="358"/>
      <c r="AD62" s="358"/>
      <c r="AE62" s="358"/>
      <c r="AF62" s="359"/>
      <c r="AG62" s="106"/>
      <c r="AH62" s="106"/>
    </row>
    <row r="63" spans="1:34">
      <c r="A63" s="106"/>
      <c r="B63" s="335"/>
      <c r="C63" s="336"/>
      <c r="D63" s="336"/>
      <c r="E63" s="336"/>
      <c r="F63" s="336"/>
      <c r="G63" s="337"/>
      <c r="H63" s="357"/>
      <c r="I63" s="358"/>
      <c r="J63" s="358"/>
      <c r="K63" s="358"/>
      <c r="L63" s="358"/>
      <c r="M63" s="358"/>
      <c r="N63" s="358"/>
      <c r="O63" s="358"/>
      <c r="P63" s="358"/>
      <c r="Q63" s="358"/>
      <c r="R63" s="358"/>
      <c r="S63" s="358"/>
      <c r="T63" s="358"/>
      <c r="U63" s="358"/>
      <c r="V63" s="358"/>
      <c r="W63" s="358"/>
      <c r="X63" s="358"/>
      <c r="Y63" s="358"/>
      <c r="Z63" s="358"/>
      <c r="AA63" s="358"/>
      <c r="AB63" s="358"/>
      <c r="AC63" s="358"/>
      <c r="AD63" s="358"/>
      <c r="AE63" s="358"/>
      <c r="AF63" s="359"/>
      <c r="AG63" s="106"/>
      <c r="AH63" s="106"/>
    </row>
    <row r="64" spans="1:34">
      <c r="A64" s="106"/>
      <c r="B64" s="335"/>
      <c r="C64" s="336"/>
      <c r="D64" s="336"/>
      <c r="E64" s="336"/>
      <c r="F64" s="336"/>
      <c r="G64" s="337"/>
      <c r="H64" s="357"/>
      <c r="I64" s="358"/>
      <c r="J64" s="358"/>
      <c r="K64" s="358"/>
      <c r="L64" s="358"/>
      <c r="M64" s="358"/>
      <c r="N64" s="358"/>
      <c r="O64" s="358"/>
      <c r="P64" s="358"/>
      <c r="Q64" s="358"/>
      <c r="R64" s="358"/>
      <c r="S64" s="358"/>
      <c r="T64" s="358"/>
      <c r="U64" s="358"/>
      <c r="V64" s="358"/>
      <c r="W64" s="358"/>
      <c r="X64" s="358"/>
      <c r="Y64" s="358"/>
      <c r="Z64" s="358"/>
      <c r="AA64" s="358"/>
      <c r="AB64" s="358"/>
      <c r="AC64" s="358"/>
      <c r="AD64" s="358"/>
      <c r="AE64" s="358"/>
      <c r="AF64" s="359"/>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1" customFormat="1" ht="20.25">
      <c r="B69" s="172" t="s">
        <v>378</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25" t="s">
        <v>374</v>
      </c>
      <c r="C71" s="326"/>
      <c r="D71" s="326"/>
      <c r="E71" s="326"/>
      <c r="F71" s="326"/>
      <c r="G71" s="327"/>
      <c r="H71" s="328" t="s">
        <v>369</v>
      </c>
      <c r="I71" s="329"/>
      <c r="J71" s="329"/>
      <c r="K71" s="329"/>
      <c r="L71" s="329"/>
      <c r="M71" s="329"/>
      <c r="N71" s="329"/>
      <c r="O71" s="329"/>
      <c r="P71" s="329"/>
      <c r="Q71" s="329"/>
      <c r="R71" s="329"/>
      <c r="S71" s="329"/>
      <c r="T71" s="329"/>
      <c r="U71" s="329"/>
      <c r="V71" s="329"/>
      <c r="W71" s="329"/>
      <c r="X71" s="329"/>
      <c r="Y71" s="329"/>
      <c r="Z71" s="329"/>
      <c r="AA71" s="329"/>
      <c r="AB71" s="329"/>
      <c r="AC71" s="329"/>
      <c r="AD71" s="329"/>
      <c r="AE71" s="329"/>
      <c r="AF71" s="330"/>
      <c r="AG71" s="106"/>
      <c r="AH71" s="106"/>
    </row>
    <row r="72" spans="1:34" ht="111" customHeight="1">
      <c r="A72" s="106"/>
      <c r="B72" s="325" t="s">
        <v>375</v>
      </c>
      <c r="C72" s="326"/>
      <c r="D72" s="326"/>
      <c r="E72" s="326"/>
      <c r="F72" s="326"/>
      <c r="G72" s="327"/>
      <c r="H72" s="328" t="s">
        <v>371</v>
      </c>
      <c r="I72" s="329"/>
      <c r="J72" s="329"/>
      <c r="K72" s="329"/>
      <c r="L72" s="329"/>
      <c r="M72" s="329"/>
      <c r="N72" s="329"/>
      <c r="O72" s="329"/>
      <c r="P72" s="329"/>
      <c r="Q72" s="329"/>
      <c r="R72" s="329"/>
      <c r="S72" s="329"/>
      <c r="T72" s="329"/>
      <c r="U72" s="329"/>
      <c r="V72" s="329"/>
      <c r="W72" s="329"/>
      <c r="X72" s="329"/>
      <c r="Y72" s="329"/>
      <c r="Z72" s="329"/>
      <c r="AA72" s="329"/>
      <c r="AB72" s="329"/>
      <c r="AC72" s="329"/>
      <c r="AD72" s="329"/>
      <c r="AE72" s="329"/>
      <c r="AF72" s="330"/>
      <c r="AG72" s="106"/>
      <c r="AH72" s="106"/>
    </row>
    <row r="73" spans="1:34" ht="52.5" customHeight="1">
      <c r="A73" s="106"/>
      <c r="B73" s="325" t="s">
        <v>376</v>
      </c>
      <c r="C73" s="326"/>
      <c r="D73" s="326"/>
      <c r="E73" s="326"/>
      <c r="F73" s="326"/>
      <c r="G73" s="327"/>
      <c r="H73" s="328" t="s">
        <v>379</v>
      </c>
      <c r="I73" s="329"/>
      <c r="J73" s="329"/>
      <c r="K73" s="329"/>
      <c r="L73" s="329"/>
      <c r="M73" s="329"/>
      <c r="N73" s="329"/>
      <c r="O73" s="329"/>
      <c r="P73" s="329"/>
      <c r="Q73" s="329"/>
      <c r="R73" s="329"/>
      <c r="S73" s="329"/>
      <c r="T73" s="329"/>
      <c r="U73" s="329"/>
      <c r="V73" s="329"/>
      <c r="W73" s="329"/>
      <c r="X73" s="329"/>
      <c r="Y73" s="329"/>
      <c r="Z73" s="329"/>
      <c r="AA73" s="329"/>
      <c r="AB73" s="329"/>
      <c r="AC73" s="329"/>
      <c r="AD73" s="329"/>
      <c r="AE73" s="329"/>
      <c r="AF73" s="330"/>
      <c r="AG73" s="106"/>
      <c r="AH73" s="106"/>
    </row>
    <row r="74" spans="1:34" ht="52.5" customHeight="1">
      <c r="A74" s="106"/>
      <c r="B74" s="325" t="s">
        <v>368</v>
      </c>
      <c r="C74" s="326"/>
      <c r="D74" s="326"/>
      <c r="E74" s="326"/>
      <c r="F74" s="326"/>
      <c r="G74" s="327"/>
      <c r="H74" s="328" t="s">
        <v>372</v>
      </c>
      <c r="I74" s="329"/>
      <c r="J74" s="329"/>
      <c r="K74" s="329"/>
      <c r="L74" s="329"/>
      <c r="M74" s="329"/>
      <c r="N74" s="329"/>
      <c r="O74" s="329"/>
      <c r="P74" s="329"/>
      <c r="Q74" s="329"/>
      <c r="R74" s="329"/>
      <c r="S74" s="329"/>
      <c r="T74" s="329"/>
      <c r="U74" s="329"/>
      <c r="V74" s="329"/>
      <c r="W74" s="329"/>
      <c r="X74" s="329"/>
      <c r="Y74" s="329"/>
      <c r="Z74" s="329"/>
      <c r="AA74" s="329"/>
      <c r="AB74" s="329"/>
      <c r="AC74" s="329"/>
      <c r="AD74" s="329"/>
      <c r="AE74" s="329"/>
      <c r="AF74" s="330"/>
      <c r="AG74" s="106"/>
      <c r="AH74" s="106"/>
    </row>
    <row r="75" spans="1:34" ht="81" customHeight="1">
      <c r="A75" s="106"/>
      <c r="B75" s="325" t="s">
        <v>377</v>
      </c>
      <c r="C75" s="326"/>
      <c r="D75" s="326"/>
      <c r="E75" s="326"/>
      <c r="F75" s="326"/>
      <c r="G75" s="327"/>
      <c r="H75" s="328" t="s">
        <v>380</v>
      </c>
      <c r="I75" s="329"/>
      <c r="J75" s="329"/>
      <c r="K75" s="329"/>
      <c r="L75" s="329"/>
      <c r="M75" s="329"/>
      <c r="N75" s="329"/>
      <c r="O75" s="329"/>
      <c r="P75" s="329"/>
      <c r="Q75" s="329"/>
      <c r="R75" s="329"/>
      <c r="S75" s="329"/>
      <c r="T75" s="329"/>
      <c r="U75" s="329"/>
      <c r="V75" s="329"/>
      <c r="W75" s="329"/>
      <c r="X75" s="329"/>
      <c r="Y75" s="329"/>
      <c r="Z75" s="329"/>
      <c r="AA75" s="329"/>
      <c r="AB75" s="329"/>
      <c r="AC75" s="329"/>
      <c r="AD75" s="329"/>
      <c r="AE75" s="329"/>
      <c r="AF75" s="330"/>
      <c r="AG75" s="106"/>
      <c r="AH75" s="106"/>
    </row>
    <row r="76" spans="1:34" ht="97.5" customHeight="1">
      <c r="A76" s="106"/>
      <c r="B76" s="325" t="s">
        <v>370</v>
      </c>
      <c r="C76" s="326"/>
      <c r="D76" s="326"/>
      <c r="E76" s="326"/>
      <c r="F76" s="326"/>
      <c r="G76" s="327"/>
      <c r="H76" s="328" t="s">
        <v>373</v>
      </c>
      <c r="I76" s="329"/>
      <c r="J76" s="329"/>
      <c r="K76" s="329"/>
      <c r="L76" s="329"/>
      <c r="M76" s="329"/>
      <c r="N76" s="329"/>
      <c r="O76" s="329"/>
      <c r="P76" s="329"/>
      <c r="Q76" s="329"/>
      <c r="R76" s="329"/>
      <c r="S76" s="329"/>
      <c r="T76" s="329"/>
      <c r="U76" s="329"/>
      <c r="V76" s="329"/>
      <c r="W76" s="329"/>
      <c r="X76" s="329"/>
      <c r="Y76" s="329"/>
      <c r="Z76" s="329"/>
      <c r="AA76" s="329"/>
      <c r="AB76" s="329"/>
      <c r="AC76" s="329"/>
      <c r="AD76" s="329"/>
      <c r="AE76" s="329"/>
      <c r="AF76" s="330"/>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203" t="s">
        <v>570</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202" t="s">
        <v>571</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220</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236</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434</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267</v>
      </c>
    </row>
    <row r="92" spans="1:36">
      <c r="AJ92" s="155" t="s">
        <v>435</v>
      </c>
    </row>
    <row r="93" spans="1:36">
      <c r="AJ93" s="155" t="s">
        <v>436</v>
      </c>
    </row>
    <row r="94" spans="1:36">
      <c r="AJ94" s="155" t="s">
        <v>437</v>
      </c>
    </row>
    <row r="95" spans="1:36">
      <c r="AJ95" s="155" t="s">
        <v>438</v>
      </c>
    </row>
    <row r="96" spans="1:36">
      <c r="AJ96" s="155" t="s">
        <v>444</v>
      </c>
    </row>
    <row r="97" spans="36:36">
      <c r="AJ97" s="155" t="s">
        <v>174</v>
      </c>
    </row>
    <row r="98" spans="36:36">
      <c r="AJ98" s="155" t="s">
        <v>439</v>
      </c>
    </row>
    <row r="99" spans="36:36">
      <c r="AJ99" s="155" t="s">
        <v>440</v>
      </c>
    </row>
    <row r="100" spans="36:36">
      <c r="AJ100" s="155" t="s">
        <v>441</v>
      </c>
    </row>
    <row r="101" spans="36:36">
      <c r="AJ101" s="155" t="s">
        <v>442</v>
      </c>
    </row>
    <row r="102" spans="36:36">
      <c r="AJ102" s="155" t="s">
        <v>443</v>
      </c>
    </row>
    <row r="103" spans="36:36">
      <c r="AJ103" s="155" t="s">
        <v>175</v>
      </c>
    </row>
    <row r="104" spans="36:36">
      <c r="AJ104" s="155" t="s">
        <v>445</v>
      </c>
    </row>
    <row r="105" spans="36:36" ht="18.75">
      <c r="AJ105" s="156" t="s">
        <v>440</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6"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63" t="s">
        <v>15</v>
      </c>
      <c r="B1" s="364"/>
      <c r="C1" s="364"/>
      <c r="D1" s="365"/>
    </row>
    <row r="3" spans="1:8">
      <c r="B3" s="366" t="s">
        <v>16</v>
      </c>
      <c r="C3" s="367"/>
      <c r="D3" s="368"/>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66" t="s">
        <v>183</v>
      </c>
      <c r="C12" s="367"/>
      <c r="D12" s="368"/>
    </row>
    <row r="13" spans="1:8" ht="24.75" customHeight="1">
      <c r="B13" s="135" t="s">
        <v>178</v>
      </c>
      <c r="C13" s="369" t="s">
        <v>180</v>
      </c>
      <c r="D13" s="370"/>
    </row>
    <row r="14" spans="1:8" ht="25.5" customHeight="1">
      <c r="B14" s="135" t="s">
        <v>106</v>
      </c>
      <c r="C14" s="369" t="s">
        <v>181</v>
      </c>
      <c r="D14" s="370"/>
      <c r="E14" s="90"/>
      <c r="F14" s="90"/>
      <c r="G14" s="90"/>
      <c r="H14" s="90"/>
    </row>
    <row r="15" spans="1:8" ht="49.5" customHeight="1">
      <c r="B15" s="135" t="s">
        <v>179</v>
      </c>
      <c r="C15" s="369" t="s">
        <v>182</v>
      </c>
      <c r="D15" s="370"/>
      <c r="F15" s="94" t="s">
        <v>135</v>
      </c>
    </row>
    <row r="17" spans="2:6">
      <c r="B17" s="366" t="s">
        <v>13</v>
      </c>
      <c r="C17" s="367"/>
      <c r="D17" s="368"/>
    </row>
    <row r="18" spans="2:6">
      <c r="B18" s="2"/>
      <c r="C18" s="3"/>
      <c r="D18" s="4"/>
      <c r="F18" s="94" t="s">
        <v>132</v>
      </c>
    </row>
    <row r="19" spans="2:6" s="91" customFormat="1" ht="38.25">
      <c r="B19" s="361" t="s">
        <v>184</v>
      </c>
      <c r="C19" s="136" t="s">
        <v>107</v>
      </c>
      <c r="D19" s="92"/>
      <c r="F19" s="95" t="s">
        <v>133</v>
      </c>
    </row>
    <row r="20" spans="2:6">
      <c r="B20" s="361"/>
      <c r="C20" s="137"/>
      <c r="D20" s="4"/>
      <c r="F20" s="94" t="s">
        <v>134</v>
      </c>
    </row>
    <row r="21" spans="2:6" ht="25.5">
      <c r="B21" s="361"/>
      <c r="C21" s="138" t="s">
        <v>108</v>
      </c>
      <c r="D21" s="4"/>
    </row>
    <row r="22" spans="2:6" ht="25.5">
      <c r="B22" s="361"/>
      <c r="C22" s="138" t="s">
        <v>0</v>
      </c>
      <c r="D22" s="4"/>
    </row>
    <row r="23" spans="2:6">
      <c r="B23" s="361"/>
      <c r="C23" s="138" t="s">
        <v>1</v>
      </c>
      <c r="D23" s="4"/>
    </row>
    <row r="24" spans="2:6">
      <c r="B24" s="2"/>
      <c r="C24" s="27"/>
      <c r="D24" s="4"/>
    </row>
    <row r="25" spans="2:6">
      <c r="B25" s="362" t="s">
        <v>185</v>
      </c>
      <c r="C25" s="139" t="s">
        <v>616</v>
      </c>
      <c r="D25" s="4"/>
    </row>
    <row r="26" spans="2:6" ht="25.5">
      <c r="B26" s="362"/>
      <c r="C26" s="140" t="s">
        <v>2</v>
      </c>
      <c r="D26" s="4"/>
    </row>
    <row r="27" spans="2:6">
      <c r="B27" s="362"/>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567</v>
      </c>
      <c r="C50" s="201" t="s">
        <v>568</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2"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204" t="s">
        <v>51</v>
      </c>
      <c r="D24" s="205"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207">
        <f>SUM(E25:AA25)</f>
        <v>0</v>
      </c>
    </row>
    <row r="26" spans="2:52" ht="15">
      <c r="B26" s="86"/>
      <c r="C26" s="40" t="s">
        <v>77</v>
      </c>
      <c r="D26" s="207">
        <f>SUM(E26:AA26)</f>
        <v>0</v>
      </c>
    </row>
    <row r="27" spans="2:52" ht="15">
      <c r="B27" s="84">
        <f>B25+B26</f>
        <v>0</v>
      </c>
      <c r="C27" s="44" t="s">
        <v>22</v>
      </c>
      <c r="D27" s="84">
        <f t="shared" ref="D27" si="0">D25+D26</f>
        <v>0</v>
      </c>
    </row>
    <row r="28" spans="2:52">
      <c r="D28" s="17"/>
      <c r="H28" s="37"/>
    </row>
    <row r="29" spans="2:52">
      <c r="D29" s="17"/>
      <c r="H29" s="37"/>
    </row>
    <row r="30" spans="2:52">
      <c r="D30" s="17"/>
      <c r="H30" s="37"/>
    </row>
    <row r="31" spans="2:52" s="82" customFormat="1" ht="60" customHeight="1">
      <c r="B31" s="83" t="s">
        <v>90</v>
      </c>
      <c r="C31" s="204" t="s">
        <v>47</v>
      </c>
      <c r="D31" s="205"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207">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207">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207">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207">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207">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208">
        <f>SUM(D32:D36)</f>
        <v>0</v>
      </c>
    </row>
    <row r="38" spans="2:52">
      <c r="D38" s="17"/>
      <c r="H38" s="37"/>
    </row>
    <row r="39" spans="2:52">
      <c r="D39" s="17"/>
      <c r="H39" s="37"/>
    </row>
    <row r="40" spans="2:52" s="82" customFormat="1" ht="63.75">
      <c r="B40" s="83" t="s">
        <v>90</v>
      </c>
      <c r="C40" s="204" t="s">
        <v>67</v>
      </c>
      <c r="D40" s="205"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207">
        <f>SUM(E41:AA41)</f>
        <v>0</v>
      </c>
    </row>
    <row r="42" spans="2:52" ht="15">
      <c r="B42" s="86"/>
      <c r="C42" s="40" t="s">
        <v>74</v>
      </c>
      <c r="D42" s="207">
        <f>SUM(E42:AA42)</f>
        <v>0</v>
      </c>
    </row>
    <row r="43" spans="2:52" s="17" customFormat="1" ht="15">
      <c r="B43" s="86"/>
      <c r="C43" s="40" t="s">
        <v>101</v>
      </c>
      <c r="D43" s="207">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208">
        <f>SUM(D41:D43)</f>
        <v>0</v>
      </c>
    </row>
    <row r="45" spans="2:52">
      <c r="D45" s="17"/>
    </row>
    <row r="46" spans="2:52">
      <c r="D46" s="17"/>
    </row>
    <row r="47" spans="2:52" ht="25.5">
      <c r="C47" s="206" t="s">
        <v>59</v>
      </c>
      <c r="D47" s="206" t="s">
        <v>92</v>
      </c>
      <c r="E47" s="30" t="s">
        <v>91</v>
      </c>
    </row>
    <row r="48" spans="2:52">
      <c r="C48" s="88" t="s">
        <v>93</v>
      </c>
      <c r="D48" s="209" t="s">
        <v>94</v>
      </c>
      <c r="E48" s="88" t="s">
        <v>95</v>
      </c>
    </row>
  </sheetData>
  <phoneticPr fontId="32"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9"/>
  <sheetViews>
    <sheetView showGridLines="0" topLeftCell="A20" zoomScaleNormal="100" workbookViewId="0">
      <selection activeCell="L52" sqref="L52"/>
    </sheetView>
  </sheetViews>
  <sheetFormatPr defaultColWidth="8.85546875" defaultRowHeight="15" outlineLevelCol="1"/>
  <cols>
    <col min="1"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71" t="s">
        <v>191</v>
      </c>
      <c r="B1" s="372"/>
      <c r="C1" s="372"/>
      <c r="D1" s="372"/>
      <c r="E1" s="373"/>
      <c r="F1" s="374" t="s">
        <v>197</v>
      </c>
      <c r="G1" s="375"/>
      <c r="H1" s="375"/>
      <c r="I1" s="375"/>
      <c r="J1" s="375"/>
      <c r="K1" s="375"/>
      <c r="L1" s="375"/>
      <c r="M1" s="375"/>
      <c r="N1" s="375"/>
      <c r="O1" s="375"/>
    </row>
    <row r="2" spans="1:15" ht="37.5">
      <c r="A2" s="152" t="s">
        <v>194</v>
      </c>
      <c r="B2" s="152" t="s">
        <v>190</v>
      </c>
      <c r="C2" s="152" t="s">
        <v>192</v>
      </c>
      <c r="D2" s="152" t="s">
        <v>193</v>
      </c>
      <c r="E2" s="152" t="s">
        <v>195</v>
      </c>
      <c r="F2" s="153" t="s">
        <v>858</v>
      </c>
      <c r="G2" s="153" t="s">
        <v>864</v>
      </c>
      <c r="H2" s="153" t="s">
        <v>925</v>
      </c>
      <c r="I2" s="153" t="s">
        <v>933</v>
      </c>
      <c r="J2" s="153" t="s">
        <v>936</v>
      </c>
      <c r="K2" s="153" t="s">
        <v>937</v>
      </c>
      <c r="L2" s="153" t="s">
        <v>941</v>
      </c>
      <c r="M2" s="153" t="s">
        <v>1018</v>
      </c>
      <c r="N2" s="153" t="s">
        <v>1016</v>
      </c>
      <c r="O2" s="153" t="s">
        <v>196</v>
      </c>
    </row>
    <row r="3" spans="1:15">
      <c r="A3" s="239" t="s">
        <v>887</v>
      </c>
      <c r="B3" s="143" t="s">
        <v>106</v>
      </c>
      <c r="C3" s="235">
        <v>44943</v>
      </c>
      <c r="D3" s="235">
        <v>44943</v>
      </c>
      <c r="E3" s="234">
        <f t="shared" ref="E3:E4" si="0">SUM(F3:O3)</f>
        <v>20</v>
      </c>
      <c r="F3" s="143">
        <v>10</v>
      </c>
      <c r="G3" s="143">
        <v>10</v>
      </c>
    </row>
    <row r="4" spans="1:15">
      <c r="A4" s="240" t="s">
        <v>889</v>
      </c>
      <c r="B4" s="232" t="s">
        <v>106</v>
      </c>
      <c r="C4" s="235">
        <v>44943</v>
      </c>
      <c r="D4" s="235">
        <v>44943</v>
      </c>
      <c r="E4" s="233">
        <f t="shared" si="0"/>
        <v>40</v>
      </c>
      <c r="F4" s="232">
        <v>20</v>
      </c>
      <c r="G4" s="232">
        <v>20</v>
      </c>
      <c r="H4" s="232"/>
      <c r="I4" s="232"/>
      <c r="J4" s="232"/>
      <c r="K4" s="232"/>
      <c r="L4" s="232"/>
      <c r="M4" s="232"/>
      <c r="N4" s="232"/>
      <c r="O4" s="232"/>
    </row>
    <row r="5" spans="1:15">
      <c r="A5" s="240" t="s">
        <v>890</v>
      </c>
      <c r="B5" s="237" t="s">
        <v>106</v>
      </c>
      <c r="C5" s="235">
        <v>44943</v>
      </c>
      <c r="D5" s="235">
        <v>44943</v>
      </c>
      <c r="E5" s="236">
        <f>SUM(F5:O5)</f>
        <v>60</v>
      </c>
      <c r="F5" s="232">
        <v>30</v>
      </c>
      <c r="G5" s="232">
        <v>30</v>
      </c>
      <c r="H5" s="232"/>
      <c r="I5" s="232"/>
      <c r="J5" s="232"/>
      <c r="K5" s="232"/>
      <c r="L5" s="232"/>
      <c r="M5" s="232"/>
      <c r="N5" s="232"/>
      <c r="O5" s="232"/>
    </row>
    <row r="6" spans="1:15">
      <c r="A6" s="232" t="s">
        <v>894</v>
      </c>
      <c r="B6" s="232" t="s">
        <v>106</v>
      </c>
      <c r="C6" s="235">
        <v>44943</v>
      </c>
      <c r="D6" s="235">
        <v>44943</v>
      </c>
      <c r="E6" s="249">
        <f>SUM(F6:O6)</f>
        <v>60</v>
      </c>
      <c r="F6" s="232">
        <v>30</v>
      </c>
      <c r="G6" s="232">
        <v>30</v>
      </c>
      <c r="H6" s="232"/>
      <c r="I6" s="232"/>
      <c r="J6" s="232"/>
      <c r="K6" s="232"/>
      <c r="L6" s="232"/>
      <c r="M6" s="232"/>
      <c r="N6" s="232"/>
      <c r="O6" s="232"/>
    </row>
    <row r="7" spans="1:15">
      <c r="A7" s="232" t="s">
        <v>953</v>
      </c>
      <c r="B7" s="232" t="s">
        <v>106</v>
      </c>
      <c r="C7" s="235">
        <v>44943</v>
      </c>
      <c r="D7" s="235">
        <v>44943</v>
      </c>
      <c r="E7" s="249">
        <f>SUM(F7:O7)</f>
        <v>120</v>
      </c>
      <c r="F7" s="232">
        <v>60</v>
      </c>
      <c r="G7" s="232">
        <v>60</v>
      </c>
      <c r="H7" s="232"/>
      <c r="I7" s="232"/>
      <c r="J7" s="232"/>
      <c r="K7" s="232"/>
      <c r="L7" s="232"/>
      <c r="M7" s="232"/>
      <c r="N7" s="232"/>
      <c r="O7" s="232"/>
    </row>
    <row r="8" spans="1:15">
      <c r="A8" s="232" t="s">
        <v>924</v>
      </c>
      <c r="B8" s="232" t="s">
        <v>106</v>
      </c>
      <c r="C8" s="235">
        <v>44946</v>
      </c>
      <c r="D8" s="235">
        <v>44946</v>
      </c>
      <c r="E8" s="249">
        <f t="shared" ref="E8" si="1">SUM(F8:O8)</f>
        <v>20</v>
      </c>
      <c r="F8" s="232">
        <v>10</v>
      </c>
      <c r="G8" s="232"/>
      <c r="H8" s="232">
        <v>10</v>
      </c>
      <c r="I8" s="232"/>
      <c r="J8" s="232"/>
      <c r="K8" s="232"/>
      <c r="L8" s="232"/>
      <c r="M8" s="232"/>
      <c r="N8" s="232"/>
      <c r="O8" s="232"/>
    </row>
    <row r="9" spans="1:15">
      <c r="A9" s="232" t="s">
        <v>926</v>
      </c>
      <c r="B9" s="232" t="s">
        <v>106</v>
      </c>
      <c r="C9" s="235">
        <v>44946</v>
      </c>
      <c r="D9" s="235">
        <v>44946</v>
      </c>
      <c r="E9" s="249">
        <f>SUM(F9:O9)</f>
        <v>60</v>
      </c>
      <c r="F9" s="232">
        <v>30</v>
      </c>
      <c r="G9" s="232"/>
      <c r="H9" s="232">
        <v>30</v>
      </c>
      <c r="I9" s="232"/>
      <c r="J9" s="232"/>
      <c r="K9" s="232"/>
      <c r="L9" s="232"/>
      <c r="M9" s="232"/>
      <c r="N9" s="232"/>
      <c r="O9" s="232"/>
    </row>
    <row r="10" spans="1:15">
      <c r="A10" s="232" t="s">
        <v>951</v>
      </c>
      <c r="B10" s="232" t="s">
        <v>106</v>
      </c>
      <c r="C10" s="235">
        <v>44946</v>
      </c>
      <c r="D10" s="235">
        <v>44946</v>
      </c>
      <c r="E10" s="249">
        <f>SUM(F10:O10)</f>
        <v>60</v>
      </c>
      <c r="F10" s="232">
        <v>30</v>
      </c>
      <c r="G10" s="232"/>
      <c r="H10" s="232">
        <v>30</v>
      </c>
      <c r="I10" s="232"/>
      <c r="J10" s="232"/>
      <c r="K10" s="232"/>
      <c r="L10" s="232"/>
      <c r="M10" s="232"/>
      <c r="N10" s="232"/>
      <c r="O10" s="232"/>
    </row>
    <row r="11" spans="1:15">
      <c r="A11" s="232" t="s">
        <v>930</v>
      </c>
      <c r="B11" s="232" t="s">
        <v>106</v>
      </c>
      <c r="C11" s="235">
        <v>44951</v>
      </c>
      <c r="D11" s="235">
        <v>44951</v>
      </c>
      <c r="E11" s="249">
        <f t="shared" ref="E11:E12" si="2">SUM(F11:O11)</f>
        <v>20</v>
      </c>
      <c r="F11" s="232">
        <v>10</v>
      </c>
      <c r="G11" s="232">
        <v>10</v>
      </c>
      <c r="H11" s="232"/>
      <c r="I11" s="232"/>
      <c r="J11" s="232"/>
      <c r="K11" s="232"/>
      <c r="L11" s="232"/>
      <c r="M11" s="232"/>
      <c r="N11" s="232"/>
      <c r="O11" s="232"/>
    </row>
    <row r="12" spans="1:15">
      <c r="A12" s="232" t="s">
        <v>952</v>
      </c>
      <c r="B12" s="232" t="s">
        <v>106</v>
      </c>
      <c r="C12" s="235">
        <v>44970</v>
      </c>
      <c r="D12" s="235">
        <v>44970</v>
      </c>
      <c r="E12" s="249">
        <f t="shared" si="2"/>
        <v>60</v>
      </c>
      <c r="F12" s="232">
        <v>30</v>
      </c>
      <c r="G12" s="232"/>
      <c r="H12" s="232"/>
      <c r="I12" s="232">
        <v>30</v>
      </c>
      <c r="J12" s="232"/>
      <c r="K12" s="232"/>
      <c r="L12" s="232"/>
      <c r="M12" s="232"/>
      <c r="N12" s="232"/>
      <c r="O12" s="232"/>
    </row>
    <row r="13" spans="1:15">
      <c r="A13" s="232" t="s">
        <v>935</v>
      </c>
      <c r="B13" s="232" t="s">
        <v>106</v>
      </c>
      <c r="C13" s="235">
        <v>44984</v>
      </c>
      <c r="D13" s="235">
        <v>44984</v>
      </c>
      <c r="E13" s="249">
        <v>30</v>
      </c>
      <c r="F13" s="232"/>
      <c r="G13" s="232"/>
      <c r="H13" s="232"/>
      <c r="I13" s="232"/>
      <c r="J13" s="232">
        <v>15</v>
      </c>
      <c r="K13" s="232">
        <v>15</v>
      </c>
      <c r="L13" s="232"/>
      <c r="M13" s="232"/>
      <c r="N13" s="232"/>
      <c r="O13" s="232"/>
    </row>
    <row r="14" spans="1:15">
      <c r="A14" s="232" t="s">
        <v>945</v>
      </c>
      <c r="B14" s="232" t="s">
        <v>106</v>
      </c>
      <c r="C14" s="235">
        <v>44946</v>
      </c>
      <c r="D14" s="235">
        <v>44946</v>
      </c>
      <c r="E14" s="249">
        <f t="shared" ref="E14:E15" si="3">SUM(F14:O14)</f>
        <v>20</v>
      </c>
      <c r="F14" s="232"/>
      <c r="G14" s="232"/>
      <c r="H14" s="232">
        <v>10</v>
      </c>
      <c r="I14" s="232">
        <v>10</v>
      </c>
      <c r="J14" s="232"/>
      <c r="K14" s="232"/>
      <c r="L14" s="232"/>
      <c r="M14" s="232"/>
      <c r="N14" s="232"/>
      <c r="O14" s="232"/>
    </row>
    <row r="15" spans="1:15">
      <c r="A15" s="232" t="s">
        <v>954</v>
      </c>
      <c r="B15" s="232" t="s">
        <v>106</v>
      </c>
      <c r="C15" s="235">
        <v>44970</v>
      </c>
      <c r="D15" s="235">
        <v>44970</v>
      </c>
      <c r="E15" s="249">
        <f t="shared" si="3"/>
        <v>20</v>
      </c>
      <c r="F15" s="232"/>
      <c r="G15" s="232"/>
      <c r="H15" s="232">
        <v>10</v>
      </c>
      <c r="I15" s="232">
        <v>10</v>
      </c>
      <c r="J15" s="232"/>
      <c r="K15" s="232"/>
      <c r="L15" s="232"/>
      <c r="M15" s="232"/>
      <c r="N15" s="232"/>
      <c r="O15" s="232"/>
    </row>
    <row r="16" spans="1:15">
      <c r="A16" s="232" t="s">
        <v>956</v>
      </c>
      <c r="B16" s="232" t="s">
        <v>106</v>
      </c>
      <c r="C16" s="235">
        <v>44970</v>
      </c>
      <c r="D16" s="235">
        <v>44970</v>
      </c>
      <c r="E16" s="249">
        <f t="shared" ref="E16" si="4">SUM(F16:O16)</f>
        <v>20</v>
      </c>
      <c r="F16" s="232"/>
      <c r="G16" s="232"/>
      <c r="H16" s="232">
        <v>10</v>
      </c>
      <c r="I16" s="232">
        <v>10</v>
      </c>
      <c r="J16" s="232"/>
      <c r="K16" s="232"/>
      <c r="L16" s="232"/>
      <c r="M16" s="232"/>
      <c r="N16" s="232"/>
      <c r="O16" s="232"/>
    </row>
    <row r="17" spans="1:15">
      <c r="A17" s="232" t="s">
        <v>958</v>
      </c>
      <c r="B17" s="232" t="s">
        <v>106</v>
      </c>
      <c r="C17" s="235">
        <v>44970</v>
      </c>
      <c r="D17" s="235">
        <v>44970</v>
      </c>
      <c r="E17" s="249">
        <f t="shared" ref="E17" si="5">SUM(F17:O17)</f>
        <v>20</v>
      </c>
      <c r="F17" s="232"/>
      <c r="G17" s="232"/>
      <c r="H17" s="232">
        <v>10</v>
      </c>
      <c r="I17" s="232">
        <v>10</v>
      </c>
      <c r="J17" s="232"/>
      <c r="K17" s="232"/>
      <c r="L17" s="232"/>
      <c r="M17" s="232"/>
      <c r="N17" s="232"/>
      <c r="O17" s="232"/>
    </row>
    <row r="18" spans="1:15">
      <c r="A18" s="232" t="s">
        <v>966</v>
      </c>
      <c r="B18" s="232" t="s">
        <v>106</v>
      </c>
      <c r="C18" s="235">
        <v>44970</v>
      </c>
      <c r="D18" s="235">
        <v>44970</v>
      </c>
      <c r="E18" s="249">
        <f t="shared" ref="E18" si="6">SUM(F18:O18)</f>
        <v>20</v>
      </c>
      <c r="F18" s="232"/>
      <c r="G18" s="232"/>
      <c r="H18" s="232">
        <v>10</v>
      </c>
      <c r="I18" s="232">
        <v>10</v>
      </c>
      <c r="J18" s="232"/>
      <c r="K18" s="232"/>
      <c r="L18" s="232"/>
      <c r="M18" s="232"/>
      <c r="N18" s="232"/>
      <c r="O18" s="232"/>
    </row>
    <row r="19" spans="1:15">
      <c r="A19" s="232" t="s">
        <v>971</v>
      </c>
      <c r="B19" s="232" t="s">
        <v>106</v>
      </c>
      <c r="C19" s="235">
        <v>44987</v>
      </c>
      <c r="D19" s="235"/>
      <c r="E19" s="249">
        <f t="shared" ref="E19:E27" si="7">SUM(F19:O19)</f>
        <v>15</v>
      </c>
      <c r="F19" s="232"/>
      <c r="G19" s="232">
        <v>15</v>
      </c>
      <c r="H19" s="232"/>
      <c r="I19" s="232"/>
      <c r="J19" s="232"/>
      <c r="K19" s="232"/>
      <c r="L19" s="232"/>
      <c r="M19" s="232"/>
      <c r="N19" s="232"/>
      <c r="O19" s="232"/>
    </row>
    <row r="20" spans="1:15">
      <c r="A20" s="232" t="s">
        <v>972</v>
      </c>
      <c r="B20" s="232" t="s">
        <v>106</v>
      </c>
      <c r="C20" s="235">
        <v>44987</v>
      </c>
      <c r="D20" s="235"/>
      <c r="E20" s="249">
        <f t="shared" si="7"/>
        <v>15</v>
      </c>
      <c r="F20" s="232"/>
      <c r="G20" s="232">
        <v>15</v>
      </c>
      <c r="H20" s="232"/>
      <c r="I20" s="232"/>
      <c r="J20" s="232"/>
      <c r="K20" s="232"/>
      <c r="L20" s="232"/>
      <c r="M20" s="232"/>
      <c r="N20" s="232"/>
      <c r="O20" s="232"/>
    </row>
    <row r="21" spans="1:15">
      <c r="A21" s="232" t="s">
        <v>973</v>
      </c>
      <c r="B21" s="232" t="s">
        <v>106</v>
      </c>
      <c r="C21" s="235">
        <v>44987</v>
      </c>
      <c r="D21" s="235"/>
      <c r="E21" s="249">
        <f t="shared" si="7"/>
        <v>15</v>
      </c>
      <c r="F21" s="232"/>
      <c r="G21" s="232">
        <v>15</v>
      </c>
      <c r="H21" s="232"/>
      <c r="I21" s="232"/>
      <c r="J21" s="232"/>
      <c r="K21" s="232"/>
      <c r="L21" s="232"/>
      <c r="M21" s="232"/>
      <c r="N21" s="232"/>
      <c r="O21" s="232"/>
    </row>
    <row r="22" spans="1:15">
      <c r="A22" s="232" t="s">
        <v>974</v>
      </c>
      <c r="B22" s="232" t="s">
        <v>106</v>
      </c>
      <c r="C22" s="235">
        <v>44987</v>
      </c>
      <c r="D22" s="235"/>
      <c r="E22" s="249">
        <f t="shared" si="7"/>
        <v>15</v>
      </c>
      <c r="F22" s="232"/>
      <c r="G22" s="232">
        <v>15</v>
      </c>
      <c r="H22" s="232"/>
      <c r="I22" s="232"/>
      <c r="J22" s="232"/>
      <c r="K22" s="232"/>
      <c r="L22" s="232"/>
      <c r="M22" s="232"/>
      <c r="N22" s="232"/>
      <c r="O22" s="232"/>
    </row>
    <row r="23" spans="1:15">
      <c r="A23" s="232" t="s">
        <v>980</v>
      </c>
      <c r="B23" s="232" t="s">
        <v>106</v>
      </c>
      <c r="C23" s="252">
        <v>44998</v>
      </c>
      <c r="D23" s="252">
        <v>44998</v>
      </c>
      <c r="E23" s="249">
        <f>SUM(F23:O23)</f>
        <v>20</v>
      </c>
      <c r="F23" s="232">
        <v>10</v>
      </c>
      <c r="G23" s="232"/>
      <c r="H23" s="232"/>
      <c r="I23" s="232">
        <v>10</v>
      </c>
      <c r="J23" s="232"/>
      <c r="K23" s="232"/>
      <c r="L23" s="232"/>
      <c r="M23" s="232"/>
      <c r="N23" s="232"/>
      <c r="O23" s="232"/>
    </row>
    <row r="24" spans="1:15">
      <c r="A24" s="232" t="s">
        <v>981</v>
      </c>
      <c r="B24" s="232" t="s">
        <v>106</v>
      </c>
      <c r="C24" s="252">
        <v>44998</v>
      </c>
      <c r="D24" s="252">
        <v>44998</v>
      </c>
      <c r="E24" s="249">
        <f t="shared" ref="E24:E25" si="8">SUM(F24:O24)</f>
        <v>20</v>
      </c>
      <c r="F24" s="232">
        <v>10</v>
      </c>
      <c r="G24" s="232"/>
      <c r="H24" s="232"/>
      <c r="I24" s="232">
        <v>10</v>
      </c>
      <c r="J24" s="232"/>
      <c r="K24" s="232"/>
      <c r="L24" s="232"/>
      <c r="M24" s="232"/>
      <c r="N24" s="232"/>
      <c r="O24" s="232"/>
    </row>
    <row r="25" spans="1:15">
      <c r="A25" s="232" t="s">
        <v>982</v>
      </c>
      <c r="B25" s="232" t="s">
        <v>106</v>
      </c>
      <c r="C25" s="252">
        <v>44998</v>
      </c>
      <c r="D25" s="252">
        <v>44998</v>
      </c>
      <c r="E25" s="249">
        <f t="shared" si="8"/>
        <v>20</v>
      </c>
      <c r="F25" s="232">
        <v>10</v>
      </c>
      <c r="G25" s="232"/>
      <c r="H25" s="232"/>
      <c r="I25" s="232">
        <v>10</v>
      </c>
      <c r="J25" s="232"/>
      <c r="K25" s="232"/>
      <c r="L25" s="232"/>
      <c r="M25" s="232"/>
      <c r="N25" s="232"/>
      <c r="O25" s="232"/>
    </row>
    <row r="26" spans="1:15">
      <c r="A26" s="253" t="s">
        <v>983</v>
      </c>
      <c r="B26" s="253" t="s">
        <v>106</v>
      </c>
      <c r="C26" s="252">
        <v>45026</v>
      </c>
      <c r="D26" s="252">
        <v>45026</v>
      </c>
      <c r="E26" s="249">
        <f t="shared" si="7"/>
        <v>60</v>
      </c>
      <c r="F26" s="232"/>
      <c r="G26" s="232"/>
      <c r="H26" s="232"/>
      <c r="I26" s="232"/>
      <c r="J26" s="232"/>
      <c r="K26" s="232">
        <v>30</v>
      </c>
      <c r="L26" s="232">
        <v>30</v>
      </c>
      <c r="M26" s="232"/>
      <c r="N26" s="232"/>
      <c r="O26" s="232"/>
    </row>
    <row r="27" spans="1:15">
      <c r="A27" s="257" t="s">
        <v>997</v>
      </c>
      <c r="B27" s="232" t="s">
        <v>106</v>
      </c>
      <c r="C27" s="252">
        <v>45105</v>
      </c>
      <c r="D27" s="252">
        <v>45105</v>
      </c>
      <c r="E27" s="249">
        <f t="shared" si="7"/>
        <v>50</v>
      </c>
      <c r="F27" s="232">
        <v>25</v>
      </c>
      <c r="G27" s="232"/>
      <c r="H27" s="232"/>
      <c r="I27" s="232">
        <v>25</v>
      </c>
      <c r="J27" s="232"/>
      <c r="K27" s="232"/>
      <c r="L27" s="232"/>
      <c r="M27" s="232"/>
      <c r="N27" s="232"/>
      <c r="O27" s="232"/>
    </row>
    <row r="28" spans="1:15">
      <c r="A28" s="272" t="s">
        <v>998</v>
      </c>
      <c r="B28" s="232" t="s">
        <v>106</v>
      </c>
      <c r="C28" s="252">
        <v>45105</v>
      </c>
      <c r="D28" s="252">
        <v>45105</v>
      </c>
      <c r="E28" s="249">
        <f>SUM(F28:O28)</f>
        <v>50</v>
      </c>
      <c r="F28" s="232">
        <v>25</v>
      </c>
      <c r="G28" s="232"/>
      <c r="H28" s="232"/>
      <c r="I28" s="232">
        <v>25</v>
      </c>
      <c r="J28" s="232"/>
      <c r="K28" s="232"/>
      <c r="L28" s="232"/>
      <c r="M28" s="232"/>
      <c r="N28" s="232"/>
      <c r="O28" s="232"/>
    </row>
    <row r="29" spans="1:15">
      <c r="A29" s="257" t="s">
        <v>999</v>
      </c>
      <c r="B29" s="232" t="s">
        <v>106</v>
      </c>
      <c r="C29" s="252">
        <v>45105</v>
      </c>
      <c r="D29" s="252">
        <v>45105</v>
      </c>
      <c r="E29" s="249">
        <f t="shared" ref="E29:E30" si="9">SUM(F29:O29)</f>
        <v>20</v>
      </c>
      <c r="F29" s="232">
        <v>10</v>
      </c>
      <c r="G29" s="232"/>
      <c r="H29" s="232"/>
      <c r="I29" s="232">
        <v>10</v>
      </c>
      <c r="J29" s="232"/>
      <c r="K29" s="232"/>
      <c r="L29" s="232"/>
      <c r="M29" s="232"/>
      <c r="N29" s="232"/>
      <c r="O29" s="232"/>
    </row>
    <row r="30" spans="1:15">
      <c r="A30" s="257" t="s">
        <v>996</v>
      </c>
      <c r="B30" s="232" t="s">
        <v>106</v>
      </c>
      <c r="C30" s="252">
        <v>45105</v>
      </c>
      <c r="D30" s="252">
        <v>45105</v>
      </c>
      <c r="E30" s="249">
        <f t="shared" si="9"/>
        <v>20</v>
      </c>
      <c r="F30" s="232">
        <v>10</v>
      </c>
      <c r="G30" s="232"/>
      <c r="H30" s="232"/>
      <c r="I30" s="232">
        <v>10</v>
      </c>
      <c r="J30" s="232"/>
      <c r="K30" s="232"/>
      <c r="L30" s="232"/>
      <c r="M30" s="232"/>
      <c r="N30" s="232"/>
      <c r="O30" s="232"/>
    </row>
    <row r="31" spans="1:15">
      <c r="A31" s="258" t="s">
        <v>1005</v>
      </c>
      <c r="B31" s="232" t="s">
        <v>106</v>
      </c>
      <c r="C31" s="252">
        <v>45121</v>
      </c>
      <c r="D31" s="252">
        <v>45121</v>
      </c>
      <c r="E31" s="249">
        <f t="shared" ref="E31" si="10">SUM(F31:O31)</f>
        <v>20</v>
      </c>
      <c r="F31" s="232">
        <v>10</v>
      </c>
      <c r="G31" s="232"/>
      <c r="H31" s="232"/>
      <c r="I31" s="232">
        <v>10</v>
      </c>
      <c r="J31" s="232"/>
      <c r="K31" s="232"/>
      <c r="L31" s="232"/>
      <c r="M31" s="232"/>
      <c r="N31" s="232"/>
      <c r="O31" s="232"/>
    </row>
    <row r="32" spans="1:15">
      <c r="A32" s="258" t="s">
        <v>1006</v>
      </c>
      <c r="B32" s="232" t="s">
        <v>106</v>
      </c>
      <c r="C32" s="252">
        <v>45121</v>
      </c>
      <c r="D32" s="252">
        <v>45121</v>
      </c>
      <c r="E32" s="249">
        <f>SUM(F32:O32)</f>
        <v>40</v>
      </c>
      <c r="F32" s="232">
        <v>20</v>
      </c>
      <c r="G32" s="232"/>
      <c r="H32" s="232"/>
      <c r="I32" s="232">
        <v>20</v>
      </c>
      <c r="J32" s="232"/>
      <c r="K32" s="232"/>
      <c r="L32" s="232"/>
      <c r="M32" s="232"/>
      <c r="N32" s="232"/>
      <c r="O32" s="232"/>
    </row>
    <row r="33" spans="1:15">
      <c r="A33" s="258" t="s">
        <v>1007</v>
      </c>
      <c r="B33" s="232" t="s">
        <v>106</v>
      </c>
      <c r="C33" s="259">
        <v>45121</v>
      </c>
      <c r="D33" s="259">
        <v>45121</v>
      </c>
      <c r="E33" s="249">
        <f t="shared" ref="E33" si="11">SUM(F33:O33)</f>
        <v>40</v>
      </c>
      <c r="F33" s="232">
        <v>20</v>
      </c>
      <c r="G33" s="232"/>
      <c r="H33" s="232"/>
      <c r="I33" s="232">
        <v>20</v>
      </c>
      <c r="J33" s="232"/>
      <c r="K33" s="232"/>
      <c r="L33" s="232"/>
      <c r="M33" s="232"/>
      <c r="N33" s="232"/>
      <c r="O33" s="232"/>
    </row>
    <row r="34" spans="1:15">
      <c r="A34" s="260" t="s">
        <v>1011</v>
      </c>
      <c r="B34" s="232" t="s">
        <v>106</v>
      </c>
      <c r="C34" s="252">
        <v>45132</v>
      </c>
      <c r="D34" s="252">
        <v>45132</v>
      </c>
      <c r="E34" s="249">
        <v>20</v>
      </c>
      <c r="F34" s="232">
        <v>10</v>
      </c>
      <c r="G34" s="232"/>
      <c r="H34" s="232"/>
      <c r="I34" s="232">
        <v>10</v>
      </c>
      <c r="J34" s="232"/>
      <c r="K34" s="232"/>
      <c r="L34" s="232"/>
      <c r="M34" s="232"/>
      <c r="N34" s="232"/>
      <c r="O34" s="232"/>
    </row>
    <row r="35" spans="1:15">
      <c r="A35" s="260" t="s">
        <v>1012</v>
      </c>
      <c r="B35" s="232" t="s">
        <v>106</v>
      </c>
      <c r="C35" s="252">
        <v>45132</v>
      </c>
      <c r="D35" s="252">
        <v>45132</v>
      </c>
      <c r="E35" s="249">
        <v>40</v>
      </c>
      <c r="F35" s="232">
        <v>10</v>
      </c>
      <c r="G35" s="232"/>
      <c r="H35" s="232"/>
      <c r="I35" s="232">
        <v>10</v>
      </c>
      <c r="J35" s="232"/>
      <c r="K35" s="232"/>
      <c r="L35" s="232"/>
      <c r="M35" s="232"/>
      <c r="N35" s="232"/>
      <c r="O35" s="232"/>
    </row>
    <row r="36" spans="1:15">
      <c r="A36" s="260" t="s">
        <v>1013</v>
      </c>
      <c r="B36" s="232" t="s">
        <v>106</v>
      </c>
      <c r="C36" s="252">
        <v>45132</v>
      </c>
      <c r="D36" s="252">
        <v>45132</v>
      </c>
      <c r="E36" s="249">
        <v>40</v>
      </c>
      <c r="F36" s="232">
        <v>10</v>
      </c>
      <c r="G36" s="232"/>
      <c r="H36" s="232"/>
      <c r="I36" s="232">
        <v>10</v>
      </c>
      <c r="J36" s="232"/>
      <c r="K36" s="232"/>
      <c r="L36" s="232"/>
      <c r="M36" s="232"/>
      <c r="N36" s="232"/>
      <c r="O36" s="232"/>
    </row>
    <row r="37" spans="1:15">
      <c r="A37" s="268" t="s">
        <v>1017</v>
      </c>
      <c r="B37" s="269" t="s">
        <v>106</v>
      </c>
      <c r="C37" s="270">
        <v>45132</v>
      </c>
      <c r="D37" s="270">
        <v>45132</v>
      </c>
      <c r="E37" s="249">
        <v>20</v>
      </c>
      <c r="G37" s="143">
        <v>10</v>
      </c>
      <c r="H37" s="143">
        <v>10</v>
      </c>
    </row>
    <row r="38" spans="1:15">
      <c r="A38" s="271" t="s">
        <v>1019</v>
      </c>
      <c r="B38" s="273" t="s">
        <v>106</v>
      </c>
      <c r="C38" s="274">
        <v>45133</v>
      </c>
      <c r="D38" s="274">
        <v>45133</v>
      </c>
      <c r="E38" s="275">
        <f>SUM(F38:O38)</f>
        <v>30</v>
      </c>
      <c r="F38" s="273"/>
      <c r="G38" s="273"/>
      <c r="H38" s="273"/>
      <c r="I38" s="273"/>
      <c r="J38" s="273"/>
      <c r="K38" s="273"/>
      <c r="L38" s="273">
        <v>15</v>
      </c>
      <c r="M38" s="273">
        <v>15</v>
      </c>
      <c r="N38" s="273"/>
      <c r="O38" s="276"/>
    </row>
    <row r="39" spans="1:15">
      <c r="A39" s="268" t="s">
        <v>1025</v>
      </c>
      <c r="B39" s="269" t="s">
        <v>106</v>
      </c>
      <c r="C39" s="270">
        <v>45138</v>
      </c>
      <c r="D39" s="270">
        <v>45138</v>
      </c>
      <c r="E39" s="249">
        <v>20</v>
      </c>
      <c r="F39" s="273"/>
      <c r="G39" s="273"/>
      <c r="H39" s="273"/>
      <c r="I39" s="143">
        <v>10</v>
      </c>
      <c r="J39" s="273"/>
      <c r="K39" s="273"/>
      <c r="L39" s="273"/>
      <c r="M39" s="273"/>
      <c r="N39" s="273">
        <v>10</v>
      </c>
      <c r="O39" s="276"/>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B3:B12 B14:B25 B27:B36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86" activePane="bottomRight" state="frozenSplit"/>
      <selection activeCell="K17" sqref="K17"/>
      <selection pane="topRight" activeCell="K17" sqref="K17"/>
      <selection pane="bottomLeft" activeCell="K17" sqref="K17"/>
      <selection pane="bottomRight" activeCell="F97" sqref="F97"/>
    </sheetView>
  </sheetViews>
  <sheetFormatPr defaultRowHeight="12.75" outlineLevelRow="1" outlineLevelCol="1"/>
  <cols>
    <col min="1" max="1" width="5.28515625" style="71" customWidth="1"/>
    <col min="2" max="2" width="9.85546875" style="47" customWidth="1"/>
    <col min="3" max="3" width="21.140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4</v>
      </c>
      <c r="P2" s="58"/>
      <c r="Q2" s="53">
        <f>COUNTIF($L5:$L500,"=" &amp; Q1)</f>
        <v>0</v>
      </c>
      <c r="R2" s="53">
        <f>COUNTIF($L5:$L500,"=" &amp; R1)</f>
        <v>26</v>
      </c>
      <c r="S2" s="53">
        <f>COUNTIF($L5:$L500,"=" &amp; S1)</f>
        <v>4</v>
      </c>
      <c r="T2" s="53">
        <f>COUNTIF($L5:$L500,"=" &amp; T1)</f>
        <v>63</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COUNTIF($M5:$M500,"=" &amp; AH1)</f>
        <v>93</v>
      </c>
      <c r="AI2" s="53">
        <f>COUNTIF($M5:$M500,"=" &amp; AI1)</f>
        <v>0</v>
      </c>
      <c r="AJ2" s="53">
        <f>COUNTIF($M5:$M500,"=" &amp; AJ1)</f>
        <v>0</v>
      </c>
      <c r="AM2" s="33"/>
      <c r="AN2" s="33"/>
      <c r="AO2" s="33"/>
      <c r="AP2" s="35"/>
      <c r="AQ2" s="35"/>
      <c r="AR2" s="33"/>
      <c r="AS2" s="35"/>
      <c r="AT2" s="35"/>
    </row>
    <row r="3" spans="1:46" s="52" customFormat="1" ht="25.5" customHeight="1" outlineLevel="1">
      <c r="A3" s="377" t="str">
        <f>IF(Issue_to_treat=1,NbOfNotTreatedIssues+NbOfRejectedIssues&amp;" issue(s) to treat",IF(Issues_to_approve=1,NbOfNotApprovedIssues&amp;" issue(s) to approve",IF(Issues_postponed=1,NbOfNotApprovedAndPostponedIssues&amp;" issue(s) postponed","Status OK")))</f>
        <v>4 issue(s) postponed</v>
      </c>
      <c r="B3" s="377"/>
      <c r="C3" s="378"/>
      <c r="D3" s="65" t="s">
        <v>63</v>
      </c>
      <c r="E3" s="376" t="s">
        <v>81</v>
      </c>
      <c r="F3" s="376"/>
      <c r="G3" s="376"/>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ht="25.5">
      <c r="A5" s="72">
        <v>1</v>
      </c>
      <c r="B5" s="28">
        <v>1.1000000000000001</v>
      </c>
      <c r="C5" s="41" t="s">
        <v>868</v>
      </c>
      <c r="D5" s="29" t="s">
        <v>884</v>
      </c>
      <c r="E5" s="69">
        <v>44937.52511574074</v>
      </c>
      <c r="F5" s="70" t="s">
        <v>858</v>
      </c>
      <c r="G5" s="18"/>
      <c r="H5" s="22"/>
      <c r="I5" s="22"/>
      <c r="J5" s="22" t="s">
        <v>858</v>
      </c>
      <c r="K5" s="23">
        <v>44943.645497685182</v>
      </c>
      <c r="L5" s="22" t="s">
        <v>27</v>
      </c>
      <c r="M5" s="80" t="s">
        <v>28</v>
      </c>
      <c r="N5" s="57"/>
      <c r="O5" s="57"/>
      <c r="P5" s="57"/>
      <c r="Q5" s="61"/>
      <c r="R5" s="61"/>
      <c r="S5" s="61"/>
      <c r="T5" s="61"/>
      <c r="U5" s="61"/>
      <c r="V5" s="61"/>
      <c r="W5" s="61"/>
    </row>
    <row r="6" spans="1:46" s="25" customFormat="1" ht="25.5">
      <c r="A6" s="73">
        <v>2</v>
      </c>
      <c r="B6" s="28">
        <v>1.2</v>
      </c>
      <c r="C6" s="41" t="s">
        <v>868</v>
      </c>
      <c r="D6" s="29" t="s">
        <v>884</v>
      </c>
      <c r="E6" s="69">
        <v>44943.645949074074</v>
      </c>
      <c r="F6" s="70" t="s">
        <v>858</v>
      </c>
      <c r="G6" s="18"/>
      <c r="H6" s="22"/>
      <c r="I6" s="22"/>
      <c r="J6" s="22" t="s">
        <v>858</v>
      </c>
      <c r="K6" s="23">
        <v>44943.645995370367</v>
      </c>
      <c r="L6" s="22" t="s">
        <v>27</v>
      </c>
      <c r="M6" s="22" t="s">
        <v>28</v>
      </c>
      <c r="N6" s="57"/>
      <c r="O6" s="57"/>
      <c r="P6" s="57"/>
      <c r="Q6" s="61"/>
      <c r="R6" s="61"/>
      <c r="S6" s="61"/>
      <c r="T6" s="61"/>
      <c r="U6" s="61"/>
      <c r="V6" s="61"/>
      <c r="W6" s="61"/>
    </row>
    <row r="7" spans="1:46" s="25" customFormat="1" ht="25.5">
      <c r="A7" s="73">
        <v>3</v>
      </c>
      <c r="B7" s="28">
        <v>1.3</v>
      </c>
      <c r="C7" s="41" t="s">
        <v>868</v>
      </c>
      <c r="D7" s="29" t="s">
        <v>885</v>
      </c>
      <c r="E7" s="69">
        <v>44943.646157407406</v>
      </c>
      <c r="F7" s="70" t="s">
        <v>858</v>
      </c>
      <c r="G7" s="18"/>
      <c r="H7" s="22"/>
      <c r="I7" s="22"/>
      <c r="J7" s="22" t="s">
        <v>858</v>
      </c>
      <c r="K7" s="23">
        <v>44943.646192129629</v>
      </c>
      <c r="L7" s="22" t="s">
        <v>27</v>
      </c>
      <c r="M7" s="22" t="s">
        <v>28</v>
      </c>
      <c r="N7" s="57"/>
      <c r="O7" s="57"/>
      <c r="P7" s="57"/>
      <c r="Q7" s="61"/>
      <c r="R7" s="61"/>
      <c r="S7" s="61"/>
      <c r="T7" s="61"/>
      <c r="U7" s="61"/>
      <c r="V7" s="61"/>
      <c r="W7" s="61"/>
    </row>
    <row r="8" spans="1:46" s="25" customFormat="1" ht="25.5">
      <c r="A8" s="73">
        <v>4</v>
      </c>
      <c r="B8" s="28">
        <v>1.1000000000000001</v>
      </c>
      <c r="C8" s="53" t="s">
        <v>869</v>
      </c>
      <c r="D8" s="29" t="s">
        <v>888</v>
      </c>
      <c r="E8" s="69">
        <v>44943.649918981479</v>
      </c>
      <c r="F8" s="70" t="s">
        <v>858</v>
      </c>
      <c r="G8" s="18"/>
      <c r="H8" s="22"/>
      <c r="I8" s="22"/>
      <c r="J8" s="22" t="s">
        <v>858</v>
      </c>
      <c r="K8" s="23">
        <v>44943.650034722225</v>
      </c>
      <c r="L8" s="22" t="s">
        <v>27</v>
      </c>
      <c r="M8" s="22" t="s">
        <v>28</v>
      </c>
      <c r="N8" s="57"/>
      <c r="O8" s="57"/>
      <c r="P8" s="57"/>
      <c r="Q8" s="61"/>
      <c r="R8" s="61"/>
      <c r="S8" s="61"/>
      <c r="T8" s="61"/>
      <c r="U8" s="61"/>
      <c r="V8" s="61"/>
      <c r="W8" s="61"/>
    </row>
    <row r="9" spans="1:46" s="25" customFormat="1" ht="25.5">
      <c r="A9" s="73">
        <v>5</v>
      </c>
      <c r="B9" s="28">
        <v>1.2</v>
      </c>
      <c r="C9" s="53" t="s">
        <v>869</v>
      </c>
      <c r="D9" s="29" t="s">
        <v>888</v>
      </c>
      <c r="E9" s="69">
        <v>44943.649965277778</v>
      </c>
      <c r="F9" s="70" t="s">
        <v>858</v>
      </c>
      <c r="G9" s="18"/>
      <c r="H9" s="22"/>
      <c r="I9" s="22"/>
      <c r="J9" s="22" t="s">
        <v>858</v>
      </c>
      <c r="K9" s="23">
        <v>44943.650057870371</v>
      </c>
      <c r="L9" s="22" t="s">
        <v>27</v>
      </c>
      <c r="M9" s="22" t="s">
        <v>28</v>
      </c>
      <c r="N9" s="57"/>
      <c r="O9" s="57"/>
      <c r="P9" s="57"/>
      <c r="Q9" s="61"/>
      <c r="R9" s="61"/>
      <c r="S9" s="61"/>
      <c r="T9" s="61"/>
      <c r="U9" s="61"/>
      <c r="V9" s="61"/>
      <c r="W9" s="61"/>
    </row>
    <row r="10" spans="1:46" s="25" customFormat="1" ht="25.5">
      <c r="A10" s="73">
        <v>6</v>
      </c>
      <c r="B10" s="28">
        <v>1.3</v>
      </c>
      <c r="C10" s="53" t="s">
        <v>869</v>
      </c>
      <c r="D10" s="29" t="s">
        <v>888</v>
      </c>
      <c r="E10" s="69">
        <v>44943.649988425925</v>
      </c>
      <c r="F10" s="70" t="s">
        <v>858</v>
      </c>
      <c r="G10" s="18"/>
      <c r="H10" s="22"/>
      <c r="I10" s="22"/>
      <c r="J10" s="22" t="s">
        <v>858</v>
      </c>
      <c r="K10" s="23">
        <v>44943.650081018517</v>
      </c>
      <c r="L10" s="22" t="s">
        <v>27</v>
      </c>
      <c r="M10" s="22" t="s">
        <v>28</v>
      </c>
      <c r="N10" s="57"/>
      <c r="O10" s="57"/>
      <c r="P10" s="57"/>
      <c r="Q10" s="61"/>
      <c r="R10" s="61"/>
      <c r="S10" s="61"/>
      <c r="T10" s="61"/>
      <c r="U10" s="61"/>
      <c r="V10" s="61"/>
      <c r="W10" s="61"/>
    </row>
    <row r="11" spans="1:46" s="25" customFormat="1" ht="38.25">
      <c r="A11" s="73">
        <v>7</v>
      </c>
      <c r="B11" s="241">
        <v>1.4</v>
      </c>
      <c r="C11" s="53" t="s">
        <v>869</v>
      </c>
      <c r="D11" s="242" t="s">
        <v>870</v>
      </c>
      <c r="E11" s="69">
        <v>44937.52857638889</v>
      </c>
      <c r="F11" s="70" t="s">
        <v>858</v>
      </c>
      <c r="G11" s="242" t="s">
        <v>904</v>
      </c>
      <c r="H11" s="73"/>
      <c r="I11" s="73"/>
      <c r="J11" s="72" t="s">
        <v>905</v>
      </c>
      <c r="K11" s="69">
        <v>44944.38517361111</v>
      </c>
      <c r="L11" s="22" t="s">
        <v>20</v>
      </c>
      <c r="M11" s="22" t="s">
        <v>28</v>
      </c>
      <c r="N11" s="57"/>
      <c r="O11" s="57"/>
      <c r="P11" s="57"/>
      <c r="Q11" s="61"/>
      <c r="R11" s="61"/>
      <c r="S11" s="61"/>
      <c r="T11" s="61"/>
      <c r="U11" s="61"/>
      <c r="V11" s="61"/>
      <c r="W11" s="61"/>
    </row>
    <row r="12" spans="1:46" s="25" customFormat="1" ht="38.25">
      <c r="A12" s="73">
        <v>8</v>
      </c>
      <c r="B12" s="241">
        <v>1.4</v>
      </c>
      <c r="C12" s="53" t="s">
        <v>869</v>
      </c>
      <c r="D12" s="242" t="s">
        <v>871</v>
      </c>
      <c r="E12" s="69">
        <v>44937.529733796298</v>
      </c>
      <c r="F12" s="70" t="s">
        <v>858</v>
      </c>
      <c r="G12" s="242" t="s">
        <v>906</v>
      </c>
      <c r="H12" s="73"/>
      <c r="I12" s="73"/>
      <c r="J12" s="72" t="s">
        <v>905</v>
      </c>
      <c r="K12" s="69">
        <v>44944.388877314814</v>
      </c>
      <c r="L12" s="22" t="s">
        <v>27</v>
      </c>
      <c r="M12" s="22" t="s">
        <v>28</v>
      </c>
      <c r="N12" s="57"/>
      <c r="O12" s="57"/>
      <c r="P12" s="57"/>
      <c r="Q12" s="61"/>
      <c r="R12" s="61"/>
      <c r="S12" s="61"/>
      <c r="T12" s="61"/>
      <c r="U12" s="61"/>
      <c r="V12" s="61"/>
      <c r="W12" s="61"/>
    </row>
    <row r="13" spans="1:46" s="25" customFormat="1" ht="38.25">
      <c r="A13" s="73">
        <v>9</v>
      </c>
      <c r="B13" s="241">
        <v>1.4</v>
      </c>
      <c r="C13" s="53" t="s">
        <v>869</v>
      </c>
      <c r="D13" s="242" t="s">
        <v>872</v>
      </c>
      <c r="E13" s="69">
        <v>44937.531435185185</v>
      </c>
      <c r="F13" s="70" t="s">
        <v>858</v>
      </c>
      <c r="G13" s="243" t="s">
        <v>912</v>
      </c>
      <c r="H13" s="73"/>
      <c r="I13" s="73"/>
      <c r="J13" s="72" t="s">
        <v>905</v>
      </c>
      <c r="K13" s="69">
        <v>44944.559224537035</v>
      </c>
      <c r="L13" s="22" t="s">
        <v>20</v>
      </c>
      <c r="M13" s="22" t="s">
        <v>28</v>
      </c>
      <c r="N13" s="57"/>
      <c r="O13" s="57"/>
      <c r="P13" s="57"/>
      <c r="Q13" s="61"/>
      <c r="R13" s="61"/>
      <c r="S13" s="61"/>
      <c r="T13" s="61"/>
      <c r="U13" s="61"/>
      <c r="V13" s="61"/>
      <c r="W13" s="61"/>
    </row>
    <row r="14" spans="1:46" s="25" customFormat="1" ht="25.5">
      <c r="A14" s="73">
        <v>10</v>
      </c>
      <c r="B14" s="28">
        <v>1.1000000000000001</v>
      </c>
      <c r="C14" s="41" t="s">
        <v>866</v>
      </c>
      <c r="D14" s="29" t="s">
        <v>884</v>
      </c>
      <c r="E14" s="69">
        <v>44943.651076388887</v>
      </c>
      <c r="F14" s="70" t="s">
        <v>858</v>
      </c>
      <c r="G14" s="18"/>
      <c r="H14" s="22"/>
      <c r="I14" s="22"/>
      <c r="J14" s="22" t="s">
        <v>858</v>
      </c>
      <c r="K14" s="23">
        <v>44943.651134259257</v>
      </c>
      <c r="L14" s="22" t="s">
        <v>27</v>
      </c>
      <c r="M14" s="22" t="s">
        <v>28</v>
      </c>
      <c r="N14" s="57"/>
      <c r="O14" s="57"/>
      <c r="P14" s="57"/>
      <c r="Q14" s="61"/>
      <c r="R14" s="61"/>
      <c r="S14" s="61"/>
      <c r="T14" s="61"/>
      <c r="U14" s="61"/>
      <c r="V14" s="61"/>
      <c r="W14" s="61"/>
    </row>
    <row r="15" spans="1:46" s="25" customFormat="1" ht="25.5">
      <c r="A15" s="73">
        <v>11</v>
      </c>
      <c r="B15" s="28">
        <v>1.2</v>
      </c>
      <c r="C15" s="41" t="s">
        <v>866</v>
      </c>
      <c r="D15" s="29" t="s">
        <v>884</v>
      </c>
      <c r="E15" s="69">
        <v>44943.651076388887</v>
      </c>
      <c r="F15" s="70" t="s">
        <v>858</v>
      </c>
      <c r="G15" s="18"/>
      <c r="H15" s="22"/>
      <c r="I15" s="22"/>
      <c r="J15" s="22" t="s">
        <v>858</v>
      </c>
      <c r="K15" s="23">
        <v>44943.651134259257</v>
      </c>
      <c r="L15" s="22" t="s">
        <v>27</v>
      </c>
      <c r="M15" s="22" t="s">
        <v>28</v>
      </c>
      <c r="N15" s="57"/>
      <c r="O15" s="57"/>
      <c r="P15" s="57"/>
      <c r="Q15" s="61"/>
      <c r="R15" s="61"/>
      <c r="S15" s="61"/>
      <c r="T15" s="61"/>
      <c r="U15" s="61"/>
      <c r="V15" s="61"/>
      <c r="W15" s="61"/>
    </row>
    <row r="16" spans="1:46" s="25" customFormat="1" ht="38.25">
      <c r="A16" s="73">
        <v>12</v>
      </c>
      <c r="B16" s="241">
        <v>1.3</v>
      </c>
      <c r="C16" s="53" t="s">
        <v>866</v>
      </c>
      <c r="D16" s="242" t="s">
        <v>873</v>
      </c>
      <c r="E16" s="69">
        <v>44937.533206018517</v>
      </c>
      <c r="F16" s="70" t="s">
        <v>858</v>
      </c>
      <c r="G16" s="242" t="s">
        <v>904</v>
      </c>
      <c r="H16" s="73"/>
      <c r="I16" s="73"/>
      <c r="J16" s="72" t="s">
        <v>905</v>
      </c>
      <c r="K16" s="69">
        <v>44944.417083333334</v>
      </c>
      <c r="L16" s="22" t="s">
        <v>20</v>
      </c>
      <c r="M16" s="22" t="s">
        <v>28</v>
      </c>
      <c r="N16" s="57"/>
      <c r="O16" s="57"/>
      <c r="P16" s="57"/>
      <c r="Q16" s="61"/>
      <c r="R16" s="61"/>
      <c r="S16" s="61"/>
      <c r="T16" s="61"/>
      <c r="U16" s="61"/>
      <c r="V16" s="61"/>
      <c r="W16" s="61"/>
    </row>
    <row r="17" spans="1:23" s="25" customFormat="1" ht="25.5">
      <c r="A17" s="73">
        <v>13</v>
      </c>
      <c r="B17" s="241">
        <v>1.3</v>
      </c>
      <c r="C17" s="53" t="s">
        <v>866</v>
      </c>
      <c r="D17" s="242" t="s">
        <v>874</v>
      </c>
      <c r="E17" s="69">
        <v>44937.534212962964</v>
      </c>
      <c r="F17" s="70" t="s">
        <v>858</v>
      </c>
      <c r="G17" s="243" t="s">
        <v>907</v>
      </c>
      <c r="H17" s="73"/>
      <c r="I17" s="73"/>
      <c r="J17" s="73" t="s">
        <v>905</v>
      </c>
      <c r="K17" s="69">
        <v>44944.418206018519</v>
      </c>
      <c r="L17" s="22" t="s">
        <v>20</v>
      </c>
      <c r="M17" s="22" t="s">
        <v>28</v>
      </c>
      <c r="N17" s="57"/>
      <c r="O17" s="57"/>
      <c r="P17" s="57"/>
      <c r="Q17" s="61"/>
      <c r="R17" s="61"/>
      <c r="S17" s="61"/>
      <c r="T17" s="61"/>
      <c r="U17" s="61"/>
      <c r="V17" s="61"/>
      <c r="W17" s="61"/>
    </row>
    <row r="18" spans="1:23" s="25" customFormat="1" ht="25.5">
      <c r="A18" s="73">
        <v>14</v>
      </c>
      <c r="B18" s="241">
        <v>1.3</v>
      </c>
      <c r="C18" s="53" t="s">
        <v>866</v>
      </c>
      <c r="D18" s="242" t="s">
        <v>875</v>
      </c>
      <c r="E18" s="69">
        <v>44937.536041666666</v>
      </c>
      <c r="F18" s="70" t="s">
        <v>858</v>
      </c>
      <c r="G18" s="243" t="s">
        <v>908</v>
      </c>
      <c r="H18" s="73"/>
      <c r="I18" s="73"/>
      <c r="J18" s="73" t="s">
        <v>905</v>
      </c>
      <c r="K18" s="244">
        <v>44944.436562499999</v>
      </c>
      <c r="L18" s="22" t="s">
        <v>20</v>
      </c>
      <c r="M18" s="22" t="s">
        <v>28</v>
      </c>
      <c r="N18" s="57"/>
      <c r="O18" s="57"/>
      <c r="P18" s="57"/>
      <c r="Q18" s="61"/>
      <c r="R18" s="61"/>
      <c r="S18" s="61"/>
      <c r="T18" s="61"/>
      <c r="U18" s="61"/>
      <c r="V18" s="61"/>
      <c r="W18" s="61"/>
    </row>
    <row r="19" spans="1:23" s="25" customFormat="1" ht="25.5">
      <c r="A19" s="73">
        <v>15</v>
      </c>
      <c r="B19" s="28">
        <v>1.3</v>
      </c>
      <c r="C19" s="41" t="s">
        <v>866</v>
      </c>
      <c r="D19" s="29" t="s">
        <v>876</v>
      </c>
      <c r="E19" s="69">
        <v>44937.536979166667</v>
      </c>
      <c r="F19" s="70" t="s">
        <v>858</v>
      </c>
      <c r="G19" s="18" t="s">
        <v>909</v>
      </c>
      <c r="H19" s="22"/>
      <c r="I19" s="22"/>
      <c r="J19" s="22" t="s">
        <v>905</v>
      </c>
      <c r="K19" s="81">
        <v>44944.437662037039</v>
      </c>
      <c r="L19" s="22" t="s">
        <v>20</v>
      </c>
      <c r="M19" s="22" t="s">
        <v>28</v>
      </c>
      <c r="N19" s="57"/>
      <c r="O19" s="57"/>
      <c r="P19" s="57"/>
      <c r="Q19" s="61"/>
      <c r="R19" s="61"/>
      <c r="S19" s="61"/>
      <c r="T19" s="61"/>
      <c r="U19" s="61"/>
      <c r="V19" s="61"/>
      <c r="W19" s="61"/>
    </row>
    <row r="20" spans="1:23" s="25" customFormat="1" ht="38.25">
      <c r="A20" s="73">
        <v>16</v>
      </c>
      <c r="B20" s="28">
        <v>1.3</v>
      </c>
      <c r="C20" s="41" t="s">
        <v>866</v>
      </c>
      <c r="D20" s="29" t="s">
        <v>877</v>
      </c>
      <c r="E20" s="69">
        <v>44937.543564814812</v>
      </c>
      <c r="F20" s="70" t="s">
        <v>858</v>
      </c>
      <c r="G20" s="18" t="s">
        <v>910</v>
      </c>
      <c r="H20" s="22"/>
      <c r="I20" s="22"/>
      <c r="J20" s="22" t="s">
        <v>905</v>
      </c>
      <c r="K20" s="23">
        <v>44944.457187499997</v>
      </c>
      <c r="L20" s="22" t="s">
        <v>20</v>
      </c>
      <c r="M20" s="22" t="s">
        <v>28</v>
      </c>
      <c r="N20" s="57"/>
      <c r="O20" s="57"/>
      <c r="P20" s="57"/>
      <c r="Q20" s="61"/>
      <c r="R20" s="61"/>
      <c r="S20" s="61"/>
      <c r="T20" s="61"/>
      <c r="U20" s="61"/>
      <c r="V20" s="61"/>
      <c r="W20" s="61"/>
    </row>
    <row r="21" spans="1:23" s="25" customFormat="1" ht="38.25">
      <c r="A21" s="73">
        <v>17</v>
      </c>
      <c r="B21" s="28">
        <v>1.3</v>
      </c>
      <c r="C21" s="41" t="s">
        <v>866</v>
      </c>
      <c r="D21" s="29" t="s">
        <v>878</v>
      </c>
      <c r="E21" s="69">
        <v>44937.546655092592</v>
      </c>
      <c r="F21" s="70" t="s">
        <v>858</v>
      </c>
      <c r="G21" s="18" t="s">
        <v>911</v>
      </c>
      <c r="H21" s="22"/>
      <c r="I21" s="22"/>
      <c r="J21" s="22" t="s">
        <v>905</v>
      </c>
      <c r="K21" s="23">
        <v>44944.458460648151</v>
      </c>
      <c r="L21" s="22" t="s">
        <v>20</v>
      </c>
      <c r="M21" s="22" t="s">
        <v>28</v>
      </c>
      <c r="N21" s="57"/>
      <c r="O21" s="57"/>
      <c r="P21" s="57"/>
      <c r="Q21" s="61"/>
      <c r="R21" s="61"/>
      <c r="S21" s="61"/>
      <c r="T21" s="61"/>
      <c r="U21" s="61"/>
      <c r="V21" s="61"/>
      <c r="W21" s="61"/>
    </row>
    <row r="22" spans="1:23" s="25" customFormat="1" ht="38.25">
      <c r="A22" s="73">
        <v>18</v>
      </c>
      <c r="B22" s="28">
        <v>1.3</v>
      </c>
      <c r="C22" s="41" t="s">
        <v>866</v>
      </c>
      <c r="D22" s="29" t="s">
        <v>879</v>
      </c>
      <c r="E22" s="69">
        <v>44937.547696759262</v>
      </c>
      <c r="F22" s="70" t="s">
        <v>858</v>
      </c>
      <c r="G22" s="18" t="s">
        <v>911</v>
      </c>
      <c r="H22" s="22"/>
      <c r="I22" s="22"/>
      <c r="J22" s="22" t="s">
        <v>905</v>
      </c>
      <c r="K22" s="23">
        <v>44944.460949074077</v>
      </c>
      <c r="L22" s="22" t="s">
        <v>20</v>
      </c>
      <c r="M22" s="22" t="s">
        <v>28</v>
      </c>
      <c r="N22" s="57"/>
      <c r="O22" s="57"/>
      <c r="P22" s="57"/>
      <c r="Q22" s="61"/>
      <c r="R22" s="61"/>
      <c r="S22" s="61"/>
      <c r="T22" s="61"/>
      <c r="U22" s="61"/>
      <c r="V22" s="61"/>
      <c r="W22" s="61"/>
    </row>
    <row r="23" spans="1:23" s="25" customFormat="1" ht="25.5">
      <c r="A23" s="73">
        <v>19</v>
      </c>
      <c r="B23" s="28">
        <v>1.3</v>
      </c>
      <c r="C23" s="41" t="s">
        <v>866</v>
      </c>
      <c r="D23" s="29" t="s">
        <v>880</v>
      </c>
      <c r="E23" s="69">
        <v>44937.551018518519</v>
      </c>
      <c r="F23" s="70" t="s">
        <v>858</v>
      </c>
      <c r="G23" s="18" t="s">
        <v>910</v>
      </c>
      <c r="H23" s="22"/>
      <c r="I23" s="22"/>
      <c r="J23" s="22" t="s">
        <v>905</v>
      </c>
      <c r="K23" s="23">
        <v>44944.477997685186</v>
      </c>
      <c r="L23" s="22" t="s">
        <v>20</v>
      </c>
      <c r="M23" s="22" t="s">
        <v>28</v>
      </c>
      <c r="N23" s="57"/>
      <c r="O23" s="57"/>
      <c r="P23" s="57"/>
      <c r="Q23" s="61"/>
      <c r="R23" s="61"/>
      <c r="S23" s="61"/>
      <c r="T23" s="61"/>
      <c r="U23" s="61"/>
      <c r="V23" s="61"/>
      <c r="W23" s="61"/>
    </row>
    <row r="24" spans="1:23" s="25" customFormat="1" ht="25.5">
      <c r="A24" s="73">
        <v>20</v>
      </c>
      <c r="B24" s="28">
        <v>1.3</v>
      </c>
      <c r="C24" s="41" t="s">
        <v>866</v>
      </c>
      <c r="D24" s="29" t="s">
        <v>893</v>
      </c>
      <c r="E24" s="69">
        <v>44943.655787037038</v>
      </c>
      <c r="F24" s="70" t="s">
        <v>858</v>
      </c>
      <c r="G24" s="18" t="s">
        <v>914</v>
      </c>
      <c r="H24" s="22"/>
      <c r="I24" s="22"/>
      <c r="J24" s="22" t="s">
        <v>905</v>
      </c>
      <c r="K24" s="23">
        <v>44944.541689814818</v>
      </c>
      <c r="L24" s="245" t="s">
        <v>20</v>
      </c>
      <c r="M24" s="22" t="s">
        <v>28</v>
      </c>
      <c r="N24" s="57"/>
      <c r="O24" s="57"/>
      <c r="P24" s="57"/>
      <c r="Q24" s="61"/>
      <c r="R24" s="61"/>
      <c r="S24" s="61"/>
      <c r="T24" s="61"/>
      <c r="U24" s="61"/>
      <c r="V24" s="61"/>
      <c r="W24" s="61"/>
    </row>
    <row r="25" spans="1:23" s="25" customFormat="1" ht="25.5">
      <c r="A25" s="73">
        <v>21</v>
      </c>
      <c r="B25" s="241">
        <v>1.1000000000000001</v>
      </c>
      <c r="C25" s="53" t="s">
        <v>867</v>
      </c>
      <c r="D25" s="242" t="s">
        <v>884</v>
      </c>
      <c r="E25" s="69">
        <v>44943.656134259261</v>
      </c>
      <c r="F25" s="70" t="s">
        <v>858</v>
      </c>
      <c r="G25" s="243"/>
      <c r="H25" s="73"/>
      <c r="I25" s="73"/>
      <c r="J25" s="73" t="s">
        <v>858</v>
      </c>
      <c r="K25" s="244">
        <v>44943.65625</v>
      </c>
      <c r="L25" s="22" t="s">
        <v>27</v>
      </c>
      <c r="M25" s="22" t="s">
        <v>28</v>
      </c>
      <c r="N25" s="57"/>
      <c r="O25" s="57"/>
      <c r="P25" s="57"/>
      <c r="Q25" s="61"/>
      <c r="R25" s="61"/>
      <c r="S25" s="61"/>
      <c r="T25" s="61"/>
      <c r="U25" s="61"/>
      <c r="V25" s="61"/>
      <c r="W25" s="61"/>
    </row>
    <row r="26" spans="1:23" s="25" customFormat="1" ht="25.5">
      <c r="A26" s="73">
        <v>22</v>
      </c>
      <c r="B26" s="241">
        <v>1.2</v>
      </c>
      <c r="C26" s="53" t="s">
        <v>867</v>
      </c>
      <c r="D26" s="242" t="s">
        <v>884</v>
      </c>
      <c r="E26" s="69">
        <v>44943.656145833331</v>
      </c>
      <c r="F26" s="70" t="s">
        <v>858</v>
      </c>
      <c r="G26" s="243"/>
      <c r="H26" s="73"/>
      <c r="I26" s="73"/>
      <c r="J26" s="73" t="s">
        <v>858</v>
      </c>
      <c r="K26" s="69">
        <v>44943.656273148146</v>
      </c>
      <c r="L26" s="22" t="s">
        <v>27</v>
      </c>
      <c r="M26" s="22" t="s">
        <v>28</v>
      </c>
      <c r="N26" s="57"/>
      <c r="O26" s="57"/>
      <c r="P26" s="57"/>
      <c r="Q26" s="61"/>
      <c r="R26" s="61"/>
      <c r="S26" s="61"/>
      <c r="T26" s="61"/>
      <c r="U26" s="61"/>
      <c r="V26" s="61"/>
      <c r="W26" s="61"/>
    </row>
    <row r="27" spans="1:23" s="25" customFormat="1" ht="25.5">
      <c r="A27" s="73">
        <v>23</v>
      </c>
      <c r="B27" s="28">
        <v>1.3</v>
      </c>
      <c r="C27" s="41" t="s">
        <v>867</v>
      </c>
      <c r="D27" s="29" t="s">
        <v>882</v>
      </c>
      <c r="E27" s="69">
        <v>44937.553599537037</v>
      </c>
      <c r="F27" s="70" t="s">
        <v>858</v>
      </c>
      <c r="G27" s="18" t="s">
        <v>913</v>
      </c>
      <c r="H27" s="22"/>
      <c r="I27" s="22"/>
      <c r="J27" s="22" t="s">
        <v>905</v>
      </c>
      <c r="K27" s="23">
        <v>44944.645046296297</v>
      </c>
      <c r="L27" s="22" t="s">
        <v>20</v>
      </c>
      <c r="M27" s="22" t="s">
        <v>28</v>
      </c>
      <c r="N27" s="57"/>
      <c r="O27" s="57"/>
      <c r="P27" s="57"/>
      <c r="Q27" s="61"/>
      <c r="R27" s="61"/>
      <c r="S27" s="61"/>
      <c r="T27" s="61"/>
      <c r="U27" s="61"/>
      <c r="V27" s="61"/>
      <c r="W27" s="61"/>
    </row>
    <row r="28" spans="1:23" s="25" customFormat="1" ht="38.25">
      <c r="A28" s="73">
        <v>24</v>
      </c>
      <c r="B28" s="28">
        <v>1.3</v>
      </c>
      <c r="C28" s="41" t="s">
        <v>867</v>
      </c>
      <c r="D28" s="29" t="s">
        <v>881</v>
      </c>
      <c r="E28" s="69">
        <v>44937.554791666669</v>
      </c>
      <c r="F28" s="70" t="s">
        <v>858</v>
      </c>
      <c r="G28" s="18" t="s">
        <v>915</v>
      </c>
      <c r="H28" s="22"/>
      <c r="I28" s="22"/>
      <c r="J28" s="22" t="s">
        <v>905</v>
      </c>
      <c r="K28" s="23">
        <v>44944.64508101852</v>
      </c>
      <c r="L28" s="22" t="s">
        <v>20</v>
      </c>
      <c r="M28" s="22" t="s">
        <v>28</v>
      </c>
      <c r="N28" s="57"/>
      <c r="O28" s="57"/>
      <c r="P28" s="57"/>
      <c r="Q28" s="61"/>
      <c r="R28" s="61"/>
      <c r="S28" s="61"/>
      <c r="T28" s="61"/>
      <c r="U28" s="61"/>
      <c r="V28" s="61"/>
      <c r="W28" s="61"/>
    </row>
    <row r="29" spans="1:23" s="25" customFormat="1" ht="38.25">
      <c r="A29" s="73">
        <v>25</v>
      </c>
      <c r="B29" s="28">
        <v>1.3</v>
      </c>
      <c r="C29" s="41" t="s">
        <v>867</v>
      </c>
      <c r="D29" s="29" t="s">
        <v>883</v>
      </c>
      <c r="E29" s="69">
        <v>44937.561365740738</v>
      </c>
      <c r="F29" s="70" t="s">
        <v>858</v>
      </c>
      <c r="G29" s="18" t="s">
        <v>916</v>
      </c>
      <c r="H29" s="22"/>
      <c r="I29" s="22"/>
      <c r="J29" s="22" t="s">
        <v>905</v>
      </c>
      <c r="K29" s="23">
        <v>44944.645173611112</v>
      </c>
      <c r="L29" s="22" t="s">
        <v>20</v>
      </c>
      <c r="M29" s="22" t="s">
        <v>28</v>
      </c>
      <c r="N29" s="57"/>
      <c r="O29" s="57"/>
      <c r="P29" s="57"/>
      <c r="Q29" s="61"/>
      <c r="R29" s="61"/>
      <c r="S29" s="61"/>
      <c r="T29" s="61"/>
      <c r="U29" s="61"/>
      <c r="V29" s="61"/>
      <c r="W29" s="61"/>
    </row>
    <row r="30" spans="1:23" s="25" customFormat="1" ht="38.25">
      <c r="A30" s="73">
        <v>26</v>
      </c>
      <c r="B30" s="28">
        <v>1.3</v>
      </c>
      <c r="C30" s="41" t="s">
        <v>867</v>
      </c>
      <c r="D30" s="29" t="s">
        <v>896</v>
      </c>
      <c r="E30" s="69">
        <v>44943.658171296294</v>
      </c>
      <c r="F30" s="70" t="s">
        <v>858</v>
      </c>
      <c r="G30" s="18" t="s">
        <v>917</v>
      </c>
      <c r="H30" s="22"/>
      <c r="I30" s="22"/>
      <c r="J30" s="22" t="s">
        <v>905</v>
      </c>
      <c r="K30" s="23">
        <v>44944.645208333335</v>
      </c>
      <c r="L30" s="22" t="s">
        <v>27</v>
      </c>
      <c r="M30" s="22" t="s">
        <v>28</v>
      </c>
      <c r="N30" s="57"/>
      <c r="O30" s="57"/>
      <c r="P30" s="57"/>
      <c r="Q30" s="61"/>
      <c r="R30" s="61"/>
      <c r="S30" s="61"/>
      <c r="T30" s="61"/>
      <c r="U30" s="61"/>
      <c r="V30" s="61"/>
      <c r="W30" s="61"/>
    </row>
    <row r="31" spans="1:23" s="25" customFormat="1" ht="25.5">
      <c r="A31" s="73">
        <v>27</v>
      </c>
      <c r="B31" s="241">
        <v>1.1000000000000001</v>
      </c>
      <c r="C31" s="41" t="s">
        <v>947</v>
      </c>
      <c r="D31" s="242" t="s">
        <v>897</v>
      </c>
      <c r="E31" s="69">
        <v>44943.659143518518</v>
      </c>
      <c r="F31" s="70" t="s">
        <v>858</v>
      </c>
      <c r="G31" s="243"/>
      <c r="H31" s="73"/>
      <c r="I31" s="73"/>
      <c r="J31" s="73" t="s">
        <v>858</v>
      </c>
      <c r="K31" s="69">
        <v>44943.659375000003</v>
      </c>
      <c r="L31" s="22" t="s">
        <v>27</v>
      </c>
      <c r="M31" s="22" t="s">
        <v>28</v>
      </c>
      <c r="N31" s="57"/>
      <c r="O31" s="57"/>
      <c r="P31" s="57"/>
      <c r="Q31" s="61"/>
      <c r="R31" s="61"/>
      <c r="S31" s="61"/>
      <c r="T31" s="61"/>
      <c r="U31" s="61"/>
      <c r="V31" s="61"/>
      <c r="W31" s="61"/>
    </row>
    <row r="32" spans="1:23" s="25" customFormat="1" ht="25.5">
      <c r="A32" s="73">
        <v>28</v>
      </c>
      <c r="B32" s="241">
        <v>1.2</v>
      </c>
      <c r="C32" s="41" t="s">
        <v>947</v>
      </c>
      <c r="D32" s="242" t="s">
        <v>897</v>
      </c>
      <c r="E32" s="69">
        <v>44943.659270833334</v>
      </c>
      <c r="F32" s="70" t="s">
        <v>858</v>
      </c>
      <c r="G32" s="243"/>
      <c r="H32" s="73"/>
      <c r="I32" s="73"/>
      <c r="J32" s="73" t="s">
        <v>858</v>
      </c>
      <c r="K32" s="69">
        <v>44943.659398148149</v>
      </c>
      <c r="L32" s="22" t="s">
        <v>27</v>
      </c>
      <c r="M32" s="22" t="s">
        <v>28</v>
      </c>
      <c r="N32" s="57"/>
      <c r="O32" s="57"/>
      <c r="P32" s="57"/>
      <c r="Q32" s="61"/>
      <c r="R32" s="61"/>
      <c r="S32" s="61"/>
      <c r="T32" s="61"/>
      <c r="U32" s="61"/>
      <c r="V32" s="61"/>
      <c r="W32" s="61"/>
    </row>
    <row r="33" spans="1:23" s="25" customFormat="1" ht="25.5">
      <c r="A33" s="73">
        <v>29</v>
      </c>
      <c r="B33" s="241">
        <v>1.3</v>
      </c>
      <c r="C33" s="41" t="s">
        <v>947</v>
      </c>
      <c r="D33" s="242" t="s">
        <v>897</v>
      </c>
      <c r="E33" s="69">
        <v>44943.65929398148</v>
      </c>
      <c r="F33" s="70" t="s">
        <v>858</v>
      </c>
      <c r="G33" s="243"/>
      <c r="H33" s="73"/>
      <c r="I33" s="73"/>
      <c r="J33" s="73" t="s">
        <v>858</v>
      </c>
      <c r="K33" s="69">
        <v>44943.659421296295</v>
      </c>
      <c r="L33" s="22" t="s">
        <v>27</v>
      </c>
      <c r="M33" s="22" t="s">
        <v>28</v>
      </c>
      <c r="N33" s="57"/>
      <c r="O33" s="57"/>
      <c r="P33" s="57"/>
      <c r="Q33" s="61"/>
      <c r="R33" s="61"/>
      <c r="S33" s="61"/>
      <c r="T33" s="61"/>
      <c r="U33" s="61"/>
      <c r="V33" s="61"/>
      <c r="W33" s="61"/>
    </row>
    <row r="34" spans="1:23" s="25" customFormat="1" ht="25.5">
      <c r="A34" s="73">
        <v>30</v>
      </c>
      <c r="B34" s="28">
        <v>1.4</v>
      </c>
      <c r="C34" s="41" t="s">
        <v>947</v>
      </c>
      <c r="D34" s="29" t="s">
        <v>897</v>
      </c>
      <c r="E34" s="69">
        <v>44943.659317129626</v>
      </c>
      <c r="F34" s="70" t="s">
        <v>858</v>
      </c>
      <c r="G34" s="18"/>
      <c r="H34" s="22"/>
      <c r="I34" s="22"/>
      <c r="J34" s="22" t="s">
        <v>858</v>
      </c>
      <c r="K34" s="23">
        <v>44943.659444444442</v>
      </c>
      <c r="L34" s="22" t="s">
        <v>27</v>
      </c>
      <c r="M34" s="22" t="s">
        <v>28</v>
      </c>
      <c r="N34" s="57"/>
      <c r="O34" s="57"/>
      <c r="P34" s="57"/>
      <c r="Q34" s="61"/>
      <c r="R34" s="61"/>
      <c r="S34" s="61"/>
      <c r="T34" s="61"/>
      <c r="U34" s="61"/>
      <c r="V34" s="61"/>
      <c r="W34" s="61"/>
    </row>
    <row r="35" spans="1:23" s="25" customFormat="1" ht="25.5">
      <c r="A35" s="73">
        <v>31</v>
      </c>
      <c r="B35" s="28">
        <v>1.5</v>
      </c>
      <c r="C35" s="41" t="s">
        <v>947</v>
      </c>
      <c r="D35" s="29" t="s">
        <v>873</v>
      </c>
      <c r="E35" s="69">
        <v>44943.660277777781</v>
      </c>
      <c r="F35" s="70" t="s">
        <v>858</v>
      </c>
      <c r="G35" s="18" t="s">
        <v>918</v>
      </c>
      <c r="H35" s="22"/>
      <c r="I35" s="22"/>
      <c r="J35" s="22" t="s">
        <v>905</v>
      </c>
      <c r="K35" s="23">
        <v>44944.648599537039</v>
      </c>
      <c r="L35" s="22" t="s">
        <v>20</v>
      </c>
      <c r="M35" s="22" t="s">
        <v>28</v>
      </c>
      <c r="N35" s="57"/>
      <c r="O35" s="57"/>
      <c r="P35" s="57"/>
      <c r="Q35" s="61"/>
      <c r="R35" s="61"/>
      <c r="S35" s="61"/>
      <c r="T35" s="61"/>
      <c r="U35" s="61"/>
      <c r="V35" s="61"/>
      <c r="W35" s="61"/>
    </row>
    <row r="36" spans="1:23" s="25" customFormat="1" ht="25.5">
      <c r="A36" s="73">
        <v>32</v>
      </c>
      <c r="B36" s="28">
        <v>1.5</v>
      </c>
      <c r="C36" s="41" t="s">
        <v>947</v>
      </c>
      <c r="D36" s="29" t="s">
        <v>882</v>
      </c>
      <c r="E36" s="69">
        <v>44943.661307870374</v>
      </c>
      <c r="F36" s="70" t="s">
        <v>858</v>
      </c>
      <c r="G36" s="18" t="s">
        <v>913</v>
      </c>
      <c r="H36" s="22"/>
      <c r="I36" s="22"/>
      <c r="J36" s="22" t="s">
        <v>905</v>
      </c>
      <c r="K36" s="23">
        <v>44944.651736111111</v>
      </c>
      <c r="L36" s="22" t="s">
        <v>20</v>
      </c>
      <c r="M36" s="22" t="s">
        <v>28</v>
      </c>
      <c r="N36" s="57"/>
      <c r="O36" s="57"/>
      <c r="P36" s="57"/>
      <c r="Q36" s="61"/>
      <c r="R36" s="61"/>
      <c r="S36" s="61"/>
      <c r="T36" s="61"/>
      <c r="U36" s="61"/>
      <c r="V36" s="61"/>
      <c r="W36" s="61"/>
    </row>
    <row r="37" spans="1:23" s="25" customFormat="1" ht="51">
      <c r="A37" s="73">
        <v>33</v>
      </c>
      <c r="B37" s="28">
        <v>1.5</v>
      </c>
      <c r="C37" s="41" t="s">
        <v>947</v>
      </c>
      <c r="D37" s="29" t="s">
        <v>898</v>
      </c>
      <c r="E37" s="69">
        <v>44943.662916666668</v>
      </c>
      <c r="F37" s="70" t="s">
        <v>858</v>
      </c>
      <c r="G37" s="18" t="s">
        <v>919</v>
      </c>
      <c r="H37" s="22"/>
      <c r="I37" s="22"/>
      <c r="J37" s="22" t="s">
        <v>905</v>
      </c>
      <c r="K37" s="23">
        <v>44944.654594907406</v>
      </c>
      <c r="L37" s="22" t="s">
        <v>20</v>
      </c>
      <c r="M37" s="22" t="s">
        <v>28</v>
      </c>
      <c r="N37" s="57"/>
      <c r="O37" s="57"/>
      <c r="P37" s="57"/>
      <c r="Q37" s="61"/>
      <c r="R37" s="61"/>
      <c r="S37" s="61"/>
      <c r="T37" s="61"/>
      <c r="U37" s="61"/>
      <c r="V37" s="61"/>
      <c r="W37" s="61"/>
    </row>
    <row r="38" spans="1:23" s="25" customFormat="1" ht="38.25">
      <c r="A38" s="73">
        <v>34</v>
      </c>
      <c r="B38" s="28">
        <v>1.5</v>
      </c>
      <c r="C38" s="41" t="s">
        <v>947</v>
      </c>
      <c r="D38" s="29" t="s">
        <v>899</v>
      </c>
      <c r="E38" s="69">
        <v>44943.668958333335</v>
      </c>
      <c r="F38" s="70" t="s">
        <v>858</v>
      </c>
      <c r="G38" s="18" t="s">
        <v>915</v>
      </c>
      <c r="H38" s="22"/>
      <c r="I38" s="22"/>
      <c r="J38" s="22" t="s">
        <v>905</v>
      </c>
      <c r="K38" s="23">
        <v>44944.655219907407</v>
      </c>
      <c r="L38" s="22" t="s">
        <v>20</v>
      </c>
      <c r="M38" s="22" t="s">
        <v>28</v>
      </c>
      <c r="N38" s="57"/>
      <c r="O38" s="57"/>
      <c r="P38" s="57"/>
      <c r="Q38" s="61"/>
      <c r="R38" s="61"/>
      <c r="S38" s="61"/>
      <c r="T38" s="61"/>
      <c r="U38" s="61"/>
      <c r="V38" s="61"/>
      <c r="W38" s="61"/>
    </row>
    <row r="39" spans="1:23" s="25" customFormat="1" ht="25.5">
      <c r="A39" s="73">
        <v>35</v>
      </c>
      <c r="B39" s="28">
        <v>1.5</v>
      </c>
      <c r="C39" s="41" t="s">
        <v>947</v>
      </c>
      <c r="D39" s="29" t="s">
        <v>900</v>
      </c>
      <c r="E39" s="69">
        <v>44943.67</v>
      </c>
      <c r="F39" s="70" t="s">
        <v>858</v>
      </c>
      <c r="G39" s="18" t="s">
        <v>920</v>
      </c>
      <c r="H39" s="22"/>
      <c r="I39" s="22"/>
      <c r="J39" s="22" t="s">
        <v>905</v>
      </c>
      <c r="K39" s="23">
        <v>44944.655949074076</v>
      </c>
      <c r="L39" s="22" t="s">
        <v>20</v>
      </c>
      <c r="M39" s="22" t="s">
        <v>28</v>
      </c>
      <c r="N39" s="57"/>
      <c r="O39" s="57"/>
      <c r="P39" s="57"/>
      <c r="Q39" s="61"/>
      <c r="R39" s="61"/>
      <c r="S39" s="61"/>
      <c r="T39" s="61"/>
      <c r="U39" s="61"/>
      <c r="V39" s="61"/>
      <c r="W39" s="61"/>
    </row>
    <row r="40" spans="1:23" s="25" customFormat="1" ht="25.5">
      <c r="A40" s="73">
        <v>36</v>
      </c>
      <c r="B40" s="28">
        <v>1.5</v>
      </c>
      <c r="C40" s="41" t="s">
        <v>947</v>
      </c>
      <c r="D40" s="29" t="s">
        <v>901</v>
      </c>
      <c r="E40" s="69">
        <v>44943.672280092593</v>
      </c>
      <c r="F40" s="70" t="s">
        <v>858</v>
      </c>
      <c r="G40" s="18" t="s">
        <v>921</v>
      </c>
      <c r="H40" s="22"/>
      <c r="I40" s="22"/>
      <c r="J40" s="22" t="s">
        <v>905</v>
      </c>
      <c r="K40" s="23">
        <v>44944.657777777778</v>
      </c>
      <c r="L40" s="22" t="s">
        <v>20</v>
      </c>
      <c r="M40" s="22" t="s">
        <v>28</v>
      </c>
      <c r="N40" s="57"/>
      <c r="O40" s="57"/>
      <c r="P40" s="57"/>
      <c r="Q40" s="61"/>
      <c r="R40" s="61"/>
      <c r="S40" s="61"/>
      <c r="T40" s="61"/>
      <c r="U40" s="61"/>
      <c r="V40" s="61"/>
      <c r="W40" s="61"/>
    </row>
    <row r="41" spans="1:23" s="25" customFormat="1" ht="25.5">
      <c r="A41" s="73">
        <v>37</v>
      </c>
      <c r="B41" s="28">
        <v>1.5</v>
      </c>
      <c r="C41" s="41" t="s">
        <v>947</v>
      </c>
      <c r="D41" s="29" t="s">
        <v>902</v>
      </c>
      <c r="E41" s="69">
        <v>44943.676030092596</v>
      </c>
      <c r="F41" s="70" t="s">
        <v>858</v>
      </c>
      <c r="G41" s="18" t="s">
        <v>922</v>
      </c>
      <c r="H41" s="22"/>
      <c r="I41" s="22"/>
      <c r="J41" s="22" t="s">
        <v>905</v>
      </c>
      <c r="K41" s="23">
        <v>44944.658356481479</v>
      </c>
      <c r="L41" s="22" t="s">
        <v>20</v>
      </c>
      <c r="M41" s="22" t="s">
        <v>28</v>
      </c>
      <c r="N41" s="57"/>
      <c r="O41" s="57"/>
      <c r="P41" s="57"/>
      <c r="Q41" s="61"/>
      <c r="R41" s="61"/>
      <c r="S41" s="61"/>
      <c r="T41" s="61"/>
      <c r="U41" s="61"/>
      <c r="V41" s="61"/>
      <c r="W41" s="61"/>
    </row>
    <row r="42" spans="1:23" s="25" customFormat="1" ht="38.25">
      <c r="A42" s="73">
        <v>38</v>
      </c>
      <c r="B42" s="28">
        <v>1.5</v>
      </c>
      <c r="C42" s="41" t="s">
        <v>947</v>
      </c>
      <c r="D42" s="29" t="s">
        <v>903</v>
      </c>
      <c r="E42" s="69">
        <v>44943.677083333336</v>
      </c>
      <c r="F42" s="70" t="s">
        <v>858</v>
      </c>
      <c r="G42" s="18" t="s">
        <v>923</v>
      </c>
      <c r="H42" s="22"/>
      <c r="I42" s="22"/>
      <c r="J42" s="22" t="s">
        <v>905</v>
      </c>
      <c r="K42" s="23">
        <v>44944.66065972222</v>
      </c>
      <c r="L42" s="22" t="s">
        <v>20</v>
      </c>
      <c r="M42" s="22" t="s">
        <v>28</v>
      </c>
      <c r="N42" s="57"/>
      <c r="O42" s="57"/>
      <c r="P42" s="57"/>
      <c r="Q42" s="61"/>
      <c r="R42" s="61"/>
      <c r="S42" s="61"/>
      <c r="T42" s="61"/>
      <c r="U42" s="61"/>
      <c r="V42" s="61"/>
      <c r="W42" s="61"/>
    </row>
    <row r="43" spans="1:23" s="25" customFormat="1" ht="25.5">
      <c r="A43" s="73">
        <v>39</v>
      </c>
      <c r="B43" s="28">
        <v>1.5</v>
      </c>
      <c r="C43" s="41" t="s">
        <v>869</v>
      </c>
      <c r="D43" s="29" t="s">
        <v>885</v>
      </c>
      <c r="E43" s="69">
        <v>44946.570659722223</v>
      </c>
      <c r="F43" s="70" t="s">
        <v>858</v>
      </c>
      <c r="G43" s="18"/>
      <c r="H43" s="22"/>
      <c r="I43" s="22"/>
      <c r="J43" s="22" t="s">
        <v>858</v>
      </c>
      <c r="K43" s="23">
        <v>44946.570694444446</v>
      </c>
      <c r="L43" s="22" t="s">
        <v>27</v>
      </c>
      <c r="M43" s="22" t="s">
        <v>28</v>
      </c>
      <c r="N43" s="57"/>
      <c r="O43" s="57"/>
      <c r="P43" s="57"/>
      <c r="Q43" s="61"/>
      <c r="R43" s="61"/>
      <c r="S43" s="61"/>
      <c r="T43" s="61"/>
      <c r="U43" s="61"/>
      <c r="V43" s="61"/>
      <c r="W43" s="61"/>
    </row>
    <row r="44" spans="1:23" s="25" customFormat="1" ht="25.5">
      <c r="A44" s="73">
        <v>40</v>
      </c>
      <c r="B44" s="28">
        <v>1.4</v>
      </c>
      <c r="C44" s="28" t="s">
        <v>866</v>
      </c>
      <c r="D44" s="29" t="s">
        <v>885</v>
      </c>
      <c r="E44" s="69">
        <v>44946.57240740741</v>
      </c>
      <c r="F44" s="70" t="s">
        <v>858</v>
      </c>
      <c r="G44" s="18"/>
      <c r="H44" s="22"/>
      <c r="I44" s="22"/>
      <c r="J44" s="22" t="s">
        <v>858</v>
      </c>
      <c r="K44" s="23">
        <v>44946.572442129633</v>
      </c>
      <c r="L44" s="22" t="s">
        <v>27</v>
      </c>
      <c r="M44" s="22" t="s">
        <v>28</v>
      </c>
      <c r="N44" s="57"/>
      <c r="O44" s="57"/>
      <c r="P44" s="57"/>
      <c r="Q44" s="61"/>
      <c r="R44" s="61"/>
      <c r="S44" s="61"/>
      <c r="T44" s="61"/>
      <c r="U44" s="61"/>
      <c r="V44" s="61"/>
      <c r="W44" s="61"/>
    </row>
    <row r="45" spans="1:23" s="25" customFormat="1" ht="25.5">
      <c r="A45" s="73">
        <v>41</v>
      </c>
      <c r="B45" s="28">
        <v>1.6</v>
      </c>
      <c r="C45" s="41" t="s">
        <v>947</v>
      </c>
      <c r="D45" s="29" t="s">
        <v>885</v>
      </c>
      <c r="E45" s="69">
        <v>44946.575254629628</v>
      </c>
      <c r="F45" s="70" t="s">
        <v>858</v>
      </c>
      <c r="G45" s="18"/>
      <c r="H45" s="22"/>
      <c r="I45" s="22"/>
      <c r="J45" s="22" t="s">
        <v>858</v>
      </c>
      <c r="K45" s="23">
        <v>44946.575300925928</v>
      </c>
      <c r="L45" s="22" t="s">
        <v>27</v>
      </c>
      <c r="M45" s="22" t="s">
        <v>28</v>
      </c>
      <c r="N45" s="57"/>
      <c r="O45" s="57"/>
      <c r="P45" s="57"/>
      <c r="Q45" s="61"/>
      <c r="R45" s="61"/>
      <c r="S45" s="61"/>
      <c r="T45" s="61"/>
      <c r="U45" s="61"/>
      <c r="V45" s="61"/>
      <c r="W45" s="61"/>
    </row>
    <row r="46" spans="1:23" s="25" customFormat="1" ht="25.5">
      <c r="A46" s="73">
        <v>42</v>
      </c>
      <c r="B46" s="28">
        <v>1.4</v>
      </c>
      <c r="C46" s="41" t="s">
        <v>868</v>
      </c>
      <c r="D46" s="29" t="s">
        <v>885</v>
      </c>
      <c r="E46" s="69">
        <v>44951.453645833331</v>
      </c>
      <c r="F46" s="70" t="s">
        <v>858</v>
      </c>
      <c r="G46" s="18"/>
      <c r="H46" s="22"/>
      <c r="I46" s="22"/>
      <c r="J46" s="22" t="s">
        <v>858</v>
      </c>
      <c r="K46" s="23">
        <v>44951.453692129631</v>
      </c>
      <c r="L46" s="22" t="s">
        <v>27</v>
      </c>
      <c r="M46" s="22" t="s">
        <v>28</v>
      </c>
      <c r="N46" s="57"/>
      <c r="O46" s="57"/>
      <c r="P46" s="57"/>
      <c r="Q46" s="61"/>
      <c r="R46" s="61"/>
      <c r="S46" s="61"/>
      <c r="T46" s="61"/>
      <c r="U46" s="61"/>
      <c r="V46" s="61"/>
      <c r="W46" s="61"/>
    </row>
    <row r="47" spans="1:23" s="25" customFormat="1">
      <c r="A47" s="73">
        <v>43</v>
      </c>
      <c r="B47" s="241">
        <v>1.7</v>
      </c>
      <c r="C47" s="41" t="s">
        <v>947</v>
      </c>
      <c r="D47" s="242" t="s">
        <v>932</v>
      </c>
      <c r="E47" s="69">
        <v>44970.443310185183</v>
      </c>
      <c r="F47" s="70" t="s">
        <v>933</v>
      </c>
      <c r="G47" s="18"/>
      <c r="H47" s="22"/>
      <c r="I47" s="22"/>
      <c r="J47" s="22" t="s">
        <v>933</v>
      </c>
      <c r="K47" s="23">
        <v>44970.444120370368</v>
      </c>
      <c r="L47" s="22" t="s">
        <v>27</v>
      </c>
      <c r="M47" s="22" t="s">
        <v>28</v>
      </c>
      <c r="N47" s="57"/>
      <c r="O47" s="57"/>
      <c r="P47" s="57"/>
      <c r="Q47" s="61"/>
      <c r="R47" s="61"/>
      <c r="S47" s="61"/>
      <c r="T47" s="61"/>
      <c r="U47" s="61"/>
      <c r="V47" s="61"/>
      <c r="W47" s="61"/>
    </row>
    <row r="48" spans="1:23" s="25" customFormat="1">
      <c r="A48" s="73">
        <v>44</v>
      </c>
      <c r="B48" s="241">
        <v>1.8</v>
      </c>
      <c r="C48" s="41" t="s">
        <v>947</v>
      </c>
      <c r="D48" s="242" t="s">
        <v>932</v>
      </c>
      <c r="E48" s="69">
        <v>44970.443611111114</v>
      </c>
      <c r="F48" s="70" t="s">
        <v>933</v>
      </c>
      <c r="G48" s="18"/>
      <c r="H48" s="22"/>
      <c r="I48" s="22"/>
      <c r="J48" s="22" t="s">
        <v>933</v>
      </c>
      <c r="K48" s="23">
        <v>44970.444293981483</v>
      </c>
      <c r="L48" s="22" t="s">
        <v>27</v>
      </c>
      <c r="M48" s="22" t="s">
        <v>28</v>
      </c>
      <c r="N48" s="57"/>
      <c r="O48" s="57"/>
      <c r="P48" s="57"/>
      <c r="Q48" s="61"/>
      <c r="R48" s="61"/>
      <c r="S48" s="61"/>
      <c r="T48" s="61"/>
      <c r="U48" s="61"/>
      <c r="V48" s="61"/>
      <c r="W48" s="61"/>
    </row>
    <row r="49" spans="1:23" s="25" customFormat="1">
      <c r="A49" s="73">
        <v>45</v>
      </c>
      <c r="B49" s="241">
        <v>1.9</v>
      </c>
      <c r="C49" s="41" t="s">
        <v>947</v>
      </c>
      <c r="D49" s="242" t="s">
        <v>932</v>
      </c>
      <c r="E49" s="69">
        <v>44970.443645833337</v>
      </c>
      <c r="F49" s="70" t="s">
        <v>933</v>
      </c>
      <c r="G49" s="18"/>
      <c r="H49" s="22"/>
      <c r="I49" s="22"/>
      <c r="J49" s="22" t="s">
        <v>933</v>
      </c>
      <c r="K49" s="23">
        <v>44970.444374999999</v>
      </c>
      <c r="L49" s="22" t="s">
        <v>27</v>
      </c>
      <c r="M49" s="22" t="s">
        <v>28</v>
      </c>
      <c r="N49" s="57"/>
      <c r="O49" s="57"/>
      <c r="P49" s="57"/>
      <c r="Q49" s="61"/>
      <c r="R49" s="61"/>
      <c r="S49" s="61"/>
      <c r="T49" s="61"/>
      <c r="U49" s="61"/>
      <c r="V49" s="61"/>
      <c r="W49" s="61"/>
    </row>
    <row r="50" spans="1:23" s="25" customFormat="1">
      <c r="A50" s="73">
        <v>46</v>
      </c>
      <c r="B50" s="246" t="s">
        <v>934</v>
      </c>
      <c r="C50" s="41" t="s">
        <v>947</v>
      </c>
      <c r="D50" s="29" t="s">
        <v>885</v>
      </c>
      <c r="E50" s="69">
        <v>44970.455520833333</v>
      </c>
      <c r="F50" s="70" t="s">
        <v>933</v>
      </c>
      <c r="G50" s="18"/>
      <c r="H50" s="22"/>
      <c r="I50" s="22"/>
      <c r="J50" s="22" t="s">
        <v>933</v>
      </c>
      <c r="K50" s="23">
        <v>44970.455567129633</v>
      </c>
      <c r="L50" s="22" t="s">
        <v>27</v>
      </c>
      <c r="M50" s="22" t="s">
        <v>28</v>
      </c>
      <c r="N50" s="57"/>
      <c r="O50" s="57"/>
      <c r="P50" s="57"/>
      <c r="Q50" s="61"/>
      <c r="R50" s="61"/>
      <c r="S50" s="61"/>
      <c r="T50" s="61"/>
      <c r="U50" s="61"/>
      <c r="V50" s="61"/>
      <c r="W50" s="61"/>
    </row>
    <row r="51" spans="1:23" s="25" customFormat="1">
      <c r="A51" s="73">
        <v>47</v>
      </c>
      <c r="B51" s="21">
        <v>1.1000000000000001</v>
      </c>
      <c r="C51" s="247" t="s">
        <v>935</v>
      </c>
      <c r="D51" s="29" t="s">
        <v>938</v>
      </c>
      <c r="E51" s="69">
        <v>44984</v>
      </c>
      <c r="F51" s="53" t="s">
        <v>936</v>
      </c>
      <c r="G51" s="18"/>
      <c r="H51" s="22">
        <v>1048949</v>
      </c>
      <c r="I51" s="80" t="s">
        <v>940</v>
      </c>
      <c r="J51" s="80" t="s">
        <v>941</v>
      </c>
      <c r="K51" s="69">
        <v>44984</v>
      </c>
      <c r="L51" s="80" t="s">
        <v>21</v>
      </c>
      <c r="M51" s="22" t="s">
        <v>28</v>
      </c>
      <c r="N51" s="57"/>
      <c r="O51" s="57"/>
      <c r="P51" s="57"/>
      <c r="Q51" s="61"/>
      <c r="R51" s="61"/>
      <c r="S51" s="61"/>
      <c r="T51" s="61"/>
      <c r="U51" s="61"/>
      <c r="V51" s="61"/>
      <c r="W51" s="61"/>
    </row>
    <row r="52" spans="1:23" s="25" customFormat="1">
      <c r="A52" s="73">
        <v>48</v>
      </c>
      <c r="B52" s="21">
        <v>1.1000000000000001</v>
      </c>
      <c r="C52" s="247" t="s">
        <v>935</v>
      </c>
      <c r="D52" s="29" t="s">
        <v>939</v>
      </c>
      <c r="E52" s="69">
        <v>44984</v>
      </c>
      <c r="F52" s="53" t="s">
        <v>936</v>
      </c>
      <c r="G52" s="18"/>
      <c r="H52" s="22">
        <v>1048949</v>
      </c>
      <c r="I52" s="80" t="s">
        <v>940</v>
      </c>
      <c r="J52" s="80" t="s">
        <v>941</v>
      </c>
      <c r="K52" s="69">
        <v>44984</v>
      </c>
      <c r="L52" s="80" t="s">
        <v>21</v>
      </c>
      <c r="M52" s="22" t="s">
        <v>28</v>
      </c>
      <c r="N52" s="57"/>
      <c r="O52" s="57"/>
      <c r="P52" s="57"/>
      <c r="Q52" s="61"/>
      <c r="R52" s="61"/>
      <c r="S52" s="61"/>
      <c r="T52" s="61"/>
      <c r="U52" s="61"/>
      <c r="V52" s="61"/>
      <c r="W52" s="61"/>
    </row>
    <row r="53" spans="1:23" s="25" customFormat="1" ht="25.5">
      <c r="A53" s="73">
        <v>49</v>
      </c>
      <c r="B53" s="241">
        <v>1.6</v>
      </c>
      <c r="C53" s="53" t="s">
        <v>869</v>
      </c>
      <c r="D53" s="242" t="s">
        <v>943</v>
      </c>
      <c r="E53" s="69">
        <v>44984.464560185188</v>
      </c>
      <c r="F53" s="70" t="s">
        <v>925</v>
      </c>
      <c r="G53" s="18"/>
      <c r="H53" s="22"/>
      <c r="I53" s="22"/>
      <c r="J53" s="22" t="s">
        <v>925</v>
      </c>
      <c r="K53" s="23">
        <v>44984.46466435185</v>
      </c>
      <c r="L53" s="22" t="s">
        <v>27</v>
      </c>
      <c r="M53" s="22" t="s">
        <v>28</v>
      </c>
      <c r="N53" s="57"/>
      <c r="O53" s="57"/>
      <c r="P53" s="57"/>
      <c r="Q53" s="61"/>
      <c r="R53" s="61"/>
      <c r="S53" s="61"/>
      <c r="T53" s="61"/>
      <c r="U53" s="61"/>
      <c r="V53" s="61"/>
      <c r="W53" s="61"/>
    </row>
    <row r="54" spans="1:23" s="25" customFormat="1" ht="25.5">
      <c r="A54" s="73">
        <v>50</v>
      </c>
      <c r="B54" s="241">
        <v>1.7</v>
      </c>
      <c r="C54" s="53" t="s">
        <v>869</v>
      </c>
      <c r="D54" s="29" t="s">
        <v>885</v>
      </c>
      <c r="E54" s="69">
        <v>44984.464560185188</v>
      </c>
      <c r="F54" s="70" t="s">
        <v>925</v>
      </c>
      <c r="G54" s="18"/>
      <c r="H54" s="22"/>
      <c r="I54" s="22"/>
      <c r="J54" s="22" t="s">
        <v>925</v>
      </c>
      <c r="K54" s="23">
        <v>44984.46466435185</v>
      </c>
      <c r="L54" s="22" t="s">
        <v>27</v>
      </c>
      <c r="M54" s="22" t="s">
        <v>28</v>
      </c>
      <c r="N54" s="57"/>
      <c r="O54" s="57"/>
      <c r="P54" s="57"/>
      <c r="Q54" s="61"/>
      <c r="R54" s="61"/>
      <c r="S54" s="61"/>
      <c r="T54" s="61"/>
      <c r="U54" s="61"/>
      <c r="V54" s="61"/>
      <c r="W54" s="61"/>
    </row>
    <row r="55" spans="1:23" s="25" customFormat="1" ht="25.5">
      <c r="A55" s="73">
        <v>51</v>
      </c>
      <c r="B55" s="241">
        <v>1.1100000000000001</v>
      </c>
      <c r="C55" s="53" t="s">
        <v>947</v>
      </c>
      <c r="D55" s="242" t="s">
        <v>946</v>
      </c>
      <c r="E55" s="69">
        <v>44984.465289351851</v>
      </c>
      <c r="F55" s="70" t="s">
        <v>925</v>
      </c>
      <c r="G55" s="18"/>
      <c r="H55" s="22"/>
      <c r="I55" s="22"/>
      <c r="J55" s="22" t="s">
        <v>925</v>
      </c>
      <c r="K55" s="23">
        <v>44984.46534722222</v>
      </c>
      <c r="L55" s="22" t="s">
        <v>27</v>
      </c>
      <c r="M55" s="22" t="s">
        <v>28</v>
      </c>
      <c r="N55" s="57"/>
      <c r="O55" s="57"/>
      <c r="P55" s="57"/>
      <c r="Q55" s="61"/>
      <c r="R55" s="61"/>
      <c r="S55" s="61"/>
      <c r="T55" s="61"/>
      <c r="U55" s="61"/>
      <c r="V55" s="61"/>
      <c r="W55" s="61"/>
    </row>
    <row r="56" spans="1:23" s="25" customFormat="1" ht="25.5">
      <c r="A56" s="73">
        <v>52</v>
      </c>
      <c r="B56" s="241">
        <v>1.1200000000000001</v>
      </c>
      <c r="C56" s="53" t="s">
        <v>947</v>
      </c>
      <c r="D56" s="242" t="s">
        <v>946</v>
      </c>
      <c r="E56" s="69">
        <v>44984.465289351851</v>
      </c>
      <c r="F56" s="70" t="s">
        <v>925</v>
      </c>
      <c r="G56" s="18"/>
      <c r="H56" s="22"/>
      <c r="I56" s="22"/>
      <c r="J56" s="22" t="s">
        <v>925</v>
      </c>
      <c r="K56" s="23">
        <v>44984.46534722222</v>
      </c>
      <c r="L56" s="22" t="s">
        <v>27</v>
      </c>
      <c r="M56" s="22" t="s">
        <v>28</v>
      </c>
      <c r="N56" s="57"/>
      <c r="O56" s="57"/>
      <c r="P56" s="57"/>
      <c r="Q56" s="61"/>
      <c r="R56" s="61"/>
      <c r="S56" s="61"/>
      <c r="T56" s="61"/>
      <c r="U56" s="61"/>
      <c r="V56" s="61"/>
      <c r="W56" s="61"/>
    </row>
    <row r="57" spans="1:23" s="25" customFormat="1" ht="25.5">
      <c r="A57" s="73">
        <v>53</v>
      </c>
      <c r="B57" s="241">
        <v>1.1299999999999999</v>
      </c>
      <c r="C57" s="53" t="s">
        <v>947</v>
      </c>
      <c r="D57" s="29" t="s">
        <v>885</v>
      </c>
      <c r="E57" s="69">
        <v>44984.469224537039</v>
      </c>
      <c r="F57" s="70" t="s">
        <v>925</v>
      </c>
      <c r="G57" s="18"/>
      <c r="H57" s="22"/>
      <c r="I57" s="22"/>
      <c r="J57" s="22" t="s">
        <v>925</v>
      </c>
      <c r="K57" s="23">
        <v>44984.469270833331</v>
      </c>
      <c r="L57" s="22" t="s">
        <v>27</v>
      </c>
      <c r="M57" s="22" t="s">
        <v>28</v>
      </c>
      <c r="N57" s="57"/>
      <c r="O57" s="57"/>
      <c r="P57" s="57"/>
      <c r="Q57" s="61"/>
      <c r="R57" s="61"/>
      <c r="S57" s="61"/>
      <c r="T57" s="61"/>
      <c r="U57" s="61"/>
      <c r="V57" s="61"/>
      <c r="W57" s="61"/>
    </row>
    <row r="58" spans="1:23" s="25" customFormat="1" ht="25.5">
      <c r="A58" s="73">
        <v>54</v>
      </c>
      <c r="B58" s="28">
        <v>1.4</v>
      </c>
      <c r="C58" s="28" t="s">
        <v>867</v>
      </c>
      <c r="D58" s="242" t="s">
        <v>943</v>
      </c>
      <c r="E58" s="69">
        <v>44984.472581018519</v>
      </c>
      <c r="F58" s="70" t="s">
        <v>925</v>
      </c>
      <c r="G58" s="18"/>
      <c r="H58" s="22"/>
      <c r="I58" s="22"/>
      <c r="J58" s="22" t="s">
        <v>925</v>
      </c>
      <c r="K58" s="23">
        <v>44984.46534722222</v>
      </c>
      <c r="L58" s="22" t="s">
        <v>27</v>
      </c>
      <c r="M58" s="22" t="s">
        <v>28</v>
      </c>
      <c r="N58" s="57"/>
      <c r="O58" s="57"/>
      <c r="P58" s="57"/>
      <c r="Q58" s="61"/>
      <c r="R58" s="61"/>
      <c r="S58" s="61"/>
      <c r="T58" s="61"/>
      <c r="U58" s="61"/>
      <c r="V58" s="61"/>
      <c r="W58" s="61"/>
    </row>
    <row r="59" spans="1:23" s="25" customFormat="1" ht="25.5">
      <c r="A59" s="73">
        <v>55</v>
      </c>
      <c r="B59" s="28">
        <v>1.5</v>
      </c>
      <c r="C59" s="28" t="s">
        <v>867</v>
      </c>
      <c r="D59" s="242" t="s">
        <v>943</v>
      </c>
      <c r="E59" s="69">
        <v>44984.47278935185</v>
      </c>
      <c r="F59" s="70" t="s">
        <v>925</v>
      </c>
      <c r="G59" s="18"/>
      <c r="H59" s="22"/>
      <c r="I59" s="22"/>
      <c r="J59" s="22" t="s">
        <v>925</v>
      </c>
      <c r="K59" s="23">
        <v>44984.46534722222</v>
      </c>
      <c r="L59" s="22" t="s">
        <v>27</v>
      </c>
      <c r="M59" s="22" t="s">
        <v>28</v>
      </c>
      <c r="N59" s="57"/>
      <c r="O59" s="57"/>
      <c r="P59" s="57"/>
      <c r="Q59" s="61"/>
      <c r="R59" s="61"/>
      <c r="S59" s="61"/>
      <c r="T59" s="61"/>
      <c r="U59" s="61"/>
      <c r="V59" s="61"/>
      <c r="W59" s="61"/>
    </row>
    <row r="60" spans="1:23" s="25" customFormat="1" ht="25.5">
      <c r="A60" s="73">
        <v>56</v>
      </c>
      <c r="B60" s="28">
        <v>1.6</v>
      </c>
      <c r="C60" s="28" t="s">
        <v>867</v>
      </c>
      <c r="D60" s="242" t="s">
        <v>943</v>
      </c>
      <c r="E60" s="69">
        <v>44984.472812499997</v>
      </c>
      <c r="F60" s="70" t="s">
        <v>925</v>
      </c>
      <c r="G60" s="18"/>
      <c r="H60" s="22"/>
      <c r="I60" s="22"/>
      <c r="J60" s="22" t="s">
        <v>925</v>
      </c>
      <c r="K60" s="23">
        <v>44984.46534722222</v>
      </c>
      <c r="L60" s="22" t="s">
        <v>27</v>
      </c>
      <c r="M60" s="22" t="s">
        <v>28</v>
      </c>
      <c r="N60" s="57"/>
      <c r="O60" s="57"/>
      <c r="P60" s="57"/>
      <c r="Q60" s="61"/>
      <c r="R60" s="61"/>
      <c r="S60" s="61"/>
      <c r="T60" s="61"/>
      <c r="U60" s="61"/>
      <c r="V60" s="61"/>
      <c r="W60" s="61"/>
    </row>
    <row r="61" spans="1:23" s="25" customFormat="1" ht="25.5">
      <c r="A61" s="73">
        <v>57</v>
      </c>
      <c r="B61" s="28">
        <v>1.7</v>
      </c>
      <c r="C61" s="28" t="s">
        <v>867</v>
      </c>
      <c r="D61" s="29" t="s">
        <v>885</v>
      </c>
      <c r="E61" s="69">
        <v>44984.472696759258</v>
      </c>
      <c r="F61" s="70" t="s">
        <v>925</v>
      </c>
      <c r="G61" s="18"/>
      <c r="H61" s="22"/>
      <c r="I61" s="22"/>
      <c r="J61" s="22" t="s">
        <v>925</v>
      </c>
      <c r="K61" s="23">
        <v>44984.46534722222</v>
      </c>
      <c r="L61" s="22" t="s">
        <v>27</v>
      </c>
      <c r="M61" s="22" t="s">
        <v>28</v>
      </c>
      <c r="N61" s="57"/>
      <c r="O61" s="57"/>
      <c r="P61" s="57"/>
      <c r="Q61" s="61"/>
      <c r="R61" s="61"/>
      <c r="S61" s="61"/>
      <c r="T61" s="61"/>
      <c r="U61" s="61"/>
      <c r="V61" s="61"/>
      <c r="W61" s="61"/>
    </row>
    <row r="62" spans="1:23" s="25" customFormat="1" ht="25.5">
      <c r="A62" s="73">
        <v>58</v>
      </c>
      <c r="B62" s="28">
        <v>1.5</v>
      </c>
      <c r="C62" s="53" t="s">
        <v>866</v>
      </c>
      <c r="D62" s="242" t="s">
        <v>943</v>
      </c>
      <c r="E62" s="69">
        <v>44984.47420138889</v>
      </c>
      <c r="F62" s="70" t="s">
        <v>925</v>
      </c>
      <c r="G62" s="18"/>
      <c r="H62" s="22"/>
      <c r="I62" s="22"/>
      <c r="J62" s="22" t="s">
        <v>925</v>
      </c>
      <c r="K62" s="23">
        <v>44984.46534722222</v>
      </c>
      <c r="L62" s="22" t="s">
        <v>27</v>
      </c>
      <c r="M62" s="22" t="s">
        <v>28</v>
      </c>
      <c r="N62" s="57"/>
      <c r="O62" s="57"/>
      <c r="P62" s="57"/>
      <c r="Q62" s="61"/>
      <c r="R62" s="61"/>
      <c r="S62" s="61"/>
      <c r="T62" s="61"/>
      <c r="U62" s="61"/>
      <c r="V62" s="61"/>
      <c r="W62" s="61"/>
    </row>
    <row r="63" spans="1:23" s="25" customFormat="1" ht="25.5">
      <c r="A63" s="73">
        <v>59</v>
      </c>
      <c r="B63" s="28">
        <v>1.6</v>
      </c>
      <c r="C63" s="53" t="s">
        <v>866</v>
      </c>
      <c r="D63" s="242" t="s">
        <v>943</v>
      </c>
      <c r="E63" s="69">
        <v>44984.474212962959</v>
      </c>
      <c r="F63" s="70" t="s">
        <v>925</v>
      </c>
      <c r="G63" s="18"/>
      <c r="H63" s="22"/>
      <c r="I63" s="22"/>
      <c r="J63" s="22" t="s">
        <v>925</v>
      </c>
      <c r="K63" s="23">
        <v>44984.46534722222</v>
      </c>
      <c r="L63" s="22" t="s">
        <v>27</v>
      </c>
      <c r="M63" s="22" t="s">
        <v>28</v>
      </c>
      <c r="N63" s="57"/>
      <c r="O63" s="57"/>
      <c r="P63" s="57"/>
      <c r="Q63" s="61"/>
      <c r="R63" s="61"/>
      <c r="S63" s="61"/>
      <c r="T63" s="61"/>
      <c r="U63" s="61"/>
      <c r="V63" s="61"/>
      <c r="W63" s="61"/>
    </row>
    <row r="64" spans="1:23" s="25" customFormat="1" ht="25.5">
      <c r="A64" s="73">
        <v>60</v>
      </c>
      <c r="B64" s="28">
        <v>1.7</v>
      </c>
      <c r="C64" s="53" t="s">
        <v>866</v>
      </c>
      <c r="D64" s="29" t="s">
        <v>885</v>
      </c>
      <c r="E64" s="69">
        <v>44984.477800925924</v>
      </c>
      <c r="F64" s="70" t="s">
        <v>925</v>
      </c>
      <c r="G64" s="18"/>
      <c r="H64" s="22"/>
      <c r="I64" s="22"/>
      <c r="J64" s="22" t="s">
        <v>925</v>
      </c>
      <c r="K64" s="23">
        <v>44984.46534722222</v>
      </c>
      <c r="L64" s="22" t="s">
        <v>27</v>
      </c>
      <c r="M64" s="22" t="s">
        <v>28</v>
      </c>
      <c r="N64" s="57"/>
      <c r="O64" s="57"/>
      <c r="P64" s="57"/>
      <c r="Q64" s="61"/>
      <c r="R64" s="61"/>
      <c r="S64" s="61"/>
      <c r="T64" s="61"/>
      <c r="U64" s="61"/>
      <c r="V64" s="61"/>
      <c r="W64" s="61"/>
    </row>
    <row r="65" spans="1:23" s="25" customFormat="1" ht="25.5">
      <c r="A65" s="73">
        <v>61</v>
      </c>
      <c r="B65" s="21">
        <v>1.1000000000000001</v>
      </c>
      <c r="C65" s="247" t="s">
        <v>962</v>
      </c>
      <c r="D65" s="29" t="s">
        <v>959</v>
      </c>
      <c r="E65" s="69">
        <v>44984.477800925924</v>
      </c>
      <c r="F65" s="70" t="s">
        <v>925</v>
      </c>
      <c r="G65" s="18"/>
      <c r="H65" s="22">
        <v>1047503</v>
      </c>
      <c r="I65" s="80" t="s">
        <v>26</v>
      </c>
      <c r="J65" s="22" t="s">
        <v>905</v>
      </c>
      <c r="K65" s="248">
        <v>45005.406087962961</v>
      </c>
      <c r="L65" s="22" t="s">
        <v>21</v>
      </c>
      <c r="M65" s="22" t="s">
        <v>28</v>
      </c>
      <c r="N65" s="57"/>
      <c r="O65" s="57"/>
      <c r="P65" s="57"/>
      <c r="Q65" s="61"/>
      <c r="R65" s="61"/>
      <c r="S65" s="61"/>
      <c r="T65" s="61"/>
      <c r="U65" s="61"/>
      <c r="V65" s="61"/>
      <c r="W65" s="61"/>
    </row>
    <row r="66" spans="1:23" s="25" customFormat="1" ht="25.5">
      <c r="A66" s="73">
        <v>62</v>
      </c>
      <c r="B66" s="21">
        <v>1.1000000000000001</v>
      </c>
      <c r="C66" s="247" t="s">
        <v>962</v>
      </c>
      <c r="D66" s="29" t="s">
        <v>960</v>
      </c>
      <c r="E66" s="69">
        <v>44984.477800925924</v>
      </c>
      <c r="F66" s="70" t="s">
        <v>925</v>
      </c>
      <c r="G66" s="18"/>
      <c r="H66" s="22"/>
      <c r="I66" s="22"/>
      <c r="J66" s="22" t="s">
        <v>905</v>
      </c>
      <c r="K66" s="248">
        <v>44980.517569444448</v>
      </c>
      <c r="L66" s="22" t="s">
        <v>27</v>
      </c>
      <c r="M66" s="22" t="s">
        <v>28</v>
      </c>
      <c r="N66" s="57"/>
      <c r="O66" s="57"/>
      <c r="P66" s="57"/>
      <c r="Q66" s="61"/>
      <c r="R66" s="61"/>
      <c r="S66" s="61"/>
      <c r="T66" s="61"/>
      <c r="U66" s="61"/>
      <c r="V66" s="61"/>
      <c r="W66" s="61"/>
    </row>
    <row r="67" spans="1:23" s="25" customFormat="1" ht="25.5">
      <c r="A67" s="73">
        <v>63</v>
      </c>
      <c r="B67" s="21">
        <v>1.1000000000000001</v>
      </c>
      <c r="C67" s="247" t="s">
        <v>962</v>
      </c>
      <c r="D67" s="254" t="s">
        <v>961</v>
      </c>
      <c r="E67" s="69">
        <v>44984.477800925924</v>
      </c>
      <c r="F67" s="70" t="s">
        <v>925</v>
      </c>
      <c r="G67" s="18"/>
      <c r="H67" s="22">
        <v>1047503</v>
      </c>
      <c r="I67" s="80" t="s">
        <v>26</v>
      </c>
      <c r="J67" s="22" t="s">
        <v>905</v>
      </c>
      <c r="K67" s="248">
        <v>45005.406087962961</v>
      </c>
      <c r="L67" s="22" t="s">
        <v>21</v>
      </c>
      <c r="M67" s="22" t="s">
        <v>28</v>
      </c>
      <c r="N67" s="57"/>
      <c r="O67" s="57"/>
      <c r="P67" s="57"/>
      <c r="Q67" s="61"/>
      <c r="R67" s="61"/>
      <c r="S67" s="61"/>
      <c r="T67" s="61"/>
      <c r="U67" s="61"/>
      <c r="V67" s="61"/>
      <c r="W67" s="61"/>
    </row>
    <row r="68" spans="1:23" s="25" customFormat="1">
      <c r="A68" s="73">
        <v>64</v>
      </c>
      <c r="B68" s="250" t="s">
        <v>967</v>
      </c>
      <c r="C68" s="248" t="s">
        <v>869</v>
      </c>
      <c r="D68" s="255" t="s">
        <v>885</v>
      </c>
      <c r="E68" s="248">
        <v>44987</v>
      </c>
      <c r="F68" s="248" t="s">
        <v>864</v>
      </c>
      <c r="G68" s="248"/>
      <c r="H68" s="248"/>
      <c r="I68" s="248"/>
      <c r="J68" s="248" t="s">
        <v>905</v>
      </c>
      <c r="K68" s="248">
        <v>44987</v>
      </c>
      <c r="L68" s="22" t="s">
        <v>27</v>
      </c>
      <c r="M68" s="22" t="s">
        <v>28</v>
      </c>
      <c r="N68" s="57"/>
      <c r="O68" s="57"/>
      <c r="P68" s="57"/>
      <c r="Q68" s="61"/>
      <c r="R68" s="61"/>
      <c r="S68" s="61"/>
      <c r="T68" s="61"/>
      <c r="U68" s="61"/>
      <c r="V68" s="61"/>
      <c r="W68" s="61"/>
    </row>
    <row r="69" spans="1:23" s="25" customFormat="1">
      <c r="A69" s="73">
        <v>65</v>
      </c>
      <c r="B69" s="250" t="s">
        <v>968</v>
      </c>
      <c r="C69" s="248" t="s">
        <v>947</v>
      </c>
      <c r="D69" s="255" t="s">
        <v>885</v>
      </c>
      <c r="E69" s="248">
        <v>44987</v>
      </c>
      <c r="F69" s="248" t="s">
        <v>864</v>
      </c>
      <c r="G69" s="248"/>
      <c r="H69" s="248"/>
      <c r="I69" s="248"/>
      <c r="J69" s="248" t="s">
        <v>905</v>
      </c>
      <c r="K69" s="248">
        <v>44987</v>
      </c>
      <c r="L69" s="22" t="s">
        <v>27</v>
      </c>
      <c r="M69" s="22" t="s">
        <v>28</v>
      </c>
      <c r="N69" s="57"/>
      <c r="O69" s="57"/>
      <c r="P69" s="57"/>
      <c r="Q69" s="61"/>
      <c r="R69" s="61"/>
      <c r="S69" s="61"/>
      <c r="T69" s="61"/>
      <c r="U69" s="61"/>
      <c r="V69" s="61"/>
      <c r="W69" s="61"/>
    </row>
    <row r="70" spans="1:23" s="25" customFormat="1">
      <c r="A70" s="73">
        <v>66</v>
      </c>
      <c r="B70" s="250" t="s">
        <v>969</v>
      </c>
      <c r="C70" s="248" t="s">
        <v>866</v>
      </c>
      <c r="D70" s="255" t="s">
        <v>885</v>
      </c>
      <c r="E70" s="248">
        <v>44987</v>
      </c>
      <c r="F70" s="248" t="s">
        <v>864</v>
      </c>
      <c r="G70" s="248"/>
      <c r="H70" s="248"/>
      <c r="I70" s="248"/>
      <c r="J70" s="248" t="s">
        <v>905</v>
      </c>
      <c r="K70" s="248">
        <v>44987</v>
      </c>
      <c r="L70" s="22" t="s">
        <v>27</v>
      </c>
      <c r="M70" s="22" t="s">
        <v>28</v>
      </c>
      <c r="N70" s="57"/>
      <c r="O70" s="57"/>
      <c r="P70" s="57"/>
      <c r="Q70" s="61"/>
      <c r="R70" s="61"/>
      <c r="S70" s="61"/>
      <c r="T70" s="61"/>
      <c r="U70" s="61"/>
      <c r="V70" s="61"/>
      <c r="W70" s="61"/>
    </row>
    <row r="71" spans="1:23" s="25" customFormat="1" ht="25.5">
      <c r="A71" s="73">
        <v>67</v>
      </c>
      <c r="B71" s="250" t="s">
        <v>970</v>
      </c>
      <c r="C71" s="248" t="s">
        <v>867</v>
      </c>
      <c r="D71" s="256" t="s">
        <v>885</v>
      </c>
      <c r="E71" s="248">
        <v>44987</v>
      </c>
      <c r="F71" s="248" t="s">
        <v>864</v>
      </c>
      <c r="G71" s="248"/>
      <c r="H71" s="248"/>
      <c r="I71" s="248"/>
      <c r="J71" s="248" t="s">
        <v>905</v>
      </c>
      <c r="K71" s="248">
        <v>44987</v>
      </c>
      <c r="L71" s="22" t="s">
        <v>27</v>
      </c>
      <c r="M71" s="22" t="s">
        <v>28</v>
      </c>
      <c r="N71" s="57"/>
      <c r="O71" s="57"/>
      <c r="P71" s="57"/>
      <c r="Q71" s="61"/>
      <c r="R71" s="61"/>
      <c r="S71" s="61"/>
      <c r="T71" s="61"/>
      <c r="U71" s="61"/>
      <c r="V71" s="61"/>
      <c r="W71" s="61"/>
    </row>
    <row r="72" spans="1:23" s="25" customFormat="1">
      <c r="A72" s="73">
        <v>68</v>
      </c>
      <c r="B72" s="250" t="s">
        <v>934</v>
      </c>
      <c r="C72" s="248" t="s">
        <v>866</v>
      </c>
      <c r="D72" s="255" t="s">
        <v>975</v>
      </c>
      <c r="E72" s="248">
        <v>44998.463819444441</v>
      </c>
      <c r="F72" s="248" t="s">
        <v>933</v>
      </c>
      <c r="G72" s="248"/>
      <c r="H72" s="248"/>
      <c r="I72" s="248"/>
      <c r="J72" s="248" t="s">
        <v>905</v>
      </c>
      <c r="K72" s="248">
        <v>44998.464201388888</v>
      </c>
      <c r="L72" s="22" t="s">
        <v>27</v>
      </c>
      <c r="M72" s="22" t="s">
        <v>28</v>
      </c>
      <c r="N72" s="57"/>
      <c r="O72" s="57"/>
      <c r="P72" s="57"/>
      <c r="Q72" s="61"/>
      <c r="R72" s="61"/>
      <c r="S72" s="61"/>
      <c r="T72" s="61"/>
      <c r="U72" s="61"/>
      <c r="V72" s="61"/>
      <c r="W72" s="61"/>
    </row>
    <row r="73" spans="1:23" s="25" customFormat="1">
      <c r="A73" s="73">
        <v>69</v>
      </c>
      <c r="B73" s="251" t="s">
        <v>970</v>
      </c>
      <c r="C73" s="248" t="s">
        <v>866</v>
      </c>
      <c r="D73" s="256" t="s">
        <v>885</v>
      </c>
      <c r="E73" s="69">
        <v>44998.53224537037</v>
      </c>
      <c r="F73" s="70" t="s">
        <v>933</v>
      </c>
      <c r="G73" s="18"/>
      <c r="H73" s="22"/>
      <c r="I73" s="22"/>
      <c r="J73" s="248" t="s">
        <v>905</v>
      </c>
      <c r="K73" s="23">
        <v>44998.53230324074</v>
      </c>
      <c r="L73" s="22" t="s">
        <v>27</v>
      </c>
      <c r="M73" s="22" t="s">
        <v>28</v>
      </c>
      <c r="N73" s="57"/>
      <c r="O73" s="57"/>
      <c r="P73" s="57"/>
      <c r="Q73" s="61"/>
      <c r="R73" s="61"/>
      <c r="S73" s="61"/>
      <c r="T73" s="61"/>
      <c r="U73" s="61"/>
      <c r="V73" s="61"/>
      <c r="W73" s="61"/>
    </row>
    <row r="74" spans="1:23" s="25" customFormat="1" ht="25.5">
      <c r="A74" s="73">
        <v>70</v>
      </c>
      <c r="B74" s="250" t="s">
        <v>976</v>
      </c>
      <c r="C74" s="248" t="s">
        <v>867</v>
      </c>
      <c r="D74" s="256" t="s">
        <v>885</v>
      </c>
      <c r="E74" s="69">
        <v>44998.536736111113</v>
      </c>
      <c r="F74" s="70" t="s">
        <v>933</v>
      </c>
      <c r="G74" s="18"/>
      <c r="H74" s="22"/>
      <c r="I74" s="22"/>
      <c r="J74" s="248" t="s">
        <v>905</v>
      </c>
      <c r="K74" s="23">
        <v>44998.536805555559</v>
      </c>
      <c r="L74" s="22" t="s">
        <v>27</v>
      </c>
      <c r="M74" s="22" t="s">
        <v>28</v>
      </c>
      <c r="N74" s="57"/>
      <c r="O74" s="57"/>
      <c r="P74" s="57"/>
      <c r="Q74" s="61"/>
      <c r="R74" s="61"/>
      <c r="S74" s="61"/>
      <c r="T74" s="61"/>
      <c r="U74" s="61"/>
      <c r="V74" s="61"/>
      <c r="W74" s="61"/>
    </row>
    <row r="75" spans="1:23" s="25" customFormat="1">
      <c r="A75" s="73">
        <v>71</v>
      </c>
      <c r="B75" s="250" t="s">
        <v>977</v>
      </c>
      <c r="C75" s="248" t="s">
        <v>947</v>
      </c>
      <c r="D75" s="255" t="s">
        <v>979</v>
      </c>
      <c r="E75" s="69">
        <v>44998.537326388891</v>
      </c>
      <c r="F75" s="70" t="s">
        <v>933</v>
      </c>
      <c r="G75" s="18"/>
      <c r="H75" s="22"/>
      <c r="I75" s="22"/>
      <c r="J75" s="248" t="s">
        <v>905</v>
      </c>
      <c r="K75" s="23">
        <v>44998.536805555559</v>
      </c>
      <c r="L75" s="22" t="s">
        <v>27</v>
      </c>
      <c r="M75" s="22" t="s">
        <v>28</v>
      </c>
      <c r="N75" s="57"/>
      <c r="O75" s="57"/>
      <c r="P75" s="57"/>
      <c r="Q75" s="61"/>
      <c r="R75" s="61"/>
      <c r="S75" s="61"/>
      <c r="T75" s="61"/>
      <c r="U75" s="61"/>
      <c r="V75" s="61"/>
      <c r="W75" s="61"/>
    </row>
    <row r="76" spans="1:23" s="25" customFormat="1">
      <c r="A76" s="73">
        <v>72</v>
      </c>
      <c r="B76" s="250" t="s">
        <v>978</v>
      </c>
      <c r="C76" s="248" t="s">
        <v>947</v>
      </c>
      <c r="D76" s="256" t="s">
        <v>885</v>
      </c>
      <c r="E76" s="69">
        <v>44998.538310185184</v>
      </c>
      <c r="F76" s="70" t="s">
        <v>933</v>
      </c>
      <c r="G76" s="18"/>
      <c r="H76" s="22"/>
      <c r="I76" s="22"/>
      <c r="J76" s="248" t="s">
        <v>905</v>
      </c>
      <c r="K76" s="23">
        <v>44998.536805555559</v>
      </c>
      <c r="L76" s="22" t="s">
        <v>27</v>
      </c>
      <c r="M76" s="22" t="s">
        <v>28</v>
      </c>
      <c r="N76" s="57"/>
      <c r="O76" s="57"/>
      <c r="P76" s="57"/>
      <c r="Q76" s="61"/>
      <c r="R76" s="61"/>
      <c r="S76" s="61"/>
      <c r="T76" s="61"/>
      <c r="U76" s="61"/>
      <c r="V76" s="61"/>
      <c r="W76" s="61"/>
    </row>
    <row r="77" spans="1:23" s="25" customFormat="1">
      <c r="A77" s="73">
        <v>73</v>
      </c>
      <c r="B77" s="28">
        <v>1.2</v>
      </c>
      <c r="C77" s="41" t="s">
        <v>935</v>
      </c>
      <c r="D77" s="254" t="s">
        <v>984</v>
      </c>
      <c r="E77" s="69">
        <v>45026.617152777777</v>
      </c>
      <c r="F77" s="70" t="s">
        <v>941</v>
      </c>
      <c r="G77" s="18"/>
      <c r="H77" s="22"/>
      <c r="I77" s="22"/>
      <c r="J77" s="80" t="s">
        <v>985</v>
      </c>
      <c r="K77" s="23">
        <v>45026.617303240739</v>
      </c>
      <c r="L77" s="22" t="s">
        <v>27</v>
      </c>
      <c r="M77" s="22" t="s">
        <v>28</v>
      </c>
      <c r="N77" s="57"/>
      <c r="O77" s="57"/>
      <c r="P77" s="57"/>
      <c r="Q77" s="61"/>
      <c r="R77" s="61"/>
      <c r="S77" s="61"/>
      <c r="T77" s="61"/>
      <c r="U77" s="61"/>
      <c r="V77" s="61"/>
      <c r="W77" s="61"/>
    </row>
    <row r="78" spans="1:23" s="25" customFormat="1" ht="25.5">
      <c r="A78" s="73">
        <v>74</v>
      </c>
      <c r="B78" s="241">
        <v>1.1100000000000001</v>
      </c>
      <c r="C78" s="241" t="s">
        <v>869</v>
      </c>
      <c r="D78" s="243" t="s">
        <v>988</v>
      </c>
      <c r="E78" s="69">
        <v>45105.453738425924</v>
      </c>
      <c r="F78" s="70" t="s">
        <v>858</v>
      </c>
      <c r="G78" s="243"/>
      <c r="H78" s="73"/>
      <c r="I78" s="73"/>
      <c r="J78" s="73" t="s">
        <v>905</v>
      </c>
      <c r="K78" s="69">
        <v>45105.453784722224</v>
      </c>
      <c r="L78" s="22" t="s">
        <v>27</v>
      </c>
      <c r="M78" s="22" t="s">
        <v>28</v>
      </c>
      <c r="N78" s="57"/>
      <c r="O78" s="57"/>
      <c r="P78" s="57"/>
      <c r="Q78" s="61"/>
      <c r="R78" s="61"/>
      <c r="S78" s="61"/>
      <c r="T78" s="61"/>
      <c r="U78" s="61"/>
      <c r="V78" s="61"/>
      <c r="W78" s="61"/>
    </row>
    <row r="79" spans="1:23" s="25" customFormat="1" ht="38.25">
      <c r="A79" s="73">
        <v>75</v>
      </c>
      <c r="B79" s="28">
        <v>1.1100000000000001</v>
      </c>
      <c r="C79" s="28" t="s">
        <v>869</v>
      </c>
      <c r="D79" s="29" t="s">
        <v>989</v>
      </c>
      <c r="E79" s="69">
        <v>45105.455509259256</v>
      </c>
      <c r="F79" s="70" t="s">
        <v>858</v>
      </c>
      <c r="G79" s="29" t="s">
        <v>1000</v>
      </c>
      <c r="H79" s="22"/>
      <c r="I79" s="22"/>
      <c r="J79" s="22" t="s">
        <v>905</v>
      </c>
      <c r="K79" s="23">
        <v>45120.64271990741</v>
      </c>
      <c r="L79" s="22" t="s">
        <v>20</v>
      </c>
      <c r="M79" s="22" t="s">
        <v>28</v>
      </c>
      <c r="N79" s="57"/>
      <c r="O79" s="57"/>
      <c r="P79" s="57"/>
      <c r="Q79" s="61"/>
      <c r="R79" s="61"/>
      <c r="S79" s="61"/>
      <c r="T79" s="61"/>
      <c r="U79" s="61"/>
      <c r="V79" s="61"/>
      <c r="W79" s="61"/>
    </row>
    <row r="80" spans="1:23" s="25" customFormat="1" ht="25.5">
      <c r="A80" s="73">
        <v>76</v>
      </c>
      <c r="B80" s="241">
        <v>1.35</v>
      </c>
      <c r="C80" s="241" t="s">
        <v>866</v>
      </c>
      <c r="D80" s="243" t="s">
        <v>990</v>
      </c>
      <c r="E80" s="69">
        <v>45105.456041666665</v>
      </c>
      <c r="F80" s="70" t="s">
        <v>858</v>
      </c>
      <c r="G80" s="243"/>
      <c r="H80" s="73"/>
      <c r="I80" s="73"/>
      <c r="J80" s="73" t="s">
        <v>905</v>
      </c>
      <c r="K80" s="69">
        <v>45105.456099537034</v>
      </c>
      <c r="L80" s="22" t="s">
        <v>27</v>
      </c>
      <c r="M80" s="22" t="s">
        <v>28</v>
      </c>
      <c r="N80" s="57"/>
      <c r="O80" s="57"/>
      <c r="P80" s="57"/>
      <c r="Q80" s="61"/>
      <c r="R80" s="61"/>
      <c r="S80" s="61"/>
      <c r="T80" s="61"/>
      <c r="U80" s="61"/>
      <c r="V80" s="61"/>
      <c r="W80" s="61"/>
    </row>
    <row r="81" spans="1:23" s="25" customFormat="1" ht="25.5">
      <c r="A81" s="73">
        <v>77</v>
      </c>
      <c r="B81" s="28">
        <v>1.35</v>
      </c>
      <c r="C81" s="28" t="s">
        <v>866</v>
      </c>
      <c r="D81" s="29" t="s">
        <v>991</v>
      </c>
      <c r="E81" s="69">
        <v>45105.45853009259</v>
      </c>
      <c r="F81" s="70" t="s">
        <v>858</v>
      </c>
      <c r="G81" s="29" t="s">
        <v>1001</v>
      </c>
      <c r="H81" s="22"/>
      <c r="I81" s="22"/>
      <c r="J81" s="22" t="s">
        <v>905</v>
      </c>
      <c r="K81" s="23">
        <v>45120.64565972222</v>
      </c>
      <c r="L81" s="80" t="s">
        <v>20</v>
      </c>
      <c r="M81" s="22" t="s">
        <v>28</v>
      </c>
      <c r="N81" s="57"/>
      <c r="O81" s="57"/>
      <c r="P81" s="57"/>
      <c r="Q81" s="61"/>
      <c r="R81" s="61"/>
      <c r="S81" s="61"/>
      <c r="T81" s="61"/>
      <c r="U81" s="61"/>
      <c r="V81" s="61"/>
      <c r="W81" s="61"/>
    </row>
    <row r="82" spans="1:23" s="25" customFormat="1" ht="25.5">
      <c r="A82" s="73">
        <v>78</v>
      </c>
      <c r="B82" s="28">
        <v>1.35</v>
      </c>
      <c r="C82" s="41" t="s">
        <v>866</v>
      </c>
      <c r="D82" s="18" t="s">
        <v>992</v>
      </c>
      <c r="E82" s="69">
        <v>45105.459548611114</v>
      </c>
      <c r="F82" s="70" t="s">
        <v>858</v>
      </c>
      <c r="G82" s="29" t="s">
        <v>1002</v>
      </c>
      <c r="H82" s="22"/>
      <c r="I82" s="22"/>
      <c r="J82" s="22" t="s">
        <v>905</v>
      </c>
      <c r="K82" s="23">
        <v>45120.652708333335</v>
      </c>
      <c r="L82" s="22" t="s">
        <v>20</v>
      </c>
      <c r="M82" s="22" t="s">
        <v>28</v>
      </c>
      <c r="N82" s="57"/>
      <c r="O82" s="57"/>
      <c r="P82" s="57"/>
      <c r="Q82" s="61"/>
      <c r="R82" s="61"/>
      <c r="S82" s="61"/>
      <c r="T82" s="61"/>
      <c r="U82" s="61"/>
      <c r="V82" s="61"/>
      <c r="W82" s="61"/>
    </row>
    <row r="83" spans="1:23" s="25" customFormat="1" ht="25.5">
      <c r="A83" s="73">
        <v>79</v>
      </c>
      <c r="B83" s="241">
        <v>1.23</v>
      </c>
      <c r="C83" s="241" t="s">
        <v>867</v>
      </c>
      <c r="D83" s="243" t="s">
        <v>993</v>
      </c>
      <c r="E83" s="69">
        <v>45105.469756944447</v>
      </c>
      <c r="F83" s="70" t="s">
        <v>858</v>
      </c>
      <c r="G83" s="243"/>
      <c r="H83" s="73"/>
      <c r="I83" s="73"/>
      <c r="J83" s="73" t="s">
        <v>905</v>
      </c>
      <c r="K83" s="69">
        <v>45105.46979166667</v>
      </c>
      <c r="L83" s="22" t="s">
        <v>27</v>
      </c>
      <c r="M83" s="22" t="s">
        <v>28</v>
      </c>
      <c r="N83" s="57"/>
      <c r="O83" s="57"/>
      <c r="P83" s="57"/>
      <c r="Q83" s="61"/>
      <c r="R83" s="61"/>
      <c r="S83" s="61"/>
      <c r="T83" s="61"/>
      <c r="U83" s="61"/>
      <c r="V83" s="61"/>
      <c r="W83" s="61"/>
    </row>
    <row r="84" spans="1:23" s="25" customFormat="1" ht="25.5">
      <c r="A84" s="73">
        <v>80</v>
      </c>
      <c r="B84" s="241">
        <v>1.23</v>
      </c>
      <c r="C84" s="241" t="s">
        <v>867</v>
      </c>
      <c r="D84" s="243" t="s">
        <v>885</v>
      </c>
      <c r="E84" s="69">
        <v>45105.472175925926</v>
      </c>
      <c r="F84" s="70" t="s">
        <v>858</v>
      </c>
      <c r="G84" s="243"/>
      <c r="H84" s="73"/>
      <c r="I84" s="73"/>
      <c r="J84" s="73" t="s">
        <v>905</v>
      </c>
      <c r="K84" s="69">
        <v>45105.472210648149</v>
      </c>
      <c r="L84" s="22" t="s">
        <v>27</v>
      </c>
      <c r="M84" s="22" t="s">
        <v>28</v>
      </c>
      <c r="N84" s="57"/>
      <c r="O84" s="57"/>
      <c r="P84" s="57"/>
      <c r="Q84" s="61"/>
      <c r="R84" s="61"/>
      <c r="S84" s="61"/>
      <c r="T84" s="61"/>
      <c r="U84" s="61"/>
      <c r="V84" s="61"/>
      <c r="W84" s="61"/>
    </row>
    <row r="85" spans="1:23" s="25" customFormat="1" ht="25.5">
      <c r="A85" s="73">
        <v>81</v>
      </c>
      <c r="B85" s="241">
        <v>1.46</v>
      </c>
      <c r="C85" s="241" t="s">
        <v>947</v>
      </c>
      <c r="D85" s="243" t="s">
        <v>994</v>
      </c>
      <c r="E85" s="69">
        <v>45105.475231481483</v>
      </c>
      <c r="F85" s="70" t="s">
        <v>858</v>
      </c>
      <c r="G85" s="243"/>
      <c r="H85" s="73"/>
      <c r="I85" s="73"/>
      <c r="J85" s="73" t="s">
        <v>905</v>
      </c>
      <c r="K85" s="69">
        <v>45105.475266203706</v>
      </c>
      <c r="L85" s="22" t="s">
        <v>27</v>
      </c>
      <c r="M85" s="22" t="s">
        <v>28</v>
      </c>
      <c r="N85" s="57"/>
      <c r="O85" s="57"/>
      <c r="P85" s="57"/>
      <c r="Q85" s="61"/>
      <c r="R85" s="61"/>
      <c r="S85" s="61"/>
      <c r="T85" s="61"/>
      <c r="U85" s="61"/>
      <c r="V85" s="61"/>
      <c r="W85" s="61"/>
    </row>
    <row r="86" spans="1:23" s="25" customFormat="1" ht="63.75">
      <c r="A86" s="73">
        <v>82</v>
      </c>
      <c r="B86" s="28">
        <v>1.46</v>
      </c>
      <c r="C86" s="41" t="s">
        <v>947</v>
      </c>
      <c r="D86" s="29" t="s">
        <v>995</v>
      </c>
      <c r="E86" s="69">
        <v>45105.477638888886</v>
      </c>
      <c r="F86" s="70" t="s">
        <v>858</v>
      </c>
      <c r="G86" s="29" t="s">
        <v>1003</v>
      </c>
      <c r="H86" s="22"/>
      <c r="I86" s="22"/>
      <c r="J86" s="22" t="s">
        <v>905</v>
      </c>
      <c r="K86" s="23">
        <v>45120.664270833331</v>
      </c>
      <c r="L86" s="22" t="s">
        <v>20</v>
      </c>
      <c r="M86" s="22" t="s">
        <v>28</v>
      </c>
      <c r="N86" s="57"/>
      <c r="O86" s="57"/>
      <c r="P86" s="57"/>
      <c r="Q86" s="61"/>
      <c r="R86" s="61"/>
      <c r="S86" s="61"/>
      <c r="T86" s="61"/>
      <c r="U86" s="61"/>
      <c r="V86" s="61"/>
      <c r="W86" s="61"/>
    </row>
    <row r="87" spans="1:23" s="25" customFormat="1" ht="25.5">
      <c r="A87" s="73">
        <v>83</v>
      </c>
      <c r="B87" s="241">
        <v>1.1200000000000001</v>
      </c>
      <c r="C87" s="53" t="s">
        <v>869</v>
      </c>
      <c r="D87" s="243" t="s">
        <v>885</v>
      </c>
      <c r="E87" s="69">
        <v>45121</v>
      </c>
      <c r="F87" s="70" t="s">
        <v>858</v>
      </c>
      <c r="G87" s="243"/>
      <c r="H87" s="73"/>
      <c r="I87" s="73"/>
      <c r="J87" s="73" t="s">
        <v>905</v>
      </c>
      <c r="K87" s="69">
        <v>45121</v>
      </c>
      <c r="L87" s="22" t="s">
        <v>27</v>
      </c>
      <c r="M87" s="22" t="s">
        <v>28</v>
      </c>
      <c r="N87" s="57"/>
      <c r="O87" s="57"/>
      <c r="P87" s="57"/>
      <c r="Q87" s="61"/>
      <c r="R87" s="61"/>
      <c r="S87" s="61"/>
      <c r="T87" s="61"/>
      <c r="U87" s="61"/>
      <c r="V87" s="61"/>
      <c r="W87" s="61"/>
    </row>
    <row r="88" spans="1:23" s="25" customFormat="1" ht="25.5">
      <c r="A88" s="73">
        <v>84</v>
      </c>
      <c r="B88" s="28">
        <v>1.36</v>
      </c>
      <c r="C88" s="41" t="s">
        <v>866</v>
      </c>
      <c r="D88" s="29" t="s">
        <v>885</v>
      </c>
      <c r="E88" s="69">
        <v>45121</v>
      </c>
      <c r="F88" s="70" t="s">
        <v>858</v>
      </c>
      <c r="G88" s="243"/>
      <c r="H88" s="73"/>
      <c r="I88" s="73"/>
      <c r="J88" s="73" t="s">
        <v>905</v>
      </c>
      <c r="K88" s="69">
        <v>45121</v>
      </c>
      <c r="L88" s="22" t="s">
        <v>27</v>
      </c>
      <c r="M88" s="22" t="s">
        <v>28</v>
      </c>
      <c r="N88" s="57"/>
      <c r="O88" s="57"/>
      <c r="P88" s="57"/>
      <c r="Q88" s="61"/>
      <c r="R88" s="61"/>
      <c r="S88" s="61"/>
      <c r="T88" s="61"/>
      <c r="U88" s="61"/>
      <c r="V88" s="61"/>
      <c r="W88" s="61"/>
    </row>
    <row r="89" spans="1:23" s="25" customFormat="1" ht="25.5">
      <c r="A89" s="73">
        <v>85</v>
      </c>
      <c r="B89" s="28">
        <v>1.48</v>
      </c>
      <c r="C89" s="41" t="s">
        <v>947</v>
      </c>
      <c r="D89" s="29" t="s">
        <v>1004</v>
      </c>
      <c r="E89" s="69">
        <v>45121</v>
      </c>
      <c r="F89" s="70" t="s">
        <v>858</v>
      </c>
      <c r="G89" s="243"/>
      <c r="H89" s="73"/>
      <c r="I89" s="73"/>
      <c r="J89" s="73" t="s">
        <v>905</v>
      </c>
      <c r="K89" s="69">
        <v>45121</v>
      </c>
      <c r="L89" s="22" t="s">
        <v>27</v>
      </c>
      <c r="M89" s="22" t="s">
        <v>28</v>
      </c>
      <c r="N89" s="57"/>
      <c r="O89" s="57"/>
      <c r="P89" s="57"/>
      <c r="Q89" s="61"/>
      <c r="R89" s="61"/>
      <c r="S89" s="61"/>
      <c r="T89" s="61"/>
      <c r="U89" s="61"/>
      <c r="V89" s="61"/>
      <c r="W89" s="61"/>
    </row>
    <row r="90" spans="1:23" s="25" customFormat="1" ht="25.5">
      <c r="A90" s="73">
        <v>86</v>
      </c>
      <c r="B90" s="28">
        <v>1.48</v>
      </c>
      <c r="C90" s="41" t="s">
        <v>947</v>
      </c>
      <c r="D90" s="29" t="s">
        <v>885</v>
      </c>
      <c r="E90" s="69">
        <v>45121</v>
      </c>
      <c r="F90" s="70" t="s">
        <v>858</v>
      </c>
      <c r="G90" s="243"/>
      <c r="H90" s="73"/>
      <c r="I90" s="73"/>
      <c r="J90" s="73" t="s">
        <v>905</v>
      </c>
      <c r="K90" s="69">
        <v>45121</v>
      </c>
      <c r="L90" s="22" t="s">
        <v>27</v>
      </c>
      <c r="M90" s="22" t="s">
        <v>28</v>
      </c>
      <c r="N90" s="57"/>
      <c r="O90" s="57"/>
      <c r="P90" s="57"/>
      <c r="Q90" s="61"/>
      <c r="R90" s="61"/>
      <c r="S90" s="61"/>
      <c r="T90" s="61"/>
      <c r="U90" s="61"/>
      <c r="V90" s="61"/>
      <c r="W90" s="61"/>
    </row>
    <row r="91" spans="1:23" s="25" customFormat="1" ht="25.5">
      <c r="A91" s="73">
        <v>87</v>
      </c>
      <c r="B91" s="246" t="s">
        <v>1009</v>
      </c>
      <c r="C91" s="41" t="s">
        <v>947</v>
      </c>
      <c r="D91" s="29" t="s">
        <v>1008</v>
      </c>
      <c r="E91" s="69">
        <v>45132.361192129632</v>
      </c>
      <c r="F91" s="70" t="s">
        <v>858</v>
      </c>
      <c r="G91" s="18"/>
      <c r="H91" s="22"/>
      <c r="I91" s="22"/>
      <c r="J91" s="73" t="s">
        <v>905</v>
      </c>
      <c r="K91" s="23">
        <v>45132.361226851855</v>
      </c>
      <c r="L91" s="22" t="s">
        <v>27</v>
      </c>
      <c r="M91" s="22" t="s">
        <v>28</v>
      </c>
      <c r="N91" s="57"/>
      <c r="O91" s="57"/>
      <c r="P91" s="57"/>
      <c r="Q91" s="61"/>
      <c r="R91" s="61"/>
      <c r="S91" s="61"/>
      <c r="T91" s="61"/>
      <c r="U91" s="61"/>
      <c r="V91" s="61"/>
      <c r="W91" s="61"/>
    </row>
    <row r="92" spans="1:23" s="25" customFormat="1" ht="25.5">
      <c r="A92" s="73">
        <v>88</v>
      </c>
      <c r="B92" s="28">
        <v>1.39</v>
      </c>
      <c r="C92" s="41" t="s">
        <v>866</v>
      </c>
      <c r="D92" s="29" t="s">
        <v>1010</v>
      </c>
      <c r="E92" s="69">
        <v>45132.362256944441</v>
      </c>
      <c r="F92" s="70" t="s">
        <v>858</v>
      </c>
      <c r="G92" s="18"/>
      <c r="H92" s="22"/>
      <c r="I92" s="22"/>
      <c r="J92" s="73" t="s">
        <v>905</v>
      </c>
      <c r="K92" s="23">
        <v>45132.362303240741</v>
      </c>
      <c r="L92" s="22" t="s">
        <v>27</v>
      </c>
      <c r="M92" s="22" t="s">
        <v>28</v>
      </c>
      <c r="N92" s="57"/>
      <c r="O92" s="57"/>
      <c r="P92" s="57"/>
      <c r="Q92" s="61"/>
      <c r="R92" s="61"/>
      <c r="S92" s="61"/>
      <c r="T92" s="61"/>
      <c r="U92" s="61"/>
      <c r="V92" s="61"/>
      <c r="W92" s="61"/>
    </row>
    <row r="93" spans="1:23" s="25" customFormat="1" ht="25.5">
      <c r="A93" s="73">
        <v>89</v>
      </c>
      <c r="B93" s="28">
        <v>1.1299999999999999</v>
      </c>
      <c r="C93" s="41" t="s">
        <v>869</v>
      </c>
      <c r="D93" s="29" t="s">
        <v>885</v>
      </c>
      <c r="E93" s="69">
        <v>45132.362743055557</v>
      </c>
      <c r="F93" s="70" t="s">
        <v>858</v>
      </c>
      <c r="G93" s="18"/>
      <c r="H93" s="22"/>
      <c r="I93" s="22"/>
      <c r="J93" s="73" t="s">
        <v>905</v>
      </c>
      <c r="K93" s="23">
        <v>45132.363067129627</v>
      </c>
      <c r="L93" s="22" t="s">
        <v>27</v>
      </c>
      <c r="M93" s="22" t="s">
        <v>28</v>
      </c>
      <c r="N93" s="57"/>
      <c r="O93" s="57"/>
      <c r="P93" s="57"/>
      <c r="Q93" s="61"/>
      <c r="R93" s="61"/>
      <c r="S93" s="61"/>
      <c r="T93" s="61"/>
      <c r="U93" s="61"/>
      <c r="V93" s="61"/>
      <c r="W93" s="61"/>
    </row>
    <row r="94" spans="1:23" ht="25.5">
      <c r="A94" s="73">
        <v>90</v>
      </c>
      <c r="B94" s="261" t="s">
        <v>1014</v>
      </c>
      <c r="C94" s="262" t="s">
        <v>1015</v>
      </c>
      <c r="D94" s="263" t="s">
        <v>885</v>
      </c>
      <c r="E94" s="264">
        <v>45132</v>
      </c>
      <c r="F94" s="262" t="s">
        <v>925</v>
      </c>
      <c r="G94" s="18"/>
      <c r="H94" s="265"/>
      <c r="I94" s="265"/>
      <c r="J94" s="265" t="s">
        <v>1016</v>
      </c>
      <c r="K94" s="264">
        <v>45132</v>
      </c>
      <c r="L94" s="266" t="s">
        <v>27</v>
      </c>
      <c r="M94" s="267" t="s">
        <v>28</v>
      </c>
      <c r="N94" s="57"/>
      <c r="O94" s="57"/>
      <c r="P94" s="57"/>
    </row>
    <row r="95" spans="1:23" ht="25.5">
      <c r="A95" s="73">
        <v>91</v>
      </c>
      <c r="B95" s="28">
        <v>1.4</v>
      </c>
      <c r="C95" s="28" t="s">
        <v>935</v>
      </c>
      <c r="D95" s="263" t="s">
        <v>885</v>
      </c>
      <c r="E95" s="264">
        <v>45133</v>
      </c>
      <c r="F95" s="53" t="s">
        <v>1018</v>
      </c>
      <c r="G95" s="18"/>
      <c r="H95" s="265"/>
      <c r="I95" s="265"/>
      <c r="J95" s="22" t="s">
        <v>1020</v>
      </c>
      <c r="K95" s="264">
        <v>45133</v>
      </c>
      <c r="L95" s="22" t="s">
        <v>27</v>
      </c>
      <c r="M95" s="22" t="s">
        <v>28</v>
      </c>
      <c r="N95" s="57"/>
      <c r="O95" s="57"/>
      <c r="P95" s="57"/>
    </row>
    <row r="96" spans="1:23" ht="25.5">
      <c r="A96" s="73">
        <v>92</v>
      </c>
      <c r="B96" s="261" t="s">
        <v>1022</v>
      </c>
      <c r="C96" s="262" t="s">
        <v>1015</v>
      </c>
      <c r="D96" s="263" t="s">
        <v>885</v>
      </c>
      <c r="E96" s="264">
        <v>45138</v>
      </c>
      <c r="F96" s="265" t="s">
        <v>1016</v>
      </c>
      <c r="G96" s="18"/>
      <c r="H96" s="265"/>
      <c r="I96" s="265"/>
      <c r="J96" s="262" t="s">
        <v>925</v>
      </c>
      <c r="K96" s="264">
        <v>45138</v>
      </c>
      <c r="L96" s="266" t="s">
        <v>27</v>
      </c>
      <c r="M96" s="267" t="s">
        <v>28</v>
      </c>
      <c r="N96" s="57"/>
      <c r="O96" s="57"/>
      <c r="P96" s="57"/>
    </row>
    <row r="97" spans="1:23" ht="25.5">
      <c r="A97" s="73">
        <v>93</v>
      </c>
      <c r="B97" s="261" t="s">
        <v>1023</v>
      </c>
      <c r="C97" s="262" t="s">
        <v>1015</v>
      </c>
      <c r="D97" s="263" t="s">
        <v>885</v>
      </c>
      <c r="E97" s="264">
        <v>45138</v>
      </c>
      <c r="F97" s="265" t="s">
        <v>1016</v>
      </c>
      <c r="G97" s="18"/>
      <c r="H97" s="265"/>
      <c r="I97" s="265"/>
      <c r="J97" s="262" t="s">
        <v>925</v>
      </c>
      <c r="K97" s="264">
        <v>45138</v>
      </c>
      <c r="L97" s="266" t="s">
        <v>27</v>
      </c>
      <c r="M97" s="267" t="s">
        <v>28</v>
      </c>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2" type="noConversion"/>
  <conditionalFormatting sqref="L205:L65536 P1:P2">
    <cfRule type="cellIs" dxfId="2838" priority="220" stopIfTrue="1" operator="equal">
      <formula>"Fixed"</formula>
    </cfRule>
    <cfRule type="cellIs" dxfId="2837" priority="221" stopIfTrue="1" operator="equal">
      <formula>"Open"</formula>
    </cfRule>
  </conditionalFormatting>
  <conditionalFormatting sqref="L4">
    <cfRule type="cellIs" dxfId="2836" priority="222" stopIfTrue="1" operator="equal">
      <formula>"Open"</formula>
    </cfRule>
    <cfRule type="cellIs" dxfId="2835" priority="223" stopIfTrue="1" operator="equal">
      <formula>"Fixed"</formula>
    </cfRule>
  </conditionalFormatting>
  <conditionalFormatting sqref="L34:L50 L5 L53 L55 L57 L73:L74 L62:L67 L77:L204">
    <cfRule type="expression" dxfId="2834" priority="224" stopIfTrue="1">
      <formula>AND($M5="Approved",$L5="Fixed")</formula>
    </cfRule>
    <cfRule type="cellIs" dxfId="2833" priority="225" stopIfTrue="1" operator="equal">
      <formula>"Fixed"</formula>
    </cfRule>
    <cfRule type="cellIs" dxfId="2832" priority="226" stopIfTrue="1" operator="equal">
      <formula>"Open"</formula>
    </cfRule>
  </conditionalFormatting>
  <conditionalFormatting sqref="M5 M24:M50 M53 M55 M57 M73:M74 M62:M63 M65:M67 M77:M204">
    <cfRule type="expression" dxfId="2831" priority="227" stopIfTrue="1">
      <formula>OR(M5="Fixed",M5="Approved")</formula>
    </cfRule>
    <cfRule type="cellIs" dxfId="2830" priority="228" stopIfTrue="1" operator="equal">
      <formula>"Rejected"</formula>
    </cfRule>
  </conditionalFormatting>
  <conditionalFormatting sqref="A3">
    <cfRule type="expression" dxfId="2829" priority="214" stopIfTrue="1">
      <formula>$X$2=1</formula>
    </cfRule>
    <cfRule type="expression" dxfId="2828" priority="215" stopIfTrue="1">
      <formula>$Y$2=1</formula>
    </cfRule>
    <cfRule type="expression" dxfId="2827" priority="217" stopIfTrue="1">
      <formula>$AA$2=1</formula>
    </cfRule>
  </conditionalFormatting>
  <conditionalFormatting sqref="A3:C3">
    <cfRule type="expression" dxfId="2826" priority="216" stopIfTrue="1">
      <formula>$Z$2=1</formula>
    </cfRule>
  </conditionalFormatting>
  <conditionalFormatting sqref="A5:C5 A6 E5:K5 A43:K46 A34:B42 E42:K42 A47:A49 E47:K49 A50:B50 G51:G52 E53:K53 E55:K55 A51:A57 D57:K57 D50:K50 D34:K41 A58:C60 E58:I60 A61:I61 B62:L63 B62:B64 J62:K64 D64:I64 A66 B65:F66 A69:A71 B67:K67 K73:K74 A73:A76 E73:I76 A77:K204">
    <cfRule type="expression" dxfId="2825" priority="398" stopIfTrue="1">
      <formula>AND($M5="Approved",OR($L5=$R$1,$L5=$T$1))</formula>
    </cfRule>
  </conditionalFormatting>
  <conditionalFormatting sqref="D5">
    <cfRule type="expression" dxfId="2824" priority="213" stopIfTrue="1">
      <formula>AND($M5="Approved",OR($L5=$R$1,$L5=$T$1))</formula>
    </cfRule>
  </conditionalFormatting>
  <conditionalFormatting sqref="L24:L26 L30:L33 L11:L13">
    <cfRule type="expression" dxfId="2823" priority="1814" stopIfTrue="1">
      <formula>AND($M1048573="Approved",$L11="Fixed")</formula>
    </cfRule>
    <cfRule type="cellIs" dxfId="2822" priority="1815" stopIfTrue="1" operator="equal">
      <formula>"Fixed"</formula>
    </cfRule>
    <cfRule type="cellIs" dxfId="2821" priority="1816" stopIfTrue="1" operator="equal">
      <formula>"Open"</formula>
    </cfRule>
  </conditionalFormatting>
  <conditionalFormatting sqref="D24:K24 B25:K26 B30:K30 B31:B33 D31:K33 C8:C10 B11:K13">
    <cfRule type="expression" dxfId="2820" priority="1821" stopIfTrue="1">
      <formula>AND($M1048570="Approved",OR($L8=$R$1,$L8=$T$1))</formula>
    </cfRule>
  </conditionalFormatting>
  <conditionalFormatting sqref="A7:A19">
    <cfRule type="expression" dxfId="2819" priority="1824" stopIfTrue="1">
      <formula>AND($M7="Approved",OR($L21=$R$1,$L21=$T$1))</formula>
    </cfRule>
  </conditionalFormatting>
  <conditionalFormatting sqref="A20:A33">
    <cfRule type="expression" dxfId="2818" priority="1835" stopIfTrue="1">
      <formula>AND($M20="Approved",OR(#REF!=$R$1,#REF!=$T$1))</formula>
    </cfRule>
  </conditionalFormatting>
  <conditionalFormatting sqref="L6:L10 L14">
    <cfRule type="expression" dxfId="2817" priority="194" stopIfTrue="1">
      <formula>AND($M6="Approved",$L6="Fixed")</formula>
    </cfRule>
    <cfRule type="cellIs" dxfId="2816" priority="195" stopIfTrue="1" operator="equal">
      <formula>"Fixed"</formula>
    </cfRule>
    <cfRule type="cellIs" dxfId="2815" priority="196" stopIfTrue="1" operator="equal">
      <formula>"Open"</formula>
    </cfRule>
  </conditionalFormatting>
  <conditionalFormatting sqref="M6:M10 M14">
    <cfRule type="expression" dxfId="2814" priority="197" stopIfTrue="1">
      <formula>OR(M6="Fixed",M6="Approved")</formula>
    </cfRule>
    <cfRule type="cellIs" dxfId="2813" priority="198" stopIfTrue="1" operator="equal">
      <formula>"Rejected"</formula>
    </cfRule>
  </conditionalFormatting>
  <conditionalFormatting sqref="B6:K7 B14:K14 B8:B10 D8:K10">
    <cfRule type="expression" dxfId="2812" priority="199" stopIfTrue="1">
      <formula>AND($M6="Approved",OR($L6=$R$1,$L6=$T$1))</formula>
    </cfRule>
  </conditionalFormatting>
  <conditionalFormatting sqref="M11:M13">
    <cfRule type="expression" dxfId="2811" priority="185" stopIfTrue="1">
      <formula>OR(M11="Fixed",M11="Approved")</formula>
    </cfRule>
    <cfRule type="cellIs" dxfId="2810" priority="186" stopIfTrue="1" operator="equal">
      <formula>"Rejected"</formula>
    </cfRule>
  </conditionalFormatting>
  <conditionalFormatting sqref="L15">
    <cfRule type="expression" dxfId="2809" priority="179" stopIfTrue="1">
      <formula>AND($M15="Approved",$L15="Fixed")</formula>
    </cfRule>
    <cfRule type="cellIs" dxfId="2808" priority="180" stopIfTrue="1" operator="equal">
      <formula>"Fixed"</formula>
    </cfRule>
    <cfRule type="cellIs" dxfId="2807" priority="181" stopIfTrue="1" operator="equal">
      <formula>"Open"</formula>
    </cfRule>
  </conditionalFormatting>
  <conditionalFormatting sqref="M15">
    <cfRule type="expression" dxfId="2806" priority="182" stopIfTrue="1">
      <formula>OR(M15="Fixed",M15="Approved")</formula>
    </cfRule>
    <cfRule type="cellIs" dxfId="2805" priority="183" stopIfTrue="1" operator="equal">
      <formula>"Rejected"</formula>
    </cfRule>
  </conditionalFormatting>
  <conditionalFormatting sqref="B15:K15">
    <cfRule type="expression" dxfId="2804" priority="184" stopIfTrue="1">
      <formula>AND($M15="Approved",OR($L15=$R$1,$L15=$T$1))</formula>
    </cfRule>
  </conditionalFormatting>
  <conditionalFormatting sqref="M16:M18 M20:M21">
    <cfRule type="expression" dxfId="2803" priority="173" stopIfTrue="1">
      <formula>OR(M16="Fixed",M16="Approved")</formula>
    </cfRule>
    <cfRule type="cellIs" dxfId="2802" priority="174" stopIfTrue="1" operator="equal">
      <formula>"Rejected"</formula>
    </cfRule>
  </conditionalFormatting>
  <conditionalFormatting sqref="L16:L18">
    <cfRule type="expression" dxfId="2801" priority="175" stopIfTrue="1">
      <formula>AND($M2="Approved",$L16="Fixed")</formula>
    </cfRule>
    <cfRule type="cellIs" dxfId="2800" priority="176" stopIfTrue="1" operator="equal">
      <formula>"Fixed"</formula>
    </cfRule>
    <cfRule type="cellIs" dxfId="2799" priority="177" stopIfTrue="1" operator="equal">
      <formula>"Open"</formula>
    </cfRule>
  </conditionalFormatting>
  <conditionalFormatting sqref="B16:F16 H16:K16 C17:K18 C20:K21">
    <cfRule type="expression" dxfId="2798" priority="178" stopIfTrue="1">
      <formula>AND($M2="Approved",OR($L16=$R$1,$L16=$T$1))</formula>
    </cfRule>
  </conditionalFormatting>
  <conditionalFormatting sqref="M22:M23">
    <cfRule type="expression" dxfId="2797" priority="167" stopIfTrue="1">
      <formula>OR(M22="Fixed",M22="Approved")</formula>
    </cfRule>
    <cfRule type="cellIs" dxfId="2796" priority="168" stopIfTrue="1" operator="equal">
      <formula>"Rejected"</formula>
    </cfRule>
  </conditionalFormatting>
  <conditionalFormatting sqref="C22:F23 H22:K23">
    <cfRule type="expression" dxfId="2795" priority="172" stopIfTrue="1">
      <formula>AND($M8="Approved",OR($L22=$R$1,$L22=$T$1))</formula>
    </cfRule>
  </conditionalFormatting>
  <conditionalFormatting sqref="B17:B18 B20:B23">
    <cfRule type="expression" dxfId="2794" priority="166" stopIfTrue="1">
      <formula>AND($M3="Approved",OR($L17=$R$1,$L17=$T$1))</formula>
    </cfRule>
  </conditionalFormatting>
  <conditionalFormatting sqref="B24">
    <cfRule type="expression" dxfId="2793" priority="165" stopIfTrue="1">
      <formula>AND($M10="Approved",OR($L24=$R$1,$L24=$T$1))</formula>
    </cfRule>
  </conditionalFormatting>
  <conditionalFormatting sqref="C24">
    <cfRule type="expression" dxfId="2792" priority="164" stopIfTrue="1">
      <formula>AND($M10="Approved",OR($L24=$R$1,$L24=$T$1))</formula>
    </cfRule>
  </conditionalFormatting>
  <conditionalFormatting sqref="L27:L29">
    <cfRule type="expression" dxfId="2791" priority="160" stopIfTrue="1">
      <formula>AND($M13="Approved",$L27="Fixed")</formula>
    </cfRule>
    <cfRule type="cellIs" dxfId="2790" priority="161" stopIfTrue="1" operator="equal">
      <formula>"Fixed"</formula>
    </cfRule>
    <cfRule type="cellIs" dxfId="2789" priority="162" stopIfTrue="1" operator="equal">
      <formula>"Open"</formula>
    </cfRule>
  </conditionalFormatting>
  <conditionalFormatting sqref="B27:K29">
    <cfRule type="expression" dxfId="2788" priority="163" stopIfTrue="1">
      <formula>AND($M13="Approved",OR($L27=$R$1,$L27=$T$1))</formula>
    </cfRule>
  </conditionalFormatting>
  <conditionalFormatting sqref="D42">
    <cfRule type="expression" dxfId="2787" priority="158" stopIfTrue="1">
      <formula>AND($M42="Approved",OR($L42=$R$1,$L42=$T$1))</formula>
    </cfRule>
  </conditionalFormatting>
  <conditionalFormatting sqref="G16">
    <cfRule type="expression" dxfId="2786" priority="157" stopIfTrue="1">
      <formula>AND($M2="Approved",OR($L16=$R$1,$L16=$T$1))</formula>
    </cfRule>
  </conditionalFormatting>
  <conditionalFormatting sqref="M19">
    <cfRule type="expression" dxfId="2785" priority="151" stopIfTrue="1">
      <formula>OR(M19="Fixed",M19="Approved")</formula>
    </cfRule>
    <cfRule type="cellIs" dxfId="2784" priority="152" stopIfTrue="1" operator="equal">
      <formula>"Rejected"</formula>
    </cfRule>
  </conditionalFormatting>
  <conditionalFormatting sqref="C19:K19">
    <cfRule type="expression" dxfId="2783" priority="156" stopIfTrue="1">
      <formula>AND($M5="Approved",OR($L19=$R$1,$L19=$T$1))</formula>
    </cfRule>
  </conditionalFormatting>
  <conditionalFormatting sqref="B19">
    <cfRule type="expression" dxfId="2782" priority="150" stopIfTrue="1">
      <formula>AND($M5="Approved",OR($L19=$R$1,$L19=$T$1))</formula>
    </cfRule>
  </conditionalFormatting>
  <conditionalFormatting sqref="G22">
    <cfRule type="expression" dxfId="2781" priority="149" stopIfTrue="1">
      <formula>AND($M8="Approved",OR($L22=$R$1,$L22=$T$1))</formula>
    </cfRule>
  </conditionalFormatting>
  <conditionalFormatting sqref="G23">
    <cfRule type="expression" dxfId="2780" priority="148" stopIfTrue="1">
      <formula>AND($M9="Approved",OR($L23=$R$1,$L23=$T$1))</formula>
    </cfRule>
  </conditionalFormatting>
  <conditionalFormatting sqref="L19:L23">
    <cfRule type="expression" dxfId="2779" priority="142" stopIfTrue="1">
      <formula>AND($M5="Approved",$L19="Fixed")</formula>
    </cfRule>
    <cfRule type="cellIs" dxfId="2778" priority="143" stopIfTrue="1" operator="equal">
      <formula>"Fixed"</formula>
    </cfRule>
    <cfRule type="cellIs" dxfId="2777" priority="144" stopIfTrue="1" operator="equal">
      <formula>"Open"</formula>
    </cfRule>
  </conditionalFormatting>
  <conditionalFormatting sqref="B47 D47:D49">
    <cfRule type="expression" dxfId="2776" priority="141" stopIfTrue="1">
      <formula>AND($M33="Approved",OR($L47=$R$1,$L47=$T$1))</formula>
    </cfRule>
  </conditionalFormatting>
  <conditionalFormatting sqref="B48:B49">
    <cfRule type="expression" dxfId="2775" priority="140" stopIfTrue="1">
      <formula>AND($M34="Approved",OR($L48=$R$1,$L48=$T$1))</formula>
    </cfRule>
  </conditionalFormatting>
  <conditionalFormatting sqref="B51:F52">
    <cfRule type="expression" dxfId="2774" priority="139" stopIfTrue="1">
      <formula>AND($M51="Approved",OR($L51=$R$1,$L51=$T$1))</formula>
    </cfRule>
  </conditionalFormatting>
  <conditionalFormatting sqref="L51:L52">
    <cfRule type="expression" dxfId="2773" priority="133" stopIfTrue="1">
      <formula>AND($M51="Approved",$L51="Fixed")</formula>
    </cfRule>
    <cfRule type="cellIs" dxfId="2772" priority="134" stopIfTrue="1" operator="equal">
      <formula>"Fixed"</formula>
    </cfRule>
    <cfRule type="cellIs" dxfId="2771" priority="135" stopIfTrue="1" operator="equal">
      <formula>"Open"</formula>
    </cfRule>
  </conditionalFormatting>
  <conditionalFormatting sqref="M51:M52">
    <cfRule type="expression" dxfId="2770" priority="136" stopIfTrue="1">
      <formula>OR(M51="Fixed",M51="Approved")</formula>
    </cfRule>
    <cfRule type="cellIs" dxfId="2769" priority="137" stopIfTrue="1" operator="equal">
      <formula>"Rejected"</formula>
    </cfRule>
  </conditionalFormatting>
  <conditionalFormatting sqref="H51:K52">
    <cfRule type="expression" dxfId="2768" priority="138" stopIfTrue="1">
      <formula>AND($M51="Approved",OR($L51=$R$1,$L51=$T$1))</formula>
    </cfRule>
  </conditionalFormatting>
  <conditionalFormatting sqref="B53:D53">
    <cfRule type="expression" dxfId="2767" priority="132" stopIfTrue="1">
      <formula>AND($M39="Approved",OR($L53=$R$1,$L53=$T$1))</formula>
    </cfRule>
  </conditionalFormatting>
  <conditionalFormatting sqref="L54">
    <cfRule type="expression" dxfId="2766" priority="126" stopIfTrue="1">
      <formula>AND($M54="Approved",$L54="Fixed")</formula>
    </cfRule>
    <cfRule type="cellIs" dxfId="2765" priority="127" stopIfTrue="1" operator="equal">
      <formula>"Fixed"</formula>
    </cfRule>
    <cfRule type="cellIs" dxfId="2764" priority="128" stopIfTrue="1" operator="equal">
      <formula>"Open"</formula>
    </cfRule>
  </conditionalFormatting>
  <conditionalFormatting sqref="M54">
    <cfRule type="expression" dxfId="2763" priority="129" stopIfTrue="1">
      <formula>OR(M54="Fixed",M54="Approved")</formula>
    </cfRule>
    <cfRule type="cellIs" dxfId="2762" priority="130" stopIfTrue="1" operator="equal">
      <formula>"Rejected"</formula>
    </cfRule>
  </conditionalFormatting>
  <conditionalFormatting sqref="E54:K54">
    <cfRule type="expression" dxfId="2761" priority="131" stopIfTrue="1">
      <formula>AND($M54="Approved",OR($L54=$R$1,$L54=$T$1))</formula>
    </cfRule>
  </conditionalFormatting>
  <conditionalFormatting sqref="B54:D54">
    <cfRule type="expression" dxfId="2760" priority="125" stopIfTrue="1">
      <formula>AND($M40="Approved",OR($L54=$R$1,$L54=$T$1))</formula>
    </cfRule>
  </conditionalFormatting>
  <conditionalFormatting sqref="B55:C55">
    <cfRule type="expression" dxfId="2759" priority="124" stopIfTrue="1">
      <formula>AND($M41="Approved",OR($L55=$R$1,$L55=$T$1))</formula>
    </cfRule>
  </conditionalFormatting>
  <conditionalFormatting sqref="D54">
    <cfRule type="expression" dxfId="2758" priority="123" stopIfTrue="1">
      <formula>AND($M54="Approved",OR($L54=$R$1,$L54=$T$1))</formula>
    </cfRule>
  </conditionalFormatting>
  <conditionalFormatting sqref="B53:D53">
    <cfRule type="expression" dxfId="2757" priority="122" stopIfTrue="1">
      <formula>AND($M39="Approved",OR($L53=$R$1,$L53=$T$1))</formula>
    </cfRule>
  </conditionalFormatting>
  <conditionalFormatting sqref="B54:C54">
    <cfRule type="expression" dxfId="2756" priority="121" stopIfTrue="1">
      <formula>AND($M40="Approved",OR($L54=$R$1,$L54=$T$1))</formula>
    </cfRule>
  </conditionalFormatting>
  <conditionalFormatting sqref="D55">
    <cfRule type="expression" dxfId="2755" priority="120" stopIfTrue="1">
      <formula>AND($M41="Approved",OR($L55=$R$1,$L55=$T$1))</formula>
    </cfRule>
  </conditionalFormatting>
  <conditionalFormatting sqref="D55">
    <cfRule type="expression" dxfId="2754" priority="119" stopIfTrue="1">
      <formula>AND($M41="Approved",OR($L55=$R$1,$L55=$T$1))</formula>
    </cfRule>
  </conditionalFormatting>
  <conditionalFormatting sqref="L56">
    <cfRule type="expression" dxfId="2753" priority="113" stopIfTrue="1">
      <formula>AND($M56="Approved",$L56="Fixed")</formula>
    </cfRule>
    <cfRule type="cellIs" dxfId="2752" priority="114" stopIfTrue="1" operator="equal">
      <formula>"Fixed"</formula>
    </cfRule>
    <cfRule type="cellIs" dxfId="2751" priority="115" stopIfTrue="1" operator="equal">
      <formula>"Open"</formula>
    </cfRule>
  </conditionalFormatting>
  <conditionalFormatting sqref="M56">
    <cfRule type="expression" dxfId="2750" priority="116" stopIfTrue="1">
      <formula>OR(M56="Fixed",M56="Approved")</formula>
    </cfRule>
    <cfRule type="cellIs" dxfId="2749" priority="117" stopIfTrue="1" operator="equal">
      <formula>"Rejected"</formula>
    </cfRule>
  </conditionalFormatting>
  <conditionalFormatting sqref="E56:K56">
    <cfRule type="expression" dxfId="2748" priority="118" stopIfTrue="1">
      <formula>AND($M56="Approved",OR($L56=$R$1,$L56=$T$1))</formula>
    </cfRule>
  </conditionalFormatting>
  <conditionalFormatting sqref="B56:C56">
    <cfRule type="expression" dxfId="2747" priority="112" stopIfTrue="1">
      <formula>AND($M42="Approved",OR($L56=$R$1,$L56=$T$1))</formula>
    </cfRule>
  </conditionalFormatting>
  <conditionalFormatting sqref="D56">
    <cfRule type="expression" dxfId="2746" priority="111" stopIfTrue="1">
      <formula>AND($M42="Approved",OR($L56=$R$1,$L56=$T$1))</formula>
    </cfRule>
  </conditionalFormatting>
  <conditionalFormatting sqref="D56">
    <cfRule type="expression" dxfId="2745" priority="110" stopIfTrue="1">
      <formula>AND($M42="Approved",OR($L56=$R$1,$L56=$T$1))</formula>
    </cfRule>
  </conditionalFormatting>
  <conditionalFormatting sqref="B57:C57">
    <cfRule type="expression" dxfId="2744" priority="109" stopIfTrue="1">
      <formula>AND($M43="Approved",OR($L57=$R$1,$L57=$T$1))</formula>
    </cfRule>
  </conditionalFormatting>
  <conditionalFormatting sqref="C47:C50">
    <cfRule type="expression" dxfId="2743" priority="108" stopIfTrue="1">
      <formula>AND($M47="Approved",OR($L47=$R$1,$L47=$T$1))</formula>
    </cfRule>
  </conditionalFormatting>
  <conditionalFormatting sqref="C31:C42">
    <cfRule type="expression" dxfId="2742" priority="107" stopIfTrue="1">
      <formula>AND($M31="Approved",OR($L31=$R$1,$L31=$T$1))</formula>
    </cfRule>
  </conditionalFormatting>
  <conditionalFormatting sqref="D58:D60">
    <cfRule type="expression" dxfId="2741" priority="106" stopIfTrue="1">
      <formula>AND($M44="Approved",OR($L58=$R$1,$L58=$T$1))</formula>
    </cfRule>
  </conditionalFormatting>
  <conditionalFormatting sqref="D58:D60">
    <cfRule type="expression" dxfId="2740" priority="105" stopIfTrue="1">
      <formula>AND($M44="Approved",OR($L58=$R$1,$L58=$T$1))</formula>
    </cfRule>
  </conditionalFormatting>
  <conditionalFormatting sqref="L58:L60">
    <cfRule type="expression" dxfId="2739" priority="99" stopIfTrue="1">
      <formula>AND($M58="Approved",$L58="Fixed")</formula>
    </cfRule>
    <cfRule type="cellIs" dxfId="2738" priority="100" stopIfTrue="1" operator="equal">
      <formula>"Fixed"</formula>
    </cfRule>
    <cfRule type="cellIs" dxfId="2737" priority="101" stopIfTrue="1" operator="equal">
      <formula>"Open"</formula>
    </cfRule>
  </conditionalFormatting>
  <conditionalFormatting sqref="M58:M60">
    <cfRule type="expression" dxfId="2736" priority="102" stopIfTrue="1">
      <formula>OR(M58="Fixed",M58="Approved")</formula>
    </cfRule>
    <cfRule type="cellIs" dxfId="2735" priority="103" stopIfTrue="1" operator="equal">
      <formula>"Rejected"</formula>
    </cfRule>
  </conditionalFormatting>
  <conditionalFormatting sqref="J58:K60">
    <cfRule type="expression" dxfId="2734" priority="104" stopIfTrue="1">
      <formula>AND($M58="Approved",OR($L58=$R$1,$L58=$T$1))</formula>
    </cfRule>
  </conditionalFormatting>
  <conditionalFormatting sqref="L61">
    <cfRule type="expression" dxfId="2733" priority="93" stopIfTrue="1">
      <formula>AND($M61="Approved",$L61="Fixed")</formula>
    </cfRule>
    <cfRule type="cellIs" dxfId="2732" priority="94" stopIfTrue="1" operator="equal">
      <formula>"Fixed"</formula>
    </cfRule>
    <cfRule type="cellIs" dxfId="2731" priority="95" stopIfTrue="1" operator="equal">
      <formula>"Open"</formula>
    </cfRule>
  </conditionalFormatting>
  <conditionalFormatting sqref="M61">
    <cfRule type="expression" dxfId="2730" priority="96" stopIfTrue="1">
      <formula>OR(M61="Fixed",M61="Approved")</formula>
    </cfRule>
    <cfRule type="cellIs" dxfId="2729" priority="97" stopIfTrue="1" operator="equal">
      <formula>"Rejected"</formula>
    </cfRule>
  </conditionalFormatting>
  <conditionalFormatting sqref="J61:K61">
    <cfRule type="expression" dxfId="2728" priority="98" stopIfTrue="1">
      <formula>AND($M61="Approved",OR($L61=$R$1,$L61=$T$1))</formula>
    </cfRule>
  </conditionalFormatting>
  <conditionalFormatting sqref="M64">
    <cfRule type="expression" dxfId="2727" priority="77" stopIfTrue="1">
      <formula>OR(M64="Fixed",M64="Approved")</formula>
    </cfRule>
    <cfRule type="cellIs" dxfId="2726" priority="78" stopIfTrue="1" operator="equal">
      <formula>"Rejected"</formula>
    </cfRule>
  </conditionalFormatting>
  <conditionalFormatting sqref="A63:A64 A68">
    <cfRule type="expression" dxfId="2725" priority="1963" stopIfTrue="1">
      <formula>AND($M62="Approved",OR($L62=$R$1,$L62=$T$1))</formula>
    </cfRule>
  </conditionalFormatting>
  <conditionalFormatting sqref="D62:D63 C62:C64">
    <cfRule type="expression" dxfId="2724" priority="1974" stopIfTrue="1">
      <formula>AND($M49="Approved",OR($L62=$R$1,$L62=$T$1))</formula>
    </cfRule>
  </conditionalFormatting>
  <conditionalFormatting sqref="A65">
    <cfRule type="expression" dxfId="2723" priority="72" stopIfTrue="1">
      <formula>AND($M64="Approved",OR($L64=$R$1,$L64=$T$1))</formula>
    </cfRule>
  </conditionalFormatting>
  <conditionalFormatting sqref="G66:I66 G65 K66">
    <cfRule type="expression" dxfId="2722" priority="65" stopIfTrue="1">
      <formula>AND($M65="Approved",OR($L65=$R$1,$L65=$T$1))</formula>
    </cfRule>
  </conditionalFormatting>
  <conditionalFormatting sqref="H65:I65 K65">
    <cfRule type="expression" dxfId="2721" priority="59" stopIfTrue="1">
      <formula>AND($M65="Approved",OR($L65=$R$1,$L65=$T$1))</formula>
    </cfRule>
  </conditionalFormatting>
  <conditionalFormatting sqref="J65">
    <cfRule type="expression" dxfId="2720" priority="51" stopIfTrue="1">
      <formula>AND($M65="Approved",OR($L65=$R$1,$L65=$T$1))</formula>
    </cfRule>
  </conditionalFormatting>
  <conditionalFormatting sqref="J66">
    <cfRule type="expression" dxfId="2719" priority="48" stopIfTrue="1">
      <formula>AND($M66="Approved",OR($L66=$R$1,$L66=$T$1))</formula>
    </cfRule>
  </conditionalFormatting>
  <conditionalFormatting sqref="A67">
    <cfRule type="expression" dxfId="2718" priority="1991" stopIfTrue="1">
      <formula>AND(#REF!="Approved",OR(#REF!=$R$1,#REF!=$T$1))</formula>
    </cfRule>
  </conditionalFormatting>
  <conditionalFormatting sqref="L68:L71">
    <cfRule type="expression" dxfId="2717" priority="36" stopIfTrue="1">
      <formula>AND($M68="Approved",$L68="Fixed")</formula>
    </cfRule>
    <cfRule type="cellIs" dxfId="2716" priority="37" stopIfTrue="1" operator="equal">
      <formula>"Fixed"</formula>
    </cfRule>
    <cfRule type="cellIs" dxfId="2715" priority="38" stopIfTrue="1" operator="equal">
      <formula>"Open"</formula>
    </cfRule>
  </conditionalFormatting>
  <conditionalFormatting sqref="M68:M71">
    <cfRule type="expression" dxfId="2714" priority="39" stopIfTrue="1">
      <formula>OR(M68="Fixed",M68="Approved")</formula>
    </cfRule>
    <cfRule type="cellIs" dxfId="2713" priority="40" stopIfTrue="1" operator="equal">
      <formula>"Rejected"</formula>
    </cfRule>
  </conditionalFormatting>
  <conditionalFormatting sqref="B68:K71">
    <cfRule type="expression" dxfId="2712" priority="35" stopIfTrue="1">
      <formula>AND($M68="Approved",OR($L68=$R$1,$L68=$T$1))</formula>
    </cfRule>
  </conditionalFormatting>
  <conditionalFormatting sqref="A72">
    <cfRule type="expression" dxfId="2711" priority="31" stopIfTrue="1">
      <formula>AND($M72="Approved",OR($L72=$R$1,$L72=$T$1))</formula>
    </cfRule>
  </conditionalFormatting>
  <conditionalFormatting sqref="L72">
    <cfRule type="expression" dxfId="2710" priority="26" stopIfTrue="1">
      <formula>AND($M72="Approved",$L72="Fixed")</formula>
    </cfRule>
    <cfRule type="cellIs" dxfId="2709" priority="27" stopIfTrue="1" operator="equal">
      <formula>"Fixed"</formula>
    </cfRule>
    <cfRule type="cellIs" dxfId="2708" priority="28" stopIfTrue="1" operator="equal">
      <formula>"Open"</formula>
    </cfRule>
  </conditionalFormatting>
  <conditionalFormatting sqref="M72">
    <cfRule type="expression" dxfId="2707" priority="29" stopIfTrue="1">
      <formula>OR(M72="Fixed",M72="Approved")</formula>
    </cfRule>
    <cfRule type="cellIs" dxfId="2706" priority="30" stopIfTrue="1" operator="equal">
      <formula>"Rejected"</formula>
    </cfRule>
  </conditionalFormatting>
  <conditionalFormatting sqref="B72:K72">
    <cfRule type="expression" dxfId="2705" priority="25" stopIfTrue="1">
      <formula>AND($M72="Approved",OR($L72=$R$1,$L72=$T$1))</formula>
    </cfRule>
  </conditionalFormatting>
  <conditionalFormatting sqref="B73:C73">
    <cfRule type="expression" dxfId="2704" priority="24" stopIfTrue="1">
      <formula>AND($M73="Approved",OR($L73=$R$1,$L73=$T$1))</formula>
    </cfRule>
  </conditionalFormatting>
  <conditionalFormatting sqref="D73">
    <cfRule type="expression" dxfId="2703" priority="23" stopIfTrue="1">
      <formula>AND($M73="Approved",OR($L73=$R$1,$L73=$T$1))</formula>
    </cfRule>
  </conditionalFormatting>
  <conditionalFormatting sqref="J73">
    <cfRule type="expression" dxfId="2702" priority="22" stopIfTrue="1">
      <formula>AND($M73="Approved",OR($L73=$R$1,$L73=$T$1))</formula>
    </cfRule>
  </conditionalFormatting>
  <conditionalFormatting sqref="B74:C74">
    <cfRule type="expression" dxfId="2701" priority="21" stopIfTrue="1">
      <formula>AND($M74="Approved",OR($L74=$R$1,$L74=$T$1))</formula>
    </cfRule>
  </conditionalFormatting>
  <conditionalFormatting sqref="D74">
    <cfRule type="expression" dxfId="2700" priority="20" stopIfTrue="1">
      <formula>AND($M74="Approved",OR($L74=$R$1,$L74=$T$1))</formula>
    </cfRule>
  </conditionalFormatting>
  <conditionalFormatting sqref="J74">
    <cfRule type="expression" dxfId="2699" priority="19" stopIfTrue="1">
      <formula>AND($M74="Approved",OR($L74=$R$1,$L74=$T$1))</formula>
    </cfRule>
  </conditionalFormatting>
  <conditionalFormatting sqref="B75:C75">
    <cfRule type="expression" dxfId="2698" priority="18" stopIfTrue="1">
      <formula>AND($M75="Approved",OR($L75=$R$1,$L75=$T$1))</formula>
    </cfRule>
  </conditionalFormatting>
  <conditionalFormatting sqref="B76:C76">
    <cfRule type="expression" dxfId="2697" priority="17" stopIfTrue="1">
      <formula>AND($M76="Approved",OR($L76=$R$1,$L76=$T$1))</formula>
    </cfRule>
  </conditionalFormatting>
  <conditionalFormatting sqref="D75">
    <cfRule type="expression" dxfId="2696" priority="16" stopIfTrue="1">
      <formula>AND($M75="Approved",OR($L75=$R$1,$L75=$T$1))</formula>
    </cfRule>
  </conditionalFormatting>
  <conditionalFormatting sqref="L75">
    <cfRule type="expression" dxfId="2695" priority="10" stopIfTrue="1">
      <formula>AND($M75="Approved",$L75="Fixed")</formula>
    </cfRule>
    <cfRule type="cellIs" dxfId="2694" priority="11" stopIfTrue="1" operator="equal">
      <formula>"Fixed"</formula>
    </cfRule>
    <cfRule type="cellIs" dxfId="2693" priority="12" stopIfTrue="1" operator="equal">
      <formula>"Open"</formula>
    </cfRule>
  </conditionalFormatting>
  <conditionalFormatting sqref="M75">
    <cfRule type="expression" dxfId="2692" priority="13" stopIfTrue="1">
      <formula>OR(M75="Fixed",M75="Approved")</formula>
    </cfRule>
    <cfRule type="cellIs" dxfId="2691" priority="14" stopIfTrue="1" operator="equal">
      <formula>"Rejected"</formula>
    </cfRule>
  </conditionalFormatting>
  <conditionalFormatting sqref="K75">
    <cfRule type="expression" dxfId="2690" priority="15" stopIfTrue="1">
      <formula>AND($M75="Approved",OR($L75=$R$1,$L75=$T$1))</formula>
    </cfRule>
  </conditionalFormatting>
  <conditionalFormatting sqref="J75">
    <cfRule type="expression" dxfId="2689" priority="9" stopIfTrue="1">
      <formula>AND($M75="Approved",OR($L75=$R$1,$L75=$T$1))</formula>
    </cfRule>
  </conditionalFormatting>
  <conditionalFormatting sqref="D76">
    <cfRule type="expression" dxfId="2688" priority="8" stopIfTrue="1">
      <formula>AND($M76="Approved",OR($L76=$R$1,$L76=$T$1))</formula>
    </cfRule>
  </conditionalFormatting>
  <conditionalFormatting sqref="L76">
    <cfRule type="expression" dxfId="2687" priority="2" stopIfTrue="1">
      <formula>AND($M76="Approved",$L76="Fixed")</formula>
    </cfRule>
    <cfRule type="cellIs" dxfId="2686" priority="3" stopIfTrue="1" operator="equal">
      <formula>"Fixed"</formula>
    </cfRule>
    <cfRule type="cellIs" dxfId="2685" priority="4" stopIfTrue="1" operator="equal">
      <formula>"Open"</formula>
    </cfRule>
  </conditionalFormatting>
  <conditionalFormatting sqref="M76">
    <cfRule type="expression" dxfId="2684" priority="5" stopIfTrue="1">
      <formula>OR(M76="Fixed",M76="Approved")</formula>
    </cfRule>
    <cfRule type="cellIs" dxfId="2683" priority="6" stopIfTrue="1" operator="equal">
      <formula>"Rejected"</formula>
    </cfRule>
  </conditionalFormatting>
  <conditionalFormatting sqref="K76">
    <cfRule type="expression" dxfId="2682" priority="7" stopIfTrue="1">
      <formula>AND($M76="Approved",OR($L76=$R$1,$L76=$T$1))</formula>
    </cfRule>
  </conditionalFormatting>
  <conditionalFormatting sqref="J76">
    <cfRule type="expression" dxfId="2681" priority="1" stopIfTrue="1">
      <formula>AND($M76="Approved",OR($L76=$R$1,$L76=$T$1))</formula>
    </cfRule>
  </conditionalFormatting>
  <dataValidations count="3">
    <dataValidation type="list" allowBlank="1" showInputMessage="1" showErrorMessage="1" sqref="I5:I50 I53:I67 I69:I204" xr:uid="{00000000-0002-0000-0300-000002000000}">
      <formula1>"Low,medium,high"</formula1>
    </dataValidation>
    <dataValidation type="list" allowBlank="1" showInputMessage="1" showErrorMessage="1" sqref="M5:M204" xr:uid="{00000000-0002-0000-0300-000001000000}">
      <formula1>$AH$1:$AI$1</formula1>
    </dataValidation>
    <dataValidation type="list" allowBlank="1" showInputMessage="1" showErrorMessage="1" sqref="L5:L204" xr:uid="{00000000-0002-0000-0300-000000000000}">
      <formula1>$Q$1:$U$1</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474</v>
      </c>
      <c r="H1" s="192" t="s">
        <v>475</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476</v>
      </c>
      <c r="Q1" s="192" t="s">
        <v>477</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2680" priority="5" operator="equal">
      <formula>"nok"</formula>
    </cfRule>
  </conditionalFormatting>
  <conditionalFormatting sqref="B4737:G4783 I4737:J4783">
    <cfRule type="cellIs" dxfId="2679" priority="4" operator="equal">
      <formula>"nok"</formula>
    </cfRule>
  </conditionalFormatting>
  <conditionalFormatting sqref="B2:G4736 I2:J4736">
    <cfRule type="cellIs" dxfId="2678" priority="3" operator="equal">
      <formula>"OK"</formula>
    </cfRule>
  </conditionalFormatting>
  <conditionalFormatting sqref="B4737:G4777 I4737:J4777">
    <cfRule type="cellIs" dxfId="2677" priority="2" operator="equal">
      <formula>"OK"</formula>
    </cfRule>
  </conditionalFormatting>
  <conditionalFormatting sqref="A2:O7000">
    <cfRule type="cellIs" dxfId="2676"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159</v>
      </c>
      <c r="B1" s="194" t="s">
        <v>484</v>
      </c>
      <c r="C1" s="195" t="s">
        <v>448</v>
      </c>
      <c r="D1" s="196" t="s">
        <v>449</v>
      </c>
      <c r="E1" s="197" t="s">
        <v>450</v>
      </c>
      <c r="F1" s="197" t="s">
        <v>59</v>
      </c>
      <c r="G1" s="197" t="s">
        <v>451</v>
      </c>
      <c r="H1" s="197" t="s">
        <v>452</v>
      </c>
      <c r="I1" s="197" t="s">
        <v>453</v>
      </c>
      <c r="J1" s="197" t="s">
        <v>454</v>
      </c>
      <c r="K1" s="197" t="s">
        <v>455</v>
      </c>
      <c r="L1" s="197" t="s">
        <v>456</v>
      </c>
      <c r="M1" s="197" t="s">
        <v>457</v>
      </c>
      <c r="N1" s="198" t="s">
        <v>458</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2675" priority="7">
      <formula>AND($M2="Fixed",$N2="Approved")</formula>
    </cfRule>
  </conditionalFormatting>
  <conditionalFormatting sqref="N2:N344">
    <cfRule type="expression" dxfId="2674" priority="6">
      <formula>$N2="Approved"</formula>
    </cfRule>
    <cfRule type="expression" dxfId="2673"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2672" priority="8">
      <formula>$M2="Open"</formula>
    </cfRule>
    <cfRule type="expression" dxfId="2671" priority="9">
      <formula>$M2="Fixed"</formula>
    </cfRule>
    <cfRule type="expression" dxfId="2670" priority="10">
      <formula>$M2="Postponed"</formula>
    </cfRule>
    <cfRule type="expression" dxfId="2669"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668"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2667" priority="2">
      <formula>$M4="Open"</formula>
    </cfRule>
    <cfRule type="expression" dxfId="2666" priority="3">
      <formula>$M4="Fixed"</formula>
    </cfRule>
    <cfRule type="expression" dxfId="2665" priority="4">
      <formula>$M4="Postponed"</formula>
    </cfRule>
    <cfRule type="expression" dxfId="2664"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6" bestFit="1" customWidth="1"/>
    <col min="2" max="2" width="69" style="96" customWidth="1"/>
    <col min="3" max="3" width="53.42578125" style="96" bestFit="1" customWidth="1"/>
    <col min="4" max="4" width="19" style="96" customWidth="1"/>
    <col min="5" max="5" width="21.7109375" style="96" customWidth="1"/>
    <col min="6" max="6" width="9.140625" style="96"/>
    <col min="7" max="7" width="8.42578125" style="96" customWidth="1"/>
    <col min="8" max="8" width="34.28515625" style="96" bestFit="1" customWidth="1"/>
    <col min="9" max="12" width="34.28515625" style="96" customWidth="1"/>
    <col min="13" max="13" width="9.5703125" style="96" bestFit="1" customWidth="1"/>
    <col min="14" max="14" width="5.5703125" style="96" bestFit="1" customWidth="1"/>
    <col min="15" max="261" width="69" style="96" customWidth="1"/>
    <col min="262" max="16384" width="9.140625" style="96"/>
  </cols>
  <sheetData>
    <row r="1" spans="1:19" ht="15">
      <c r="A1" s="199" t="s">
        <v>530</v>
      </c>
      <c r="B1" s="199" t="s">
        <v>459</v>
      </c>
      <c r="C1" s="199" t="s">
        <v>460</v>
      </c>
      <c r="D1" s="199" t="s">
        <v>461</v>
      </c>
      <c r="E1" s="199"/>
      <c r="F1" s="199"/>
      <c r="G1" s="199" t="s">
        <v>462</v>
      </c>
      <c r="H1" s="199" t="s">
        <v>463</v>
      </c>
      <c r="I1" s="199" t="s">
        <v>464</v>
      </c>
      <c r="J1" s="199" t="s">
        <v>465</v>
      </c>
      <c r="K1" s="199" t="s">
        <v>466</v>
      </c>
      <c r="L1" s="199" t="s">
        <v>467</v>
      </c>
      <c r="M1" s="199" t="s">
        <v>468</v>
      </c>
      <c r="N1" s="199" t="s">
        <v>450</v>
      </c>
      <c r="O1" s="199" t="s">
        <v>469</v>
      </c>
      <c r="P1" s="199" t="s">
        <v>470</v>
      </c>
      <c r="Q1" s="199" t="s">
        <v>471</v>
      </c>
      <c r="R1" s="199" t="s">
        <v>472</v>
      </c>
      <c r="S1" s="199" t="s">
        <v>473</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334</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221</v>
      </c>
      <c r="C5" s="162"/>
      <c r="D5" s="162"/>
      <c r="E5" s="229"/>
      <c r="F5" s="229"/>
    </row>
    <row r="6" spans="1:7" ht="38.25">
      <c r="A6" s="164" t="s">
        <v>619</v>
      </c>
      <c r="B6" s="173" t="s">
        <v>222</v>
      </c>
      <c r="C6" s="223"/>
      <c r="D6" s="224"/>
      <c r="E6" s="163"/>
      <c r="F6" s="163"/>
    </row>
    <row r="7" spans="1:7" ht="38.25">
      <c r="A7" s="164" t="s">
        <v>620</v>
      </c>
      <c r="B7" s="173" t="s">
        <v>381</v>
      </c>
      <c r="C7" s="223"/>
      <c r="D7" s="224"/>
      <c r="E7" s="163"/>
      <c r="F7" s="163"/>
    </row>
    <row r="8" spans="1:7" ht="89.25">
      <c r="A8" s="164" t="s">
        <v>621</v>
      </c>
      <c r="B8" s="173" t="s">
        <v>382</v>
      </c>
      <c r="C8" s="223"/>
      <c r="D8" s="224"/>
      <c r="E8" s="165" t="s">
        <v>383</v>
      </c>
      <c r="F8" s="163"/>
    </row>
    <row r="9" spans="1:7" ht="18.75">
      <c r="A9" s="161"/>
      <c r="B9" s="170" t="s">
        <v>290</v>
      </c>
      <c r="C9" s="162"/>
      <c r="D9" s="162"/>
      <c r="E9" s="229"/>
      <c r="F9" s="229"/>
    </row>
    <row r="10" spans="1:7" ht="51">
      <c r="A10" s="164" t="s">
        <v>622</v>
      </c>
      <c r="B10" s="173" t="s">
        <v>335</v>
      </c>
      <c r="C10" s="223"/>
      <c r="D10" s="224"/>
      <c r="E10" s="163"/>
      <c r="F10" s="163"/>
    </row>
    <row r="11" spans="1:7" ht="51">
      <c r="A11" s="164" t="s">
        <v>623</v>
      </c>
      <c r="B11" s="173" t="s">
        <v>224</v>
      </c>
      <c r="C11" s="223"/>
      <c r="D11" s="224"/>
      <c r="E11" s="165" t="s">
        <v>384</v>
      </c>
      <c r="F11" s="163"/>
    </row>
    <row r="12" spans="1:7" ht="38.25">
      <c r="A12" s="164" t="s">
        <v>624</v>
      </c>
      <c r="B12" s="173" t="s">
        <v>226</v>
      </c>
      <c r="C12" s="223"/>
      <c r="D12" s="224"/>
      <c r="E12" s="163"/>
      <c r="F12" s="163"/>
    </row>
    <row r="13" spans="1:7" ht="38.25">
      <c r="A13" s="164" t="s">
        <v>625</v>
      </c>
      <c r="B13" s="173" t="s">
        <v>223</v>
      </c>
      <c r="C13" s="223"/>
      <c r="D13" s="224"/>
      <c r="E13" s="163" t="s">
        <v>385</v>
      </c>
      <c r="F13" s="163"/>
    </row>
    <row r="14" spans="1:7" ht="25.5">
      <c r="A14" s="164" t="s">
        <v>626</v>
      </c>
      <c r="B14" s="173" t="s">
        <v>210</v>
      </c>
      <c r="C14" s="223"/>
      <c r="D14" s="224"/>
      <c r="E14" s="163"/>
      <c r="F14" s="163"/>
    </row>
    <row r="15" spans="1:7" ht="63.75">
      <c r="A15" s="164" t="s">
        <v>627</v>
      </c>
      <c r="B15" s="173" t="s">
        <v>291</v>
      </c>
      <c r="C15" s="223"/>
      <c r="D15" s="224"/>
      <c r="E15" s="163"/>
      <c r="F15" s="163"/>
    </row>
    <row r="16" spans="1:7" ht="38.25">
      <c r="A16" s="164" t="s">
        <v>628</v>
      </c>
      <c r="B16" s="173" t="s">
        <v>386</v>
      </c>
      <c r="C16" s="223"/>
      <c r="D16" s="224"/>
      <c r="E16" s="163"/>
      <c r="F16" s="163"/>
    </row>
    <row r="17" spans="1:6" ht="38.25">
      <c r="A17" s="164" t="s">
        <v>629</v>
      </c>
      <c r="B17" s="173" t="s">
        <v>387</v>
      </c>
      <c r="C17" s="223"/>
      <c r="D17" s="224"/>
      <c r="E17" s="163"/>
      <c r="F17" s="163"/>
    </row>
    <row r="18" spans="1:6" ht="25.5">
      <c r="A18" s="164" t="s">
        <v>630</v>
      </c>
      <c r="B18" s="173" t="s">
        <v>388</v>
      </c>
      <c r="C18" s="223"/>
      <c r="D18" s="224"/>
      <c r="E18" s="163"/>
      <c r="F18" s="163"/>
    </row>
    <row r="19" spans="1:6" ht="25.5">
      <c r="A19" s="164" t="s">
        <v>631</v>
      </c>
      <c r="B19" s="173" t="s">
        <v>389</v>
      </c>
      <c r="C19" s="223"/>
      <c r="D19" s="224"/>
      <c r="E19" s="163"/>
      <c r="F19" s="163"/>
    </row>
    <row r="20" spans="1:6" ht="25.5">
      <c r="A20" s="164" t="s">
        <v>632</v>
      </c>
      <c r="B20" s="173" t="s">
        <v>292</v>
      </c>
      <c r="C20" s="223"/>
      <c r="D20" s="224"/>
      <c r="E20" s="163"/>
      <c r="F20" s="163"/>
    </row>
    <row r="21" spans="1:6" ht="63.75">
      <c r="A21" s="164" t="s">
        <v>633</v>
      </c>
      <c r="B21" s="173" t="s">
        <v>390</v>
      </c>
      <c r="C21" s="223"/>
      <c r="D21" s="224"/>
      <c r="E21" s="165" t="s">
        <v>391</v>
      </c>
      <c r="F21" s="163"/>
    </row>
    <row r="22" spans="1:6" ht="18.75">
      <c r="A22" s="161"/>
      <c r="B22" s="170" t="s">
        <v>204</v>
      </c>
      <c r="C22" s="162"/>
      <c r="D22" s="162"/>
      <c r="E22" s="229"/>
      <c r="F22" s="229"/>
    </row>
    <row r="23" spans="1:6" ht="25.5">
      <c r="A23" s="164" t="s">
        <v>634</v>
      </c>
      <c r="B23" s="173" t="s">
        <v>205</v>
      </c>
      <c r="C23" s="223"/>
      <c r="D23" s="224"/>
      <c r="E23" s="163"/>
      <c r="F23" s="163"/>
    </row>
    <row r="24" spans="1:6" ht="18.75">
      <c r="A24" s="161"/>
      <c r="B24" s="170" t="s">
        <v>206</v>
      </c>
      <c r="C24" s="162"/>
      <c r="D24" s="162"/>
      <c r="E24" s="229"/>
      <c r="F24" s="229"/>
    </row>
    <row r="25" spans="1:6" ht="76.5">
      <c r="A25" s="164" t="s">
        <v>635</v>
      </c>
      <c r="B25" s="173" t="s">
        <v>207</v>
      </c>
      <c r="C25" s="223"/>
      <c r="D25" s="224"/>
      <c r="E25" s="163"/>
      <c r="F25" s="163"/>
    </row>
    <row r="26" spans="1:6" ht="18.75">
      <c r="A26" s="161"/>
      <c r="B26" s="170" t="s">
        <v>208</v>
      </c>
      <c r="C26" s="162"/>
      <c r="D26" s="162"/>
      <c r="E26" s="229"/>
      <c r="F26" s="229"/>
    </row>
    <row r="27" spans="1:6" ht="38.25">
      <c r="A27" s="164" t="s">
        <v>636</v>
      </c>
      <c r="B27" s="173" t="s">
        <v>209</v>
      </c>
      <c r="C27" s="223"/>
      <c r="D27" s="224"/>
      <c r="E27" s="163"/>
      <c r="F27" s="163"/>
    </row>
    <row r="28" spans="1:6" ht="25.5">
      <c r="A28" s="164" t="s">
        <v>637</v>
      </c>
      <c r="B28" s="173" t="s">
        <v>392</v>
      </c>
      <c r="C28" s="223"/>
      <c r="D28" s="224"/>
      <c r="E28" s="163"/>
      <c r="F28" s="163"/>
    </row>
    <row r="29" spans="1:6" ht="25.5">
      <c r="A29" s="164" t="s">
        <v>638</v>
      </c>
      <c r="B29" s="173" t="s">
        <v>225</v>
      </c>
      <c r="C29" s="223"/>
      <c r="D29" s="224"/>
      <c r="E29" s="163"/>
      <c r="F29" s="163"/>
    </row>
    <row r="30" spans="1:6" ht="18.75">
      <c r="A30" s="161"/>
      <c r="B30" s="170" t="s">
        <v>211</v>
      </c>
      <c r="C30" s="162"/>
      <c r="D30" s="162"/>
      <c r="E30" s="229"/>
      <c r="F30" s="229"/>
    </row>
    <row r="31" spans="1:6" ht="25.5">
      <c r="A31" s="164" t="s">
        <v>639</v>
      </c>
      <c r="B31" s="173" t="s">
        <v>227</v>
      </c>
      <c r="C31" s="223"/>
      <c r="D31" s="224"/>
      <c r="E31" s="163"/>
      <c r="F31" s="163"/>
    </row>
    <row r="32" spans="1:6" ht="38.25">
      <c r="A32" s="164" t="s">
        <v>640</v>
      </c>
      <c r="B32" s="173" t="s">
        <v>393</v>
      </c>
      <c r="C32" s="223"/>
      <c r="D32" s="224"/>
      <c r="E32" s="163"/>
      <c r="F32" s="163"/>
    </row>
    <row r="33" spans="1:6" ht="18.75">
      <c r="A33" s="161"/>
      <c r="B33" s="170" t="s">
        <v>336</v>
      </c>
      <c r="C33" s="162"/>
      <c r="D33" s="162"/>
      <c r="E33" s="229"/>
      <c r="F33" s="229"/>
    </row>
    <row r="34" spans="1:6" ht="38.25">
      <c r="A34" s="164" t="s">
        <v>641</v>
      </c>
      <c r="B34" s="173" t="s">
        <v>394</v>
      </c>
      <c r="C34" s="223"/>
      <c r="D34" s="224"/>
      <c r="E34" s="163"/>
      <c r="F34" s="163"/>
    </row>
    <row r="35" spans="1:6" ht="18.75">
      <c r="A35" s="161"/>
      <c r="B35" s="170" t="s">
        <v>265</v>
      </c>
      <c r="C35" s="162"/>
      <c r="D35" s="162"/>
      <c r="E35" s="229"/>
      <c r="F35" s="229"/>
    </row>
    <row r="36" spans="1:6" ht="38.25">
      <c r="A36" s="164" t="s">
        <v>593</v>
      </c>
      <c r="B36" s="173" t="s">
        <v>214</v>
      </c>
      <c r="C36" s="223"/>
      <c r="D36" s="224"/>
      <c r="E36" s="163"/>
      <c r="F36" s="163"/>
    </row>
    <row r="37" spans="1:6" ht="25.5">
      <c r="A37" s="164" t="s">
        <v>594</v>
      </c>
      <c r="B37" s="173" t="s">
        <v>215</v>
      </c>
      <c r="C37" s="223"/>
      <c r="D37" s="224"/>
      <c r="E37" s="163"/>
      <c r="F37" s="163"/>
    </row>
    <row r="38" spans="1:6" ht="38.25">
      <c r="A38" s="164" t="s">
        <v>595</v>
      </c>
      <c r="B38" s="173" t="s">
        <v>216</v>
      </c>
      <c r="C38" s="223"/>
      <c r="D38" s="224"/>
      <c r="E38" s="163"/>
      <c r="F38" s="163"/>
    </row>
    <row r="39" spans="1:6" ht="38.25">
      <c r="A39" s="164" t="s">
        <v>596</v>
      </c>
      <c r="B39" s="173" t="s">
        <v>217</v>
      </c>
      <c r="C39" s="223"/>
      <c r="D39" s="224"/>
      <c r="E39" s="163"/>
      <c r="F39" s="163"/>
    </row>
    <row r="40" spans="1:6" ht="18.75">
      <c r="A40" s="161"/>
      <c r="B40" s="170" t="s">
        <v>266</v>
      </c>
      <c r="C40" s="162"/>
      <c r="D40" s="162"/>
      <c r="E40" s="229"/>
      <c r="F40" s="229"/>
    </row>
    <row r="41" spans="1:6" ht="38.25">
      <c r="A41" s="164" t="s">
        <v>597</v>
      </c>
      <c r="B41" s="173" t="s">
        <v>218</v>
      </c>
      <c r="C41" s="223"/>
      <c r="D41" s="224"/>
      <c r="E41" s="163"/>
      <c r="F41" s="163"/>
    </row>
    <row r="42" spans="1:6" ht="38.25">
      <c r="A42" s="164" t="s">
        <v>598</v>
      </c>
      <c r="B42" s="173" t="s">
        <v>219</v>
      </c>
      <c r="C42" s="223"/>
      <c r="D42" s="224"/>
      <c r="E42" s="163"/>
      <c r="F42" s="163"/>
    </row>
    <row r="43" spans="1:6" ht="18.75">
      <c r="A43" s="161"/>
      <c r="B43" s="170" t="s">
        <v>212</v>
      </c>
      <c r="C43" s="162"/>
      <c r="D43" s="162"/>
      <c r="E43" s="229"/>
      <c r="F43" s="229"/>
    </row>
    <row r="44" spans="1:6" ht="51">
      <c r="A44" s="164" t="s">
        <v>599</v>
      </c>
      <c r="B44" s="173" t="s">
        <v>213</v>
      </c>
      <c r="C44" s="223"/>
      <c r="D44" s="224"/>
      <c r="E44" s="163"/>
      <c r="F44" s="163"/>
    </row>
    <row r="45" spans="1:6" ht="18">
      <c r="A45" s="225"/>
      <c r="B45" s="226" t="s">
        <v>285</v>
      </c>
      <c r="C45" s="225"/>
      <c r="D45" s="225"/>
      <c r="E45" s="225"/>
      <c r="F45" s="225"/>
    </row>
    <row r="46" spans="1:6">
      <c r="A46" s="164"/>
      <c r="B46" s="173"/>
    </row>
    <row r="47" spans="1:6" ht="15">
      <c r="A47" s="227"/>
      <c r="B47" s="228" t="s">
        <v>618</v>
      </c>
      <c r="C47" s="227"/>
      <c r="D47" s="227"/>
      <c r="E47" s="227"/>
      <c r="F47" s="227"/>
    </row>
  </sheetData>
  <mergeCells count="1">
    <mergeCell ref="E2:F2"/>
  </mergeCells>
  <conditionalFormatting sqref="C6">
    <cfRule type="cellIs" dxfId="2663" priority="1378" operator="equal">
      <formula>"No"</formula>
    </cfRule>
    <cfRule type="cellIs" dxfId="2662" priority="1379" operator="equal">
      <formula>"NA"</formula>
    </cfRule>
    <cfRule type="cellIs" dxfId="2661" priority="1380" operator="equal">
      <formula>"Yes"</formula>
    </cfRule>
  </conditionalFormatting>
  <conditionalFormatting sqref="C7">
    <cfRule type="cellIs" dxfId="2660" priority="1332" operator="equal">
      <formula>"No"</formula>
    </cfRule>
    <cfRule type="cellIs" dxfId="2659" priority="1333" operator="equal">
      <formula>"NA"</formula>
    </cfRule>
    <cfRule type="cellIs" dxfId="2658" priority="1334" operator="equal">
      <formula>"Yes"</formula>
    </cfRule>
  </conditionalFormatting>
  <conditionalFormatting sqref="C8">
    <cfRule type="cellIs" dxfId="2657" priority="1286" operator="equal">
      <formula>"No"</formula>
    </cfRule>
    <cfRule type="cellIs" dxfId="2656" priority="1287" operator="equal">
      <formula>"NA"</formula>
    </cfRule>
    <cfRule type="cellIs" dxfId="2655" priority="1288" operator="equal">
      <formula>"Yes"</formula>
    </cfRule>
  </conditionalFormatting>
  <conditionalFormatting sqref="C10">
    <cfRule type="cellIs" dxfId="2654" priority="1240" operator="equal">
      <formula>"No"</formula>
    </cfRule>
    <cfRule type="cellIs" dxfId="2653" priority="1241" operator="equal">
      <formula>"NA"</formula>
    </cfRule>
    <cfRule type="cellIs" dxfId="2652" priority="1242" operator="equal">
      <formula>"Yes"</formula>
    </cfRule>
  </conditionalFormatting>
  <conditionalFormatting sqref="C11">
    <cfRule type="cellIs" dxfId="2651" priority="1194" operator="equal">
      <formula>"No"</formula>
    </cfRule>
    <cfRule type="cellIs" dxfId="2650" priority="1195" operator="equal">
      <formula>"NA"</formula>
    </cfRule>
    <cfRule type="cellIs" dxfId="2649" priority="1196" operator="equal">
      <formula>"Yes"</formula>
    </cfRule>
  </conditionalFormatting>
  <conditionalFormatting sqref="C12">
    <cfRule type="cellIs" dxfId="2648" priority="1148" operator="equal">
      <formula>"No"</formula>
    </cfRule>
    <cfRule type="cellIs" dxfId="2647" priority="1149" operator="equal">
      <formula>"NA"</formula>
    </cfRule>
    <cfRule type="cellIs" dxfId="2646" priority="1150" operator="equal">
      <formula>"Yes"</formula>
    </cfRule>
  </conditionalFormatting>
  <conditionalFormatting sqref="C13">
    <cfRule type="cellIs" dxfId="2645" priority="1102" operator="equal">
      <formula>"No"</formula>
    </cfRule>
    <cfRule type="cellIs" dxfId="2644" priority="1103" operator="equal">
      <formula>"NA"</formula>
    </cfRule>
    <cfRule type="cellIs" dxfId="2643" priority="1104" operator="equal">
      <formula>"Yes"</formula>
    </cfRule>
  </conditionalFormatting>
  <conditionalFormatting sqref="C14">
    <cfRule type="cellIs" dxfId="2642" priority="1056" operator="equal">
      <formula>"No"</formula>
    </cfRule>
    <cfRule type="cellIs" dxfId="2641" priority="1057" operator="equal">
      <formula>"NA"</formula>
    </cfRule>
    <cfRule type="cellIs" dxfId="2640" priority="1058" operator="equal">
      <formula>"Yes"</formula>
    </cfRule>
  </conditionalFormatting>
  <conditionalFormatting sqref="C15">
    <cfRule type="cellIs" dxfId="2639" priority="1010" operator="equal">
      <formula>"No"</formula>
    </cfRule>
    <cfRule type="cellIs" dxfId="2638" priority="1011" operator="equal">
      <formula>"NA"</formula>
    </cfRule>
    <cfRule type="cellIs" dxfId="2637" priority="1012" operator="equal">
      <formula>"Yes"</formula>
    </cfRule>
  </conditionalFormatting>
  <conditionalFormatting sqref="C16">
    <cfRule type="cellIs" dxfId="2636" priority="964" operator="equal">
      <formula>"No"</formula>
    </cfRule>
    <cfRule type="cellIs" dxfId="2635" priority="965" operator="equal">
      <formula>"NA"</formula>
    </cfRule>
    <cfRule type="cellIs" dxfId="2634" priority="966" operator="equal">
      <formula>"Yes"</formula>
    </cfRule>
  </conditionalFormatting>
  <conditionalFormatting sqref="C17">
    <cfRule type="cellIs" dxfId="2633" priority="918" operator="equal">
      <formula>"No"</formula>
    </cfRule>
    <cfRule type="cellIs" dxfId="2632" priority="919" operator="equal">
      <formula>"NA"</formula>
    </cfRule>
    <cfRule type="cellIs" dxfId="2631" priority="920" operator="equal">
      <formula>"Yes"</formula>
    </cfRule>
  </conditionalFormatting>
  <conditionalFormatting sqref="C18">
    <cfRule type="cellIs" dxfId="2630" priority="872" operator="equal">
      <formula>"No"</formula>
    </cfRule>
    <cfRule type="cellIs" dxfId="2629" priority="873" operator="equal">
      <formula>"NA"</formula>
    </cfRule>
    <cfRule type="cellIs" dxfId="2628" priority="874" operator="equal">
      <formula>"Yes"</formula>
    </cfRule>
  </conditionalFormatting>
  <conditionalFormatting sqref="C19">
    <cfRule type="cellIs" dxfId="2627" priority="826" operator="equal">
      <formula>"No"</formula>
    </cfRule>
    <cfRule type="cellIs" dxfId="2626" priority="827" operator="equal">
      <formula>"NA"</formula>
    </cfRule>
    <cfRule type="cellIs" dxfId="2625" priority="828" operator="equal">
      <formula>"Yes"</formula>
    </cfRule>
  </conditionalFormatting>
  <conditionalFormatting sqref="C20">
    <cfRule type="cellIs" dxfId="2624" priority="780" operator="equal">
      <formula>"No"</formula>
    </cfRule>
    <cfRule type="cellIs" dxfId="2623" priority="781" operator="equal">
      <formula>"NA"</formula>
    </cfRule>
    <cfRule type="cellIs" dxfId="2622" priority="782" operator="equal">
      <formula>"Yes"</formula>
    </cfRule>
  </conditionalFormatting>
  <conditionalFormatting sqref="C21">
    <cfRule type="cellIs" dxfId="2621" priority="734" operator="equal">
      <formula>"No"</formula>
    </cfRule>
    <cfRule type="cellIs" dxfId="2620" priority="735" operator="equal">
      <formula>"NA"</formula>
    </cfRule>
    <cfRule type="cellIs" dxfId="2619" priority="736" operator="equal">
      <formula>"Yes"</formula>
    </cfRule>
  </conditionalFormatting>
  <conditionalFormatting sqref="C23">
    <cfRule type="cellIs" dxfId="2618" priority="688" operator="equal">
      <formula>"No"</formula>
    </cfRule>
    <cfRule type="cellIs" dxfId="2617" priority="689" operator="equal">
      <formula>"NA"</formula>
    </cfRule>
    <cfRule type="cellIs" dxfId="2616" priority="690" operator="equal">
      <formula>"Yes"</formula>
    </cfRule>
  </conditionalFormatting>
  <conditionalFormatting sqref="C25">
    <cfRule type="cellIs" dxfId="2615" priority="642" operator="equal">
      <formula>"No"</formula>
    </cfRule>
    <cfRule type="cellIs" dxfId="2614" priority="643" operator="equal">
      <formula>"NA"</formula>
    </cfRule>
    <cfRule type="cellIs" dxfId="2613" priority="644" operator="equal">
      <formula>"Yes"</formula>
    </cfRule>
  </conditionalFormatting>
  <conditionalFormatting sqref="C27">
    <cfRule type="cellIs" dxfId="2612" priority="596" operator="equal">
      <formula>"No"</formula>
    </cfRule>
    <cfRule type="cellIs" dxfId="2611" priority="597" operator="equal">
      <formula>"NA"</formula>
    </cfRule>
    <cfRule type="cellIs" dxfId="2610" priority="598" operator="equal">
      <formula>"Yes"</formula>
    </cfRule>
  </conditionalFormatting>
  <conditionalFormatting sqref="C28">
    <cfRule type="cellIs" dxfId="2609" priority="550" operator="equal">
      <formula>"No"</formula>
    </cfRule>
    <cfRule type="cellIs" dxfId="2608" priority="551" operator="equal">
      <formula>"NA"</formula>
    </cfRule>
    <cfRule type="cellIs" dxfId="2607" priority="552" operator="equal">
      <formula>"Yes"</formula>
    </cfRule>
  </conditionalFormatting>
  <conditionalFormatting sqref="C29">
    <cfRule type="cellIs" dxfId="2606" priority="504" operator="equal">
      <formula>"No"</formula>
    </cfRule>
    <cfRule type="cellIs" dxfId="2605" priority="505" operator="equal">
      <formula>"NA"</formula>
    </cfRule>
    <cfRule type="cellIs" dxfId="2604" priority="506" operator="equal">
      <formula>"Yes"</formula>
    </cfRule>
  </conditionalFormatting>
  <conditionalFormatting sqref="C31">
    <cfRule type="cellIs" dxfId="2603" priority="458" operator="equal">
      <formula>"No"</formula>
    </cfRule>
    <cfRule type="cellIs" dxfId="2602" priority="459" operator="equal">
      <formula>"NA"</formula>
    </cfRule>
    <cfRule type="cellIs" dxfId="2601" priority="460" operator="equal">
      <formula>"Yes"</formula>
    </cfRule>
  </conditionalFormatting>
  <conditionalFormatting sqref="C32">
    <cfRule type="cellIs" dxfId="2600" priority="412" operator="equal">
      <formula>"No"</formula>
    </cfRule>
    <cfRule type="cellIs" dxfId="2599" priority="413" operator="equal">
      <formula>"NA"</formula>
    </cfRule>
    <cfRule type="cellIs" dxfId="2598" priority="414" operator="equal">
      <formula>"Yes"</formula>
    </cfRule>
  </conditionalFormatting>
  <conditionalFormatting sqref="C34">
    <cfRule type="cellIs" dxfId="2597" priority="366" operator="equal">
      <formula>"No"</formula>
    </cfRule>
    <cfRule type="cellIs" dxfId="2596" priority="367" operator="equal">
      <formula>"NA"</formula>
    </cfRule>
    <cfRule type="cellIs" dxfId="2595" priority="368" operator="equal">
      <formula>"Yes"</formula>
    </cfRule>
  </conditionalFormatting>
  <conditionalFormatting sqref="C36">
    <cfRule type="cellIs" dxfId="2594" priority="320" operator="equal">
      <formula>"No"</formula>
    </cfRule>
    <cfRule type="cellIs" dxfId="2593" priority="321" operator="equal">
      <formula>"NA"</formula>
    </cfRule>
    <cfRule type="cellIs" dxfId="2592" priority="322" operator="equal">
      <formula>"Yes"</formula>
    </cfRule>
  </conditionalFormatting>
  <conditionalFormatting sqref="C37">
    <cfRule type="cellIs" dxfId="2591" priority="274" operator="equal">
      <formula>"No"</formula>
    </cfRule>
    <cfRule type="cellIs" dxfId="2590" priority="275" operator="equal">
      <formula>"NA"</formula>
    </cfRule>
    <cfRule type="cellIs" dxfId="2589" priority="276" operator="equal">
      <formula>"Yes"</formula>
    </cfRule>
  </conditionalFormatting>
  <conditionalFormatting sqref="C38">
    <cfRule type="cellIs" dxfId="2588" priority="228" operator="equal">
      <formula>"No"</formula>
    </cfRule>
    <cfRule type="cellIs" dxfId="2587" priority="229" operator="equal">
      <formula>"NA"</formula>
    </cfRule>
    <cfRule type="cellIs" dxfId="2586" priority="230" operator="equal">
      <formula>"Yes"</formula>
    </cfRule>
  </conditionalFormatting>
  <conditionalFormatting sqref="C39">
    <cfRule type="cellIs" dxfId="2585" priority="182" operator="equal">
      <formula>"No"</formula>
    </cfRule>
    <cfRule type="cellIs" dxfId="2584" priority="183" operator="equal">
      <formula>"NA"</formula>
    </cfRule>
    <cfRule type="cellIs" dxfId="2583" priority="184" operator="equal">
      <formula>"Yes"</formula>
    </cfRule>
  </conditionalFormatting>
  <conditionalFormatting sqref="C41">
    <cfRule type="cellIs" dxfId="2582" priority="136" operator="equal">
      <formula>"No"</formula>
    </cfRule>
    <cfRule type="cellIs" dxfId="2581" priority="137" operator="equal">
      <formula>"NA"</formula>
    </cfRule>
    <cfRule type="cellIs" dxfId="2580" priority="138" operator="equal">
      <formula>"Yes"</formula>
    </cfRule>
  </conditionalFormatting>
  <conditionalFormatting sqref="C42">
    <cfRule type="cellIs" dxfId="2579" priority="90" operator="equal">
      <formula>"No"</formula>
    </cfRule>
    <cfRule type="cellIs" dxfId="2578" priority="91" operator="equal">
      <formula>"NA"</formula>
    </cfRule>
    <cfRule type="cellIs" dxfId="2577" priority="92" operator="equal">
      <formula>"Yes"</formula>
    </cfRule>
  </conditionalFormatting>
  <conditionalFormatting sqref="C44">
    <cfRule type="cellIs" dxfId="2576" priority="44" operator="equal">
      <formula>"No"</formula>
    </cfRule>
    <cfRule type="cellIs" dxfId="2575" priority="45" operator="equal">
      <formula>"NA"</formula>
    </cfRule>
    <cfRule type="cellIs" dxfId="257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366</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221</v>
      </c>
      <c r="C5" s="162"/>
      <c r="D5" s="162"/>
      <c r="E5" s="229"/>
      <c r="F5" s="229"/>
    </row>
    <row r="6" spans="1:7" ht="38.25">
      <c r="A6" s="164" t="s">
        <v>619</v>
      </c>
      <c r="B6" s="173" t="s">
        <v>222</v>
      </c>
      <c r="C6" s="223"/>
      <c r="D6" s="224"/>
      <c r="E6" s="163"/>
      <c r="F6" s="163"/>
    </row>
    <row r="7" spans="1:7" ht="38.25">
      <c r="A7" s="164" t="s">
        <v>620</v>
      </c>
      <c r="B7" s="173" t="s">
        <v>381</v>
      </c>
      <c r="C7" s="223"/>
      <c r="D7" s="224"/>
      <c r="E7" s="163"/>
      <c r="F7" s="163"/>
    </row>
    <row r="8" spans="1:7" ht="89.25">
      <c r="A8" s="164" t="s">
        <v>621</v>
      </c>
      <c r="B8" s="173" t="s">
        <v>382</v>
      </c>
      <c r="C8" s="223"/>
      <c r="D8" s="224"/>
      <c r="E8" s="165" t="s">
        <v>383</v>
      </c>
      <c r="F8" s="163"/>
    </row>
    <row r="9" spans="1:7" ht="18.75">
      <c r="A9" s="161"/>
      <c r="B9" s="170" t="s">
        <v>290</v>
      </c>
      <c r="C9" s="162"/>
      <c r="D9" s="162"/>
      <c r="E9" s="229"/>
      <c r="F9" s="229"/>
    </row>
    <row r="10" spans="1:7" ht="51">
      <c r="A10" s="164" t="s">
        <v>843</v>
      </c>
      <c r="B10" s="173" t="s">
        <v>844</v>
      </c>
      <c r="C10" s="223"/>
      <c r="D10" s="224"/>
      <c r="E10" s="165" t="s">
        <v>845</v>
      </c>
      <c r="F10" s="163"/>
    </row>
    <row r="11" spans="1:7" ht="51">
      <c r="A11" s="164" t="s">
        <v>622</v>
      </c>
      <c r="B11" s="173" t="s">
        <v>335</v>
      </c>
      <c r="C11" s="223"/>
      <c r="D11" s="224"/>
      <c r="E11" s="163"/>
      <c r="F11" s="163"/>
    </row>
    <row r="12" spans="1:7" ht="51">
      <c r="A12" s="164" t="s">
        <v>623</v>
      </c>
      <c r="B12" s="173" t="s">
        <v>224</v>
      </c>
      <c r="C12" s="223"/>
      <c r="D12" s="224"/>
      <c r="E12" s="165" t="s">
        <v>384</v>
      </c>
      <c r="F12" s="163"/>
    </row>
    <row r="13" spans="1:7" ht="38.25">
      <c r="A13" s="164" t="s">
        <v>624</v>
      </c>
      <c r="B13" s="173" t="s">
        <v>226</v>
      </c>
      <c r="C13" s="223"/>
      <c r="D13" s="224"/>
      <c r="E13" s="163"/>
      <c r="F13" s="163"/>
    </row>
    <row r="14" spans="1:7" ht="38.25">
      <c r="A14" s="164" t="s">
        <v>625</v>
      </c>
      <c r="B14" s="173" t="s">
        <v>223</v>
      </c>
      <c r="C14" s="223"/>
      <c r="D14" s="224"/>
      <c r="E14" s="163" t="s">
        <v>385</v>
      </c>
      <c r="F14" s="163"/>
    </row>
    <row r="15" spans="1:7" ht="25.5">
      <c r="A15" s="164" t="s">
        <v>626</v>
      </c>
      <c r="B15" s="173" t="s">
        <v>210</v>
      </c>
      <c r="C15" s="223"/>
      <c r="D15" s="224"/>
      <c r="E15" s="163"/>
      <c r="F15" s="163"/>
    </row>
    <row r="16" spans="1:7" ht="38.25">
      <c r="A16" s="164" t="s">
        <v>628</v>
      </c>
      <c r="B16" s="173" t="s">
        <v>386</v>
      </c>
      <c r="C16" s="223"/>
      <c r="D16" s="224"/>
      <c r="E16" s="163"/>
      <c r="F16" s="163"/>
    </row>
    <row r="17" spans="1:6" ht="38.25">
      <c r="A17" s="164" t="s">
        <v>629</v>
      </c>
      <c r="B17" s="173" t="s">
        <v>387</v>
      </c>
      <c r="C17" s="223"/>
      <c r="D17" s="224"/>
      <c r="E17" s="163"/>
      <c r="F17" s="163"/>
    </row>
    <row r="18" spans="1:6" ht="25.5">
      <c r="A18" s="164" t="s">
        <v>631</v>
      </c>
      <c r="B18" s="173" t="s">
        <v>389</v>
      </c>
      <c r="C18" s="223"/>
      <c r="D18" s="224"/>
      <c r="E18" s="163"/>
      <c r="F18" s="163"/>
    </row>
    <row r="19" spans="1:6" ht="25.5">
      <c r="A19" s="164" t="s">
        <v>632</v>
      </c>
      <c r="B19" s="173" t="s">
        <v>292</v>
      </c>
      <c r="C19" s="223"/>
      <c r="D19" s="224"/>
      <c r="E19" s="163"/>
      <c r="F19" s="163"/>
    </row>
    <row r="20" spans="1:6" ht="18.75">
      <c r="A20" s="161"/>
      <c r="B20" s="170" t="s">
        <v>211</v>
      </c>
      <c r="C20" s="162"/>
      <c r="D20" s="162"/>
      <c r="E20" s="229"/>
      <c r="F20" s="229"/>
    </row>
    <row r="21" spans="1:6" ht="25.5">
      <c r="A21" s="164" t="s">
        <v>846</v>
      </c>
      <c r="B21" s="173" t="s">
        <v>847</v>
      </c>
      <c r="C21" s="223"/>
      <c r="D21" s="224"/>
      <c r="E21" s="163"/>
      <c r="F21" s="163"/>
    </row>
    <row r="22" spans="1:6" ht="38.25">
      <c r="A22" s="164" t="s">
        <v>640</v>
      </c>
      <c r="B22" s="173" t="s">
        <v>393</v>
      </c>
      <c r="C22" s="223"/>
      <c r="D22" s="224"/>
      <c r="E22" s="163"/>
      <c r="F22" s="163"/>
    </row>
    <row r="23" spans="1:6" ht="18.75">
      <c r="A23" s="161"/>
      <c r="B23" s="170" t="s">
        <v>848</v>
      </c>
      <c r="C23" s="162"/>
      <c r="D23" s="162"/>
      <c r="E23" s="229"/>
      <c r="F23" s="229"/>
    </row>
    <row r="24" spans="1:6" ht="38.25">
      <c r="A24" s="164" t="s">
        <v>849</v>
      </c>
      <c r="B24" s="173" t="s">
        <v>850</v>
      </c>
      <c r="C24" s="223"/>
      <c r="D24" s="224"/>
      <c r="E24" s="163"/>
      <c r="F24" s="163"/>
    </row>
    <row r="25" spans="1:6" ht="51">
      <c r="A25" s="164" t="s">
        <v>851</v>
      </c>
      <c r="B25" s="173" t="s">
        <v>852</v>
      </c>
      <c r="C25" s="223"/>
      <c r="D25" s="224"/>
      <c r="E25" s="163"/>
      <c r="F25" s="163"/>
    </row>
    <row r="26" spans="1:6" ht="25.5">
      <c r="A26" s="164" t="s">
        <v>853</v>
      </c>
      <c r="B26" s="173" t="s">
        <v>854</v>
      </c>
      <c r="C26" s="223"/>
      <c r="D26" s="224"/>
      <c r="E26" s="163"/>
      <c r="F26" s="163"/>
    </row>
    <row r="27" spans="1:6" ht="51">
      <c r="A27" s="164" t="s">
        <v>855</v>
      </c>
      <c r="B27" s="173" t="s">
        <v>856</v>
      </c>
      <c r="C27" s="223"/>
      <c r="D27" s="224"/>
      <c r="E27" s="163"/>
      <c r="F27" s="163"/>
    </row>
    <row r="28" spans="1:6" ht="18.75">
      <c r="A28" s="161"/>
      <c r="B28" s="170" t="s">
        <v>265</v>
      </c>
      <c r="C28" s="162"/>
      <c r="D28" s="162"/>
      <c r="E28" s="229"/>
      <c r="F28" s="229"/>
    </row>
    <row r="29" spans="1:6" ht="38.25">
      <c r="A29" s="164" t="s">
        <v>593</v>
      </c>
      <c r="B29" s="173" t="s">
        <v>214</v>
      </c>
      <c r="C29" s="223"/>
      <c r="D29" s="224"/>
      <c r="E29" s="163"/>
      <c r="F29" s="163"/>
    </row>
    <row r="30" spans="1:6" ht="25.5">
      <c r="A30" s="164" t="s">
        <v>594</v>
      </c>
      <c r="B30" s="173" t="s">
        <v>215</v>
      </c>
      <c r="C30" s="223"/>
      <c r="D30" s="224"/>
      <c r="E30" s="163"/>
      <c r="F30" s="163"/>
    </row>
    <row r="31" spans="1:6" ht="38.25">
      <c r="A31" s="164" t="s">
        <v>595</v>
      </c>
      <c r="B31" s="173" t="s">
        <v>216</v>
      </c>
      <c r="C31" s="223"/>
      <c r="D31" s="224"/>
      <c r="E31" s="163"/>
      <c r="F31" s="163"/>
    </row>
    <row r="32" spans="1:6" ht="38.25">
      <c r="A32" s="164" t="s">
        <v>596</v>
      </c>
      <c r="B32" s="173" t="s">
        <v>217</v>
      </c>
      <c r="C32" s="223"/>
      <c r="D32" s="224"/>
      <c r="E32" s="163"/>
      <c r="F32" s="163"/>
    </row>
    <row r="33" spans="1:6" ht="18.75">
      <c r="A33" s="161"/>
      <c r="B33" s="170" t="s">
        <v>266</v>
      </c>
      <c r="C33" s="162"/>
      <c r="D33" s="162"/>
      <c r="E33" s="229"/>
      <c r="F33" s="229"/>
    </row>
    <row r="34" spans="1:6" ht="38.25">
      <c r="A34" s="164" t="s">
        <v>597</v>
      </c>
      <c r="B34" s="173" t="s">
        <v>218</v>
      </c>
      <c r="C34" s="223"/>
      <c r="D34" s="224"/>
      <c r="E34" s="163"/>
      <c r="F34" s="163"/>
    </row>
    <row r="35" spans="1:6" ht="38.25">
      <c r="A35" s="164" t="s">
        <v>598</v>
      </c>
      <c r="B35" s="173" t="s">
        <v>219</v>
      </c>
      <c r="C35" s="223"/>
      <c r="D35" s="224"/>
      <c r="E35" s="163"/>
      <c r="F35" s="163"/>
    </row>
    <row r="36" spans="1:6" ht="18.75">
      <c r="A36" s="161"/>
      <c r="B36" s="170" t="s">
        <v>212</v>
      </c>
      <c r="C36" s="162"/>
      <c r="D36" s="162"/>
      <c r="E36" s="229"/>
      <c r="F36" s="229"/>
    </row>
    <row r="37" spans="1:6" ht="51">
      <c r="A37" s="164" t="s">
        <v>599</v>
      </c>
      <c r="B37" s="173" t="s">
        <v>213</v>
      </c>
      <c r="C37" s="223"/>
      <c r="D37" s="224"/>
      <c r="E37" s="163"/>
      <c r="F37" s="163"/>
    </row>
    <row r="38" spans="1:6" ht="18">
      <c r="A38" s="225"/>
      <c r="B38" s="226" t="s">
        <v>285</v>
      </c>
      <c r="C38" s="225"/>
      <c r="D38" s="225"/>
      <c r="E38" s="225"/>
      <c r="F38" s="225"/>
    </row>
    <row r="39" spans="1:6">
      <c r="A39" s="164"/>
      <c r="B39" s="173"/>
    </row>
    <row r="40" spans="1:6" ht="15">
      <c r="A40" s="227"/>
      <c r="B40" s="228" t="s">
        <v>618</v>
      </c>
      <c r="C40" s="227"/>
      <c r="D40" s="227"/>
      <c r="E40" s="227"/>
      <c r="F40" s="227"/>
    </row>
  </sheetData>
  <mergeCells count="1">
    <mergeCell ref="E2:F2"/>
  </mergeCells>
  <conditionalFormatting sqref="C6">
    <cfRule type="cellIs" dxfId="2573" priority="1194" operator="equal">
      <formula>"No"</formula>
    </cfRule>
    <cfRule type="cellIs" dxfId="2572" priority="1195" operator="equal">
      <formula>"NA"</formula>
    </cfRule>
    <cfRule type="cellIs" dxfId="2571" priority="1196" operator="equal">
      <formula>"Yes"</formula>
    </cfRule>
  </conditionalFormatting>
  <conditionalFormatting sqref="C7">
    <cfRule type="cellIs" dxfId="2570" priority="1148" operator="equal">
      <formula>"No"</formula>
    </cfRule>
    <cfRule type="cellIs" dxfId="2569" priority="1149" operator="equal">
      <formula>"NA"</formula>
    </cfRule>
    <cfRule type="cellIs" dxfId="2568" priority="1150" operator="equal">
      <formula>"Yes"</formula>
    </cfRule>
  </conditionalFormatting>
  <conditionalFormatting sqref="C8">
    <cfRule type="cellIs" dxfId="2567" priority="1102" operator="equal">
      <formula>"No"</formula>
    </cfRule>
    <cfRule type="cellIs" dxfId="2566" priority="1103" operator="equal">
      <formula>"NA"</formula>
    </cfRule>
    <cfRule type="cellIs" dxfId="2565" priority="1104" operator="equal">
      <formula>"Yes"</formula>
    </cfRule>
  </conditionalFormatting>
  <conditionalFormatting sqref="C10">
    <cfRule type="cellIs" dxfId="2564" priority="1056" operator="equal">
      <formula>"No"</formula>
    </cfRule>
    <cfRule type="cellIs" dxfId="2563" priority="1057" operator="equal">
      <formula>"NA"</formula>
    </cfRule>
    <cfRule type="cellIs" dxfId="2562" priority="1058" operator="equal">
      <formula>"Yes"</formula>
    </cfRule>
  </conditionalFormatting>
  <conditionalFormatting sqref="C11">
    <cfRule type="cellIs" dxfId="2561" priority="1010" operator="equal">
      <formula>"No"</formula>
    </cfRule>
    <cfRule type="cellIs" dxfId="2560" priority="1011" operator="equal">
      <formula>"NA"</formula>
    </cfRule>
    <cfRule type="cellIs" dxfId="2559" priority="1012" operator="equal">
      <formula>"Yes"</formula>
    </cfRule>
  </conditionalFormatting>
  <conditionalFormatting sqref="C12">
    <cfRule type="cellIs" dxfId="2558" priority="964" operator="equal">
      <formula>"No"</formula>
    </cfRule>
    <cfRule type="cellIs" dxfId="2557" priority="965" operator="equal">
      <formula>"NA"</formula>
    </cfRule>
    <cfRule type="cellIs" dxfId="2556" priority="966" operator="equal">
      <formula>"Yes"</formula>
    </cfRule>
  </conditionalFormatting>
  <conditionalFormatting sqref="C13">
    <cfRule type="cellIs" dxfId="2555" priority="918" operator="equal">
      <formula>"No"</formula>
    </cfRule>
    <cfRule type="cellIs" dxfId="2554" priority="919" operator="equal">
      <formula>"NA"</formula>
    </cfRule>
    <cfRule type="cellIs" dxfId="2553" priority="920" operator="equal">
      <formula>"Yes"</formula>
    </cfRule>
  </conditionalFormatting>
  <conditionalFormatting sqref="C14">
    <cfRule type="cellIs" dxfId="2552" priority="872" operator="equal">
      <formula>"No"</formula>
    </cfRule>
    <cfRule type="cellIs" dxfId="2551" priority="873" operator="equal">
      <formula>"NA"</formula>
    </cfRule>
    <cfRule type="cellIs" dxfId="2550" priority="874" operator="equal">
      <formula>"Yes"</formula>
    </cfRule>
  </conditionalFormatting>
  <conditionalFormatting sqref="C15">
    <cfRule type="cellIs" dxfId="2549" priority="826" operator="equal">
      <formula>"No"</formula>
    </cfRule>
    <cfRule type="cellIs" dxfId="2548" priority="827" operator="equal">
      <formula>"NA"</formula>
    </cfRule>
    <cfRule type="cellIs" dxfId="2547" priority="828" operator="equal">
      <formula>"Yes"</formula>
    </cfRule>
  </conditionalFormatting>
  <conditionalFormatting sqref="C16">
    <cfRule type="cellIs" dxfId="2546" priority="780" operator="equal">
      <formula>"No"</formula>
    </cfRule>
    <cfRule type="cellIs" dxfId="2545" priority="781" operator="equal">
      <formula>"NA"</formula>
    </cfRule>
    <cfRule type="cellIs" dxfId="2544" priority="782" operator="equal">
      <formula>"Yes"</formula>
    </cfRule>
  </conditionalFormatting>
  <conditionalFormatting sqref="C17">
    <cfRule type="cellIs" dxfId="2543" priority="734" operator="equal">
      <formula>"No"</formula>
    </cfRule>
    <cfRule type="cellIs" dxfId="2542" priority="735" operator="equal">
      <formula>"NA"</formula>
    </cfRule>
    <cfRule type="cellIs" dxfId="2541" priority="736" operator="equal">
      <formula>"Yes"</formula>
    </cfRule>
  </conditionalFormatting>
  <conditionalFormatting sqref="C18">
    <cfRule type="cellIs" dxfId="2540" priority="688" operator="equal">
      <formula>"No"</formula>
    </cfRule>
    <cfRule type="cellIs" dxfId="2539" priority="689" operator="equal">
      <formula>"NA"</formula>
    </cfRule>
    <cfRule type="cellIs" dxfId="2538" priority="690" operator="equal">
      <formula>"Yes"</formula>
    </cfRule>
  </conditionalFormatting>
  <conditionalFormatting sqref="C19">
    <cfRule type="cellIs" dxfId="2537" priority="642" operator="equal">
      <formula>"No"</formula>
    </cfRule>
    <cfRule type="cellIs" dxfId="2536" priority="643" operator="equal">
      <formula>"NA"</formula>
    </cfRule>
    <cfRule type="cellIs" dxfId="2535" priority="644" operator="equal">
      <formula>"Yes"</formula>
    </cfRule>
  </conditionalFormatting>
  <conditionalFormatting sqref="C21">
    <cfRule type="cellIs" dxfId="2534" priority="596" operator="equal">
      <formula>"No"</formula>
    </cfRule>
    <cfRule type="cellIs" dxfId="2533" priority="597" operator="equal">
      <formula>"NA"</formula>
    </cfRule>
    <cfRule type="cellIs" dxfId="2532" priority="598" operator="equal">
      <formula>"Yes"</formula>
    </cfRule>
  </conditionalFormatting>
  <conditionalFormatting sqref="C22">
    <cfRule type="cellIs" dxfId="2531" priority="550" operator="equal">
      <formula>"No"</formula>
    </cfRule>
    <cfRule type="cellIs" dxfId="2530" priority="551" operator="equal">
      <formula>"NA"</formula>
    </cfRule>
    <cfRule type="cellIs" dxfId="2529" priority="552" operator="equal">
      <formula>"Yes"</formula>
    </cfRule>
  </conditionalFormatting>
  <conditionalFormatting sqref="C24">
    <cfRule type="cellIs" dxfId="2528" priority="504" operator="equal">
      <formula>"No"</formula>
    </cfRule>
    <cfRule type="cellIs" dxfId="2527" priority="505" operator="equal">
      <formula>"NA"</formula>
    </cfRule>
    <cfRule type="cellIs" dxfId="2526" priority="506" operator="equal">
      <formula>"Yes"</formula>
    </cfRule>
  </conditionalFormatting>
  <conditionalFormatting sqref="C25">
    <cfRule type="cellIs" dxfId="2525" priority="458" operator="equal">
      <formula>"No"</formula>
    </cfRule>
    <cfRule type="cellIs" dxfId="2524" priority="459" operator="equal">
      <formula>"NA"</formula>
    </cfRule>
    <cfRule type="cellIs" dxfId="2523" priority="460" operator="equal">
      <formula>"Yes"</formula>
    </cfRule>
  </conditionalFormatting>
  <conditionalFormatting sqref="C26">
    <cfRule type="cellIs" dxfId="2522" priority="412" operator="equal">
      <formula>"No"</formula>
    </cfRule>
    <cfRule type="cellIs" dxfId="2521" priority="413" operator="equal">
      <formula>"NA"</formula>
    </cfRule>
    <cfRule type="cellIs" dxfId="2520" priority="414" operator="equal">
      <formula>"Yes"</formula>
    </cfRule>
  </conditionalFormatting>
  <conditionalFormatting sqref="C27">
    <cfRule type="cellIs" dxfId="2519" priority="366" operator="equal">
      <formula>"No"</formula>
    </cfRule>
    <cfRule type="cellIs" dxfId="2518" priority="367" operator="equal">
      <formula>"NA"</formula>
    </cfRule>
    <cfRule type="cellIs" dxfId="2517" priority="368" operator="equal">
      <formula>"Yes"</formula>
    </cfRule>
  </conditionalFormatting>
  <conditionalFormatting sqref="C29">
    <cfRule type="cellIs" dxfId="2516" priority="320" operator="equal">
      <formula>"No"</formula>
    </cfRule>
    <cfRule type="cellIs" dxfId="2515" priority="321" operator="equal">
      <formula>"NA"</formula>
    </cfRule>
    <cfRule type="cellIs" dxfId="2514" priority="322" operator="equal">
      <formula>"Yes"</formula>
    </cfRule>
  </conditionalFormatting>
  <conditionalFormatting sqref="C30">
    <cfRule type="cellIs" dxfId="2513" priority="274" operator="equal">
      <formula>"No"</formula>
    </cfRule>
    <cfRule type="cellIs" dxfId="2512" priority="275" operator="equal">
      <formula>"NA"</formula>
    </cfRule>
    <cfRule type="cellIs" dxfId="2511" priority="276" operator="equal">
      <formula>"Yes"</formula>
    </cfRule>
  </conditionalFormatting>
  <conditionalFormatting sqref="C31">
    <cfRule type="cellIs" dxfId="2510" priority="228" operator="equal">
      <formula>"No"</formula>
    </cfRule>
    <cfRule type="cellIs" dxfId="2509" priority="229" operator="equal">
      <formula>"NA"</formula>
    </cfRule>
    <cfRule type="cellIs" dxfId="2508" priority="230" operator="equal">
      <formula>"Yes"</formula>
    </cfRule>
  </conditionalFormatting>
  <conditionalFormatting sqref="C32">
    <cfRule type="cellIs" dxfId="2507" priority="182" operator="equal">
      <formula>"No"</formula>
    </cfRule>
    <cfRule type="cellIs" dxfId="2506" priority="183" operator="equal">
      <formula>"NA"</formula>
    </cfRule>
    <cfRule type="cellIs" dxfId="2505" priority="184" operator="equal">
      <formula>"Yes"</formula>
    </cfRule>
  </conditionalFormatting>
  <conditionalFormatting sqref="C34">
    <cfRule type="cellIs" dxfId="2504" priority="136" operator="equal">
      <formula>"No"</formula>
    </cfRule>
    <cfRule type="cellIs" dxfId="2503" priority="137" operator="equal">
      <formula>"NA"</formula>
    </cfRule>
    <cfRule type="cellIs" dxfId="2502" priority="138" operator="equal">
      <formula>"Yes"</formula>
    </cfRule>
  </conditionalFormatting>
  <conditionalFormatting sqref="C35">
    <cfRule type="cellIs" dxfId="2501" priority="90" operator="equal">
      <formula>"No"</formula>
    </cfRule>
    <cfRule type="cellIs" dxfId="2500" priority="91" operator="equal">
      <formula>"NA"</formula>
    </cfRule>
    <cfRule type="cellIs" dxfId="2499" priority="92" operator="equal">
      <formula>"Yes"</formula>
    </cfRule>
  </conditionalFormatting>
  <conditionalFormatting sqref="C37">
    <cfRule type="cellIs" dxfId="2498" priority="44" operator="equal">
      <formula>"No"</formula>
    </cfRule>
    <cfRule type="cellIs" dxfId="2497" priority="45" operator="equal">
      <formula>"NA"</formula>
    </cfRule>
    <cfRule type="cellIs" dxfId="249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365</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221</v>
      </c>
      <c r="C5" s="162"/>
      <c r="D5" s="162"/>
      <c r="E5" s="229"/>
      <c r="F5" s="229"/>
    </row>
    <row r="6" spans="1:7" ht="38.25">
      <c r="A6" s="164" t="s">
        <v>619</v>
      </c>
      <c r="B6" s="173" t="s">
        <v>222</v>
      </c>
      <c r="C6" s="223"/>
      <c r="D6" s="224"/>
      <c r="E6" s="163"/>
      <c r="F6" s="163"/>
    </row>
    <row r="7" spans="1:7" ht="38.25">
      <c r="A7" s="164" t="s">
        <v>620</v>
      </c>
      <c r="B7" s="173" t="s">
        <v>381</v>
      </c>
      <c r="C7" s="223"/>
      <c r="D7" s="224"/>
      <c r="E7" s="163"/>
      <c r="F7" s="163"/>
    </row>
    <row r="8" spans="1:7" ht="89.25">
      <c r="A8" s="164" t="s">
        <v>621</v>
      </c>
      <c r="B8" s="173" t="s">
        <v>382</v>
      </c>
      <c r="C8" s="223"/>
      <c r="D8" s="224"/>
      <c r="E8" s="165" t="s">
        <v>383</v>
      </c>
      <c r="F8" s="163"/>
    </row>
    <row r="9" spans="1:7" ht="38.25">
      <c r="A9" s="164" t="s">
        <v>642</v>
      </c>
      <c r="B9" s="173" t="s">
        <v>395</v>
      </c>
      <c r="C9" s="223"/>
      <c r="D9" s="224"/>
      <c r="E9" s="163"/>
      <c r="F9" s="163"/>
    </row>
    <row r="10" spans="1:7" ht="18.75">
      <c r="A10" s="161"/>
      <c r="B10" s="170" t="s">
        <v>290</v>
      </c>
      <c r="C10" s="162"/>
      <c r="D10" s="162"/>
      <c r="E10" s="229"/>
      <c r="F10" s="229"/>
    </row>
    <row r="11" spans="1:7" ht="51">
      <c r="A11" s="164" t="s">
        <v>622</v>
      </c>
      <c r="B11" s="173" t="s">
        <v>335</v>
      </c>
      <c r="C11" s="223"/>
      <c r="D11" s="224"/>
      <c r="E11" s="163"/>
      <c r="F11" s="163"/>
    </row>
    <row r="12" spans="1:7" ht="51">
      <c r="A12" s="164" t="s">
        <v>623</v>
      </c>
      <c r="B12" s="173" t="s">
        <v>224</v>
      </c>
      <c r="C12" s="223"/>
      <c r="D12" s="224"/>
      <c r="E12" s="165" t="s">
        <v>384</v>
      </c>
      <c r="F12" s="163"/>
    </row>
    <row r="13" spans="1:7" ht="38.25">
      <c r="A13" s="164" t="s">
        <v>624</v>
      </c>
      <c r="B13" s="173" t="s">
        <v>226</v>
      </c>
      <c r="C13" s="223"/>
      <c r="D13" s="224"/>
      <c r="E13" s="163"/>
      <c r="F13" s="163"/>
    </row>
    <row r="14" spans="1:7" ht="38.25">
      <c r="A14" s="164" t="s">
        <v>625</v>
      </c>
      <c r="B14" s="173" t="s">
        <v>223</v>
      </c>
      <c r="C14" s="223"/>
      <c r="D14" s="224"/>
      <c r="E14" s="163" t="s">
        <v>385</v>
      </c>
      <c r="F14" s="163"/>
    </row>
    <row r="15" spans="1:7" ht="25.5">
      <c r="A15" s="164" t="s">
        <v>626</v>
      </c>
      <c r="B15" s="173" t="s">
        <v>210</v>
      </c>
      <c r="C15" s="223"/>
      <c r="D15" s="224"/>
      <c r="E15" s="163"/>
      <c r="F15" s="163"/>
    </row>
    <row r="16" spans="1:7" ht="63.75">
      <c r="A16" s="164" t="s">
        <v>627</v>
      </c>
      <c r="B16" s="173" t="s">
        <v>291</v>
      </c>
      <c r="C16" s="223"/>
      <c r="D16" s="224"/>
      <c r="E16" s="163"/>
      <c r="F16" s="163"/>
    </row>
    <row r="17" spans="1:6" ht="38.25">
      <c r="A17" s="164" t="s">
        <v>628</v>
      </c>
      <c r="B17" s="173" t="s">
        <v>386</v>
      </c>
      <c r="C17" s="223"/>
      <c r="D17" s="224"/>
      <c r="E17" s="163"/>
      <c r="F17" s="163"/>
    </row>
    <row r="18" spans="1:6" ht="38.25">
      <c r="A18" s="164" t="s">
        <v>629</v>
      </c>
      <c r="B18" s="173" t="s">
        <v>387</v>
      </c>
      <c r="C18" s="223"/>
      <c r="D18" s="224"/>
      <c r="E18" s="163"/>
      <c r="F18" s="163"/>
    </row>
    <row r="19" spans="1:6" ht="25.5">
      <c r="A19" s="164" t="s">
        <v>630</v>
      </c>
      <c r="B19" s="173" t="s">
        <v>388</v>
      </c>
      <c r="C19" s="223"/>
      <c r="D19" s="224"/>
      <c r="E19" s="163"/>
      <c r="F19" s="163"/>
    </row>
    <row r="20" spans="1:6" ht="25.5">
      <c r="A20" s="164" t="s">
        <v>631</v>
      </c>
      <c r="B20" s="173" t="s">
        <v>389</v>
      </c>
      <c r="C20" s="223"/>
      <c r="D20" s="224"/>
      <c r="E20" s="163"/>
      <c r="F20" s="163"/>
    </row>
    <row r="21" spans="1:6" ht="18.75">
      <c r="A21" s="161"/>
      <c r="B21" s="170" t="s">
        <v>206</v>
      </c>
      <c r="C21" s="162"/>
      <c r="D21" s="162"/>
      <c r="E21" s="229"/>
      <c r="F21" s="229"/>
    </row>
    <row r="22" spans="1:6" ht="76.5">
      <c r="A22" s="164" t="s">
        <v>635</v>
      </c>
      <c r="B22" s="173" t="s">
        <v>207</v>
      </c>
      <c r="C22" s="223"/>
      <c r="D22" s="224"/>
      <c r="E22" s="163"/>
      <c r="F22" s="163"/>
    </row>
    <row r="23" spans="1:6" ht="18.75">
      <c r="A23" s="161"/>
      <c r="B23" s="170" t="s">
        <v>211</v>
      </c>
      <c r="C23" s="162"/>
      <c r="D23" s="162"/>
      <c r="E23" s="229"/>
      <c r="F23" s="229"/>
    </row>
    <row r="24" spans="1:6" ht="38.25">
      <c r="A24" s="164" t="s">
        <v>640</v>
      </c>
      <c r="B24" s="173" t="s">
        <v>393</v>
      </c>
      <c r="C24" s="223"/>
      <c r="D24" s="224"/>
      <c r="E24" s="163"/>
      <c r="F24" s="163"/>
    </row>
    <row r="25" spans="1:6" ht="18.75">
      <c r="A25" s="161"/>
      <c r="B25" s="170" t="s">
        <v>336</v>
      </c>
      <c r="C25" s="162"/>
      <c r="D25" s="162"/>
      <c r="E25" s="229"/>
      <c r="F25" s="229"/>
    </row>
    <row r="26" spans="1:6" ht="38.25">
      <c r="A26" s="164" t="s">
        <v>641</v>
      </c>
      <c r="B26" s="173" t="s">
        <v>394</v>
      </c>
      <c r="C26" s="223"/>
      <c r="D26" s="224"/>
      <c r="E26" s="163"/>
      <c r="F26" s="163"/>
    </row>
    <row r="27" spans="1:6" ht="18.75">
      <c r="A27" s="161"/>
      <c r="B27" s="170" t="s">
        <v>265</v>
      </c>
      <c r="C27" s="162"/>
      <c r="D27" s="162"/>
      <c r="E27" s="229"/>
      <c r="F27" s="229"/>
    </row>
    <row r="28" spans="1:6" ht="38.25">
      <c r="A28" s="164" t="s">
        <v>593</v>
      </c>
      <c r="B28" s="173" t="s">
        <v>214</v>
      </c>
      <c r="C28" s="223"/>
      <c r="D28" s="224"/>
      <c r="E28" s="163"/>
      <c r="F28" s="163"/>
    </row>
    <row r="29" spans="1:6" ht="25.5">
      <c r="A29" s="164" t="s">
        <v>594</v>
      </c>
      <c r="B29" s="173" t="s">
        <v>215</v>
      </c>
      <c r="C29" s="223"/>
      <c r="D29" s="224"/>
      <c r="E29" s="163"/>
      <c r="F29" s="163"/>
    </row>
    <row r="30" spans="1:6" ht="38.25">
      <c r="A30" s="164" t="s">
        <v>595</v>
      </c>
      <c r="B30" s="173" t="s">
        <v>216</v>
      </c>
      <c r="C30" s="223"/>
      <c r="D30" s="224"/>
      <c r="E30" s="163"/>
      <c r="F30" s="163"/>
    </row>
    <row r="31" spans="1:6" ht="38.25">
      <c r="A31" s="164" t="s">
        <v>596</v>
      </c>
      <c r="B31" s="173" t="s">
        <v>217</v>
      </c>
      <c r="C31" s="223"/>
      <c r="D31" s="224"/>
      <c r="E31" s="163"/>
      <c r="F31" s="163"/>
    </row>
    <row r="32" spans="1:6" ht="18.75">
      <c r="A32" s="161"/>
      <c r="B32" s="170" t="s">
        <v>266</v>
      </c>
      <c r="C32" s="162"/>
      <c r="D32" s="162"/>
      <c r="E32" s="229"/>
      <c r="F32" s="229"/>
    </row>
    <row r="33" spans="1:6" ht="38.25">
      <c r="A33" s="164" t="s">
        <v>597</v>
      </c>
      <c r="B33" s="173" t="s">
        <v>218</v>
      </c>
      <c r="C33" s="223"/>
      <c r="D33" s="224"/>
      <c r="E33" s="163"/>
      <c r="F33" s="163"/>
    </row>
    <row r="34" spans="1:6" ht="38.25">
      <c r="A34" s="164" t="s">
        <v>598</v>
      </c>
      <c r="B34" s="173" t="s">
        <v>219</v>
      </c>
      <c r="C34" s="223"/>
      <c r="D34" s="224"/>
      <c r="E34" s="163"/>
      <c r="F34" s="163"/>
    </row>
    <row r="35" spans="1:6" ht="18.75">
      <c r="A35" s="161"/>
      <c r="B35" s="170" t="s">
        <v>212</v>
      </c>
      <c r="C35" s="162"/>
      <c r="D35" s="162"/>
      <c r="E35" s="229"/>
      <c r="F35" s="229"/>
    </row>
    <row r="36" spans="1:6" ht="51">
      <c r="A36" s="164" t="s">
        <v>599</v>
      </c>
      <c r="B36" s="173" t="s">
        <v>213</v>
      </c>
      <c r="C36" s="223"/>
      <c r="D36" s="224"/>
      <c r="E36" s="163"/>
      <c r="F36" s="163"/>
    </row>
    <row r="37" spans="1:6" ht="18">
      <c r="A37" s="225"/>
      <c r="B37" s="226" t="s">
        <v>285</v>
      </c>
      <c r="C37" s="225"/>
      <c r="D37" s="225"/>
      <c r="E37" s="225"/>
      <c r="F37" s="225"/>
    </row>
    <row r="38" spans="1:6">
      <c r="A38" s="164"/>
      <c r="B38" s="173"/>
    </row>
    <row r="39" spans="1:6" ht="15">
      <c r="A39" s="227"/>
      <c r="B39" s="228" t="s">
        <v>618</v>
      </c>
      <c r="C39" s="227"/>
      <c r="D39" s="227"/>
      <c r="E39" s="227"/>
      <c r="F39" s="227"/>
    </row>
  </sheetData>
  <mergeCells count="1">
    <mergeCell ref="E2:F2"/>
  </mergeCells>
  <conditionalFormatting sqref="C6">
    <cfRule type="cellIs" dxfId="2495" priority="1102" operator="equal">
      <formula>"No"</formula>
    </cfRule>
    <cfRule type="cellIs" dxfId="2494" priority="1103" operator="equal">
      <formula>"NA"</formula>
    </cfRule>
    <cfRule type="cellIs" dxfId="2493" priority="1104" operator="equal">
      <formula>"Yes"</formula>
    </cfRule>
  </conditionalFormatting>
  <conditionalFormatting sqref="C7">
    <cfRule type="cellIs" dxfId="2492" priority="1056" operator="equal">
      <formula>"No"</formula>
    </cfRule>
    <cfRule type="cellIs" dxfId="2491" priority="1057" operator="equal">
      <formula>"NA"</formula>
    </cfRule>
    <cfRule type="cellIs" dxfId="2490" priority="1058" operator="equal">
      <formula>"Yes"</formula>
    </cfRule>
  </conditionalFormatting>
  <conditionalFormatting sqref="C8">
    <cfRule type="cellIs" dxfId="2489" priority="1010" operator="equal">
      <formula>"No"</formula>
    </cfRule>
    <cfRule type="cellIs" dxfId="2488" priority="1011" operator="equal">
      <formula>"NA"</formula>
    </cfRule>
    <cfRule type="cellIs" dxfId="2487" priority="1012" operator="equal">
      <formula>"Yes"</formula>
    </cfRule>
  </conditionalFormatting>
  <conditionalFormatting sqref="C9">
    <cfRule type="cellIs" dxfId="2486" priority="964" operator="equal">
      <formula>"No"</formula>
    </cfRule>
    <cfRule type="cellIs" dxfId="2485" priority="965" operator="equal">
      <formula>"NA"</formula>
    </cfRule>
    <cfRule type="cellIs" dxfId="2484" priority="966" operator="equal">
      <formula>"Yes"</formula>
    </cfRule>
  </conditionalFormatting>
  <conditionalFormatting sqref="C11">
    <cfRule type="cellIs" dxfId="2483" priority="918" operator="equal">
      <formula>"No"</formula>
    </cfRule>
    <cfRule type="cellIs" dxfId="2482" priority="919" operator="equal">
      <formula>"NA"</formula>
    </cfRule>
    <cfRule type="cellIs" dxfId="2481" priority="920" operator="equal">
      <formula>"Yes"</formula>
    </cfRule>
  </conditionalFormatting>
  <conditionalFormatting sqref="C12">
    <cfRule type="cellIs" dxfId="2480" priority="872" operator="equal">
      <formula>"No"</formula>
    </cfRule>
    <cfRule type="cellIs" dxfId="2479" priority="873" operator="equal">
      <formula>"NA"</formula>
    </cfRule>
    <cfRule type="cellIs" dxfId="2478" priority="874" operator="equal">
      <formula>"Yes"</formula>
    </cfRule>
  </conditionalFormatting>
  <conditionalFormatting sqref="C13">
    <cfRule type="cellIs" dxfId="2477" priority="826" operator="equal">
      <formula>"No"</formula>
    </cfRule>
    <cfRule type="cellIs" dxfId="2476" priority="827" operator="equal">
      <formula>"NA"</formula>
    </cfRule>
    <cfRule type="cellIs" dxfId="2475" priority="828" operator="equal">
      <formula>"Yes"</formula>
    </cfRule>
  </conditionalFormatting>
  <conditionalFormatting sqref="C14">
    <cfRule type="cellIs" dxfId="2474" priority="780" operator="equal">
      <formula>"No"</formula>
    </cfRule>
    <cfRule type="cellIs" dxfId="2473" priority="781" operator="equal">
      <formula>"NA"</formula>
    </cfRule>
    <cfRule type="cellIs" dxfId="2472" priority="782" operator="equal">
      <formula>"Yes"</formula>
    </cfRule>
  </conditionalFormatting>
  <conditionalFormatting sqref="C15">
    <cfRule type="cellIs" dxfId="2471" priority="734" operator="equal">
      <formula>"No"</formula>
    </cfRule>
    <cfRule type="cellIs" dxfId="2470" priority="735" operator="equal">
      <formula>"NA"</formula>
    </cfRule>
    <cfRule type="cellIs" dxfId="2469" priority="736" operator="equal">
      <formula>"Yes"</formula>
    </cfRule>
  </conditionalFormatting>
  <conditionalFormatting sqref="C16">
    <cfRule type="cellIs" dxfId="2468" priority="688" operator="equal">
      <formula>"No"</formula>
    </cfRule>
    <cfRule type="cellIs" dxfId="2467" priority="689" operator="equal">
      <formula>"NA"</formula>
    </cfRule>
    <cfRule type="cellIs" dxfId="2466" priority="690" operator="equal">
      <formula>"Yes"</formula>
    </cfRule>
  </conditionalFormatting>
  <conditionalFormatting sqref="C17">
    <cfRule type="cellIs" dxfId="2465" priority="642" operator="equal">
      <formula>"No"</formula>
    </cfRule>
    <cfRule type="cellIs" dxfId="2464" priority="643" operator="equal">
      <formula>"NA"</formula>
    </cfRule>
    <cfRule type="cellIs" dxfId="2463" priority="644" operator="equal">
      <formula>"Yes"</formula>
    </cfRule>
  </conditionalFormatting>
  <conditionalFormatting sqref="C18">
    <cfRule type="cellIs" dxfId="2462" priority="596" operator="equal">
      <formula>"No"</formula>
    </cfRule>
    <cfRule type="cellIs" dxfId="2461" priority="597" operator="equal">
      <formula>"NA"</formula>
    </cfRule>
    <cfRule type="cellIs" dxfId="2460" priority="598" operator="equal">
      <formula>"Yes"</formula>
    </cfRule>
  </conditionalFormatting>
  <conditionalFormatting sqref="C19">
    <cfRule type="cellIs" dxfId="2459" priority="550" operator="equal">
      <formula>"No"</formula>
    </cfRule>
    <cfRule type="cellIs" dxfId="2458" priority="551" operator="equal">
      <formula>"NA"</formula>
    </cfRule>
    <cfRule type="cellIs" dxfId="2457" priority="552" operator="equal">
      <formula>"Yes"</formula>
    </cfRule>
  </conditionalFormatting>
  <conditionalFormatting sqref="C20">
    <cfRule type="cellIs" dxfId="2456" priority="504" operator="equal">
      <formula>"No"</formula>
    </cfRule>
    <cfRule type="cellIs" dxfId="2455" priority="505" operator="equal">
      <formula>"NA"</formula>
    </cfRule>
    <cfRule type="cellIs" dxfId="2454" priority="506" operator="equal">
      <formula>"Yes"</formula>
    </cfRule>
  </conditionalFormatting>
  <conditionalFormatting sqref="C22">
    <cfRule type="cellIs" dxfId="2453" priority="458" operator="equal">
      <formula>"No"</formula>
    </cfRule>
    <cfRule type="cellIs" dxfId="2452" priority="459" operator="equal">
      <formula>"NA"</formula>
    </cfRule>
    <cfRule type="cellIs" dxfId="2451" priority="460" operator="equal">
      <formula>"Yes"</formula>
    </cfRule>
  </conditionalFormatting>
  <conditionalFormatting sqref="C24">
    <cfRule type="cellIs" dxfId="2450" priority="412" operator="equal">
      <formula>"No"</formula>
    </cfRule>
    <cfRule type="cellIs" dxfId="2449" priority="413" operator="equal">
      <formula>"NA"</formula>
    </cfRule>
    <cfRule type="cellIs" dxfId="2448" priority="414" operator="equal">
      <formula>"Yes"</formula>
    </cfRule>
  </conditionalFormatting>
  <conditionalFormatting sqref="C26">
    <cfRule type="cellIs" dxfId="2447" priority="366" operator="equal">
      <formula>"No"</formula>
    </cfRule>
    <cfRule type="cellIs" dxfId="2446" priority="367" operator="equal">
      <formula>"NA"</formula>
    </cfRule>
    <cfRule type="cellIs" dxfId="2445" priority="368" operator="equal">
      <formula>"Yes"</formula>
    </cfRule>
  </conditionalFormatting>
  <conditionalFormatting sqref="C28">
    <cfRule type="cellIs" dxfId="2444" priority="320" operator="equal">
      <formula>"No"</formula>
    </cfRule>
    <cfRule type="cellIs" dxfId="2443" priority="321" operator="equal">
      <formula>"NA"</formula>
    </cfRule>
    <cfRule type="cellIs" dxfId="2442" priority="322" operator="equal">
      <formula>"Yes"</formula>
    </cfRule>
  </conditionalFormatting>
  <conditionalFormatting sqref="C29">
    <cfRule type="cellIs" dxfId="2441" priority="274" operator="equal">
      <formula>"No"</formula>
    </cfRule>
    <cfRule type="cellIs" dxfId="2440" priority="275" operator="equal">
      <formula>"NA"</formula>
    </cfRule>
    <cfRule type="cellIs" dxfId="2439" priority="276" operator="equal">
      <formula>"Yes"</formula>
    </cfRule>
  </conditionalFormatting>
  <conditionalFormatting sqref="C30">
    <cfRule type="cellIs" dxfId="2438" priority="228" operator="equal">
      <formula>"No"</formula>
    </cfRule>
    <cfRule type="cellIs" dxfId="2437" priority="229" operator="equal">
      <formula>"NA"</formula>
    </cfRule>
    <cfRule type="cellIs" dxfId="2436" priority="230" operator="equal">
      <formula>"Yes"</formula>
    </cfRule>
  </conditionalFormatting>
  <conditionalFormatting sqref="C31">
    <cfRule type="cellIs" dxfId="2435" priority="182" operator="equal">
      <formula>"No"</formula>
    </cfRule>
    <cfRule type="cellIs" dxfId="2434" priority="183" operator="equal">
      <formula>"NA"</formula>
    </cfRule>
    <cfRule type="cellIs" dxfId="2433" priority="184" operator="equal">
      <formula>"Yes"</formula>
    </cfRule>
  </conditionalFormatting>
  <conditionalFormatting sqref="C33">
    <cfRule type="cellIs" dxfId="2432" priority="136" operator="equal">
      <formula>"No"</formula>
    </cfRule>
    <cfRule type="cellIs" dxfId="2431" priority="137" operator="equal">
      <formula>"NA"</formula>
    </cfRule>
    <cfRule type="cellIs" dxfId="2430" priority="138" operator="equal">
      <formula>"Yes"</formula>
    </cfRule>
  </conditionalFormatting>
  <conditionalFormatting sqref="C34">
    <cfRule type="cellIs" dxfId="2429" priority="90" operator="equal">
      <formula>"No"</formula>
    </cfRule>
    <cfRule type="cellIs" dxfId="2428" priority="91" operator="equal">
      <formula>"NA"</formula>
    </cfRule>
    <cfRule type="cellIs" dxfId="2427" priority="92" operator="equal">
      <formula>"Yes"</formula>
    </cfRule>
  </conditionalFormatting>
  <conditionalFormatting sqref="C36">
    <cfRule type="cellIs" dxfId="2426" priority="44" operator="equal">
      <formula>"No"</formula>
    </cfRule>
    <cfRule type="cellIs" dxfId="2425" priority="45" operator="equal">
      <formula>"NA"</formula>
    </cfRule>
    <cfRule type="cellIs" dxfId="242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337</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290</v>
      </c>
      <c r="C5" s="162"/>
      <c r="D5" s="162"/>
      <c r="E5" s="229"/>
      <c r="F5" s="229"/>
    </row>
    <row r="6" spans="1:7" ht="51">
      <c r="A6" s="164" t="s">
        <v>622</v>
      </c>
      <c r="B6" s="173" t="s">
        <v>335</v>
      </c>
      <c r="C6" s="223"/>
      <c r="D6" s="224"/>
      <c r="E6" s="163"/>
      <c r="F6" s="163"/>
    </row>
    <row r="7" spans="1:7" ht="51">
      <c r="A7" s="164" t="s">
        <v>623</v>
      </c>
      <c r="B7" s="173" t="s">
        <v>224</v>
      </c>
      <c r="C7" s="223"/>
      <c r="D7" s="224"/>
      <c r="E7" s="165" t="s">
        <v>384</v>
      </c>
      <c r="F7" s="163"/>
    </row>
    <row r="8" spans="1:7" ht="38.25">
      <c r="A8" s="164" t="s">
        <v>625</v>
      </c>
      <c r="B8" s="173" t="s">
        <v>223</v>
      </c>
      <c r="C8" s="223"/>
      <c r="D8" s="224"/>
      <c r="E8" s="163" t="s">
        <v>385</v>
      </c>
      <c r="F8" s="163"/>
    </row>
    <row r="9" spans="1:7" ht="25.5">
      <c r="A9" s="164" t="s">
        <v>626</v>
      </c>
      <c r="B9" s="173" t="s">
        <v>210</v>
      </c>
      <c r="C9" s="223"/>
      <c r="D9" s="224"/>
      <c r="E9" s="163"/>
      <c r="F9" s="163"/>
    </row>
    <row r="10" spans="1:7" ht="38.25">
      <c r="A10" s="164" t="s">
        <v>628</v>
      </c>
      <c r="B10" s="173" t="s">
        <v>386</v>
      </c>
      <c r="C10" s="223"/>
      <c r="D10" s="224"/>
      <c r="E10" s="163"/>
      <c r="F10" s="163"/>
    </row>
    <row r="11" spans="1:7" ht="38.25">
      <c r="A11" s="164" t="s">
        <v>629</v>
      </c>
      <c r="B11" s="173" t="s">
        <v>387</v>
      </c>
      <c r="C11" s="223"/>
      <c r="D11" s="224"/>
      <c r="E11" s="163"/>
      <c r="F11" s="163"/>
    </row>
    <row r="12" spans="1:7" ht="18.75">
      <c r="A12" s="161"/>
      <c r="B12" s="170" t="s">
        <v>221</v>
      </c>
      <c r="C12" s="162"/>
      <c r="D12" s="162"/>
      <c r="E12" s="229"/>
      <c r="F12" s="229"/>
    </row>
    <row r="13" spans="1:7" ht="38.25">
      <c r="A13" s="164" t="s">
        <v>620</v>
      </c>
      <c r="B13" s="173" t="s">
        <v>381</v>
      </c>
      <c r="C13" s="223"/>
      <c r="D13" s="224"/>
      <c r="E13" s="163"/>
      <c r="F13" s="163"/>
    </row>
    <row r="14" spans="1:7" ht="25.5">
      <c r="A14" s="164" t="s">
        <v>643</v>
      </c>
      <c r="B14" s="173" t="s">
        <v>229</v>
      </c>
      <c r="C14" s="223"/>
      <c r="D14" s="224"/>
      <c r="E14" s="163"/>
      <c r="F14" s="163"/>
    </row>
    <row r="15" spans="1:7" ht="38.25">
      <c r="A15" s="164" t="s">
        <v>644</v>
      </c>
      <c r="B15" s="173" t="s">
        <v>230</v>
      </c>
      <c r="C15" s="223"/>
      <c r="D15" s="224"/>
      <c r="E15" s="163"/>
      <c r="F15" s="163"/>
    </row>
    <row r="16" spans="1:7" ht="25.5">
      <c r="A16" s="164" t="s">
        <v>645</v>
      </c>
      <c r="B16" s="173" t="s">
        <v>231</v>
      </c>
      <c r="C16" s="223"/>
      <c r="D16" s="224"/>
      <c r="E16" s="163"/>
      <c r="F16" s="163"/>
    </row>
    <row r="17" spans="1:6" ht="25.5">
      <c r="A17" s="164" t="s">
        <v>646</v>
      </c>
      <c r="B17" s="173" t="s">
        <v>232</v>
      </c>
      <c r="C17" s="223"/>
      <c r="D17" s="224"/>
      <c r="E17" s="163"/>
      <c r="F17" s="163"/>
    </row>
    <row r="18" spans="1:6" ht="25.5">
      <c r="A18" s="164" t="s">
        <v>647</v>
      </c>
      <c r="B18" s="173" t="s">
        <v>233</v>
      </c>
      <c r="C18" s="223"/>
      <c r="D18" s="224"/>
      <c r="E18" s="163"/>
      <c r="F18" s="163"/>
    </row>
    <row r="19" spans="1:6" ht="25.5">
      <c r="A19" s="164" t="s">
        <v>648</v>
      </c>
      <c r="B19" s="173" t="s">
        <v>396</v>
      </c>
      <c r="C19" s="223"/>
      <c r="D19" s="224"/>
      <c r="E19" s="163"/>
      <c r="F19" s="163"/>
    </row>
    <row r="20" spans="1:6" ht="38.25">
      <c r="A20" s="164" t="s">
        <v>649</v>
      </c>
      <c r="B20" s="173" t="s">
        <v>234</v>
      </c>
      <c r="C20" s="223"/>
      <c r="D20" s="224"/>
      <c r="E20" s="163"/>
      <c r="F20" s="163"/>
    </row>
    <row r="21" spans="1:6" ht="25.5">
      <c r="A21" s="164" t="s">
        <v>650</v>
      </c>
      <c r="B21" s="173" t="s">
        <v>235</v>
      </c>
      <c r="C21" s="223"/>
      <c r="D21" s="224"/>
      <c r="E21" s="163"/>
      <c r="F21" s="163"/>
    </row>
    <row r="22" spans="1:6" ht="18.75">
      <c r="A22" s="161"/>
      <c r="B22" s="170" t="s">
        <v>265</v>
      </c>
      <c r="C22" s="162"/>
      <c r="D22" s="162"/>
      <c r="E22" s="229"/>
      <c r="F22" s="229"/>
    </row>
    <row r="23" spans="1:6" ht="38.25">
      <c r="A23" s="164" t="s">
        <v>593</v>
      </c>
      <c r="B23" s="173" t="s">
        <v>214</v>
      </c>
      <c r="C23" s="223"/>
      <c r="D23" s="224"/>
      <c r="E23" s="163"/>
      <c r="F23" s="163"/>
    </row>
    <row r="24" spans="1:6" ht="25.5">
      <c r="A24" s="164" t="s">
        <v>594</v>
      </c>
      <c r="B24" s="173" t="s">
        <v>215</v>
      </c>
      <c r="C24" s="223"/>
      <c r="D24" s="224"/>
      <c r="E24" s="163"/>
      <c r="F24" s="163"/>
    </row>
    <row r="25" spans="1:6" ht="38.25">
      <c r="A25" s="164" t="s">
        <v>595</v>
      </c>
      <c r="B25" s="173" t="s">
        <v>216</v>
      </c>
      <c r="C25" s="223"/>
      <c r="D25" s="224"/>
      <c r="E25" s="163"/>
      <c r="F25" s="163"/>
    </row>
    <row r="26" spans="1:6" ht="38.25">
      <c r="A26" s="164" t="s">
        <v>596</v>
      </c>
      <c r="B26" s="173" t="s">
        <v>217</v>
      </c>
      <c r="C26" s="223"/>
      <c r="D26" s="224"/>
      <c r="E26" s="163"/>
      <c r="F26" s="163"/>
    </row>
    <row r="27" spans="1:6" ht="18.75">
      <c r="A27" s="161"/>
      <c r="B27" s="170" t="s">
        <v>266</v>
      </c>
      <c r="C27" s="162"/>
      <c r="D27" s="162"/>
      <c r="E27" s="229"/>
      <c r="F27" s="229"/>
    </row>
    <row r="28" spans="1:6" ht="38.25">
      <c r="A28" s="164" t="s">
        <v>597</v>
      </c>
      <c r="B28" s="173" t="s">
        <v>218</v>
      </c>
      <c r="C28" s="223"/>
      <c r="D28" s="224"/>
      <c r="E28" s="163"/>
      <c r="F28" s="163"/>
    </row>
    <row r="29" spans="1:6" ht="38.25">
      <c r="A29" s="164" t="s">
        <v>598</v>
      </c>
      <c r="B29" s="173" t="s">
        <v>219</v>
      </c>
      <c r="C29" s="223"/>
      <c r="D29" s="224"/>
      <c r="E29" s="163"/>
      <c r="F29" s="163"/>
    </row>
    <row r="30" spans="1:6" ht="18.75">
      <c r="A30" s="161"/>
      <c r="B30" s="170" t="s">
        <v>212</v>
      </c>
      <c r="C30" s="162"/>
      <c r="D30" s="162"/>
      <c r="E30" s="229"/>
      <c r="F30" s="229"/>
    </row>
    <row r="31" spans="1:6" ht="51">
      <c r="A31" s="164" t="s">
        <v>599</v>
      </c>
      <c r="B31" s="173" t="s">
        <v>213</v>
      </c>
      <c r="C31" s="223"/>
      <c r="D31" s="224"/>
      <c r="E31" s="163"/>
      <c r="F31" s="163"/>
    </row>
    <row r="32" spans="1:6" ht="18">
      <c r="A32" s="225"/>
      <c r="B32" s="226" t="s">
        <v>285</v>
      </c>
      <c r="C32" s="225"/>
      <c r="D32" s="225"/>
      <c r="E32" s="225"/>
      <c r="F32" s="225"/>
    </row>
    <row r="33" spans="1:6">
      <c r="A33" s="164"/>
      <c r="B33" s="173"/>
    </row>
    <row r="34" spans="1:6" ht="15">
      <c r="A34" s="227"/>
      <c r="B34" s="228" t="s">
        <v>618</v>
      </c>
      <c r="C34" s="227"/>
      <c r="D34" s="227"/>
      <c r="E34" s="227"/>
      <c r="F34" s="227"/>
    </row>
  </sheetData>
  <mergeCells count="1">
    <mergeCell ref="E2:F2"/>
  </mergeCells>
  <conditionalFormatting sqref="C6">
    <cfRule type="cellIs" dxfId="2423" priority="1010" operator="equal">
      <formula>"No"</formula>
    </cfRule>
    <cfRule type="cellIs" dxfId="2422" priority="1011" operator="equal">
      <formula>"NA"</formula>
    </cfRule>
    <cfRule type="cellIs" dxfId="2421" priority="1012" operator="equal">
      <formula>"Yes"</formula>
    </cfRule>
  </conditionalFormatting>
  <conditionalFormatting sqref="C7">
    <cfRule type="cellIs" dxfId="2420" priority="964" operator="equal">
      <formula>"No"</formula>
    </cfRule>
    <cfRule type="cellIs" dxfId="2419" priority="965" operator="equal">
      <formula>"NA"</formula>
    </cfRule>
    <cfRule type="cellIs" dxfId="2418" priority="966" operator="equal">
      <formula>"Yes"</formula>
    </cfRule>
  </conditionalFormatting>
  <conditionalFormatting sqref="C8">
    <cfRule type="cellIs" dxfId="2417" priority="918" operator="equal">
      <formula>"No"</formula>
    </cfRule>
    <cfRule type="cellIs" dxfId="2416" priority="919" operator="equal">
      <formula>"NA"</formula>
    </cfRule>
    <cfRule type="cellIs" dxfId="2415" priority="920" operator="equal">
      <formula>"Yes"</formula>
    </cfRule>
  </conditionalFormatting>
  <conditionalFormatting sqref="C9">
    <cfRule type="cellIs" dxfId="2414" priority="872" operator="equal">
      <formula>"No"</formula>
    </cfRule>
    <cfRule type="cellIs" dxfId="2413" priority="873" operator="equal">
      <formula>"NA"</formula>
    </cfRule>
    <cfRule type="cellIs" dxfId="2412" priority="874" operator="equal">
      <formula>"Yes"</formula>
    </cfRule>
  </conditionalFormatting>
  <conditionalFormatting sqref="C10">
    <cfRule type="cellIs" dxfId="2411" priority="826" operator="equal">
      <formula>"No"</formula>
    </cfRule>
    <cfRule type="cellIs" dxfId="2410" priority="827" operator="equal">
      <formula>"NA"</formula>
    </cfRule>
    <cfRule type="cellIs" dxfId="2409" priority="828" operator="equal">
      <formula>"Yes"</formula>
    </cfRule>
  </conditionalFormatting>
  <conditionalFormatting sqref="C11">
    <cfRule type="cellIs" dxfId="2408" priority="780" operator="equal">
      <formula>"No"</formula>
    </cfRule>
    <cfRule type="cellIs" dxfId="2407" priority="781" operator="equal">
      <formula>"NA"</formula>
    </cfRule>
    <cfRule type="cellIs" dxfId="2406" priority="782" operator="equal">
      <formula>"Yes"</formula>
    </cfRule>
  </conditionalFormatting>
  <conditionalFormatting sqref="C13">
    <cfRule type="cellIs" dxfId="2405" priority="734" operator="equal">
      <formula>"No"</formula>
    </cfRule>
    <cfRule type="cellIs" dxfId="2404" priority="735" operator="equal">
      <formula>"NA"</formula>
    </cfRule>
    <cfRule type="cellIs" dxfId="2403" priority="736" operator="equal">
      <formula>"Yes"</formula>
    </cfRule>
  </conditionalFormatting>
  <conditionalFormatting sqref="C14">
    <cfRule type="cellIs" dxfId="2402" priority="688" operator="equal">
      <formula>"No"</formula>
    </cfRule>
    <cfRule type="cellIs" dxfId="2401" priority="689" operator="equal">
      <formula>"NA"</formula>
    </cfRule>
    <cfRule type="cellIs" dxfId="2400" priority="690" operator="equal">
      <formula>"Yes"</formula>
    </cfRule>
  </conditionalFormatting>
  <conditionalFormatting sqref="C15">
    <cfRule type="cellIs" dxfId="2399" priority="642" operator="equal">
      <formula>"No"</formula>
    </cfRule>
    <cfRule type="cellIs" dxfId="2398" priority="643" operator="equal">
      <formula>"NA"</formula>
    </cfRule>
    <cfRule type="cellIs" dxfId="2397" priority="644" operator="equal">
      <formula>"Yes"</formula>
    </cfRule>
  </conditionalFormatting>
  <conditionalFormatting sqref="C16">
    <cfRule type="cellIs" dxfId="2396" priority="596" operator="equal">
      <formula>"No"</formula>
    </cfRule>
    <cfRule type="cellIs" dxfId="2395" priority="597" operator="equal">
      <formula>"NA"</formula>
    </cfRule>
    <cfRule type="cellIs" dxfId="2394" priority="598" operator="equal">
      <formula>"Yes"</formula>
    </cfRule>
  </conditionalFormatting>
  <conditionalFormatting sqref="C17">
    <cfRule type="cellIs" dxfId="2393" priority="550" operator="equal">
      <formula>"No"</formula>
    </cfRule>
    <cfRule type="cellIs" dxfId="2392" priority="551" operator="equal">
      <formula>"NA"</formula>
    </cfRule>
    <cfRule type="cellIs" dxfId="2391" priority="552" operator="equal">
      <formula>"Yes"</formula>
    </cfRule>
  </conditionalFormatting>
  <conditionalFormatting sqref="C18">
    <cfRule type="cellIs" dxfId="2390" priority="504" operator="equal">
      <formula>"No"</formula>
    </cfRule>
    <cfRule type="cellIs" dxfId="2389" priority="505" operator="equal">
      <formula>"NA"</formula>
    </cfRule>
    <cfRule type="cellIs" dxfId="2388" priority="506" operator="equal">
      <formula>"Yes"</formula>
    </cfRule>
  </conditionalFormatting>
  <conditionalFormatting sqref="C19">
    <cfRule type="cellIs" dxfId="2387" priority="458" operator="equal">
      <formula>"No"</formula>
    </cfRule>
    <cfRule type="cellIs" dxfId="2386" priority="459" operator="equal">
      <formula>"NA"</formula>
    </cfRule>
    <cfRule type="cellIs" dxfId="2385" priority="460" operator="equal">
      <formula>"Yes"</formula>
    </cfRule>
  </conditionalFormatting>
  <conditionalFormatting sqref="C20">
    <cfRule type="cellIs" dxfId="2384" priority="412" operator="equal">
      <formula>"No"</formula>
    </cfRule>
    <cfRule type="cellIs" dxfId="2383" priority="413" operator="equal">
      <formula>"NA"</formula>
    </cfRule>
    <cfRule type="cellIs" dxfId="2382" priority="414" operator="equal">
      <formula>"Yes"</formula>
    </cfRule>
  </conditionalFormatting>
  <conditionalFormatting sqref="C21">
    <cfRule type="cellIs" dxfId="2381" priority="366" operator="equal">
      <formula>"No"</formula>
    </cfRule>
    <cfRule type="cellIs" dxfId="2380" priority="367" operator="equal">
      <formula>"NA"</formula>
    </cfRule>
    <cfRule type="cellIs" dxfId="2379" priority="368" operator="equal">
      <formula>"Yes"</formula>
    </cfRule>
  </conditionalFormatting>
  <conditionalFormatting sqref="C23">
    <cfRule type="cellIs" dxfId="2378" priority="320" operator="equal">
      <formula>"No"</formula>
    </cfRule>
    <cfRule type="cellIs" dxfId="2377" priority="321" operator="equal">
      <formula>"NA"</formula>
    </cfRule>
    <cfRule type="cellIs" dxfId="2376" priority="322" operator="equal">
      <formula>"Yes"</formula>
    </cfRule>
  </conditionalFormatting>
  <conditionalFormatting sqref="C24">
    <cfRule type="cellIs" dxfId="2375" priority="274" operator="equal">
      <formula>"No"</formula>
    </cfRule>
    <cfRule type="cellIs" dxfId="2374" priority="275" operator="equal">
      <formula>"NA"</formula>
    </cfRule>
    <cfRule type="cellIs" dxfId="2373" priority="276" operator="equal">
      <formula>"Yes"</formula>
    </cfRule>
  </conditionalFormatting>
  <conditionalFormatting sqref="C25">
    <cfRule type="cellIs" dxfId="2372" priority="228" operator="equal">
      <formula>"No"</formula>
    </cfRule>
    <cfRule type="cellIs" dxfId="2371" priority="229" operator="equal">
      <formula>"NA"</formula>
    </cfRule>
    <cfRule type="cellIs" dxfId="2370" priority="230" operator="equal">
      <formula>"Yes"</formula>
    </cfRule>
  </conditionalFormatting>
  <conditionalFormatting sqref="C26">
    <cfRule type="cellIs" dxfId="2369" priority="182" operator="equal">
      <formula>"No"</formula>
    </cfRule>
    <cfRule type="cellIs" dxfId="2368" priority="183" operator="equal">
      <formula>"NA"</formula>
    </cfRule>
    <cfRule type="cellIs" dxfId="2367" priority="184" operator="equal">
      <formula>"Yes"</formula>
    </cfRule>
  </conditionalFormatting>
  <conditionalFormatting sqref="C28">
    <cfRule type="cellIs" dxfId="2366" priority="136" operator="equal">
      <formula>"No"</formula>
    </cfRule>
    <cfRule type="cellIs" dxfId="2365" priority="137" operator="equal">
      <formula>"NA"</formula>
    </cfRule>
    <cfRule type="cellIs" dxfId="2364" priority="138" operator="equal">
      <formula>"Yes"</formula>
    </cfRule>
  </conditionalFormatting>
  <conditionalFormatting sqref="C29">
    <cfRule type="cellIs" dxfId="2363" priority="90" operator="equal">
      <formula>"No"</formula>
    </cfRule>
    <cfRule type="cellIs" dxfId="2362" priority="91" operator="equal">
      <formula>"NA"</formula>
    </cfRule>
    <cfRule type="cellIs" dxfId="2361" priority="92" operator="equal">
      <formula>"Yes"</formula>
    </cfRule>
  </conditionalFormatting>
  <conditionalFormatting sqref="C31">
    <cfRule type="cellIs" dxfId="2360" priority="44" operator="equal">
      <formula>"No"</formula>
    </cfRule>
    <cfRule type="cellIs" dxfId="2359" priority="45" operator="equal">
      <formula>"NA"</formula>
    </cfRule>
    <cfRule type="cellIs" dxfId="235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338</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290</v>
      </c>
      <c r="C5" s="162"/>
      <c r="D5" s="162"/>
      <c r="E5" s="229"/>
      <c r="F5" s="229"/>
    </row>
    <row r="6" spans="1:7" ht="51">
      <c r="A6" s="164" t="s">
        <v>622</v>
      </c>
      <c r="B6" s="173" t="s">
        <v>335</v>
      </c>
      <c r="C6" s="223"/>
      <c r="D6" s="224"/>
      <c r="E6" s="163"/>
      <c r="F6" s="163"/>
    </row>
    <row r="7" spans="1:7" ht="38.25">
      <c r="A7" s="164" t="s">
        <v>624</v>
      </c>
      <c r="B7" s="173" t="s">
        <v>226</v>
      </c>
      <c r="C7" s="223"/>
      <c r="D7" s="224"/>
      <c r="E7" s="163"/>
      <c r="F7" s="163"/>
    </row>
    <row r="8" spans="1:7" ht="38.25">
      <c r="A8" s="164" t="s">
        <v>625</v>
      </c>
      <c r="B8" s="173" t="s">
        <v>223</v>
      </c>
      <c r="C8" s="223"/>
      <c r="D8" s="224"/>
      <c r="E8" s="163" t="s">
        <v>385</v>
      </c>
      <c r="F8" s="163"/>
    </row>
    <row r="9" spans="1:7" ht="63.75">
      <c r="A9" s="164" t="s">
        <v>627</v>
      </c>
      <c r="B9" s="173" t="s">
        <v>291</v>
      </c>
      <c r="C9" s="223"/>
      <c r="D9" s="224"/>
      <c r="E9" s="163"/>
      <c r="F9" s="163"/>
    </row>
    <row r="10" spans="1:7" ht="38.25">
      <c r="A10" s="164" t="s">
        <v>628</v>
      </c>
      <c r="B10" s="173" t="s">
        <v>386</v>
      </c>
      <c r="C10" s="223"/>
      <c r="D10" s="224"/>
      <c r="E10" s="163"/>
      <c r="F10" s="163"/>
    </row>
    <row r="11" spans="1:7" ht="38.25">
      <c r="A11" s="164" t="s">
        <v>629</v>
      </c>
      <c r="B11" s="173" t="s">
        <v>387</v>
      </c>
      <c r="C11" s="223"/>
      <c r="D11" s="224"/>
      <c r="E11" s="163"/>
      <c r="F11" s="163"/>
    </row>
    <row r="12" spans="1:7" ht="25.5">
      <c r="A12" s="164" t="s">
        <v>631</v>
      </c>
      <c r="B12" s="173" t="s">
        <v>389</v>
      </c>
      <c r="C12" s="223"/>
      <c r="D12" s="224"/>
      <c r="E12" s="163"/>
      <c r="F12" s="163"/>
    </row>
    <row r="13" spans="1:7" ht="25.5">
      <c r="A13" s="164" t="s">
        <v>632</v>
      </c>
      <c r="B13" s="173" t="s">
        <v>292</v>
      </c>
      <c r="C13" s="223"/>
      <c r="D13" s="224"/>
      <c r="E13" s="163"/>
      <c r="F13" s="163"/>
    </row>
    <row r="14" spans="1:7" ht="63.75">
      <c r="A14" s="164" t="s">
        <v>633</v>
      </c>
      <c r="B14" s="173" t="s">
        <v>390</v>
      </c>
      <c r="C14" s="223"/>
      <c r="D14" s="224"/>
      <c r="E14" s="165" t="s">
        <v>391</v>
      </c>
      <c r="F14" s="163"/>
    </row>
    <row r="15" spans="1:7" ht="18.75">
      <c r="A15" s="161"/>
      <c r="B15" s="170" t="s">
        <v>265</v>
      </c>
      <c r="C15" s="162"/>
      <c r="D15" s="162"/>
      <c r="E15" s="229"/>
      <c r="F15" s="229"/>
    </row>
    <row r="16" spans="1:7" ht="38.25">
      <c r="A16" s="164" t="s">
        <v>593</v>
      </c>
      <c r="B16" s="173" t="s">
        <v>214</v>
      </c>
      <c r="C16" s="223"/>
      <c r="D16" s="224"/>
      <c r="E16" s="163"/>
      <c r="F16" s="163"/>
    </row>
    <row r="17" spans="1:6" ht="25.5">
      <c r="A17" s="164" t="s">
        <v>594</v>
      </c>
      <c r="B17" s="173" t="s">
        <v>215</v>
      </c>
      <c r="C17" s="223"/>
      <c r="D17" s="224"/>
      <c r="E17" s="163"/>
      <c r="F17" s="163"/>
    </row>
    <row r="18" spans="1:6" ht="38.25">
      <c r="A18" s="164" t="s">
        <v>595</v>
      </c>
      <c r="B18" s="173" t="s">
        <v>216</v>
      </c>
      <c r="C18" s="223"/>
      <c r="D18" s="224"/>
      <c r="E18" s="163"/>
      <c r="F18" s="163"/>
    </row>
    <row r="19" spans="1:6" ht="38.25">
      <c r="A19" s="164" t="s">
        <v>596</v>
      </c>
      <c r="B19" s="173" t="s">
        <v>217</v>
      </c>
      <c r="C19" s="223"/>
      <c r="D19" s="224"/>
      <c r="E19" s="163"/>
      <c r="F19" s="163"/>
    </row>
    <row r="20" spans="1:6" ht="18.75">
      <c r="A20" s="161"/>
      <c r="B20" s="170" t="s">
        <v>266</v>
      </c>
      <c r="C20" s="162"/>
      <c r="D20" s="162"/>
      <c r="E20" s="229"/>
      <c r="F20" s="229"/>
    </row>
    <row r="21" spans="1:6" ht="38.25">
      <c r="A21" s="164" t="s">
        <v>597</v>
      </c>
      <c r="B21" s="173" t="s">
        <v>218</v>
      </c>
      <c r="C21" s="223"/>
      <c r="D21" s="224"/>
      <c r="E21" s="163"/>
      <c r="F21" s="163"/>
    </row>
    <row r="22" spans="1:6" ht="38.25">
      <c r="A22" s="164" t="s">
        <v>598</v>
      </c>
      <c r="B22" s="173" t="s">
        <v>219</v>
      </c>
      <c r="C22" s="223"/>
      <c r="D22" s="224"/>
      <c r="E22" s="163"/>
      <c r="F22" s="163"/>
    </row>
    <row r="23" spans="1:6" ht="18.75">
      <c r="A23" s="161"/>
      <c r="B23" s="170" t="s">
        <v>212</v>
      </c>
      <c r="C23" s="162"/>
      <c r="D23" s="162"/>
      <c r="E23" s="229"/>
      <c r="F23" s="229"/>
    </row>
    <row r="24" spans="1:6" ht="51">
      <c r="A24" s="164" t="s">
        <v>599</v>
      </c>
      <c r="B24" s="173" t="s">
        <v>213</v>
      </c>
      <c r="C24" s="223"/>
      <c r="D24" s="224"/>
      <c r="E24" s="163"/>
      <c r="F24" s="163"/>
    </row>
    <row r="25" spans="1:6" ht="18">
      <c r="A25" s="225"/>
      <c r="B25" s="226" t="s">
        <v>285</v>
      </c>
      <c r="C25" s="225"/>
      <c r="D25" s="225"/>
      <c r="E25" s="225"/>
      <c r="F25" s="225"/>
    </row>
    <row r="26" spans="1:6">
      <c r="A26" s="164"/>
      <c r="B26" s="173"/>
    </row>
    <row r="27" spans="1:6" ht="15">
      <c r="A27" s="227"/>
      <c r="B27" s="228" t="s">
        <v>618</v>
      </c>
      <c r="C27" s="227"/>
      <c r="D27" s="227"/>
      <c r="E27" s="227"/>
      <c r="F27" s="227"/>
    </row>
  </sheetData>
  <mergeCells count="1">
    <mergeCell ref="E2:F2"/>
  </mergeCells>
  <conditionalFormatting sqref="C6">
    <cfRule type="cellIs" dxfId="2357" priority="734" operator="equal">
      <formula>"No"</formula>
    </cfRule>
    <cfRule type="cellIs" dxfId="2356" priority="735" operator="equal">
      <formula>"NA"</formula>
    </cfRule>
    <cfRule type="cellIs" dxfId="2355" priority="736" operator="equal">
      <formula>"Yes"</formula>
    </cfRule>
  </conditionalFormatting>
  <conditionalFormatting sqref="C7">
    <cfRule type="cellIs" dxfId="2354" priority="688" operator="equal">
      <formula>"No"</formula>
    </cfRule>
    <cfRule type="cellIs" dxfId="2353" priority="689" operator="equal">
      <formula>"NA"</formula>
    </cfRule>
    <cfRule type="cellIs" dxfId="2352" priority="690" operator="equal">
      <formula>"Yes"</formula>
    </cfRule>
  </conditionalFormatting>
  <conditionalFormatting sqref="C8">
    <cfRule type="cellIs" dxfId="2351" priority="642" operator="equal">
      <formula>"No"</formula>
    </cfRule>
    <cfRule type="cellIs" dxfId="2350" priority="643" operator="equal">
      <formula>"NA"</formula>
    </cfRule>
    <cfRule type="cellIs" dxfId="2349" priority="644" operator="equal">
      <formula>"Yes"</formula>
    </cfRule>
  </conditionalFormatting>
  <conditionalFormatting sqref="C9">
    <cfRule type="cellIs" dxfId="2348" priority="596" operator="equal">
      <formula>"No"</formula>
    </cfRule>
    <cfRule type="cellIs" dxfId="2347" priority="597" operator="equal">
      <formula>"NA"</formula>
    </cfRule>
    <cfRule type="cellIs" dxfId="2346" priority="598" operator="equal">
      <formula>"Yes"</formula>
    </cfRule>
  </conditionalFormatting>
  <conditionalFormatting sqref="C10">
    <cfRule type="cellIs" dxfId="2345" priority="550" operator="equal">
      <formula>"No"</formula>
    </cfRule>
    <cfRule type="cellIs" dxfId="2344" priority="551" operator="equal">
      <formula>"NA"</formula>
    </cfRule>
    <cfRule type="cellIs" dxfId="2343" priority="552" operator="equal">
      <formula>"Yes"</formula>
    </cfRule>
  </conditionalFormatting>
  <conditionalFormatting sqref="C11">
    <cfRule type="cellIs" dxfId="2342" priority="504" operator="equal">
      <formula>"No"</formula>
    </cfRule>
    <cfRule type="cellIs" dxfId="2341" priority="505" operator="equal">
      <formula>"NA"</formula>
    </cfRule>
    <cfRule type="cellIs" dxfId="2340" priority="506" operator="equal">
      <formula>"Yes"</formula>
    </cfRule>
  </conditionalFormatting>
  <conditionalFormatting sqref="C12">
    <cfRule type="cellIs" dxfId="2339" priority="458" operator="equal">
      <formula>"No"</formula>
    </cfRule>
    <cfRule type="cellIs" dxfId="2338" priority="459" operator="equal">
      <formula>"NA"</formula>
    </cfRule>
    <cfRule type="cellIs" dxfId="2337" priority="460" operator="equal">
      <formula>"Yes"</formula>
    </cfRule>
  </conditionalFormatting>
  <conditionalFormatting sqref="C13">
    <cfRule type="cellIs" dxfId="2336" priority="412" operator="equal">
      <formula>"No"</formula>
    </cfRule>
    <cfRule type="cellIs" dxfId="2335" priority="413" operator="equal">
      <formula>"NA"</formula>
    </cfRule>
    <cfRule type="cellIs" dxfId="2334" priority="414" operator="equal">
      <formula>"Yes"</formula>
    </cfRule>
  </conditionalFormatting>
  <conditionalFormatting sqref="C14">
    <cfRule type="cellIs" dxfId="2333" priority="366" operator="equal">
      <formula>"No"</formula>
    </cfRule>
    <cfRule type="cellIs" dxfId="2332" priority="367" operator="equal">
      <formula>"NA"</formula>
    </cfRule>
    <cfRule type="cellIs" dxfId="2331" priority="368" operator="equal">
      <formula>"Yes"</formula>
    </cfRule>
  </conditionalFormatting>
  <conditionalFormatting sqref="C16">
    <cfRule type="cellIs" dxfId="2330" priority="320" operator="equal">
      <formula>"No"</formula>
    </cfRule>
    <cfRule type="cellIs" dxfId="2329" priority="321" operator="equal">
      <formula>"NA"</formula>
    </cfRule>
    <cfRule type="cellIs" dxfId="2328" priority="322" operator="equal">
      <formula>"Yes"</formula>
    </cfRule>
  </conditionalFormatting>
  <conditionalFormatting sqref="C17">
    <cfRule type="cellIs" dxfId="2327" priority="274" operator="equal">
      <formula>"No"</formula>
    </cfRule>
    <cfRule type="cellIs" dxfId="2326" priority="275" operator="equal">
      <formula>"NA"</formula>
    </cfRule>
    <cfRule type="cellIs" dxfId="2325" priority="276" operator="equal">
      <formula>"Yes"</formula>
    </cfRule>
  </conditionalFormatting>
  <conditionalFormatting sqref="C18">
    <cfRule type="cellIs" dxfId="2324" priority="228" operator="equal">
      <formula>"No"</formula>
    </cfRule>
    <cfRule type="cellIs" dxfId="2323" priority="229" operator="equal">
      <formula>"NA"</formula>
    </cfRule>
    <cfRule type="cellIs" dxfId="2322" priority="230" operator="equal">
      <formula>"Yes"</formula>
    </cfRule>
  </conditionalFormatting>
  <conditionalFormatting sqref="C19">
    <cfRule type="cellIs" dxfId="2321" priority="182" operator="equal">
      <formula>"No"</formula>
    </cfRule>
    <cfRule type="cellIs" dxfId="2320" priority="183" operator="equal">
      <formula>"NA"</formula>
    </cfRule>
    <cfRule type="cellIs" dxfId="2319" priority="184" operator="equal">
      <formula>"Yes"</formula>
    </cfRule>
  </conditionalFormatting>
  <conditionalFormatting sqref="C21">
    <cfRule type="cellIs" dxfId="2318" priority="136" operator="equal">
      <formula>"No"</formula>
    </cfRule>
    <cfRule type="cellIs" dxfId="2317" priority="137" operator="equal">
      <formula>"NA"</formula>
    </cfRule>
    <cfRule type="cellIs" dxfId="2316" priority="138" operator="equal">
      <formula>"Yes"</formula>
    </cfRule>
  </conditionalFormatting>
  <conditionalFormatting sqref="C22">
    <cfRule type="cellIs" dxfId="2315" priority="90" operator="equal">
      <formula>"No"</formula>
    </cfRule>
    <cfRule type="cellIs" dxfId="2314" priority="91" operator="equal">
      <formula>"NA"</formula>
    </cfRule>
    <cfRule type="cellIs" dxfId="2313" priority="92" operator="equal">
      <formula>"Yes"</formula>
    </cfRule>
  </conditionalFormatting>
  <conditionalFormatting sqref="C24">
    <cfRule type="cellIs" dxfId="2312" priority="44" operator="equal">
      <formula>"No"</formula>
    </cfRule>
    <cfRule type="cellIs" dxfId="2311" priority="45" operator="equal">
      <formula>"NA"</formula>
    </cfRule>
    <cfRule type="cellIs" dxfId="231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339</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237</v>
      </c>
      <c r="C5" s="162"/>
      <c r="D5" s="162"/>
      <c r="E5" s="229"/>
      <c r="F5" s="229"/>
    </row>
    <row r="6" spans="1:7" ht="76.5">
      <c r="A6" s="164" t="s">
        <v>651</v>
      </c>
      <c r="B6" s="173" t="s">
        <v>238</v>
      </c>
      <c r="C6" s="223"/>
      <c r="D6" s="224"/>
      <c r="E6" s="165" t="s">
        <v>397</v>
      </c>
      <c r="F6" s="163"/>
    </row>
    <row r="7" spans="1:7" ht="76.5">
      <c r="A7" s="164" t="s">
        <v>652</v>
      </c>
      <c r="B7" s="173" t="s">
        <v>239</v>
      </c>
      <c r="C7" s="223"/>
      <c r="D7" s="224"/>
      <c r="E7" s="165" t="s">
        <v>340</v>
      </c>
      <c r="F7" s="163"/>
    </row>
    <row r="8" spans="1:7" ht="25.5">
      <c r="A8" s="164" t="s">
        <v>653</v>
      </c>
      <c r="B8" s="173" t="s">
        <v>240</v>
      </c>
      <c r="C8" s="223"/>
      <c r="D8" s="224"/>
      <c r="E8" s="163"/>
      <c r="F8" s="163"/>
    </row>
    <row r="9" spans="1:7" ht="18.75">
      <c r="A9" s="161"/>
      <c r="B9" s="170" t="s">
        <v>241</v>
      </c>
      <c r="C9" s="162"/>
      <c r="D9" s="162"/>
      <c r="E9" s="229"/>
      <c r="F9" s="229"/>
    </row>
    <row r="10" spans="1:7" ht="25.5">
      <c r="A10" s="164" t="s">
        <v>654</v>
      </c>
      <c r="B10" s="173" t="s">
        <v>242</v>
      </c>
      <c r="C10" s="223"/>
      <c r="D10" s="224"/>
      <c r="E10" s="163" t="s">
        <v>398</v>
      </c>
      <c r="F10" s="163"/>
    </row>
    <row r="11" spans="1:7" ht="25.5">
      <c r="A11" s="164" t="s">
        <v>655</v>
      </c>
      <c r="B11" s="173" t="s">
        <v>341</v>
      </c>
      <c r="C11" s="223"/>
      <c r="D11" s="224"/>
      <c r="E11" s="163"/>
      <c r="F11" s="163"/>
    </row>
    <row r="12" spans="1:7" ht="18.75">
      <c r="A12" s="161"/>
      <c r="B12" s="170" t="s">
        <v>290</v>
      </c>
      <c r="C12" s="162"/>
      <c r="D12" s="162"/>
      <c r="E12" s="229"/>
      <c r="F12" s="229"/>
    </row>
    <row r="13" spans="1:7" ht="63.75">
      <c r="A13" s="164" t="s">
        <v>633</v>
      </c>
      <c r="B13" s="173" t="s">
        <v>390</v>
      </c>
      <c r="C13" s="223"/>
      <c r="D13" s="224"/>
      <c r="E13" s="165" t="s">
        <v>391</v>
      </c>
      <c r="F13" s="163"/>
    </row>
    <row r="14" spans="1:7" ht="18.75">
      <c r="A14" s="161"/>
      <c r="B14" s="170" t="s">
        <v>265</v>
      </c>
      <c r="C14" s="162"/>
      <c r="D14" s="162"/>
      <c r="E14" s="229"/>
      <c r="F14" s="229"/>
    </row>
    <row r="15" spans="1:7" ht="38.25">
      <c r="A15" s="164" t="s">
        <v>593</v>
      </c>
      <c r="B15" s="173" t="s">
        <v>214</v>
      </c>
      <c r="C15" s="223"/>
      <c r="D15" s="224"/>
      <c r="E15" s="163"/>
      <c r="F15" s="163"/>
    </row>
    <row r="16" spans="1:7" ht="25.5">
      <c r="A16" s="164" t="s">
        <v>594</v>
      </c>
      <c r="B16" s="173" t="s">
        <v>215</v>
      </c>
      <c r="C16" s="223"/>
      <c r="D16" s="224"/>
      <c r="E16" s="163"/>
      <c r="F16" s="163"/>
    </row>
    <row r="17" spans="1:6" ht="38.25">
      <c r="A17" s="164" t="s">
        <v>595</v>
      </c>
      <c r="B17" s="173" t="s">
        <v>216</v>
      </c>
      <c r="C17" s="223"/>
      <c r="D17" s="224"/>
      <c r="E17" s="163"/>
      <c r="F17" s="163"/>
    </row>
    <row r="18" spans="1:6" ht="38.25">
      <c r="A18" s="164" t="s">
        <v>596</v>
      </c>
      <c r="B18" s="173" t="s">
        <v>217</v>
      </c>
      <c r="C18" s="223"/>
      <c r="D18" s="224"/>
      <c r="E18" s="163"/>
      <c r="F18" s="163"/>
    </row>
    <row r="19" spans="1:6" ht="18.75">
      <c r="A19" s="161"/>
      <c r="B19" s="170" t="s">
        <v>266</v>
      </c>
      <c r="C19" s="162"/>
      <c r="D19" s="162"/>
      <c r="E19" s="229"/>
      <c r="F19" s="229"/>
    </row>
    <row r="20" spans="1:6" ht="38.25">
      <c r="A20" s="164" t="s">
        <v>597</v>
      </c>
      <c r="B20" s="173" t="s">
        <v>218</v>
      </c>
      <c r="C20" s="223"/>
      <c r="D20" s="224"/>
      <c r="E20" s="163"/>
      <c r="F20" s="163"/>
    </row>
    <row r="21" spans="1:6" ht="38.25">
      <c r="A21" s="164" t="s">
        <v>598</v>
      </c>
      <c r="B21" s="173" t="s">
        <v>219</v>
      </c>
      <c r="C21" s="223"/>
      <c r="D21" s="224"/>
      <c r="E21" s="163"/>
      <c r="F21" s="163"/>
    </row>
    <row r="22" spans="1:6" ht="18.75">
      <c r="A22" s="161"/>
      <c r="B22" s="170" t="s">
        <v>212</v>
      </c>
      <c r="C22" s="162"/>
      <c r="D22" s="162"/>
      <c r="E22" s="229"/>
      <c r="F22" s="229"/>
    </row>
    <row r="23" spans="1:6" ht="51">
      <c r="A23" s="164" t="s">
        <v>599</v>
      </c>
      <c r="B23" s="173" t="s">
        <v>213</v>
      </c>
      <c r="C23" s="223"/>
      <c r="D23" s="224"/>
      <c r="E23" s="163"/>
      <c r="F23" s="163"/>
    </row>
    <row r="24" spans="1:6" ht="18">
      <c r="A24" s="225"/>
      <c r="B24" s="226" t="s">
        <v>285</v>
      </c>
      <c r="C24" s="225"/>
      <c r="D24" s="225"/>
      <c r="E24" s="225"/>
      <c r="F24" s="225"/>
    </row>
    <row r="25" spans="1:6">
      <c r="A25" s="164"/>
      <c r="B25" s="173"/>
    </row>
    <row r="26" spans="1:6" ht="15">
      <c r="A26" s="227"/>
      <c r="B26" s="228" t="s">
        <v>618</v>
      </c>
      <c r="C26" s="227"/>
      <c r="D26" s="227"/>
      <c r="E26" s="227"/>
      <c r="F26" s="227"/>
    </row>
  </sheetData>
  <mergeCells count="1">
    <mergeCell ref="E2:F2"/>
  </mergeCells>
  <conditionalFormatting sqref="C6">
    <cfRule type="cellIs" dxfId="2309" priority="596" operator="equal">
      <formula>"No"</formula>
    </cfRule>
    <cfRule type="cellIs" dxfId="2308" priority="597" operator="equal">
      <formula>"NA"</formula>
    </cfRule>
    <cfRule type="cellIs" dxfId="2307" priority="598" operator="equal">
      <formula>"Yes"</formula>
    </cfRule>
  </conditionalFormatting>
  <conditionalFormatting sqref="C7">
    <cfRule type="cellIs" dxfId="2306" priority="550" operator="equal">
      <formula>"No"</formula>
    </cfRule>
    <cfRule type="cellIs" dxfId="2305" priority="551" operator="equal">
      <formula>"NA"</formula>
    </cfRule>
    <cfRule type="cellIs" dxfId="2304" priority="552" operator="equal">
      <formula>"Yes"</formula>
    </cfRule>
  </conditionalFormatting>
  <conditionalFormatting sqref="C8">
    <cfRule type="cellIs" dxfId="2303" priority="504" operator="equal">
      <formula>"No"</formula>
    </cfRule>
    <cfRule type="cellIs" dxfId="2302" priority="505" operator="equal">
      <formula>"NA"</formula>
    </cfRule>
    <cfRule type="cellIs" dxfId="2301" priority="506" operator="equal">
      <formula>"Yes"</formula>
    </cfRule>
  </conditionalFormatting>
  <conditionalFormatting sqref="C10">
    <cfRule type="cellIs" dxfId="2300" priority="458" operator="equal">
      <formula>"No"</formula>
    </cfRule>
    <cfRule type="cellIs" dxfId="2299" priority="459" operator="equal">
      <formula>"NA"</formula>
    </cfRule>
    <cfRule type="cellIs" dxfId="2298" priority="460" operator="equal">
      <formula>"Yes"</formula>
    </cfRule>
  </conditionalFormatting>
  <conditionalFormatting sqref="C11">
    <cfRule type="cellIs" dxfId="2297" priority="412" operator="equal">
      <formula>"No"</formula>
    </cfRule>
    <cfRule type="cellIs" dxfId="2296" priority="413" operator="equal">
      <formula>"NA"</formula>
    </cfRule>
    <cfRule type="cellIs" dxfId="2295" priority="414" operator="equal">
      <formula>"Yes"</formula>
    </cfRule>
  </conditionalFormatting>
  <conditionalFormatting sqref="C13">
    <cfRule type="cellIs" dxfId="2294" priority="366" operator="equal">
      <formula>"No"</formula>
    </cfRule>
    <cfRule type="cellIs" dxfId="2293" priority="367" operator="equal">
      <formula>"NA"</formula>
    </cfRule>
    <cfRule type="cellIs" dxfId="2292" priority="368" operator="equal">
      <formula>"Yes"</formula>
    </cfRule>
  </conditionalFormatting>
  <conditionalFormatting sqref="C15">
    <cfRule type="cellIs" dxfId="2291" priority="320" operator="equal">
      <formula>"No"</formula>
    </cfRule>
    <cfRule type="cellIs" dxfId="2290" priority="321" operator="equal">
      <formula>"NA"</formula>
    </cfRule>
    <cfRule type="cellIs" dxfId="2289" priority="322" operator="equal">
      <formula>"Yes"</formula>
    </cfRule>
  </conditionalFormatting>
  <conditionalFormatting sqref="C16">
    <cfRule type="cellIs" dxfId="2288" priority="274" operator="equal">
      <formula>"No"</formula>
    </cfRule>
    <cfRule type="cellIs" dxfId="2287" priority="275" operator="equal">
      <formula>"NA"</formula>
    </cfRule>
    <cfRule type="cellIs" dxfId="2286" priority="276" operator="equal">
      <formula>"Yes"</formula>
    </cfRule>
  </conditionalFormatting>
  <conditionalFormatting sqref="C17">
    <cfRule type="cellIs" dxfId="2285" priority="228" operator="equal">
      <formula>"No"</formula>
    </cfRule>
    <cfRule type="cellIs" dxfId="2284" priority="229" operator="equal">
      <formula>"NA"</formula>
    </cfRule>
    <cfRule type="cellIs" dxfId="2283" priority="230" operator="equal">
      <formula>"Yes"</formula>
    </cfRule>
  </conditionalFormatting>
  <conditionalFormatting sqref="C18">
    <cfRule type="cellIs" dxfId="2282" priority="182" operator="equal">
      <formula>"No"</formula>
    </cfRule>
    <cfRule type="cellIs" dxfId="2281" priority="183" operator="equal">
      <formula>"NA"</formula>
    </cfRule>
    <cfRule type="cellIs" dxfId="2280" priority="184" operator="equal">
      <formula>"Yes"</formula>
    </cfRule>
  </conditionalFormatting>
  <conditionalFormatting sqref="C20">
    <cfRule type="cellIs" dxfId="2279" priority="136" operator="equal">
      <formula>"No"</formula>
    </cfRule>
    <cfRule type="cellIs" dxfId="2278" priority="137" operator="equal">
      <formula>"NA"</formula>
    </cfRule>
    <cfRule type="cellIs" dxfId="2277" priority="138" operator="equal">
      <formula>"Yes"</formula>
    </cfRule>
  </conditionalFormatting>
  <conditionalFormatting sqref="C21">
    <cfRule type="cellIs" dxfId="2276" priority="90" operator="equal">
      <formula>"No"</formula>
    </cfRule>
    <cfRule type="cellIs" dxfId="2275" priority="91" operator="equal">
      <formula>"NA"</formula>
    </cfRule>
    <cfRule type="cellIs" dxfId="2274" priority="92" operator="equal">
      <formula>"Yes"</formula>
    </cfRule>
  </conditionalFormatting>
  <conditionalFormatting sqref="C23">
    <cfRule type="cellIs" dxfId="2273" priority="44" operator="equal">
      <formula>"No"</formula>
    </cfRule>
    <cfRule type="cellIs" dxfId="2272" priority="45" operator="equal">
      <formula>"NA"</formula>
    </cfRule>
    <cfRule type="cellIs" dxfId="227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342</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343</v>
      </c>
      <c r="C5" s="162"/>
      <c r="D5" s="162"/>
      <c r="E5" s="229"/>
      <c r="F5" s="229"/>
    </row>
    <row r="6" spans="1:7" ht="38.25">
      <c r="A6" s="164" t="s">
        <v>656</v>
      </c>
      <c r="B6" s="173" t="s">
        <v>243</v>
      </c>
      <c r="C6" s="223"/>
      <c r="D6" s="224"/>
      <c r="E6" s="163"/>
      <c r="F6" s="163"/>
    </row>
    <row r="7" spans="1:7" ht="25.5">
      <c r="A7" s="164" t="s">
        <v>657</v>
      </c>
      <c r="B7" s="173" t="s">
        <v>399</v>
      </c>
      <c r="C7" s="223"/>
      <c r="D7" s="224"/>
      <c r="E7" s="163"/>
      <c r="F7" s="163"/>
    </row>
    <row r="8" spans="1:7" ht="25.5">
      <c r="A8" s="164" t="s">
        <v>658</v>
      </c>
      <c r="B8" s="173" t="s">
        <v>244</v>
      </c>
      <c r="C8" s="223"/>
      <c r="D8" s="224"/>
      <c r="E8" s="163"/>
      <c r="F8" s="163"/>
    </row>
    <row r="9" spans="1:7" ht="38.25">
      <c r="A9" s="164" t="s">
        <v>659</v>
      </c>
      <c r="B9" s="173" t="s">
        <v>245</v>
      </c>
      <c r="C9" s="223"/>
      <c r="D9" s="224"/>
      <c r="E9" s="163"/>
      <c r="F9" s="163"/>
    </row>
    <row r="10" spans="1:7" ht="38.25">
      <c r="A10" s="164" t="s">
        <v>660</v>
      </c>
      <c r="B10" s="173" t="s">
        <v>246</v>
      </c>
      <c r="C10" s="223"/>
      <c r="D10" s="224"/>
      <c r="E10" s="163"/>
      <c r="F10" s="163"/>
    </row>
    <row r="11" spans="1:7" ht="25.5">
      <c r="A11" s="164" t="s">
        <v>661</v>
      </c>
      <c r="B11" s="173" t="s">
        <v>247</v>
      </c>
      <c r="C11" s="223"/>
      <c r="D11" s="224"/>
      <c r="E11" s="163"/>
      <c r="F11" s="163"/>
    </row>
    <row r="12" spans="1:7" ht="18.75">
      <c r="A12" s="161"/>
      <c r="B12" s="170" t="s">
        <v>248</v>
      </c>
      <c r="C12" s="162"/>
      <c r="D12" s="162"/>
      <c r="E12" s="229"/>
      <c r="F12" s="229"/>
    </row>
    <row r="13" spans="1:7" ht="25.5">
      <c r="A13" s="164" t="s">
        <v>662</v>
      </c>
      <c r="B13" s="173" t="s">
        <v>249</v>
      </c>
      <c r="C13" s="223"/>
      <c r="D13" s="224"/>
      <c r="E13" s="163"/>
      <c r="F13" s="163"/>
    </row>
    <row r="14" spans="1:7" ht="38.25">
      <c r="A14" s="164" t="s">
        <v>663</v>
      </c>
      <c r="B14" s="173" t="s">
        <v>250</v>
      </c>
      <c r="C14" s="223"/>
      <c r="D14" s="224"/>
      <c r="E14" s="163"/>
      <c r="F14" s="163"/>
    </row>
    <row r="15" spans="1:7" ht="38.25">
      <c r="A15" s="164" t="s">
        <v>664</v>
      </c>
      <c r="B15" s="173" t="s">
        <v>251</v>
      </c>
      <c r="C15" s="223"/>
      <c r="D15" s="224"/>
      <c r="E15" s="163"/>
      <c r="F15" s="163"/>
    </row>
    <row r="16" spans="1:7" ht="25.5">
      <c r="A16" s="164" t="s">
        <v>665</v>
      </c>
      <c r="B16" s="173" t="s">
        <v>252</v>
      </c>
      <c r="C16" s="223"/>
      <c r="D16" s="224"/>
      <c r="E16" s="163"/>
      <c r="F16" s="163"/>
    </row>
    <row r="17" spans="1:6" ht="25.5">
      <c r="A17" s="164" t="s">
        <v>666</v>
      </c>
      <c r="B17" s="173" t="s">
        <v>253</v>
      </c>
      <c r="C17" s="223"/>
      <c r="D17" s="224"/>
      <c r="E17" s="163"/>
      <c r="F17" s="163"/>
    </row>
    <row r="18" spans="1:6" ht="38.25">
      <c r="A18" s="164" t="s">
        <v>667</v>
      </c>
      <c r="B18" s="173" t="s">
        <v>254</v>
      </c>
      <c r="C18" s="223"/>
      <c r="D18" s="224"/>
      <c r="E18" s="163"/>
      <c r="F18" s="163"/>
    </row>
    <row r="19" spans="1:6" ht="18.75">
      <c r="A19" s="161"/>
      <c r="B19" s="170" t="s">
        <v>255</v>
      </c>
      <c r="C19" s="162"/>
      <c r="D19" s="162"/>
      <c r="E19" s="229"/>
      <c r="F19" s="229"/>
    </row>
    <row r="20" spans="1:6" ht="25.5">
      <c r="A20" s="164" t="s">
        <v>668</v>
      </c>
      <c r="B20" s="173" t="s">
        <v>256</v>
      </c>
      <c r="C20" s="223"/>
      <c r="D20" s="224"/>
      <c r="E20" s="163" t="s">
        <v>400</v>
      </c>
      <c r="F20" s="163"/>
    </row>
    <row r="21" spans="1:6" ht="25.5">
      <c r="A21" s="164" t="s">
        <v>669</v>
      </c>
      <c r="B21" s="173" t="s">
        <v>257</v>
      </c>
      <c r="C21" s="223"/>
      <c r="D21" s="224"/>
      <c r="E21" s="163" t="s">
        <v>400</v>
      </c>
      <c r="F21" s="163"/>
    </row>
    <row r="22" spans="1:6" ht="25.5">
      <c r="A22" s="164" t="s">
        <v>670</v>
      </c>
      <c r="B22" s="173" t="s">
        <v>258</v>
      </c>
      <c r="C22" s="223"/>
      <c r="D22" s="224"/>
      <c r="E22" s="163" t="s">
        <v>400</v>
      </c>
      <c r="F22" s="163"/>
    </row>
    <row r="23" spans="1:6" ht="38.25">
      <c r="A23" s="164" t="s">
        <v>671</v>
      </c>
      <c r="B23" s="173" t="s">
        <v>259</v>
      </c>
      <c r="C23" s="223"/>
      <c r="D23" s="224"/>
      <c r="E23" s="163" t="s">
        <v>400</v>
      </c>
      <c r="F23" s="163"/>
    </row>
    <row r="24" spans="1:6" ht="38.25">
      <c r="A24" s="164" t="s">
        <v>672</v>
      </c>
      <c r="B24" s="173" t="s">
        <v>260</v>
      </c>
      <c r="C24" s="223"/>
      <c r="D24" s="224"/>
      <c r="E24" s="163" t="s">
        <v>400</v>
      </c>
      <c r="F24" s="163"/>
    </row>
    <row r="25" spans="1:6" ht="38.25">
      <c r="A25" s="164" t="s">
        <v>673</v>
      </c>
      <c r="B25" s="173" t="s">
        <v>401</v>
      </c>
      <c r="C25" s="223"/>
      <c r="D25" s="224"/>
      <c r="E25" s="163" t="s">
        <v>400</v>
      </c>
      <c r="F25" s="163"/>
    </row>
    <row r="26" spans="1:6" ht="18.75">
      <c r="A26" s="161"/>
      <c r="B26" s="170" t="s">
        <v>261</v>
      </c>
      <c r="C26" s="162"/>
      <c r="D26" s="162"/>
      <c r="E26" s="229"/>
      <c r="F26" s="229"/>
    </row>
    <row r="27" spans="1:6" ht="25.5">
      <c r="A27" s="164" t="s">
        <v>674</v>
      </c>
      <c r="B27" s="173" t="s">
        <v>262</v>
      </c>
      <c r="C27" s="223"/>
      <c r="D27" s="224"/>
      <c r="E27" s="163"/>
      <c r="F27" s="163"/>
    </row>
    <row r="28" spans="1:6" ht="25.5">
      <c r="A28" s="164" t="s">
        <v>675</v>
      </c>
      <c r="B28" s="173" t="s">
        <v>263</v>
      </c>
      <c r="C28" s="223"/>
      <c r="D28" s="224"/>
      <c r="E28" s="163"/>
      <c r="F28" s="163"/>
    </row>
    <row r="29" spans="1:6" ht="38.25">
      <c r="A29" s="164" t="s">
        <v>676</v>
      </c>
      <c r="B29" s="173" t="s">
        <v>264</v>
      </c>
      <c r="C29" s="223"/>
      <c r="D29" s="224"/>
      <c r="E29" s="163"/>
      <c r="F29" s="163"/>
    </row>
    <row r="30" spans="1:6" ht="18.75">
      <c r="A30" s="161"/>
      <c r="B30" s="170" t="s">
        <v>265</v>
      </c>
      <c r="C30" s="162"/>
      <c r="D30" s="162"/>
      <c r="E30" s="229"/>
      <c r="F30" s="229"/>
    </row>
    <row r="31" spans="1:6" ht="38.25">
      <c r="A31" s="164" t="s">
        <v>593</v>
      </c>
      <c r="B31" s="173" t="s">
        <v>214</v>
      </c>
      <c r="C31" s="223"/>
      <c r="D31" s="224"/>
      <c r="E31" s="163"/>
      <c r="F31" s="163"/>
    </row>
    <row r="32" spans="1:6" ht="25.5">
      <c r="A32" s="164" t="s">
        <v>594</v>
      </c>
      <c r="B32" s="173" t="s">
        <v>215</v>
      </c>
      <c r="C32" s="223"/>
      <c r="D32" s="224"/>
      <c r="E32" s="163"/>
      <c r="F32" s="163"/>
    </row>
    <row r="33" spans="1:6" ht="38.25">
      <c r="A33" s="164" t="s">
        <v>595</v>
      </c>
      <c r="B33" s="173" t="s">
        <v>216</v>
      </c>
      <c r="C33" s="223"/>
      <c r="D33" s="224"/>
      <c r="E33" s="163"/>
      <c r="F33" s="163"/>
    </row>
    <row r="34" spans="1:6" ht="38.25">
      <c r="A34" s="164" t="s">
        <v>596</v>
      </c>
      <c r="B34" s="173" t="s">
        <v>217</v>
      </c>
      <c r="C34" s="223"/>
      <c r="D34" s="224"/>
      <c r="E34" s="163"/>
      <c r="F34" s="163"/>
    </row>
    <row r="35" spans="1:6" ht="18.75">
      <c r="A35" s="161"/>
      <c r="B35" s="170" t="s">
        <v>266</v>
      </c>
      <c r="C35" s="162"/>
      <c r="D35" s="162"/>
      <c r="E35" s="229"/>
      <c r="F35" s="229"/>
    </row>
    <row r="36" spans="1:6" ht="38.25">
      <c r="A36" s="164" t="s">
        <v>597</v>
      </c>
      <c r="B36" s="173" t="s">
        <v>218</v>
      </c>
      <c r="C36" s="223"/>
      <c r="D36" s="224"/>
      <c r="E36" s="163"/>
      <c r="F36" s="163"/>
    </row>
    <row r="37" spans="1:6" ht="38.25">
      <c r="A37" s="164" t="s">
        <v>598</v>
      </c>
      <c r="B37" s="173" t="s">
        <v>219</v>
      </c>
      <c r="C37" s="223"/>
      <c r="D37" s="224"/>
      <c r="E37" s="163"/>
      <c r="F37" s="163"/>
    </row>
    <row r="38" spans="1:6" ht="18.75">
      <c r="A38" s="161"/>
      <c r="B38" s="170" t="s">
        <v>212</v>
      </c>
      <c r="C38" s="162"/>
      <c r="D38" s="162"/>
      <c r="E38" s="229"/>
      <c r="F38" s="229"/>
    </row>
    <row r="39" spans="1:6" ht="51">
      <c r="A39" s="164" t="s">
        <v>599</v>
      </c>
      <c r="B39" s="173" t="s">
        <v>213</v>
      </c>
      <c r="C39" s="223"/>
      <c r="D39" s="224"/>
      <c r="E39" s="163"/>
      <c r="F39" s="163"/>
    </row>
    <row r="40" spans="1:6" ht="18">
      <c r="A40" s="225"/>
      <c r="B40" s="226" t="s">
        <v>285</v>
      </c>
      <c r="C40" s="225"/>
      <c r="D40" s="225"/>
      <c r="E40" s="225"/>
      <c r="F40" s="225"/>
    </row>
    <row r="41" spans="1:6">
      <c r="A41" s="164"/>
      <c r="B41" s="173"/>
    </row>
    <row r="42" spans="1:6" ht="15">
      <c r="A42" s="227"/>
      <c r="B42" s="228" t="s">
        <v>618</v>
      </c>
      <c r="C42" s="227"/>
      <c r="D42" s="227"/>
      <c r="E42" s="227"/>
      <c r="F42" s="227"/>
    </row>
  </sheetData>
  <mergeCells count="1">
    <mergeCell ref="E2:F2"/>
  </mergeCells>
  <conditionalFormatting sqref="C6">
    <cfRule type="cellIs" dxfId="2270" priority="1286" operator="equal">
      <formula>"No"</formula>
    </cfRule>
    <cfRule type="cellIs" dxfId="2269" priority="1287" operator="equal">
      <formula>"NA"</formula>
    </cfRule>
    <cfRule type="cellIs" dxfId="2268" priority="1288" operator="equal">
      <formula>"Yes"</formula>
    </cfRule>
  </conditionalFormatting>
  <conditionalFormatting sqref="C7">
    <cfRule type="cellIs" dxfId="2267" priority="1240" operator="equal">
      <formula>"No"</formula>
    </cfRule>
    <cfRule type="cellIs" dxfId="2266" priority="1241" operator="equal">
      <formula>"NA"</formula>
    </cfRule>
    <cfRule type="cellIs" dxfId="2265" priority="1242" operator="equal">
      <formula>"Yes"</formula>
    </cfRule>
  </conditionalFormatting>
  <conditionalFormatting sqref="C8">
    <cfRule type="cellIs" dxfId="2264" priority="1194" operator="equal">
      <formula>"No"</formula>
    </cfRule>
    <cfRule type="cellIs" dxfId="2263" priority="1195" operator="equal">
      <formula>"NA"</formula>
    </cfRule>
    <cfRule type="cellIs" dxfId="2262" priority="1196" operator="equal">
      <formula>"Yes"</formula>
    </cfRule>
  </conditionalFormatting>
  <conditionalFormatting sqref="C9">
    <cfRule type="cellIs" dxfId="2261" priority="1148" operator="equal">
      <formula>"No"</formula>
    </cfRule>
    <cfRule type="cellIs" dxfId="2260" priority="1149" operator="equal">
      <formula>"NA"</formula>
    </cfRule>
    <cfRule type="cellIs" dxfId="2259" priority="1150" operator="equal">
      <formula>"Yes"</formula>
    </cfRule>
  </conditionalFormatting>
  <conditionalFormatting sqref="C10">
    <cfRule type="cellIs" dxfId="2258" priority="1102" operator="equal">
      <formula>"No"</formula>
    </cfRule>
    <cfRule type="cellIs" dxfId="2257" priority="1103" operator="equal">
      <formula>"NA"</formula>
    </cfRule>
    <cfRule type="cellIs" dxfId="2256" priority="1104" operator="equal">
      <formula>"Yes"</formula>
    </cfRule>
  </conditionalFormatting>
  <conditionalFormatting sqref="C11">
    <cfRule type="cellIs" dxfId="2255" priority="1056" operator="equal">
      <formula>"No"</formula>
    </cfRule>
    <cfRule type="cellIs" dxfId="2254" priority="1057" operator="equal">
      <formula>"NA"</formula>
    </cfRule>
    <cfRule type="cellIs" dxfId="2253" priority="1058" operator="equal">
      <formula>"Yes"</formula>
    </cfRule>
  </conditionalFormatting>
  <conditionalFormatting sqref="C13">
    <cfRule type="cellIs" dxfId="2252" priority="1010" operator="equal">
      <formula>"No"</formula>
    </cfRule>
    <cfRule type="cellIs" dxfId="2251" priority="1011" operator="equal">
      <formula>"NA"</formula>
    </cfRule>
    <cfRule type="cellIs" dxfId="2250" priority="1012" operator="equal">
      <formula>"Yes"</formula>
    </cfRule>
  </conditionalFormatting>
  <conditionalFormatting sqref="C14">
    <cfRule type="cellIs" dxfId="2249" priority="964" operator="equal">
      <formula>"No"</formula>
    </cfRule>
    <cfRule type="cellIs" dxfId="2248" priority="965" operator="equal">
      <formula>"NA"</formula>
    </cfRule>
    <cfRule type="cellIs" dxfId="2247" priority="966" operator="equal">
      <formula>"Yes"</formula>
    </cfRule>
  </conditionalFormatting>
  <conditionalFormatting sqref="C15">
    <cfRule type="cellIs" dxfId="2246" priority="918" operator="equal">
      <formula>"No"</formula>
    </cfRule>
    <cfRule type="cellIs" dxfId="2245" priority="919" operator="equal">
      <formula>"NA"</formula>
    </cfRule>
    <cfRule type="cellIs" dxfId="2244" priority="920" operator="equal">
      <formula>"Yes"</formula>
    </cfRule>
  </conditionalFormatting>
  <conditionalFormatting sqref="C16">
    <cfRule type="cellIs" dxfId="2243" priority="872" operator="equal">
      <formula>"No"</formula>
    </cfRule>
    <cfRule type="cellIs" dxfId="2242" priority="873" operator="equal">
      <formula>"NA"</formula>
    </cfRule>
    <cfRule type="cellIs" dxfId="2241" priority="874" operator="equal">
      <formula>"Yes"</formula>
    </cfRule>
  </conditionalFormatting>
  <conditionalFormatting sqref="C17">
    <cfRule type="cellIs" dxfId="2240" priority="826" operator="equal">
      <formula>"No"</formula>
    </cfRule>
    <cfRule type="cellIs" dxfId="2239" priority="827" operator="equal">
      <formula>"NA"</formula>
    </cfRule>
    <cfRule type="cellIs" dxfId="2238" priority="828" operator="equal">
      <formula>"Yes"</formula>
    </cfRule>
  </conditionalFormatting>
  <conditionalFormatting sqref="C18">
    <cfRule type="cellIs" dxfId="2237" priority="780" operator="equal">
      <formula>"No"</formula>
    </cfRule>
    <cfRule type="cellIs" dxfId="2236" priority="781" operator="equal">
      <formula>"NA"</formula>
    </cfRule>
    <cfRule type="cellIs" dxfId="2235" priority="782" operator="equal">
      <formula>"Yes"</formula>
    </cfRule>
  </conditionalFormatting>
  <conditionalFormatting sqref="C20">
    <cfRule type="cellIs" dxfId="2234" priority="734" operator="equal">
      <formula>"No"</formula>
    </cfRule>
    <cfRule type="cellIs" dxfId="2233" priority="735" operator="equal">
      <formula>"NA"</formula>
    </cfRule>
    <cfRule type="cellIs" dxfId="2232" priority="736" operator="equal">
      <formula>"Yes"</formula>
    </cfRule>
  </conditionalFormatting>
  <conditionalFormatting sqref="C21">
    <cfRule type="cellIs" dxfId="2231" priority="688" operator="equal">
      <formula>"No"</formula>
    </cfRule>
    <cfRule type="cellIs" dxfId="2230" priority="689" operator="equal">
      <formula>"NA"</formula>
    </cfRule>
    <cfRule type="cellIs" dxfId="2229" priority="690" operator="equal">
      <formula>"Yes"</formula>
    </cfRule>
  </conditionalFormatting>
  <conditionalFormatting sqref="C22">
    <cfRule type="cellIs" dxfId="2228" priority="642" operator="equal">
      <formula>"No"</formula>
    </cfRule>
    <cfRule type="cellIs" dxfId="2227" priority="643" operator="equal">
      <formula>"NA"</formula>
    </cfRule>
    <cfRule type="cellIs" dxfId="2226" priority="644" operator="equal">
      <formula>"Yes"</formula>
    </cfRule>
  </conditionalFormatting>
  <conditionalFormatting sqref="C23">
    <cfRule type="cellIs" dxfId="2225" priority="596" operator="equal">
      <formula>"No"</formula>
    </cfRule>
    <cfRule type="cellIs" dxfId="2224" priority="597" operator="equal">
      <formula>"NA"</formula>
    </cfRule>
    <cfRule type="cellIs" dxfId="2223" priority="598" operator="equal">
      <formula>"Yes"</formula>
    </cfRule>
  </conditionalFormatting>
  <conditionalFormatting sqref="C24">
    <cfRule type="cellIs" dxfId="2222" priority="550" operator="equal">
      <formula>"No"</formula>
    </cfRule>
    <cfRule type="cellIs" dxfId="2221" priority="551" operator="equal">
      <formula>"NA"</formula>
    </cfRule>
    <cfRule type="cellIs" dxfId="2220" priority="552" operator="equal">
      <formula>"Yes"</formula>
    </cfRule>
  </conditionalFormatting>
  <conditionalFormatting sqref="C25">
    <cfRule type="cellIs" dxfId="2219" priority="504" operator="equal">
      <formula>"No"</formula>
    </cfRule>
    <cfRule type="cellIs" dxfId="2218" priority="505" operator="equal">
      <formula>"NA"</formula>
    </cfRule>
    <cfRule type="cellIs" dxfId="2217" priority="506" operator="equal">
      <formula>"Yes"</formula>
    </cfRule>
  </conditionalFormatting>
  <conditionalFormatting sqref="C27">
    <cfRule type="cellIs" dxfId="2216" priority="458" operator="equal">
      <formula>"No"</formula>
    </cfRule>
    <cfRule type="cellIs" dxfId="2215" priority="459" operator="equal">
      <formula>"NA"</formula>
    </cfRule>
    <cfRule type="cellIs" dxfId="2214" priority="460" operator="equal">
      <formula>"Yes"</formula>
    </cfRule>
  </conditionalFormatting>
  <conditionalFormatting sqref="C28">
    <cfRule type="cellIs" dxfId="2213" priority="412" operator="equal">
      <formula>"No"</formula>
    </cfRule>
    <cfRule type="cellIs" dxfId="2212" priority="413" operator="equal">
      <formula>"NA"</formula>
    </cfRule>
    <cfRule type="cellIs" dxfId="2211" priority="414" operator="equal">
      <formula>"Yes"</formula>
    </cfRule>
  </conditionalFormatting>
  <conditionalFormatting sqref="C29">
    <cfRule type="cellIs" dxfId="2210" priority="366" operator="equal">
      <formula>"No"</formula>
    </cfRule>
    <cfRule type="cellIs" dxfId="2209" priority="367" operator="equal">
      <formula>"NA"</formula>
    </cfRule>
    <cfRule type="cellIs" dxfId="2208" priority="368" operator="equal">
      <formula>"Yes"</formula>
    </cfRule>
  </conditionalFormatting>
  <conditionalFormatting sqref="C31">
    <cfRule type="cellIs" dxfId="2207" priority="320" operator="equal">
      <formula>"No"</formula>
    </cfRule>
    <cfRule type="cellIs" dxfId="2206" priority="321" operator="equal">
      <formula>"NA"</formula>
    </cfRule>
    <cfRule type="cellIs" dxfId="2205" priority="322" operator="equal">
      <formula>"Yes"</formula>
    </cfRule>
  </conditionalFormatting>
  <conditionalFormatting sqref="C32">
    <cfRule type="cellIs" dxfId="2204" priority="274" operator="equal">
      <formula>"No"</formula>
    </cfRule>
    <cfRule type="cellIs" dxfId="2203" priority="275" operator="equal">
      <formula>"NA"</formula>
    </cfRule>
    <cfRule type="cellIs" dxfId="2202" priority="276" operator="equal">
      <formula>"Yes"</formula>
    </cfRule>
  </conditionalFormatting>
  <conditionalFormatting sqref="C33">
    <cfRule type="cellIs" dxfId="2201" priority="228" operator="equal">
      <formula>"No"</formula>
    </cfRule>
    <cfRule type="cellIs" dxfId="2200" priority="229" operator="equal">
      <formula>"NA"</formula>
    </cfRule>
    <cfRule type="cellIs" dxfId="2199" priority="230" operator="equal">
      <formula>"Yes"</formula>
    </cfRule>
  </conditionalFormatting>
  <conditionalFormatting sqref="C34">
    <cfRule type="cellIs" dxfId="2198" priority="182" operator="equal">
      <formula>"No"</formula>
    </cfRule>
    <cfRule type="cellIs" dxfId="2197" priority="183" operator="equal">
      <formula>"NA"</formula>
    </cfRule>
    <cfRule type="cellIs" dxfId="2196" priority="184" operator="equal">
      <formula>"Yes"</formula>
    </cfRule>
  </conditionalFormatting>
  <conditionalFormatting sqref="C36">
    <cfRule type="cellIs" dxfId="2195" priority="136" operator="equal">
      <formula>"No"</formula>
    </cfRule>
    <cfRule type="cellIs" dxfId="2194" priority="137" operator="equal">
      <formula>"NA"</formula>
    </cfRule>
    <cfRule type="cellIs" dxfId="2193" priority="138" operator="equal">
      <formula>"Yes"</formula>
    </cfRule>
  </conditionalFormatting>
  <conditionalFormatting sqref="C37">
    <cfRule type="cellIs" dxfId="2192" priority="90" operator="equal">
      <formula>"No"</formula>
    </cfRule>
    <cfRule type="cellIs" dxfId="2191" priority="91" operator="equal">
      <formula>"NA"</formula>
    </cfRule>
    <cfRule type="cellIs" dxfId="2190" priority="92" operator="equal">
      <formula>"Yes"</formula>
    </cfRule>
  </conditionalFormatting>
  <conditionalFormatting sqref="C39">
    <cfRule type="cellIs" dxfId="2189" priority="44" operator="equal">
      <formula>"No"</formula>
    </cfRule>
    <cfRule type="cellIs" dxfId="2188" priority="45" operator="equal">
      <formula>"NA"</formula>
    </cfRule>
    <cfRule type="cellIs" dxfId="218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344</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270</v>
      </c>
      <c r="C5" s="162"/>
      <c r="D5" s="162"/>
      <c r="E5" s="229"/>
      <c r="F5" s="229"/>
    </row>
    <row r="6" spans="1:7" ht="38.25">
      <c r="A6" s="164" t="s">
        <v>677</v>
      </c>
      <c r="B6" s="173" t="s">
        <v>271</v>
      </c>
      <c r="C6" s="223"/>
      <c r="D6" s="224"/>
      <c r="E6" s="163"/>
      <c r="F6" s="163"/>
    </row>
    <row r="7" spans="1:7" ht="25.5">
      <c r="A7" s="164" t="s">
        <v>678</v>
      </c>
      <c r="B7" s="173" t="s">
        <v>402</v>
      </c>
      <c r="C7" s="223"/>
      <c r="D7" s="224"/>
      <c r="E7" s="163"/>
      <c r="F7" s="163"/>
    </row>
    <row r="8" spans="1:7" ht="76.5">
      <c r="A8" s="164" t="s">
        <v>679</v>
      </c>
      <c r="B8" s="173" t="s">
        <v>403</v>
      </c>
      <c r="C8" s="223"/>
      <c r="D8" s="224"/>
      <c r="E8" s="165" t="s">
        <v>404</v>
      </c>
      <c r="F8" s="163"/>
    </row>
    <row r="9" spans="1:7" ht="18.75">
      <c r="A9" s="161"/>
      <c r="B9" s="170" t="s">
        <v>286</v>
      </c>
      <c r="C9" s="162"/>
      <c r="D9" s="162"/>
      <c r="E9" s="229"/>
      <c r="F9" s="229"/>
    </row>
    <row r="10" spans="1:7" ht="38.25">
      <c r="A10" s="164" t="s">
        <v>680</v>
      </c>
      <c r="B10" s="173" t="s">
        <v>345</v>
      </c>
      <c r="C10" s="223"/>
      <c r="D10" s="224"/>
      <c r="E10" s="163"/>
      <c r="F10" s="163"/>
    </row>
    <row r="11" spans="1:7" ht="18.75">
      <c r="A11" s="161"/>
      <c r="B11" s="170" t="s">
        <v>272</v>
      </c>
      <c r="C11" s="162"/>
      <c r="D11" s="162"/>
      <c r="E11" s="229"/>
      <c r="F11" s="229"/>
    </row>
    <row r="12" spans="1:7" ht="51">
      <c r="A12" s="164" t="s">
        <v>681</v>
      </c>
      <c r="B12" s="173" t="s">
        <v>531</v>
      </c>
      <c r="C12" s="223"/>
      <c r="D12" s="224"/>
      <c r="E12" s="163"/>
      <c r="F12" s="163"/>
    </row>
    <row r="13" spans="1:7" ht="25.5">
      <c r="A13" s="164" t="s">
        <v>682</v>
      </c>
      <c r="B13" s="173" t="s">
        <v>273</v>
      </c>
      <c r="C13" s="223"/>
      <c r="D13" s="224"/>
      <c r="E13" s="163"/>
      <c r="F13" s="163"/>
    </row>
    <row r="14" spans="1:7" ht="38.25">
      <c r="A14" s="164" t="s">
        <v>683</v>
      </c>
      <c r="B14" s="173" t="s">
        <v>274</v>
      </c>
      <c r="C14" s="223"/>
      <c r="D14" s="224"/>
      <c r="E14" s="163"/>
      <c r="F14" s="163"/>
    </row>
    <row r="15" spans="1:7" ht="38.25">
      <c r="A15" s="164" t="s">
        <v>684</v>
      </c>
      <c r="B15" s="173" t="s">
        <v>275</v>
      </c>
      <c r="C15" s="223"/>
      <c r="D15" s="224"/>
      <c r="E15" s="163"/>
      <c r="F15" s="163"/>
    </row>
    <row r="16" spans="1:7" ht="38.25">
      <c r="A16" s="164" t="s">
        <v>685</v>
      </c>
      <c r="B16" s="173" t="s">
        <v>276</v>
      </c>
      <c r="C16" s="223"/>
      <c r="D16" s="224"/>
      <c r="E16" s="163"/>
      <c r="F16" s="163"/>
    </row>
    <row r="17" spans="1:6" ht="38.25">
      <c r="A17" s="164" t="s">
        <v>686</v>
      </c>
      <c r="B17" s="173" t="s">
        <v>277</v>
      </c>
      <c r="C17" s="223"/>
      <c r="D17" s="224"/>
      <c r="E17" s="163"/>
      <c r="F17" s="163"/>
    </row>
    <row r="18" spans="1:6" ht="25.5">
      <c r="A18" s="164" t="s">
        <v>687</v>
      </c>
      <c r="B18" s="173" t="s">
        <v>278</v>
      </c>
      <c r="C18" s="223"/>
      <c r="D18" s="224"/>
      <c r="E18" s="163"/>
      <c r="F18" s="163"/>
    </row>
    <row r="19" spans="1:6" ht="38.25">
      <c r="A19" s="164" t="s">
        <v>688</v>
      </c>
      <c r="B19" s="173" t="s">
        <v>279</v>
      </c>
      <c r="C19" s="223"/>
      <c r="D19" s="224"/>
      <c r="E19" s="163"/>
      <c r="F19" s="163"/>
    </row>
    <row r="20" spans="1:6" ht="38.25">
      <c r="A20" s="164" t="s">
        <v>689</v>
      </c>
      <c r="B20" s="173" t="s">
        <v>280</v>
      </c>
      <c r="C20" s="223"/>
      <c r="D20" s="224"/>
      <c r="E20" s="163"/>
      <c r="F20" s="163"/>
    </row>
    <row r="21" spans="1:6" ht="18.75">
      <c r="A21" s="161"/>
      <c r="B21" s="170" t="s">
        <v>281</v>
      </c>
      <c r="C21" s="162"/>
      <c r="D21" s="162"/>
      <c r="E21" s="229"/>
      <c r="F21" s="229"/>
    </row>
    <row r="22" spans="1:6" ht="51">
      <c r="A22" s="164" t="s">
        <v>690</v>
      </c>
      <c r="B22" s="173" t="s">
        <v>282</v>
      </c>
      <c r="C22" s="223"/>
      <c r="D22" s="224"/>
      <c r="E22" s="163"/>
      <c r="F22" s="163"/>
    </row>
    <row r="23" spans="1:6" ht="38.25">
      <c r="A23" s="164" t="s">
        <v>691</v>
      </c>
      <c r="B23" s="173" t="s">
        <v>283</v>
      </c>
      <c r="C23" s="223"/>
      <c r="D23" s="224"/>
      <c r="E23" s="163"/>
      <c r="F23" s="163"/>
    </row>
    <row r="24" spans="1:6" ht="178.5">
      <c r="A24" s="164" t="s">
        <v>692</v>
      </c>
      <c r="B24" s="173" t="s">
        <v>284</v>
      </c>
      <c r="C24" s="223"/>
      <c r="D24" s="224"/>
      <c r="E24" s="165" t="s">
        <v>405</v>
      </c>
      <c r="F24" s="163"/>
    </row>
    <row r="25" spans="1:6" ht="18.75">
      <c r="A25" s="161"/>
      <c r="B25" s="170" t="s">
        <v>485</v>
      </c>
      <c r="C25" s="162"/>
      <c r="D25" s="162"/>
      <c r="E25" s="229"/>
      <c r="F25" s="229"/>
    </row>
    <row r="26" spans="1:6" ht="38.25">
      <c r="A26" s="164" t="s">
        <v>693</v>
      </c>
      <c r="B26" s="173" t="s">
        <v>486</v>
      </c>
      <c r="C26" s="223"/>
      <c r="D26" s="224"/>
      <c r="E26" s="163"/>
      <c r="F26" s="163"/>
    </row>
    <row r="27" spans="1:6" ht="25.5">
      <c r="A27" s="164" t="s">
        <v>694</v>
      </c>
      <c r="B27" s="173" t="s">
        <v>487</v>
      </c>
      <c r="C27" s="223"/>
      <c r="D27" s="224"/>
      <c r="E27" s="163"/>
      <c r="F27" s="163"/>
    </row>
    <row r="28" spans="1:6" ht="38.25">
      <c r="A28" s="164" t="s">
        <v>695</v>
      </c>
      <c r="B28" s="173" t="s">
        <v>488</v>
      </c>
      <c r="C28" s="223"/>
      <c r="D28" s="224"/>
      <c r="E28" s="163"/>
      <c r="F28" s="163"/>
    </row>
    <row r="29" spans="1:6" ht="51">
      <c r="A29" s="164" t="s">
        <v>696</v>
      </c>
      <c r="B29" s="173" t="s">
        <v>489</v>
      </c>
      <c r="C29" s="223"/>
      <c r="D29" s="224"/>
      <c r="E29" s="163"/>
      <c r="F29" s="163"/>
    </row>
    <row r="30" spans="1:6" ht="38.25">
      <c r="A30" s="164" t="s">
        <v>697</v>
      </c>
      <c r="B30" s="173" t="s">
        <v>532</v>
      </c>
      <c r="C30" s="223"/>
      <c r="D30" s="224"/>
      <c r="E30" s="163"/>
      <c r="F30" s="163"/>
    </row>
    <row r="31" spans="1:6" ht="38.25">
      <c r="A31" s="164" t="s">
        <v>698</v>
      </c>
      <c r="B31" s="173" t="s">
        <v>533</v>
      </c>
      <c r="C31" s="223"/>
      <c r="D31" s="224"/>
      <c r="E31" s="163"/>
      <c r="F31" s="163"/>
    </row>
    <row r="32" spans="1:6" ht="18.75">
      <c r="A32" s="161"/>
      <c r="B32" s="170" t="s">
        <v>265</v>
      </c>
      <c r="C32" s="162"/>
      <c r="D32" s="162"/>
      <c r="E32" s="229"/>
      <c r="F32" s="229"/>
    </row>
    <row r="33" spans="1:6" ht="38.25">
      <c r="A33" s="164" t="s">
        <v>593</v>
      </c>
      <c r="B33" s="173" t="s">
        <v>214</v>
      </c>
      <c r="C33" s="223"/>
      <c r="D33" s="224"/>
      <c r="E33" s="163"/>
      <c r="F33" s="163"/>
    </row>
    <row r="34" spans="1:6" ht="25.5">
      <c r="A34" s="164" t="s">
        <v>594</v>
      </c>
      <c r="B34" s="173" t="s">
        <v>215</v>
      </c>
      <c r="C34" s="223"/>
      <c r="D34" s="224"/>
      <c r="E34" s="163"/>
      <c r="F34" s="163"/>
    </row>
    <row r="35" spans="1:6" ht="38.25">
      <c r="A35" s="164" t="s">
        <v>595</v>
      </c>
      <c r="B35" s="173" t="s">
        <v>216</v>
      </c>
      <c r="C35" s="223"/>
      <c r="D35" s="224"/>
      <c r="E35" s="163"/>
      <c r="F35" s="163"/>
    </row>
    <row r="36" spans="1:6" ht="38.25">
      <c r="A36" s="164" t="s">
        <v>596</v>
      </c>
      <c r="B36" s="173" t="s">
        <v>217</v>
      </c>
      <c r="C36" s="223"/>
      <c r="D36" s="224"/>
      <c r="E36" s="163"/>
      <c r="F36" s="163"/>
    </row>
    <row r="37" spans="1:6" ht="18.75">
      <c r="A37" s="161"/>
      <c r="B37" s="170" t="s">
        <v>266</v>
      </c>
      <c r="C37" s="162"/>
      <c r="D37" s="162"/>
      <c r="E37" s="229"/>
      <c r="F37" s="229"/>
    </row>
    <row r="38" spans="1:6" ht="38.25">
      <c r="A38" s="164" t="s">
        <v>597</v>
      </c>
      <c r="B38" s="173" t="s">
        <v>218</v>
      </c>
      <c r="C38" s="223"/>
      <c r="D38" s="224"/>
      <c r="E38" s="163"/>
      <c r="F38" s="163"/>
    </row>
    <row r="39" spans="1:6" ht="38.25">
      <c r="A39" s="164" t="s">
        <v>598</v>
      </c>
      <c r="B39" s="173" t="s">
        <v>219</v>
      </c>
      <c r="C39" s="223"/>
      <c r="D39" s="224"/>
      <c r="E39" s="163"/>
      <c r="F39" s="163"/>
    </row>
    <row r="40" spans="1:6" ht="18.75">
      <c r="A40" s="161"/>
      <c r="B40" s="170" t="s">
        <v>212</v>
      </c>
      <c r="C40" s="162"/>
      <c r="D40" s="162"/>
      <c r="E40" s="229"/>
      <c r="F40" s="229"/>
    </row>
    <row r="41" spans="1:6" ht="51">
      <c r="A41" s="164" t="s">
        <v>599</v>
      </c>
      <c r="B41" s="173" t="s">
        <v>213</v>
      </c>
      <c r="C41" s="223"/>
      <c r="D41" s="224"/>
      <c r="E41" s="163"/>
      <c r="F41" s="163"/>
    </row>
    <row r="42" spans="1:6" ht="18">
      <c r="A42" s="225"/>
      <c r="B42" s="226" t="s">
        <v>285</v>
      </c>
      <c r="C42" s="225"/>
      <c r="D42" s="225"/>
      <c r="E42" s="225"/>
      <c r="F42" s="225"/>
    </row>
    <row r="43" spans="1:6">
      <c r="A43" s="164"/>
      <c r="B43" s="173"/>
    </row>
    <row r="44" spans="1:6" ht="15">
      <c r="A44" s="227"/>
      <c r="B44" s="228" t="s">
        <v>618</v>
      </c>
      <c r="C44" s="227"/>
      <c r="D44" s="227"/>
      <c r="E44" s="227"/>
      <c r="F44" s="227"/>
    </row>
  </sheetData>
  <mergeCells count="1">
    <mergeCell ref="E2:F2"/>
  </mergeCells>
  <conditionalFormatting sqref="C6">
    <cfRule type="cellIs" dxfId="2186" priority="1332" operator="equal">
      <formula>"No"</formula>
    </cfRule>
    <cfRule type="cellIs" dxfId="2185" priority="1333" operator="equal">
      <formula>"NA"</formula>
    </cfRule>
    <cfRule type="cellIs" dxfId="2184" priority="1334" operator="equal">
      <formula>"Yes"</formula>
    </cfRule>
  </conditionalFormatting>
  <conditionalFormatting sqref="C7">
    <cfRule type="cellIs" dxfId="2183" priority="1286" operator="equal">
      <formula>"No"</formula>
    </cfRule>
    <cfRule type="cellIs" dxfId="2182" priority="1287" operator="equal">
      <formula>"NA"</formula>
    </cfRule>
    <cfRule type="cellIs" dxfId="2181" priority="1288" operator="equal">
      <formula>"Yes"</formula>
    </cfRule>
  </conditionalFormatting>
  <conditionalFormatting sqref="C8">
    <cfRule type="cellIs" dxfId="2180" priority="1240" operator="equal">
      <formula>"No"</formula>
    </cfRule>
    <cfRule type="cellIs" dxfId="2179" priority="1241" operator="equal">
      <formula>"NA"</formula>
    </cfRule>
    <cfRule type="cellIs" dxfId="2178" priority="1242" operator="equal">
      <formula>"Yes"</formula>
    </cfRule>
  </conditionalFormatting>
  <conditionalFormatting sqref="C10">
    <cfRule type="cellIs" dxfId="2177" priority="1194" operator="equal">
      <formula>"No"</formula>
    </cfRule>
    <cfRule type="cellIs" dxfId="2176" priority="1195" operator="equal">
      <formula>"NA"</formula>
    </cfRule>
    <cfRule type="cellIs" dxfId="2175" priority="1196" operator="equal">
      <formula>"Yes"</formula>
    </cfRule>
  </conditionalFormatting>
  <conditionalFormatting sqref="C12">
    <cfRule type="cellIs" dxfId="2174" priority="1148" operator="equal">
      <formula>"No"</formula>
    </cfRule>
    <cfRule type="cellIs" dxfId="2173" priority="1149" operator="equal">
      <formula>"NA"</formula>
    </cfRule>
    <cfRule type="cellIs" dxfId="2172" priority="1150" operator="equal">
      <formula>"Yes"</formula>
    </cfRule>
  </conditionalFormatting>
  <conditionalFormatting sqref="C13">
    <cfRule type="cellIs" dxfId="2171" priority="1102" operator="equal">
      <formula>"No"</formula>
    </cfRule>
    <cfRule type="cellIs" dxfId="2170" priority="1103" operator="equal">
      <formula>"NA"</formula>
    </cfRule>
    <cfRule type="cellIs" dxfId="2169" priority="1104" operator="equal">
      <formula>"Yes"</formula>
    </cfRule>
  </conditionalFormatting>
  <conditionalFormatting sqref="C14">
    <cfRule type="cellIs" dxfId="2168" priority="1056" operator="equal">
      <formula>"No"</formula>
    </cfRule>
    <cfRule type="cellIs" dxfId="2167" priority="1057" operator="equal">
      <formula>"NA"</formula>
    </cfRule>
    <cfRule type="cellIs" dxfId="2166" priority="1058" operator="equal">
      <formula>"Yes"</formula>
    </cfRule>
  </conditionalFormatting>
  <conditionalFormatting sqref="C15">
    <cfRule type="cellIs" dxfId="2165" priority="1010" operator="equal">
      <formula>"No"</formula>
    </cfRule>
    <cfRule type="cellIs" dxfId="2164" priority="1011" operator="equal">
      <formula>"NA"</formula>
    </cfRule>
    <cfRule type="cellIs" dxfId="2163" priority="1012" operator="equal">
      <formula>"Yes"</formula>
    </cfRule>
  </conditionalFormatting>
  <conditionalFormatting sqref="C16">
    <cfRule type="cellIs" dxfId="2162" priority="964" operator="equal">
      <formula>"No"</formula>
    </cfRule>
    <cfRule type="cellIs" dxfId="2161" priority="965" operator="equal">
      <formula>"NA"</formula>
    </cfRule>
    <cfRule type="cellIs" dxfId="2160" priority="966" operator="equal">
      <formula>"Yes"</formula>
    </cfRule>
  </conditionalFormatting>
  <conditionalFormatting sqref="C17">
    <cfRule type="cellIs" dxfId="2159" priority="918" operator="equal">
      <formula>"No"</formula>
    </cfRule>
    <cfRule type="cellIs" dxfId="2158" priority="919" operator="equal">
      <formula>"NA"</formula>
    </cfRule>
    <cfRule type="cellIs" dxfId="2157" priority="920" operator="equal">
      <formula>"Yes"</formula>
    </cfRule>
  </conditionalFormatting>
  <conditionalFormatting sqref="C18">
    <cfRule type="cellIs" dxfId="2156" priority="872" operator="equal">
      <formula>"No"</formula>
    </cfRule>
    <cfRule type="cellIs" dxfId="2155" priority="873" operator="equal">
      <formula>"NA"</formula>
    </cfRule>
    <cfRule type="cellIs" dxfId="2154" priority="874" operator="equal">
      <formula>"Yes"</formula>
    </cfRule>
  </conditionalFormatting>
  <conditionalFormatting sqref="C19">
    <cfRule type="cellIs" dxfId="2153" priority="826" operator="equal">
      <formula>"No"</formula>
    </cfRule>
    <cfRule type="cellIs" dxfId="2152" priority="827" operator="equal">
      <formula>"NA"</formula>
    </cfRule>
    <cfRule type="cellIs" dxfId="2151" priority="828" operator="equal">
      <formula>"Yes"</formula>
    </cfRule>
  </conditionalFormatting>
  <conditionalFormatting sqref="C20">
    <cfRule type="cellIs" dxfId="2150" priority="780" operator="equal">
      <formula>"No"</formula>
    </cfRule>
    <cfRule type="cellIs" dxfId="2149" priority="781" operator="equal">
      <formula>"NA"</formula>
    </cfRule>
    <cfRule type="cellIs" dxfId="2148" priority="782" operator="equal">
      <formula>"Yes"</formula>
    </cfRule>
  </conditionalFormatting>
  <conditionalFormatting sqref="C22">
    <cfRule type="cellIs" dxfId="2147" priority="734" operator="equal">
      <formula>"No"</formula>
    </cfRule>
    <cfRule type="cellIs" dxfId="2146" priority="735" operator="equal">
      <formula>"NA"</formula>
    </cfRule>
    <cfRule type="cellIs" dxfId="2145" priority="736" operator="equal">
      <formula>"Yes"</formula>
    </cfRule>
  </conditionalFormatting>
  <conditionalFormatting sqref="C23">
    <cfRule type="cellIs" dxfId="2144" priority="688" operator="equal">
      <formula>"No"</formula>
    </cfRule>
    <cfRule type="cellIs" dxfId="2143" priority="689" operator="equal">
      <formula>"NA"</formula>
    </cfRule>
    <cfRule type="cellIs" dxfId="2142" priority="690" operator="equal">
      <formula>"Yes"</formula>
    </cfRule>
  </conditionalFormatting>
  <conditionalFormatting sqref="C24">
    <cfRule type="cellIs" dxfId="2141" priority="642" operator="equal">
      <formula>"No"</formula>
    </cfRule>
    <cfRule type="cellIs" dxfId="2140" priority="643" operator="equal">
      <formula>"NA"</formula>
    </cfRule>
    <cfRule type="cellIs" dxfId="2139" priority="644" operator="equal">
      <formula>"Yes"</formula>
    </cfRule>
  </conditionalFormatting>
  <conditionalFormatting sqref="C26">
    <cfRule type="cellIs" dxfId="2138" priority="596" operator="equal">
      <formula>"No"</formula>
    </cfRule>
    <cfRule type="cellIs" dxfId="2137" priority="597" operator="equal">
      <formula>"NA"</formula>
    </cfRule>
    <cfRule type="cellIs" dxfId="2136" priority="598" operator="equal">
      <formula>"Yes"</formula>
    </cfRule>
  </conditionalFormatting>
  <conditionalFormatting sqref="C27">
    <cfRule type="cellIs" dxfId="2135" priority="550" operator="equal">
      <formula>"No"</formula>
    </cfRule>
    <cfRule type="cellIs" dxfId="2134" priority="551" operator="equal">
      <formula>"NA"</formula>
    </cfRule>
    <cfRule type="cellIs" dxfId="2133" priority="552" operator="equal">
      <formula>"Yes"</formula>
    </cfRule>
  </conditionalFormatting>
  <conditionalFormatting sqref="C28">
    <cfRule type="cellIs" dxfId="2132" priority="504" operator="equal">
      <formula>"No"</formula>
    </cfRule>
    <cfRule type="cellIs" dxfId="2131" priority="505" operator="equal">
      <formula>"NA"</formula>
    </cfRule>
    <cfRule type="cellIs" dxfId="2130" priority="506" operator="equal">
      <formula>"Yes"</formula>
    </cfRule>
  </conditionalFormatting>
  <conditionalFormatting sqref="C29">
    <cfRule type="cellIs" dxfId="2129" priority="458" operator="equal">
      <formula>"No"</formula>
    </cfRule>
    <cfRule type="cellIs" dxfId="2128" priority="459" operator="equal">
      <formula>"NA"</formula>
    </cfRule>
    <cfRule type="cellIs" dxfId="2127" priority="460" operator="equal">
      <formula>"Yes"</formula>
    </cfRule>
  </conditionalFormatting>
  <conditionalFormatting sqref="C30">
    <cfRule type="cellIs" dxfId="2126" priority="412" operator="equal">
      <formula>"No"</formula>
    </cfRule>
    <cfRule type="cellIs" dxfId="2125" priority="413" operator="equal">
      <formula>"NA"</formula>
    </cfRule>
    <cfRule type="cellIs" dxfId="2124" priority="414" operator="equal">
      <formula>"Yes"</formula>
    </cfRule>
  </conditionalFormatting>
  <conditionalFormatting sqref="C31">
    <cfRule type="cellIs" dxfId="2123" priority="366" operator="equal">
      <formula>"No"</formula>
    </cfRule>
    <cfRule type="cellIs" dxfId="2122" priority="367" operator="equal">
      <formula>"NA"</formula>
    </cfRule>
    <cfRule type="cellIs" dxfId="2121" priority="368" operator="equal">
      <formula>"Yes"</formula>
    </cfRule>
  </conditionalFormatting>
  <conditionalFormatting sqref="C33">
    <cfRule type="cellIs" dxfId="2120" priority="320" operator="equal">
      <formula>"No"</formula>
    </cfRule>
    <cfRule type="cellIs" dxfId="2119" priority="321" operator="equal">
      <formula>"NA"</formula>
    </cfRule>
    <cfRule type="cellIs" dxfId="2118" priority="322" operator="equal">
      <formula>"Yes"</formula>
    </cfRule>
  </conditionalFormatting>
  <conditionalFormatting sqref="C34">
    <cfRule type="cellIs" dxfId="2117" priority="274" operator="equal">
      <formula>"No"</formula>
    </cfRule>
    <cfRule type="cellIs" dxfId="2116" priority="275" operator="equal">
      <formula>"NA"</formula>
    </cfRule>
    <cfRule type="cellIs" dxfId="2115" priority="276" operator="equal">
      <formula>"Yes"</formula>
    </cfRule>
  </conditionalFormatting>
  <conditionalFormatting sqref="C35">
    <cfRule type="cellIs" dxfId="2114" priority="228" operator="equal">
      <formula>"No"</formula>
    </cfRule>
    <cfRule type="cellIs" dxfId="2113" priority="229" operator="equal">
      <formula>"NA"</formula>
    </cfRule>
    <cfRule type="cellIs" dxfId="2112" priority="230" operator="equal">
      <formula>"Yes"</formula>
    </cfRule>
  </conditionalFormatting>
  <conditionalFormatting sqref="C36">
    <cfRule type="cellIs" dxfId="2111" priority="182" operator="equal">
      <formula>"No"</formula>
    </cfRule>
    <cfRule type="cellIs" dxfId="2110" priority="183" operator="equal">
      <formula>"NA"</formula>
    </cfRule>
    <cfRule type="cellIs" dxfId="2109" priority="184" operator="equal">
      <formula>"Yes"</formula>
    </cfRule>
  </conditionalFormatting>
  <conditionalFormatting sqref="C38">
    <cfRule type="cellIs" dxfId="2108" priority="136" operator="equal">
      <formula>"No"</formula>
    </cfRule>
    <cfRule type="cellIs" dxfId="2107" priority="137" operator="equal">
      <formula>"NA"</formula>
    </cfRule>
    <cfRule type="cellIs" dxfId="2106" priority="138" operator="equal">
      <formula>"Yes"</formula>
    </cfRule>
  </conditionalFormatting>
  <conditionalFormatting sqref="C39">
    <cfRule type="cellIs" dxfId="2105" priority="90" operator="equal">
      <formula>"No"</formula>
    </cfRule>
    <cfRule type="cellIs" dxfId="2104" priority="91" operator="equal">
      <formula>"NA"</formula>
    </cfRule>
    <cfRule type="cellIs" dxfId="2103" priority="92" operator="equal">
      <formula>"Yes"</formula>
    </cfRule>
  </conditionalFormatting>
  <conditionalFormatting sqref="C41">
    <cfRule type="cellIs" dxfId="2102" priority="44" operator="equal">
      <formula>"No"</formula>
    </cfRule>
    <cfRule type="cellIs" dxfId="2101" priority="45" operator="equal">
      <formula>"NA"</formula>
    </cfRule>
    <cfRule type="cellIs" dxfId="210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346</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286</v>
      </c>
      <c r="C5" s="162"/>
      <c r="D5" s="162"/>
      <c r="E5" s="229"/>
      <c r="F5" s="229"/>
    </row>
    <row r="6" spans="1:7" ht="38.25">
      <c r="A6" s="164" t="s">
        <v>680</v>
      </c>
      <c r="B6" s="173" t="s">
        <v>345</v>
      </c>
      <c r="C6" s="223"/>
      <c r="D6" s="224"/>
      <c r="E6" s="163"/>
      <c r="F6" s="163"/>
    </row>
    <row r="7" spans="1:7" ht="18.75">
      <c r="A7" s="161"/>
      <c r="B7" s="170" t="s">
        <v>270</v>
      </c>
      <c r="C7" s="162"/>
      <c r="D7" s="162"/>
      <c r="E7" s="229"/>
      <c r="F7" s="229"/>
    </row>
    <row r="8" spans="1:7" ht="25.5">
      <c r="A8" s="164" t="s">
        <v>678</v>
      </c>
      <c r="B8" s="173" t="s">
        <v>402</v>
      </c>
      <c r="C8" s="223"/>
      <c r="D8" s="224"/>
      <c r="E8" s="163"/>
      <c r="F8" s="163"/>
    </row>
    <row r="9" spans="1:7" ht="76.5">
      <c r="A9" s="164" t="s">
        <v>679</v>
      </c>
      <c r="B9" s="173" t="s">
        <v>403</v>
      </c>
      <c r="C9" s="223"/>
      <c r="D9" s="224"/>
      <c r="E9" s="165" t="s">
        <v>404</v>
      </c>
      <c r="F9" s="163"/>
    </row>
    <row r="10" spans="1:7" ht="18.75">
      <c r="A10" s="161"/>
      <c r="B10" s="170" t="s">
        <v>272</v>
      </c>
      <c r="C10" s="162"/>
      <c r="D10" s="162"/>
      <c r="E10" s="229"/>
      <c r="F10" s="229"/>
    </row>
    <row r="11" spans="1:7" ht="38.25">
      <c r="A11" s="164" t="s">
        <v>699</v>
      </c>
      <c r="B11" s="173" t="s">
        <v>406</v>
      </c>
      <c r="C11" s="223"/>
      <c r="D11" s="224"/>
      <c r="E11" s="163"/>
      <c r="F11" s="163"/>
    </row>
    <row r="12" spans="1:7" ht="38.25">
      <c r="A12" s="164" t="s">
        <v>700</v>
      </c>
      <c r="B12" s="173" t="s">
        <v>312</v>
      </c>
      <c r="C12" s="223"/>
      <c r="D12" s="224"/>
      <c r="E12" s="163"/>
      <c r="F12" s="163"/>
    </row>
    <row r="13" spans="1:7" ht="38.25">
      <c r="A13" s="164" t="s">
        <v>701</v>
      </c>
      <c r="B13" s="173" t="s">
        <v>490</v>
      </c>
      <c r="C13" s="223"/>
      <c r="D13" s="224"/>
      <c r="E13" s="163"/>
      <c r="F13" s="163"/>
    </row>
    <row r="14" spans="1:7" ht="25.5">
      <c r="A14" s="164" t="s">
        <v>702</v>
      </c>
      <c r="B14" s="173" t="s">
        <v>491</v>
      </c>
      <c r="C14" s="223"/>
      <c r="D14" s="224"/>
      <c r="E14" s="163"/>
      <c r="F14" s="163"/>
    </row>
    <row r="15" spans="1:7" ht="25.5">
      <c r="A15" s="164" t="s">
        <v>703</v>
      </c>
      <c r="B15" s="173" t="s">
        <v>492</v>
      </c>
      <c r="C15" s="223"/>
      <c r="D15" s="224"/>
      <c r="E15" s="163"/>
      <c r="F15" s="163"/>
    </row>
    <row r="16" spans="1:7" ht="63.75">
      <c r="A16" s="164" t="s">
        <v>704</v>
      </c>
      <c r="B16" s="173" t="s">
        <v>493</v>
      </c>
      <c r="C16" s="223"/>
      <c r="D16" s="224"/>
      <c r="E16" s="163"/>
      <c r="F16" s="163"/>
    </row>
    <row r="17" spans="1:6" ht="18.75">
      <c r="A17" s="161"/>
      <c r="B17" s="170" t="s">
        <v>281</v>
      </c>
      <c r="C17" s="162"/>
      <c r="D17" s="162"/>
      <c r="E17" s="229"/>
      <c r="F17" s="229"/>
    </row>
    <row r="18" spans="1:6" ht="51">
      <c r="A18" s="164" t="s">
        <v>690</v>
      </c>
      <c r="B18" s="173" t="s">
        <v>282</v>
      </c>
      <c r="C18" s="223"/>
      <c r="D18" s="224"/>
      <c r="E18" s="163"/>
      <c r="F18" s="163"/>
    </row>
    <row r="19" spans="1:6" ht="38.25">
      <c r="A19" s="164" t="s">
        <v>691</v>
      </c>
      <c r="B19" s="173" t="s">
        <v>283</v>
      </c>
      <c r="C19" s="223"/>
      <c r="D19" s="224"/>
      <c r="E19" s="163"/>
      <c r="F19" s="163"/>
    </row>
    <row r="20" spans="1:6" ht="178.5">
      <c r="A20" s="164" t="s">
        <v>692</v>
      </c>
      <c r="B20" s="173" t="s">
        <v>284</v>
      </c>
      <c r="C20" s="223"/>
      <c r="D20" s="224"/>
      <c r="E20" s="165" t="s">
        <v>405</v>
      </c>
      <c r="F20" s="163"/>
    </row>
    <row r="21" spans="1:6" ht="18.75">
      <c r="A21" s="161"/>
      <c r="B21" s="170" t="s">
        <v>313</v>
      </c>
      <c r="C21" s="162"/>
      <c r="D21" s="162"/>
      <c r="E21" s="229"/>
      <c r="F21" s="229"/>
    </row>
    <row r="22" spans="1:6" ht="38.25">
      <c r="A22" s="164" t="s">
        <v>705</v>
      </c>
      <c r="B22" s="173" t="s">
        <v>407</v>
      </c>
      <c r="C22" s="223"/>
      <c r="D22" s="224"/>
      <c r="E22" s="163"/>
      <c r="F22" s="163"/>
    </row>
    <row r="23" spans="1:6" ht="51">
      <c r="A23" s="164" t="s">
        <v>706</v>
      </c>
      <c r="B23" s="173" t="s">
        <v>314</v>
      </c>
      <c r="C23" s="223"/>
      <c r="D23" s="224"/>
      <c r="E23" s="163"/>
      <c r="F23" s="163"/>
    </row>
    <row r="24" spans="1:6" ht="89.25">
      <c r="A24" s="164" t="s">
        <v>707</v>
      </c>
      <c r="B24" s="173" t="s">
        <v>408</v>
      </c>
      <c r="C24" s="223"/>
      <c r="D24" s="224"/>
      <c r="E24" s="163"/>
      <c r="F24" s="163"/>
    </row>
    <row r="25" spans="1:6" ht="51">
      <c r="A25" s="164" t="s">
        <v>708</v>
      </c>
      <c r="B25" s="173" t="s">
        <v>494</v>
      </c>
      <c r="C25" s="223"/>
      <c r="D25" s="224"/>
      <c r="E25" s="163"/>
      <c r="F25" s="163"/>
    </row>
    <row r="26" spans="1:6" ht="25.5">
      <c r="A26" s="164" t="s">
        <v>709</v>
      </c>
      <c r="B26" s="173" t="s">
        <v>315</v>
      </c>
      <c r="C26" s="223"/>
      <c r="D26" s="224"/>
      <c r="E26" s="163"/>
      <c r="F26" s="163"/>
    </row>
    <row r="27" spans="1:6" ht="18.75">
      <c r="A27" s="161"/>
      <c r="B27" s="170" t="s">
        <v>485</v>
      </c>
      <c r="C27" s="162"/>
      <c r="D27" s="162"/>
      <c r="E27" s="229"/>
      <c r="F27" s="229"/>
    </row>
    <row r="28" spans="1:6" ht="114.75">
      <c r="A28" s="164" t="s">
        <v>710</v>
      </c>
      <c r="B28" s="173" t="s">
        <v>711</v>
      </c>
      <c r="C28" s="223"/>
      <c r="D28" s="224"/>
      <c r="E28" s="163"/>
      <c r="F28" s="163"/>
    </row>
    <row r="29" spans="1:6" ht="38.25">
      <c r="A29" s="164" t="s">
        <v>712</v>
      </c>
      <c r="B29" s="173" t="s">
        <v>495</v>
      </c>
      <c r="C29" s="223"/>
      <c r="D29" s="224"/>
      <c r="E29" s="163"/>
      <c r="F29" s="163"/>
    </row>
    <row r="30" spans="1:6" ht="25.5">
      <c r="A30" s="164" t="s">
        <v>713</v>
      </c>
      <c r="B30" s="173" t="s">
        <v>496</v>
      </c>
      <c r="C30" s="223"/>
      <c r="D30" s="224"/>
      <c r="E30" s="163"/>
      <c r="F30" s="163"/>
    </row>
    <row r="31" spans="1:6" ht="38.25">
      <c r="A31" s="164" t="s">
        <v>714</v>
      </c>
      <c r="B31" s="173" t="s">
        <v>497</v>
      </c>
      <c r="C31" s="223"/>
      <c r="D31" s="224"/>
      <c r="E31" s="163"/>
      <c r="F31" s="163"/>
    </row>
    <row r="32" spans="1:6" ht="38.25">
      <c r="A32" s="164" t="s">
        <v>715</v>
      </c>
      <c r="B32" s="173" t="s">
        <v>498</v>
      </c>
      <c r="C32" s="223"/>
      <c r="D32" s="224"/>
      <c r="E32" s="163"/>
      <c r="F32" s="163"/>
    </row>
    <row r="33" spans="1:6" ht="25.5">
      <c r="A33" s="164" t="s">
        <v>716</v>
      </c>
      <c r="B33" s="173" t="s">
        <v>499</v>
      </c>
      <c r="C33" s="223"/>
      <c r="D33" s="224"/>
      <c r="E33" s="163"/>
      <c r="F33" s="163"/>
    </row>
    <row r="34" spans="1:6" ht="51">
      <c r="A34" s="164" t="s">
        <v>717</v>
      </c>
      <c r="B34" s="173" t="s">
        <v>500</v>
      </c>
      <c r="C34" s="223"/>
      <c r="D34" s="224"/>
      <c r="E34" s="163"/>
      <c r="F34" s="163"/>
    </row>
    <row r="35" spans="1:6" ht="51">
      <c r="A35" s="164" t="s">
        <v>718</v>
      </c>
      <c r="B35" s="173" t="s">
        <v>534</v>
      </c>
      <c r="C35" s="223"/>
      <c r="D35" s="224"/>
      <c r="E35" s="163"/>
      <c r="F35" s="163"/>
    </row>
    <row r="36" spans="1:6" ht="38.25">
      <c r="A36" s="164" t="s">
        <v>719</v>
      </c>
      <c r="B36" s="173" t="s">
        <v>535</v>
      </c>
      <c r="C36" s="223"/>
      <c r="D36" s="224"/>
      <c r="E36" s="163"/>
      <c r="F36" s="163"/>
    </row>
    <row r="37" spans="1:6" ht="38.25">
      <c r="A37" s="164" t="s">
        <v>720</v>
      </c>
      <c r="B37" s="173" t="s">
        <v>536</v>
      </c>
      <c r="C37" s="223"/>
      <c r="D37" s="224"/>
      <c r="E37" s="163"/>
      <c r="F37" s="163"/>
    </row>
    <row r="38" spans="1:6" ht="38.25">
      <c r="A38" s="164" t="s">
        <v>721</v>
      </c>
      <c r="B38" s="173" t="s">
        <v>537</v>
      </c>
      <c r="C38" s="223"/>
      <c r="D38" s="224"/>
      <c r="E38" s="163"/>
      <c r="F38" s="163"/>
    </row>
    <row r="39" spans="1:6" ht="18.75">
      <c r="A39" s="161"/>
      <c r="B39" s="170" t="s">
        <v>265</v>
      </c>
      <c r="C39" s="162"/>
      <c r="D39" s="162"/>
      <c r="E39" s="229"/>
      <c r="F39" s="229"/>
    </row>
    <row r="40" spans="1:6" ht="38.25">
      <c r="A40" s="164" t="s">
        <v>593</v>
      </c>
      <c r="B40" s="173" t="s">
        <v>214</v>
      </c>
      <c r="C40" s="223"/>
      <c r="D40" s="224"/>
      <c r="E40" s="163"/>
      <c r="F40" s="163"/>
    </row>
    <row r="41" spans="1:6" ht="25.5">
      <c r="A41" s="164" t="s">
        <v>594</v>
      </c>
      <c r="B41" s="173" t="s">
        <v>215</v>
      </c>
      <c r="C41" s="223"/>
      <c r="D41" s="224"/>
      <c r="E41" s="163"/>
      <c r="F41" s="163"/>
    </row>
    <row r="42" spans="1:6" ht="38.25">
      <c r="A42" s="164" t="s">
        <v>595</v>
      </c>
      <c r="B42" s="173" t="s">
        <v>216</v>
      </c>
      <c r="C42" s="223"/>
      <c r="D42" s="224"/>
      <c r="E42" s="163"/>
      <c r="F42" s="163"/>
    </row>
    <row r="43" spans="1:6" ht="38.25">
      <c r="A43" s="164" t="s">
        <v>596</v>
      </c>
      <c r="B43" s="173" t="s">
        <v>217</v>
      </c>
      <c r="C43" s="223"/>
      <c r="D43" s="224"/>
      <c r="E43" s="163"/>
      <c r="F43" s="163"/>
    </row>
    <row r="44" spans="1:6" ht="18.75">
      <c r="A44" s="161"/>
      <c r="B44" s="170" t="s">
        <v>266</v>
      </c>
      <c r="C44" s="162"/>
      <c r="D44" s="162"/>
      <c r="E44" s="229"/>
      <c r="F44" s="229"/>
    </row>
    <row r="45" spans="1:6" ht="38.25">
      <c r="A45" s="164" t="s">
        <v>597</v>
      </c>
      <c r="B45" s="173" t="s">
        <v>218</v>
      </c>
      <c r="C45" s="223"/>
      <c r="D45" s="224"/>
      <c r="E45" s="163"/>
      <c r="F45" s="163"/>
    </row>
    <row r="46" spans="1:6" ht="38.25">
      <c r="A46" s="164" t="s">
        <v>598</v>
      </c>
      <c r="B46" s="173" t="s">
        <v>219</v>
      </c>
      <c r="C46" s="223"/>
      <c r="D46" s="224"/>
      <c r="E46" s="163"/>
      <c r="F46" s="163"/>
    </row>
    <row r="47" spans="1:6" ht="18.75">
      <c r="A47" s="161"/>
      <c r="B47" s="170" t="s">
        <v>212</v>
      </c>
      <c r="C47" s="162"/>
      <c r="D47" s="162"/>
      <c r="E47" s="229"/>
      <c r="F47" s="229"/>
    </row>
    <row r="48" spans="1:6" ht="51">
      <c r="A48" s="164" t="s">
        <v>599</v>
      </c>
      <c r="B48" s="173" t="s">
        <v>213</v>
      </c>
      <c r="C48" s="223"/>
      <c r="D48" s="224"/>
      <c r="E48" s="163"/>
      <c r="F48" s="163"/>
    </row>
    <row r="49" spans="1:6" ht="18">
      <c r="A49" s="225"/>
      <c r="B49" s="226" t="s">
        <v>285</v>
      </c>
      <c r="C49" s="225"/>
      <c r="D49" s="225"/>
      <c r="E49" s="225"/>
      <c r="F49" s="225"/>
    </row>
    <row r="50" spans="1:6">
      <c r="A50" s="164"/>
      <c r="B50" s="173"/>
    </row>
    <row r="51" spans="1:6" ht="15">
      <c r="A51" s="227"/>
      <c r="B51" s="228" t="s">
        <v>618</v>
      </c>
      <c r="C51" s="227"/>
      <c r="D51" s="227"/>
      <c r="E51" s="227"/>
      <c r="F51" s="227"/>
    </row>
  </sheetData>
  <mergeCells count="1">
    <mergeCell ref="E2:F2"/>
  </mergeCells>
  <conditionalFormatting sqref="C6">
    <cfRule type="cellIs" dxfId="2099" priority="1608" operator="equal">
      <formula>"No"</formula>
    </cfRule>
    <cfRule type="cellIs" dxfId="2098" priority="1609" operator="equal">
      <formula>"NA"</formula>
    </cfRule>
    <cfRule type="cellIs" dxfId="2097" priority="1610" operator="equal">
      <formula>"Yes"</formula>
    </cfRule>
  </conditionalFormatting>
  <conditionalFormatting sqref="C8">
    <cfRule type="cellIs" dxfId="2096" priority="1562" operator="equal">
      <formula>"No"</formula>
    </cfRule>
    <cfRule type="cellIs" dxfId="2095" priority="1563" operator="equal">
      <formula>"NA"</formula>
    </cfRule>
    <cfRule type="cellIs" dxfId="2094" priority="1564" operator="equal">
      <formula>"Yes"</formula>
    </cfRule>
  </conditionalFormatting>
  <conditionalFormatting sqref="C9">
    <cfRule type="cellIs" dxfId="2093" priority="1516" operator="equal">
      <formula>"No"</formula>
    </cfRule>
    <cfRule type="cellIs" dxfId="2092" priority="1517" operator="equal">
      <formula>"NA"</formula>
    </cfRule>
    <cfRule type="cellIs" dxfId="2091" priority="1518" operator="equal">
      <formula>"Yes"</formula>
    </cfRule>
  </conditionalFormatting>
  <conditionalFormatting sqref="C11">
    <cfRule type="cellIs" dxfId="2090" priority="1470" operator="equal">
      <formula>"No"</formula>
    </cfRule>
    <cfRule type="cellIs" dxfId="2089" priority="1471" operator="equal">
      <formula>"NA"</formula>
    </cfRule>
    <cfRule type="cellIs" dxfId="2088" priority="1472" operator="equal">
      <formula>"Yes"</formula>
    </cfRule>
  </conditionalFormatting>
  <conditionalFormatting sqref="C12">
    <cfRule type="cellIs" dxfId="2087" priority="1424" operator="equal">
      <formula>"No"</formula>
    </cfRule>
    <cfRule type="cellIs" dxfId="2086" priority="1425" operator="equal">
      <formula>"NA"</formula>
    </cfRule>
    <cfRule type="cellIs" dxfId="2085" priority="1426" operator="equal">
      <formula>"Yes"</formula>
    </cfRule>
  </conditionalFormatting>
  <conditionalFormatting sqref="C13">
    <cfRule type="cellIs" dxfId="2084" priority="1378" operator="equal">
      <formula>"No"</formula>
    </cfRule>
    <cfRule type="cellIs" dxfId="2083" priority="1379" operator="equal">
      <formula>"NA"</formula>
    </cfRule>
    <cfRule type="cellIs" dxfId="2082" priority="1380" operator="equal">
      <formula>"Yes"</formula>
    </cfRule>
  </conditionalFormatting>
  <conditionalFormatting sqref="C14">
    <cfRule type="cellIs" dxfId="2081" priority="1332" operator="equal">
      <formula>"No"</formula>
    </cfRule>
    <cfRule type="cellIs" dxfId="2080" priority="1333" operator="equal">
      <formula>"NA"</formula>
    </cfRule>
    <cfRule type="cellIs" dxfId="2079" priority="1334" operator="equal">
      <formula>"Yes"</formula>
    </cfRule>
  </conditionalFormatting>
  <conditionalFormatting sqref="C15">
    <cfRule type="cellIs" dxfId="2078" priority="1286" operator="equal">
      <formula>"No"</formula>
    </cfRule>
    <cfRule type="cellIs" dxfId="2077" priority="1287" operator="equal">
      <formula>"NA"</formula>
    </cfRule>
    <cfRule type="cellIs" dxfId="2076" priority="1288" operator="equal">
      <formula>"Yes"</formula>
    </cfRule>
  </conditionalFormatting>
  <conditionalFormatting sqref="C16">
    <cfRule type="cellIs" dxfId="2075" priority="1240" operator="equal">
      <formula>"No"</formula>
    </cfRule>
    <cfRule type="cellIs" dxfId="2074" priority="1241" operator="equal">
      <formula>"NA"</formula>
    </cfRule>
    <cfRule type="cellIs" dxfId="2073" priority="1242" operator="equal">
      <formula>"Yes"</formula>
    </cfRule>
  </conditionalFormatting>
  <conditionalFormatting sqref="C18">
    <cfRule type="cellIs" dxfId="2072" priority="1194" operator="equal">
      <formula>"No"</formula>
    </cfRule>
    <cfRule type="cellIs" dxfId="2071" priority="1195" operator="equal">
      <formula>"NA"</formula>
    </cfRule>
    <cfRule type="cellIs" dxfId="2070" priority="1196" operator="equal">
      <formula>"Yes"</formula>
    </cfRule>
  </conditionalFormatting>
  <conditionalFormatting sqref="C19">
    <cfRule type="cellIs" dxfId="2069" priority="1148" operator="equal">
      <formula>"No"</formula>
    </cfRule>
    <cfRule type="cellIs" dxfId="2068" priority="1149" operator="equal">
      <formula>"NA"</formula>
    </cfRule>
    <cfRule type="cellIs" dxfId="2067" priority="1150" operator="equal">
      <formula>"Yes"</formula>
    </cfRule>
  </conditionalFormatting>
  <conditionalFormatting sqref="C20">
    <cfRule type="cellIs" dxfId="2066" priority="1102" operator="equal">
      <formula>"No"</formula>
    </cfRule>
    <cfRule type="cellIs" dxfId="2065" priority="1103" operator="equal">
      <formula>"NA"</formula>
    </cfRule>
    <cfRule type="cellIs" dxfId="2064" priority="1104" operator="equal">
      <formula>"Yes"</formula>
    </cfRule>
  </conditionalFormatting>
  <conditionalFormatting sqref="C22">
    <cfRule type="cellIs" dxfId="2063" priority="1056" operator="equal">
      <formula>"No"</formula>
    </cfRule>
    <cfRule type="cellIs" dxfId="2062" priority="1057" operator="equal">
      <formula>"NA"</formula>
    </cfRule>
    <cfRule type="cellIs" dxfId="2061" priority="1058" operator="equal">
      <formula>"Yes"</formula>
    </cfRule>
  </conditionalFormatting>
  <conditionalFormatting sqref="C23">
    <cfRule type="cellIs" dxfId="2060" priority="1010" operator="equal">
      <formula>"No"</formula>
    </cfRule>
    <cfRule type="cellIs" dxfId="2059" priority="1011" operator="equal">
      <formula>"NA"</formula>
    </cfRule>
    <cfRule type="cellIs" dxfId="2058" priority="1012" operator="equal">
      <formula>"Yes"</formula>
    </cfRule>
  </conditionalFormatting>
  <conditionalFormatting sqref="C24">
    <cfRule type="cellIs" dxfId="2057" priority="964" operator="equal">
      <formula>"No"</formula>
    </cfRule>
    <cfRule type="cellIs" dxfId="2056" priority="965" operator="equal">
      <formula>"NA"</formula>
    </cfRule>
    <cfRule type="cellIs" dxfId="2055" priority="966" operator="equal">
      <formula>"Yes"</formula>
    </cfRule>
  </conditionalFormatting>
  <conditionalFormatting sqref="C25">
    <cfRule type="cellIs" dxfId="2054" priority="918" operator="equal">
      <formula>"No"</formula>
    </cfRule>
    <cfRule type="cellIs" dxfId="2053" priority="919" operator="equal">
      <formula>"NA"</formula>
    </cfRule>
    <cfRule type="cellIs" dxfId="2052" priority="920" operator="equal">
      <formula>"Yes"</formula>
    </cfRule>
  </conditionalFormatting>
  <conditionalFormatting sqref="C26">
    <cfRule type="cellIs" dxfId="2051" priority="872" operator="equal">
      <formula>"No"</formula>
    </cfRule>
    <cfRule type="cellIs" dxfId="2050" priority="873" operator="equal">
      <formula>"NA"</formula>
    </cfRule>
    <cfRule type="cellIs" dxfId="2049" priority="874" operator="equal">
      <formula>"Yes"</formula>
    </cfRule>
  </conditionalFormatting>
  <conditionalFormatting sqref="C28">
    <cfRule type="cellIs" dxfId="2048" priority="826" operator="equal">
      <formula>"No"</formula>
    </cfRule>
    <cfRule type="cellIs" dxfId="2047" priority="827" operator="equal">
      <formula>"NA"</formula>
    </cfRule>
    <cfRule type="cellIs" dxfId="2046" priority="828" operator="equal">
      <formula>"Yes"</formula>
    </cfRule>
  </conditionalFormatting>
  <conditionalFormatting sqref="C29">
    <cfRule type="cellIs" dxfId="2045" priority="780" operator="equal">
      <formula>"No"</formula>
    </cfRule>
    <cfRule type="cellIs" dxfId="2044" priority="781" operator="equal">
      <formula>"NA"</formula>
    </cfRule>
    <cfRule type="cellIs" dxfId="2043" priority="782" operator="equal">
      <formula>"Yes"</formula>
    </cfRule>
  </conditionalFormatting>
  <conditionalFormatting sqref="C30">
    <cfRule type="cellIs" dxfId="2042" priority="734" operator="equal">
      <formula>"No"</formula>
    </cfRule>
    <cfRule type="cellIs" dxfId="2041" priority="735" operator="equal">
      <formula>"NA"</formula>
    </cfRule>
    <cfRule type="cellIs" dxfId="2040" priority="736" operator="equal">
      <formula>"Yes"</formula>
    </cfRule>
  </conditionalFormatting>
  <conditionalFormatting sqref="C31">
    <cfRule type="cellIs" dxfId="2039" priority="688" operator="equal">
      <formula>"No"</formula>
    </cfRule>
    <cfRule type="cellIs" dxfId="2038" priority="689" operator="equal">
      <formula>"NA"</formula>
    </cfRule>
    <cfRule type="cellIs" dxfId="2037" priority="690" operator="equal">
      <formula>"Yes"</formula>
    </cfRule>
  </conditionalFormatting>
  <conditionalFormatting sqref="C32">
    <cfRule type="cellIs" dxfId="2036" priority="642" operator="equal">
      <formula>"No"</formula>
    </cfRule>
    <cfRule type="cellIs" dxfId="2035" priority="643" operator="equal">
      <formula>"NA"</formula>
    </cfRule>
    <cfRule type="cellIs" dxfId="2034" priority="644" operator="equal">
      <formula>"Yes"</formula>
    </cfRule>
  </conditionalFormatting>
  <conditionalFormatting sqref="C33">
    <cfRule type="cellIs" dxfId="2033" priority="596" operator="equal">
      <formula>"No"</formula>
    </cfRule>
    <cfRule type="cellIs" dxfId="2032" priority="597" operator="equal">
      <formula>"NA"</formula>
    </cfRule>
    <cfRule type="cellIs" dxfId="2031" priority="598" operator="equal">
      <formula>"Yes"</formula>
    </cfRule>
  </conditionalFormatting>
  <conditionalFormatting sqref="C34">
    <cfRule type="cellIs" dxfId="2030" priority="550" operator="equal">
      <formula>"No"</formula>
    </cfRule>
    <cfRule type="cellIs" dxfId="2029" priority="551" operator="equal">
      <formula>"NA"</formula>
    </cfRule>
    <cfRule type="cellIs" dxfId="2028" priority="552" operator="equal">
      <formula>"Yes"</formula>
    </cfRule>
  </conditionalFormatting>
  <conditionalFormatting sqref="C35">
    <cfRule type="cellIs" dxfId="2027" priority="504" operator="equal">
      <formula>"No"</formula>
    </cfRule>
    <cfRule type="cellIs" dxfId="2026" priority="505" operator="equal">
      <formula>"NA"</formula>
    </cfRule>
    <cfRule type="cellIs" dxfId="2025" priority="506" operator="equal">
      <formula>"Yes"</formula>
    </cfRule>
  </conditionalFormatting>
  <conditionalFormatting sqref="C36">
    <cfRule type="cellIs" dxfId="2024" priority="458" operator="equal">
      <formula>"No"</formula>
    </cfRule>
    <cfRule type="cellIs" dxfId="2023" priority="459" operator="equal">
      <formula>"NA"</formula>
    </cfRule>
    <cfRule type="cellIs" dxfId="2022" priority="460" operator="equal">
      <formula>"Yes"</formula>
    </cfRule>
  </conditionalFormatting>
  <conditionalFormatting sqref="C37">
    <cfRule type="cellIs" dxfId="2021" priority="412" operator="equal">
      <formula>"No"</formula>
    </cfRule>
    <cfRule type="cellIs" dxfId="2020" priority="413" operator="equal">
      <formula>"NA"</formula>
    </cfRule>
    <cfRule type="cellIs" dxfId="2019" priority="414" operator="equal">
      <formula>"Yes"</formula>
    </cfRule>
  </conditionalFormatting>
  <conditionalFormatting sqref="C38">
    <cfRule type="cellIs" dxfId="2018" priority="366" operator="equal">
      <formula>"No"</formula>
    </cfRule>
    <cfRule type="cellIs" dxfId="2017" priority="367" operator="equal">
      <formula>"NA"</formula>
    </cfRule>
    <cfRule type="cellIs" dxfId="2016" priority="368" operator="equal">
      <formula>"Yes"</formula>
    </cfRule>
  </conditionalFormatting>
  <conditionalFormatting sqref="C40">
    <cfRule type="cellIs" dxfId="2015" priority="320" operator="equal">
      <formula>"No"</formula>
    </cfRule>
    <cfRule type="cellIs" dxfId="2014" priority="321" operator="equal">
      <formula>"NA"</formula>
    </cfRule>
    <cfRule type="cellIs" dxfId="2013" priority="322" operator="equal">
      <formula>"Yes"</formula>
    </cfRule>
  </conditionalFormatting>
  <conditionalFormatting sqref="C41">
    <cfRule type="cellIs" dxfId="2012" priority="274" operator="equal">
      <formula>"No"</formula>
    </cfRule>
    <cfRule type="cellIs" dxfId="2011" priority="275" operator="equal">
      <formula>"NA"</formula>
    </cfRule>
    <cfRule type="cellIs" dxfId="2010" priority="276" operator="equal">
      <formula>"Yes"</formula>
    </cfRule>
  </conditionalFormatting>
  <conditionalFormatting sqref="C42">
    <cfRule type="cellIs" dxfId="2009" priority="228" operator="equal">
      <formula>"No"</formula>
    </cfRule>
    <cfRule type="cellIs" dxfId="2008" priority="229" operator="equal">
      <formula>"NA"</formula>
    </cfRule>
    <cfRule type="cellIs" dxfId="2007" priority="230" operator="equal">
      <formula>"Yes"</formula>
    </cfRule>
  </conditionalFormatting>
  <conditionalFormatting sqref="C43">
    <cfRule type="cellIs" dxfId="2006" priority="182" operator="equal">
      <formula>"No"</formula>
    </cfRule>
    <cfRule type="cellIs" dxfId="2005" priority="183" operator="equal">
      <formula>"NA"</formula>
    </cfRule>
    <cfRule type="cellIs" dxfId="2004" priority="184" operator="equal">
      <formula>"Yes"</formula>
    </cfRule>
  </conditionalFormatting>
  <conditionalFormatting sqref="C45">
    <cfRule type="cellIs" dxfId="2003" priority="136" operator="equal">
      <formula>"No"</formula>
    </cfRule>
    <cfRule type="cellIs" dxfId="2002" priority="137" operator="equal">
      <formula>"NA"</formula>
    </cfRule>
    <cfRule type="cellIs" dxfId="2001" priority="138" operator="equal">
      <formula>"Yes"</formula>
    </cfRule>
  </conditionalFormatting>
  <conditionalFormatting sqref="C46">
    <cfRule type="cellIs" dxfId="2000" priority="90" operator="equal">
      <formula>"No"</formula>
    </cfRule>
    <cfRule type="cellIs" dxfId="1999" priority="91" operator="equal">
      <formula>"NA"</formula>
    </cfRule>
    <cfRule type="cellIs" dxfId="1998" priority="92" operator="equal">
      <formula>"Yes"</formula>
    </cfRule>
  </conditionalFormatting>
  <conditionalFormatting sqref="C48">
    <cfRule type="cellIs" dxfId="1997" priority="44" operator="equal">
      <formula>"No"</formula>
    </cfRule>
    <cfRule type="cellIs" dxfId="1996" priority="45" operator="equal">
      <formula>"NA"</formula>
    </cfRule>
    <cfRule type="cellIs" dxfId="199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347</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248</v>
      </c>
      <c r="C5" s="162"/>
      <c r="D5" s="162"/>
      <c r="E5" s="229"/>
      <c r="F5" s="229"/>
    </row>
    <row r="6" spans="1:7" ht="38.25">
      <c r="A6" s="164" t="s">
        <v>722</v>
      </c>
      <c r="B6" s="173" t="s">
        <v>287</v>
      </c>
      <c r="C6" s="223"/>
      <c r="D6" s="224"/>
      <c r="E6" s="163"/>
      <c r="F6" s="163"/>
    </row>
    <row r="7" spans="1:7" ht="18.75">
      <c r="A7" s="161"/>
      <c r="B7" s="170" t="s">
        <v>350</v>
      </c>
      <c r="C7" s="162"/>
      <c r="D7" s="162"/>
      <c r="E7" s="229"/>
      <c r="F7" s="229"/>
    </row>
    <row r="8" spans="1:7" ht="51">
      <c r="A8" s="164" t="s">
        <v>723</v>
      </c>
      <c r="B8" s="173" t="s">
        <v>409</v>
      </c>
      <c r="C8" s="223"/>
      <c r="D8" s="224"/>
      <c r="E8" s="163"/>
      <c r="F8" s="163"/>
    </row>
    <row r="9" spans="1:7" ht="25.5">
      <c r="A9" s="164" t="s">
        <v>724</v>
      </c>
      <c r="B9" s="173" t="s">
        <v>351</v>
      </c>
      <c r="C9" s="223"/>
      <c r="D9" s="224"/>
      <c r="E9" s="163"/>
      <c r="F9" s="163"/>
    </row>
    <row r="10" spans="1:7" ht="38.25">
      <c r="A10" s="164" t="s">
        <v>725</v>
      </c>
      <c r="B10" s="173" t="s">
        <v>288</v>
      </c>
      <c r="C10" s="223"/>
      <c r="D10" s="224"/>
      <c r="E10" s="163"/>
      <c r="F10" s="163"/>
    </row>
    <row r="11" spans="1:7" ht="18.75">
      <c r="A11" s="161"/>
      <c r="B11" s="170" t="s">
        <v>348</v>
      </c>
      <c r="C11" s="162"/>
      <c r="D11" s="162"/>
      <c r="E11" s="229"/>
      <c r="F11" s="229"/>
    </row>
    <row r="12" spans="1:7" ht="38.25">
      <c r="A12" s="164" t="s">
        <v>726</v>
      </c>
      <c r="B12" s="173" t="s">
        <v>410</v>
      </c>
      <c r="C12" s="223"/>
      <c r="D12" s="224"/>
      <c r="E12" s="163"/>
      <c r="F12" s="163"/>
    </row>
    <row r="13" spans="1:7" ht="51">
      <c r="A13" s="164" t="s">
        <v>727</v>
      </c>
      <c r="B13" s="173" t="s">
        <v>349</v>
      </c>
      <c r="C13" s="223"/>
      <c r="D13" s="224"/>
      <c r="E13" s="163"/>
      <c r="F13" s="163"/>
    </row>
    <row r="14" spans="1:7" ht="18.75">
      <c r="A14" s="161"/>
      <c r="B14" s="170" t="s">
        <v>289</v>
      </c>
      <c r="C14" s="162"/>
      <c r="D14" s="162"/>
      <c r="E14" s="229"/>
      <c r="F14" s="229"/>
    </row>
    <row r="15" spans="1:7" ht="38.25">
      <c r="A15" s="164" t="s">
        <v>728</v>
      </c>
      <c r="B15" s="173" t="s">
        <v>352</v>
      </c>
      <c r="C15" s="223"/>
      <c r="D15" s="224"/>
      <c r="E15" s="163"/>
      <c r="F15" s="163"/>
    </row>
    <row r="16" spans="1:7" ht="18.75">
      <c r="A16" s="161"/>
      <c r="B16" s="170" t="s">
        <v>265</v>
      </c>
      <c r="C16" s="162"/>
      <c r="D16" s="162"/>
      <c r="E16" s="229"/>
      <c r="F16" s="229"/>
    </row>
    <row r="17" spans="1:6" ht="38.25">
      <c r="A17" s="164" t="s">
        <v>593</v>
      </c>
      <c r="B17" s="173" t="s">
        <v>214</v>
      </c>
      <c r="C17" s="223"/>
      <c r="D17" s="224"/>
      <c r="E17" s="163"/>
      <c r="F17" s="163"/>
    </row>
    <row r="18" spans="1:6" ht="25.5">
      <c r="A18" s="164" t="s">
        <v>594</v>
      </c>
      <c r="B18" s="173" t="s">
        <v>215</v>
      </c>
      <c r="C18" s="223"/>
      <c r="D18" s="224"/>
      <c r="E18" s="163"/>
      <c r="F18" s="163"/>
    </row>
    <row r="19" spans="1:6" ht="38.25">
      <c r="A19" s="164" t="s">
        <v>595</v>
      </c>
      <c r="B19" s="173" t="s">
        <v>216</v>
      </c>
      <c r="C19" s="223"/>
      <c r="D19" s="224"/>
      <c r="E19" s="163"/>
      <c r="F19" s="163"/>
    </row>
    <row r="20" spans="1:6" ht="38.25">
      <c r="A20" s="164" t="s">
        <v>596</v>
      </c>
      <c r="B20" s="173" t="s">
        <v>217</v>
      </c>
      <c r="C20" s="223"/>
      <c r="D20" s="224"/>
      <c r="E20" s="163"/>
      <c r="F20" s="163"/>
    </row>
    <row r="21" spans="1:6" ht="18.75">
      <c r="A21" s="161"/>
      <c r="B21" s="170" t="s">
        <v>266</v>
      </c>
      <c r="C21" s="162"/>
      <c r="D21" s="162"/>
      <c r="E21" s="229"/>
      <c r="F21" s="229"/>
    </row>
    <row r="22" spans="1:6" ht="38.25">
      <c r="A22" s="164" t="s">
        <v>597</v>
      </c>
      <c r="B22" s="173" t="s">
        <v>218</v>
      </c>
      <c r="C22" s="223"/>
      <c r="D22" s="224"/>
      <c r="E22" s="163"/>
      <c r="F22" s="163"/>
    </row>
    <row r="23" spans="1:6" ht="38.25">
      <c r="A23" s="164" t="s">
        <v>598</v>
      </c>
      <c r="B23" s="173" t="s">
        <v>219</v>
      </c>
      <c r="C23" s="223"/>
      <c r="D23" s="224"/>
      <c r="E23" s="163"/>
      <c r="F23" s="163"/>
    </row>
    <row r="24" spans="1:6" ht="18.75">
      <c r="A24" s="161"/>
      <c r="B24" s="170" t="s">
        <v>212</v>
      </c>
      <c r="C24" s="162"/>
      <c r="D24" s="162"/>
      <c r="E24" s="229"/>
      <c r="F24" s="229"/>
    </row>
    <row r="25" spans="1:6" ht="51">
      <c r="A25" s="164" t="s">
        <v>599</v>
      </c>
      <c r="B25" s="173" t="s">
        <v>213</v>
      </c>
      <c r="C25" s="223"/>
      <c r="D25" s="224"/>
      <c r="E25" s="163"/>
      <c r="F25" s="163"/>
    </row>
    <row r="26" spans="1:6" ht="18">
      <c r="A26" s="225"/>
      <c r="B26" s="226" t="s">
        <v>285</v>
      </c>
      <c r="C26" s="225"/>
      <c r="D26" s="225"/>
      <c r="E26" s="225"/>
      <c r="F26" s="225"/>
    </row>
    <row r="27" spans="1:6">
      <c r="A27" s="164"/>
      <c r="B27" s="173"/>
    </row>
    <row r="28" spans="1:6" ht="15">
      <c r="A28" s="227"/>
      <c r="B28" s="228" t="s">
        <v>618</v>
      </c>
      <c r="C28" s="227"/>
      <c r="D28" s="227"/>
      <c r="E28" s="227"/>
      <c r="F28" s="227"/>
    </row>
  </sheetData>
  <mergeCells count="1">
    <mergeCell ref="E2:F2"/>
  </mergeCells>
  <conditionalFormatting sqref="C6">
    <cfRule type="cellIs" dxfId="1994" priority="642" operator="equal">
      <formula>"No"</formula>
    </cfRule>
    <cfRule type="cellIs" dxfId="1993" priority="643" operator="equal">
      <formula>"NA"</formula>
    </cfRule>
    <cfRule type="cellIs" dxfId="1992" priority="644" operator="equal">
      <formula>"Yes"</formula>
    </cfRule>
  </conditionalFormatting>
  <conditionalFormatting sqref="C8">
    <cfRule type="cellIs" dxfId="1991" priority="596" operator="equal">
      <formula>"No"</formula>
    </cfRule>
    <cfRule type="cellIs" dxfId="1990" priority="597" operator="equal">
      <formula>"NA"</formula>
    </cfRule>
    <cfRule type="cellIs" dxfId="1989" priority="598" operator="equal">
      <formula>"Yes"</formula>
    </cfRule>
  </conditionalFormatting>
  <conditionalFormatting sqref="C9">
    <cfRule type="cellIs" dxfId="1988" priority="550" operator="equal">
      <formula>"No"</formula>
    </cfRule>
    <cfRule type="cellIs" dxfId="1987" priority="551" operator="equal">
      <formula>"NA"</formula>
    </cfRule>
    <cfRule type="cellIs" dxfId="1986" priority="552" operator="equal">
      <formula>"Yes"</formula>
    </cfRule>
  </conditionalFormatting>
  <conditionalFormatting sqref="C10">
    <cfRule type="cellIs" dxfId="1985" priority="504" operator="equal">
      <formula>"No"</formula>
    </cfRule>
    <cfRule type="cellIs" dxfId="1984" priority="505" operator="equal">
      <formula>"NA"</formula>
    </cfRule>
    <cfRule type="cellIs" dxfId="1983" priority="506" operator="equal">
      <formula>"Yes"</formula>
    </cfRule>
  </conditionalFormatting>
  <conditionalFormatting sqref="C12">
    <cfRule type="cellIs" dxfId="1982" priority="458" operator="equal">
      <formula>"No"</formula>
    </cfRule>
    <cfRule type="cellIs" dxfId="1981" priority="459" operator="equal">
      <formula>"NA"</formula>
    </cfRule>
    <cfRule type="cellIs" dxfId="1980" priority="460" operator="equal">
      <formula>"Yes"</formula>
    </cfRule>
  </conditionalFormatting>
  <conditionalFormatting sqref="C13">
    <cfRule type="cellIs" dxfId="1979" priority="412" operator="equal">
      <formula>"No"</formula>
    </cfRule>
    <cfRule type="cellIs" dxfId="1978" priority="413" operator="equal">
      <formula>"NA"</formula>
    </cfRule>
    <cfRule type="cellIs" dxfId="1977" priority="414" operator="equal">
      <formula>"Yes"</formula>
    </cfRule>
  </conditionalFormatting>
  <conditionalFormatting sqref="C15">
    <cfRule type="cellIs" dxfId="1976" priority="366" operator="equal">
      <formula>"No"</formula>
    </cfRule>
    <cfRule type="cellIs" dxfId="1975" priority="367" operator="equal">
      <formula>"NA"</formula>
    </cfRule>
    <cfRule type="cellIs" dxfId="1974" priority="368" operator="equal">
      <formula>"Yes"</formula>
    </cfRule>
  </conditionalFormatting>
  <conditionalFormatting sqref="C17">
    <cfRule type="cellIs" dxfId="1973" priority="320" operator="equal">
      <formula>"No"</formula>
    </cfRule>
    <cfRule type="cellIs" dxfId="1972" priority="321" operator="equal">
      <formula>"NA"</formula>
    </cfRule>
    <cfRule type="cellIs" dxfId="1971" priority="322" operator="equal">
      <formula>"Yes"</formula>
    </cfRule>
  </conditionalFormatting>
  <conditionalFormatting sqref="C18">
    <cfRule type="cellIs" dxfId="1970" priority="274" operator="equal">
      <formula>"No"</formula>
    </cfRule>
    <cfRule type="cellIs" dxfId="1969" priority="275" operator="equal">
      <formula>"NA"</formula>
    </cfRule>
    <cfRule type="cellIs" dxfId="1968" priority="276" operator="equal">
      <formula>"Yes"</formula>
    </cfRule>
  </conditionalFormatting>
  <conditionalFormatting sqref="C19">
    <cfRule type="cellIs" dxfId="1967" priority="228" operator="equal">
      <formula>"No"</formula>
    </cfRule>
    <cfRule type="cellIs" dxfId="1966" priority="229" operator="equal">
      <formula>"NA"</formula>
    </cfRule>
    <cfRule type="cellIs" dxfId="1965" priority="230" operator="equal">
      <formula>"Yes"</formula>
    </cfRule>
  </conditionalFormatting>
  <conditionalFormatting sqref="C20">
    <cfRule type="cellIs" dxfId="1964" priority="182" operator="equal">
      <formula>"No"</formula>
    </cfRule>
    <cfRule type="cellIs" dxfId="1963" priority="183" operator="equal">
      <formula>"NA"</formula>
    </cfRule>
    <cfRule type="cellIs" dxfId="1962" priority="184" operator="equal">
      <formula>"Yes"</formula>
    </cfRule>
  </conditionalFormatting>
  <conditionalFormatting sqref="C22">
    <cfRule type="cellIs" dxfId="1961" priority="136" operator="equal">
      <formula>"No"</formula>
    </cfRule>
    <cfRule type="cellIs" dxfId="1960" priority="137" operator="equal">
      <formula>"NA"</formula>
    </cfRule>
    <cfRule type="cellIs" dxfId="1959" priority="138" operator="equal">
      <formula>"Yes"</formula>
    </cfRule>
  </conditionalFormatting>
  <conditionalFormatting sqref="C23">
    <cfRule type="cellIs" dxfId="1958" priority="90" operator="equal">
      <formula>"No"</formula>
    </cfRule>
    <cfRule type="cellIs" dxfId="1957" priority="91" operator="equal">
      <formula>"NA"</formula>
    </cfRule>
    <cfRule type="cellIs" dxfId="1956" priority="92" operator="equal">
      <formula>"Yes"</formula>
    </cfRule>
  </conditionalFormatting>
  <conditionalFormatting sqref="C25">
    <cfRule type="cellIs" dxfId="1955" priority="44" operator="equal">
      <formula>"No"</formula>
    </cfRule>
    <cfRule type="cellIs" dxfId="1954" priority="45" operator="equal">
      <formula>"NA"</formula>
    </cfRule>
    <cfRule type="cellIs" dxfId="195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411</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286</v>
      </c>
      <c r="C5" s="162"/>
      <c r="D5" s="162"/>
      <c r="E5" s="229"/>
      <c r="F5" s="229"/>
    </row>
    <row r="6" spans="1:7" ht="25.5">
      <c r="A6" s="164" t="s">
        <v>729</v>
      </c>
      <c r="B6" s="173" t="s">
        <v>501</v>
      </c>
      <c r="C6" s="223"/>
      <c r="D6" s="224"/>
      <c r="E6" s="163"/>
      <c r="F6" s="163"/>
    </row>
    <row r="7" spans="1:7" ht="38.25">
      <c r="A7" s="164" t="s">
        <v>730</v>
      </c>
      <c r="B7" s="173" t="s">
        <v>294</v>
      </c>
      <c r="C7" s="223"/>
      <c r="D7" s="224"/>
      <c r="E7" s="163"/>
      <c r="F7" s="163"/>
    </row>
    <row r="8" spans="1:7" ht="38.25">
      <c r="A8" s="164" t="s">
        <v>731</v>
      </c>
      <c r="B8" s="173" t="s">
        <v>295</v>
      </c>
      <c r="C8" s="223"/>
      <c r="D8" s="224"/>
      <c r="E8" s="163"/>
      <c r="F8" s="163"/>
    </row>
    <row r="9" spans="1:7" ht="38.25">
      <c r="A9" s="164" t="s">
        <v>732</v>
      </c>
      <c r="B9" s="173" t="s">
        <v>296</v>
      </c>
      <c r="C9" s="223"/>
      <c r="D9" s="224"/>
      <c r="E9" s="163"/>
      <c r="F9" s="163"/>
    </row>
    <row r="10" spans="1:7" ht="76.5">
      <c r="A10" s="164" t="s">
        <v>733</v>
      </c>
      <c r="B10" s="173" t="s">
        <v>412</v>
      </c>
      <c r="C10" s="223"/>
      <c r="D10" s="224"/>
      <c r="E10" s="163"/>
      <c r="F10" s="163"/>
    </row>
    <row r="11" spans="1:7" ht="25.5">
      <c r="A11" s="164" t="s">
        <v>734</v>
      </c>
      <c r="B11" s="173" t="s">
        <v>413</v>
      </c>
      <c r="C11" s="223"/>
      <c r="D11" s="224"/>
      <c r="E11" s="163"/>
      <c r="F11" s="163"/>
    </row>
    <row r="12" spans="1:7" ht="38.25">
      <c r="A12" s="164" t="s">
        <v>735</v>
      </c>
      <c r="B12" s="173" t="s">
        <v>414</v>
      </c>
      <c r="C12" s="223"/>
      <c r="D12" s="224"/>
      <c r="E12" s="163"/>
      <c r="F12" s="163"/>
    </row>
    <row r="13" spans="1:7" ht="18.75">
      <c r="A13" s="161"/>
      <c r="B13" s="170" t="s">
        <v>297</v>
      </c>
      <c r="C13" s="162"/>
      <c r="D13" s="162"/>
      <c r="E13" s="229"/>
      <c r="F13" s="229"/>
    </row>
    <row r="14" spans="1:7" ht="25.5">
      <c r="A14" s="164" t="s">
        <v>736</v>
      </c>
      <c r="B14" s="173" t="s">
        <v>298</v>
      </c>
      <c r="C14" s="223"/>
      <c r="D14" s="224"/>
      <c r="E14" s="163"/>
      <c r="F14" s="163"/>
    </row>
    <row r="15" spans="1:7" ht="25.5">
      <c r="A15" s="164" t="s">
        <v>737</v>
      </c>
      <c r="B15" s="173" t="s">
        <v>299</v>
      </c>
      <c r="C15" s="223"/>
      <c r="D15" s="224"/>
      <c r="E15" s="163"/>
      <c r="F15" s="163"/>
    </row>
    <row r="16" spans="1:7" ht="25.5">
      <c r="A16" s="164" t="s">
        <v>738</v>
      </c>
      <c r="B16" s="173" t="s">
        <v>300</v>
      </c>
      <c r="C16" s="223"/>
      <c r="D16" s="224"/>
      <c r="E16" s="163"/>
      <c r="F16" s="163"/>
    </row>
    <row r="17" spans="1:6" ht="25.5">
      <c r="A17" s="164" t="s">
        <v>739</v>
      </c>
      <c r="B17" s="173" t="s">
        <v>308</v>
      </c>
      <c r="C17" s="223"/>
      <c r="D17" s="224"/>
      <c r="E17" s="163"/>
      <c r="F17" s="163"/>
    </row>
    <row r="18" spans="1:6" ht="25.5">
      <c r="A18" s="164" t="s">
        <v>740</v>
      </c>
      <c r="B18" s="173" t="s">
        <v>301</v>
      </c>
      <c r="C18" s="223"/>
      <c r="D18" s="224"/>
      <c r="E18" s="163"/>
      <c r="F18" s="163"/>
    </row>
    <row r="19" spans="1:6" ht="25.5">
      <c r="A19" s="164" t="s">
        <v>741</v>
      </c>
      <c r="B19" s="173" t="s">
        <v>302</v>
      </c>
      <c r="C19" s="223"/>
      <c r="D19" s="224"/>
      <c r="E19" s="163"/>
      <c r="F19" s="163"/>
    </row>
    <row r="20" spans="1:6" ht="18.75">
      <c r="A20" s="161"/>
      <c r="B20" s="170" t="s">
        <v>303</v>
      </c>
      <c r="C20" s="162"/>
      <c r="D20" s="162"/>
      <c r="E20" s="229"/>
      <c r="F20" s="229"/>
    </row>
    <row r="21" spans="1:6" ht="25.5">
      <c r="A21" s="164" t="s">
        <v>742</v>
      </c>
      <c r="B21" s="173" t="s">
        <v>304</v>
      </c>
      <c r="C21" s="223"/>
      <c r="D21" s="224"/>
      <c r="E21" s="163"/>
      <c r="F21" s="163"/>
    </row>
    <row r="22" spans="1:6" ht="76.5">
      <c r="A22" s="164" t="s">
        <v>743</v>
      </c>
      <c r="B22" s="173" t="s">
        <v>305</v>
      </c>
      <c r="C22" s="223"/>
      <c r="D22" s="224"/>
      <c r="E22" s="165" t="s">
        <v>310</v>
      </c>
      <c r="F22" s="163"/>
    </row>
    <row r="23" spans="1:6" ht="63.75">
      <c r="A23" s="164" t="s">
        <v>744</v>
      </c>
      <c r="B23" s="173" t="s">
        <v>415</v>
      </c>
      <c r="C23" s="223"/>
      <c r="D23" s="224"/>
      <c r="E23" s="163"/>
      <c r="F23" s="163"/>
    </row>
    <row r="24" spans="1:6" ht="25.5">
      <c r="A24" s="164" t="s">
        <v>745</v>
      </c>
      <c r="B24" s="173" t="s">
        <v>416</v>
      </c>
      <c r="C24" s="223"/>
      <c r="D24" s="224"/>
      <c r="E24" s="163"/>
      <c r="F24" s="163"/>
    </row>
    <row r="25" spans="1:6" ht="25.5">
      <c r="A25" s="164" t="s">
        <v>746</v>
      </c>
      <c r="B25" s="173" t="s">
        <v>306</v>
      </c>
      <c r="C25" s="223"/>
      <c r="D25" s="224"/>
      <c r="E25" s="163"/>
      <c r="F25" s="163"/>
    </row>
    <row r="26" spans="1:6" ht="25.5">
      <c r="A26" s="164" t="s">
        <v>747</v>
      </c>
      <c r="B26" s="173" t="s">
        <v>417</v>
      </c>
      <c r="C26" s="223"/>
      <c r="D26" s="224"/>
      <c r="E26" s="163"/>
      <c r="F26" s="163"/>
    </row>
    <row r="27" spans="1:6" ht="38.25">
      <c r="A27" s="164" t="s">
        <v>748</v>
      </c>
      <c r="B27" s="173" t="s">
        <v>307</v>
      </c>
      <c r="C27" s="223"/>
      <c r="D27" s="224"/>
      <c r="E27" s="163"/>
      <c r="F27" s="163"/>
    </row>
    <row r="28" spans="1:6" ht="38.25">
      <c r="A28" s="164" t="s">
        <v>749</v>
      </c>
      <c r="B28" s="173" t="s">
        <v>309</v>
      </c>
      <c r="C28" s="223"/>
      <c r="D28" s="224"/>
      <c r="E28" s="163"/>
      <c r="F28" s="163"/>
    </row>
    <row r="29" spans="1:6" ht="25.5">
      <c r="A29" s="164" t="s">
        <v>750</v>
      </c>
      <c r="B29" s="173" t="s">
        <v>418</v>
      </c>
      <c r="C29" s="223"/>
      <c r="D29" s="224"/>
      <c r="E29" s="163"/>
      <c r="F29" s="163"/>
    </row>
    <row r="30" spans="1:6" ht="18.75">
      <c r="A30" s="161"/>
      <c r="B30" s="170" t="s">
        <v>311</v>
      </c>
      <c r="C30" s="162"/>
      <c r="D30" s="162"/>
      <c r="E30" s="229"/>
      <c r="F30" s="229"/>
    </row>
    <row r="31" spans="1:6" ht="38.25">
      <c r="A31" s="164" t="s">
        <v>751</v>
      </c>
      <c r="B31" s="173" t="s">
        <v>419</v>
      </c>
      <c r="C31" s="223"/>
      <c r="D31" s="224"/>
      <c r="E31" s="163"/>
      <c r="F31" s="163"/>
    </row>
    <row r="32" spans="1:6" ht="38.25">
      <c r="A32" s="164" t="s">
        <v>752</v>
      </c>
      <c r="B32" s="173" t="s">
        <v>420</v>
      </c>
      <c r="C32" s="223"/>
      <c r="D32" s="224"/>
      <c r="E32" s="163"/>
      <c r="F32" s="163"/>
    </row>
    <row r="33" spans="1:6" ht="25.5">
      <c r="A33" s="164" t="s">
        <v>753</v>
      </c>
      <c r="B33" s="173" t="s">
        <v>421</v>
      </c>
      <c r="C33" s="223"/>
      <c r="D33" s="224"/>
      <c r="E33" s="163"/>
      <c r="F33" s="163"/>
    </row>
    <row r="34" spans="1:6" ht="18.75">
      <c r="A34" s="161"/>
      <c r="B34" s="170" t="s">
        <v>265</v>
      </c>
      <c r="C34" s="162"/>
      <c r="D34" s="162"/>
      <c r="E34" s="229"/>
      <c r="F34" s="229"/>
    </row>
    <row r="35" spans="1:6" ht="38.25">
      <c r="A35" s="164" t="s">
        <v>593</v>
      </c>
      <c r="B35" s="173" t="s">
        <v>214</v>
      </c>
      <c r="C35" s="223"/>
      <c r="D35" s="224"/>
      <c r="E35" s="163"/>
      <c r="F35" s="163"/>
    </row>
    <row r="36" spans="1:6" ht="25.5">
      <c r="A36" s="164" t="s">
        <v>594</v>
      </c>
      <c r="B36" s="173" t="s">
        <v>215</v>
      </c>
      <c r="C36" s="223"/>
      <c r="D36" s="224"/>
      <c r="E36" s="163"/>
      <c r="F36" s="163"/>
    </row>
    <row r="37" spans="1:6" ht="38.25">
      <c r="A37" s="164" t="s">
        <v>595</v>
      </c>
      <c r="B37" s="173" t="s">
        <v>216</v>
      </c>
      <c r="C37" s="223"/>
      <c r="D37" s="224"/>
      <c r="E37" s="163"/>
      <c r="F37" s="163"/>
    </row>
    <row r="38" spans="1:6" ht="38.25">
      <c r="A38" s="164" t="s">
        <v>596</v>
      </c>
      <c r="B38" s="173" t="s">
        <v>217</v>
      </c>
      <c r="C38" s="223"/>
      <c r="D38" s="224"/>
      <c r="E38" s="163"/>
      <c r="F38" s="163"/>
    </row>
    <row r="39" spans="1:6" ht="18.75">
      <c r="A39" s="161"/>
      <c r="B39" s="170" t="s">
        <v>266</v>
      </c>
      <c r="C39" s="162"/>
      <c r="D39" s="162"/>
      <c r="E39" s="229"/>
      <c r="F39" s="229"/>
    </row>
    <row r="40" spans="1:6" ht="38.25">
      <c r="A40" s="164" t="s">
        <v>597</v>
      </c>
      <c r="B40" s="173" t="s">
        <v>218</v>
      </c>
      <c r="C40" s="223"/>
      <c r="D40" s="224"/>
      <c r="E40" s="163"/>
      <c r="F40" s="163"/>
    </row>
    <row r="41" spans="1:6" ht="38.25">
      <c r="A41" s="164" t="s">
        <v>598</v>
      </c>
      <c r="B41" s="173" t="s">
        <v>219</v>
      </c>
      <c r="C41" s="223"/>
      <c r="D41" s="224"/>
      <c r="E41" s="163"/>
      <c r="F41" s="163"/>
    </row>
    <row r="42" spans="1:6" ht="18.75">
      <c r="A42" s="161"/>
      <c r="B42" s="170" t="s">
        <v>212</v>
      </c>
      <c r="C42" s="162"/>
      <c r="D42" s="162"/>
      <c r="E42" s="229"/>
      <c r="F42" s="229"/>
    </row>
    <row r="43" spans="1:6" ht="51">
      <c r="A43" s="164" t="s">
        <v>599</v>
      </c>
      <c r="B43" s="173" t="s">
        <v>213</v>
      </c>
      <c r="C43" s="223"/>
      <c r="D43" s="224"/>
      <c r="E43" s="163"/>
      <c r="F43" s="163"/>
    </row>
    <row r="44" spans="1:6" ht="18">
      <c r="A44" s="225"/>
      <c r="B44" s="226" t="s">
        <v>285</v>
      </c>
      <c r="C44" s="225"/>
      <c r="D44" s="225"/>
      <c r="E44" s="225"/>
      <c r="F44" s="225"/>
    </row>
    <row r="45" spans="1:6">
      <c r="A45" s="164"/>
      <c r="B45" s="173"/>
    </row>
    <row r="46" spans="1:6" ht="15">
      <c r="A46" s="227"/>
      <c r="B46" s="228" t="s">
        <v>618</v>
      </c>
      <c r="C46" s="227"/>
      <c r="D46" s="227"/>
      <c r="E46" s="227"/>
      <c r="F46" s="227"/>
    </row>
  </sheetData>
  <mergeCells count="1">
    <mergeCell ref="E2:F2"/>
  </mergeCells>
  <conditionalFormatting sqref="C6">
    <cfRule type="cellIs" dxfId="1952" priority="1470" operator="equal">
      <formula>"No"</formula>
    </cfRule>
    <cfRule type="cellIs" dxfId="1951" priority="1471" operator="equal">
      <formula>"NA"</formula>
    </cfRule>
    <cfRule type="cellIs" dxfId="1950" priority="1472" operator="equal">
      <formula>"Yes"</formula>
    </cfRule>
  </conditionalFormatting>
  <conditionalFormatting sqref="C7">
    <cfRule type="cellIs" dxfId="1949" priority="1424" operator="equal">
      <formula>"No"</formula>
    </cfRule>
    <cfRule type="cellIs" dxfId="1948" priority="1425" operator="equal">
      <formula>"NA"</formula>
    </cfRule>
    <cfRule type="cellIs" dxfId="1947" priority="1426" operator="equal">
      <formula>"Yes"</formula>
    </cfRule>
  </conditionalFormatting>
  <conditionalFormatting sqref="C8">
    <cfRule type="cellIs" dxfId="1946" priority="1378" operator="equal">
      <formula>"No"</formula>
    </cfRule>
    <cfRule type="cellIs" dxfId="1945" priority="1379" operator="equal">
      <formula>"NA"</formula>
    </cfRule>
    <cfRule type="cellIs" dxfId="1944" priority="1380" operator="equal">
      <formula>"Yes"</formula>
    </cfRule>
  </conditionalFormatting>
  <conditionalFormatting sqref="C9">
    <cfRule type="cellIs" dxfId="1943" priority="1332" operator="equal">
      <formula>"No"</formula>
    </cfRule>
    <cfRule type="cellIs" dxfId="1942" priority="1333" operator="equal">
      <formula>"NA"</formula>
    </cfRule>
    <cfRule type="cellIs" dxfId="1941" priority="1334" operator="equal">
      <formula>"Yes"</formula>
    </cfRule>
  </conditionalFormatting>
  <conditionalFormatting sqref="C10">
    <cfRule type="cellIs" dxfId="1940" priority="1286" operator="equal">
      <formula>"No"</formula>
    </cfRule>
    <cfRule type="cellIs" dxfId="1939" priority="1287" operator="equal">
      <formula>"NA"</formula>
    </cfRule>
    <cfRule type="cellIs" dxfId="1938" priority="1288" operator="equal">
      <formula>"Yes"</formula>
    </cfRule>
  </conditionalFormatting>
  <conditionalFormatting sqref="C11">
    <cfRule type="cellIs" dxfId="1937" priority="1240" operator="equal">
      <formula>"No"</formula>
    </cfRule>
    <cfRule type="cellIs" dxfId="1936" priority="1241" operator="equal">
      <formula>"NA"</formula>
    </cfRule>
    <cfRule type="cellIs" dxfId="1935" priority="1242" operator="equal">
      <formula>"Yes"</formula>
    </cfRule>
  </conditionalFormatting>
  <conditionalFormatting sqref="C12">
    <cfRule type="cellIs" dxfId="1934" priority="1194" operator="equal">
      <formula>"No"</formula>
    </cfRule>
    <cfRule type="cellIs" dxfId="1933" priority="1195" operator="equal">
      <formula>"NA"</formula>
    </cfRule>
    <cfRule type="cellIs" dxfId="1932" priority="1196" operator="equal">
      <formula>"Yes"</formula>
    </cfRule>
  </conditionalFormatting>
  <conditionalFormatting sqref="C14">
    <cfRule type="cellIs" dxfId="1931" priority="1148" operator="equal">
      <formula>"No"</formula>
    </cfRule>
    <cfRule type="cellIs" dxfId="1930" priority="1149" operator="equal">
      <formula>"NA"</formula>
    </cfRule>
    <cfRule type="cellIs" dxfId="1929" priority="1150" operator="equal">
      <formula>"Yes"</formula>
    </cfRule>
  </conditionalFormatting>
  <conditionalFormatting sqref="C15">
    <cfRule type="cellIs" dxfId="1928" priority="1102" operator="equal">
      <formula>"No"</formula>
    </cfRule>
    <cfRule type="cellIs" dxfId="1927" priority="1103" operator="equal">
      <formula>"NA"</formula>
    </cfRule>
    <cfRule type="cellIs" dxfId="1926" priority="1104" operator="equal">
      <formula>"Yes"</formula>
    </cfRule>
  </conditionalFormatting>
  <conditionalFormatting sqref="C16">
    <cfRule type="cellIs" dxfId="1925" priority="1056" operator="equal">
      <formula>"No"</formula>
    </cfRule>
    <cfRule type="cellIs" dxfId="1924" priority="1057" operator="equal">
      <formula>"NA"</formula>
    </cfRule>
    <cfRule type="cellIs" dxfId="1923" priority="1058" operator="equal">
      <formula>"Yes"</formula>
    </cfRule>
  </conditionalFormatting>
  <conditionalFormatting sqref="C17">
    <cfRule type="cellIs" dxfId="1922" priority="1010" operator="equal">
      <formula>"No"</formula>
    </cfRule>
    <cfRule type="cellIs" dxfId="1921" priority="1011" operator="equal">
      <formula>"NA"</formula>
    </cfRule>
    <cfRule type="cellIs" dxfId="1920" priority="1012" operator="equal">
      <formula>"Yes"</formula>
    </cfRule>
  </conditionalFormatting>
  <conditionalFormatting sqref="C18">
    <cfRule type="cellIs" dxfId="1919" priority="964" operator="equal">
      <formula>"No"</formula>
    </cfRule>
    <cfRule type="cellIs" dxfId="1918" priority="965" operator="equal">
      <formula>"NA"</formula>
    </cfRule>
    <cfRule type="cellIs" dxfId="1917" priority="966" operator="equal">
      <formula>"Yes"</formula>
    </cfRule>
  </conditionalFormatting>
  <conditionalFormatting sqref="C19">
    <cfRule type="cellIs" dxfId="1916" priority="918" operator="equal">
      <formula>"No"</formula>
    </cfRule>
    <cfRule type="cellIs" dxfId="1915" priority="919" operator="equal">
      <formula>"NA"</formula>
    </cfRule>
    <cfRule type="cellIs" dxfId="1914" priority="920" operator="equal">
      <formula>"Yes"</formula>
    </cfRule>
  </conditionalFormatting>
  <conditionalFormatting sqref="C21">
    <cfRule type="cellIs" dxfId="1913" priority="872" operator="equal">
      <formula>"No"</formula>
    </cfRule>
    <cfRule type="cellIs" dxfId="1912" priority="873" operator="equal">
      <formula>"NA"</formula>
    </cfRule>
    <cfRule type="cellIs" dxfId="1911" priority="874" operator="equal">
      <formula>"Yes"</formula>
    </cfRule>
  </conditionalFormatting>
  <conditionalFormatting sqref="C22">
    <cfRule type="cellIs" dxfId="1910" priority="826" operator="equal">
      <formula>"No"</formula>
    </cfRule>
    <cfRule type="cellIs" dxfId="1909" priority="827" operator="equal">
      <formula>"NA"</formula>
    </cfRule>
    <cfRule type="cellIs" dxfId="1908" priority="828" operator="equal">
      <formula>"Yes"</formula>
    </cfRule>
  </conditionalFormatting>
  <conditionalFormatting sqref="C23">
    <cfRule type="cellIs" dxfId="1907" priority="780" operator="equal">
      <formula>"No"</formula>
    </cfRule>
    <cfRule type="cellIs" dxfId="1906" priority="781" operator="equal">
      <formula>"NA"</formula>
    </cfRule>
    <cfRule type="cellIs" dxfId="1905" priority="782" operator="equal">
      <formula>"Yes"</formula>
    </cfRule>
  </conditionalFormatting>
  <conditionalFormatting sqref="C24">
    <cfRule type="cellIs" dxfId="1904" priority="734" operator="equal">
      <formula>"No"</formula>
    </cfRule>
    <cfRule type="cellIs" dxfId="1903" priority="735" operator="equal">
      <formula>"NA"</formula>
    </cfRule>
    <cfRule type="cellIs" dxfId="1902" priority="736" operator="equal">
      <formula>"Yes"</formula>
    </cfRule>
  </conditionalFormatting>
  <conditionalFormatting sqref="C25">
    <cfRule type="cellIs" dxfId="1901" priority="688" operator="equal">
      <formula>"No"</formula>
    </cfRule>
    <cfRule type="cellIs" dxfId="1900" priority="689" operator="equal">
      <formula>"NA"</formula>
    </cfRule>
    <cfRule type="cellIs" dxfId="1899" priority="690" operator="equal">
      <formula>"Yes"</formula>
    </cfRule>
  </conditionalFormatting>
  <conditionalFormatting sqref="C26">
    <cfRule type="cellIs" dxfId="1898" priority="642" operator="equal">
      <formula>"No"</formula>
    </cfRule>
    <cfRule type="cellIs" dxfId="1897" priority="643" operator="equal">
      <formula>"NA"</formula>
    </cfRule>
    <cfRule type="cellIs" dxfId="1896" priority="644" operator="equal">
      <formula>"Yes"</formula>
    </cfRule>
  </conditionalFormatting>
  <conditionalFormatting sqref="C27">
    <cfRule type="cellIs" dxfId="1895" priority="596" operator="equal">
      <formula>"No"</formula>
    </cfRule>
    <cfRule type="cellIs" dxfId="1894" priority="597" operator="equal">
      <formula>"NA"</formula>
    </cfRule>
    <cfRule type="cellIs" dxfId="1893" priority="598" operator="equal">
      <formula>"Yes"</formula>
    </cfRule>
  </conditionalFormatting>
  <conditionalFormatting sqref="C28">
    <cfRule type="cellIs" dxfId="1892" priority="550" operator="equal">
      <formula>"No"</formula>
    </cfRule>
    <cfRule type="cellIs" dxfId="1891" priority="551" operator="equal">
      <formula>"NA"</formula>
    </cfRule>
    <cfRule type="cellIs" dxfId="1890" priority="552" operator="equal">
      <formula>"Yes"</formula>
    </cfRule>
  </conditionalFormatting>
  <conditionalFormatting sqref="C29">
    <cfRule type="cellIs" dxfId="1889" priority="504" operator="equal">
      <formula>"No"</formula>
    </cfRule>
    <cfRule type="cellIs" dxfId="1888" priority="505" operator="equal">
      <formula>"NA"</formula>
    </cfRule>
    <cfRule type="cellIs" dxfId="1887" priority="506" operator="equal">
      <formula>"Yes"</formula>
    </cfRule>
  </conditionalFormatting>
  <conditionalFormatting sqref="C31">
    <cfRule type="cellIs" dxfId="1886" priority="458" operator="equal">
      <formula>"No"</formula>
    </cfRule>
    <cfRule type="cellIs" dxfId="1885" priority="459" operator="equal">
      <formula>"NA"</formula>
    </cfRule>
    <cfRule type="cellIs" dxfId="1884" priority="460" operator="equal">
      <formula>"Yes"</formula>
    </cfRule>
  </conditionalFormatting>
  <conditionalFormatting sqref="C32">
    <cfRule type="cellIs" dxfId="1883" priority="412" operator="equal">
      <formula>"No"</formula>
    </cfRule>
    <cfRule type="cellIs" dxfId="1882" priority="413" operator="equal">
      <formula>"NA"</formula>
    </cfRule>
    <cfRule type="cellIs" dxfId="1881" priority="414" operator="equal">
      <formula>"Yes"</formula>
    </cfRule>
  </conditionalFormatting>
  <conditionalFormatting sqref="C33">
    <cfRule type="cellIs" dxfId="1880" priority="366" operator="equal">
      <formula>"No"</formula>
    </cfRule>
    <cfRule type="cellIs" dxfId="1879" priority="367" operator="equal">
      <formula>"NA"</formula>
    </cfRule>
    <cfRule type="cellIs" dxfId="1878" priority="368" operator="equal">
      <formula>"Yes"</formula>
    </cfRule>
  </conditionalFormatting>
  <conditionalFormatting sqref="C35">
    <cfRule type="cellIs" dxfId="1877" priority="320" operator="equal">
      <formula>"No"</formula>
    </cfRule>
    <cfRule type="cellIs" dxfId="1876" priority="321" operator="equal">
      <formula>"NA"</formula>
    </cfRule>
    <cfRule type="cellIs" dxfId="1875" priority="322" operator="equal">
      <formula>"Yes"</formula>
    </cfRule>
  </conditionalFormatting>
  <conditionalFormatting sqref="C36">
    <cfRule type="cellIs" dxfId="1874" priority="274" operator="equal">
      <formula>"No"</formula>
    </cfRule>
    <cfRule type="cellIs" dxfId="1873" priority="275" operator="equal">
      <formula>"NA"</formula>
    </cfRule>
    <cfRule type="cellIs" dxfId="1872" priority="276" operator="equal">
      <formula>"Yes"</formula>
    </cfRule>
  </conditionalFormatting>
  <conditionalFormatting sqref="C37">
    <cfRule type="cellIs" dxfId="1871" priority="228" operator="equal">
      <formula>"No"</formula>
    </cfRule>
    <cfRule type="cellIs" dxfId="1870" priority="229" operator="equal">
      <formula>"NA"</formula>
    </cfRule>
    <cfRule type="cellIs" dxfId="1869" priority="230" operator="equal">
      <formula>"Yes"</formula>
    </cfRule>
  </conditionalFormatting>
  <conditionalFormatting sqref="C38">
    <cfRule type="cellIs" dxfId="1868" priority="182" operator="equal">
      <formula>"No"</formula>
    </cfRule>
    <cfRule type="cellIs" dxfId="1867" priority="183" operator="equal">
      <formula>"NA"</formula>
    </cfRule>
    <cfRule type="cellIs" dxfId="1866" priority="184" operator="equal">
      <formula>"Yes"</formula>
    </cfRule>
  </conditionalFormatting>
  <conditionalFormatting sqref="C40">
    <cfRule type="cellIs" dxfId="1865" priority="136" operator="equal">
      <formula>"No"</formula>
    </cfRule>
    <cfRule type="cellIs" dxfId="1864" priority="137" operator="equal">
      <formula>"NA"</formula>
    </cfRule>
    <cfRule type="cellIs" dxfId="1863" priority="138" operator="equal">
      <formula>"Yes"</formula>
    </cfRule>
  </conditionalFormatting>
  <conditionalFormatting sqref="C41">
    <cfRule type="cellIs" dxfId="1862" priority="90" operator="equal">
      <formula>"No"</formula>
    </cfRule>
    <cfRule type="cellIs" dxfId="1861" priority="91" operator="equal">
      <formula>"NA"</formula>
    </cfRule>
    <cfRule type="cellIs" dxfId="1860" priority="92" operator="equal">
      <formula>"Yes"</formula>
    </cfRule>
  </conditionalFormatting>
  <conditionalFormatting sqref="C43">
    <cfRule type="cellIs" dxfId="1859" priority="44" operator="equal">
      <formula>"No"</formula>
    </cfRule>
    <cfRule type="cellIs" dxfId="1858" priority="45" operator="equal">
      <formula>"NA"</formula>
    </cfRule>
    <cfRule type="cellIs" dxfId="185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364</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316</v>
      </c>
      <c r="C5" s="162"/>
      <c r="D5" s="162"/>
      <c r="E5" s="229"/>
      <c r="F5" s="229"/>
    </row>
    <row r="6" spans="1:7" ht="38.25">
      <c r="A6" s="164" t="s">
        <v>754</v>
      </c>
      <c r="B6" s="173" t="s">
        <v>353</v>
      </c>
      <c r="C6" s="223"/>
      <c r="D6" s="224"/>
      <c r="E6" s="163"/>
      <c r="F6" s="163"/>
    </row>
    <row r="7" spans="1:7" ht="18.75">
      <c r="A7" s="161"/>
      <c r="B7" s="170" t="s">
        <v>265</v>
      </c>
      <c r="C7" s="162"/>
      <c r="D7" s="162"/>
      <c r="E7" s="229"/>
      <c r="F7" s="229"/>
    </row>
    <row r="8" spans="1:7" ht="38.25">
      <c r="A8" s="164" t="s">
        <v>593</v>
      </c>
      <c r="B8" s="173" t="s">
        <v>214</v>
      </c>
      <c r="C8" s="223"/>
      <c r="D8" s="224"/>
      <c r="E8" s="163"/>
      <c r="F8" s="163"/>
    </row>
    <row r="9" spans="1:7" ht="25.5">
      <c r="A9" s="164" t="s">
        <v>594</v>
      </c>
      <c r="B9" s="173" t="s">
        <v>215</v>
      </c>
      <c r="C9" s="223"/>
      <c r="D9" s="224"/>
      <c r="E9" s="163"/>
      <c r="F9" s="163"/>
    </row>
    <row r="10" spans="1:7" ht="38.25">
      <c r="A10" s="164" t="s">
        <v>595</v>
      </c>
      <c r="B10" s="173" t="s">
        <v>216</v>
      </c>
      <c r="C10" s="223"/>
      <c r="D10" s="224"/>
      <c r="E10" s="163"/>
      <c r="F10" s="163"/>
    </row>
    <row r="11" spans="1:7" ht="38.25">
      <c r="A11" s="164" t="s">
        <v>596</v>
      </c>
      <c r="B11" s="173" t="s">
        <v>217</v>
      </c>
      <c r="C11" s="223"/>
      <c r="D11" s="224"/>
      <c r="E11" s="163"/>
      <c r="F11" s="163"/>
    </row>
    <row r="12" spans="1:7" ht="18.75">
      <c r="A12" s="161"/>
      <c r="B12" s="170" t="s">
        <v>266</v>
      </c>
      <c r="C12" s="162"/>
      <c r="D12" s="162"/>
      <c r="E12" s="229"/>
      <c r="F12" s="229"/>
    </row>
    <row r="13" spans="1:7" ht="38.25">
      <c r="A13" s="164" t="s">
        <v>597</v>
      </c>
      <c r="B13" s="173" t="s">
        <v>218</v>
      </c>
      <c r="C13" s="223"/>
      <c r="D13" s="224"/>
      <c r="E13" s="163"/>
      <c r="F13" s="163"/>
    </row>
    <row r="14" spans="1:7" ht="38.25">
      <c r="A14" s="164" t="s">
        <v>598</v>
      </c>
      <c r="B14" s="173" t="s">
        <v>219</v>
      </c>
      <c r="C14" s="223"/>
      <c r="D14" s="224"/>
      <c r="E14" s="163"/>
      <c r="F14" s="163"/>
    </row>
    <row r="15" spans="1:7" ht="18.75">
      <c r="A15" s="161"/>
      <c r="B15" s="170" t="s">
        <v>212</v>
      </c>
      <c r="C15" s="162"/>
      <c r="D15" s="162"/>
      <c r="E15" s="229"/>
      <c r="F15" s="229"/>
    </row>
    <row r="16" spans="1:7" ht="51">
      <c r="A16" s="164" t="s">
        <v>599</v>
      </c>
      <c r="B16" s="173" t="s">
        <v>213</v>
      </c>
      <c r="C16" s="223"/>
      <c r="D16" s="224"/>
      <c r="E16" s="163"/>
      <c r="F16" s="163"/>
    </row>
    <row r="17" spans="1:6" ht="18">
      <c r="A17" s="225"/>
      <c r="B17" s="226" t="s">
        <v>285</v>
      </c>
      <c r="C17" s="225"/>
      <c r="D17" s="225"/>
      <c r="E17" s="225"/>
      <c r="F17" s="225"/>
    </row>
    <row r="18" spans="1:6">
      <c r="A18" s="164"/>
      <c r="B18" s="173"/>
    </row>
    <row r="19" spans="1:6" ht="15">
      <c r="A19" s="227"/>
      <c r="B19" s="228" t="s">
        <v>618</v>
      </c>
      <c r="C19" s="227"/>
      <c r="D19" s="227"/>
      <c r="E19" s="227"/>
      <c r="F19" s="227"/>
    </row>
  </sheetData>
  <mergeCells count="1">
    <mergeCell ref="E2:F2"/>
  </mergeCells>
  <conditionalFormatting sqref="C6">
    <cfRule type="cellIs" dxfId="1856" priority="366" operator="equal">
      <formula>"No"</formula>
    </cfRule>
    <cfRule type="cellIs" dxfId="1855" priority="367" operator="equal">
      <formula>"NA"</formula>
    </cfRule>
    <cfRule type="cellIs" dxfId="1854" priority="368" operator="equal">
      <formula>"Yes"</formula>
    </cfRule>
  </conditionalFormatting>
  <conditionalFormatting sqref="C8">
    <cfRule type="cellIs" dxfId="1853" priority="320" operator="equal">
      <formula>"No"</formula>
    </cfRule>
    <cfRule type="cellIs" dxfId="1852" priority="321" operator="equal">
      <formula>"NA"</formula>
    </cfRule>
    <cfRule type="cellIs" dxfId="1851" priority="322" operator="equal">
      <formula>"Yes"</formula>
    </cfRule>
  </conditionalFormatting>
  <conditionalFormatting sqref="C9">
    <cfRule type="cellIs" dxfId="1850" priority="274" operator="equal">
      <formula>"No"</formula>
    </cfRule>
    <cfRule type="cellIs" dxfId="1849" priority="275" operator="equal">
      <formula>"NA"</formula>
    </cfRule>
    <cfRule type="cellIs" dxfId="1848" priority="276" operator="equal">
      <formula>"Yes"</formula>
    </cfRule>
  </conditionalFormatting>
  <conditionalFormatting sqref="C10">
    <cfRule type="cellIs" dxfId="1847" priority="228" operator="equal">
      <formula>"No"</formula>
    </cfRule>
    <cfRule type="cellIs" dxfId="1846" priority="229" operator="equal">
      <formula>"NA"</formula>
    </cfRule>
    <cfRule type="cellIs" dxfId="1845" priority="230" operator="equal">
      <formula>"Yes"</formula>
    </cfRule>
  </conditionalFormatting>
  <conditionalFormatting sqref="C11">
    <cfRule type="cellIs" dxfId="1844" priority="182" operator="equal">
      <formula>"No"</formula>
    </cfRule>
    <cfRule type="cellIs" dxfId="1843" priority="183" operator="equal">
      <formula>"NA"</formula>
    </cfRule>
    <cfRule type="cellIs" dxfId="1842" priority="184" operator="equal">
      <formula>"Yes"</formula>
    </cfRule>
  </conditionalFormatting>
  <conditionalFormatting sqref="C13">
    <cfRule type="cellIs" dxfId="1841" priority="136" operator="equal">
      <formula>"No"</formula>
    </cfRule>
    <cfRule type="cellIs" dxfId="1840" priority="137" operator="equal">
      <formula>"NA"</formula>
    </cfRule>
    <cfRule type="cellIs" dxfId="1839" priority="138" operator="equal">
      <formula>"Yes"</formula>
    </cfRule>
  </conditionalFormatting>
  <conditionalFormatting sqref="C14">
    <cfRule type="cellIs" dxfId="1838" priority="90" operator="equal">
      <formula>"No"</formula>
    </cfRule>
    <cfRule type="cellIs" dxfId="1837" priority="91" operator="equal">
      <formula>"NA"</formula>
    </cfRule>
    <cfRule type="cellIs" dxfId="1836" priority="92" operator="equal">
      <formula>"Yes"</formula>
    </cfRule>
  </conditionalFormatting>
  <conditionalFormatting sqref="C16">
    <cfRule type="cellIs" dxfId="1835" priority="44" operator="equal">
      <formula>"No"</formula>
    </cfRule>
    <cfRule type="cellIs" dxfId="1834" priority="45" operator="equal">
      <formula>"NA"</formula>
    </cfRule>
    <cfRule type="cellIs" dxfId="183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228</v>
      </c>
      <c r="B2" s="211" t="s">
        <v>354</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316</v>
      </c>
      <c r="C5" s="162"/>
      <c r="D5" s="162"/>
      <c r="E5" s="229"/>
      <c r="F5" s="229"/>
    </row>
    <row r="6" spans="1:7" ht="38.25">
      <c r="A6" s="164" t="s">
        <v>754</v>
      </c>
      <c r="B6" s="173" t="s">
        <v>353</v>
      </c>
      <c r="C6" s="223"/>
      <c r="D6" s="224"/>
      <c r="E6" s="163"/>
      <c r="F6" s="163"/>
    </row>
    <row r="7" spans="1:7" ht="18.75">
      <c r="A7" s="161"/>
      <c r="B7" s="170" t="s">
        <v>538</v>
      </c>
      <c r="C7" s="162"/>
      <c r="D7" s="162"/>
      <c r="E7" s="229"/>
      <c r="F7" s="229"/>
    </row>
    <row r="8" spans="1:7" ht="25.5">
      <c r="A8" s="164" t="s">
        <v>755</v>
      </c>
      <c r="B8" s="173" t="s">
        <v>539</v>
      </c>
      <c r="C8" s="223"/>
      <c r="D8" s="224"/>
      <c r="E8" s="163"/>
      <c r="F8" s="163"/>
    </row>
    <row r="9" spans="1:7" ht="38.25">
      <c r="A9" s="164" t="s">
        <v>756</v>
      </c>
      <c r="B9" s="173" t="s">
        <v>540</v>
      </c>
      <c r="C9" s="223"/>
      <c r="D9" s="224"/>
      <c r="E9" s="163"/>
      <c r="F9" s="163"/>
    </row>
    <row r="10" spans="1:7" ht="38.25">
      <c r="A10" s="164" t="s">
        <v>757</v>
      </c>
      <c r="B10" s="173" t="s">
        <v>541</v>
      </c>
      <c r="C10" s="223"/>
      <c r="D10" s="224"/>
      <c r="E10" s="163"/>
      <c r="F10" s="163"/>
    </row>
    <row r="11" spans="1:7" ht="38.25">
      <c r="A11" s="164" t="s">
        <v>758</v>
      </c>
      <c r="B11" s="173" t="s">
        <v>542</v>
      </c>
      <c r="C11" s="223"/>
      <c r="D11" s="224"/>
      <c r="E11" s="163"/>
      <c r="F11" s="163"/>
    </row>
    <row r="12" spans="1:7" ht="38.25">
      <c r="A12" s="164" t="s">
        <v>759</v>
      </c>
      <c r="B12" s="173" t="s">
        <v>543</v>
      </c>
      <c r="C12" s="223"/>
      <c r="D12" s="224"/>
      <c r="E12" s="163"/>
      <c r="F12" s="163"/>
    </row>
    <row r="13" spans="1:7" ht="18.75">
      <c r="A13" s="161"/>
      <c r="B13" s="170" t="s">
        <v>544</v>
      </c>
      <c r="C13" s="162"/>
      <c r="D13" s="162"/>
      <c r="E13" s="229"/>
      <c r="F13" s="229"/>
    </row>
    <row r="14" spans="1:7" ht="25.5">
      <c r="A14" s="164" t="s">
        <v>760</v>
      </c>
      <c r="B14" s="173" t="s">
        <v>545</v>
      </c>
      <c r="C14" s="223"/>
      <c r="D14" s="224"/>
      <c r="E14" s="163"/>
      <c r="F14" s="163"/>
    </row>
    <row r="15" spans="1:7" ht="25.5">
      <c r="A15" s="164" t="s">
        <v>761</v>
      </c>
      <c r="B15" s="173" t="s">
        <v>546</v>
      </c>
      <c r="C15" s="223"/>
      <c r="D15" s="224"/>
      <c r="E15" s="163"/>
      <c r="F15" s="163"/>
    </row>
    <row r="16" spans="1:7" ht="38.25">
      <c r="A16" s="164" t="s">
        <v>762</v>
      </c>
      <c r="B16" s="173" t="s">
        <v>547</v>
      </c>
      <c r="C16" s="223"/>
      <c r="D16" s="224"/>
      <c r="E16" s="163"/>
      <c r="F16" s="163"/>
    </row>
    <row r="17" spans="1:6" ht="51">
      <c r="A17" s="164" t="s">
        <v>763</v>
      </c>
      <c r="B17" s="173" t="s">
        <v>548</v>
      </c>
      <c r="C17" s="223"/>
      <c r="D17" s="224"/>
      <c r="E17" s="163"/>
      <c r="F17" s="163"/>
    </row>
    <row r="18" spans="1:6" ht="18.75">
      <c r="A18" s="161"/>
      <c r="B18" s="170" t="s">
        <v>549</v>
      </c>
      <c r="C18" s="162"/>
      <c r="D18" s="162"/>
      <c r="E18" s="229"/>
      <c r="F18" s="229"/>
    </row>
    <row r="19" spans="1:6" ht="38.25">
      <c r="A19" s="164" t="s">
        <v>764</v>
      </c>
      <c r="B19" s="173" t="s">
        <v>550</v>
      </c>
      <c r="C19" s="223"/>
      <c r="D19" s="224"/>
      <c r="E19" s="163"/>
      <c r="F19" s="163"/>
    </row>
    <row r="20" spans="1:6" ht="25.5">
      <c r="A20" s="164" t="s">
        <v>765</v>
      </c>
      <c r="B20" s="173" t="s">
        <v>551</v>
      </c>
      <c r="C20" s="223"/>
      <c r="D20" s="224"/>
      <c r="E20" s="163"/>
      <c r="F20" s="163"/>
    </row>
    <row r="21" spans="1:6" ht="38.25">
      <c r="A21" s="164" t="s">
        <v>766</v>
      </c>
      <c r="B21" s="173" t="s">
        <v>767</v>
      </c>
      <c r="C21" s="223"/>
      <c r="D21" s="224"/>
      <c r="E21" s="163"/>
      <c r="F21" s="163"/>
    </row>
    <row r="22" spans="1:6" ht="38.25">
      <c r="A22" s="164" t="s">
        <v>768</v>
      </c>
      <c r="B22" s="173" t="s">
        <v>552</v>
      </c>
      <c r="C22" s="223"/>
      <c r="D22" s="224"/>
      <c r="E22" s="163"/>
      <c r="F22" s="163"/>
    </row>
    <row r="23" spans="1:6" ht="38.25">
      <c r="A23" s="164" t="s">
        <v>769</v>
      </c>
      <c r="B23" s="173" t="s">
        <v>770</v>
      </c>
      <c r="C23" s="223"/>
      <c r="D23" s="224"/>
      <c r="E23" s="163"/>
      <c r="F23" s="163"/>
    </row>
    <row r="24" spans="1:6" ht="38.25">
      <c r="A24" s="164" t="s">
        <v>771</v>
      </c>
      <c r="B24" s="173" t="s">
        <v>553</v>
      </c>
      <c r="C24" s="223"/>
      <c r="D24" s="224"/>
      <c r="E24" s="163"/>
      <c r="F24" s="163"/>
    </row>
    <row r="25" spans="1:6" ht="25.5">
      <c r="A25" s="164" t="s">
        <v>772</v>
      </c>
      <c r="B25" s="173" t="s">
        <v>554</v>
      </c>
      <c r="C25" s="223"/>
      <c r="D25" s="224"/>
      <c r="E25" s="163"/>
      <c r="F25" s="163"/>
    </row>
    <row r="26" spans="1:6" ht="18.75">
      <c r="A26" s="161"/>
      <c r="B26" s="170" t="s">
        <v>555</v>
      </c>
      <c r="C26" s="162"/>
      <c r="D26" s="162"/>
      <c r="E26" s="229"/>
      <c r="F26" s="229"/>
    </row>
    <row r="27" spans="1:6" ht="25.5">
      <c r="A27" s="164" t="s">
        <v>773</v>
      </c>
      <c r="B27" s="173" t="s">
        <v>556</v>
      </c>
      <c r="C27" s="223"/>
      <c r="D27" s="224"/>
      <c r="E27" s="163"/>
      <c r="F27" s="163"/>
    </row>
    <row r="28" spans="1:6" ht="51">
      <c r="A28" s="164" t="s">
        <v>774</v>
      </c>
      <c r="B28" s="173" t="s">
        <v>557</v>
      </c>
      <c r="C28" s="223"/>
      <c r="D28" s="224"/>
      <c r="E28" s="163"/>
      <c r="F28" s="163"/>
    </row>
    <row r="29" spans="1:6" ht="25.5">
      <c r="A29" s="164" t="s">
        <v>775</v>
      </c>
      <c r="B29" s="173" t="s">
        <v>558</v>
      </c>
      <c r="C29" s="223"/>
      <c r="D29" s="224"/>
      <c r="E29" s="163"/>
      <c r="F29" s="163"/>
    </row>
    <row r="30" spans="1:6" ht="25.5">
      <c r="A30" s="164" t="s">
        <v>776</v>
      </c>
      <c r="B30" s="173" t="s">
        <v>559</v>
      </c>
      <c r="C30" s="223"/>
      <c r="D30" s="224"/>
      <c r="E30" s="163"/>
      <c r="F30" s="163"/>
    </row>
    <row r="31" spans="1:6" ht="25.5">
      <c r="A31" s="164" t="s">
        <v>777</v>
      </c>
      <c r="B31" s="173" t="s">
        <v>560</v>
      </c>
      <c r="C31" s="223"/>
      <c r="D31" s="224"/>
      <c r="E31" s="163"/>
      <c r="F31" s="163"/>
    </row>
    <row r="32" spans="1:6" ht="38.25">
      <c r="A32" s="164" t="s">
        <v>778</v>
      </c>
      <c r="B32" s="173" t="s">
        <v>561</v>
      </c>
      <c r="C32" s="223"/>
      <c r="D32" s="224"/>
      <c r="E32" s="163"/>
      <c r="F32" s="163"/>
    </row>
    <row r="33" spans="1:6" ht="18.75">
      <c r="A33" s="161"/>
      <c r="B33" s="170" t="s">
        <v>562</v>
      </c>
      <c r="C33" s="162"/>
      <c r="D33" s="162"/>
      <c r="E33" s="229"/>
      <c r="F33" s="229"/>
    </row>
    <row r="34" spans="1:6" ht="63.75">
      <c r="A34" s="164" t="s">
        <v>779</v>
      </c>
      <c r="B34" s="173" t="s">
        <v>563</v>
      </c>
      <c r="C34" s="223"/>
      <c r="D34" s="224"/>
      <c r="E34" s="163"/>
      <c r="F34" s="163"/>
    </row>
    <row r="35" spans="1:6" ht="18.75">
      <c r="A35" s="161"/>
      <c r="B35" s="170" t="s">
        <v>367</v>
      </c>
      <c r="C35" s="162"/>
      <c r="D35" s="162"/>
      <c r="E35" s="229"/>
      <c r="F35" s="229"/>
    </row>
    <row r="36" spans="1:6" ht="76.5">
      <c r="A36" s="164" t="s">
        <v>780</v>
      </c>
      <c r="B36" s="173" t="s">
        <v>564</v>
      </c>
      <c r="C36" s="223"/>
      <c r="D36" s="224"/>
      <c r="E36" s="163"/>
      <c r="F36" s="163"/>
    </row>
    <row r="37" spans="1:6" ht="25.5">
      <c r="A37" s="164" t="s">
        <v>781</v>
      </c>
      <c r="B37" s="173" t="s">
        <v>782</v>
      </c>
      <c r="C37" s="223"/>
      <c r="D37" s="224"/>
      <c r="E37" s="163"/>
      <c r="F37" s="163"/>
    </row>
    <row r="38" spans="1:6" ht="18.75">
      <c r="A38" s="161"/>
      <c r="B38" s="170" t="s">
        <v>265</v>
      </c>
      <c r="C38" s="162"/>
      <c r="D38" s="162"/>
      <c r="E38" s="229"/>
      <c r="F38" s="229"/>
    </row>
    <row r="39" spans="1:6" ht="38.25">
      <c r="A39" s="164" t="s">
        <v>593</v>
      </c>
      <c r="B39" s="173" t="s">
        <v>214</v>
      </c>
      <c r="C39" s="223"/>
      <c r="D39" s="224"/>
      <c r="E39" s="163"/>
      <c r="F39" s="163"/>
    </row>
    <row r="40" spans="1:6" ht="25.5">
      <c r="A40" s="164" t="s">
        <v>594</v>
      </c>
      <c r="B40" s="173" t="s">
        <v>215</v>
      </c>
      <c r="C40" s="223"/>
      <c r="D40" s="224"/>
      <c r="E40" s="163"/>
      <c r="F40" s="163"/>
    </row>
    <row r="41" spans="1:6" ht="38.25">
      <c r="A41" s="164" t="s">
        <v>595</v>
      </c>
      <c r="B41" s="173" t="s">
        <v>216</v>
      </c>
      <c r="C41" s="223"/>
      <c r="D41" s="224"/>
      <c r="E41" s="163"/>
      <c r="F41" s="163"/>
    </row>
    <row r="42" spans="1:6" ht="38.25">
      <c r="A42" s="164" t="s">
        <v>596</v>
      </c>
      <c r="B42" s="173" t="s">
        <v>217</v>
      </c>
      <c r="C42" s="223"/>
      <c r="D42" s="224"/>
      <c r="E42" s="163"/>
      <c r="F42" s="163"/>
    </row>
    <row r="43" spans="1:6" ht="18.75">
      <c r="A43" s="161"/>
      <c r="B43" s="170" t="s">
        <v>266</v>
      </c>
      <c r="C43" s="162"/>
      <c r="D43" s="162"/>
      <c r="E43" s="229"/>
      <c r="F43" s="229"/>
    </row>
    <row r="44" spans="1:6" ht="38.25">
      <c r="A44" s="164" t="s">
        <v>597</v>
      </c>
      <c r="B44" s="173" t="s">
        <v>218</v>
      </c>
      <c r="C44" s="223"/>
      <c r="D44" s="224"/>
      <c r="E44" s="163"/>
      <c r="F44" s="163"/>
    </row>
    <row r="45" spans="1:6" ht="38.25">
      <c r="A45" s="164" t="s">
        <v>598</v>
      </c>
      <c r="B45" s="173" t="s">
        <v>219</v>
      </c>
      <c r="C45" s="223"/>
      <c r="D45" s="224"/>
      <c r="E45" s="163"/>
      <c r="F45" s="163"/>
    </row>
    <row r="46" spans="1:6" ht="18.75">
      <c r="A46" s="161"/>
      <c r="B46" s="170" t="s">
        <v>212</v>
      </c>
      <c r="C46" s="162"/>
      <c r="D46" s="162"/>
      <c r="E46" s="229"/>
      <c r="F46" s="229"/>
    </row>
    <row r="47" spans="1:6" ht="51">
      <c r="A47" s="164" t="s">
        <v>599</v>
      </c>
      <c r="B47" s="173" t="s">
        <v>213</v>
      </c>
      <c r="C47" s="223"/>
      <c r="D47" s="224"/>
      <c r="E47" s="163"/>
      <c r="F47" s="163"/>
    </row>
    <row r="48" spans="1:6" ht="18">
      <c r="A48" s="225"/>
      <c r="B48" s="226" t="s">
        <v>285</v>
      </c>
      <c r="C48" s="225"/>
      <c r="D48" s="225"/>
      <c r="E48" s="225"/>
      <c r="F48" s="225"/>
    </row>
    <row r="49" spans="1:6">
      <c r="A49" s="164"/>
      <c r="B49" s="173"/>
    </row>
    <row r="50" spans="1:6" ht="15">
      <c r="A50" s="227"/>
      <c r="B50" s="228" t="s">
        <v>618</v>
      </c>
      <c r="C50" s="227"/>
      <c r="D50" s="227"/>
      <c r="E50" s="227"/>
      <c r="F50" s="227"/>
    </row>
  </sheetData>
  <mergeCells count="1">
    <mergeCell ref="E2:F2"/>
  </mergeCells>
  <conditionalFormatting sqref="C6">
    <cfRule type="cellIs" dxfId="1832" priority="1516" operator="equal">
      <formula>"No"</formula>
    </cfRule>
    <cfRule type="cellIs" dxfId="1831" priority="1517" operator="equal">
      <formula>"NA"</formula>
    </cfRule>
    <cfRule type="cellIs" dxfId="1830" priority="1518" operator="equal">
      <formula>"Yes"</formula>
    </cfRule>
  </conditionalFormatting>
  <conditionalFormatting sqref="C8">
    <cfRule type="cellIs" dxfId="1829" priority="1470" operator="equal">
      <formula>"No"</formula>
    </cfRule>
    <cfRule type="cellIs" dxfId="1828" priority="1471" operator="equal">
      <formula>"NA"</formula>
    </cfRule>
    <cfRule type="cellIs" dxfId="1827" priority="1472" operator="equal">
      <formula>"Yes"</formula>
    </cfRule>
  </conditionalFormatting>
  <conditionalFormatting sqref="C9">
    <cfRule type="cellIs" dxfId="1826" priority="1424" operator="equal">
      <formula>"No"</formula>
    </cfRule>
    <cfRule type="cellIs" dxfId="1825" priority="1425" operator="equal">
      <formula>"NA"</formula>
    </cfRule>
    <cfRule type="cellIs" dxfId="1824" priority="1426" operator="equal">
      <formula>"Yes"</formula>
    </cfRule>
  </conditionalFormatting>
  <conditionalFormatting sqref="C10">
    <cfRule type="cellIs" dxfId="1823" priority="1378" operator="equal">
      <formula>"No"</formula>
    </cfRule>
    <cfRule type="cellIs" dxfId="1822" priority="1379" operator="equal">
      <formula>"NA"</formula>
    </cfRule>
    <cfRule type="cellIs" dxfId="1821" priority="1380" operator="equal">
      <formula>"Yes"</formula>
    </cfRule>
  </conditionalFormatting>
  <conditionalFormatting sqref="C11">
    <cfRule type="cellIs" dxfId="1820" priority="1332" operator="equal">
      <formula>"No"</formula>
    </cfRule>
    <cfRule type="cellIs" dxfId="1819" priority="1333" operator="equal">
      <formula>"NA"</formula>
    </cfRule>
    <cfRule type="cellIs" dxfId="1818" priority="1334" operator="equal">
      <formula>"Yes"</formula>
    </cfRule>
  </conditionalFormatting>
  <conditionalFormatting sqref="C12">
    <cfRule type="cellIs" dxfId="1817" priority="1286" operator="equal">
      <formula>"No"</formula>
    </cfRule>
    <cfRule type="cellIs" dxfId="1816" priority="1287" operator="equal">
      <formula>"NA"</formula>
    </cfRule>
    <cfRule type="cellIs" dxfId="1815" priority="1288" operator="equal">
      <formula>"Yes"</formula>
    </cfRule>
  </conditionalFormatting>
  <conditionalFormatting sqref="C14">
    <cfRule type="cellIs" dxfId="1814" priority="1240" operator="equal">
      <formula>"No"</formula>
    </cfRule>
    <cfRule type="cellIs" dxfId="1813" priority="1241" operator="equal">
      <formula>"NA"</formula>
    </cfRule>
    <cfRule type="cellIs" dxfId="1812" priority="1242" operator="equal">
      <formula>"Yes"</formula>
    </cfRule>
  </conditionalFormatting>
  <conditionalFormatting sqref="C15">
    <cfRule type="cellIs" dxfId="1811" priority="1194" operator="equal">
      <formula>"No"</formula>
    </cfRule>
    <cfRule type="cellIs" dxfId="1810" priority="1195" operator="equal">
      <formula>"NA"</formula>
    </cfRule>
    <cfRule type="cellIs" dxfId="1809" priority="1196" operator="equal">
      <formula>"Yes"</formula>
    </cfRule>
  </conditionalFormatting>
  <conditionalFormatting sqref="C16">
    <cfRule type="cellIs" dxfId="1808" priority="1148" operator="equal">
      <formula>"No"</formula>
    </cfRule>
    <cfRule type="cellIs" dxfId="1807" priority="1149" operator="equal">
      <formula>"NA"</formula>
    </cfRule>
    <cfRule type="cellIs" dxfId="1806" priority="1150" operator="equal">
      <formula>"Yes"</formula>
    </cfRule>
  </conditionalFormatting>
  <conditionalFormatting sqref="C17">
    <cfRule type="cellIs" dxfId="1805" priority="1102" operator="equal">
      <formula>"No"</formula>
    </cfRule>
    <cfRule type="cellIs" dxfId="1804" priority="1103" operator="equal">
      <formula>"NA"</formula>
    </cfRule>
    <cfRule type="cellIs" dxfId="1803" priority="1104" operator="equal">
      <formula>"Yes"</formula>
    </cfRule>
  </conditionalFormatting>
  <conditionalFormatting sqref="C19">
    <cfRule type="cellIs" dxfId="1802" priority="1056" operator="equal">
      <formula>"No"</formula>
    </cfRule>
    <cfRule type="cellIs" dxfId="1801" priority="1057" operator="equal">
      <formula>"NA"</formula>
    </cfRule>
    <cfRule type="cellIs" dxfId="1800" priority="1058" operator="equal">
      <formula>"Yes"</formula>
    </cfRule>
  </conditionalFormatting>
  <conditionalFormatting sqref="C20">
    <cfRule type="cellIs" dxfId="1799" priority="1010" operator="equal">
      <formula>"No"</formula>
    </cfRule>
    <cfRule type="cellIs" dxfId="1798" priority="1011" operator="equal">
      <formula>"NA"</formula>
    </cfRule>
    <cfRule type="cellIs" dxfId="1797" priority="1012" operator="equal">
      <formula>"Yes"</formula>
    </cfRule>
  </conditionalFormatting>
  <conditionalFormatting sqref="C21">
    <cfRule type="cellIs" dxfId="1796" priority="964" operator="equal">
      <formula>"No"</formula>
    </cfRule>
    <cfRule type="cellIs" dxfId="1795" priority="965" operator="equal">
      <formula>"NA"</formula>
    </cfRule>
    <cfRule type="cellIs" dxfId="1794" priority="966" operator="equal">
      <formula>"Yes"</formula>
    </cfRule>
  </conditionalFormatting>
  <conditionalFormatting sqref="C22">
    <cfRule type="cellIs" dxfId="1793" priority="918" operator="equal">
      <formula>"No"</formula>
    </cfRule>
    <cfRule type="cellIs" dxfId="1792" priority="919" operator="equal">
      <formula>"NA"</formula>
    </cfRule>
    <cfRule type="cellIs" dxfId="1791" priority="920" operator="equal">
      <formula>"Yes"</formula>
    </cfRule>
  </conditionalFormatting>
  <conditionalFormatting sqref="C23">
    <cfRule type="cellIs" dxfId="1790" priority="872" operator="equal">
      <formula>"No"</formula>
    </cfRule>
    <cfRule type="cellIs" dxfId="1789" priority="873" operator="equal">
      <formula>"NA"</formula>
    </cfRule>
    <cfRule type="cellIs" dxfId="1788" priority="874" operator="equal">
      <formula>"Yes"</formula>
    </cfRule>
  </conditionalFormatting>
  <conditionalFormatting sqref="C24">
    <cfRule type="cellIs" dxfId="1787" priority="826" operator="equal">
      <formula>"No"</formula>
    </cfRule>
    <cfRule type="cellIs" dxfId="1786" priority="827" operator="equal">
      <formula>"NA"</formula>
    </cfRule>
    <cfRule type="cellIs" dxfId="1785" priority="828" operator="equal">
      <formula>"Yes"</formula>
    </cfRule>
  </conditionalFormatting>
  <conditionalFormatting sqref="C25">
    <cfRule type="cellIs" dxfId="1784" priority="780" operator="equal">
      <formula>"No"</formula>
    </cfRule>
    <cfRule type="cellIs" dxfId="1783" priority="781" operator="equal">
      <formula>"NA"</formula>
    </cfRule>
    <cfRule type="cellIs" dxfId="1782" priority="782" operator="equal">
      <formula>"Yes"</formula>
    </cfRule>
  </conditionalFormatting>
  <conditionalFormatting sqref="C27">
    <cfRule type="cellIs" dxfId="1781" priority="734" operator="equal">
      <formula>"No"</formula>
    </cfRule>
    <cfRule type="cellIs" dxfId="1780" priority="735" operator="equal">
      <formula>"NA"</formula>
    </cfRule>
    <cfRule type="cellIs" dxfId="1779" priority="736" operator="equal">
      <formula>"Yes"</formula>
    </cfRule>
  </conditionalFormatting>
  <conditionalFormatting sqref="C28">
    <cfRule type="cellIs" dxfId="1778" priority="688" operator="equal">
      <formula>"No"</formula>
    </cfRule>
    <cfRule type="cellIs" dxfId="1777" priority="689" operator="equal">
      <formula>"NA"</formula>
    </cfRule>
    <cfRule type="cellIs" dxfId="1776" priority="690" operator="equal">
      <formula>"Yes"</formula>
    </cfRule>
  </conditionalFormatting>
  <conditionalFormatting sqref="C29">
    <cfRule type="cellIs" dxfId="1775" priority="642" operator="equal">
      <formula>"No"</formula>
    </cfRule>
    <cfRule type="cellIs" dxfId="1774" priority="643" operator="equal">
      <formula>"NA"</formula>
    </cfRule>
    <cfRule type="cellIs" dxfId="1773" priority="644" operator="equal">
      <formula>"Yes"</formula>
    </cfRule>
  </conditionalFormatting>
  <conditionalFormatting sqref="C30">
    <cfRule type="cellIs" dxfId="1772" priority="596" operator="equal">
      <formula>"No"</formula>
    </cfRule>
    <cfRule type="cellIs" dxfId="1771" priority="597" operator="equal">
      <formula>"NA"</formula>
    </cfRule>
    <cfRule type="cellIs" dxfId="1770" priority="598" operator="equal">
      <formula>"Yes"</formula>
    </cfRule>
  </conditionalFormatting>
  <conditionalFormatting sqref="C31">
    <cfRule type="cellIs" dxfId="1769" priority="550" operator="equal">
      <formula>"No"</formula>
    </cfRule>
    <cfRule type="cellIs" dxfId="1768" priority="551" operator="equal">
      <formula>"NA"</formula>
    </cfRule>
    <cfRule type="cellIs" dxfId="1767" priority="552" operator="equal">
      <formula>"Yes"</formula>
    </cfRule>
  </conditionalFormatting>
  <conditionalFormatting sqref="C32">
    <cfRule type="cellIs" dxfId="1766" priority="504" operator="equal">
      <formula>"No"</formula>
    </cfRule>
    <cfRule type="cellIs" dxfId="1765" priority="505" operator="equal">
      <formula>"NA"</formula>
    </cfRule>
    <cfRule type="cellIs" dxfId="1764" priority="506" operator="equal">
      <formula>"Yes"</formula>
    </cfRule>
  </conditionalFormatting>
  <conditionalFormatting sqref="C34">
    <cfRule type="cellIs" dxfId="1763" priority="458" operator="equal">
      <formula>"No"</formula>
    </cfRule>
    <cfRule type="cellIs" dxfId="1762" priority="459" operator="equal">
      <formula>"NA"</formula>
    </cfRule>
    <cfRule type="cellIs" dxfId="1761" priority="460" operator="equal">
      <formula>"Yes"</formula>
    </cfRule>
  </conditionalFormatting>
  <conditionalFormatting sqref="C36">
    <cfRule type="cellIs" dxfId="1760" priority="412" operator="equal">
      <formula>"No"</formula>
    </cfRule>
    <cfRule type="cellIs" dxfId="1759" priority="413" operator="equal">
      <formula>"NA"</formula>
    </cfRule>
    <cfRule type="cellIs" dxfId="1758" priority="414" operator="equal">
      <formula>"Yes"</formula>
    </cfRule>
  </conditionalFormatting>
  <conditionalFormatting sqref="C37">
    <cfRule type="cellIs" dxfId="1757" priority="366" operator="equal">
      <formula>"No"</formula>
    </cfRule>
    <cfRule type="cellIs" dxfId="1756" priority="367" operator="equal">
      <formula>"NA"</formula>
    </cfRule>
    <cfRule type="cellIs" dxfId="1755" priority="368" operator="equal">
      <formula>"Yes"</formula>
    </cfRule>
  </conditionalFormatting>
  <conditionalFormatting sqref="C39">
    <cfRule type="cellIs" dxfId="1754" priority="320" operator="equal">
      <formula>"No"</formula>
    </cfRule>
    <cfRule type="cellIs" dxfId="1753" priority="321" operator="equal">
      <formula>"NA"</formula>
    </cfRule>
    <cfRule type="cellIs" dxfId="1752" priority="322" operator="equal">
      <formula>"Yes"</formula>
    </cfRule>
  </conditionalFormatting>
  <conditionalFormatting sqref="C40">
    <cfRule type="cellIs" dxfId="1751" priority="274" operator="equal">
      <formula>"No"</formula>
    </cfRule>
    <cfRule type="cellIs" dxfId="1750" priority="275" operator="equal">
      <formula>"NA"</formula>
    </cfRule>
    <cfRule type="cellIs" dxfId="1749" priority="276" operator="equal">
      <formula>"Yes"</formula>
    </cfRule>
  </conditionalFormatting>
  <conditionalFormatting sqref="C41">
    <cfRule type="cellIs" dxfId="1748" priority="228" operator="equal">
      <formula>"No"</formula>
    </cfRule>
    <cfRule type="cellIs" dxfId="1747" priority="229" operator="equal">
      <formula>"NA"</formula>
    </cfRule>
    <cfRule type="cellIs" dxfId="1746" priority="230" operator="equal">
      <formula>"Yes"</formula>
    </cfRule>
  </conditionalFormatting>
  <conditionalFormatting sqref="C42">
    <cfRule type="cellIs" dxfId="1745" priority="182" operator="equal">
      <formula>"No"</formula>
    </cfRule>
    <cfRule type="cellIs" dxfId="1744" priority="183" operator="equal">
      <formula>"NA"</formula>
    </cfRule>
    <cfRule type="cellIs" dxfId="1743" priority="184" operator="equal">
      <formula>"Yes"</formula>
    </cfRule>
  </conditionalFormatting>
  <conditionalFormatting sqref="C44">
    <cfRule type="cellIs" dxfId="1742" priority="136" operator="equal">
      <formula>"No"</formula>
    </cfRule>
    <cfRule type="cellIs" dxfId="1741" priority="137" operator="equal">
      <formula>"NA"</formula>
    </cfRule>
    <cfRule type="cellIs" dxfId="1740" priority="138" operator="equal">
      <formula>"Yes"</formula>
    </cfRule>
  </conditionalFormatting>
  <conditionalFormatting sqref="C45">
    <cfRule type="cellIs" dxfId="1739" priority="90" operator="equal">
      <formula>"No"</formula>
    </cfRule>
    <cfRule type="cellIs" dxfId="1738" priority="91" operator="equal">
      <formula>"NA"</formula>
    </cfRule>
    <cfRule type="cellIs" dxfId="1737" priority="92" operator="equal">
      <formula>"Yes"</formula>
    </cfRule>
  </conditionalFormatting>
  <conditionalFormatting sqref="C47">
    <cfRule type="cellIs" dxfId="1736" priority="44" operator="equal">
      <formula>"No"</formula>
    </cfRule>
    <cfRule type="cellIs" dxfId="1735" priority="45" operator="equal">
      <formula>"NA"</formula>
    </cfRule>
    <cfRule type="cellIs" dxfId="173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J35"/>
  <sheetViews>
    <sheetView tabSelected="1" zoomScale="130" zoomScaleNormal="130" workbookViewId="0">
      <pane xSplit="1" ySplit="3" topLeftCell="B12" activePane="bottomRight" state="frozen"/>
      <selection pane="topRight" activeCell="B1" sqref="B1"/>
      <selection pane="bottomLeft" activeCell="A4" sqref="A4"/>
      <selection pane="bottomRight" activeCell="G15" sqref="G15"/>
    </sheetView>
  </sheetViews>
  <sheetFormatPr defaultColWidth="9.28515625" defaultRowHeight="12.75" outlineLevelCol="1"/>
  <cols>
    <col min="1" max="1" width="12.85546875" style="160" bestFit="1" customWidth="1"/>
    <col min="2" max="2" width="61" style="158" customWidth="1"/>
    <col min="3" max="6" width="11.140625" style="157" customWidth="1"/>
    <col min="7" max="7" width="33.7109375" style="157" customWidth="1"/>
    <col min="8" max="9" width="30.7109375" style="157" customWidth="1" outlineLevel="1"/>
    <col min="10" max="16384" width="9.28515625" style="157"/>
  </cols>
  <sheetData>
    <row r="2" spans="1:10" ht="54">
      <c r="A2" s="210" t="s">
        <v>228</v>
      </c>
      <c r="B2" s="211" t="s">
        <v>355</v>
      </c>
      <c r="C2" s="212" t="s">
        <v>963</v>
      </c>
      <c r="D2" s="212" t="s">
        <v>1017</v>
      </c>
      <c r="E2" s="212" t="s">
        <v>1024</v>
      </c>
      <c r="F2" s="212" t="s">
        <v>1025</v>
      </c>
      <c r="G2" s="213" t="s">
        <v>293</v>
      </c>
      <c r="H2" s="379" t="s">
        <v>185</v>
      </c>
      <c r="I2" s="380"/>
    </row>
    <row r="3" spans="1:10" ht="18.75">
      <c r="A3" s="214"/>
      <c r="B3" s="215"/>
      <c r="C3" s="216">
        <f>COUNTIF(Review.ratings,"Yes") / ( COUNTA(Review.QuestionIds) - COUNTIF(Review.ratings,"NA"))</f>
        <v>1</v>
      </c>
      <c r="D3" s="216">
        <f>COUNTIF(Review.ratings,"Yes") / ( COUNTA(Review.QuestionIds) - COUNTIF(Review.ratings,"NA"))</f>
        <v>1</v>
      </c>
      <c r="E3" s="216">
        <f>COUNTIF(Review.ratings,"Yes") / ( COUNTA(Review.QuestionIds) - COUNTIF(Review.ratings,"NA"))</f>
        <v>1</v>
      </c>
      <c r="F3" s="216">
        <f>COUNTIF(Review.ratings,"Yes") / ( COUNTA(Review.QuestionIds) - COUNTIF(Review.ratings,"NA"))</f>
        <v>1</v>
      </c>
      <c r="G3" s="221"/>
      <c r="H3" s="229" t="s">
        <v>268</v>
      </c>
      <c r="I3" s="229" t="s">
        <v>269</v>
      </c>
      <c r="J3" s="222"/>
    </row>
    <row r="4" spans="1:10" ht="36">
      <c r="A4" s="217"/>
      <c r="B4" s="218" t="s">
        <v>317</v>
      </c>
      <c r="C4" s="219"/>
      <c r="D4" s="219"/>
      <c r="E4" s="219"/>
      <c r="F4" s="219"/>
      <c r="G4" s="219"/>
      <c r="H4" s="219"/>
      <c r="I4" s="220"/>
      <c r="J4" s="25"/>
    </row>
    <row r="5" spans="1:10" ht="18.75">
      <c r="A5" s="161"/>
      <c r="B5" s="170" t="s">
        <v>316</v>
      </c>
      <c r="C5" s="162"/>
      <c r="D5" s="162"/>
      <c r="E5" s="162"/>
      <c r="F5" s="162"/>
      <c r="G5" s="162"/>
      <c r="H5" s="229"/>
      <c r="I5" s="229"/>
    </row>
    <row r="6" spans="1:10" ht="38.25">
      <c r="A6" s="164" t="s">
        <v>754</v>
      </c>
      <c r="B6" s="173" t="s">
        <v>353</v>
      </c>
      <c r="C6" s="223" t="s">
        <v>220</v>
      </c>
      <c r="D6" s="223" t="s">
        <v>220</v>
      </c>
      <c r="E6" s="223" t="s">
        <v>220</v>
      </c>
      <c r="F6" s="223" t="s">
        <v>220</v>
      </c>
      <c r="G6" s="224"/>
      <c r="H6" s="163"/>
      <c r="I6" s="163"/>
    </row>
    <row r="7" spans="1:10" ht="18.75">
      <c r="A7" s="161"/>
      <c r="B7" s="170" t="s">
        <v>502</v>
      </c>
      <c r="C7" s="162"/>
      <c r="D7" s="162"/>
      <c r="E7" s="162"/>
      <c r="F7" s="162"/>
      <c r="G7" s="162"/>
      <c r="H7" s="229"/>
      <c r="I7" s="229"/>
    </row>
    <row r="8" spans="1:10" ht="38.25">
      <c r="A8" s="164" t="s">
        <v>783</v>
      </c>
      <c r="B8" s="173" t="s">
        <v>503</v>
      </c>
      <c r="C8" s="223" t="s">
        <v>220</v>
      </c>
      <c r="D8" s="223" t="s">
        <v>220</v>
      </c>
      <c r="E8" s="223" t="s">
        <v>220</v>
      </c>
      <c r="F8" s="223" t="s">
        <v>220</v>
      </c>
      <c r="G8" s="224"/>
      <c r="H8" s="163"/>
      <c r="I8" s="163"/>
    </row>
    <row r="9" spans="1:10" ht="25.5">
      <c r="A9" s="164" t="s">
        <v>784</v>
      </c>
      <c r="B9" s="173" t="s">
        <v>504</v>
      </c>
      <c r="C9" s="223" t="s">
        <v>220</v>
      </c>
      <c r="D9" s="223" t="s">
        <v>220</v>
      </c>
      <c r="E9" s="223" t="s">
        <v>220</v>
      </c>
      <c r="F9" s="223" t="s">
        <v>220</v>
      </c>
      <c r="G9" s="224"/>
      <c r="H9" s="163"/>
      <c r="I9" s="163"/>
    </row>
    <row r="10" spans="1:10" ht="38.25">
      <c r="A10" s="164" t="s">
        <v>785</v>
      </c>
      <c r="B10" s="173" t="s">
        <v>786</v>
      </c>
      <c r="C10" s="223" t="s">
        <v>220</v>
      </c>
      <c r="D10" s="223" t="s">
        <v>220</v>
      </c>
      <c r="E10" s="223" t="s">
        <v>220</v>
      </c>
      <c r="F10" s="223" t="s">
        <v>220</v>
      </c>
      <c r="G10" s="224"/>
      <c r="H10" s="163"/>
      <c r="I10" s="163"/>
    </row>
    <row r="11" spans="1:10" ht="25.5">
      <c r="A11" s="164" t="s">
        <v>787</v>
      </c>
      <c r="B11" s="173" t="s">
        <v>505</v>
      </c>
      <c r="C11" s="223" t="s">
        <v>220</v>
      </c>
      <c r="D11" s="223" t="s">
        <v>220</v>
      </c>
      <c r="E11" s="223" t="s">
        <v>220</v>
      </c>
      <c r="F11" s="223" t="s">
        <v>220</v>
      </c>
      <c r="G11" s="224"/>
      <c r="H11" s="163"/>
      <c r="I11" s="163"/>
    </row>
    <row r="12" spans="1:10" ht="51">
      <c r="A12" s="164" t="s">
        <v>788</v>
      </c>
      <c r="B12" s="173" t="s">
        <v>506</v>
      </c>
      <c r="C12" s="223" t="s">
        <v>220</v>
      </c>
      <c r="D12" s="223" t="s">
        <v>220</v>
      </c>
      <c r="E12" s="223" t="s">
        <v>220</v>
      </c>
      <c r="F12" s="223" t="s">
        <v>220</v>
      </c>
      <c r="G12" s="224"/>
      <c r="H12" s="163"/>
      <c r="I12" s="163"/>
    </row>
    <row r="13" spans="1:10" ht="25.5">
      <c r="A13" s="164" t="s">
        <v>789</v>
      </c>
      <c r="B13" s="173" t="s">
        <v>507</v>
      </c>
      <c r="C13" s="223" t="s">
        <v>220</v>
      </c>
      <c r="D13" s="223" t="s">
        <v>220</v>
      </c>
      <c r="E13" s="223" t="s">
        <v>220</v>
      </c>
      <c r="F13" s="223" t="s">
        <v>220</v>
      </c>
      <c r="G13" s="224"/>
      <c r="H13" s="163"/>
      <c r="I13" s="163"/>
    </row>
    <row r="14" spans="1:10" ht="25.5">
      <c r="A14" s="164" t="s">
        <v>790</v>
      </c>
      <c r="B14" s="173" t="s">
        <v>508</v>
      </c>
      <c r="C14" s="223" t="s">
        <v>220</v>
      </c>
      <c r="D14" s="223" t="s">
        <v>220</v>
      </c>
      <c r="E14" s="223" t="s">
        <v>220</v>
      </c>
      <c r="F14" s="223" t="s">
        <v>220</v>
      </c>
      <c r="G14" s="224"/>
      <c r="H14" s="163"/>
      <c r="I14" s="163"/>
    </row>
    <row r="15" spans="1:10" ht="38.25">
      <c r="A15" s="164" t="s">
        <v>791</v>
      </c>
      <c r="B15" s="173" t="s">
        <v>509</v>
      </c>
      <c r="C15" s="223" t="s">
        <v>220</v>
      </c>
      <c r="D15" s="223" t="s">
        <v>220</v>
      </c>
      <c r="E15" s="223" t="s">
        <v>220</v>
      </c>
      <c r="F15" s="223" t="s">
        <v>220</v>
      </c>
      <c r="G15" s="224"/>
      <c r="H15" s="163"/>
      <c r="I15" s="163"/>
    </row>
    <row r="16" spans="1:10" ht="25.5">
      <c r="A16" s="164" t="s">
        <v>792</v>
      </c>
      <c r="B16" s="173" t="s">
        <v>782</v>
      </c>
      <c r="C16" s="223" t="s">
        <v>220</v>
      </c>
      <c r="D16" s="223" t="s">
        <v>220</v>
      </c>
      <c r="E16" s="223" t="s">
        <v>220</v>
      </c>
      <c r="F16" s="223" t="s">
        <v>220</v>
      </c>
      <c r="G16" s="224"/>
      <c r="H16" s="163"/>
      <c r="I16" s="163"/>
    </row>
    <row r="17" spans="1:9" ht="38.25">
      <c r="A17" s="164" t="s">
        <v>793</v>
      </c>
      <c r="B17" s="173" t="s">
        <v>794</v>
      </c>
      <c r="C17" s="223" t="s">
        <v>220</v>
      </c>
      <c r="D17" s="223" t="s">
        <v>220</v>
      </c>
      <c r="E17" s="223" t="s">
        <v>220</v>
      </c>
      <c r="F17" s="223" t="s">
        <v>220</v>
      </c>
      <c r="G17" s="224"/>
      <c r="H17" s="163"/>
      <c r="I17" s="163"/>
    </row>
    <row r="18" spans="1:9" ht="38.25">
      <c r="A18" s="164" t="s">
        <v>795</v>
      </c>
      <c r="B18" s="173" t="s">
        <v>510</v>
      </c>
      <c r="C18" s="223" t="s">
        <v>220</v>
      </c>
      <c r="D18" s="223" t="s">
        <v>220</v>
      </c>
      <c r="E18" s="223" t="s">
        <v>220</v>
      </c>
      <c r="F18" s="223" t="s">
        <v>220</v>
      </c>
      <c r="G18" s="224"/>
      <c r="H18" s="163"/>
      <c r="I18" s="163"/>
    </row>
    <row r="19" spans="1:9" ht="25.5">
      <c r="A19" s="164" t="s">
        <v>796</v>
      </c>
      <c r="B19" s="173" t="s">
        <v>511</v>
      </c>
      <c r="C19" s="223" t="s">
        <v>220</v>
      </c>
      <c r="D19" s="223" t="s">
        <v>220</v>
      </c>
      <c r="E19" s="223" t="s">
        <v>220</v>
      </c>
      <c r="F19" s="223" t="s">
        <v>220</v>
      </c>
      <c r="G19" s="224"/>
      <c r="H19" s="163"/>
      <c r="I19" s="163"/>
    </row>
    <row r="20" spans="1:9" ht="25.5">
      <c r="A20" s="164" t="s">
        <v>797</v>
      </c>
      <c r="B20" s="173" t="s">
        <v>512</v>
      </c>
      <c r="C20" s="223" t="s">
        <v>220</v>
      </c>
      <c r="D20" s="223" t="s">
        <v>220</v>
      </c>
      <c r="E20" s="223" t="s">
        <v>220</v>
      </c>
      <c r="F20" s="223" t="s">
        <v>220</v>
      </c>
      <c r="G20" s="224"/>
      <c r="H20" s="163"/>
      <c r="I20" s="163"/>
    </row>
    <row r="21" spans="1:9" ht="38.25">
      <c r="A21" s="164" t="s">
        <v>798</v>
      </c>
      <c r="B21" s="173" t="s">
        <v>513</v>
      </c>
      <c r="C21" s="223" t="s">
        <v>220</v>
      </c>
      <c r="D21" s="223" t="s">
        <v>220</v>
      </c>
      <c r="E21" s="223" t="s">
        <v>220</v>
      </c>
      <c r="F21" s="223" t="s">
        <v>220</v>
      </c>
      <c r="G21" s="224"/>
      <c r="H21" s="163"/>
      <c r="I21" s="163"/>
    </row>
    <row r="22" spans="1:9" ht="38.25">
      <c r="A22" s="164" t="s">
        <v>799</v>
      </c>
      <c r="B22" s="173" t="s">
        <v>800</v>
      </c>
      <c r="C22" s="223" t="s">
        <v>220</v>
      </c>
      <c r="D22" s="223" t="s">
        <v>220</v>
      </c>
      <c r="E22" s="223" t="s">
        <v>220</v>
      </c>
      <c r="F22" s="223" t="s">
        <v>220</v>
      </c>
      <c r="G22" s="224"/>
      <c r="H22" s="163"/>
      <c r="I22" s="163"/>
    </row>
    <row r="23" spans="1:9" ht="18.75">
      <c r="A23" s="161"/>
      <c r="B23" s="170" t="s">
        <v>265</v>
      </c>
      <c r="C23" s="162"/>
      <c r="D23" s="162"/>
      <c r="E23" s="162"/>
      <c r="F23" s="162"/>
      <c r="G23" s="162"/>
      <c r="H23" s="229"/>
      <c r="I23" s="229"/>
    </row>
    <row r="24" spans="1:9" ht="38.25">
      <c r="A24" s="164" t="s">
        <v>593</v>
      </c>
      <c r="B24" s="173" t="s">
        <v>214</v>
      </c>
      <c r="C24" s="223" t="s">
        <v>23</v>
      </c>
      <c r="D24" s="223" t="s">
        <v>220</v>
      </c>
      <c r="E24" s="223" t="s">
        <v>220</v>
      </c>
      <c r="F24" s="223" t="s">
        <v>220</v>
      </c>
      <c r="G24" s="238" t="s">
        <v>964</v>
      </c>
      <c r="H24" s="163"/>
      <c r="I24" s="163"/>
    </row>
    <row r="25" spans="1:9" ht="25.5">
      <c r="A25" s="164" t="s">
        <v>594</v>
      </c>
      <c r="B25" s="173" t="s">
        <v>215</v>
      </c>
      <c r="C25" s="223" t="s">
        <v>220</v>
      </c>
      <c r="D25" s="223" t="s">
        <v>220</v>
      </c>
      <c r="E25" s="223" t="s">
        <v>220</v>
      </c>
      <c r="F25" s="223" t="s">
        <v>220</v>
      </c>
      <c r="G25" s="224"/>
      <c r="H25" s="163"/>
      <c r="I25" s="163"/>
    </row>
    <row r="26" spans="1:9" ht="38.25">
      <c r="A26" s="164" t="s">
        <v>595</v>
      </c>
      <c r="B26" s="173" t="s">
        <v>216</v>
      </c>
      <c r="C26" s="223" t="s">
        <v>23</v>
      </c>
      <c r="D26" s="223" t="s">
        <v>220</v>
      </c>
      <c r="E26" s="223" t="s">
        <v>220</v>
      </c>
      <c r="F26" s="223" t="s">
        <v>220</v>
      </c>
      <c r="G26" s="238" t="s">
        <v>964</v>
      </c>
      <c r="H26" s="163"/>
      <c r="I26" s="163"/>
    </row>
    <row r="27" spans="1:9" ht="38.25">
      <c r="A27" s="164" t="s">
        <v>596</v>
      </c>
      <c r="B27" s="173" t="s">
        <v>217</v>
      </c>
      <c r="C27" s="223" t="s">
        <v>220</v>
      </c>
      <c r="D27" s="223" t="s">
        <v>220</v>
      </c>
      <c r="E27" s="223" t="s">
        <v>220</v>
      </c>
      <c r="F27" s="223" t="s">
        <v>220</v>
      </c>
      <c r="G27" s="224"/>
      <c r="H27" s="163"/>
      <c r="I27" s="163"/>
    </row>
    <row r="28" spans="1:9" ht="18.75">
      <c r="A28" s="161"/>
      <c r="B28" s="170" t="s">
        <v>266</v>
      </c>
      <c r="C28" s="162"/>
      <c r="D28" s="162"/>
      <c r="E28" s="162"/>
      <c r="F28" s="162"/>
      <c r="G28" s="162"/>
      <c r="H28" s="229"/>
      <c r="I28" s="229"/>
    </row>
    <row r="29" spans="1:9" ht="38.25">
      <c r="A29" s="164" t="s">
        <v>597</v>
      </c>
      <c r="B29" s="173" t="s">
        <v>218</v>
      </c>
      <c r="C29" s="223" t="s">
        <v>220</v>
      </c>
      <c r="D29" s="223" t="s">
        <v>220</v>
      </c>
      <c r="E29" s="223" t="s">
        <v>220</v>
      </c>
      <c r="F29" s="223" t="s">
        <v>220</v>
      </c>
      <c r="G29" s="224"/>
      <c r="H29" s="163"/>
      <c r="I29" s="163"/>
    </row>
    <row r="30" spans="1:9" ht="38.25">
      <c r="A30" s="164" t="s">
        <v>598</v>
      </c>
      <c r="B30" s="173" t="s">
        <v>219</v>
      </c>
      <c r="C30" s="223" t="s">
        <v>220</v>
      </c>
      <c r="D30" s="223" t="s">
        <v>220</v>
      </c>
      <c r="E30" s="223" t="s">
        <v>220</v>
      </c>
      <c r="F30" s="223" t="s">
        <v>220</v>
      </c>
      <c r="G30" s="224"/>
      <c r="H30" s="163"/>
      <c r="I30" s="163"/>
    </row>
    <row r="31" spans="1:9" ht="18.75">
      <c r="A31" s="161"/>
      <c r="B31" s="170" t="s">
        <v>212</v>
      </c>
      <c r="C31" s="162"/>
      <c r="D31" s="162"/>
      <c r="E31" s="162"/>
      <c r="F31" s="162"/>
      <c r="G31" s="162"/>
      <c r="H31" s="229"/>
      <c r="I31" s="229"/>
    </row>
    <row r="32" spans="1:9" ht="51">
      <c r="A32" s="164" t="s">
        <v>599</v>
      </c>
      <c r="B32" s="173" t="s">
        <v>213</v>
      </c>
      <c r="C32" s="223" t="s">
        <v>11</v>
      </c>
      <c r="D32" s="223" t="s">
        <v>11</v>
      </c>
      <c r="E32" s="223" t="s">
        <v>11</v>
      </c>
      <c r="F32" s="223" t="s">
        <v>11</v>
      </c>
      <c r="G32" s="238" t="s">
        <v>965</v>
      </c>
      <c r="H32" s="163"/>
      <c r="I32" s="163"/>
    </row>
    <row r="33" spans="1:9" ht="18">
      <c r="A33" s="225"/>
      <c r="B33" s="226" t="s">
        <v>285</v>
      </c>
      <c r="C33" s="225"/>
      <c r="D33" s="225"/>
      <c r="E33" s="225"/>
      <c r="F33" s="225"/>
      <c r="G33" s="225"/>
      <c r="H33" s="225"/>
      <c r="I33" s="225"/>
    </row>
    <row r="34" spans="1:9">
      <c r="A34" s="164"/>
      <c r="B34" s="173"/>
    </row>
    <row r="35" spans="1:9" ht="15">
      <c r="A35" s="227"/>
      <c r="B35" s="228" t="s">
        <v>618</v>
      </c>
      <c r="C35" s="227"/>
      <c r="D35" s="227"/>
      <c r="E35" s="227"/>
      <c r="F35" s="227"/>
      <c r="G35" s="227"/>
      <c r="H35" s="227"/>
      <c r="I35" s="227"/>
    </row>
  </sheetData>
  <mergeCells count="1">
    <mergeCell ref="H2:I2"/>
  </mergeCells>
  <conditionalFormatting sqref="C6:F6">
    <cfRule type="cellIs" dxfId="1733" priority="1101" operator="equal">
      <formula>"No"</formula>
    </cfRule>
    <cfRule type="cellIs" dxfId="1732" priority="1102" operator="equal">
      <formula>"NA"</formula>
    </cfRule>
    <cfRule type="cellIs" dxfId="1731" priority="1103" operator="equal">
      <formula>"Yes"</formula>
    </cfRule>
  </conditionalFormatting>
  <conditionalFormatting sqref="C32:F32">
    <cfRule type="cellIs" dxfId="1730" priority="89" operator="equal">
      <formula>"No"</formula>
    </cfRule>
    <cfRule type="cellIs" dxfId="1729" priority="90" operator="equal">
      <formula>"NA"</formula>
    </cfRule>
    <cfRule type="cellIs" dxfId="1728" priority="91" operator="equal">
      <formula>"Yes"</formula>
    </cfRule>
  </conditionalFormatting>
  <conditionalFormatting sqref="C8:F8">
    <cfRule type="cellIs" dxfId="1727" priority="43" operator="equal">
      <formula>"No"</formula>
    </cfRule>
    <cfRule type="cellIs" dxfId="1726" priority="44" operator="equal">
      <formula>"NA"</formula>
    </cfRule>
    <cfRule type="cellIs" dxfId="1725" priority="45" operator="equal">
      <formula>"Yes"</formula>
    </cfRule>
  </conditionalFormatting>
  <conditionalFormatting sqref="C9:F9">
    <cfRule type="cellIs" dxfId="1724" priority="40" operator="equal">
      <formula>"No"</formula>
    </cfRule>
    <cfRule type="cellIs" dxfId="1723" priority="41" operator="equal">
      <formula>"NA"</formula>
    </cfRule>
    <cfRule type="cellIs" dxfId="1722" priority="42" operator="equal">
      <formula>"Yes"</formula>
    </cfRule>
  </conditionalFormatting>
  <conditionalFormatting sqref="C10:F10">
    <cfRule type="cellIs" dxfId="1721" priority="37" operator="equal">
      <formula>"No"</formula>
    </cfRule>
    <cfRule type="cellIs" dxfId="1720" priority="38" operator="equal">
      <formula>"NA"</formula>
    </cfRule>
    <cfRule type="cellIs" dxfId="1719" priority="39" operator="equal">
      <formula>"Yes"</formula>
    </cfRule>
  </conditionalFormatting>
  <conditionalFormatting sqref="C11:F11">
    <cfRule type="cellIs" dxfId="1718" priority="34" operator="equal">
      <formula>"No"</formula>
    </cfRule>
    <cfRule type="cellIs" dxfId="1717" priority="35" operator="equal">
      <formula>"NA"</formula>
    </cfRule>
    <cfRule type="cellIs" dxfId="1716" priority="36" operator="equal">
      <formula>"Yes"</formula>
    </cfRule>
  </conditionalFormatting>
  <conditionalFormatting sqref="C12:F12">
    <cfRule type="cellIs" dxfId="1715" priority="31" operator="equal">
      <formula>"No"</formula>
    </cfRule>
    <cfRule type="cellIs" dxfId="1714" priority="32" operator="equal">
      <formula>"NA"</formula>
    </cfRule>
    <cfRule type="cellIs" dxfId="1713" priority="33" operator="equal">
      <formula>"Yes"</formula>
    </cfRule>
  </conditionalFormatting>
  <conditionalFormatting sqref="C13:F13">
    <cfRule type="cellIs" dxfId="1712" priority="28" operator="equal">
      <formula>"No"</formula>
    </cfRule>
    <cfRule type="cellIs" dxfId="1711" priority="29" operator="equal">
      <formula>"NA"</formula>
    </cfRule>
    <cfRule type="cellIs" dxfId="1710" priority="30" operator="equal">
      <formula>"Yes"</formula>
    </cfRule>
  </conditionalFormatting>
  <conditionalFormatting sqref="C14:F14">
    <cfRule type="cellIs" dxfId="1709" priority="25" operator="equal">
      <formula>"No"</formula>
    </cfRule>
    <cfRule type="cellIs" dxfId="1708" priority="26" operator="equal">
      <formula>"NA"</formula>
    </cfRule>
    <cfRule type="cellIs" dxfId="1707" priority="27" operator="equal">
      <formula>"Yes"</formula>
    </cfRule>
  </conditionalFormatting>
  <conditionalFormatting sqref="D15:F22">
    <cfRule type="cellIs" dxfId="1706" priority="22" operator="equal">
      <formula>"No"</formula>
    </cfRule>
    <cfRule type="cellIs" dxfId="1705" priority="23" operator="equal">
      <formula>"NA"</formula>
    </cfRule>
    <cfRule type="cellIs" dxfId="1704" priority="24" operator="equal">
      <formula>"Yes"</formula>
    </cfRule>
  </conditionalFormatting>
  <conditionalFormatting sqref="D25:F25 D27:F27">
    <cfRule type="cellIs" dxfId="1703" priority="19" operator="equal">
      <formula>"No"</formula>
    </cfRule>
    <cfRule type="cellIs" dxfId="1702" priority="20" operator="equal">
      <formula>"NA"</formula>
    </cfRule>
    <cfRule type="cellIs" dxfId="1701" priority="21" operator="equal">
      <formula>"Yes"</formula>
    </cfRule>
  </conditionalFormatting>
  <conditionalFormatting sqref="D29:F30">
    <cfRule type="cellIs" dxfId="1700" priority="16" operator="equal">
      <formula>"No"</formula>
    </cfRule>
    <cfRule type="cellIs" dxfId="1699" priority="17" operator="equal">
      <formula>"NA"</formula>
    </cfRule>
    <cfRule type="cellIs" dxfId="1698" priority="18" operator="equal">
      <formula>"Yes"</formula>
    </cfRule>
  </conditionalFormatting>
  <conditionalFormatting sqref="C15:C22">
    <cfRule type="cellIs" dxfId="1697" priority="13" operator="equal">
      <formula>"No"</formula>
    </cfRule>
    <cfRule type="cellIs" dxfId="1696" priority="14" operator="equal">
      <formula>"NA"</formula>
    </cfRule>
    <cfRule type="cellIs" dxfId="1695" priority="15" operator="equal">
      <formula>"Yes"</formula>
    </cfRule>
  </conditionalFormatting>
  <conditionalFormatting sqref="C24:C27">
    <cfRule type="cellIs" dxfId="1694" priority="10" operator="equal">
      <formula>"No"</formula>
    </cfRule>
    <cfRule type="cellIs" dxfId="1693" priority="11" operator="equal">
      <formula>"NA"</formula>
    </cfRule>
    <cfRule type="cellIs" dxfId="1692" priority="12" operator="equal">
      <formula>"Yes"</formula>
    </cfRule>
  </conditionalFormatting>
  <conditionalFormatting sqref="C29:C30">
    <cfRule type="cellIs" dxfId="1691" priority="7" operator="equal">
      <formula>"No"</formula>
    </cfRule>
    <cfRule type="cellIs" dxfId="1690" priority="8" operator="equal">
      <formula>"NA"</formula>
    </cfRule>
    <cfRule type="cellIs" dxfId="1689" priority="9" operator="equal">
      <formula>"Yes"</formula>
    </cfRule>
  </conditionalFormatting>
  <conditionalFormatting sqref="D24:F24">
    <cfRule type="cellIs" dxfId="1688" priority="4" operator="equal">
      <formula>"No"</formula>
    </cfRule>
    <cfRule type="cellIs" dxfId="1687" priority="5" operator="equal">
      <formula>"NA"</formula>
    </cfRule>
    <cfRule type="cellIs" dxfId="1686" priority="6" operator="equal">
      <formula>"Yes"</formula>
    </cfRule>
  </conditionalFormatting>
  <conditionalFormatting sqref="D26:F26">
    <cfRule type="cellIs" dxfId="1685" priority="1" operator="equal">
      <formula>"No"</formula>
    </cfRule>
    <cfRule type="cellIs" dxfId="1684" priority="2" operator="equal">
      <formula>"NA"</formula>
    </cfRule>
    <cfRule type="cellIs" dxfId="1683" priority="3" operator="equal">
      <formula>"Yes"</formula>
    </cfRule>
  </conditionalFormatting>
  <dataValidations count="1">
    <dataValidation type="list" allowBlank="1" showInputMessage="1" showErrorMessage="1" sqref="C8:F22 C29:F30 C24:F27 C6:F6 C32:F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AK36"/>
  <sheetViews>
    <sheetView zoomScaleNormal="100" workbookViewId="0">
      <pane xSplit="1" ySplit="3" topLeftCell="B4" activePane="bottomRight" state="frozen"/>
      <selection pane="topRight" activeCell="B1" sqref="B1"/>
      <selection pane="bottomLeft" activeCell="A4" sqref="A4"/>
      <selection pane="bottomRight" activeCell="AG2" sqref="AG2"/>
    </sheetView>
  </sheetViews>
  <sheetFormatPr defaultColWidth="9.28515625" defaultRowHeight="12.75" outlineLevelCol="1"/>
  <cols>
    <col min="1" max="1" width="17.85546875" style="160" customWidth="1"/>
    <col min="2" max="2" width="61" style="158" customWidth="1"/>
    <col min="3" max="3" width="6.28515625" style="157" bestFit="1" customWidth="1"/>
    <col min="4" max="6" width="6.28515625" style="157" customWidth="1"/>
    <col min="7" max="14" width="6.28515625" style="157" hidden="1" customWidth="1"/>
    <col min="15" max="15" width="8.42578125" style="157" hidden="1" customWidth="1"/>
    <col min="16" max="19" width="6.28515625" style="157" customWidth="1"/>
    <col min="20" max="20" width="8.28515625" style="157" customWidth="1"/>
    <col min="21" max="21" width="6.28515625" style="157" customWidth="1"/>
    <col min="22" max="22" width="8.42578125" style="157" customWidth="1"/>
    <col min="23" max="26" width="6.28515625" style="157" customWidth="1"/>
    <col min="27" max="27" width="8.42578125" style="157" customWidth="1"/>
    <col min="28" max="33" width="6.28515625" style="157" customWidth="1"/>
    <col min="34" max="34" width="33.7109375" style="157" customWidth="1"/>
    <col min="35" max="36" width="30.7109375" style="157" customWidth="1" outlineLevel="1"/>
    <col min="37" max="16384" width="9.28515625" style="157"/>
  </cols>
  <sheetData>
    <row r="2" spans="1:37" ht="93" customHeight="1">
      <c r="A2" s="210" t="s">
        <v>228</v>
      </c>
      <c r="B2" s="211" t="s">
        <v>356</v>
      </c>
      <c r="C2" s="212" t="s">
        <v>886</v>
      </c>
      <c r="D2" s="212" t="s">
        <v>891</v>
      </c>
      <c r="E2" s="212" t="s">
        <v>892</v>
      </c>
      <c r="F2" s="212" t="s">
        <v>895</v>
      </c>
      <c r="G2" s="212" t="s">
        <v>948</v>
      </c>
      <c r="H2" s="212" t="s">
        <v>929</v>
      </c>
      <c r="I2" s="212" t="s">
        <v>927</v>
      </c>
      <c r="J2" s="212" t="s">
        <v>928</v>
      </c>
      <c r="K2" s="212" t="s">
        <v>931</v>
      </c>
      <c r="L2" s="212" t="s">
        <v>949</v>
      </c>
      <c r="M2" s="212" t="s">
        <v>944</v>
      </c>
      <c r="N2" s="212" t="s">
        <v>950</v>
      </c>
      <c r="O2" s="212" t="s">
        <v>955</v>
      </c>
      <c r="P2" s="212" t="s">
        <v>957</v>
      </c>
      <c r="Q2" s="212" t="s">
        <v>971</v>
      </c>
      <c r="R2" s="212" t="s">
        <v>972</v>
      </c>
      <c r="S2" s="212" t="s">
        <v>973</v>
      </c>
      <c r="T2" s="212" t="s">
        <v>974</v>
      </c>
      <c r="U2" s="212" t="s">
        <v>980</v>
      </c>
      <c r="V2" s="212" t="s">
        <v>981</v>
      </c>
      <c r="W2" s="212" t="s">
        <v>982</v>
      </c>
      <c r="X2" s="212" t="s">
        <v>996</v>
      </c>
      <c r="Y2" s="212" t="s">
        <v>997</v>
      </c>
      <c r="Z2" s="212" t="s">
        <v>998</v>
      </c>
      <c r="AA2" s="212" t="s">
        <v>999</v>
      </c>
      <c r="AB2" s="212" t="s">
        <v>1006</v>
      </c>
      <c r="AC2" s="212" t="s">
        <v>1007</v>
      </c>
      <c r="AD2" s="212" t="s">
        <v>1005</v>
      </c>
      <c r="AE2" s="212" t="s">
        <v>1012</v>
      </c>
      <c r="AF2" s="212" t="s">
        <v>1011</v>
      </c>
      <c r="AG2" s="212" t="s">
        <v>1013</v>
      </c>
      <c r="AH2" s="213" t="s">
        <v>293</v>
      </c>
      <c r="AI2" s="379" t="s">
        <v>185</v>
      </c>
      <c r="AJ2" s="380"/>
    </row>
    <row r="3" spans="1:37" ht="18.75">
      <c r="A3" s="214"/>
      <c r="B3" s="215"/>
      <c r="C3" s="216">
        <f t="shared" ref="C3:J3" si="0">COUNTIF(C5:C36,"Yes") / ( COUNTA(C5:C36) - COUNTIF(C5:C36,"NA"))</f>
        <v>0.91304347826086951</v>
      </c>
      <c r="D3" s="216">
        <f t="shared" si="0"/>
        <v>0.86956521739130432</v>
      </c>
      <c r="E3" s="216">
        <f t="shared" si="0"/>
        <v>0.82608695652173914</v>
      </c>
      <c r="F3" s="216">
        <f t="shared" si="0"/>
        <v>0.78260869565217395</v>
      </c>
      <c r="G3" s="216">
        <f t="shared" si="0"/>
        <v>0.78260869565217395</v>
      </c>
      <c r="H3" s="216">
        <f t="shared" si="0"/>
        <v>0.91304347826086951</v>
      </c>
      <c r="I3" s="216">
        <f t="shared" si="0"/>
        <v>0.91304347826086951</v>
      </c>
      <c r="J3" s="216">
        <f t="shared" si="0"/>
        <v>0.91304347826086951</v>
      </c>
      <c r="K3" s="216">
        <f t="shared" ref="K3" si="1">COUNTIF(K5:K36,"Yes") / ( COUNTA(K5:K36) - COUNTIF(K5:K36,"NA"))</f>
        <v>0.95652173913043481</v>
      </c>
      <c r="L3" s="216">
        <f t="shared" ref="L3:M3" si="2">COUNTIF(L5:L36,"Yes") / ( COUNTA(L5:L36) - COUNTIF(L5:L36,"NA"))</f>
        <v>1</v>
      </c>
      <c r="M3" s="216">
        <f t="shared" si="2"/>
        <v>1</v>
      </c>
      <c r="N3" s="216">
        <f t="shared" ref="N3:T3" si="3">COUNTIF(N5:N36,"Yes") / ( COUNTA(N5:N36) - COUNTIF(N5:N36,"NA"))</f>
        <v>1</v>
      </c>
      <c r="O3" s="216">
        <f t="shared" si="3"/>
        <v>1</v>
      </c>
      <c r="P3" s="216">
        <f t="shared" si="3"/>
        <v>1</v>
      </c>
      <c r="Q3" s="216">
        <f t="shared" si="3"/>
        <v>1</v>
      </c>
      <c r="R3" s="216">
        <f t="shared" si="3"/>
        <v>1</v>
      </c>
      <c r="S3" s="216">
        <f t="shared" si="3"/>
        <v>1</v>
      </c>
      <c r="T3" s="216">
        <f t="shared" si="3"/>
        <v>1</v>
      </c>
      <c r="U3" s="216">
        <f t="shared" ref="U3:X3" si="4">COUNTIF(U5:U36,"Yes") / ( COUNTA(U5:U36) - COUNTIF(U5:U36,"NA"))</f>
        <v>1</v>
      </c>
      <c r="V3" s="216">
        <f t="shared" si="4"/>
        <v>1</v>
      </c>
      <c r="W3" s="216">
        <f t="shared" si="4"/>
        <v>1</v>
      </c>
      <c r="X3" s="216">
        <f t="shared" si="4"/>
        <v>1</v>
      </c>
      <c r="Y3" s="216">
        <f>COUNTIF(Y5:Y36,"Yes") / ( COUNTA(Y5:Y36) - COUNTIF(Y5:Y36,"NA"))</f>
        <v>0.95652173913043481</v>
      </c>
      <c r="Z3" s="216">
        <f>COUNTIF(Z5:Z36,"Yes") / ( COUNTA(Z5:Z36) - COUNTIF(Z5:Z36,"NA"))</f>
        <v>0.95652173913043481</v>
      </c>
      <c r="AA3" s="216">
        <f>COUNTIF(AA5:AA36,"Yes") / ( COUNTA(AA5:AA36) - COUNTIF(AA5:AA36,"NA"))</f>
        <v>1</v>
      </c>
      <c r="AB3" s="216">
        <f>COUNTIF(AB5:AB36,"Yes") / ( COUNTA(AB5:AB36) - COUNTIF(AB5:AB36,"NA"))</f>
        <v>1</v>
      </c>
      <c r="AC3" s="216">
        <f>COUNTIF(AC5:AC36,"Yes") / ( COUNTA(AC5:AC36) - COUNTIF(AC5:AC36,"NA"))</f>
        <v>1</v>
      </c>
      <c r="AD3" s="216">
        <f t="shared" ref="AD3:AF3" si="5">COUNTIF(AD5:AD36,"Yes") / ( COUNTA(AD5:AD36) - COUNTIF(AD5:AD36,"NA"))</f>
        <v>1</v>
      </c>
      <c r="AE3" s="216">
        <f>COUNTIF(AE5:AE36,"Yes") / ( COUNTA(AE5:AE36) - COUNTIF(AE5:AE36,"NA"))</f>
        <v>1</v>
      </c>
      <c r="AF3" s="216">
        <f t="shared" si="5"/>
        <v>1</v>
      </c>
      <c r="AG3" s="216">
        <f>COUNTIF(AG5:AG36,"Yes") / ( COUNTA(AG5:AG36) - COUNTIF(AG5:AG36,"NA"))</f>
        <v>1</v>
      </c>
      <c r="AH3" s="221"/>
      <c r="AI3" s="229" t="s">
        <v>268</v>
      </c>
      <c r="AJ3" s="229" t="s">
        <v>269</v>
      </c>
      <c r="AK3" s="222"/>
    </row>
    <row r="4" spans="1:37" ht="36">
      <c r="A4" s="217"/>
      <c r="B4" s="218" t="s">
        <v>317</v>
      </c>
      <c r="C4" s="219"/>
      <c r="D4" s="219"/>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19"/>
      <c r="AI4" s="219"/>
      <c r="AJ4" s="220"/>
      <c r="AK4" s="25"/>
    </row>
    <row r="5" spans="1:37" ht="18.75">
      <c r="A5" s="161"/>
      <c r="B5" s="170" t="s">
        <v>248</v>
      </c>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2"/>
      <c r="AG5" s="162"/>
      <c r="AH5" s="162"/>
      <c r="AI5" s="229"/>
      <c r="AJ5" s="229"/>
    </row>
    <row r="6" spans="1:37" ht="38.25">
      <c r="A6" s="164" t="s">
        <v>573</v>
      </c>
      <c r="B6" s="173" t="s">
        <v>357</v>
      </c>
      <c r="C6" s="223" t="s">
        <v>220</v>
      </c>
      <c r="D6" s="223" t="s">
        <v>220</v>
      </c>
      <c r="E6" s="223" t="s">
        <v>23</v>
      </c>
      <c r="F6" s="223" t="s">
        <v>23</v>
      </c>
      <c r="G6" s="223" t="s">
        <v>23</v>
      </c>
      <c r="H6" s="223" t="s">
        <v>220</v>
      </c>
      <c r="I6" s="223" t="s">
        <v>220</v>
      </c>
      <c r="J6" s="223" t="s">
        <v>220</v>
      </c>
      <c r="K6" s="223" t="s">
        <v>220</v>
      </c>
      <c r="L6" s="223" t="s">
        <v>220</v>
      </c>
      <c r="M6" s="223" t="s">
        <v>220</v>
      </c>
      <c r="N6" s="223" t="s">
        <v>220</v>
      </c>
      <c r="O6" s="223" t="s">
        <v>220</v>
      </c>
      <c r="P6" s="223" t="s">
        <v>220</v>
      </c>
      <c r="Q6" s="223" t="s">
        <v>220</v>
      </c>
      <c r="R6" s="223" t="s">
        <v>220</v>
      </c>
      <c r="S6" s="223" t="s">
        <v>220</v>
      </c>
      <c r="T6" s="223" t="s">
        <v>220</v>
      </c>
      <c r="U6" s="223" t="s">
        <v>220</v>
      </c>
      <c r="V6" s="223" t="s">
        <v>220</v>
      </c>
      <c r="W6" s="223" t="s">
        <v>220</v>
      </c>
      <c r="X6" s="223" t="s">
        <v>220</v>
      </c>
      <c r="Y6" s="223" t="s">
        <v>220</v>
      </c>
      <c r="Z6" s="223" t="s">
        <v>220</v>
      </c>
      <c r="AA6" s="223" t="s">
        <v>220</v>
      </c>
      <c r="AB6" s="223" t="s">
        <v>220</v>
      </c>
      <c r="AC6" s="223" t="s">
        <v>220</v>
      </c>
      <c r="AD6" s="223" t="s">
        <v>220</v>
      </c>
      <c r="AE6" s="223" t="s">
        <v>220</v>
      </c>
      <c r="AF6" s="223" t="s">
        <v>220</v>
      </c>
      <c r="AG6" s="223" t="s">
        <v>220</v>
      </c>
      <c r="AH6" s="224"/>
      <c r="AI6" s="163"/>
      <c r="AJ6" s="163"/>
    </row>
    <row r="7" spans="1:37" ht="38.25">
      <c r="A7" s="164" t="s">
        <v>574</v>
      </c>
      <c r="B7" s="173" t="s">
        <v>358</v>
      </c>
      <c r="C7" s="223" t="s">
        <v>23</v>
      </c>
      <c r="D7" s="223" t="s">
        <v>23</v>
      </c>
      <c r="E7" s="223" t="s">
        <v>23</v>
      </c>
      <c r="F7" s="223" t="s">
        <v>23</v>
      </c>
      <c r="G7" s="223" t="s">
        <v>23</v>
      </c>
      <c r="H7" s="223" t="s">
        <v>23</v>
      </c>
      <c r="I7" s="223" t="s">
        <v>23</v>
      </c>
      <c r="J7" s="223" t="s">
        <v>23</v>
      </c>
      <c r="K7" s="223" t="s">
        <v>220</v>
      </c>
      <c r="L7" s="223" t="s">
        <v>220</v>
      </c>
      <c r="M7" s="223" t="s">
        <v>220</v>
      </c>
      <c r="N7" s="223" t="s">
        <v>220</v>
      </c>
      <c r="O7" s="223" t="s">
        <v>220</v>
      </c>
      <c r="P7" s="223" t="s">
        <v>220</v>
      </c>
      <c r="Q7" s="223" t="s">
        <v>220</v>
      </c>
      <c r="R7" s="223" t="s">
        <v>220</v>
      </c>
      <c r="S7" s="223" t="s">
        <v>220</v>
      </c>
      <c r="T7" s="223" t="s">
        <v>220</v>
      </c>
      <c r="U7" s="223" t="s">
        <v>220</v>
      </c>
      <c r="V7" s="223" t="s">
        <v>220</v>
      </c>
      <c r="W7" s="223" t="s">
        <v>220</v>
      </c>
      <c r="X7" s="223" t="s">
        <v>220</v>
      </c>
      <c r="Y7" s="223" t="s">
        <v>220</v>
      </c>
      <c r="Z7" s="223" t="s">
        <v>220</v>
      </c>
      <c r="AA7" s="223" t="s">
        <v>220</v>
      </c>
      <c r="AB7" s="223" t="s">
        <v>220</v>
      </c>
      <c r="AC7" s="223" t="s">
        <v>220</v>
      </c>
      <c r="AD7" s="223" t="s">
        <v>220</v>
      </c>
      <c r="AE7" s="223" t="s">
        <v>220</v>
      </c>
      <c r="AF7" s="223" t="s">
        <v>220</v>
      </c>
      <c r="AG7" s="223" t="s">
        <v>220</v>
      </c>
      <c r="AH7" s="224"/>
      <c r="AI7" s="163"/>
      <c r="AJ7" s="163"/>
    </row>
    <row r="8" spans="1:37" ht="18.75">
      <c r="A8" s="161"/>
      <c r="B8" s="170" t="s">
        <v>502</v>
      </c>
      <c r="C8" s="162"/>
      <c r="D8" s="162"/>
      <c r="E8" s="162"/>
      <c r="F8" s="162"/>
      <c r="G8" s="162"/>
      <c r="H8" s="162"/>
      <c r="I8" s="162"/>
      <c r="J8" s="162"/>
      <c r="K8" s="162"/>
      <c r="L8" s="162"/>
      <c r="M8" s="162"/>
      <c r="N8" s="162"/>
      <c r="O8" s="162"/>
      <c r="P8" s="162"/>
      <c r="Q8" s="162"/>
      <c r="R8" s="162"/>
      <c r="S8" s="162"/>
      <c r="T8" s="162"/>
      <c r="U8" s="162"/>
      <c r="V8" s="162"/>
      <c r="W8" s="162"/>
      <c r="X8" s="162"/>
      <c r="Y8" s="162"/>
      <c r="Z8" s="162"/>
      <c r="AA8" s="162"/>
      <c r="AB8" s="162"/>
      <c r="AC8" s="162"/>
      <c r="AD8" s="162"/>
      <c r="AE8" s="162"/>
      <c r="AF8" s="162"/>
      <c r="AG8" s="162"/>
      <c r="AH8" s="162"/>
      <c r="AI8" s="229"/>
      <c r="AJ8" s="229"/>
    </row>
    <row r="9" spans="1:37" ht="25.5">
      <c r="A9" s="164" t="s">
        <v>575</v>
      </c>
      <c r="B9" s="173" t="s">
        <v>514</v>
      </c>
      <c r="C9" s="223" t="s">
        <v>220</v>
      </c>
      <c r="D9" s="223" t="s">
        <v>23</v>
      </c>
      <c r="E9" s="223" t="s">
        <v>23</v>
      </c>
      <c r="F9" s="223" t="s">
        <v>23</v>
      </c>
      <c r="G9" s="223" t="s">
        <v>23</v>
      </c>
      <c r="H9" s="223" t="s">
        <v>220</v>
      </c>
      <c r="I9" s="223" t="s">
        <v>220</v>
      </c>
      <c r="J9" s="223" t="s">
        <v>220</v>
      </c>
      <c r="K9" s="223" t="s">
        <v>220</v>
      </c>
      <c r="L9" s="223" t="s">
        <v>220</v>
      </c>
      <c r="M9" s="223" t="s">
        <v>220</v>
      </c>
      <c r="N9" s="223" t="s">
        <v>220</v>
      </c>
      <c r="O9" s="223" t="s">
        <v>220</v>
      </c>
      <c r="P9" s="223" t="s">
        <v>220</v>
      </c>
      <c r="Q9" s="223" t="s">
        <v>220</v>
      </c>
      <c r="R9" s="223" t="s">
        <v>220</v>
      </c>
      <c r="S9" s="223" t="s">
        <v>220</v>
      </c>
      <c r="T9" s="223" t="s">
        <v>220</v>
      </c>
      <c r="U9" s="223" t="s">
        <v>220</v>
      </c>
      <c r="V9" s="223" t="s">
        <v>220</v>
      </c>
      <c r="W9" s="223" t="s">
        <v>220</v>
      </c>
      <c r="X9" s="223" t="s">
        <v>220</v>
      </c>
      <c r="Y9" s="223" t="s">
        <v>220</v>
      </c>
      <c r="Z9" s="223" t="s">
        <v>220</v>
      </c>
      <c r="AA9" s="223" t="s">
        <v>220</v>
      </c>
      <c r="AB9" s="223" t="s">
        <v>220</v>
      </c>
      <c r="AC9" s="223" t="s">
        <v>220</v>
      </c>
      <c r="AD9" s="223" t="s">
        <v>220</v>
      </c>
      <c r="AE9" s="223" t="s">
        <v>220</v>
      </c>
      <c r="AF9" s="223" t="s">
        <v>220</v>
      </c>
      <c r="AG9" s="223" t="s">
        <v>220</v>
      </c>
      <c r="AH9" s="224"/>
      <c r="AI9" s="163"/>
      <c r="AJ9" s="163"/>
    </row>
    <row r="10" spans="1:37" ht="25.5">
      <c r="A10" s="164" t="s">
        <v>576</v>
      </c>
      <c r="B10" s="173" t="s">
        <v>515</v>
      </c>
      <c r="C10" s="223" t="s">
        <v>220</v>
      </c>
      <c r="D10" s="223" t="s">
        <v>220</v>
      </c>
      <c r="E10" s="223" t="s">
        <v>220</v>
      </c>
      <c r="F10" s="223" t="s">
        <v>220</v>
      </c>
      <c r="G10" s="223" t="s">
        <v>220</v>
      </c>
      <c r="H10" s="223" t="s">
        <v>220</v>
      </c>
      <c r="I10" s="223" t="s">
        <v>220</v>
      </c>
      <c r="J10" s="223" t="s">
        <v>220</v>
      </c>
      <c r="K10" s="223" t="s">
        <v>220</v>
      </c>
      <c r="L10" s="223" t="s">
        <v>220</v>
      </c>
      <c r="M10" s="223" t="s">
        <v>220</v>
      </c>
      <c r="N10" s="223" t="s">
        <v>220</v>
      </c>
      <c r="O10" s="223" t="s">
        <v>220</v>
      </c>
      <c r="P10" s="223" t="s">
        <v>220</v>
      </c>
      <c r="Q10" s="223" t="s">
        <v>220</v>
      </c>
      <c r="R10" s="223" t="s">
        <v>220</v>
      </c>
      <c r="S10" s="223" t="s">
        <v>220</v>
      </c>
      <c r="T10" s="223" t="s">
        <v>220</v>
      </c>
      <c r="U10" s="223" t="s">
        <v>220</v>
      </c>
      <c r="V10" s="223" t="s">
        <v>220</v>
      </c>
      <c r="W10" s="223" t="s">
        <v>220</v>
      </c>
      <c r="X10" s="223" t="s">
        <v>220</v>
      </c>
      <c r="Y10" s="223" t="s">
        <v>23</v>
      </c>
      <c r="Z10" s="223" t="s">
        <v>23</v>
      </c>
      <c r="AA10" s="223" t="s">
        <v>220</v>
      </c>
      <c r="AB10" s="223" t="s">
        <v>220</v>
      </c>
      <c r="AC10" s="223" t="s">
        <v>220</v>
      </c>
      <c r="AD10" s="223" t="s">
        <v>220</v>
      </c>
      <c r="AE10" s="223" t="s">
        <v>220</v>
      </c>
      <c r="AF10" s="223" t="s">
        <v>220</v>
      </c>
      <c r="AG10" s="223" t="s">
        <v>220</v>
      </c>
      <c r="AH10" s="224"/>
      <c r="AI10" s="163"/>
      <c r="AJ10" s="163"/>
    </row>
    <row r="11" spans="1:37" ht="38.25">
      <c r="A11" s="164" t="s">
        <v>577</v>
      </c>
      <c r="B11" s="173" t="s">
        <v>578</v>
      </c>
      <c r="C11" s="223" t="s">
        <v>23</v>
      </c>
      <c r="D11" s="223" t="s">
        <v>23</v>
      </c>
      <c r="E11" s="223" t="s">
        <v>23</v>
      </c>
      <c r="F11" s="223" t="s">
        <v>23</v>
      </c>
      <c r="G11" s="223" t="s">
        <v>23</v>
      </c>
      <c r="H11" s="223" t="s">
        <v>23</v>
      </c>
      <c r="I11" s="223" t="s">
        <v>23</v>
      </c>
      <c r="J11" s="223" t="s">
        <v>23</v>
      </c>
      <c r="K11" s="223" t="s">
        <v>23</v>
      </c>
      <c r="L11" s="223" t="s">
        <v>220</v>
      </c>
      <c r="M11" s="223" t="s">
        <v>220</v>
      </c>
      <c r="N11" s="223" t="s">
        <v>220</v>
      </c>
      <c r="O11" s="223" t="s">
        <v>220</v>
      </c>
      <c r="P11" s="223" t="s">
        <v>220</v>
      </c>
      <c r="Q11" s="223" t="s">
        <v>220</v>
      </c>
      <c r="R11" s="223" t="s">
        <v>220</v>
      </c>
      <c r="S11" s="223" t="s">
        <v>220</v>
      </c>
      <c r="T11" s="223" t="s">
        <v>220</v>
      </c>
      <c r="U11" s="223" t="s">
        <v>220</v>
      </c>
      <c r="V11" s="223" t="s">
        <v>220</v>
      </c>
      <c r="W11" s="223" t="s">
        <v>220</v>
      </c>
      <c r="X11" s="223" t="s">
        <v>220</v>
      </c>
      <c r="Y11" s="223" t="s">
        <v>220</v>
      </c>
      <c r="Z11" s="223" t="s">
        <v>220</v>
      </c>
      <c r="AA11" s="223" t="s">
        <v>220</v>
      </c>
      <c r="AB11" s="223" t="s">
        <v>220</v>
      </c>
      <c r="AC11" s="223" t="s">
        <v>220</v>
      </c>
      <c r="AD11" s="223" t="s">
        <v>220</v>
      </c>
      <c r="AE11" s="223" t="s">
        <v>220</v>
      </c>
      <c r="AF11" s="223" t="s">
        <v>220</v>
      </c>
      <c r="AG11" s="223" t="s">
        <v>220</v>
      </c>
      <c r="AH11" s="224"/>
      <c r="AI11" s="163"/>
      <c r="AJ11" s="163"/>
    </row>
    <row r="12" spans="1:37" ht="63.75">
      <c r="A12" s="164" t="s">
        <v>579</v>
      </c>
      <c r="B12" s="173" t="s">
        <v>580</v>
      </c>
      <c r="C12" s="223" t="s">
        <v>220</v>
      </c>
      <c r="D12" s="223" t="s">
        <v>220</v>
      </c>
      <c r="E12" s="223" t="s">
        <v>220</v>
      </c>
      <c r="F12" s="223" t="s">
        <v>220</v>
      </c>
      <c r="G12" s="223" t="s">
        <v>220</v>
      </c>
      <c r="H12" s="223" t="s">
        <v>220</v>
      </c>
      <c r="I12" s="223" t="s">
        <v>220</v>
      </c>
      <c r="J12" s="223" t="s">
        <v>220</v>
      </c>
      <c r="K12" s="223" t="s">
        <v>220</v>
      </c>
      <c r="L12" s="223" t="s">
        <v>220</v>
      </c>
      <c r="M12" s="223" t="s">
        <v>220</v>
      </c>
      <c r="N12" s="223" t="s">
        <v>220</v>
      </c>
      <c r="O12" s="223" t="s">
        <v>220</v>
      </c>
      <c r="P12" s="223" t="s">
        <v>220</v>
      </c>
      <c r="Q12" s="223" t="s">
        <v>220</v>
      </c>
      <c r="R12" s="223" t="s">
        <v>220</v>
      </c>
      <c r="S12" s="223" t="s">
        <v>220</v>
      </c>
      <c r="T12" s="223" t="s">
        <v>220</v>
      </c>
      <c r="U12" s="223" t="s">
        <v>220</v>
      </c>
      <c r="V12" s="223" t="s">
        <v>220</v>
      </c>
      <c r="W12" s="223" t="s">
        <v>220</v>
      </c>
      <c r="X12" s="223" t="s">
        <v>220</v>
      </c>
      <c r="Y12" s="223" t="s">
        <v>220</v>
      </c>
      <c r="Z12" s="223" t="s">
        <v>220</v>
      </c>
      <c r="AA12" s="223" t="s">
        <v>220</v>
      </c>
      <c r="AB12" s="223" t="s">
        <v>220</v>
      </c>
      <c r="AC12" s="223" t="s">
        <v>220</v>
      </c>
      <c r="AD12" s="223" t="s">
        <v>220</v>
      </c>
      <c r="AE12" s="223" t="s">
        <v>220</v>
      </c>
      <c r="AF12" s="223" t="s">
        <v>220</v>
      </c>
      <c r="AG12" s="223" t="s">
        <v>220</v>
      </c>
      <c r="AH12" s="224"/>
      <c r="AI12" s="163"/>
      <c r="AJ12" s="163"/>
    </row>
    <row r="13" spans="1:37" ht="63.75">
      <c r="A13" s="164" t="s">
        <v>581</v>
      </c>
      <c r="B13" s="173" t="s">
        <v>582</v>
      </c>
      <c r="C13" s="223" t="s">
        <v>220</v>
      </c>
      <c r="D13" s="223" t="s">
        <v>220</v>
      </c>
      <c r="E13" s="223" t="s">
        <v>220</v>
      </c>
      <c r="F13" s="223" t="s">
        <v>220</v>
      </c>
      <c r="G13" s="223" t="s">
        <v>220</v>
      </c>
      <c r="H13" s="223" t="s">
        <v>220</v>
      </c>
      <c r="I13" s="223" t="s">
        <v>220</v>
      </c>
      <c r="J13" s="223" t="s">
        <v>220</v>
      </c>
      <c r="K13" s="223" t="s">
        <v>220</v>
      </c>
      <c r="L13" s="223" t="s">
        <v>220</v>
      </c>
      <c r="M13" s="223" t="s">
        <v>220</v>
      </c>
      <c r="N13" s="223" t="s">
        <v>220</v>
      </c>
      <c r="O13" s="223" t="s">
        <v>220</v>
      </c>
      <c r="P13" s="223" t="s">
        <v>220</v>
      </c>
      <c r="Q13" s="223" t="s">
        <v>220</v>
      </c>
      <c r="R13" s="223" t="s">
        <v>220</v>
      </c>
      <c r="S13" s="223" t="s">
        <v>220</v>
      </c>
      <c r="T13" s="223" t="s">
        <v>220</v>
      </c>
      <c r="U13" s="223" t="s">
        <v>220</v>
      </c>
      <c r="V13" s="223" t="s">
        <v>220</v>
      </c>
      <c r="W13" s="223" t="s">
        <v>220</v>
      </c>
      <c r="X13" s="223" t="s">
        <v>220</v>
      </c>
      <c r="Y13" s="223" t="s">
        <v>220</v>
      </c>
      <c r="Z13" s="223" t="s">
        <v>220</v>
      </c>
      <c r="AA13" s="223" t="s">
        <v>220</v>
      </c>
      <c r="AB13" s="223" t="s">
        <v>220</v>
      </c>
      <c r="AC13" s="223" t="s">
        <v>220</v>
      </c>
      <c r="AD13" s="223" t="s">
        <v>220</v>
      </c>
      <c r="AE13" s="223" t="s">
        <v>220</v>
      </c>
      <c r="AF13" s="223" t="s">
        <v>220</v>
      </c>
      <c r="AG13" s="223" t="s">
        <v>220</v>
      </c>
      <c r="AH13" s="224"/>
      <c r="AI13" s="163"/>
      <c r="AJ13" s="163"/>
    </row>
    <row r="14" spans="1:37" ht="25.5">
      <c r="A14" s="164" t="s">
        <v>583</v>
      </c>
      <c r="B14" s="173" t="s">
        <v>516</v>
      </c>
      <c r="C14" s="223" t="s">
        <v>220</v>
      </c>
      <c r="D14" s="223" t="s">
        <v>220</v>
      </c>
      <c r="E14" s="223" t="s">
        <v>220</v>
      </c>
      <c r="F14" s="223" t="s">
        <v>23</v>
      </c>
      <c r="G14" s="223" t="s">
        <v>23</v>
      </c>
      <c r="H14" s="223" t="s">
        <v>220</v>
      </c>
      <c r="I14" s="223" t="s">
        <v>220</v>
      </c>
      <c r="J14" s="223" t="s">
        <v>220</v>
      </c>
      <c r="K14" s="223" t="s">
        <v>220</v>
      </c>
      <c r="L14" s="223" t="s">
        <v>220</v>
      </c>
      <c r="M14" s="223" t="s">
        <v>220</v>
      </c>
      <c r="N14" s="223" t="s">
        <v>220</v>
      </c>
      <c r="O14" s="223" t="s">
        <v>220</v>
      </c>
      <c r="P14" s="223" t="s">
        <v>220</v>
      </c>
      <c r="Q14" s="223" t="s">
        <v>220</v>
      </c>
      <c r="R14" s="223" t="s">
        <v>220</v>
      </c>
      <c r="S14" s="223" t="s">
        <v>220</v>
      </c>
      <c r="T14" s="223" t="s">
        <v>220</v>
      </c>
      <c r="U14" s="223" t="s">
        <v>220</v>
      </c>
      <c r="V14" s="223" t="s">
        <v>220</v>
      </c>
      <c r="W14" s="223" t="s">
        <v>220</v>
      </c>
      <c r="X14" s="223" t="s">
        <v>220</v>
      </c>
      <c r="Y14" s="223" t="s">
        <v>220</v>
      </c>
      <c r="Z14" s="223" t="s">
        <v>220</v>
      </c>
      <c r="AA14" s="223" t="s">
        <v>220</v>
      </c>
      <c r="AB14" s="223" t="s">
        <v>220</v>
      </c>
      <c r="AC14" s="223" t="s">
        <v>220</v>
      </c>
      <c r="AD14" s="223" t="s">
        <v>220</v>
      </c>
      <c r="AE14" s="223" t="s">
        <v>220</v>
      </c>
      <c r="AF14" s="223" t="s">
        <v>220</v>
      </c>
      <c r="AG14" s="223" t="s">
        <v>220</v>
      </c>
      <c r="AH14" s="224"/>
      <c r="AI14" s="163"/>
      <c r="AJ14" s="163"/>
    </row>
    <row r="15" spans="1:37" ht="25.5">
      <c r="A15" s="164" t="s">
        <v>584</v>
      </c>
      <c r="B15" s="173" t="s">
        <v>517</v>
      </c>
      <c r="C15" s="223" t="s">
        <v>220</v>
      </c>
      <c r="D15" s="223" t="s">
        <v>220</v>
      </c>
      <c r="E15" s="223" t="s">
        <v>220</v>
      </c>
      <c r="F15" s="223" t="s">
        <v>220</v>
      </c>
      <c r="G15" s="223" t="s">
        <v>220</v>
      </c>
      <c r="H15" s="223" t="s">
        <v>220</v>
      </c>
      <c r="I15" s="223" t="s">
        <v>220</v>
      </c>
      <c r="J15" s="223" t="s">
        <v>220</v>
      </c>
      <c r="K15" s="223" t="s">
        <v>220</v>
      </c>
      <c r="L15" s="223" t="s">
        <v>220</v>
      </c>
      <c r="M15" s="223" t="s">
        <v>220</v>
      </c>
      <c r="N15" s="223" t="s">
        <v>220</v>
      </c>
      <c r="O15" s="223" t="s">
        <v>220</v>
      </c>
      <c r="P15" s="223" t="s">
        <v>220</v>
      </c>
      <c r="Q15" s="223" t="s">
        <v>220</v>
      </c>
      <c r="R15" s="223" t="s">
        <v>220</v>
      </c>
      <c r="S15" s="223" t="s">
        <v>220</v>
      </c>
      <c r="T15" s="223" t="s">
        <v>220</v>
      </c>
      <c r="U15" s="223" t="s">
        <v>220</v>
      </c>
      <c r="V15" s="223" t="s">
        <v>220</v>
      </c>
      <c r="W15" s="223" t="s">
        <v>220</v>
      </c>
      <c r="X15" s="223" t="s">
        <v>220</v>
      </c>
      <c r="Y15" s="223" t="s">
        <v>220</v>
      </c>
      <c r="Z15" s="223" t="s">
        <v>220</v>
      </c>
      <c r="AA15" s="223" t="s">
        <v>220</v>
      </c>
      <c r="AB15" s="223" t="s">
        <v>220</v>
      </c>
      <c r="AC15" s="223" t="s">
        <v>220</v>
      </c>
      <c r="AD15" s="223" t="s">
        <v>220</v>
      </c>
      <c r="AE15" s="223" t="s">
        <v>220</v>
      </c>
      <c r="AF15" s="223" t="s">
        <v>220</v>
      </c>
      <c r="AG15" s="223" t="s">
        <v>220</v>
      </c>
      <c r="AH15" s="224"/>
      <c r="AI15" s="163"/>
      <c r="AJ15" s="163"/>
    </row>
    <row r="16" spans="1:37" ht="25.5">
      <c r="A16" s="164" t="s">
        <v>585</v>
      </c>
      <c r="B16" s="173" t="s">
        <v>518</v>
      </c>
      <c r="C16" s="223" t="s">
        <v>220</v>
      </c>
      <c r="D16" s="223" t="s">
        <v>220</v>
      </c>
      <c r="E16" s="223" t="s">
        <v>220</v>
      </c>
      <c r="F16" s="223" t="s">
        <v>220</v>
      </c>
      <c r="G16" s="223" t="s">
        <v>220</v>
      </c>
      <c r="H16" s="223" t="s">
        <v>220</v>
      </c>
      <c r="I16" s="223" t="s">
        <v>220</v>
      </c>
      <c r="J16" s="223" t="s">
        <v>220</v>
      </c>
      <c r="K16" s="223" t="s">
        <v>220</v>
      </c>
      <c r="L16" s="223" t="s">
        <v>220</v>
      </c>
      <c r="M16" s="223" t="s">
        <v>220</v>
      </c>
      <c r="N16" s="223" t="s">
        <v>220</v>
      </c>
      <c r="O16" s="223" t="s">
        <v>220</v>
      </c>
      <c r="P16" s="223" t="s">
        <v>220</v>
      </c>
      <c r="Q16" s="223" t="s">
        <v>220</v>
      </c>
      <c r="R16" s="223" t="s">
        <v>220</v>
      </c>
      <c r="S16" s="223" t="s">
        <v>220</v>
      </c>
      <c r="T16" s="223" t="s">
        <v>220</v>
      </c>
      <c r="U16" s="223" t="s">
        <v>220</v>
      </c>
      <c r="V16" s="223" t="s">
        <v>220</v>
      </c>
      <c r="W16" s="223" t="s">
        <v>220</v>
      </c>
      <c r="X16" s="223" t="s">
        <v>220</v>
      </c>
      <c r="Y16" s="223" t="s">
        <v>220</v>
      </c>
      <c r="Z16" s="223" t="s">
        <v>220</v>
      </c>
      <c r="AA16" s="223" t="s">
        <v>220</v>
      </c>
      <c r="AB16" s="223" t="s">
        <v>220</v>
      </c>
      <c r="AC16" s="223" t="s">
        <v>220</v>
      </c>
      <c r="AD16" s="223" t="s">
        <v>220</v>
      </c>
      <c r="AE16" s="223" t="s">
        <v>220</v>
      </c>
      <c r="AF16" s="223" t="s">
        <v>220</v>
      </c>
      <c r="AG16" s="223" t="s">
        <v>220</v>
      </c>
      <c r="AH16" s="224"/>
      <c r="AI16" s="163"/>
      <c r="AJ16" s="163"/>
    </row>
    <row r="17" spans="1:36" ht="51">
      <c r="A17" s="164" t="s">
        <v>586</v>
      </c>
      <c r="B17" s="173" t="s">
        <v>519</v>
      </c>
      <c r="C17" s="223" t="s">
        <v>220</v>
      </c>
      <c r="D17" s="223" t="s">
        <v>220</v>
      </c>
      <c r="E17" s="223" t="s">
        <v>220</v>
      </c>
      <c r="F17" s="223" t="s">
        <v>220</v>
      </c>
      <c r="G17" s="223" t="s">
        <v>220</v>
      </c>
      <c r="H17" s="223" t="s">
        <v>220</v>
      </c>
      <c r="I17" s="223" t="s">
        <v>220</v>
      </c>
      <c r="J17" s="223" t="s">
        <v>220</v>
      </c>
      <c r="K17" s="223" t="s">
        <v>220</v>
      </c>
      <c r="L17" s="223" t="s">
        <v>220</v>
      </c>
      <c r="M17" s="223" t="s">
        <v>220</v>
      </c>
      <c r="N17" s="223" t="s">
        <v>220</v>
      </c>
      <c r="O17" s="223" t="s">
        <v>220</v>
      </c>
      <c r="P17" s="223" t="s">
        <v>220</v>
      </c>
      <c r="Q17" s="223" t="s">
        <v>220</v>
      </c>
      <c r="R17" s="223" t="s">
        <v>220</v>
      </c>
      <c r="S17" s="223" t="s">
        <v>220</v>
      </c>
      <c r="T17" s="223" t="s">
        <v>220</v>
      </c>
      <c r="U17" s="223" t="s">
        <v>220</v>
      </c>
      <c r="V17" s="223" t="s">
        <v>220</v>
      </c>
      <c r="W17" s="223" t="s">
        <v>220</v>
      </c>
      <c r="X17" s="223" t="s">
        <v>220</v>
      </c>
      <c r="Y17" s="223" t="s">
        <v>220</v>
      </c>
      <c r="Z17" s="223" t="s">
        <v>220</v>
      </c>
      <c r="AA17" s="223" t="s">
        <v>220</v>
      </c>
      <c r="AB17" s="223" t="s">
        <v>220</v>
      </c>
      <c r="AC17" s="223" t="s">
        <v>220</v>
      </c>
      <c r="AD17" s="223" t="s">
        <v>220</v>
      </c>
      <c r="AE17" s="223" t="s">
        <v>220</v>
      </c>
      <c r="AF17" s="223" t="s">
        <v>220</v>
      </c>
      <c r="AG17" s="223" t="s">
        <v>220</v>
      </c>
      <c r="AH17" s="224"/>
      <c r="AI17" s="163"/>
      <c r="AJ17" s="163"/>
    </row>
    <row r="18" spans="1:36" ht="38.25">
      <c r="A18" s="164" t="s">
        <v>587</v>
      </c>
      <c r="B18" s="173" t="s">
        <v>520</v>
      </c>
      <c r="C18" s="223" t="s">
        <v>220</v>
      </c>
      <c r="D18" s="223" t="s">
        <v>220</v>
      </c>
      <c r="E18" s="223" t="s">
        <v>220</v>
      </c>
      <c r="F18" s="223" t="s">
        <v>220</v>
      </c>
      <c r="G18" s="223" t="s">
        <v>220</v>
      </c>
      <c r="H18" s="223" t="s">
        <v>220</v>
      </c>
      <c r="I18" s="223" t="s">
        <v>220</v>
      </c>
      <c r="J18" s="223" t="s">
        <v>220</v>
      </c>
      <c r="K18" s="223" t="s">
        <v>220</v>
      </c>
      <c r="L18" s="223" t="s">
        <v>220</v>
      </c>
      <c r="M18" s="223" t="s">
        <v>220</v>
      </c>
      <c r="N18" s="223" t="s">
        <v>220</v>
      </c>
      <c r="O18" s="223" t="s">
        <v>220</v>
      </c>
      <c r="P18" s="223" t="s">
        <v>220</v>
      </c>
      <c r="Q18" s="223" t="s">
        <v>220</v>
      </c>
      <c r="R18" s="223" t="s">
        <v>220</v>
      </c>
      <c r="S18" s="223" t="s">
        <v>220</v>
      </c>
      <c r="T18" s="223" t="s">
        <v>220</v>
      </c>
      <c r="U18" s="223" t="s">
        <v>220</v>
      </c>
      <c r="V18" s="223" t="s">
        <v>220</v>
      </c>
      <c r="W18" s="223" t="s">
        <v>220</v>
      </c>
      <c r="X18" s="223" t="s">
        <v>220</v>
      </c>
      <c r="Y18" s="223" t="s">
        <v>220</v>
      </c>
      <c r="Z18" s="223" t="s">
        <v>220</v>
      </c>
      <c r="AA18" s="223" t="s">
        <v>220</v>
      </c>
      <c r="AB18" s="223" t="s">
        <v>220</v>
      </c>
      <c r="AC18" s="223" t="s">
        <v>220</v>
      </c>
      <c r="AD18" s="223" t="s">
        <v>220</v>
      </c>
      <c r="AE18" s="223" t="s">
        <v>220</v>
      </c>
      <c r="AF18" s="223" t="s">
        <v>220</v>
      </c>
      <c r="AG18" s="223" t="s">
        <v>220</v>
      </c>
      <c r="AH18" s="224"/>
      <c r="AI18" s="163"/>
      <c r="AJ18" s="163"/>
    </row>
    <row r="19" spans="1:36" ht="51">
      <c r="A19" s="164" t="s">
        <v>588</v>
      </c>
      <c r="B19" s="173" t="s">
        <v>521</v>
      </c>
      <c r="C19" s="223" t="s">
        <v>220</v>
      </c>
      <c r="D19" s="223" t="s">
        <v>220</v>
      </c>
      <c r="E19" s="223" t="s">
        <v>220</v>
      </c>
      <c r="F19" s="223" t="s">
        <v>220</v>
      </c>
      <c r="G19" s="223" t="s">
        <v>220</v>
      </c>
      <c r="H19" s="223" t="s">
        <v>220</v>
      </c>
      <c r="I19" s="223" t="s">
        <v>220</v>
      </c>
      <c r="J19" s="223" t="s">
        <v>220</v>
      </c>
      <c r="K19" s="223" t="s">
        <v>220</v>
      </c>
      <c r="L19" s="223" t="s">
        <v>220</v>
      </c>
      <c r="M19" s="223" t="s">
        <v>220</v>
      </c>
      <c r="N19" s="223" t="s">
        <v>220</v>
      </c>
      <c r="O19" s="223" t="s">
        <v>220</v>
      </c>
      <c r="P19" s="223" t="s">
        <v>220</v>
      </c>
      <c r="Q19" s="223" t="s">
        <v>220</v>
      </c>
      <c r="R19" s="223" t="s">
        <v>220</v>
      </c>
      <c r="S19" s="223" t="s">
        <v>220</v>
      </c>
      <c r="T19" s="223" t="s">
        <v>220</v>
      </c>
      <c r="U19" s="223" t="s">
        <v>220</v>
      </c>
      <c r="V19" s="223" t="s">
        <v>220</v>
      </c>
      <c r="W19" s="223" t="s">
        <v>220</v>
      </c>
      <c r="X19" s="223" t="s">
        <v>220</v>
      </c>
      <c r="Y19" s="223" t="s">
        <v>220</v>
      </c>
      <c r="Z19" s="223" t="s">
        <v>220</v>
      </c>
      <c r="AA19" s="223" t="s">
        <v>220</v>
      </c>
      <c r="AB19" s="223" t="s">
        <v>220</v>
      </c>
      <c r="AC19" s="223" t="s">
        <v>220</v>
      </c>
      <c r="AD19" s="223" t="s">
        <v>220</v>
      </c>
      <c r="AE19" s="223" t="s">
        <v>220</v>
      </c>
      <c r="AF19" s="223" t="s">
        <v>220</v>
      </c>
      <c r="AG19" s="223" t="s">
        <v>220</v>
      </c>
      <c r="AH19" s="224"/>
      <c r="AI19" s="163"/>
      <c r="AJ19" s="163"/>
    </row>
    <row r="20" spans="1:36" ht="38.25">
      <c r="A20" s="164" t="s">
        <v>589</v>
      </c>
      <c r="B20" s="173" t="s">
        <v>522</v>
      </c>
      <c r="C20" s="223" t="s">
        <v>220</v>
      </c>
      <c r="D20" s="223" t="s">
        <v>220</v>
      </c>
      <c r="E20" s="223" t="s">
        <v>220</v>
      </c>
      <c r="F20" s="223" t="s">
        <v>220</v>
      </c>
      <c r="G20" s="223" t="s">
        <v>220</v>
      </c>
      <c r="H20" s="223" t="s">
        <v>220</v>
      </c>
      <c r="I20" s="223" t="s">
        <v>220</v>
      </c>
      <c r="J20" s="223" t="s">
        <v>220</v>
      </c>
      <c r="K20" s="223" t="s">
        <v>220</v>
      </c>
      <c r="L20" s="223" t="s">
        <v>220</v>
      </c>
      <c r="M20" s="223" t="s">
        <v>220</v>
      </c>
      <c r="N20" s="223" t="s">
        <v>220</v>
      </c>
      <c r="O20" s="223" t="s">
        <v>220</v>
      </c>
      <c r="P20" s="223" t="s">
        <v>220</v>
      </c>
      <c r="Q20" s="223" t="s">
        <v>220</v>
      </c>
      <c r="R20" s="223" t="s">
        <v>220</v>
      </c>
      <c r="S20" s="223" t="s">
        <v>220</v>
      </c>
      <c r="T20" s="223" t="s">
        <v>220</v>
      </c>
      <c r="U20" s="223" t="s">
        <v>220</v>
      </c>
      <c r="V20" s="223" t="s">
        <v>220</v>
      </c>
      <c r="W20" s="223" t="s">
        <v>220</v>
      </c>
      <c r="X20" s="223" t="s">
        <v>220</v>
      </c>
      <c r="Y20" s="223" t="s">
        <v>220</v>
      </c>
      <c r="Z20" s="223" t="s">
        <v>220</v>
      </c>
      <c r="AA20" s="223" t="s">
        <v>220</v>
      </c>
      <c r="AB20" s="223" t="s">
        <v>220</v>
      </c>
      <c r="AC20" s="223" t="s">
        <v>220</v>
      </c>
      <c r="AD20" s="223" t="s">
        <v>220</v>
      </c>
      <c r="AE20" s="223" t="s">
        <v>220</v>
      </c>
      <c r="AF20" s="223" t="s">
        <v>220</v>
      </c>
      <c r="AG20" s="223" t="s">
        <v>220</v>
      </c>
      <c r="AH20" s="224"/>
      <c r="AI20" s="163"/>
      <c r="AJ20" s="163"/>
    </row>
    <row r="21" spans="1:36" ht="25.5">
      <c r="A21" s="164" t="s">
        <v>590</v>
      </c>
      <c r="B21" s="173" t="s">
        <v>523</v>
      </c>
      <c r="C21" s="223" t="s">
        <v>220</v>
      </c>
      <c r="D21" s="223" t="s">
        <v>220</v>
      </c>
      <c r="E21" s="223" t="s">
        <v>220</v>
      </c>
      <c r="F21" s="223" t="s">
        <v>220</v>
      </c>
      <c r="G21" s="223" t="s">
        <v>220</v>
      </c>
      <c r="H21" s="223" t="s">
        <v>220</v>
      </c>
      <c r="I21" s="223" t="s">
        <v>220</v>
      </c>
      <c r="J21" s="223" t="s">
        <v>220</v>
      </c>
      <c r="K21" s="223" t="s">
        <v>220</v>
      </c>
      <c r="L21" s="223" t="s">
        <v>220</v>
      </c>
      <c r="M21" s="223" t="s">
        <v>220</v>
      </c>
      <c r="N21" s="223" t="s">
        <v>220</v>
      </c>
      <c r="O21" s="223" t="s">
        <v>220</v>
      </c>
      <c r="P21" s="223" t="s">
        <v>220</v>
      </c>
      <c r="Q21" s="223" t="s">
        <v>220</v>
      </c>
      <c r="R21" s="223" t="s">
        <v>220</v>
      </c>
      <c r="S21" s="223" t="s">
        <v>220</v>
      </c>
      <c r="T21" s="223" t="s">
        <v>220</v>
      </c>
      <c r="U21" s="223" t="s">
        <v>220</v>
      </c>
      <c r="V21" s="223" t="s">
        <v>220</v>
      </c>
      <c r="W21" s="223" t="s">
        <v>220</v>
      </c>
      <c r="X21" s="223" t="s">
        <v>220</v>
      </c>
      <c r="Y21" s="223" t="s">
        <v>220</v>
      </c>
      <c r="Z21" s="223" t="s">
        <v>220</v>
      </c>
      <c r="AA21" s="223" t="s">
        <v>220</v>
      </c>
      <c r="AB21" s="223" t="s">
        <v>220</v>
      </c>
      <c r="AC21" s="223" t="s">
        <v>220</v>
      </c>
      <c r="AD21" s="223" t="s">
        <v>220</v>
      </c>
      <c r="AE21" s="223" t="s">
        <v>220</v>
      </c>
      <c r="AF21" s="223" t="s">
        <v>220</v>
      </c>
      <c r="AG21" s="223" t="s">
        <v>220</v>
      </c>
      <c r="AH21" s="224"/>
      <c r="AI21" s="163"/>
      <c r="AJ21" s="163"/>
    </row>
    <row r="22" spans="1:36" ht="38.25">
      <c r="A22" s="164" t="s">
        <v>591</v>
      </c>
      <c r="B22" s="173" t="s">
        <v>565</v>
      </c>
      <c r="C22" s="223" t="s">
        <v>220</v>
      </c>
      <c r="D22" s="223" t="s">
        <v>220</v>
      </c>
      <c r="E22" s="223" t="s">
        <v>220</v>
      </c>
      <c r="F22" s="223" t="s">
        <v>220</v>
      </c>
      <c r="G22" s="223" t="s">
        <v>220</v>
      </c>
      <c r="H22" s="223" t="s">
        <v>220</v>
      </c>
      <c r="I22" s="223" t="s">
        <v>220</v>
      </c>
      <c r="J22" s="223" t="s">
        <v>220</v>
      </c>
      <c r="K22" s="223" t="s">
        <v>220</v>
      </c>
      <c r="L22" s="223" t="s">
        <v>220</v>
      </c>
      <c r="M22" s="223" t="s">
        <v>220</v>
      </c>
      <c r="N22" s="223" t="s">
        <v>220</v>
      </c>
      <c r="O22" s="223" t="s">
        <v>220</v>
      </c>
      <c r="P22" s="223" t="s">
        <v>220</v>
      </c>
      <c r="Q22" s="223" t="s">
        <v>220</v>
      </c>
      <c r="R22" s="223" t="s">
        <v>220</v>
      </c>
      <c r="S22" s="223" t="s">
        <v>220</v>
      </c>
      <c r="T22" s="223" t="s">
        <v>220</v>
      </c>
      <c r="U22" s="223" t="s">
        <v>220</v>
      </c>
      <c r="V22" s="223" t="s">
        <v>220</v>
      </c>
      <c r="W22" s="223" t="s">
        <v>220</v>
      </c>
      <c r="X22" s="223" t="s">
        <v>220</v>
      </c>
      <c r="Y22" s="223" t="s">
        <v>220</v>
      </c>
      <c r="Z22" s="223" t="s">
        <v>220</v>
      </c>
      <c r="AA22" s="223" t="s">
        <v>220</v>
      </c>
      <c r="AB22" s="223" t="s">
        <v>220</v>
      </c>
      <c r="AC22" s="223" t="s">
        <v>220</v>
      </c>
      <c r="AD22" s="223" t="s">
        <v>220</v>
      </c>
      <c r="AE22" s="223" t="s">
        <v>220</v>
      </c>
      <c r="AF22" s="223" t="s">
        <v>220</v>
      </c>
      <c r="AG22" s="223" t="s">
        <v>220</v>
      </c>
      <c r="AH22" s="224"/>
      <c r="AI22" s="163"/>
      <c r="AJ22" s="163"/>
    </row>
    <row r="23" spans="1:36" ht="25.5">
      <c r="A23" s="164" t="s">
        <v>592</v>
      </c>
      <c r="B23" s="173" t="s">
        <v>566</v>
      </c>
      <c r="C23" s="223" t="s">
        <v>220</v>
      </c>
      <c r="D23" s="223" t="s">
        <v>220</v>
      </c>
      <c r="E23" s="223" t="s">
        <v>220</v>
      </c>
      <c r="F23" s="223" t="s">
        <v>220</v>
      </c>
      <c r="G23" s="223" t="s">
        <v>220</v>
      </c>
      <c r="H23" s="223" t="s">
        <v>220</v>
      </c>
      <c r="I23" s="223" t="s">
        <v>220</v>
      </c>
      <c r="J23" s="223" t="s">
        <v>220</v>
      </c>
      <c r="K23" s="223" t="s">
        <v>220</v>
      </c>
      <c r="L23" s="223" t="s">
        <v>220</v>
      </c>
      <c r="M23" s="223" t="s">
        <v>220</v>
      </c>
      <c r="N23" s="223" t="s">
        <v>220</v>
      </c>
      <c r="O23" s="223" t="s">
        <v>220</v>
      </c>
      <c r="P23" s="223" t="s">
        <v>220</v>
      </c>
      <c r="Q23" s="223" t="s">
        <v>220</v>
      </c>
      <c r="R23" s="223" t="s">
        <v>220</v>
      </c>
      <c r="S23" s="223" t="s">
        <v>220</v>
      </c>
      <c r="T23" s="223" t="s">
        <v>220</v>
      </c>
      <c r="U23" s="223" t="s">
        <v>220</v>
      </c>
      <c r="V23" s="223" t="s">
        <v>220</v>
      </c>
      <c r="W23" s="223" t="s">
        <v>220</v>
      </c>
      <c r="X23" s="223" t="s">
        <v>220</v>
      </c>
      <c r="Y23" s="223" t="s">
        <v>220</v>
      </c>
      <c r="Z23" s="223" t="s">
        <v>220</v>
      </c>
      <c r="AA23" s="223" t="s">
        <v>220</v>
      </c>
      <c r="AB23" s="223" t="s">
        <v>220</v>
      </c>
      <c r="AC23" s="223" t="s">
        <v>220</v>
      </c>
      <c r="AD23" s="223" t="s">
        <v>220</v>
      </c>
      <c r="AE23" s="223" t="s">
        <v>220</v>
      </c>
      <c r="AF23" s="223" t="s">
        <v>220</v>
      </c>
      <c r="AG23" s="223" t="s">
        <v>220</v>
      </c>
      <c r="AH23" s="224"/>
      <c r="AI23" s="163"/>
      <c r="AJ23" s="163"/>
    </row>
    <row r="24" spans="1:36" ht="18.75">
      <c r="A24" s="161"/>
      <c r="B24" s="170" t="s">
        <v>265</v>
      </c>
      <c r="C24" s="162"/>
      <c r="D24" s="162"/>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229"/>
      <c r="AJ24" s="229"/>
    </row>
    <row r="25" spans="1:36" ht="38.25">
      <c r="A25" s="164" t="s">
        <v>593</v>
      </c>
      <c r="B25" s="173" t="s">
        <v>214</v>
      </c>
      <c r="C25" s="223" t="s">
        <v>220</v>
      </c>
      <c r="D25" s="223" t="s">
        <v>220</v>
      </c>
      <c r="E25" s="223" t="s">
        <v>220</v>
      </c>
      <c r="F25" s="223" t="s">
        <v>220</v>
      </c>
      <c r="G25" s="223" t="s">
        <v>220</v>
      </c>
      <c r="H25" s="223" t="s">
        <v>220</v>
      </c>
      <c r="I25" s="223" t="s">
        <v>220</v>
      </c>
      <c r="J25" s="223" t="s">
        <v>220</v>
      </c>
      <c r="K25" s="223" t="s">
        <v>220</v>
      </c>
      <c r="L25" s="223" t="s">
        <v>220</v>
      </c>
      <c r="M25" s="223" t="s">
        <v>220</v>
      </c>
      <c r="N25" s="223" t="s">
        <v>220</v>
      </c>
      <c r="O25" s="223" t="s">
        <v>220</v>
      </c>
      <c r="P25" s="223" t="s">
        <v>220</v>
      </c>
      <c r="Q25" s="223" t="s">
        <v>220</v>
      </c>
      <c r="R25" s="223" t="s">
        <v>220</v>
      </c>
      <c r="S25" s="223" t="s">
        <v>220</v>
      </c>
      <c r="T25" s="223" t="s">
        <v>220</v>
      </c>
      <c r="U25" s="223" t="s">
        <v>220</v>
      </c>
      <c r="V25" s="223" t="s">
        <v>220</v>
      </c>
      <c r="W25" s="223" t="s">
        <v>220</v>
      </c>
      <c r="X25" s="223" t="s">
        <v>220</v>
      </c>
      <c r="Y25" s="223" t="s">
        <v>220</v>
      </c>
      <c r="Z25" s="223" t="s">
        <v>220</v>
      </c>
      <c r="AA25" s="223" t="s">
        <v>220</v>
      </c>
      <c r="AB25" s="223" t="s">
        <v>220</v>
      </c>
      <c r="AC25" s="223" t="s">
        <v>220</v>
      </c>
      <c r="AD25" s="223" t="s">
        <v>220</v>
      </c>
      <c r="AE25" s="223" t="s">
        <v>220</v>
      </c>
      <c r="AF25" s="223" t="s">
        <v>220</v>
      </c>
      <c r="AG25" s="223" t="s">
        <v>220</v>
      </c>
      <c r="AH25" s="224"/>
      <c r="AI25" s="163"/>
      <c r="AJ25" s="163"/>
    </row>
    <row r="26" spans="1:36" ht="25.5">
      <c r="A26" s="164" t="s">
        <v>594</v>
      </c>
      <c r="B26" s="173" t="s">
        <v>215</v>
      </c>
      <c r="C26" s="223" t="s">
        <v>220</v>
      </c>
      <c r="D26" s="223" t="s">
        <v>220</v>
      </c>
      <c r="E26" s="223" t="s">
        <v>220</v>
      </c>
      <c r="F26" s="223" t="s">
        <v>220</v>
      </c>
      <c r="G26" s="223" t="s">
        <v>220</v>
      </c>
      <c r="H26" s="223" t="s">
        <v>220</v>
      </c>
      <c r="I26" s="223" t="s">
        <v>220</v>
      </c>
      <c r="J26" s="223" t="s">
        <v>220</v>
      </c>
      <c r="K26" s="223" t="s">
        <v>220</v>
      </c>
      <c r="L26" s="223" t="s">
        <v>220</v>
      </c>
      <c r="M26" s="223" t="s">
        <v>220</v>
      </c>
      <c r="N26" s="223" t="s">
        <v>220</v>
      </c>
      <c r="O26" s="223" t="s">
        <v>220</v>
      </c>
      <c r="P26" s="223" t="s">
        <v>220</v>
      </c>
      <c r="Q26" s="223" t="s">
        <v>220</v>
      </c>
      <c r="R26" s="223" t="s">
        <v>220</v>
      </c>
      <c r="S26" s="223" t="s">
        <v>220</v>
      </c>
      <c r="T26" s="223" t="s">
        <v>220</v>
      </c>
      <c r="U26" s="223" t="s">
        <v>220</v>
      </c>
      <c r="V26" s="223" t="s">
        <v>220</v>
      </c>
      <c r="W26" s="223" t="s">
        <v>220</v>
      </c>
      <c r="X26" s="223" t="s">
        <v>220</v>
      </c>
      <c r="Y26" s="223" t="s">
        <v>220</v>
      </c>
      <c r="Z26" s="223" t="s">
        <v>220</v>
      </c>
      <c r="AA26" s="223" t="s">
        <v>220</v>
      </c>
      <c r="AB26" s="223" t="s">
        <v>220</v>
      </c>
      <c r="AC26" s="223" t="s">
        <v>220</v>
      </c>
      <c r="AD26" s="223" t="s">
        <v>220</v>
      </c>
      <c r="AE26" s="223" t="s">
        <v>220</v>
      </c>
      <c r="AF26" s="223" t="s">
        <v>220</v>
      </c>
      <c r="AG26" s="223" t="s">
        <v>220</v>
      </c>
      <c r="AH26" s="224"/>
      <c r="AI26" s="163"/>
      <c r="AJ26" s="163"/>
    </row>
    <row r="27" spans="1:36" ht="38.25">
      <c r="A27" s="164" t="s">
        <v>595</v>
      </c>
      <c r="B27" s="173" t="s">
        <v>216</v>
      </c>
      <c r="C27" s="223" t="s">
        <v>220</v>
      </c>
      <c r="D27" s="223" t="s">
        <v>220</v>
      </c>
      <c r="E27" s="223" t="s">
        <v>220</v>
      </c>
      <c r="F27" s="223" t="s">
        <v>220</v>
      </c>
      <c r="G27" s="223" t="s">
        <v>220</v>
      </c>
      <c r="H27" s="223" t="s">
        <v>220</v>
      </c>
      <c r="I27" s="223" t="s">
        <v>220</v>
      </c>
      <c r="J27" s="223" t="s">
        <v>220</v>
      </c>
      <c r="K27" s="223" t="s">
        <v>220</v>
      </c>
      <c r="L27" s="223" t="s">
        <v>220</v>
      </c>
      <c r="M27" s="223" t="s">
        <v>220</v>
      </c>
      <c r="N27" s="223" t="s">
        <v>220</v>
      </c>
      <c r="O27" s="223" t="s">
        <v>220</v>
      </c>
      <c r="P27" s="223" t="s">
        <v>220</v>
      </c>
      <c r="Q27" s="223" t="s">
        <v>220</v>
      </c>
      <c r="R27" s="223" t="s">
        <v>220</v>
      </c>
      <c r="S27" s="223" t="s">
        <v>220</v>
      </c>
      <c r="T27" s="223" t="s">
        <v>220</v>
      </c>
      <c r="U27" s="223" t="s">
        <v>220</v>
      </c>
      <c r="V27" s="223" t="s">
        <v>220</v>
      </c>
      <c r="W27" s="223" t="s">
        <v>220</v>
      </c>
      <c r="X27" s="223" t="s">
        <v>220</v>
      </c>
      <c r="Y27" s="223" t="s">
        <v>220</v>
      </c>
      <c r="Z27" s="223" t="s">
        <v>220</v>
      </c>
      <c r="AA27" s="223" t="s">
        <v>220</v>
      </c>
      <c r="AB27" s="223" t="s">
        <v>220</v>
      </c>
      <c r="AC27" s="223" t="s">
        <v>220</v>
      </c>
      <c r="AD27" s="223" t="s">
        <v>220</v>
      </c>
      <c r="AE27" s="223" t="s">
        <v>220</v>
      </c>
      <c r="AF27" s="223" t="s">
        <v>220</v>
      </c>
      <c r="AG27" s="223" t="s">
        <v>220</v>
      </c>
      <c r="AH27" s="224"/>
      <c r="AI27" s="163"/>
      <c r="AJ27" s="163"/>
    </row>
    <row r="28" spans="1:36" ht="38.25">
      <c r="A28" s="164" t="s">
        <v>596</v>
      </c>
      <c r="B28" s="173" t="s">
        <v>217</v>
      </c>
      <c r="C28" s="223" t="s">
        <v>220</v>
      </c>
      <c r="D28" s="223" t="s">
        <v>220</v>
      </c>
      <c r="E28" s="223" t="s">
        <v>220</v>
      </c>
      <c r="F28" s="223" t="s">
        <v>220</v>
      </c>
      <c r="G28" s="223" t="s">
        <v>220</v>
      </c>
      <c r="H28" s="223" t="s">
        <v>220</v>
      </c>
      <c r="I28" s="223" t="s">
        <v>220</v>
      </c>
      <c r="J28" s="223" t="s">
        <v>220</v>
      </c>
      <c r="K28" s="223" t="s">
        <v>220</v>
      </c>
      <c r="L28" s="223" t="s">
        <v>220</v>
      </c>
      <c r="M28" s="223" t="s">
        <v>220</v>
      </c>
      <c r="N28" s="223" t="s">
        <v>220</v>
      </c>
      <c r="O28" s="223" t="s">
        <v>220</v>
      </c>
      <c r="P28" s="223" t="s">
        <v>220</v>
      </c>
      <c r="Q28" s="223" t="s">
        <v>220</v>
      </c>
      <c r="R28" s="223" t="s">
        <v>220</v>
      </c>
      <c r="S28" s="223" t="s">
        <v>220</v>
      </c>
      <c r="T28" s="223" t="s">
        <v>220</v>
      </c>
      <c r="U28" s="223" t="s">
        <v>220</v>
      </c>
      <c r="V28" s="223" t="s">
        <v>220</v>
      </c>
      <c r="W28" s="223" t="s">
        <v>220</v>
      </c>
      <c r="X28" s="223" t="s">
        <v>220</v>
      </c>
      <c r="Y28" s="223" t="s">
        <v>220</v>
      </c>
      <c r="Z28" s="223" t="s">
        <v>220</v>
      </c>
      <c r="AA28" s="223" t="s">
        <v>220</v>
      </c>
      <c r="AB28" s="223" t="s">
        <v>220</v>
      </c>
      <c r="AC28" s="223" t="s">
        <v>220</v>
      </c>
      <c r="AD28" s="223" t="s">
        <v>220</v>
      </c>
      <c r="AE28" s="223" t="s">
        <v>220</v>
      </c>
      <c r="AF28" s="223" t="s">
        <v>220</v>
      </c>
      <c r="AG28" s="223" t="s">
        <v>220</v>
      </c>
      <c r="AH28" s="224"/>
      <c r="AI28" s="163"/>
      <c r="AJ28" s="163"/>
    </row>
    <row r="29" spans="1:36" ht="18.75">
      <c r="A29" s="161"/>
      <c r="B29" s="170" t="s">
        <v>266</v>
      </c>
      <c r="C29" s="162"/>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229"/>
      <c r="AJ29" s="229"/>
    </row>
    <row r="30" spans="1:36" ht="38.25">
      <c r="A30" s="164" t="s">
        <v>597</v>
      </c>
      <c r="B30" s="173" t="s">
        <v>218</v>
      </c>
      <c r="C30" s="223" t="s">
        <v>220</v>
      </c>
      <c r="D30" s="223" t="s">
        <v>220</v>
      </c>
      <c r="E30" s="223" t="s">
        <v>220</v>
      </c>
      <c r="F30" s="223" t="s">
        <v>220</v>
      </c>
      <c r="G30" s="223" t="s">
        <v>220</v>
      </c>
      <c r="H30" s="223" t="s">
        <v>220</v>
      </c>
      <c r="I30" s="223" t="s">
        <v>220</v>
      </c>
      <c r="J30" s="223" t="s">
        <v>220</v>
      </c>
      <c r="K30" s="223" t="s">
        <v>220</v>
      </c>
      <c r="L30" s="223" t="s">
        <v>220</v>
      </c>
      <c r="M30" s="223" t="s">
        <v>220</v>
      </c>
      <c r="N30" s="223" t="s">
        <v>220</v>
      </c>
      <c r="O30" s="223" t="s">
        <v>220</v>
      </c>
      <c r="P30" s="223" t="s">
        <v>220</v>
      </c>
      <c r="Q30" s="223" t="s">
        <v>220</v>
      </c>
      <c r="R30" s="223" t="s">
        <v>220</v>
      </c>
      <c r="S30" s="223" t="s">
        <v>220</v>
      </c>
      <c r="T30" s="223" t="s">
        <v>220</v>
      </c>
      <c r="U30" s="223" t="s">
        <v>220</v>
      </c>
      <c r="V30" s="223" t="s">
        <v>220</v>
      </c>
      <c r="W30" s="223" t="s">
        <v>220</v>
      </c>
      <c r="X30" s="223" t="s">
        <v>220</v>
      </c>
      <c r="Y30" s="223" t="s">
        <v>220</v>
      </c>
      <c r="Z30" s="223" t="s">
        <v>220</v>
      </c>
      <c r="AA30" s="223" t="s">
        <v>220</v>
      </c>
      <c r="AB30" s="223" t="s">
        <v>220</v>
      </c>
      <c r="AC30" s="223" t="s">
        <v>220</v>
      </c>
      <c r="AD30" s="223" t="s">
        <v>220</v>
      </c>
      <c r="AE30" s="223" t="s">
        <v>220</v>
      </c>
      <c r="AF30" s="223" t="s">
        <v>220</v>
      </c>
      <c r="AG30" s="223" t="s">
        <v>220</v>
      </c>
      <c r="AH30" s="224"/>
      <c r="AI30" s="163"/>
      <c r="AJ30" s="163"/>
    </row>
    <row r="31" spans="1:36" ht="38.25">
      <c r="A31" s="164" t="s">
        <v>598</v>
      </c>
      <c r="B31" s="173" t="s">
        <v>219</v>
      </c>
      <c r="C31" s="223" t="s">
        <v>220</v>
      </c>
      <c r="D31" s="223" t="s">
        <v>220</v>
      </c>
      <c r="E31" s="223" t="s">
        <v>220</v>
      </c>
      <c r="F31" s="223" t="s">
        <v>220</v>
      </c>
      <c r="G31" s="223" t="s">
        <v>220</v>
      </c>
      <c r="H31" s="223" t="s">
        <v>220</v>
      </c>
      <c r="I31" s="223" t="s">
        <v>220</v>
      </c>
      <c r="J31" s="223" t="s">
        <v>220</v>
      </c>
      <c r="K31" s="223" t="s">
        <v>220</v>
      </c>
      <c r="L31" s="223" t="s">
        <v>220</v>
      </c>
      <c r="M31" s="223" t="s">
        <v>220</v>
      </c>
      <c r="N31" s="223" t="s">
        <v>220</v>
      </c>
      <c r="O31" s="223" t="s">
        <v>220</v>
      </c>
      <c r="P31" s="223" t="s">
        <v>220</v>
      </c>
      <c r="Q31" s="223" t="s">
        <v>220</v>
      </c>
      <c r="R31" s="223" t="s">
        <v>220</v>
      </c>
      <c r="S31" s="223" t="s">
        <v>220</v>
      </c>
      <c r="T31" s="223" t="s">
        <v>220</v>
      </c>
      <c r="U31" s="223" t="s">
        <v>220</v>
      </c>
      <c r="V31" s="223" t="s">
        <v>220</v>
      </c>
      <c r="W31" s="223" t="s">
        <v>220</v>
      </c>
      <c r="X31" s="223" t="s">
        <v>220</v>
      </c>
      <c r="Y31" s="223" t="s">
        <v>220</v>
      </c>
      <c r="Z31" s="223" t="s">
        <v>220</v>
      </c>
      <c r="AA31" s="223" t="s">
        <v>220</v>
      </c>
      <c r="AB31" s="223" t="s">
        <v>220</v>
      </c>
      <c r="AC31" s="223" t="s">
        <v>220</v>
      </c>
      <c r="AD31" s="223" t="s">
        <v>220</v>
      </c>
      <c r="AE31" s="223" t="s">
        <v>220</v>
      </c>
      <c r="AF31" s="223" t="s">
        <v>220</v>
      </c>
      <c r="AG31" s="223" t="s">
        <v>220</v>
      </c>
      <c r="AH31" s="224"/>
      <c r="AI31" s="163"/>
      <c r="AJ31" s="163"/>
    </row>
    <row r="32" spans="1:36" ht="18.75">
      <c r="A32" s="161"/>
      <c r="B32" s="170" t="s">
        <v>212</v>
      </c>
      <c r="C32" s="162"/>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229"/>
      <c r="AJ32" s="229"/>
    </row>
    <row r="33" spans="1:36" ht="51">
      <c r="A33" s="164" t="s">
        <v>599</v>
      </c>
      <c r="B33" s="173" t="s">
        <v>213</v>
      </c>
      <c r="C33" s="223" t="s">
        <v>11</v>
      </c>
      <c r="D33" s="223" t="s">
        <v>11</v>
      </c>
      <c r="E33" s="223" t="s">
        <v>11</v>
      </c>
      <c r="F33" s="223" t="s">
        <v>11</v>
      </c>
      <c r="G33" s="223" t="s">
        <v>11</v>
      </c>
      <c r="H33" s="223" t="s">
        <v>11</v>
      </c>
      <c r="I33" s="223" t="s">
        <v>11</v>
      </c>
      <c r="J33" s="223" t="s">
        <v>11</v>
      </c>
      <c r="K33" s="223" t="s">
        <v>11</v>
      </c>
      <c r="L33" s="223" t="s">
        <v>11</v>
      </c>
      <c r="M33" s="223" t="s">
        <v>11</v>
      </c>
      <c r="N33" s="223" t="s">
        <v>11</v>
      </c>
      <c r="O33" s="223" t="s">
        <v>11</v>
      </c>
      <c r="P33" s="223" t="s">
        <v>11</v>
      </c>
      <c r="Q33" s="223" t="s">
        <v>11</v>
      </c>
      <c r="R33" s="223" t="s">
        <v>11</v>
      </c>
      <c r="S33" s="223" t="s">
        <v>11</v>
      </c>
      <c r="T33" s="223" t="s">
        <v>11</v>
      </c>
      <c r="U33" s="223" t="s">
        <v>11</v>
      </c>
      <c r="V33" s="223" t="s">
        <v>11</v>
      </c>
      <c r="W33" s="223" t="s">
        <v>11</v>
      </c>
      <c r="X33" s="223" t="s">
        <v>11</v>
      </c>
      <c r="Y33" s="223" t="s">
        <v>11</v>
      </c>
      <c r="Z33" s="223" t="s">
        <v>11</v>
      </c>
      <c r="AA33" s="223" t="s">
        <v>11</v>
      </c>
      <c r="AB33" s="223" t="s">
        <v>11</v>
      </c>
      <c r="AC33" s="223" t="s">
        <v>11</v>
      </c>
      <c r="AD33" s="223" t="s">
        <v>11</v>
      </c>
      <c r="AE33" s="223" t="s">
        <v>11</v>
      </c>
      <c r="AF33" s="223" t="s">
        <v>11</v>
      </c>
      <c r="AG33" s="223" t="s">
        <v>11</v>
      </c>
      <c r="AH33" s="224"/>
      <c r="AI33" s="163"/>
      <c r="AJ33" s="163"/>
    </row>
    <row r="34" spans="1:36" ht="18">
      <c r="A34" s="225"/>
      <c r="B34" s="226" t="s">
        <v>285</v>
      </c>
      <c r="C34" s="225"/>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5"/>
      <c r="AI34" s="225"/>
      <c r="AJ34" s="225"/>
    </row>
    <row r="35" spans="1:36" ht="15">
      <c r="A35" s="166"/>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68"/>
      <c r="AI35" s="168"/>
      <c r="AJ35" s="169"/>
    </row>
    <row r="36" spans="1:36" ht="15">
      <c r="A36" s="230"/>
      <c r="B36" s="231" t="s">
        <v>618</v>
      </c>
      <c r="C36" s="230"/>
      <c r="D36" s="230"/>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c r="AE36" s="230"/>
      <c r="AF36" s="230"/>
      <c r="AG36" s="230"/>
      <c r="AH36" s="230"/>
      <c r="AI36" s="230"/>
      <c r="AJ36" s="230"/>
    </row>
  </sheetData>
  <mergeCells count="1">
    <mergeCell ref="AI2:AJ2"/>
  </mergeCells>
  <conditionalFormatting sqref="C7:D7 L6:L7 L25:L28 L30:L31 L33 L9:L23">
    <cfRule type="cellIs" dxfId="1682" priority="2658" operator="equal">
      <formula>"No"</formula>
    </cfRule>
    <cfRule type="cellIs" dxfId="1681" priority="2659" operator="equal">
      <formula>"NA"</formula>
    </cfRule>
    <cfRule type="cellIs" dxfId="1680" priority="2660" operator="equal">
      <formula>"Yes"</formula>
    </cfRule>
  </conditionalFormatting>
  <conditionalFormatting sqref="C9">
    <cfRule type="cellIs" dxfId="1679" priority="1600" operator="equal">
      <formula>"No"</formula>
    </cfRule>
    <cfRule type="cellIs" dxfId="1678" priority="1601" operator="equal">
      <formula>"NA"</formula>
    </cfRule>
    <cfRule type="cellIs" dxfId="1677" priority="1602" operator="equal">
      <formula>"Yes"</formula>
    </cfRule>
  </conditionalFormatting>
  <conditionalFormatting sqref="C10">
    <cfRule type="cellIs" dxfId="1676" priority="1597" operator="equal">
      <formula>"No"</formula>
    </cfRule>
    <cfRule type="cellIs" dxfId="1675" priority="1598" operator="equal">
      <formula>"NA"</formula>
    </cfRule>
    <cfRule type="cellIs" dxfId="1674" priority="1599" operator="equal">
      <formula>"Yes"</formula>
    </cfRule>
  </conditionalFormatting>
  <conditionalFormatting sqref="C11">
    <cfRule type="cellIs" dxfId="1673" priority="1594" operator="equal">
      <formula>"No"</formula>
    </cfRule>
    <cfRule type="cellIs" dxfId="1672" priority="1595" operator="equal">
      <formula>"NA"</formula>
    </cfRule>
    <cfRule type="cellIs" dxfId="1671" priority="1596" operator="equal">
      <formula>"Yes"</formula>
    </cfRule>
  </conditionalFormatting>
  <conditionalFormatting sqref="C12">
    <cfRule type="cellIs" dxfId="1670" priority="1591" operator="equal">
      <formula>"No"</formula>
    </cfRule>
    <cfRule type="cellIs" dxfId="1669" priority="1592" operator="equal">
      <formula>"NA"</formula>
    </cfRule>
    <cfRule type="cellIs" dxfId="1668" priority="1593" operator="equal">
      <formula>"Yes"</formula>
    </cfRule>
  </conditionalFormatting>
  <conditionalFormatting sqref="C13">
    <cfRule type="cellIs" dxfId="1667" priority="1588" operator="equal">
      <formula>"No"</formula>
    </cfRule>
    <cfRule type="cellIs" dxfId="1666" priority="1589" operator="equal">
      <formula>"NA"</formula>
    </cfRule>
    <cfRule type="cellIs" dxfId="1665" priority="1590" operator="equal">
      <formula>"Yes"</formula>
    </cfRule>
  </conditionalFormatting>
  <conditionalFormatting sqref="C15">
    <cfRule type="cellIs" dxfId="1664" priority="1585" operator="equal">
      <formula>"No"</formula>
    </cfRule>
    <cfRule type="cellIs" dxfId="1663" priority="1586" operator="equal">
      <formula>"NA"</formula>
    </cfRule>
    <cfRule type="cellIs" dxfId="1662" priority="1587" operator="equal">
      <formula>"Yes"</formula>
    </cfRule>
  </conditionalFormatting>
  <conditionalFormatting sqref="C14">
    <cfRule type="cellIs" dxfId="1661" priority="1582" operator="equal">
      <formula>"No"</formula>
    </cfRule>
    <cfRule type="cellIs" dxfId="1660" priority="1583" operator="equal">
      <formula>"NA"</formula>
    </cfRule>
    <cfRule type="cellIs" dxfId="1659" priority="1584" operator="equal">
      <formula>"Yes"</formula>
    </cfRule>
  </conditionalFormatting>
  <conditionalFormatting sqref="C16">
    <cfRule type="cellIs" dxfId="1658" priority="1579" operator="equal">
      <formula>"No"</formula>
    </cfRule>
    <cfRule type="cellIs" dxfId="1657" priority="1580" operator="equal">
      <formula>"NA"</formula>
    </cfRule>
    <cfRule type="cellIs" dxfId="1656" priority="1581" operator="equal">
      <formula>"Yes"</formula>
    </cfRule>
  </conditionalFormatting>
  <conditionalFormatting sqref="C17">
    <cfRule type="cellIs" dxfId="1655" priority="1576" operator="equal">
      <formula>"No"</formula>
    </cfRule>
    <cfRule type="cellIs" dxfId="1654" priority="1577" operator="equal">
      <formula>"NA"</formula>
    </cfRule>
    <cfRule type="cellIs" dxfId="1653" priority="1578" operator="equal">
      <formula>"Yes"</formula>
    </cfRule>
  </conditionalFormatting>
  <conditionalFormatting sqref="C6">
    <cfRule type="cellIs" dxfId="1652" priority="1573" operator="equal">
      <formula>"No"</formula>
    </cfRule>
    <cfRule type="cellIs" dxfId="1651" priority="1574" operator="equal">
      <formula>"NA"</formula>
    </cfRule>
    <cfRule type="cellIs" dxfId="1650" priority="1575" operator="equal">
      <formula>"Yes"</formula>
    </cfRule>
  </conditionalFormatting>
  <conditionalFormatting sqref="C18">
    <cfRule type="cellIs" dxfId="1649" priority="1570" operator="equal">
      <formula>"No"</formula>
    </cfRule>
    <cfRule type="cellIs" dxfId="1648" priority="1571" operator="equal">
      <formula>"NA"</formula>
    </cfRule>
    <cfRule type="cellIs" dxfId="1647" priority="1572" operator="equal">
      <formula>"Yes"</formula>
    </cfRule>
  </conditionalFormatting>
  <conditionalFormatting sqref="C19">
    <cfRule type="cellIs" dxfId="1646" priority="1567" operator="equal">
      <formula>"No"</formula>
    </cfRule>
    <cfRule type="cellIs" dxfId="1645" priority="1568" operator="equal">
      <formula>"NA"</formula>
    </cfRule>
    <cfRule type="cellIs" dxfId="1644" priority="1569" operator="equal">
      <formula>"Yes"</formula>
    </cfRule>
  </conditionalFormatting>
  <conditionalFormatting sqref="C20">
    <cfRule type="cellIs" dxfId="1643" priority="1564" operator="equal">
      <formula>"No"</formula>
    </cfRule>
    <cfRule type="cellIs" dxfId="1642" priority="1565" operator="equal">
      <formula>"NA"</formula>
    </cfRule>
    <cfRule type="cellIs" dxfId="1641" priority="1566" operator="equal">
      <formula>"Yes"</formula>
    </cfRule>
  </conditionalFormatting>
  <conditionalFormatting sqref="C21">
    <cfRule type="cellIs" dxfId="1640" priority="1561" operator="equal">
      <formula>"No"</formula>
    </cfRule>
    <cfRule type="cellIs" dxfId="1639" priority="1562" operator="equal">
      <formula>"NA"</formula>
    </cfRule>
    <cfRule type="cellIs" dxfId="1638" priority="1563" operator="equal">
      <formula>"Yes"</formula>
    </cfRule>
  </conditionalFormatting>
  <conditionalFormatting sqref="C22">
    <cfRule type="cellIs" dxfId="1637" priority="1558" operator="equal">
      <formula>"No"</formula>
    </cfRule>
    <cfRule type="cellIs" dxfId="1636" priority="1559" operator="equal">
      <formula>"NA"</formula>
    </cfRule>
    <cfRule type="cellIs" dxfId="1635" priority="1560" operator="equal">
      <formula>"Yes"</formula>
    </cfRule>
  </conditionalFormatting>
  <conditionalFormatting sqref="C23">
    <cfRule type="cellIs" dxfId="1634" priority="1555" operator="equal">
      <formula>"No"</formula>
    </cfRule>
    <cfRule type="cellIs" dxfId="1633" priority="1556" operator="equal">
      <formula>"NA"</formula>
    </cfRule>
    <cfRule type="cellIs" dxfId="1632" priority="1557" operator="equal">
      <formula>"Yes"</formula>
    </cfRule>
  </conditionalFormatting>
  <conditionalFormatting sqref="C25">
    <cfRule type="cellIs" dxfId="1631" priority="1552" operator="equal">
      <formula>"No"</formula>
    </cfRule>
    <cfRule type="cellIs" dxfId="1630" priority="1553" operator="equal">
      <formula>"NA"</formula>
    </cfRule>
    <cfRule type="cellIs" dxfId="1629" priority="1554" operator="equal">
      <formula>"Yes"</formula>
    </cfRule>
  </conditionalFormatting>
  <conditionalFormatting sqref="C26">
    <cfRule type="cellIs" dxfId="1628" priority="1549" operator="equal">
      <formula>"No"</formula>
    </cfRule>
    <cfRule type="cellIs" dxfId="1627" priority="1550" operator="equal">
      <formula>"NA"</formula>
    </cfRule>
    <cfRule type="cellIs" dxfId="1626" priority="1551" operator="equal">
      <formula>"Yes"</formula>
    </cfRule>
  </conditionalFormatting>
  <conditionalFormatting sqref="C27">
    <cfRule type="cellIs" dxfId="1625" priority="1546" operator="equal">
      <formula>"No"</formula>
    </cfRule>
    <cfRule type="cellIs" dxfId="1624" priority="1547" operator="equal">
      <formula>"NA"</formula>
    </cfRule>
    <cfRule type="cellIs" dxfId="1623" priority="1548" operator="equal">
      <formula>"Yes"</formula>
    </cfRule>
  </conditionalFormatting>
  <conditionalFormatting sqref="C28">
    <cfRule type="cellIs" dxfId="1622" priority="1543" operator="equal">
      <formula>"No"</formula>
    </cfRule>
    <cfRule type="cellIs" dxfId="1621" priority="1544" operator="equal">
      <formula>"NA"</formula>
    </cfRule>
    <cfRule type="cellIs" dxfId="1620" priority="1545" operator="equal">
      <formula>"Yes"</formula>
    </cfRule>
  </conditionalFormatting>
  <conditionalFormatting sqref="C30">
    <cfRule type="cellIs" dxfId="1619" priority="1540" operator="equal">
      <formula>"No"</formula>
    </cfRule>
    <cfRule type="cellIs" dxfId="1618" priority="1541" operator="equal">
      <formula>"NA"</formula>
    </cfRule>
    <cfRule type="cellIs" dxfId="1617" priority="1542" operator="equal">
      <formula>"Yes"</formula>
    </cfRule>
  </conditionalFormatting>
  <conditionalFormatting sqref="C31">
    <cfRule type="cellIs" dxfId="1616" priority="1537" operator="equal">
      <formula>"No"</formula>
    </cfRule>
    <cfRule type="cellIs" dxfId="1615" priority="1538" operator="equal">
      <formula>"NA"</formula>
    </cfRule>
    <cfRule type="cellIs" dxfId="1614" priority="1539" operator="equal">
      <formula>"Yes"</formula>
    </cfRule>
  </conditionalFormatting>
  <conditionalFormatting sqref="C33">
    <cfRule type="cellIs" dxfId="1613" priority="1534" operator="equal">
      <formula>"No"</formula>
    </cfRule>
    <cfRule type="cellIs" dxfId="1612" priority="1535" operator="equal">
      <formula>"NA"</formula>
    </cfRule>
    <cfRule type="cellIs" dxfId="1611" priority="1536" operator="equal">
      <formula>"Yes"</formula>
    </cfRule>
  </conditionalFormatting>
  <conditionalFormatting sqref="D6">
    <cfRule type="cellIs" dxfId="1610" priority="1531" operator="equal">
      <formula>"No"</formula>
    </cfRule>
    <cfRule type="cellIs" dxfId="1609" priority="1532" operator="equal">
      <formula>"NA"</formula>
    </cfRule>
    <cfRule type="cellIs" dxfId="1608" priority="1533" operator="equal">
      <formula>"Yes"</formula>
    </cfRule>
  </conditionalFormatting>
  <conditionalFormatting sqref="D10">
    <cfRule type="cellIs" dxfId="1607" priority="1525" operator="equal">
      <formula>"No"</formula>
    </cfRule>
    <cfRule type="cellIs" dxfId="1606" priority="1526" operator="equal">
      <formula>"NA"</formula>
    </cfRule>
    <cfRule type="cellIs" dxfId="1605" priority="1527" operator="equal">
      <formula>"Yes"</formula>
    </cfRule>
  </conditionalFormatting>
  <conditionalFormatting sqref="D11">
    <cfRule type="cellIs" dxfId="1604" priority="1522" operator="equal">
      <formula>"No"</formula>
    </cfRule>
    <cfRule type="cellIs" dxfId="1603" priority="1523" operator="equal">
      <formula>"NA"</formula>
    </cfRule>
    <cfRule type="cellIs" dxfId="1602" priority="1524" operator="equal">
      <formula>"Yes"</formula>
    </cfRule>
  </conditionalFormatting>
  <conditionalFormatting sqref="D12">
    <cfRule type="cellIs" dxfId="1601" priority="1519" operator="equal">
      <formula>"No"</formula>
    </cfRule>
    <cfRule type="cellIs" dxfId="1600" priority="1520" operator="equal">
      <formula>"NA"</formula>
    </cfRule>
    <cfRule type="cellIs" dxfId="1599" priority="1521" operator="equal">
      <formula>"Yes"</formula>
    </cfRule>
  </conditionalFormatting>
  <conditionalFormatting sqref="D13">
    <cfRule type="cellIs" dxfId="1598" priority="1516" operator="equal">
      <formula>"No"</formula>
    </cfRule>
    <cfRule type="cellIs" dxfId="1597" priority="1517" operator="equal">
      <formula>"NA"</formula>
    </cfRule>
    <cfRule type="cellIs" dxfId="1596" priority="1518" operator="equal">
      <formula>"Yes"</formula>
    </cfRule>
  </conditionalFormatting>
  <conditionalFormatting sqref="D15">
    <cfRule type="cellIs" dxfId="1595" priority="1513" operator="equal">
      <formula>"No"</formula>
    </cfRule>
    <cfRule type="cellIs" dxfId="1594" priority="1514" operator="equal">
      <formula>"NA"</formula>
    </cfRule>
    <cfRule type="cellIs" dxfId="1593" priority="1515" operator="equal">
      <formula>"Yes"</formula>
    </cfRule>
  </conditionalFormatting>
  <conditionalFormatting sqref="D14">
    <cfRule type="cellIs" dxfId="1592" priority="1510" operator="equal">
      <formula>"No"</formula>
    </cfRule>
    <cfRule type="cellIs" dxfId="1591" priority="1511" operator="equal">
      <formula>"NA"</formula>
    </cfRule>
    <cfRule type="cellIs" dxfId="1590" priority="1512" operator="equal">
      <formula>"Yes"</formula>
    </cfRule>
  </conditionalFormatting>
  <conditionalFormatting sqref="D16">
    <cfRule type="cellIs" dxfId="1589" priority="1507" operator="equal">
      <formula>"No"</formula>
    </cfRule>
    <cfRule type="cellIs" dxfId="1588" priority="1508" operator="equal">
      <formula>"NA"</formula>
    </cfRule>
    <cfRule type="cellIs" dxfId="1587" priority="1509" operator="equal">
      <formula>"Yes"</formula>
    </cfRule>
  </conditionalFormatting>
  <conditionalFormatting sqref="D17">
    <cfRule type="cellIs" dxfId="1586" priority="1504" operator="equal">
      <formula>"No"</formula>
    </cfRule>
    <cfRule type="cellIs" dxfId="1585" priority="1505" operator="equal">
      <formula>"NA"</formula>
    </cfRule>
    <cfRule type="cellIs" dxfId="1584" priority="1506" operator="equal">
      <formula>"Yes"</formula>
    </cfRule>
  </conditionalFormatting>
  <conditionalFormatting sqref="D18">
    <cfRule type="cellIs" dxfId="1583" priority="1501" operator="equal">
      <formula>"No"</formula>
    </cfRule>
    <cfRule type="cellIs" dxfId="1582" priority="1502" operator="equal">
      <formula>"NA"</formula>
    </cfRule>
    <cfRule type="cellIs" dxfId="1581" priority="1503" operator="equal">
      <formula>"Yes"</formula>
    </cfRule>
  </conditionalFormatting>
  <conditionalFormatting sqref="D19:D23">
    <cfRule type="cellIs" dxfId="1580" priority="1498" operator="equal">
      <formula>"No"</formula>
    </cfRule>
    <cfRule type="cellIs" dxfId="1579" priority="1499" operator="equal">
      <formula>"NA"</formula>
    </cfRule>
    <cfRule type="cellIs" dxfId="1578" priority="1500" operator="equal">
      <formula>"Yes"</formula>
    </cfRule>
  </conditionalFormatting>
  <conditionalFormatting sqref="D25:D28">
    <cfRule type="cellIs" dxfId="1577" priority="1495" operator="equal">
      <formula>"No"</formula>
    </cfRule>
    <cfRule type="cellIs" dxfId="1576" priority="1496" operator="equal">
      <formula>"NA"</formula>
    </cfRule>
    <cfRule type="cellIs" dxfId="1575" priority="1497" operator="equal">
      <formula>"Yes"</formula>
    </cfRule>
  </conditionalFormatting>
  <conditionalFormatting sqref="D30:D31">
    <cfRule type="cellIs" dxfId="1574" priority="1492" operator="equal">
      <formula>"No"</formula>
    </cfRule>
    <cfRule type="cellIs" dxfId="1573" priority="1493" operator="equal">
      <formula>"NA"</formula>
    </cfRule>
    <cfRule type="cellIs" dxfId="1572" priority="1494" operator="equal">
      <formula>"Yes"</formula>
    </cfRule>
  </conditionalFormatting>
  <conditionalFormatting sqref="D33">
    <cfRule type="cellIs" dxfId="1571" priority="1489" operator="equal">
      <formula>"No"</formula>
    </cfRule>
    <cfRule type="cellIs" dxfId="1570" priority="1490" operator="equal">
      <formula>"NA"</formula>
    </cfRule>
    <cfRule type="cellIs" dxfId="1569" priority="1491" operator="equal">
      <formula>"Yes"</formula>
    </cfRule>
  </conditionalFormatting>
  <conditionalFormatting sqref="E7">
    <cfRule type="cellIs" dxfId="1568" priority="1486" operator="equal">
      <formula>"No"</formula>
    </cfRule>
    <cfRule type="cellIs" dxfId="1567" priority="1487" operator="equal">
      <formula>"NA"</formula>
    </cfRule>
    <cfRule type="cellIs" dxfId="1566" priority="1488" operator="equal">
      <formula>"Yes"</formula>
    </cfRule>
  </conditionalFormatting>
  <conditionalFormatting sqref="E6">
    <cfRule type="cellIs" dxfId="1565" priority="1483" operator="equal">
      <formula>"No"</formula>
    </cfRule>
    <cfRule type="cellIs" dxfId="1564" priority="1484" operator="equal">
      <formula>"NA"</formula>
    </cfRule>
    <cfRule type="cellIs" dxfId="1563" priority="1485" operator="equal">
      <formula>"Yes"</formula>
    </cfRule>
  </conditionalFormatting>
  <conditionalFormatting sqref="E10">
    <cfRule type="cellIs" dxfId="1562" priority="1477" operator="equal">
      <formula>"No"</formula>
    </cfRule>
    <cfRule type="cellIs" dxfId="1561" priority="1478" operator="equal">
      <formula>"NA"</formula>
    </cfRule>
    <cfRule type="cellIs" dxfId="1560" priority="1479" operator="equal">
      <formula>"Yes"</formula>
    </cfRule>
  </conditionalFormatting>
  <conditionalFormatting sqref="E11">
    <cfRule type="cellIs" dxfId="1559" priority="1474" operator="equal">
      <formula>"No"</formula>
    </cfRule>
    <cfRule type="cellIs" dxfId="1558" priority="1475" operator="equal">
      <formula>"NA"</formula>
    </cfRule>
    <cfRule type="cellIs" dxfId="1557" priority="1476" operator="equal">
      <formula>"Yes"</formula>
    </cfRule>
  </conditionalFormatting>
  <conditionalFormatting sqref="E12">
    <cfRule type="cellIs" dxfId="1556" priority="1471" operator="equal">
      <formula>"No"</formula>
    </cfRule>
    <cfRule type="cellIs" dxfId="1555" priority="1472" operator="equal">
      <formula>"NA"</formula>
    </cfRule>
    <cfRule type="cellIs" dxfId="1554" priority="1473" operator="equal">
      <formula>"Yes"</formula>
    </cfRule>
  </conditionalFormatting>
  <conditionalFormatting sqref="E13">
    <cfRule type="cellIs" dxfId="1553" priority="1468" operator="equal">
      <formula>"No"</formula>
    </cfRule>
    <cfRule type="cellIs" dxfId="1552" priority="1469" operator="equal">
      <formula>"NA"</formula>
    </cfRule>
    <cfRule type="cellIs" dxfId="1551" priority="1470" operator="equal">
      <formula>"Yes"</formula>
    </cfRule>
  </conditionalFormatting>
  <conditionalFormatting sqref="E15">
    <cfRule type="cellIs" dxfId="1550" priority="1465" operator="equal">
      <formula>"No"</formula>
    </cfRule>
    <cfRule type="cellIs" dxfId="1549" priority="1466" operator="equal">
      <formula>"NA"</formula>
    </cfRule>
    <cfRule type="cellIs" dxfId="1548" priority="1467" operator="equal">
      <formula>"Yes"</formula>
    </cfRule>
  </conditionalFormatting>
  <conditionalFormatting sqref="E14">
    <cfRule type="cellIs" dxfId="1547" priority="1462" operator="equal">
      <formula>"No"</formula>
    </cfRule>
    <cfRule type="cellIs" dxfId="1546" priority="1463" operator="equal">
      <formula>"NA"</formula>
    </cfRule>
    <cfRule type="cellIs" dxfId="1545" priority="1464" operator="equal">
      <formula>"Yes"</formula>
    </cfRule>
  </conditionalFormatting>
  <conditionalFormatting sqref="E16">
    <cfRule type="cellIs" dxfId="1544" priority="1459" operator="equal">
      <formula>"No"</formula>
    </cfRule>
    <cfRule type="cellIs" dxfId="1543" priority="1460" operator="equal">
      <formula>"NA"</formula>
    </cfRule>
    <cfRule type="cellIs" dxfId="1542" priority="1461" operator="equal">
      <formula>"Yes"</formula>
    </cfRule>
  </conditionalFormatting>
  <conditionalFormatting sqref="E17">
    <cfRule type="cellIs" dxfId="1541" priority="1456" operator="equal">
      <formula>"No"</formula>
    </cfRule>
    <cfRule type="cellIs" dxfId="1540" priority="1457" operator="equal">
      <formula>"NA"</formula>
    </cfRule>
    <cfRule type="cellIs" dxfId="1539" priority="1458" operator="equal">
      <formula>"Yes"</formula>
    </cfRule>
  </conditionalFormatting>
  <conditionalFormatting sqref="E18">
    <cfRule type="cellIs" dxfId="1538" priority="1453" operator="equal">
      <formula>"No"</formula>
    </cfRule>
    <cfRule type="cellIs" dxfId="1537" priority="1454" operator="equal">
      <formula>"NA"</formula>
    </cfRule>
    <cfRule type="cellIs" dxfId="1536" priority="1455" operator="equal">
      <formula>"Yes"</formula>
    </cfRule>
  </conditionalFormatting>
  <conditionalFormatting sqref="E19:E23">
    <cfRule type="cellIs" dxfId="1535" priority="1450" operator="equal">
      <formula>"No"</formula>
    </cfRule>
    <cfRule type="cellIs" dxfId="1534" priority="1451" operator="equal">
      <formula>"NA"</formula>
    </cfRule>
    <cfRule type="cellIs" dxfId="1533" priority="1452" operator="equal">
      <formula>"Yes"</formula>
    </cfRule>
  </conditionalFormatting>
  <conditionalFormatting sqref="E25:E28">
    <cfRule type="cellIs" dxfId="1532" priority="1447" operator="equal">
      <formula>"No"</formula>
    </cfRule>
    <cfRule type="cellIs" dxfId="1531" priority="1448" operator="equal">
      <formula>"NA"</formula>
    </cfRule>
    <cfRule type="cellIs" dxfId="1530" priority="1449" operator="equal">
      <formula>"Yes"</formula>
    </cfRule>
  </conditionalFormatting>
  <conditionalFormatting sqref="E30:E31">
    <cfRule type="cellIs" dxfId="1529" priority="1444" operator="equal">
      <formula>"No"</formula>
    </cfRule>
    <cfRule type="cellIs" dxfId="1528" priority="1445" operator="equal">
      <formula>"NA"</formula>
    </cfRule>
    <cfRule type="cellIs" dxfId="1527" priority="1446" operator="equal">
      <formula>"Yes"</formula>
    </cfRule>
  </conditionalFormatting>
  <conditionalFormatting sqref="E33">
    <cfRule type="cellIs" dxfId="1526" priority="1441" operator="equal">
      <formula>"No"</formula>
    </cfRule>
    <cfRule type="cellIs" dxfId="1525" priority="1442" operator="equal">
      <formula>"NA"</formula>
    </cfRule>
    <cfRule type="cellIs" dxfId="1524" priority="1443" operator="equal">
      <formula>"Yes"</formula>
    </cfRule>
  </conditionalFormatting>
  <conditionalFormatting sqref="E9">
    <cfRule type="cellIs" dxfId="1523" priority="1438" operator="equal">
      <formula>"No"</formula>
    </cfRule>
    <cfRule type="cellIs" dxfId="1522" priority="1439" operator="equal">
      <formula>"NA"</formula>
    </cfRule>
    <cfRule type="cellIs" dxfId="1521" priority="1440" operator="equal">
      <formula>"Yes"</formula>
    </cfRule>
  </conditionalFormatting>
  <conditionalFormatting sqref="D9">
    <cfRule type="cellIs" dxfId="1520" priority="1435" operator="equal">
      <formula>"No"</formula>
    </cfRule>
    <cfRule type="cellIs" dxfId="1519" priority="1436" operator="equal">
      <formula>"NA"</formula>
    </cfRule>
    <cfRule type="cellIs" dxfId="1518" priority="1437" operator="equal">
      <formula>"Yes"</formula>
    </cfRule>
  </conditionalFormatting>
  <conditionalFormatting sqref="F7">
    <cfRule type="cellIs" dxfId="1517" priority="1432" operator="equal">
      <formula>"No"</formula>
    </cfRule>
    <cfRule type="cellIs" dxfId="1516" priority="1433" operator="equal">
      <formula>"NA"</formula>
    </cfRule>
    <cfRule type="cellIs" dxfId="1515" priority="1434" operator="equal">
      <formula>"Yes"</formula>
    </cfRule>
  </conditionalFormatting>
  <conditionalFormatting sqref="F6">
    <cfRule type="cellIs" dxfId="1514" priority="1429" operator="equal">
      <formula>"No"</formula>
    </cfRule>
    <cfRule type="cellIs" dxfId="1513" priority="1430" operator="equal">
      <formula>"NA"</formula>
    </cfRule>
    <cfRule type="cellIs" dxfId="1512" priority="1431" operator="equal">
      <formula>"Yes"</formula>
    </cfRule>
  </conditionalFormatting>
  <conditionalFormatting sqref="F10">
    <cfRule type="cellIs" dxfId="1511" priority="1426" operator="equal">
      <formula>"No"</formula>
    </cfRule>
    <cfRule type="cellIs" dxfId="1510" priority="1427" operator="equal">
      <formula>"NA"</formula>
    </cfRule>
    <cfRule type="cellIs" dxfId="1509" priority="1428" operator="equal">
      <formula>"Yes"</formula>
    </cfRule>
  </conditionalFormatting>
  <conditionalFormatting sqref="F11">
    <cfRule type="cellIs" dxfId="1508" priority="1423" operator="equal">
      <formula>"No"</formula>
    </cfRule>
    <cfRule type="cellIs" dxfId="1507" priority="1424" operator="equal">
      <formula>"NA"</formula>
    </cfRule>
    <cfRule type="cellIs" dxfId="1506" priority="1425" operator="equal">
      <formula>"Yes"</formula>
    </cfRule>
  </conditionalFormatting>
  <conditionalFormatting sqref="F12">
    <cfRule type="cellIs" dxfId="1505" priority="1420" operator="equal">
      <formula>"No"</formula>
    </cfRule>
    <cfRule type="cellIs" dxfId="1504" priority="1421" operator="equal">
      <formula>"NA"</formula>
    </cfRule>
    <cfRule type="cellIs" dxfId="1503" priority="1422" operator="equal">
      <formula>"Yes"</formula>
    </cfRule>
  </conditionalFormatting>
  <conditionalFormatting sqref="F13">
    <cfRule type="cellIs" dxfId="1502" priority="1417" operator="equal">
      <formula>"No"</formula>
    </cfRule>
    <cfRule type="cellIs" dxfId="1501" priority="1418" operator="equal">
      <formula>"NA"</formula>
    </cfRule>
    <cfRule type="cellIs" dxfId="1500" priority="1419" operator="equal">
      <formula>"Yes"</formula>
    </cfRule>
  </conditionalFormatting>
  <conditionalFormatting sqref="F15">
    <cfRule type="cellIs" dxfId="1499" priority="1414" operator="equal">
      <formula>"No"</formula>
    </cfRule>
    <cfRule type="cellIs" dxfId="1498" priority="1415" operator="equal">
      <formula>"NA"</formula>
    </cfRule>
    <cfRule type="cellIs" dxfId="1497" priority="1416" operator="equal">
      <formula>"Yes"</formula>
    </cfRule>
  </conditionalFormatting>
  <conditionalFormatting sqref="F14">
    <cfRule type="cellIs" dxfId="1496" priority="1411" operator="equal">
      <formula>"No"</formula>
    </cfRule>
    <cfRule type="cellIs" dxfId="1495" priority="1412" operator="equal">
      <formula>"NA"</formula>
    </cfRule>
    <cfRule type="cellIs" dxfId="1494" priority="1413" operator="equal">
      <formula>"Yes"</formula>
    </cfRule>
  </conditionalFormatting>
  <conditionalFormatting sqref="F16">
    <cfRule type="cellIs" dxfId="1493" priority="1408" operator="equal">
      <formula>"No"</formula>
    </cfRule>
    <cfRule type="cellIs" dxfId="1492" priority="1409" operator="equal">
      <formula>"NA"</formula>
    </cfRule>
    <cfRule type="cellIs" dxfId="1491" priority="1410" operator="equal">
      <formula>"Yes"</formula>
    </cfRule>
  </conditionalFormatting>
  <conditionalFormatting sqref="F17">
    <cfRule type="cellIs" dxfId="1490" priority="1405" operator="equal">
      <formula>"No"</formula>
    </cfRule>
    <cfRule type="cellIs" dxfId="1489" priority="1406" operator="equal">
      <formula>"NA"</formula>
    </cfRule>
    <cfRule type="cellIs" dxfId="1488" priority="1407" operator="equal">
      <formula>"Yes"</formula>
    </cfRule>
  </conditionalFormatting>
  <conditionalFormatting sqref="F18">
    <cfRule type="cellIs" dxfId="1487" priority="1402" operator="equal">
      <formula>"No"</formula>
    </cfRule>
    <cfRule type="cellIs" dxfId="1486" priority="1403" operator="equal">
      <formula>"NA"</formula>
    </cfRule>
    <cfRule type="cellIs" dxfId="1485" priority="1404" operator="equal">
      <formula>"Yes"</formula>
    </cfRule>
  </conditionalFormatting>
  <conditionalFormatting sqref="F19:F23">
    <cfRule type="cellIs" dxfId="1484" priority="1399" operator="equal">
      <formula>"No"</formula>
    </cfRule>
    <cfRule type="cellIs" dxfId="1483" priority="1400" operator="equal">
      <formula>"NA"</formula>
    </cfRule>
    <cfRule type="cellIs" dxfId="1482" priority="1401" operator="equal">
      <formula>"Yes"</formula>
    </cfRule>
  </conditionalFormatting>
  <conditionalFormatting sqref="F25:F28">
    <cfRule type="cellIs" dxfId="1481" priority="1396" operator="equal">
      <formula>"No"</formula>
    </cfRule>
    <cfRule type="cellIs" dxfId="1480" priority="1397" operator="equal">
      <formula>"NA"</formula>
    </cfRule>
    <cfRule type="cellIs" dxfId="1479" priority="1398" operator="equal">
      <formula>"Yes"</formula>
    </cfRule>
  </conditionalFormatting>
  <conditionalFormatting sqref="F30:F31">
    <cfRule type="cellIs" dxfId="1478" priority="1393" operator="equal">
      <formula>"No"</formula>
    </cfRule>
    <cfRule type="cellIs" dxfId="1477" priority="1394" operator="equal">
      <formula>"NA"</formula>
    </cfRule>
    <cfRule type="cellIs" dxfId="1476" priority="1395" operator="equal">
      <formula>"Yes"</formula>
    </cfRule>
  </conditionalFormatting>
  <conditionalFormatting sqref="F33">
    <cfRule type="cellIs" dxfId="1475" priority="1390" operator="equal">
      <formula>"No"</formula>
    </cfRule>
    <cfRule type="cellIs" dxfId="1474" priority="1391" operator="equal">
      <formula>"NA"</formula>
    </cfRule>
    <cfRule type="cellIs" dxfId="1473" priority="1392" operator="equal">
      <formula>"Yes"</formula>
    </cfRule>
  </conditionalFormatting>
  <conditionalFormatting sqref="F9">
    <cfRule type="cellIs" dxfId="1472" priority="1387" operator="equal">
      <formula>"No"</formula>
    </cfRule>
    <cfRule type="cellIs" dxfId="1471" priority="1388" operator="equal">
      <formula>"NA"</formula>
    </cfRule>
    <cfRule type="cellIs" dxfId="1470" priority="1389" operator="equal">
      <formula>"Yes"</formula>
    </cfRule>
  </conditionalFormatting>
  <conditionalFormatting sqref="G7">
    <cfRule type="cellIs" dxfId="1469" priority="1384" operator="equal">
      <formula>"No"</formula>
    </cfRule>
    <cfRule type="cellIs" dxfId="1468" priority="1385" operator="equal">
      <formula>"NA"</formula>
    </cfRule>
    <cfRule type="cellIs" dxfId="1467" priority="1386" operator="equal">
      <formula>"Yes"</formula>
    </cfRule>
  </conditionalFormatting>
  <conditionalFormatting sqref="G6">
    <cfRule type="cellIs" dxfId="1466" priority="1381" operator="equal">
      <formula>"No"</formula>
    </cfRule>
    <cfRule type="cellIs" dxfId="1465" priority="1382" operator="equal">
      <formula>"NA"</formula>
    </cfRule>
    <cfRule type="cellIs" dxfId="1464" priority="1383" operator="equal">
      <formula>"Yes"</formula>
    </cfRule>
  </conditionalFormatting>
  <conditionalFormatting sqref="G10">
    <cfRule type="cellIs" dxfId="1463" priority="1378" operator="equal">
      <formula>"No"</formula>
    </cfRule>
    <cfRule type="cellIs" dxfId="1462" priority="1379" operator="equal">
      <formula>"NA"</formula>
    </cfRule>
    <cfRule type="cellIs" dxfId="1461" priority="1380" operator="equal">
      <formula>"Yes"</formula>
    </cfRule>
  </conditionalFormatting>
  <conditionalFormatting sqref="G11">
    <cfRule type="cellIs" dxfId="1460" priority="1375" operator="equal">
      <formula>"No"</formula>
    </cfRule>
    <cfRule type="cellIs" dxfId="1459" priority="1376" operator="equal">
      <formula>"NA"</formula>
    </cfRule>
    <cfRule type="cellIs" dxfId="1458" priority="1377" operator="equal">
      <formula>"Yes"</formula>
    </cfRule>
  </conditionalFormatting>
  <conditionalFormatting sqref="G12">
    <cfRule type="cellIs" dxfId="1457" priority="1372" operator="equal">
      <formula>"No"</formula>
    </cfRule>
    <cfRule type="cellIs" dxfId="1456" priority="1373" operator="equal">
      <formula>"NA"</formula>
    </cfRule>
    <cfRule type="cellIs" dxfId="1455" priority="1374" operator="equal">
      <formula>"Yes"</formula>
    </cfRule>
  </conditionalFormatting>
  <conditionalFormatting sqref="G13">
    <cfRule type="cellIs" dxfId="1454" priority="1369" operator="equal">
      <formula>"No"</formula>
    </cfRule>
    <cfRule type="cellIs" dxfId="1453" priority="1370" operator="equal">
      <formula>"NA"</formula>
    </cfRule>
    <cfRule type="cellIs" dxfId="1452" priority="1371" operator="equal">
      <formula>"Yes"</formula>
    </cfRule>
  </conditionalFormatting>
  <conditionalFormatting sqref="G15">
    <cfRule type="cellIs" dxfId="1451" priority="1366" operator="equal">
      <formula>"No"</formula>
    </cfRule>
    <cfRule type="cellIs" dxfId="1450" priority="1367" operator="equal">
      <formula>"NA"</formula>
    </cfRule>
    <cfRule type="cellIs" dxfId="1449" priority="1368" operator="equal">
      <formula>"Yes"</formula>
    </cfRule>
  </conditionalFormatting>
  <conditionalFormatting sqref="G14">
    <cfRule type="cellIs" dxfId="1448" priority="1363" operator="equal">
      <formula>"No"</formula>
    </cfRule>
    <cfRule type="cellIs" dxfId="1447" priority="1364" operator="equal">
      <formula>"NA"</formula>
    </cfRule>
    <cfRule type="cellIs" dxfId="1446" priority="1365" operator="equal">
      <formula>"Yes"</formula>
    </cfRule>
  </conditionalFormatting>
  <conditionalFormatting sqref="G16">
    <cfRule type="cellIs" dxfId="1445" priority="1360" operator="equal">
      <formula>"No"</formula>
    </cfRule>
    <cfRule type="cellIs" dxfId="1444" priority="1361" operator="equal">
      <formula>"NA"</formula>
    </cfRule>
    <cfRule type="cellIs" dxfId="1443" priority="1362" operator="equal">
      <formula>"Yes"</formula>
    </cfRule>
  </conditionalFormatting>
  <conditionalFormatting sqref="G17">
    <cfRule type="cellIs" dxfId="1442" priority="1357" operator="equal">
      <formula>"No"</formula>
    </cfRule>
    <cfRule type="cellIs" dxfId="1441" priority="1358" operator="equal">
      <formula>"NA"</formula>
    </cfRule>
    <cfRule type="cellIs" dxfId="1440" priority="1359" operator="equal">
      <formula>"Yes"</formula>
    </cfRule>
  </conditionalFormatting>
  <conditionalFormatting sqref="G18">
    <cfRule type="cellIs" dxfId="1439" priority="1354" operator="equal">
      <formula>"No"</formula>
    </cfRule>
    <cfRule type="cellIs" dxfId="1438" priority="1355" operator="equal">
      <formula>"NA"</formula>
    </cfRule>
    <cfRule type="cellIs" dxfId="1437" priority="1356" operator="equal">
      <formula>"Yes"</formula>
    </cfRule>
  </conditionalFormatting>
  <conditionalFormatting sqref="G19:G23">
    <cfRule type="cellIs" dxfId="1436" priority="1351" operator="equal">
      <formula>"No"</formula>
    </cfRule>
    <cfRule type="cellIs" dxfId="1435" priority="1352" operator="equal">
      <formula>"NA"</formula>
    </cfRule>
    <cfRule type="cellIs" dxfId="1434" priority="1353" operator="equal">
      <formula>"Yes"</formula>
    </cfRule>
  </conditionalFormatting>
  <conditionalFormatting sqref="G25:G28">
    <cfRule type="cellIs" dxfId="1433" priority="1348" operator="equal">
      <formula>"No"</formula>
    </cfRule>
    <cfRule type="cellIs" dxfId="1432" priority="1349" operator="equal">
      <formula>"NA"</formula>
    </cfRule>
    <cfRule type="cellIs" dxfId="1431" priority="1350" operator="equal">
      <formula>"Yes"</formula>
    </cfRule>
  </conditionalFormatting>
  <conditionalFormatting sqref="G30:G31">
    <cfRule type="cellIs" dxfId="1430" priority="1345" operator="equal">
      <formula>"No"</formula>
    </cfRule>
    <cfRule type="cellIs" dxfId="1429" priority="1346" operator="equal">
      <formula>"NA"</formula>
    </cfRule>
    <cfRule type="cellIs" dxfId="1428" priority="1347" operator="equal">
      <formula>"Yes"</formula>
    </cfRule>
  </conditionalFormatting>
  <conditionalFormatting sqref="G33">
    <cfRule type="cellIs" dxfId="1427" priority="1342" operator="equal">
      <formula>"No"</formula>
    </cfRule>
    <cfRule type="cellIs" dxfId="1426" priority="1343" operator="equal">
      <formula>"NA"</formula>
    </cfRule>
    <cfRule type="cellIs" dxfId="1425" priority="1344" operator="equal">
      <formula>"Yes"</formula>
    </cfRule>
  </conditionalFormatting>
  <conditionalFormatting sqref="G9">
    <cfRule type="cellIs" dxfId="1424" priority="1339" operator="equal">
      <formula>"No"</formula>
    </cfRule>
    <cfRule type="cellIs" dxfId="1423" priority="1340" operator="equal">
      <formula>"NA"</formula>
    </cfRule>
    <cfRule type="cellIs" dxfId="1422" priority="1341" operator="equal">
      <formula>"Yes"</formula>
    </cfRule>
  </conditionalFormatting>
  <conditionalFormatting sqref="H7">
    <cfRule type="cellIs" dxfId="1421" priority="1336" operator="equal">
      <formula>"No"</formula>
    </cfRule>
    <cfRule type="cellIs" dxfId="1420" priority="1337" operator="equal">
      <formula>"NA"</formula>
    </cfRule>
    <cfRule type="cellIs" dxfId="1419" priority="1338" operator="equal">
      <formula>"Yes"</formula>
    </cfRule>
  </conditionalFormatting>
  <conditionalFormatting sqref="H6">
    <cfRule type="cellIs" dxfId="1418" priority="1333" operator="equal">
      <formula>"No"</formula>
    </cfRule>
    <cfRule type="cellIs" dxfId="1417" priority="1334" operator="equal">
      <formula>"NA"</formula>
    </cfRule>
    <cfRule type="cellIs" dxfId="1416" priority="1335" operator="equal">
      <formula>"Yes"</formula>
    </cfRule>
  </conditionalFormatting>
  <conditionalFormatting sqref="H10">
    <cfRule type="cellIs" dxfId="1415" priority="1330" operator="equal">
      <formula>"No"</formula>
    </cfRule>
    <cfRule type="cellIs" dxfId="1414" priority="1331" operator="equal">
      <formula>"NA"</formula>
    </cfRule>
    <cfRule type="cellIs" dxfId="1413" priority="1332" operator="equal">
      <formula>"Yes"</formula>
    </cfRule>
  </conditionalFormatting>
  <conditionalFormatting sqref="H11">
    <cfRule type="cellIs" dxfId="1412" priority="1327" operator="equal">
      <formula>"No"</formula>
    </cfRule>
    <cfRule type="cellIs" dxfId="1411" priority="1328" operator="equal">
      <formula>"NA"</formula>
    </cfRule>
    <cfRule type="cellIs" dxfId="1410" priority="1329" operator="equal">
      <formula>"Yes"</formula>
    </cfRule>
  </conditionalFormatting>
  <conditionalFormatting sqref="H12">
    <cfRule type="cellIs" dxfId="1409" priority="1324" operator="equal">
      <formula>"No"</formula>
    </cfRule>
    <cfRule type="cellIs" dxfId="1408" priority="1325" operator="equal">
      <formula>"NA"</formula>
    </cfRule>
    <cfRule type="cellIs" dxfId="1407" priority="1326" operator="equal">
      <formula>"Yes"</formula>
    </cfRule>
  </conditionalFormatting>
  <conditionalFormatting sqref="H13">
    <cfRule type="cellIs" dxfId="1406" priority="1321" operator="equal">
      <formula>"No"</formula>
    </cfRule>
    <cfRule type="cellIs" dxfId="1405" priority="1322" operator="equal">
      <formula>"NA"</formula>
    </cfRule>
    <cfRule type="cellIs" dxfId="1404" priority="1323" operator="equal">
      <formula>"Yes"</formula>
    </cfRule>
  </conditionalFormatting>
  <conditionalFormatting sqref="H15">
    <cfRule type="cellIs" dxfId="1403" priority="1318" operator="equal">
      <formula>"No"</formula>
    </cfRule>
    <cfRule type="cellIs" dxfId="1402" priority="1319" operator="equal">
      <formula>"NA"</formula>
    </cfRule>
    <cfRule type="cellIs" dxfId="1401" priority="1320" operator="equal">
      <formula>"Yes"</formula>
    </cfRule>
  </conditionalFormatting>
  <conditionalFormatting sqref="H14">
    <cfRule type="cellIs" dxfId="1400" priority="1315" operator="equal">
      <formula>"No"</formula>
    </cfRule>
    <cfRule type="cellIs" dxfId="1399" priority="1316" operator="equal">
      <formula>"NA"</formula>
    </cfRule>
    <cfRule type="cellIs" dxfId="1398" priority="1317" operator="equal">
      <formula>"Yes"</formula>
    </cfRule>
  </conditionalFormatting>
  <conditionalFormatting sqref="H16">
    <cfRule type="cellIs" dxfId="1397" priority="1312" operator="equal">
      <formula>"No"</formula>
    </cfRule>
    <cfRule type="cellIs" dxfId="1396" priority="1313" operator="equal">
      <formula>"NA"</formula>
    </cfRule>
    <cfRule type="cellIs" dxfId="1395" priority="1314" operator="equal">
      <formula>"Yes"</formula>
    </cfRule>
  </conditionalFormatting>
  <conditionalFormatting sqref="H17">
    <cfRule type="cellIs" dxfId="1394" priority="1309" operator="equal">
      <formula>"No"</formula>
    </cfRule>
    <cfRule type="cellIs" dxfId="1393" priority="1310" operator="equal">
      <formula>"NA"</formula>
    </cfRule>
    <cfRule type="cellIs" dxfId="1392" priority="1311" operator="equal">
      <formula>"Yes"</formula>
    </cfRule>
  </conditionalFormatting>
  <conditionalFormatting sqref="H18">
    <cfRule type="cellIs" dxfId="1391" priority="1306" operator="equal">
      <formula>"No"</formula>
    </cfRule>
    <cfRule type="cellIs" dxfId="1390" priority="1307" operator="equal">
      <formula>"NA"</formula>
    </cfRule>
    <cfRule type="cellIs" dxfId="1389" priority="1308" operator="equal">
      <formula>"Yes"</formula>
    </cfRule>
  </conditionalFormatting>
  <conditionalFormatting sqref="H19:H23">
    <cfRule type="cellIs" dxfId="1388" priority="1303" operator="equal">
      <formula>"No"</formula>
    </cfRule>
    <cfRule type="cellIs" dxfId="1387" priority="1304" operator="equal">
      <formula>"NA"</formula>
    </cfRule>
    <cfRule type="cellIs" dxfId="1386" priority="1305" operator="equal">
      <formula>"Yes"</formula>
    </cfRule>
  </conditionalFormatting>
  <conditionalFormatting sqref="H25:H28">
    <cfRule type="cellIs" dxfId="1385" priority="1300" operator="equal">
      <formula>"No"</formula>
    </cfRule>
    <cfRule type="cellIs" dxfId="1384" priority="1301" operator="equal">
      <formula>"NA"</formula>
    </cfRule>
    <cfRule type="cellIs" dxfId="1383" priority="1302" operator="equal">
      <formula>"Yes"</formula>
    </cfRule>
  </conditionalFormatting>
  <conditionalFormatting sqref="H30:H31">
    <cfRule type="cellIs" dxfId="1382" priority="1297" operator="equal">
      <formula>"No"</formula>
    </cfRule>
    <cfRule type="cellIs" dxfId="1381" priority="1298" operator="equal">
      <formula>"NA"</formula>
    </cfRule>
    <cfRule type="cellIs" dxfId="1380" priority="1299" operator="equal">
      <formula>"Yes"</formula>
    </cfRule>
  </conditionalFormatting>
  <conditionalFormatting sqref="H33">
    <cfRule type="cellIs" dxfId="1379" priority="1294" operator="equal">
      <formula>"No"</formula>
    </cfRule>
    <cfRule type="cellIs" dxfId="1378" priority="1295" operator="equal">
      <formula>"NA"</formula>
    </cfRule>
    <cfRule type="cellIs" dxfId="1377" priority="1296" operator="equal">
      <formula>"Yes"</formula>
    </cfRule>
  </conditionalFormatting>
  <conditionalFormatting sqref="H9">
    <cfRule type="cellIs" dxfId="1376" priority="1291" operator="equal">
      <formula>"No"</formula>
    </cfRule>
    <cfRule type="cellIs" dxfId="1375" priority="1292" operator="equal">
      <formula>"NA"</formula>
    </cfRule>
    <cfRule type="cellIs" dxfId="1374" priority="1293" operator="equal">
      <formula>"Yes"</formula>
    </cfRule>
  </conditionalFormatting>
  <conditionalFormatting sqref="I7">
    <cfRule type="cellIs" dxfId="1373" priority="1288" operator="equal">
      <formula>"No"</formula>
    </cfRule>
    <cfRule type="cellIs" dxfId="1372" priority="1289" operator="equal">
      <formula>"NA"</formula>
    </cfRule>
    <cfRule type="cellIs" dxfId="1371" priority="1290" operator="equal">
      <formula>"Yes"</formula>
    </cfRule>
  </conditionalFormatting>
  <conditionalFormatting sqref="I6">
    <cfRule type="cellIs" dxfId="1370" priority="1285" operator="equal">
      <formula>"No"</formula>
    </cfRule>
    <cfRule type="cellIs" dxfId="1369" priority="1286" operator="equal">
      <formula>"NA"</formula>
    </cfRule>
    <cfRule type="cellIs" dxfId="1368" priority="1287" operator="equal">
      <formula>"Yes"</formula>
    </cfRule>
  </conditionalFormatting>
  <conditionalFormatting sqref="I10">
    <cfRule type="cellIs" dxfId="1367" priority="1282" operator="equal">
      <formula>"No"</formula>
    </cfRule>
    <cfRule type="cellIs" dxfId="1366" priority="1283" operator="equal">
      <formula>"NA"</formula>
    </cfRule>
    <cfRule type="cellIs" dxfId="1365" priority="1284" operator="equal">
      <formula>"Yes"</formula>
    </cfRule>
  </conditionalFormatting>
  <conditionalFormatting sqref="I11">
    <cfRule type="cellIs" dxfId="1364" priority="1279" operator="equal">
      <formula>"No"</formula>
    </cfRule>
    <cfRule type="cellIs" dxfId="1363" priority="1280" operator="equal">
      <formula>"NA"</formula>
    </cfRule>
    <cfRule type="cellIs" dxfId="1362" priority="1281" operator="equal">
      <formula>"Yes"</formula>
    </cfRule>
  </conditionalFormatting>
  <conditionalFormatting sqref="I12">
    <cfRule type="cellIs" dxfId="1361" priority="1276" operator="equal">
      <formula>"No"</formula>
    </cfRule>
    <cfRule type="cellIs" dxfId="1360" priority="1277" operator="equal">
      <formula>"NA"</formula>
    </cfRule>
    <cfRule type="cellIs" dxfId="1359" priority="1278" operator="equal">
      <formula>"Yes"</formula>
    </cfRule>
  </conditionalFormatting>
  <conditionalFormatting sqref="I13">
    <cfRule type="cellIs" dxfId="1358" priority="1273" operator="equal">
      <formula>"No"</formula>
    </cfRule>
    <cfRule type="cellIs" dxfId="1357" priority="1274" operator="equal">
      <formula>"NA"</formula>
    </cfRule>
    <cfRule type="cellIs" dxfId="1356" priority="1275" operator="equal">
      <formula>"Yes"</formula>
    </cfRule>
  </conditionalFormatting>
  <conditionalFormatting sqref="I15">
    <cfRule type="cellIs" dxfId="1355" priority="1270" operator="equal">
      <formula>"No"</formula>
    </cfRule>
    <cfRule type="cellIs" dxfId="1354" priority="1271" operator="equal">
      <formula>"NA"</formula>
    </cfRule>
    <cfRule type="cellIs" dxfId="1353" priority="1272" operator="equal">
      <formula>"Yes"</formula>
    </cfRule>
  </conditionalFormatting>
  <conditionalFormatting sqref="I14">
    <cfRule type="cellIs" dxfId="1352" priority="1267" operator="equal">
      <formula>"No"</formula>
    </cfRule>
    <cfRule type="cellIs" dxfId="1351" priority="1268" operator="equal">
      <formula>"NA"</formula>
    </cfRule>
    <cfRule type="cellIs" dxfId="1350" priority="1269" operator="equal">
      <formula>"Yes"</formula>
    </cfRule>
  </conditionalFormatting>
  <conditionalFormatting sqref="I16">
    <cfRule type="cellIs" dxfId="1349" priority="1264" operator="equal">
      <formula>"No"</formula>
    </cfRule>
    <cfRule type="cellIs" dxfId="1348" priority="1265" operator="equal">
      <formula>"NA"</formula>
    </cfRule>
    <cfRule type="cellIs" dxfId="1347" priority="1266" operator="equal">
      <formula>"Yes"</formula>
    </cfRule>
  </conditionalFormatting>
  <conditionalFormatting sqref="I17">
    <cfRule type="cellIs" dxfId="1346" priority="1261" operator="equal">
      <formula>"No"</formula>
    </cfRule>
    <cfRule type="cellIs" dxfId="1345" priority="1262" operator="equal">
      <formula>"NA"</formula>
    </cfRule>
    <cfRule type="cellIs" dxfId="1344" priority="1263" operator="equal">
      <formula>"Yes"</formula>
    </cfRule>
  </conditionalFormatting>
  <conditionalFormatting sqref="I18">
    <cfRule type="cellIs" dxfId="1343" priority="1258" operator="equal">
      <formula>"No"</formula>
    </cfRule>
    <cfRule type="cellIs" dxfId="1342" priority="1259" operator="equal">
      <formula>"NA"</formula>
    </cfRule>
    <cfRule type="cellIs" dxfId="1341" priority="1260" operator="equal">
      <formula>"Yes"</formula>
    </cfRule>
  </conditionalFormatting>
  <conditionalFormatting sqref="I19:I23">
    <cfRule type="cellIs" dxfId="1340" priority="1255" operator="equal">
      <formula>"No"</formula>
    </cfRule>
    <cfRule type="cellIs" dxfId="1339" priority="1256" operator="equal">
      <formula>"NA"</formula>
    </cfRule>
    <cfRule type="cellIs" dxfId="1338" priority="1257" operator="equal">
      <formula>"Yes"</formula>
    </cfRule>
  </conditionalFormatting>
  <conditionalFormatting sqref="I25:I28">
    <cfRule type="cellIs" dxfId="1337" priority="1252" operator="equal">
      <formula>"No"</formula>
    </cfRule>
    <cfRule type="cellIs" dxfId="1336" priority="1253" operator="equal">
      <formula>"NA"</formula>
    </cfRule>
    <cfRule type="cellIs" dxfId="1335" priority="1254" operator="equal">
      <formula>"Yes"</formula>
    </cfRule>
  </conditionalFormatting>
  <conditionalFormatting sqref="I30:I31">
    <cfRule type="cellIs" dxfId="1334" priority="1249" operator="equal">
      <formula>"No"</formula>
    </cfRule>
    <cfRule type="cellIs" dxfId="1333" priority="1250" operator="equal">
      <formula>"NA"</formula>
    </cfRule>
    <cfRule type="cellIs" dxfId="1332" priority="1251" operator="equal">
      <formula>"Yes"</formula>
    </cfRule>
  </conditionalFormatting>
  <conditionalFormatting sqref="I33">
    <cfRule type="cellIs" dxfId="1331" priority="1246" operator="equal">
      <formula>"No"</formula>
    </cfRule>
    <cfRule type="cellIs" dxfId="1330" priority="1247" operator="equal">
      <formula>"NA"</formula>
    </cfRule>
    <cfRule type="cellIs" dxfId="1329" priority="1248" operator="equal">
      <formula>"Yes"</formula>
    </cfRule>
  </conditionalFormatting>
  <conditionalFormatting sqref="I9">
    <cfRule type="cellIs" dxfId="1328" priority="1243" operator="equal">
      <formula>"No"</formula>
    </cfRule>
    <cfRule type="cellIs" dxfId="1327" priority="1244" operator="equal">
      <formula>"NA"</formula>
    </cfRule>
    <cfRule type="cellIs" dxfId="1326" priority="1245" operator="equal">
      <formula>"Yes"</formula>
    </cfRule>
  </conditionalFormatting>
  <conditionalFormatting sqref="J7">
    <cfRule type="cellIs" dxfId="1325" priority="1240" operator="equal">
      <formula>"No"</formula>
    </cfRule>
    <cfRule type="cellIs" dxfId="1324" priority="1241" operator="equal">
      <formula>"NA"</formula>
    </cfRule>
    <cfRule type="cellIs" dxfId="1323" priority="1242" operator="equal">
      <formula>"Yes"</formula>
    </cfRule>
  </conditionalFormatting>
  <conditionalFormatting sqref="J6">
    <cfRule type="cellIs" dxfId="1322" priority="1237" operator="equal">
      <formula>"No"</formula>
    </cfRule>
    <cfRule type="cellIs" dxfId="1321" priority="1238" operator="equal">
      <formula>"NA"</formula>
    </cfRule>
    <cfRule type="cellIs" dxfId="1320" priority="1239" operator="equal">
      <formula>"Yes"</formula>
    </cfRule>
  </conditionalFormatting>
  <conditionalFormatting sqref="J10">
    <cfRule type="cellIs" dxfId="1319" priority="1234" operator="equal">
      <formula>"No"</formula>
    </cfRule>
    <cfRule type="cellIs" dxfId="1318" priority="1235" operator="equal">
      <formula>"NA"</formula>
    </cfRule>
    <cfRule type="cellIs" dxfId="1317" priority="1236" operator="equal">
      <formula>"Yes"</formula>
    </cfRule>
  </conditionalFormatting>
  <conditionalFormatting sqref="J11">
    <cfRule type="cellIs" dxfId="1316" priority="1231" operator="equal">
      <formula>"No"</formula>
    </cfRule>
    <cfRule type="cellIs" dxfId="1315" priority="1232" operator="equal">
      <formula>"NA"</formula>
    </cfRule>
    <cfRule type="cellIs" dxfId="1314" priority="1233" operator="equal">
      <formula>"Yes"</formula>
    </cfRule>
  </conditionalFormatting>
  <conditionalFormatting sqref="J12">
    <cfRule type="cellIs" dxfId="1313" priority="1228" operator="equal">
      <formula>"No"</formula>
    </cfRule>
    <cfRule type="cellIs" dxfId="1312" priority="1229" operator="equal">
      <formula>"NA"</formula>
    </cfRule>
    <cfRule type="cellIs" dxfId="1311" priority="1230" operator="equal">
      <formula>"Yes"</formula>
    </cfRule>
  </conditionalFormatting>
  <conditionalFormatting sqref="J13">
    <cfRule type="cellIs" dxfId="1310" priority="1225" operator="equal">
      <formula>"No"</formula>
    </cfRule>
    <cfRule type="cellIs" dxfId="1309" priority="1226" operator="equal">
      <formula>"NA"</formula>
    </cfRule>
    <cfRule type="cellIs" dxfId="1308" priority="1227" operator="equal">
      <formula>"Yes"</formula>
    </cfRule>
  </conditionalFormatting>
  <conditionalFormatting sqref="J15">
    <cfRule type="cellIs" dxfId="1307" priority="1222" operator="equal">
      <formula>"No"</formula>
    </cfRule>
    <cfRule type="cellIs" dxfId="1306" priority="1223" operator="equal">
      <formula>"NA"</formula>
    </cfRule>
    <cfRule type="cellIs" dxfId="1305" priority="1224" operator="equal">
      <formula>"Yes"</formula>
    </cfRule>
  </conditionalFormatting>
  <conditionalFormatting sqref="J14">
    <cfRule type="cellIs" dxfId="1304" priority="1219" operator="equal">
      <formula>"No"</formula>
    </cfRule>
    <cfRule type="cellIs" dxfId="1303" priority="1220" operator="equal">
      <formula>"NA"</formula>
    </cfRule>
    <cfRule type="cellIs" dxfId="1302" priority="1221" operator="equal">
      <formula>"Yes"</formula>
    </cfRule>
  </conditionalFormatting>
  <conditionalFormatting sqref="J16">
    <cfRule type="cellIs" dxfId="1301" priority="1216" operator="equal">
      <formula>"No"</formula>
    </cfRule>
    <cfRule type="cellIs" dxfId="1300" priority="1217" operator="equal">
      <formula>"NA"</formula>
    </cfRule>
    <cfRule type="cellIs" dxfId="1299" priority="1218" operator="equal">
      <formula>"Yes"</formula>
    </cfRule>
  </conditionalFormatting>
  <conditionalFormatting sqref="J17">
    <cfRule type="cellIs" dxfId="1298" priority="1213" operator="equal">
      <formula>"No"</formula>
    </cfRule>
    <cfRule type="cellIs" dxfId="1297" priority="1214" operator="equal">
      <formula>"NA"</formula>
    </cfRule>
    <cfRule type="cellIs" dxfId="1296" priority="1215" operator="equal">
      <formula>"Yes"</formula>
    </cfRule>
  </conditionalFormatting>
  <conditionalFormatting sqref="J18">
    <cfRule type="cellIs" dxfId="1295" priority="1210" operator="equal">
      <formula>"No"</formula>
    </cfRule>
    <cfRule type="cellIs" dxfId="1294" priority="1211" operator="equal">
      <formula>"NA"</formula>
    </cfRule>
    <cfRule type="cellIs" dxfId="1293" priority="1212" operator="equal">
      <formula>"Yes"</formula>
    </cfRule>
  </conditionalFormatting>
  <conditionalFormatting sqref="J19:J23">
    <cfRule type="cellIs" dxfId="1292" priority="1207" operator="equal">
      <formula>"No"</formula>
    </cfRule>
    <cfRule type="cellIs" dxfId="1291" priority="1208" operator="equal">
      <formula>"NA"</formula>
    </cfRule>
    <cfRule type="cellIs" dxfId="1290" priority="1209" operator="equal">
      <formula>"Yes"</formula>
    </cfRule>
  </conditionalFormatting>
  <conditionalFormatting sqref="J25:J28">
    <cfRule type="cellIs" dxfId="1289" priority="1204" operator="equal">
      <formula>"No"</formula>
    </cfRule>
    <cfRule type="cellIs" dxfId="1288" priority="1205" operator="equal">
      <formula>"NA"</formula>
    </cfRule>
    <cfRule type="cellIs" dxfId="1287" priority="1206" operator="equal">
      <formula>"Yes"</formula>
    </cfRule>
  </conditionalFormatting>
  <conditionalFormatting sqref="J30:J31">
    <cfRule type="cellIs" dxfId="1286" priority="1201" operator="equal">
      <formula>"No"</formula>
    </cfRule>
    <cfRule type="cellIs" dxfId="1285" priority="1202" operator="equal">
      <formula>"NA"</formula>
    </cfRule>
    <cfRule type="cellIs" dxfId="1284" priority="1203" operator="equal">
      <formula>"Yes"</formula>
    </cfRule>
  </conditionalFormatting>
  <conditionalFormatting sqref="J33">
    <cfRule type="cellIs" dxfId="1283" priority="1198" operator="equal">
      <formula>"No"</formula>
    </cfRule>
    <cfRule type="cellIs" dxfId="1282" priority="1199" operator="equal">
      <formula>"NA"</formula>
    </cfRule>
    <cfRule type="cellIs" dxfId="1281" priority="1200" operator="equal">
      <formula>"Yes"</formula>
    </cfRule>
  </conditionalFormatting>
  <conditionalFormatting sqref="J9">
    <cfRule type="cellIs" dxfId="1280" priority="1195" operator="equal">
      <formula>"No"</formula>
    </cfRule>
    <cfRule type="cellIs" dxfId="1279" priority="1196" operator="equal">
      <formula>"NA"</formula>
    </cfRule>
    <cfRule type="cellIs" dxfId="1278" priority="1197" operator="equal">
      <formula>"Yes"</formula>
    </cfRule>
  </conditionalFormatting>
  <conditionalFormatting sqref="K7">
    <cfRule type="cellIs" dxfId="1277" priority="1192" operator="equal">
      <formula>"No"</formula>
    </cfRule>
    <cfRule type="cellIs" dxfId="1276" priority="1193" operator="equal">
      <formula>"NA"</formula>
    </cfRule>
    <cfRule type="cellIs" dxfId="1275" priority="1194" operator="equal">
      <formula>"Yes"</formula>
    </cfRule>
  </conditionalFormatting>
  <conditionalFormatting sqref="K9">
    <cfRule type="cellIs" dxfId="1274" priority="1189" operator="equal">
      <formula>"No"</formula>
    </cfRule>
    <cfRule type="cellIs" dxfId="1273" priority="1190" operator="equal">
      <formula>"NA"</formula>
    </cfRule>
    <cfRule type="cellIs" dxfId="1272" priority="1191" operator="equal">
      <formula>"Yes"</formula>
    </cfRule>
  </conditionalFormatting>
  <conditionalFormatting sqref="K10">
    <cfRule type="cellIs" dxfId="1271" priority="1186" operator="equal">
      <formula>"No"</formula>
    </cfRule>
    <cfRule type="cellIs" dxfId="1270" priority="1187" operator="equal">
      <formula>"NA"</formula>
    </cfRule>
    <cfRule type="cellIs" dxfId="1269" priority="1188" operator="equal">
      <formula>"Yes"</formula>
    </cfRule>
  </conditionalFormatting>
  <conditionalFormatting sqref="K11">
    <cfRule type="cellIs" dxfId="1268" priority="1183" operator="equal">
      <formula>"No"</formula>
    </cfRule>
    <cfRule type="cellIs" dxfId="1267" priority="1184" operator="equal">
      <formula>"NA"</formula>
    </cfRule>
    <cfRule type="cellIs" dxfId="1266" priority="1185" operator="equal">
      <formula>"Yes"</formula>
    </cfRule>
  </conditionalFormatting>
  <conditionalFormatting sqref="K12">
    <cfRule type="cellIs" dxfId="1265" priority="1180" operator="equal">
      <formula>"No"</formula>
    </cfRule>
    <cfRule type="cellIs" dxfId="1264" priority="1181" operator="equal">
      <formula>"NA"</formula>
    </cfRule>
    <cfRule type="cellIs" dxfId="1263" priority="1182" operator="equal">
      <formula>"Yes"</formula>
    </cfRule>
  </conditionalFormatting>
  <conditionalFormatting sqref="K13">
    <cfRule type="cellIs" dxfId="1262" priority="1177" operator="equal">
      <formula>"No"</formula>
    </cfRule>
    <cfRule type="cellIs" dxfId="1261" priority="1178" operator="equal">
      <formula>"NA"</formula>
    </cfRule>
    <cfRule type="cellIs" dxfId="1260" priority="1179" operator="equal">
      <formula>"Yes"</formula>
    </cfRule>
  </conditionalFormatting>
  <conditionalFormatting sqref="K15">
    <cfRule type="cellIs" dxfId="1259" priority="1174" operator="equal">
      <formula>"No"</formula>
    </cfRule>
    <cfRule type="cellIs" dxfId="1258" priority="1175" operator="equal">
      <formula>"NA"</formula>
    </cfRule>
    <cfRule type="cellIs" dxfId="1257" priority="1176" operator="equal">
      <formula>"Yes"</formula>
    </cfRule>
  </conditionalFormatting>
  <conditionalFormatting sqref="K14">
    <cfRule type="cellIs" dxfId="1256" priority="1171" operator="equal">
      <formula>"No"</formula>
    </cfRule>
    <cfRule type="cellIs" dxfId="1255" priority="1172" operator="equal">
      <formula>"NA"</formula>
    </cfRule>
    <cfRule type="cellIs" dxfId="1254" priority="1173" operator="equal">
      <formula>"Yes"</formula>
    </cfRule>
  </conditionalFormatting>
  <conditionalFormatting sqref="K16">
    <cfRule type="cellIs" dxfId="1253" priority="1168" operator="equal">
      <formula>"No"</formula>
    </cfRule>
    <cfRule type="cellIs" dxfId="1252" priority="1169" operator="equal">
      <formula>"NA"</formula>
    </cfRule>
    <cfRule type="cellIs" dxfId="1251" priority="1170" operator="equal">
      <formula>"Yes"</formula>
    </cfRule>
  </conditionalFormatting>
  <conditionalFormatting sqref="K17">
    <cfRule type="cellIs" dxfId="1250" priority="1165" operator="equal">
      <formula>"No"</formula>
    </cfRule>
    <cfRule type="cellIs" dxfId="1249" priority="1166" operator="equal">
      <formula>"NA"</formula>
    </cfRule>
    <cfRule type="cellIs" dxfId="1248" priority="1167" operator="equal">
      <formula>"Yes"</formula>
    </cfRule>
  </conditionalFormatting>
  <conditionalFormatting sqref="K6">
    <cfRule type="cellIs" dxfId="1247" priority="1162" operator="equal">
      <formula>"No"</formula>
    </cfRule>
    <cfRule type="cellIs" dxfId="1246" priority="1163" operator="equal">
      <formula>"NA"</formula>
    </cfRule>
    <cfRule type="cellIs" dxfId="1245" priority="1164" operator="equal">
      <formula>"Yes"</formula>
    </cfRule>
  </conditionalFormatting>
  <conditionalFormatting sqref="K18">
    <cfRule type="cellIs" dxfId="1244" priority="1159" operator="equal">
      <formula>"No"</formula>
    </cfRule>
    <cfRule type="cellIs" dxfId="1243" priority="1160" operator="equal">
      <formula>"NA"</formula>
    </cfRule>
    <cfRule type="cellIs" dxfId="1242" priority="1161" operator="equal">
      <formula>"Yes"</formula>
    </cfRule>
  </conditionalFormatting>
  <conditionalFormatting sqref="K19">
    <cfRule type="cellIs" dxfId="1241" priority="1156" operator="equal">
      <formula>"No"</formula>
    </cfRule>
    <cfRule type="cellIs" dxfId="1240" priority="1157" operator="equal">
      <formula>"NA"</formula>
    </cfRule>
    <cfRule type="cellIs" dxfId="1239" priority="1158" operator="equal">
      <formula>"Yes"</formula>
    </cfRule>
  </conditionalFormatting>
  <conditionalFormatting sqref="K20">
    <cfRule type="cellIs" dxfId="1238" priority="1153" operator="equal">
      <formula>"No"</formula>
    </cfRule>
    <cfRule type="cellIs" dxfId="1237" priority="1154" operator="equal">
      <formula>"NA"</formula>
    </cfRule>
    <cfRule type="cellIs" dxfId="1236" priority="1155" operator="equal">
      <formula>"Yes"</formula>
    </cfRule>
  </conditionalFormatting>
  <conditionalFormatting sqref="K21">
    <cfRule type="cellIs" dxfId="1235" priority="1150" operator="equal">
      <formula>"No"</formula>
    </cfRule>
    <cfRule type="cellIs" dxfId="1234" priority="1151" operator="equal">
      <formula>"NA"</formula>
    </cfRule>
    <cfRule type="cellIs" dxfId="1233" priority="1152" operator="equal">
      <formula>"Yes"</formula>
    </cfRule>
  </conditionalFormatting>
  <conditionalFormatting sqref="K22">
    <cfRule type="cellIs" dxfId="1232" priority="1147" operator="equal">
      <formula>"No"</formula>
    </cfRule>
    <cfRule type="cellIs" dxfId="1231" priority="1148" operator="equal">
      <formula>"NA"</formula>
    </cfRule>
    <cfRule type="cellIs" dxfId="1230" priority="1149" operator="equal">
      <formula>"Yes"</formula>
    </cfRule>
  </conditionalFormatting>
  <conditionalFormatting sqref="K23">
    <cfRule type="cellIs" dxfId="1229" priority="1144" operator="equal">
      <formula>"No"</formula>
    </cfRule>
    <cfRule type="cellIs" dxfId="1228" priority="1145" operator="equal">
      <formula>"NA"</formula>
    </cfRule>
    <cfRule type="cellIs" dxfId="1227" priority="1146" operator="equal">
      <formula>"Yes"</formula>
    </cfRule>
  </conditionalFormatting>
  <conditionalFormatting sqref="K25">
    <cfRule type="cellIs" dxfId="1226" priority="1141" operator="equal">
      <formula>"No"</formula>
    </cfRule>
    <cfRule type="cellIs" dxfId="1225" priority="1142" operator="equal">
      <formula>"NA"</formula>
    </cfRule>
    <cfRule type="cellIs" dxfId="1224" priority="1143" operator="equal">
      <formula>"Yes"</formula>
    </cfRule>
  </conditionalFormatting>
  <conditionalFormatting sqref="K26">
    <cfRule type="cellIs" dxfId="1223" priority="1138" operator="equal">
      <formula>"No"</formula>
    </cfRule>
    <cfRule type="cellIs" dxfId="1222" priority="1139" operator="equal">
      <formula>"NA"</formula>
    </cfRule>
    <cfRule type="cellIs" dxfId="1221" priority="1140" operator="equal">
      <formula>"Yes"</formula>
    </cfRule>
  </conditionalFormatting>
  <conditionalFormatting sqref="K27">
    <cfRule type="cellIs" dxfId="1220" priority="1135" operator="equal">
      <formula>"No"</formula>
    </cfRule>
    <cfRule type="cellIs" dxfId="1219" priority="1136" operator="equal">
      <formula>"NA"</formula>
    </cfRule>
    <cfRule type="cellIs" dxfId="1218" priority="1137" operator="equal">
      <formula>"Yes"</formula>
    </cfRule>
  </conditionalFormatting>
  <conditionalFormatting sqref="K28">
    <cfRule type="cellIs" dxfId="1217" priority="1132" operator="equal">
      <formula>"No"</formula>
    </cfRule>
    <cfRule type="cellIs" dxfId="1216" priority="1133" operator="equal">
      <formula>"NA"</formula>
    </cfRule>
    <cfRule type="cellIs" dxfId="1215" priority="1134" operator="equal">
      <formula>"Yes"</formula>
    </cfRule>
  </conditionalFormatting>
  <conditionalFormatting sqref="K30">
    <cfRule type="cellIs" dxfId="1214" priority="1129" operator="equal">
      <formula>"No"</formula>
    </cfRule>
    <cfRule type="cellIs" dxfId="1213" priority="1130" operator="equal">
      <formula>"NA"</formula>
    </cfRule>
    <cfRule type="cellIs" dxfId="1212" priority="1131" operator="equal">
      <formula>"Yes"</formula>
    </cfRule>
  </conditionalFormatting>
  <conditionalFormatting sqref="K31">
    <cfRule type="cellIs" dxfId="1211" priority="1126" operator="equal">
      <formula>"No"</formula>
    </cfRule>
    <cfRule type="cellIs" dxfId="1210" priority="1127" operator="equal">
      <formula>"NA"</formula>
    </cfRule>
    <cfRule type="cellIs" dxfId="1209" priority="1128" operator="equal">
      <formula>"Yes"</formula>
    </cfRule>
  </conditionalFormatting>
  <conditionalFormatting sqref="K33">
    <cfRule type="cellIs" dxfId="1208" priority="1123" operator="equal">
      <formula>"No"</formula>
    </cfRule>
    <cfRule type="cellIs" dxfId="1207" priority="1124" operator="equal">
      <formula>"NA"</formula>
    </cfRule>
    <cfRule type="cellIs" dxfId="1206" priority="1125" operator="equal">
      <formula>"Yes"</formula>
    </cfRule>
  </conditionalFormatting>
  <conditionalFormatting sqref="M7">
    <cfRule type="cellIs" dxfId="1205" priority="928" operator="equal">
      <formula>"No"</formula>
    </cfRule>
    <cfRule type="cellIs" dxfId="1204" priority="929" operator="equal">
      <formula>"NA"</formula>
    </cfRule>
    <cfRule type="cellIs" dxfId="1203" priority="930" operator="equal">
      <formula>"Yes"</formula>
    </cfRule>
  </conditionalFormatting>
  <conditionalFormatting sqref="M6">
    <cfRule type="cellIs" dxfId="1202" priority="925" operator="equal">
      <formula>"No"</formula>
    </cfRule>
    <cfRule type="cellIs" dxfId="1201" priority="926" operator="equal">
      <formula>"NA"</formula>
    </cfRule>
    <cfRule type="cellIs" dxfId="1200" priority="927" operator="equal">
      <formula>"Yes"</formula>
    </cfRule>
  </conditionalFormatting>
  <conditionalFormatting sqref="M10">
    <cfRule type="cellIs" dxfId="1199" priority="922" operator="equal">
      <formula>"No"</formula>
    </cfRule>
    <cfRule type="cellIs" dxfId="1198" priority="923" operator="equal">
      <formula>"NA"</formula>
    </cfRule>
    <cfRule type="cellIs" dxfId="1197" priority="924" operator="equal">
      <formula>"Yes"</formula>
    </cfRule>
  </conditionalFormatting>
  <conditionalFormatting sqref="M11">
    <cfRule type="cellIs" dxfId="1196" priority="919" operator="equal">
      <formula>"No"</formula>
    </cfRule>
    <cfRule type="cellIs" dxfId="1195" priority="920" operator="equal">
      <formula>"NA"</formula>
    </cfRule>
    <cfRule type="cellIs" dxfId="1194" priority="921" operator="equal">
      <formula>"Yes"</formula>
    </cfRule>
  </conditionalFormatting>
  <conditionalFormatting sqref="M12">
    <cfRule type="cellIs" dxfId="1193" priority="916" operator="equal">
      <formula>"No"</formula>
    </cfRule>
    <cfRule type="cellIs" dxfId="1192" priority="917" operator="equal">
      <formula>"NA"</formula>
    </cfRule>
    <cfRule type="cellIs" dxfId="1191" priority="918" operator="equal">
      <formula>"Yes"</formula>
    </cfRule>
  </conditionalFormatting>
  <conditionalFormatting sqref="M13">
    <cfRule type="cellIs" dxfId="1190" priority="913" operator="equal">
      <formula>"No"</formula>
    </cfRule>
    <cfRule type="cellIs" dxfId="1189" priority="914" operator="equal">
      <formula>"NA"</formula>
    </cfRule>
    <cfRule type="cellIs" dxfId="1188" priority="915" operator="equal">
      <formula>"Yes"</formula>
    </cfRule>
  </conditionalFormatting>
  <conditionalFormatting sqref="M15">
    <cfRule type="cellIs" dxfId="1187" priority="910" operator="equal">
      <formula>"No"</formula>
    </cfRule>
    <cfRule type="cellIs" dxfId="1186" priority="911" operator="equal">
      <formula>"NA"</formula>
    </cfRule>
    <cfRule type="cellIs" dxfId="1185" priority="912" operator="equal">
      <formula>"Yes"</formula>
    </cfRule>
  </conditionalFormatting>
  <conditionalFormatting sqref="M14">
    <cfRule type="cellIs" dxfId="1184" priority="907" operator="equal">
      <formula>"No"</formula>
    </cfRule>
    <cfRule type="cellIs" dxfId="1183" priority="908" operator="equal">
      <formula>"NA"</formula>
    </cfRule>
    <cfRule type="cellIs" dxfId="1182" priority="909" operator="equal">
      <formula>"Yes"</formula>
    </cfRule>
  </conditionalFormatting>
  <conditionalFormatting sqref="M16">
    <cfRule type="cellIs" dxfId="1181" priority="904" operator="equal">
      <formula>"No"</formula>
    </cfRule>
    <cfRule type="cellIs" dxfId="1180" priority="905" operator="equal">
      <formula>"NA"</formula>
    </cfRule>
    <cfRule type="cellIs" dxfId="1179" priority="906" operator="equal">
      <formula>"Yes"</formula>
    </cfRule>
  </conditionalFormatting>
  <conditionalFormatting sqref="M17">
    <cfRule type="cellIs" dxfId="1178" priority="901" operator="equal">
      <formula>"No"</formula>
    </cfRule>
    <cfRule type="cellIs" dxfId="1177" priority="902" operator="equal">
      <formula>"NA"</formula>
    </cfRule>
    <cfRule type="cellIs" dxfId="1176" priority="903" operator="equal">
      <formula>"Yes"</formula>
    </cfRule>
  </conditionalFormatting>
  <conditionalFormatting sqref="M18">
    <cfRule type="cellIs" dxfId="1175" priority="898" operator="equal">
      <formula>"No"</formula>
    </cfRule>
    <cfRule type="cellIs" dxfId="1174" priority="899" operator="equal">
      <formula>"NA"</formula>
    </cfRule>
    <cfRule type="cellIs" dxfId="1173" priority="900" operator="equal">
      <formula>"Yes"</formula>
    </cfRule>
  </conditionalFormatting>
  <conditionalFormatting sqref="M19:M23">
    <cfRule type="cellIs" dxfId="1172" priority="895" operator="equal">
      <formula>"No"</formula>
    </cfRule>
    <cfRule type="cellIs" dxfId="1171" priority="896" operator="equal">
      <formula>"NA"</formula>
    </cfRule>
    <cfRule type="cellIs" dxfId="1170" priority="897" operator="equal">
      <formula>"Yes"</formula>
    </cfRule>
  </conditionalFormatting>
  <conditionalFormatting sqref="M25:M28">
    <cfRule type="cellIs" dxfId="1169" priority="892" operator="equal">
      <formula>"No"</formula>
    </cfRule>
    <cfRule type="cellIs" dxfId="1168" priority="893" operator="equal">
      <formula>"NA"</formula>
    </cfRule>
    <cfRule type="cellIs" dxfId="1167" priority="894" operator="equal">
      <formula>"Yes"</formula>
    </cfRule>
  </conditionalFormatting>
  <conditionalFormatting sqref="M30:M31">
    <cfRule type="cellIs" dxfId="1166" priority="889" operator="equal">
      <formula>"No"</formula>
    </cfRule>
    <cfRule type="cellIs" dxfId="1165" priority="890" operator="equal">
      <formula>"NA"</formula>
    </cfRule>
    <cfRule type="cellIs" dxfId="1164" priority="891" operator="equal">
      <formula>"Yes"</formula>
    </cfRule>
  </conditionalFormatting>
  <conditionalFormatting sqref="M33">
    <cfRule type="cellIs" dxfId="1163" priority="886" operator="equal">
      <formula>"No"</formula>
    </cfRule>
    <cfRule type="cellIs" dxfId="1162" priority="887" operator="equal">
      <formula>"NA"</formula>
    </cfRule>
    <cfRule type="cellIs" dxfId="1161" priority="888" operator="equal">
      <formula>"Yes"</formula>
    </cfRule>
  </conditionalFormatting>
  <conditionalFormatting sqref="M9">
    <cfRule type="cellIs" dxfId="1160" priority="883" operator="equal">
      <formula>"No"</formula>
    </cfRule>
    <cfRule type="cellIs" dxfId="1159" priority="884" operator="equal">
      <formula>"NA"</formula>
    </cfRule>
    <cfRule type="cellIs" dxfId="1158" priority="885" operator="equal">
      <formula>"Yes"</formula>
    </cfRule>
  </conditionalFormatting>
  <conditionalFormatting sqref="N7">
    <cfRule type="cellIs" dxfId="1157" priority="880" operator="equal">
      <formula>"No"</formula>
    </cfRule>
    <cfRule type="cellIs" dxfId="1156" priority="881" operator="equal">
      <formula>"NA"</formula>
    </cfRule>
    <cfRule type="cellIs" dxfId="1155" priority="882" operator="equal">
      <formula>"Yes"</formula>
    </cfRule>
  </conditionalFormatting>
  <conditionalFormatting sqref="N6">
    <cfRule type="cellIs" dxfId="1154" priority="877" operator="equal">
      <formula>"No"</formula>
    </cfRule>
    <cfRule type="cellIs" dxfId="1153" priority="878" operator="equal">
      <formula>"NA"</formula>
    </cfRule>
    <cfRule type="cellIs" dxfId="1152" priority="879" operator="equal">
      <formula>"Yes"</formula>
    </cfRule>
  </conditionalFormatting>
  <conditionalFormatting sqref="N10">
    <cfRule type="cellIs" dxfId="1151" priority="874" operator="equal">
      <formula>"No"</formula>
    </cfRule>
    <cfRule type="cellIs" dxfId="1150" priority="875" operator="equal">
      <formula>"NA"</formula>
    </cfRule>
    <cfRule type="cellIs" dxfId="1149" priority="876" operator="equal">
      <formula>"Yes"</formula>
    </cfRule>
  </conditionalFormatting>
  <conditionalFormatting sqref="N11">
    <cfRule type="cellIs" dxfId="1148" priority="871" operator="equal">
      <formula>"No"</formula>
    </cfRule>
    <cfRule type="cellIs" dxfId="1147" priority="872" operator="equal">
      <formula>"NA"</formula>
    </cfRule>
    <cfRule type="cellIs" dxfId="1146" priority="873" operator="equal">
      <formula>"Yes"</formula>
    </cfRule>
  </conditionalFormatting>
  <conditionalFormatting sqref="N12">
    <cfRule type="cellIs" dxfId="1145" priority="868" operator="equal">
      <formula>"No"</formula>
    </cfRule>
    <cfRule type="cellIs" dxfId="1144" priority="869" operator="equal">
      <formula>"NA"</formula>
    </cfRule>
    <cfRule type="cellIs" dxfId="1143" priority="870" operator="equal">
      <formula>"Yes"</formula>
    </cfRule>
  </conditionalFormatting>
  <conditionalFormatting sqref="N13">
    <cfRule type="cellIs" dxfId="1142" priority="865" operator="equal">
      <formula>"No"</formula>
    </cfRule>
    <cfRule type="cellIs" dxfId="1141" priority="866" operator="equal">
      <formula>"NA"</formula>
    </cfRule>
    <cfRule type="cellIs" dxfId="1140" priority="867" operator="equal">
      <formula>"Yes"</formula>
    </cfRule>
  </conditionalFormatting>
  <conditionalFormatting sqref="N15">
    <cfRule type="cellIs" dxfId="1139" priority="862" operator="equal">
      <formula>"No"</formula>
    </cfRule>
    <cfRule type="cellIs" dxfId="1138" priority="863" operator="equal">
      <formula>"NA"</formula>
    </cfRule>
    <cfRule type="cellIs" dxfId="1137" priority="864" operator="equal">
      <formula>"Yes"</formula>
    </cfRule>
  </conditionalFormatting>
  <conditionalFormatting sqref="N14">
    <cfRule type="cellIs" dxfId="1136" priority="859" operator="equal">
      <formula>"No"</formula>
    </cfRule>
    <cfRule type="cellIs" dxfId="1135" priority="860" operator="equal">
      <formula>"NA"</formula>
    </cfRule>
    <cfRule type="cellIs" dxfId="1134" priority="861" operator="equal">
      <formula>"Yes"</formula>
    </cfRule>
  </conditionalFormatting>
  <conditionalFormatting sqref="N16">
    <cfRule type="cellIs" dxfId="1133" priority="856" operator="equal">
      <formula>"No"</formula>
    </cfRule>
    <cfRule type="cellIs" dxfId="1132" priority="857" operator="equal">
      <formula>"NA"</formula>
    </cfRule>
    <cfRule type="cellIs" dxfId="1131" priority="858" operator="equal">
      <formula>"Yes"</formula>
    </cfRule>
  </conditionalFormatting>
  <conditionalFormatting sqref="N17">
    <cfRule type="cellIs" dxfId="1130" priority="853" operator="equal">
      <formula>"No"</formula>
    </cfRule>
    <cfRule type="cellIs" dxfId="1129" priority="854" operator="equal">
      <formula>"NA"</formula>
    </cfRule>
    <cfRule type="cellIs" dxfId="1128" priority="855" operator="equal">
      <formula>"Yes"</formula>
    </cfRule>
  </conditionalFormatting>
  <conditionalFormatting sqref="N18">
    <cfRule type="cellIs" dxfId="1127" priority="850" operator="equal">
      <formula>"No"</formula>
    </cfRule>
    <cfRule type="cellIs" dxfId="1126" priority="851" operator="equal">
      <formula>"NA"</formula>
    </cfRule>
    <cfRule type="cellIs" dxfId="1125" priority="852" operator="equal">
      <formula>"Yes"</formula>
    </cfRule>
  </conditionalFormatting>
  <conditionalFormatting sqref="N19:N23">
    <cfRule type="cellIs" dxfId="1124" priority="847" operator="equal">
      <formula>"No"</formula>
    </cfRule>
    <cfRule type="cellIs" dxfId="1123" priority="848" operator="equal">
      <formula>"NA"</formula>
    </cfRule>
    <cfRule type="cellIs" dxfId="1122" priority="849" operator="equal">
      <formula>"Yes"</formula>
    </cfRule>
  </conditionalFormatting>
  <conditionalFormatting sqref="N25:N28">
    <cfRule type="cellIs" dxfId="1121" priority="844" operator="equal">
      <formula>"No"</formula>
    </cfRule>
    <cfRule type="cellIs" dxfId="1120" priority="845" operator="equal">
      <formula>"NA"</formula>
    </cfRule>
    <cfRule type="cellIs" dxfId="1119" priority="846" operator="equal">
      <formula>"Yes"</formula>
    </cfRule>
  </conditionalFormatting>
  <conditionalFormatting sqref="N30:N31">
    <cfRule type="cellIs" dxfId="1118" priority="841" operator="equal">
      <formula>"No"</formula>
    </cfRule>
    <cfRule type="cellIs" dxfId="1117" priority="842" operator="equal">
      <formula>"NA"</formula>
    </cfRule>
    <cfRule type="cellIs" dxfId="1116" priority="843" operator="equal">
      <formula>"Yes"</formula>
    </cfRule>
  </conditionalFormatting>
  <conditionalFormatting sqref="N33">
    <cfRule type="cellIs" dxfId="1115" priority="838" operator="equal">
      <formula>"No"</formula>
    </cfRule>
    <cfRule type="cellIs" dxfId="1114" priority="839" operator="equal">
      <formula>"NA"</formula>
    </cfRule>
    <cfRule type="cellIs" dxfId="1113" priority="840" operator="equal">
      <formula>"Yes"</formula>
    </cfRule>
  </conditionalFormatting>
  <conditionalFormatting sqref="N9">
    <cfRule type="cellIs" dxfId="1112" priority="835" operator="equal">
      <formula>"No"</formula>
    </cfRule>
    <cfRule type="cellIs" dxfId="1111" priority="836" operator="equal">
      <formula>"NA"</formula>
    </cfRule>
    <cfRule type="cellIs" dxfId="1110" priority="837" operator="equal">
      <formula>"Yes"</formula>
    </cfRule>
  </conditionalFormatting>
  <conditionalFormatting sqref="O10">
    <cfRule type="cellIs" dxfId="1109" priority="826" operator="equal">
      <formula>"No"</formula>
    </cfRule>
    <cfRule type="cellIs" dxfId="1108" priority="827" operator="equal">
      <formula>"NA"</formula>
    </cfRule>
    <cfRule type="cellIs" dxfId="1107" priority="828" operator="equal">
      <formula>"Yes"</formula>
    </cfRule>
  </conditionalFormatting>
  <conditionalFormatting sqref="O12">
    <cfRule type="cellIs" dxfId="1106" priority="820" operator="equal">
      <formula>"No"</formula>
    </cfRule>
    <cfRule type="cellIs" dxfId="1105" priority="821" operator="equal">
      <formula>"NA"</formula>
    </cfRule>
    <cfRule type="cellIs" dxfId="1104" priority="822" operator="equal">
      <formula>"Yes"</formula>
    </cfRule>
  </conditionalFormatting>
  <conditionalFormatting sqref="O13">
    <cfRule type="cellIs" dxfId="1103" priority="817" operator="equal">
      <formula>"No"</formula>
    </cfRule>
    <cfRule type="cellIs" dxfId="1102" priority="818" operator="equal">
      <formula>"NA"</formula>
    </cfRule>
    <cfRule type="cellIs" dxfId="1101" priority="819" operator="equal">
      <formula>"Yes"</formula>
    </cfRule>
  </conditionalFormatting>
  <conditionalFormatting sqref="O15">
    <cfRule type="cellIs" dxfId="1100" priority="814" operator="equal">
      <formula>"No"</formula>
    </cfRule>
    <cfRule type="cellIs" dxfId="1099" priority="815" operator="equal">
      <formula>"NA"</formula>
    </cfRule>
    <cfRule type="cellIs" dxfId="1098" priority="816" operator="equal">
      <formula>"Yes"</formula>
    </cfRule>
  </conditionalFormatting>
  <conditionalFormatting sqref="O16">
    <cfRule type="cellIs" dxfId="1097" priority="808" operator="equal">
      <formula>"No"</formula>
    </cfRule>
    <cfRule type="cellIs" dxfId="1096" priority="809" operator="equal">
      <formula>"NA"</formula>
    </cfRule>
    <cfRule type="cellIs" dxfId="1095" priority="810" operator="equal">
      <formula>"Yes"</formula>
    </cfRule>
  </conditionalFormatting>
  <conditionalFormatting sqref="O17">
    <cfRule type="cellIs" dxfId="1094" priority="805" operator="equal">
      <formula>"No"</formula>
    </cfRule>
    <cfRule type="cellIs" dxfId="1093" priority="806" operator="equal">
      <formula>"NA"</formula>
    </cfRule>
    <cfRule type="cellIs" dxfId="1092" priority="807" operator="equal">
      <formula>"Yes"</formula>
    </cfRule>
  </conditionalFormatting>
  <conditionalFormatting sqref="O18">
    <cfRule type="cellIs" dxfId="1091" priority="802" operator="equal">
      <formula>"No"</formula>
    </cfRule>
    <cfRule type="cellIs" dxfId="1090" priority="803" operator="equal">
      <formula>"NA"</formula>
    </cfRule>
    <cfRule type="cellIs" dxfId="1089" priority="804" operator="equal">
      <formula>"Yes"</formula>
    </cfRule>
  </conditionalFormatting>
  <conditionalFormatting sqref="O19:O23">
    <cfRule type="cellIs" dxfId="1088" priority="799" operator="equal">
      <formula>"No"</formula>
    </cfRule>
    <cfRule type="cellIs" dxfId="1087" priority="800" operator="equal">
      <formula>"NA"</formula>
    </cfRule>
    <cfRule type="cellIs" dxfId="1086" priority="801" operator="equal">
      <formula>"Yes"</formula>
    </cfRule>
  </conditionalFormatting>
  <conditionalFormatting sqref="O25:O28">
    <cfRule type="cellIs" dxfId="1085" priority="796" operator="equal">
      <formula>"No"</formula>
    </cfRule>
    <cfRule type="cellIs" dxfId="1084" priority="797" operator="equal">
      <formula>"NA"</formula>
    </cfRule>
    <cfRule type="cellIs" dxfId="1083" priority="798" operator="equal">
      <formula>"Yes"</formula>
    </cfRule>
  </conditionalFormatting>
  <conditionalFormatting sqref="O30:O31">
    <cfRule type="cellIs" dxfId="1082" priority="793" operator="equal">
      <formula>"No"</formula>
    </cfRule>
    <cfRule type="cellIs" dxfId="1081" priority="794" operator="equal">
      <formula>"NA"</formula>
    </cfRule>
    <cfRule type="cellIs" dxfId="1080" priority="795" operator="equal">
      <formula>"Yes"</formula>
    </cfRule>
  </conditionalFormatting>
  <conditionalFormatting sqref="O33">
    <cfRule type="cellIs" dxfId="1079" priority="790" operator="equal">
      <formula>"No"</formula>
    </cfRule>
    <cfRule type="cellIs" dxfId="1078" priority="791" operator="equal">
      <formula>"NA"</formula>
    </cfRule>
    <cfRule type="cellIs" dxfId="1077" priority="792" operator="equal">
      <formula>"Yes"</formula>
    </cfRule>
  </conditionalFormatting>
  <conditionalFormatting sqref="O6:O7">
    <cfRule type="cellIs" dxfId="1076" priority="784" operator="equal">
      <formula>"No"</formula>
    </cfRule>
    <cfRule type="cellIs" dxfId="1075" priority="785" operator="equal">
      <formula>"NA"</formula>
    </cfRule>
    <cfRule type="cellIs" dxfId="1074" priority="786" operator="equal">
      <formula>"Yes"</formula>
    </cfRule>
  </conditionalFormatting>
  <conditionalFormatting sqref="O11">
    <cfRule type="cellIs" dxfId="1073" priority="781" operator="equal">
      <formula>"No"</formula>
    </cfRule>
    <cfRule type="cellIs" dxfId="1072" priority="782" operator="equal">
      <formula>"NA"</formula>
    </cfRule>
    <cfRule type="cellIs" dxfId="1071" priority="783" operator="equal">
      <formula>"Yes"</formula>
    </cfRule>
  </conditionalFormatting>
  <conditionalFormatting sqref="O9">
    <cfRule type="cellIs" dxfId="1070" priority="778" operator="equal">
      <formula>"No"</formula>
    </cfRule>
    <cfRule type="cellIs" dxfId="1069" priority="779" operator="equal">
      <formula>"NA"</formula>
    </cfRule>
    <cfRule type="cellIs" dxfId="1068" priority="780" operator="equal">
      <formula>"Yes"</formula>
    </cfRule>
  </conditionalFormatting>
  <conditionalFormatting sqref="O14">
    <cfRule type="cellIs" dxfId="1067" priority="775" operator="equal">
      <formula>"No"</formula>
    </cfRule>
    <cfRule type="cellIs" dxfId="1066" priority="776" operator="equal">
      <formula>"NA"</formula>
    </cfRule>
    <cfRule type="cellIs" dxfId="1065" priority="777" operator="equal">
      <formula>"Yes"</formula>
    </cfRule>
  </conditionalFormatting>
  <conditionalFormatting sqref="P6">
    <cfRule type="cellIs" dxfId="1064" priority="769" operator="equal">
      <formula>"No"</formula>
    </cfRule>
    <cfRule type="cellIs" dxfId="1063" priority="770" operator="equal">
      <formula>"NA"</formula>
    </cfRule>
    <cfRule type="cellIs" dxfId="1062" priority="771" operator="equal">
      <formula>"Yes"</formula>
    </cfRule>
  </conditionalFormatting>
  <conditionalFormatting sqref="P10">
    <cfRule type="cellIs" dxfId="1061" priority="766" operator="equal">
      <formula>"No"</formula>
    </cfRule>
    <cfRule type="cellIs" dxfId="1060" priority="767" operator="equal">
      <formula>"NA"</formula>
    </cfRule>
    <cfRule type="cellIs" dxfId="1059" priority="768" operator="equal">
      <formula>"Yes"</formula>
    </cfRule>
  </conditionalFormatting>
  <conditionalFormatting sqref="P12">
    <cfRule type="cellIs" dxfId="1058" priority="760" operator="equal">
      <formula>"No"</formula>
    </cfRule>
    <cfRule type="cellIs" dxfId="1057" priority="761" operator="equal">
      <formula>"NA"</formula>
    </cfRule>
    <cfRule type="cellIs" dxfId="1056" priority="762" operator="equal">
      <formula>"Yes"</formula>
    </cfRule>
  </conditionalFormatting>
  <conditionalFormatting sqref="P13">
    <cfRule type="cellIs" dxfId="1055" priority="757" operator="equal">
      <formula>"No"</formula>
    </cfRule>
    <cfRule type="cellIs" dxfId="1054" priority="758" operator="equal">
      <formula>"NA"</formula>
    </cfRule>
    <cfRule type="cellIs" dxfId="1053" priority="759" operator="equal">
      <formula>"Yes"</formula>
    </cfRule>
  </conditionalFormatting>
  <conditionalFormatting sqref="P15">
    <cfRule type="cellIs" dxfId="1052" priority="754" operator="equal">
      <formula>"No"</formula>
    </cfRule>
    <cfRule type="cellIs" dxfId="1051" priority="755" operator="equal">
      <formula>"NA"</formula>
    </cfRule>
    <cfRule type="cellIs" dxfId="1050" priority="756" operator="equal">
      <formula>"Yes"</formula>
    </cfRule>
  </conditionalFormatting>
  <conditionalFormatting sqref="P14">
    <cfRule type="cellIs" dxfId="1049" priority="751" operator="equal">
      <formula>"No"</formula>
    </cfRule>
    <cfRule type="cellIs" dxfId="1048" priority="752" operator="equal">
      <formula>"NA"</formula>
    </cfRule>
    <cfRule type="cellIs" dxfId="1047" priority="753" operator="equal">
      <formula>"Yes"</formula>
    </cfRule>
  </conditionalFormatting>
  <conditionalFormatting sqref="P16">
    <cfRule type="cellIs" dxfId="1046" priority="748" operator="equal">
      <formula>"No"</formula>
    </cfRule>
    <cfRule type="cellIs" dxfId="1045" priority="749" operator="equal">
      <formula>"NA"</formula>
    </cfRule>
    <cfRule type="cellIs" dxfId="1044" priority="750" operator="equal">
      <formula>"Yes"</formula>
    </cfRule>
  </conditionalFormatting>
  <conditionalFormatting sqref="P17">
    <cfRule type="cellIs" dxfId="1043" priority="745" operator="equal">
      <formula>"No"</formula>
    </cfRule>
    <cfRule type="cellIs" dxfId="1042" priority="746" operator="equal">
      <formula>"NA"</formula>
    </cfRule>
    <cfRule type="cellIs" dxfId="1041" priority="747" operator="equal">
      <formula>"Yes"</formula>
    </cfRule>
  </conditionalFormatting>
  <conditionalFormatting sqref="P18">
    <cfRule type="cellIs" dxfId="1040" priority="742" operator="equal">
      <formula>"No"</formula>
    </cfRule>
    <cfRule type="cellIs" dxfId="1039" priority="743" operator="equal">
      <formula>"NA"</formula>
    </cfRule>
    <cfRule type="cellIs" dxfId="1038" priority="744" operator="equal">
      <formula>"Yes"</formula>
    </cfRule>
  </conditionalFormatting>
  <conditionalFormatting sqref="P19:P23">
    <cfRule type="cellIs" dxfId="1037" priority="739" operator="equal">
      <formula>"No"</formula>
    </cfRule>
    <cfRule type="cellIs" dxfId="1036" priority="740" operator="equal">
      <formula>"NA"</formula>
    </cfRule>
    <cfRule type="cellIs" dxfId="1035" priority="741" operator="equal">
      <formula>"Yes"</formula>
    </cfRule>
  </conditionalFormatting>
  <conditionalFormatting sqref="P25:P28">
    <cfRule type="cellIs" dxfId="1034" priority="736" operator="equal">
      <formula>"No"</formula>
    </cfRule>
    <cfRule type="cellIs" dxfId="1033" priority="737" operator="equal">
      <formula>"NA"</formula>
    </cfRule>
    <cfRule type="cellIs" dxfId="1032" priority="738" operator="equal">
      <formula>"Yes"</formula>
    </cfRule>
  </conditionalFormatting>
  <conditionalFormatting sqref="P30:P31">
    <cfRule type="cellIs" dxfId="1031" priority="733" operator="equal">
      <formula>"No"</formula>
    </cfRule>
    <cfRule type="cellIs" dxfId="1030" priority="734" operator="equal">
      <formula>"NA"</formula>
    </cfRule>
    <cfRule type="cellIs" dxfId="1029" priority="735" operator="equal">
      <formula>"Yes"</formula>
    </cfRule>
  </conditionalFormatting>
  <conditionalFormatting sqref="P33">
    <cfRule type="cellIs" dxfId="1028" priority="730" operator="equal">
      <formula>"No"</formula>
    </cfRule>
    <cfRule type="cellIs" dxfId="1027" priority="731" operator="equal">
      <formula>"NA"</formula>
    </cfRule>
    <cfRule type="cellIs" dxfId="1026" priority="732" operator="equal">
      <formula>"Yes"</formula>
    </cfRule>
  </conditionalFormatting>
  <conditionalFormatting sqref="P9">
    <cfRule type="cellIs" dxfId="1025" priority="727" operator="equal">
      <formula>"No"</formula>
    </cfRule>
    <cfRule type="cellIs" dxfId="1024" priority="728" operator="equal">
      <formula>"NA"</formula>
    </cfRule>
    <cfRule type="cellIs" dxfId="1023" priority="729" operator="equal">
      <formula>"Yes"</formula>
    </cfRule>
  </conditionalFormatting>
  <conditionalFormatting sqref="P7">
    <cfRule type="cellIs" dxfId="1022" priority="724" operator="equal">
      <formula>"No"</formula>
    </cfRule>
    <cfRule type="cellIs" dxfId="1021" priority="725" operator="equal">
      <formula>"NA"</formula>
    </cfRule>
    <cfRule type="cellIs" dxfId="1020" priority="726" operator="equal">
      <formula>"Yes"</formula>
    </cfRule>
  </conditionalFormatting>
  <conditionalFormatting sqref="P11">
    <cfRule type="cellIs" dxfId="1019" priority="721" operator="equal">
      <formula>"No"</formula>
    </cfRule>
    <cfRule type="cellIs" dxfId="1018" priority="722" operator="equal">
      <formula>"NA"</formula>
    </cfRule>
    <cfRule type="cellIs" dxfId="1017" priority="723" operator="equal">
      <formula>"Yes"</formula>
    </cfRule>
  </conditionalFormatting>
  <conditionalFormatting sqref="Q6:T6">
    <cfRule type="cellIs" dxfId="1016" priority="718" operator="equal">
      <formula>"No"</formula>
    </cfRule>
    <cfRule type="cellIs" dxfId="1015" priority="719" operator="equal">
      <formula>"NA"</formula>
    </cfRule>
    <cfRule type="cellIs" dxfId="1014" priority="720" operator="equal">
      <formula>"Yes"</formula>
    </cfRule>
  </conditionalFormatting>
  <conditionalFormatting sqref="Q10:T10">
    <cfRule type="cellIs" dxfId="1013" priority="715" operator="equal">
      <formula>"No"</formula>
    </cfRule>
    <cfRule type="cellIs" dxfId="1012" priority="716" operator="equal">
      <formula>"NA"</formula>
    </cfRule>
    <cfRule type="cellIs" dxfId="1011" priority="717" operator="equal">
      <formula>"Yes"</formula>
    </cfRule>
  </conditionalFormatting>
  <conditionalFormatting sqref="Q12:T12">
    <cfRule type="cellIs" dxfId="1010" priority="712" operator="equal">
      <formula>"No"</formula>
    </cfRule>
    <cfRule type="cellIs" dxfId="1009" priority="713" operator="equal">
      <formula>"NA"</formula>
    </cfRule>
    <cfRule type="cellIs" dxfId="1008" priority="714" operator="equal">
      <formula>"Yes"</formula>
    </cfRule>
  </conditionalFormatting>
  <conditionalFormatting sqref="Q13:T13">
    <cfRule type="cellIs" dxfId="1007" priority="709" operator="equal">
      <formula>"No"</formula>
    </cfRule>
    <cfRule type="cellIs" dxfId="1006" priority="710" operator="equal">
      <formula>"NA"</formula>
    </cfRule>
    <cfRule type="cellIs" dxfId="1005" priority="711" operator="equal">
      <formula>"Yes"</formula>
    </cfRule>
  </conditionalFormatting>
  <conditionalFormatting sqref="Q15:T15">
    <cfRule type="cellIs" dxfId="1004" priority="706" operator="equal">
      <formula>"No"</formula>
    </cfRule>
    <cfRule type="cellIs" dxfId="1003" priority="707" operator="equal">
      <formula>"NA"</formula>
    </cfRule>
    <cfRule type="cellIs" dxfId="1002" priority="708" operator="equal">
      <formula>"Yes"</formula>
    </cfRule>
  </conditionalFormatting>
  <conditionalFormatting sqref="Q14:T14">
    <cfRule type="cellIs" dxfId="1001" priority="703" operator="equal">
      <formula>"No"</formula>
    </cfRule>
    <cfRule type="cellIs" dxfId="1000" priority="704" operator="equal">
      <formula>"NA"</formula>
    </cfRule>
    <cfRule type="cellIs" dxfId="999" priority="705" operator="equal">
      <formula>"Yes"</formula>
    </cfRule>
  </conditionalFormatting>
  <conditionalFormatting sqref="Q16:T16">
    <cfRule type="cellIs" dxfId="998" priority="700" operator="equal">
      <formula>"No"</formula>
    </cfRule>
    <cfRule type="cellIs" dxfId="997" priority="701" operator="equal">
      <formula>"NA"</formula>
    </cfRule>
    <cfRule type="cellIs" dxfId="996" priority="702" operator="equal">
      <formula>"Yes"</formula>
    </cfRule>
  </conditionalFormatting>
  <conditionalFormatting sqref="Q17:T17">
    <cfRule type="cellIs" dxfId="995" priority="697" operator="equal">
      <formula>"No"</formula>
    </cfRule>
    <cfRule type="cellIs" dxfId="994" priority="698" operator="equal">
      <formula>"NA"</formula>
    </cfRule>
    <cfRule type="cellIs" dxfId="993" priority="699" operator="equal">
      <formula>"Yes"</formula>
    </cfRule>
  </conditionalFormatting>
  <conditionalFormatting sqref="Q18:T18">
    <cfRule type="cellIs" dxfId="992" priority="694" operator="equal">
      <formula>"No"</formula>
    </cfRule>
    <cfRule type="cellIs" dxfId="991" priority="695" operator="equal">
      <formula>"NA"</formula>
    </cfRule>
    <cfRule type="cellIs" dxfId="990" priority="696" operator="equal">
      <formula>"Yes"</formula>
    </cfRule>
  </conditionalFormatting>
  <conditionalFormatting sqref="Q19:T23">
    <cfRule type="cellIs" dxfId="989" priority="691" operator="equal">
      <formula>"No"</formula>
    </cfRule>
    <cfRule type="cellIs" dxfId="988" priority="692" operator="equal">
      <formula>"NA"</formula>
    </cfRule>
    <cfRule type="cellIs" dxfId="987" priority="693" operator="equal">
      <formula>"Yes"</formula>
    </cfRule>
  </conditionalFormatting>
  <conditionalFormatting sqref="Q25:T28">
    <cfRule type="cellIs" dxfId="986" priority="688" operator="equal">
      <formula>"No"</formula>
    </cfRule>
    <cfRule type="cellIs" dxfId="985" priority="689" operator="equal">
      <formula>"NA"</formula>
    </cfRule>
    <cfRule type="cellIs" dxfId="984" priority="690" operator="equal">
      <formula>"Yes"</formula>
    </cfRule>
  </conditionalFormatting>
  <conditionalFormatting sqref="Q30:T31">
    <cfRule type="cellIs" dxfId="983" priority="685" operator="equal">
      <formula>"No"</formula>
    </cfRule>
    <cfRule type="cellIs" dxfId="982" priority="686" operator="equal">
      <formula>"NA"</formula>
    </cfRule>
    <cfRule type="cellIs" dxfId="981" priority="687" operator="equal">
      <formula>"Yes"</formula>
    </cfRule>
  </conditionalFormatting>
  <conditionalFormatting sqref="Q33:T33">
    <cfRule type="cellIs" dxfId="980" priority="682" operator="equal">
      <formula>"No"</formula>
    </cfRule>
    <cfRule type="cellIs" dxfId="979" priority="683" operator="equal">
      <formula>"NA"</formula>
    </cfRule>
    <cfRule type="cellIs" dxfId="978" priority="684" operator="equal">
      <formula>"Yes"</formula>
    </cfRule>
  </conditionalFormatting>
  <conditionalFormatting sqref="Q9:T9">
    <cfRule type="cellIs" dxfId="977" priority="679" operator="equal">
      <formula>"No"</formula>
    </cfRule>
    <cfRule type="cellIs" dxfId="976" priority="680" operator="equal">
      <formula>"NA"</formula>
    </cfRule>
    <cfRule type="cellIs" dxfId="975" priority="681" operator="equal">
      <formula>"Yes"</formula>
    </cfRule>
  </conditionalFormatting>
  <conditionalFormatting sqref="Q7:T7">
    <cfRule type="cellIs" dxfId="974" priority="676" operator="equal">
      <formula>"No"</formula>
    </cfRule>
    <cfRule type="cellIs" dxfId="973" priority="677" operator="equal">
      <formula>"NA"</formula>
    </cfRule>
    <cfRule type="cellIs" dxfId="972" priority="678" operator="equal">
      <formula>"Yes"</formula>
    </cfRule>
  </conditionalFormatting>
  <conditionalFormatting sqref="Q11:T11">
    <cfRule type="cellIs" dxfId="971" priority="673" operator="equal">
      <formula>"No"</formula>
    </cfRule>
    <cfRule type="cellIs" dxfId="970" priority="674" operator="equal">
      <formula>"NA"</formula>
    </cfRule>
    <cfRule type="cellIs" dxfId="969" priority="675" operator="equal">
      <formula>"Yes"</formula>
    </cfRule>
  </conditionalFormatting>
  <conditionalFormatting sqref="U6">
    <cfRule type="cellIs" dxfId="968" priority="670" operator="equal">
      <formula>"No"</formula>
    </cfRule>
    <cfRule type="cellIs" dxfId="967" priority="671" operator="equal">
      <formula>"NA"</formula>
    </cfRule>
    <cfRule type="cellIs" dxfId="966" priority="672" operator="equal">
      <formula>"Yes"</formula>
    </cfRule>
  </conditionalFormatting>
  <conditionalFormatting sqref="U10">
    <cfRule type="cellIs" dxfId="965" priority="667" operator="equal">
      <formula>"No"</formula>
    </cfRule>
    <cfRule type="cellIs" dxfId="964" priority="668" operator="equal">
      <formula>"NA"</formula>
    </cfRule>
    <cfRule type="cellIs" dxfId="963" priority="669" operator="equal">
      <formula>"Yes"</formula>
    </cfRule>
  </conditionalFormatting>
  <conditionalFormatting sqref="U12">
    <cfRule type="cellIs" dxfId="962" priority="664" operator="equal">
      <formula>"No"</formula>
    </cfRule>
    <cfRule type="cellIs" dxfId="961" priority="665" operator="equal">
      <formula>"NA"</formula>
    </cfRule>
    <cfRule type="cellIs" dxfId="960" priority="666" operator="equal">
      <formula>"Yes"</formula>
    </cfRule>
  </conditionalFormatting>
  <conditionalFormatting sqref="U13">
    <cfRule type="cellIs" dxfId="959" priority="661" operator="equal">
      <formula>"No"</formula>
    </cfRule>
    <cfRule type="cellIs" dxfId="958" priority="662" operator="equal">
      <formula>"NA"</formula>
    </cfRule>
    <cfRule type="cellIs" dxfId="957" priority="663" operator="equal">
      <formula>"Yes"</formula>
    </cfRule>
  </conditionalFormatting>
  <conditionalFormatting sqref="U15">
    <cfRule type="cellIs" dxfId="956" priority="658" operator="equal">
      <formula>"No"</formula>
    </cfRule>
    <cfRule type="cellIs" dxfId="955" priority="659" operator="equal">
      <formula>"NA"</formula>
    </cfRule>
    <cfRule type="cellIs" dxfId="954" priority="660" operator="equal">
      <formula>"Yes"</formula>
    </cfRule>
  </conditionalFormatting>
  <conditionalFormatting sqref="U14">
    <cfRule type="cellIs" dxfId="953" priority="655" operator="equal">
      <formula>"No"</formula>
    </cfRule>
    <cfRule type="cellIs" dxfId="952" priority="656" operator="equal">
      <formula>"NA"</formula>
    </cfRule>
    <cfRule type="cellIs" dxfId="951" priority="657" operator="equal">
      <formula>"Yes"</formula>
    </cfRule>
  </conditionalFormatting>
  <conditionalFormatting sqref="U16">
    <cfRule type="cellIs" dxfId="950" priority="652" operator="equal">
      <formula>"No"</formula>
    </cfRule>
    <cfRule type="cellIs" dxfId="949" priority="653" operator="equal">
      <formula>"NA"</formula>
    </cfRule>
    <cfRule type="cellIs" dxfId="948" priority="654" operator="equal">
      <formula>"Yes"</formula>
    </cfRule>
  </conditionalFormatting>
  <conditionalFormatting sqref="U17">
    <cfRule type="cellIs" dxfId="947" priority="649" operator="equal">
      <formula>"No"</formula>
    </cfRule>
    <cfRule type="cellIs" dxfId="946" priority="650" operator="equal">
      <formula>"NA"</formula>
    </cfRule>
    <cfRule type="cellIs" dxfId="945" priority="651" operator="equal">
      <formula>"Yes"</formula>
    </cfRule>
  </conditionalFormatting>
  <conditionalFormatting sqref="U18">
    <cfRule type="cellIs" dxfId="944" priority="646" operator="equal">
      <formula>"No"</formula>
    </cfRule>
    <cfRule type="cellIs" dxfId="943" priority="647" operator="equal">
      <formula>"NA"</formula>
    </cfRule>
    <cfRule type="cellIs" dxfId="942" priority="648" operator="equal">
      <formula>"Yes"</formula>
    </cfRule>
  </conditionalFormatting>
  <conditionalFormatting sqref="U19:U23">
    <cfRule type="cellIs" dxfId="941" priority="643" operator="equal">
      <formula>"No"</formula>
    </cfRule>
    <cfRule type="cellIs" dxfId="940" priority="644" operator="equal">
      <formula>"NA"</formula>
    </cfRule>
    <cfRule type="cellIs" dxfId="939" priority="645" operator="equal">
      <formula>"Yes"</formula>
    </cfRule>
  </conditionalFormatting>
  <conditionalFormatting sqref="U25:U28">
    <cfRule type="cellIs" dxfId="938" priority="640" operator="equal">
      <formula>"No"</formula>
    </cfRule>
    <cfRule type="cellIs" dxfId="937" priority="641" operator="equal">
      <formula>"NA"</formula>
    </cfRule>
    <cfRule type="cellIs" dxfId="936" priority="642" operator="equal">
      <formula>"Yes"</formula>
    </cfRule>
  </conditionalFormatting>
  <conditionalFormatting sqref="U30:U31">
    <cfRule type="cellIs" dxfId="935" priority="637" operator="equal">
      <formula>"No"</formula>
    </cfRule>
    <cfRule type="cellIs" dxfId="934" priority="638" operator="equal">
      <formula>"NA"</formula>
    </cfRule>
    <cfRule type="cellIs" dxfId="933" priority="639" operator="equal">
      <formula>"Yes"</formula>
    </cfRule>
  </conditionalFormatting>
  <conditionalFormatting sqref="U33">
    <cfRule type="cellIs" dxfId="932" priority="634" operator="equal">
      <formula>"No"</formula>
    </cfRule>
    <cfRule type="cellIs" dxfId="931" priority="635" operator="equal">
      <formula>"NA"</formula>
    </cfRule>
    <cfRule type="cellIs" dxfId="930" priority="636" operator="equal">
      <formula>"Yes"</formula>
    </cfRule>
  </conditionalFormatting>
  <conditionalFormatting sqref="U9">
    <cfRule type="cellIs" dxfId="929" priority="631" operator="equal">
      <formula>"No"</formula>
    </cfRule>
    <cfRule type="cellIs" dxfId="928" priority="632" operator="equal">
      <formula>"NA"</formula>
    </cfRule>
    <cfRule type="cellIs" dxfId="927" priority="633" operator="equal">
      <formula>"Yes"</formula>
    </cfRule>
  </conditionalFormatting>
  <conditionalFormatting sqref="U7">
    <cfRule type="cellIs" dxfId="926" priority="628" operator="equal">
      <formula>"No"</formula>
    </cfRule>
    <cfRule type="cellIs" dxfId="925" priority="629" operator="equal">
      <formula>"NA"</formula>
    </cfRule>
    <cfRule type="cellIs" dxfId="924" priority="630" operator="equal">
      <formula>"Yes"</formula>
    </cfRule>
  </conditionalFormatting>
  <conditionalFormatting sqref="U11">
    <cfRule type="cellIs" dxfId="923" priority="625" operator="equal">
      <formula>"No"</formula>
    </cfRule>
    <cfRule type="cellIs" dxfId="922" priority="626" operator="equal">
      <formula>"NA"</formula>
    </cfRule>
    <cfRule type="cellIs" dxfId="921" priority="627" operator="equal">
      <formula>"Yes"</formula>
    </cfRule>
  </conditionalFormatting>
  <conditionalFormatting sqref="V6">
    <cfRule type="cellIs" dxfId="920" priority="622" operator="equal">
      <formula>"No"</formula>
    </cfRule>
    <cfRule type="cellIs" dxfId="919" priority="623" operator="equal">
      <formula>"NA"</formula>
    </cfRule>
    <cfRule type="cellIs" dxfId="918" priority="624" operator="equal">
      <formula>"Yes"</formula>
    </cfRule>
  </conditionalFormatting>
  <conditionalFormatting sqref="V10">
    <cfRule type="cellIs" dxfId="917" priority="619" operator="equal">
      <formula>"No"</formula>
    </cfRule>
    <cfRule type="cellIs" dxfId="916" priority="620" operator="equal">
      <formula>"NA"</formula>
    </cfRule>
    <cfRule type="cellIs" dxfId="915" priority="621" operator="equal">
      <formula>"Yes"</formula>
    </cfRule>
  </conditionalFormatting>
  <conditionalFormatting sqref="V12">
    <cfRule type="cellIs" dxfId="914" priority="616" operator="equal">
      <formula>"No"</formula>
    </cfRule>
    <cfRule type="cellIs" dxfId="913" priority="617" operator="equal">
      <formula>"NA"</formula>
    </cfRule>
    <cfRule type="cellIs" dxfId="912" priority="618" operator="equal">
      <formula>"Yes"</formula>
    </cfRule>
  </conditionalFormatting>
  <conditionalFormatting sqref="V13">
    <cfRule type="cellIs" dxfId="911" priority="613" operator="equal">
      <formula>"No"</formula>
    </cfRule>
    <cfRule type="cellIs" dxfId="910" priority="614" operator="equal">
      <formula>"NA"</formula>
    </cfRule>
    <cfRule type="cellIs" dxfId="909" priority="615" operator="equal">
      <formula>"Yes"</formula>
    </cfRule>
  </conditionalFormatting>
  <conditionalFormatting sqref="V15">
    <cfRule type="cellIs" dxfId="908" priority="610" operator="equal">
      <formula>"No"</formula>
    </cfRule>
    <cfRule type="cellIs" dxfId="907" priority="611" operator="equal">
      <formula>"NA"</formula>
    </cfRule>
    <cfRule type="cellIs" dxfId="906" priority="612" operator="equal">
      <formula>"Yes"</formula>
    </cfRule>
  </conditionalFormatting>
  <conditionalFormatting sqref="V14">
    <cfRule type="cellIs" dxfId="905" priority="607" operator="equal">
      <formula>"No"</formula>
    </cfRule>
    <cfRule type="cellIs" dxfId="904" priority="608" operator="equal">
      <formula>"NA"</formula>
    </cfRule>
    <cfRule type="cellIs" dxfId="903" priority="609" operator="equal">
      <formula>"Yes"</formula>
    </cfRule>
  </conditionalFormatting>
  <conditionalFormatting sqref="V16">
    <cfRule type="cellIs" dxfId="902" priority="604" operator="equal">
      <formula>"No"</formula>
    </cfRule>
    <cfRule type="cellIs" dxfId="901" priority="605" operator="equal">
      <formula>"NA"</formula>
    </cfRule>
    <cfRule type="cellIs" dxfId="900" priority="606" operator="equal">
      <formula>"Yes"</formula>
    </cfRule>
  </conditionalFormatting>
  <conditionalFormatting sqref="V17">
    <cfRule type="cellIs" dxfId="899" priority="601" operator="equal">
      <formula>"No"</formula>
    </cfRule>
    <cfRule type="cellIs" dxfId="898" priority="602" operator="equal">
      <formula>"NA"</formula>
    </cfRule>
    <cfRule type="cellIs" dxfId="897" priority="603" operator="equal">
      <formula>"Yes"</formula>
    </cfRule>
  </conditionalFormatting>
  <conditionalFormatting sqref="V18">
    <cfRule type="cellIs" dxfId="896" priority="598" operator="equal">
      <formula>"No"</formula>
    </cfRule>
    <cfRule type="cellIs" dxfId="895" priority="599" operator="equal">
      <formula>"NA"</formula>
    </cfRule>
    <cfRule type="cellIs" dxfId="894" priority="600" operator="equal">
      <formula>"Yes"</formula>
    </cfRule>
  </conditionalFormatting>
  <conditionalFormatting sqref="V19:V23">
    <cfRule type="cellIs" dxfId="893" priority="595" operator="equal">
      <formula>"No"</formula>
    </cfRule>
    <cfRule type="cellIs" dxfId="892" priority="596" operator="equal">
      <formula>"NA"</formula>
    </cfRule>
    <cfRule type="cellIs" dxfId="891" priority="597" operator="equal">
      <formula>"Yes"</formula>
    </cfRule>
  </conditionalFormatting>
  <conditionalFormatting sqref="V25:V28">
    <cfRule type="cellIs" dxfId="890" priority="592" operator="equal">
      <formula>"No"</formula>
    </cfRule>
    <cfRule type="cellIs" dxfId="889" priority="593" operator="equal">
      <formula>"NA"</formula>
    </cfRule>
    <cfRule type="cellIs" dxfId="888" priority="594" operator="equal">
      <formula>"Yes"</formula>
    </cfRule>
  </conditionalFormatting>
  <conditionalFormatting sqref="V30:V31">
    <cfRule type="cellIs" dxfId="887" priority="589" operator="equal">
      <formula>"No"</formula>
    </cfRule>
    <cfRule type="cellIs" dxfId="886" priority="590" operator="equal">
      <formula>"NA"</formula>
    </cfRule>
    <cfRule type="cellIs" dxfId="885" priority="591" operator="equal">
      <formula>"Yes"</formula>
    </cfRule>
  </conditionalFormatting>
  <conditionalFormatting sqref="V33">
    <cfRule type="cellIs" dxfId="884" priority="586" operator="equal">
      <formula>"No"</formula>
    </cfRule>
    <cfRule type="cellIs" dxfId="883" priority="587" operator="equal">
      <formula>"NA"</formula>
    </cfRule>
    <cfRule type="cellIs" dxfId="882" priority="588" operator="equal">
      <formula>"Yes"</formula>
    </cfRule>
  </conditionalFormatting>
  <conditionalFormatting sqref="V9">
    <cfRule type="cellIs" dxfId="881" priority="583" operator="equal">
      <formula>"No"</formula>
    </cfRule>
    <cfRule type="cellIs" dxfId="880" priority="584" operator="equal">
      <formula>"NA"</formula>
    </cfRule>
    <cfRule type="cellIs" dxfId="879" priority="585" operator="equal">
      <formula>"Yes"</formula>
    </cfRule>
  </conditionalFormatting>
  <conditionalFormatting sqref="V7">
    <cfRule type="cellIs" dxfId="878" priority="580" operator="equal">
      <formula>"No"</formula>
    </cfRule>
    <cfRule type="cellIs" dxfId="877" priority="581" operator="equal">
      <formula>"NA"</formula>
    </cfRule>
    <cfRule type="cellIs" dxfId="876" priority="582" operator="equal">
      <formula>"Yes"</formula>
    </cfRule>
  </conditionalFormatting>
  <conditionalFormatting sqref="V11">
    <cfRule type="cellIs" dxfId="875" priority="577" operator="equal">
      <formula>"No"</formula>
    </cfRule>
    <cfRule type="cellIs" dxfId="874" priority="578" operator="equal">
      <formula>"NA"</formula>
    </cfRule>
    <cfRule type="cellIs" dxfId="873" priority="579" operator="equal">
      <formula>"Yes"</formula>
    </cfRule>
  </conditionalFormatting>
  <conditionalFormatting sqref="W6">
    <cfRule type="cellIs" dxfId="872" priority="574" operator="equal">
      <formula>"No"</formula>
    </cfRule>
    <cfRule type="cellIs" dxfId="871" priority="575" operator="equal">
      <formula>"NA"</formula>
    </cfRule>
    <cfRule type="cellIs" dxfId="870" priority="576" operator="equal">
      <formula>"Yes"</formula>
    </cfRule>
  </conditionalFormatting>
  <conditionalFormatting sqref="W10">
    <cfRule type="cellIs" dxfId="869" priority="571" operator="equal">
      <formula>"No"</formula>
    </cfRule>
    <cfRule type="cellIs" dxfId="868" priority="572" operator="equal">
      <formula>"NA"</formula>
    </cfRule>
    <cfRule type="cellIs" dxfId="867" priority="573" operator="equal">
      <formula>"Yes"</formula>
    </cfRule>
  </conditionalFormatting>
  <conditionalFormatting sqref="W12">
    <cfRule type="cellIs" dxfId="866" priority="568" operator="equal">
      <formula>"No"</formula>
    </cfRule>
    <cfRule type="cellIs" dxfId="865" priority="569" operator="equal">
      <formula>"NA"</formula>
    </cfRule>
    <cfRule type="cellIs" dxfId="864" priority="570" operator="equal">
      <formula>"Yes"</formula>
    </cfRule>
  </conditionalFormatting>
  <conditionalFormatting sqref="W13">
    <cfRule type="cellIs" dxfId="863" priority="565" operator="equal">
      <formula>"No"</formula>
    </cfRule>
    <cfRule type="cellIs" dxfId="862" priority="566" operator="equal">
      <formula>"NA"</formula>
    </cfRule>
    <cfRule type="cellIs" dxfId="861" priority="567" operator="equal">
      <formula>"Yes"</formula>
    </cfRule>
  </conditionalFormatting>
  <conditionalFormatting sqref="W15">
    <cfRule type="cellIs" dxfId="860" priority="562" operator="equal">
      <formula>"No"</formula>
    </cfRule>
    <cfRule type="cellIs" dxfId="859" priority="563" operator="equal">
      <formula>"NA"</formula>
    </cfRule>
    <cfRule type="cellIs" dxfId="858" priority="564" operator="equal">
      <formula>"Yes"</formula>
    </cfRule>
  </conditionalFormatting>
  <conditionalFormatting sqref="W14">
    <cfRule type="cellIs" dxfId="857" priority="559" operator="equal">
      <formula>"No"</formula>
    </cfRule>
    <cfRule type="cellIs" dxfId="856" priority="560" operator="equal">
      <formula>"NA"</formula>
    </cfRule>
    <cfRule type="cellIs" dxfId="855" priority="561" operator="equal">
      <formula>"Yes"</formula>
    </cfRule>
  </conditionalFormatting>
  <conditionalFormatting sqref="W16">
    <cfRule type="cellIs" dxfId="854" priority="556" operator="equal">
      <formula>"No"</formula>
    </cfRule>
    <cfRule type="cellIs" dxfId="853" priority="557" operator="equal">
      <formula>"NA"</formula>
    </cfRule>
    <cfRule type="cellIs" dxfId="852" priority="558" operator="equal">
      <formula>"Yes"</formula>
    </cfRule>
  </conditionalFormatting>
  <conditionalFormatting sqref="W17">
    <cfRule type="cellIs" dxfId="851" priority="553" operator="equal">
      <formula>"No"</formula>
    </cfRule>
    <cfRule type="cellIs" dxfId="850" priority="554" operator="equal">
      <formula>"NA"</formula>
    </cfRule>
    <cfRule type="cellIs" dxfId="849" priority="555" operator="equal">
      <formula>"Yes"</formula>
    </cfRule>
  </conditionalFormatting>
  <conditionalFormatting sqref="W18">
    <cfRule type="cellIs" dxfId="848" priority="550" operator="equal">
      <formula>"No"</formula>
    </cfRule>
    <cfRule type="cellIs" dxfId="847" priority="551" operator="equal">
      <formula>"NA"</formula>
    </cfRule>
    <cfRule type="cellIs" dxfId="846" priority="552" operator="equal">
      <formula>"Yes"</formula>
    </cfRule>
  </conditionalFormatting>
  <conditionalFormatting sqref="W19:W23">
    <cfRule type="cellIs" dxfId="845" priority="547" operator="equal">
      <formula>"No"</formula>
    </cfRule>
    <cfRule type="cellIs" dxfId="844" priority="548" operator="equal">
      <formula>"NA"</formula>
    </cfRule>
    <cfRule type="cellIs" dxfId="843" priority="549" operator="equal">
      <formula>"Yes"</formula>
    </cfRule>
  </conditionalFormatting>
  <conditionalFormatting sqref="W25:W28">
    <cfRule type="cellIs" dxfId="842" priority="544" operator="equal">
      <formula>"No"</formula>
    </cfRule>
    <cfRule type="cellIs" dxfId="841" priority="545" operator="equal">
      <formula>"NA"</formula>
    </cfRule>
    <cfRule type="cellIs" dxfId="840" priority="546" operator="equal">
      <formula>"Yes"</formula>
    </cfRule>
  </conditionalFormatting>
  <conditionalFormatting sqref="W30:W31">
    <cfRule type="cellIs" dxfId="839" priority="541" operator="equal">
      <formula>"No"</formula>
    </cfRule>
    <cfRule type="cellIs" dxfId="838" priority="542" operator="equal">
      <formula>"NA"</formula>
    </cfRule>
    <cfRule type="cellIs" dxfId="837" priority="543" operator="equal">
      <formula>"Yes"</formula>
    </cfRule>
  </conditionalFormatting>
  <conditionalFormatting sqref="W33">
    <cfRule type="cellIs" dxfId="836" priority="538" operator="equal">
      <formula>"No"</formula>
    </cfRule>
    <cfRule type="cellIs" dxfId="835" priority="539" operator="equal">
      <formula>"NA"</formula>
    </cfRule>
    <cfRule type="cellIs" dxfId="834" priority="540" operator="equal">
      <formula>"Yes"</formula>
    </cfRule>
  </conditionalFormatting>
  <conditionalFormatting sqref="W9">
    <cfRule type="cellIs" dxfId="833" priority="535" operator="equal">
      <formula>"No"</formula>
    </cfRule>
    <cfRule type="cellIs" dxfId="832" priority="536" operator="equal">
      <formula>"NA"</formula>
    </cfRule>
    <cfRule type="cellIs" dxfId="831" priority="537" operator="equal">
      <formula>"Yes"</formula>
    </cfRule>
  </conditionalFormatting>
  <conditionalFormatting sqref="W7">
    <cfRule type="cellIs" dxfId="830" priority="532" operator="equal">
      <formula>"No"</formula>
    </cfRule>
    <cfRule type="cellIs" dxfId="829" priority="533" operator="equal">
      <formula>"NA"</formula>
    </cfRule>
    <cfRule type="cellIs" dxfId="828" priority="534" operator="equal">
      <formula>"Yes"</formula>
    </cfRule>
  </conditionalFormatting>
  <conditionalFormatting sqref="W11">
    <cfRule type="cellIs" dxfId="827" priority="529" operator="equal">
      <formula>"No"</formula>
    </cfRule>
    <cfRule type="cellIs" dxfId="826" priority="530" operator="equal">
      <formula>"NA"</formula>
    </cfRule>
    <cfRule type="cellIs" dxfId="825" priority="531" operator="equal">
      <formula>"Yes"</formula>
    </cfRule>
  </conditionalFormatting>
  <conditionalFormatting sqref="X6">
    <cfRule type="cellIs" dxfId="824" priority="526" operator="equal">
      <formula>"No"</formula>
    </cfRule>
    <cfRule type="cellIs" dxfId="823" priority="527" operator="equal">
      <formula>"NA"</formula>
    </cfRule>
    <cfRule type="cellIs" dxfId="822" priority="528" operator="equal">
      <formula>"Yes"</formula>
    </cfRule>
  </conditionalFormatting>
  <conditionalFormatting sqref="X10">
    <cfRule type="cellIs" dxfId="821" priority="523" operator="equal">
      <formula>"No"</formula>
    </cfRule>
    <cfRule type="cellIs" dxfId="820" priority="524" operator="equal">
      <formula>"NA"</formula>
    </cfRule>
    <cfRule type="cellIs" dxfId="819" priority="525" operator="equal">
      <formula>"Yes"</formula>
    </cfRule>
  </conditionalFormatting>
  <conditionalFormatting sqref="X12">
    <cfRule type="cellIs" dxfId="818" priority="520" operator="equal">
      <formula>"No"</formula>
    </cfRule>
    <cfRule type="cellIs" dxfId="817" priority="521" operator="equal">
      <formula>"NA"</formula>
    </cfRule>
    <cfRule type="cellIs" dxfId="816" priority="522" operator="equal">
      <formula>"Yes"</formula>
    </cfRule>
  </conditionalFormatting>
  <conditionalFormatting sqref="X13">
    <cfRule type="cellIs" dxfId="815" priority="517" operator="equal">
      <formula>"No"</formula>
    </cfRule>
    <cfRule type="cellIs" dxfId="814" priority="518" operator="equal">
      <formula>"NA"</formula>
    </cfRule>
    <cfRule type="cellIs" dxfId="813" priority="519" operator="equal">
      <formula>"Yes"</formula>
    </cfRule>
  </conditionalFormatting>
  <conditionalFormatting sqref="X15">
    <cfRule type="cellIs" dxfId="812" priority="514" operator="equal">
      <formula>"No"</formula>
    </cfRule>
    <cfRule type="cellIs" dxfId="811" priority="515" operator="equal">
      <formula>"NA"</formula>
    </cfRule>
    <cfRule type="cellIs" dxfId="810" priority="516" operator="equal">
      <formula>"Yes"</formula>
    </cfRule>
  </conditionalFormatting>
  <conditionalFormatting sqref="X14">
    <cfRule type="cellIs" dxfId="809" priority="511" operator="equal">
      <formula>"No"</formula>
    </cfRule>
    <cfRule type="cellIs" dxfId="808" priority="512" operator="equal">
      <formula>"NA"</formula>
    </cfRule>
    <cfRule type="cellIs" dxfId="807" priority="513" operator="equal">
      <formula>"Yes"</formula>
    </cfRule>
  </conditionalFormatting>
  <conditionalFormatting sqref="X16">
    <cfRule type="cellIs" dxfId="806" priority="508" operator="equal">
      <formula>"No"</formula>
    </cfRule>
    <cfRule type="cellIs" dxfId="805" priority="509" operator="equal">
      <formula>"NA"</formula>
    </cfRule>
    <cfRule type="cellIs" dxfId="804" priority="510" operator="equal">
      <formula>"Yes"</formula>
    </cfRule>
  </conditionalFormatting>
  <conditionalFormatting sqref="X17">
    <cfRule type="cellIs" dxfId="803" priority="505" operator="equal">
      <formula>"No"</formula>
    </cfRule>
    <cfRule type="cellIs" dxfId="802" priority="506" operator="equal">
      <formula>"NA"</formula>
    </cfRule>
    <cfRule type="cellIs" dxfId="801" priority="507" operator="equal">
      <formula>"Yes"</formula>
    </cfRule>
  </conditionalFormatting>
  <conditionalFormatting sqref="X18">
    <cfRule type="cellIs" dxfId="800" priority="502" operator="equal">
      <formula>"No"</formula>
    </cfRule>
    <cfRule type="cellIs" dxfId="799" priority="503" operator="equal">
      <formula>"NA"</formula>
    </cfRule>
    <cfRule type="cellIs" dxfId="798" priority="504" operator="equal">
      <formula>"Yes"</formula>
    </cfRule>
  </conditionalFormatting>
  <conditionalFormatting sqref="X19:X23">
    <cfRule type="cellIs" dxfId="797" priority="499" operator="equal">
      <formula>"No"</formula>
    </cfRule>
    <cfRule type="cellIs" dxfId="796" priority="500" operator="equal">
      <formula>"NA"</formula>
    </cfRule>
    <cfRule type="cellIs" dxfId="795" priority="501" operator="equal">
      <formula>"Yes"</formula>
    </cfRule>
  </conditionalFormatting>
  <conditionalFormatting sqref="X25:X28">
    <cfRule type="cellIs" dxfId="794" priority="496" operator="equal">
      <formula>"No"</formula>
    </cfRule>
    <cfRule type="cellIs" dxfId="793" priority="497" operator="equal">
      <formula>"NA"</formula>
    </cfRule>
    <cfRule type="cellIs" dxfId="792" priority="498" operator="equal">
      <formula>"Yes"</formula>
    </cfRule>
  </conditionalFormatting>
  <conditionalFormatting sqref="X30:X31">
    <cfRule type="cellIs" dxfId="791" priority="493" operator="equal">
      <formula>"No"</formula>
    </cfRule>
    <cfRule type="cellIs" dxfId="790" priority="494" operator="equal">
      <formula>"NA"</formula>
    </cfRule>
    <cfRule type="cellIs" dxfId="789" priority="495" operator="equal">
      <formula>"Yes"</formula>
    </cfRule>
  </conditionalFormatting>
  <conditionalFormatting sqref="X33">
    <cfRule type="cellIs" dxfId="788" priority="490" operator="equal">
      <formula>"No"</formula>
    </cfRule>
    <cfRule type="cellIs" dxfId="787" priority="491" operator="equal">
      <formula>"NA"</formula>
    </cfRule>
    <cfRule type="cellIs" dxfId="786" priority="492" operator="equal">
      <formula>"Yes"</formula>
    </cfRule>
  </conditionalFormatting>
  <conditionalFormatting sqref="X9">
    <cfRule type="cellIs" dxfId="785" priority="487" operator="equal">
      <formula>"No"</formula>
    </cfRule>
    <cfRule type="cellIs" dxfId="784" priority="488" operator="equal">
      <formula>"NA"</formula>
    </cfRule>
    <cfRule type="cellIs" dxfId="783" priority="489" operator="equal">
      <formula>"Yes"</formula>
    </cfRule>
  </conditionalFormatting>
  <conditionalFormatting sqref="X7">
    <cfRule type="cellIs" dxfId="782" priority="484" operator="equal">
      <formula>"No"</formula>
    </cfRule>
    <cfRule type="cellIs" dxfId="781" priority="485" operator="equal">
      <formula>"NA"</formula>
    </cfRule>
    <cfRule type="cellIs" dxfId="780" priority="486" operator="equal">
      <formula>"Yes"</formula>
    </cfRule>
  </conditionalFormatting>
  <conditionalFormatting sqref="X11">
    <cfRule type="cellIs" dxfId="779" priority="481" operator="equal">
      <formula>"No"</formula>
    </cfRule>
    <cfRule type="cellIs" dxfId="778" priority="482" operator="equal">
      <formula>"NA"</formula>
    </cfRule>
    <cfRule type="cellIs" dxfId="777" priority="483" operator="equal">
      <formula>"Yes"</formula>
    </cfRule>
  </conditionalFormatting>
  <conditionalFormatting sqref="Y6">
    <cfRule type="cellIs" dxfId="776" priority="478" operator="equal">
      <formula>"No"</formula>
    </cfRule>
    <cfRule type="cellIs" dxfId="775" priority="479" operator="equal">
      <formula>"NA"</formula>
    </cfRule>
    <cfRule type="cellIs" dxfId="774" priority="480" operator="equal">
      <formula>"Yes"</formula>
    </cfRule>
  </conditionalFormatting>
  <conditionalFormatting sqref="Y10">
    <cfRule type="cellIs" dxfId="773" priority="475" operator="equal">
      <formula>"No"</formula>
    </cfRule>
    <cfRule type="cellIs" dxfId="772" priority="476" operator="equal">
      <formula>"NA"</formula>
    </cfRule>
    <cfRule type="cellIs" dxfId="771" priority="477" operator="equal">
      <formula>"Yes"</formula>
    </cfRule>
  </conditionalFormatting>
  <conditionalFormatting sqref="Y12">
    <cfRule type="cellIs" dxfId="770" priority="472" operator="equal">
      <formula>"No"</formula>
    </cfRule>
    <cfRule type="cellIs" dxfId="769" priority="473" operator="equal">
      <formula>"NA"</formula>
    </cfRule>
    <cfRule type="cellIs" dxfId="768" priority="474" operator="equal">
      <formula>"Yes"</formula>
    </cfRule>
  </conditionalFormatting>
  <conditionalFormatting sqref="Y13">
    <cfRule type="cellIs" dxfId="767" priority="469" operator="equal">
      <formula>"No"</formula>
    </cfRule>
    <cfRule type="cellIs" dxfId="766" priority="470" operator="equal">
      <formula>"NA"</formula>
    </cfRule>
    <cfRule type="cellIs" dxfId="765" priority="471" operator="equal">
      <formula>"Yes"</formula>
    </cfRule>
  </conditionalFormatting>
  <conditionalFormatting sqref="Y15">
    <cfRule type="cellIs" dxfId="764" priority="466" operator="equal">
      <formula>"No"</formula>
    </cfRule>
    <cfRule type="cellIs" dxfId="763" priority="467" operator="equal">
      <formula>"NA"</formula>
    </cfRule>
    <cfRule type="cellIs" dxfId="762" priority="468" operator="equal">
      <formula>"Yes"</formula>
    </cfRule>
  </conditionalFormatting>
  <conditionalFormatting sqref="Y14">
    <cfRule type="cellIs" dxfId="761" priority="463" operator="equal">
      <formula>"No"</formula>
    </cfRule>
    <cfRule type="cellIs" dxfId="760" priority="464" operator="equal">
      <formula>"NA"</formula>
    </cfRule>
    <cfRule type="cellIs" dxfId="759" priority="465" operator="equal">
      <formula>"Yes"</formula>
    </cfRule>
  </conditionalFormatting>
  <conditionalFormatting sqref="Y16">
    <cfRule type="cellIs" dxfId="758" priority="460" operator="equal">
      <formula>"No"</formula>
    </cfRule>
    <cfRule type="cellIs" dxfId="757" priority="461" operator="equal">
      <formula>"NA"</formula>
    </cfRule>
    <cfRule type="cellIs" dxfId="756" priority="462" operator="equal">
      <formula>"Yes"</formula>
    </cfRule>
  </conditionalFormatting>
  <conditionalFormatting sqref="Y17">
    <cfRule type="cellIs" dxfId="755" priority="457" operator="equal">
      <formula>"No"</formula>
    </cfRule>
    <cfRule type="cellIs" dxfId="754" priority="458" operator="equal">
      <formula>"NA"</formula>
    </cfRule>
    <cfRule type="cellIs" dxfId="753" priority="459" operator="equal">
      <formula>"Yes"</formula>
    </cfRule>
  </conditionalFormatting>
  <conditionalFormatting sqref="Y18">
    <cfRule type="cellIs" dxfId="752" priority="454" operator="equal">
      <formula>"No"</formula>
    </cfRule>
    <cfRule type="cellIs" dxfId="751" priority="455" operator="equal">
      <formula>"NA"</formula>
    </cfRule>
    <cfRule type="cellIs" dxfId="750" priority="456" operator="equal">
      <formula>"Yes"</formula>
    </cfRule>
  </conditionalFormatting>
  <conditionalFormatting sqref="Y19:Y23">
    <cfRule type="cellIs" dxfId="749" priority="451" operator="equal">
      <formula>"No"</formula>
    </cfRule>
    <cfRule type="cellIs" dxfId="748" priority="452" operator="equal">
      <formula>"NA"</formula>
    </cfRule>
    <cfRule type="cellIs" dxfId="747" priority="453" operator="equal">
      <formula>"Yes"</formula>
    </cfRule>
  </conditionalFormatting>
  <conditionalFormatting sqref="Y25:Y28">
    <cfRule type="cellIs" dxfId="746" priority="448" operator="equal">
      <formula>"No"</formula>
    </cfRule>
    <cfRule type="cellIs" dxfId="745" priority="449" operator="equal">
      <formula>"NA"</formula>
    </cfRule>
    <cfRule type="cellIs" dxfId="744" priority="450" operator="equal">
      <formula>"Yes"</formula>
    </cfRule>
  </conditionalFormatting>
  <conditionalFormatting sqref="Y30:Y31">
    <cfRule type="cellIs" dxfId="743" priority="445" operator="equal">
      <formula>"No"</formula>
    </cfRule>
    <cfRule type="cellIs" dxfId="742" priority="446" operator="equal">
      <formula>"NA"</formula>
    </cfRule>
    <cfRule type="cellIs" dxfId="741" priority="447" operator="equal">
      <formula>"Yes"</formula>
    </cfRule>
  </conditionalFormatting>
  <conditionalFormatting sqref="Y33">
    <cfRule type="cellIs" dxfId="740" priority="442" operator="equal">
      <formula>"No"</formula>
    </cfRule>
    <cfRule type="cellIs" dxfId="739" priority="443" operator="equal">
      <formula>"NA"</formula>
    </cfRule>
    <cfRule type="cellIs" dxfId="738" priority="444" operator="equal">
      <formula>"Yes"</formula>
    </cfRule>
  </conditionalFormatting>
  <conditionalFormatting sqref="Y9">
    <cfRule type="cellIs" dxfId="737" priority="439" operator="equal">
      <formula>"No"</formula>
    </cfRule>
    <cfRule type="cellIs" dxfId="736" priority="440" operator="equal">
      <formula>"NA"</formula>
    </cfRule>
    <cfRule type="cellIs" dxfId="735" priority="441" operator="equal">
      <formula>"Yes"</formula>
    </cfRule>
  </conditionalFormatting>
  <conditionalFormatting sqref="Y7">
    <cfRule type="cellIs" dxfId="734" priority="436" operator="equal">
      <formula>"No"</formula>
    </cfRule>
    <cfRule type="cellIs" dxfId="733" priority="437" operator="equal">
      <formula>"NA"</formula>
    </cfRule>
    <cfRule type="cellIs" dxfId="732" priority="438" operator="equal">
      <formula>"Yes"</formula>
    </cfRule>
  </conditionalFormatting>
  <conditionalFormatting sqref="Y11">
    <cfRule type="cellIs" dxfId="731" priority="433" operator="equal">
      <formula>"No"</formula>
    </cfRule>
    <cfRule type="cellIs" dxfId="730" priority="434" operator="equal">
      <formula>"NA"</formula>
    </cfRule>
    <cfRule type="cellIs" dxfId="729" priority="435" operator="equal">
      <formula>"Yes"</formula>
    </cfRule>
  </conditionalFormatting>
  <conditionalFormatting sqref="Z6">
    <cfRule type="cellIs" dxfId="728" priority="430" operator="equal">
      <formula>"No"</formula>
    </cfRule>
    <cfRule type="cellIs" dxfId="727" priority="431" operator="equal">
      <formula>"NA"</formula>
    </cfRule>
    <cfRule type="cellIs" dxfId="726" priority="432" operator="equal">
      <formula>"Yes"</formula>
    </cfRule>
  </conditionalFormatting>
  <conditionalFormatting sqref="Z10">
    <cfRule type="cellIs" dxfId="725" priority="427" operator="equal">
      <formula>"No"</formula>
    </cfRule>
    <cfRule type="cellIs" dxfId="724" priority="428" operator="equal">
      <formula>"NA"</formula>
    </cfRule>
    <cfRule type="cellIs" dxfId="723" priority="429" operator="equal">
      <formula>"Yes"</formula>
    </cfRule>
  </conditionalFormatting>
  <conditionalFormatting sqref="Z12">
    <cfRule type="cellIs" dxfId="722" priority="424" operator="equal">
      <formula>"No"</formula>
    </cfRule>
    <cfRule type="cellIs" dxfId="721" priority="425" operator="equal">
      <formula>"NA"</formula>
    </cfRule>
    <cfRule type="cellIs" dxfId="720" priority="426" operator="equal">
      <formula>"Yes"</formula>
    </cfRule>
  </conditionalFormatting>
  <conditionalFormatting sqref="Z13">
    <cfRule type="cellIs" dxfId="719" priority="421" operator="equal">
      <formula>"No"</formula>
    </cfRule>
    <cfRule type="cellIs" dxfId="718" priority="422" operator="equal">
      <formula>"NA"</formula>
    </cfRule>
    <cfRule type="cellIs" dxfId="717" priority="423" operator="equal">
      <formula>"Yes"</formula>
    </cfRule>
  </conditionalFormatting>
  <conditionalFormatting sqref="Z15">
    <cfRule type="cellIs" dxfId="716" priority="418" operator="equal">
      <formula>"No"</formula>
    </cfRule>
    <cfRule type="cellIs" dxfId="715" priority="419" operator="equal">
      <formula>"NA"</formula>
    </cfRule>
    <cfRule type="cellIs" dxfId="714" priority="420" operator="equal">
      <formula>"Yes"</formula>
    </cfRule>
  </conditionalFormatting>
  <conditionalFormatting sqref="Z14">
    <cfRule type="cellIs" dxfId="713" priority="415" operator="equal">
      <formula>"No"</formula>
    </cfRule>
    <cfRule type="cellIs" dxfId="712" priority="416" operator="equal">
      <formula>"NA"</formula>
    </cfRule>
    <cfRule type="cellIs" dxfId="711" priority="417" operator="equal">
      <formula>"Yes"</formula>
    </cfRule>
  </conditionalFormatting>
  <conditionalFormatting sqref="Z16">
    <cfRule type="cellIs" dxfId="710" priority="412" operator="equal">
      <formula>"No"</formula>
    </cfRule>
    <cfRule type="cellIs" dxfId="709" priority="413" operator="equal">
      <formula>"NA"</formula>
    </cfRule>
    <cfRule type="cellIs" dxfId="708" priority="414" operator="equal">
      <formula>"Yes"</formula>
    </cfRule>
  </conditionalFormatting>
  <conditionalFormatting sqref="Z17">
    <cfRule type="cellIs" dxfId="707" priority="409" operator="equal">
      <formula>"No"</formula>
    </cfRule>
    <cfRule type="cellIs" dxfId="706" priority="410" operator="equal">
      <formula>"NA"</formula>
    </cfRule>
    <cfRule type="cellIs" dxfId="705" priority="411" operator="equal">
      <formula>"Yes"</formula>
    </cfRule>
  </conditionalFormatting>
  <conditionalFormatting sqref="Z18">
    <cfRule type="cellIs" dxfId="704" priority="406" operator="equal">
      <formula>"No"</formula>
    </cfRule>
    <cfRule type="cellIs" dxfId="703" priority="407" operator="equal">
      <formula>"NA"</formula>
    </cfRule>
    <cfRule type="cellIs" dxfId="702" priority="408" operator="equal">
      <formula>"Yes"</formula>
    </cfRule>
  </conditionalFormatting>
  <conditionalFormatting sqref="Z19:Z23">
    <cfRule type="cellIs" dxfId="701" priority="403" operator="equal">
      <formula>"No"</formula>
    </cfRule>
    <cfRule type="cellIs" dxfId="700" priority="404" operator="equal">
      <formula>"NA"</formula>
    </cfRule>
    <cfRule type="cellIs" dxfId="699" priority="405" operator="equal">
      <formula>"Yes"</formula>
    </cfRule>
  </conditionalFormatting>
  <conditionalFormatting sqref="Z25:Z28">
    <cfRule type="cellIs" dxfId="698" priority="400" operator="equal">
      <formula>"No"</formula>
    </cfRule>
    <cfRule type="cellIs" dxfId="697" priority="401" operator="equal">
      <formula>"NA"</formula>
    </cfRule>
    <cfRule type="cellIs" dxfId="696" priority="402" operator="equal">
      <formula>"Yes"</formula>
    </cfRule>
  </conditionalFormatting>
  <conditionalFormatting sqref="Z30:Z31">
    <cfRule type="cellIs" dxfId="695" priority="397" operator="equal">
      <formula>"No"</formula>
    </cfRule>
    <cfRule type="cellIs" dxfId="694" priority="398" operator="equal">
      <formula>"NA"</formula>
    </cfRule>
    <cfRule type="cellIs" dxfId="693" priority="399" operator="equal">
      <formula>"Yes"</formula>
    </cfRule>
  </conditionalFormatting>
  <conditionalFormatting sqref="Z33">
    <cfRule type="cellIs" dxfId="692" priority="394" operator="equal">
      <formula>"No"</formula>
    </cfRule>
    <cfRule type="cellIs" dxfId="691" priority="395" operator="equal">
      <formula>"NA"</formula>
    </cfRule>
    <cfRule type="cellIs" dxfId="690" priority="396" operator="equal">
      <formula>"Yes"</formula>
    </cfRule>
  </conditionalFormatting>
  <conditionalFormatting sqref="Z9">
    <cfRule type="cellIs" dxfId="689" priority="391" operator="equal">
      <formula>"No"</formula>
    </cfRule>
    <cfRule type="cellIs" dxfId="688" priority="392" operator="equal">
      <formula>"NA"</formula>
    </cfRule>
    <cfRule type="cellIs" dxfId="687" priority="393" operator="equal">
      <formula>"Yes"</formula>
    </cfRule>
  </conditionalFormatting>
  <conditionalFormatting sqref="Z7">
    <cfRule type="cellIs" dxfId="686" priority="388" operator="equal">
      <formula>"No"</formula>
    </cfRule>
    <cfRule type="cellIs" dxfId="685" priority="389" operator="equal">
      <formula>"NA"</formula>
    </cfRule>
    <cfRule type="cellIs" dxfId="684" priority="390" operator="equal">
      <formula>"Yes"</formula>
    </cfRule>
  </conditionalFormatting>
  <conditionalFormatting sqref="Z11">
    <cfRule type="cellIs" dxfId="683" priority="385" operator="equal">
      <formula>"No"</formula>
    </cfRule>
    <cfRule type="cellIs" dxfId="682" priority="386" operator="equal">
      <formula>"NA"</formula>
    </cfRule>
    <cfRule type="cellIs" dxfId="681" priority="387" operator="equal">
      <formula>"Yes"</formula>
    </cfRule>
  </conditionalFormatting>
  <conditionalFormatting sqref="AA6">
    <cfRule type="cellIs" dxfId="680" priority="382" operator="equal">
      <formula>"No"</formula>
    </cfRule>
    <cfRule type="cellIs" dxfId="679" priority="383" operator="equal">
      <formula>"NA"</formula>
    </cfRule>
    <cfRule type="cellIs" dxfId="678" priority="384" operator="equal">
      <formula>"Yes"</formula>
    </cfRule>
  </conditionalFormatting>
  <conditionalFormatting sqref="AA10">
    <cfRule type="cellIs" dxfId="677" priority="379" operator="equal">
      <formula>"No"</formula>
    </cfRule>
    <cfRule type="cellIs" dxfId="676" priority="380" operator="equal">
      <formula>"NA"</formula>
    </cfRule>
    <cfRule type="cellIs" dxfId="675" priority="381" operator="equal">
      <formula>"Yes"</formula>
    </cfRule>
  </conditionalFormatting>
  <conditionalFormatting sqref="AA12">
    <cfRule type="cellIs" dxfId="674" priority="376" operator="equal">
      <formula>"No"</formula>
    </cfRule>
    <cfRule type="cellIs" dxfId="673" priority="377" operator="equal">
      <formula>"NA"</formula>
    </cfRule>
    <cfRule type="cellIs" dxfId="672" priority="378" operator="equal">
      <formula>"Yes"</formula>
    </cfRule>
  </conditionalFormatting>
  <conditionalFormatting sqref="AA13">
    <cfRule type="cellIs" dxfId="671" priority="373" operator="equal">
      <formula>"No"</formula>
    </cfRule>
    <cfRule type="cellIs" dxfId="670" priority="374" operator="equal">
      <formula>"NA"</formula>
    </cfRule>
    <cfRule type="cellIs" dxfId="669" priority="375" operator="equal">
      <formula>"Yes"</formula>
    </cfRule>
  </conditionalFormatting>
  <conditionalFormatting sqref="AA15">
    <cfRule type="cellIs" dxfId="668" priority="370" operator="equal">
      <formula>"No"</formula>
    </cfRule>
    <cfRule type="cellIs" dxfId="667" priority="371" operator="equal">
      <formula>"NA"</formula>
    </cfRule>
    <cfRule type="cellIs" dxfId="666" priority="372" operator="equal">
      <formula>"Yes"</formula>
    </cfRule>
  </conditionalFormatting>
  <conditionalFormatting sqref="AA14">
    <cfRule type="cellIs" dxfId="665" priority="367" operator="equal">
      <formula>"No"</formula>
    </cfRule>
    <cfRule type="cellIs" dxfId="664" priority="368" operator="equal">
      <formula>"NA"</formula>
    </cfRule>
    <cfRule type="cellIs" dxfId="663" priority="369" operator="equal">
      <formula>"Yes"</formula>
    </cfRule>
  </conditionalFormatting>
  <conditionalFormatting sqref="AA16">
    <cfRule type="cellIs" dxfId="662" priority="364" operator="equal">
      <formula>"No"</formula>
    </cfRule>
    <cfRule type="cellIs" dxfId="661" priority="365" operator="equal">
      <formula>"NA"</formula>
    </cfRule>
    <cfRule type="cellIs" dxfId="660" priority="366" operator="equal">
      <formula>"Yes"</formula>
    </cfRule>
  </conditionalFormatting>
  <conditionalFormatting sqref="AA17">
    <cfRule type="cellIs" dxfId="659" priority="361" operator="equal">
      <formula>"No"</formula>
    </cfRule>
    <cfRule type="cellIs" dxfId="658" priority="362" operator="equal">
      <formula>"NA"</formula>
    </cfRule>
    <cfRule type="cellIs" dxfId="657" priority="363" operator="equal">
      <formula>"Yes"</formula>
    </cfRule>
  </conditionalFormatting>
  <conditionalFormatting sqref="AA18">
    <cfRule type="cellIs" dxfId="656" priority="358" operator="equal">
      <formula>"No"</formula>
    </cfRule>
    <cfRule type="cellIs" dxfId="655" priority="359" operator="equal">
      <formula>"NA"</formula>
    </cfRule>
    <cfRule type="cellIs" dxfId="654" priority="360" operator="equal">
      <formula>"Yes"</formula>
    </cfRule>
  </conditionalFormatting>
  <conditionalFormatting sqref="AA19:AA23">
    <cfRule type="cellIs" dxfId="653" priority="355" operator="equal">
      <formula>"No"</formula>
    </cfRule>
    <cfRule type="cellIs" dxfId="652" priority="356" operator="equal">
      <formula>"NA"</formula>
    </cfRule>
    <cfRule type="cellIs" dxfId="651" priority="357" operator="equal">
      <formula>"Yes"</formula>
    </cfRule>
  </conditionalFormatting>
  <conditionalFormatting sqref="AA25:AA28">
    <cfRule type="cellIs" dxfId="650" priority="352" operator="equal">
      <formula>"No"</formula>
    </cfRule>
    <cfRule type="cellIs" dxfId="649" priority="353" operator="equal">
      <formula>"NA"</formula>
    </cfRule>
    <cfRule type="cellIs" dxfId="648" priority="354" operator="equal">
      <formula>"Yes"</formula>
    </cfRule>
  </conditionalFormatting>
  <conditionalFormatting sqref="AA30:AA31">
    <cfRule type="cellIs" dxfId="647" priority="349" operator="equal">
      <formula>"No"</formula>
    </cfRule>
    <cfRule type="cellIs" dxfId="646" priority="350" operator="equal">
      <formula>"NA"</formula>
    </cfRule>
    <cfRule type="cellIs" dxfId="645" priority="351" operator="equal">
      <formula>"Yes"</formula>
    </cfRule>
  </conditionalFormatting>
  <conditionalFormatting sqref="AA33">
    <cfRule type="cellIs" dxfId="644" priority="346" operator="equal">
      <formula>"No"</formula>
    </cfRule>
    <cfRule type="cellIs" dxfId="643" priority="347" operator="equal">
      <formula>"NA"</formula>
    </cfRule>
    <cfRule type="cellIs" dxfId="642" priority="348" operator="equal">
      <formula>"Yes"</formula>
    </cfRule>
  </conditionalFormatting>
  <conditionalFormatting sqref="AA9">
    <cfRule type="cellIs" dxfId="641" priority="343" operator="equal">
      <formula>"No"</formula>
    </cfRule>
    <cfRule type="cellIs" dxfId="640" priority="344" operator="equal">
      <formula>"NA"</formula>
    </cfRule>
    <cfRule type="cellIs" dxfId="639" priority="345" operator="equal">
      <formula>"Yes"</formula>
    </cfRule>
  </conditionalFormatting>
  <conditionalFormatting sqref="AA7">
    <cfRule type="cellIs" dxfId="638" priority="340" operator="equal">
      <formula>"No"</formula>
    </cfRule>
    <cfRule type="cellIs" dxfId="637" priority="341" operator="equal">
      <formula>"NA"</formula>
    </cfRule>
    <cfRule type="cellIs" dxfId="636" priority="342" operator="equal">
      <formula>"Yes"</formula>
    </cfRule>
  </conditionalFormatting>
  <conditionalFormatting sqref="AA11">
    <cfRule type="cellIs" dxfId="635" priority="337" operator="equal">
      <formula>"No"</formula>
    </cfRule>
    <cfRule type="cellIs" dxfId="634" priority="338" operator="equal">
      <formula>"NA"</formula>
    </cfRule>
    <cfRule type="cellIs" dxfId="633" priority="339" operator="equal">
      <formula>"Yes"</formula>
    </cfRule>
  </conditionalFormatting>
  <conditionalFormatting sqref="AB6">
    <cfRule type="cellIs" dxfId="632" priority="334" operator="equal">
      <formula>"No"</formula>
    </cfRule>
    <cfRule type="cellIs" dxfId="631" priority="335" operator="equal">
      <formula>"NA"</formula>
    </cfRule>
    <cfRule type="cellIs" dxfId="630" priority="336" operator="equal">
      <formula>"Yes"</formula>
    </cfRule>
  </conditionalFormatting>
  <conditionalFormatting sqref="AB10">
    <cfRule type="cellIs" dxfId="629" priority="331" operator="equal">
      <formula>"No"</formula>
    </cfRule>
    <cfRule type="cellIs" dxfId="628" priority="332" operator="equal">
      <formula>"NA"</formula>
    </cfRule>
    <cfRule type="cellIs" dxfId="627" priority="333" operator="equal">
      <formula>"Yes"</formula>
    </cfRule>
  </conditionalFormatting>
  <conditionalFormatting sqref="AB12">
    <cfRule type="cellIs" dxfId="626" priority="328" operator="equal">
      <formula>"No"</formula>
    </cfRule>
    <cfRule type="cellIs" dxfId="625" priority="329" operator="equal">
      <formula>"NA"</formula>
    </cfRule>
    <cfRule type="cellIs" dxfId="624" priority="330" operator="equal">
      <formula>"Yes"</formula>
    </cfRule>
  </conditionalFormatting>
  <conditionalFormatting sqref="AB13">
    <cfRule type="cellIs" dxfId="623" priority="325" operator="equal">
      <formula>"No"</formula>
    </cfRule>
    <cfRule type="cellIs" dxfId="622" priority="326" operator="equal">
      <formula>"NA"</formula>
    </cfRule>
    <cfRule type="cellIs" dxfId="621" priority="327" operator="equal">
      <formula>"Yes"</formula>
    </cfRule>
  </conditionalFormatting>
  <conditionalFormatting sqref="AB15">
    <cfRule type="cellIs" dxfId="620" priority="322" operator="equal">
      <formula>"No"</formula>
    </cfRule>
    <cfRule type="cellIs" dxfId="619" priority="323" operator="equal">
      <formula>"NA"</formula>
    </cfRule>
    <cfRule type="cellIs" dxfId="618" priority="324" operator="equal">
      <formula>"Yes"</formula>
    </cfRule>
  </conditionalFormatting>
  <conditionalFormatting sqref="AB14">
    <cfRule type="cellIs" dxfId="617" priority="319" operator="equal">
      <formula>"No"</formula>
    </cfRule>
    <cfRule type="cellIs" dxfId="616" priority="320" operator="equal">
      <formula>"NA"</formula>
    </cfRule>
    <cfRule type="cellIs" dxfId="615" priority="321" operator="equal">
      <formula>"Yes"</formula>
    </cfRule>
  </conditionalFormatting>
  <conditionalFormatting sqref="AB16">
    <cfRule type="cellIs" dxfId="614" priority="316" operator="equal">
      <formula>"No"</formula>
    </cfRule>
    <cfRule type="cellIs" dxfId="613" priority="317" operator="equal">
      <formula>"NA"</formula>
    </cfRule>
    <cfRule type="cellIs" dxfId="612" priority="318" operator="equal">
      <formula>"Yes"</formula>
    </cfRule>
  </conditionalFormatting>
  <conditionalFormatting sqref="AB17">
    <cfRule type="cellIs" dxfId="611" priority="313" operator="equal">
      <formula>"No"</formula>
    </cfRule>
    <cfRule type="cellIs" dxfId="610" priority="314" operator="equal">
      <formula>"NA"</formula>
    </cfRule>
    <cfRule type="cellIs" dxfId="609" priority="315" operator="equal">
      <formula>"Yes"</formula>
    </cfRule>
  </conditionalFormatting>
  <conditionalFormatting sqref="AB18">
    <cfRule type="cellIs" dxfId="608" priority="310" operator="equal">
      <formula>"No"</formula>
    </cfRule>
    <cfRule type="cellIs" dxfId="607" priority="311" operator="equal">
      <formula>"NA"</formula>
    </cfRule>
    <cfRule type="cellIs" dxfId="606" priority="312" operator="equal">
      <formula>"Yes"</formula>
    </cfRule>
  </conditionalFormatting>
  <conditionalFormatting sqref="AB19:AB23">
    <cfRule type="cellIs" dxfId="605" priority="307" operator="equal">
      <formula>"No"</formula>
    </cfRule>
    <cfRule type="cellIs" dxfId="604" priority="308" operator="equal">
      <formula>"NA"</formula>
    </cfRule>
    <cfRule type="cellIs" dxfId="603" priority="309" operator="equal">
      <formula>"Yes"</formula>
    </cfRule>
  </conditionalFormatting>
  <conditionalFormatting sqref="AB25:AB28">
    <cfRule type="cellIs" dxfId="602" priority="304" operator="equal">
      <formula>"No"</formula>
    </cfRule>
    <cfRule type="cellIs" dxfId="601" priority="305" operator="equal">
      <formula>"NA"</formula>
    </cfRule>
    <cfRule type="cellIs" dxfId="600" priority="306" operator="equal">
      <formula>"Yes"</formula>
    </cfRule>
  </conditionalFormatting>
  <conditionalFormatting sqref="AB30:AB31">
    <cfRule type="cellIs" dxfId="599" priority="301" operator="equal">
      <formula>"No"</formula>
    </cfRule>
    <cfRule type="cellIs" dxfId="598" priority="302" operator="equal">
      <formula>"NA"</formula>
    </cfRule>
    <cfRule type="cellIs" dxfId="597" priority="303" operator="equal">
      <formula>"Yes"</formula>
    </cfRule>
  </conditionalFormatting>
  <conditionalFormatting sqref="AB33">
    <cfRule type="cellIs" dxfId="596" priority="298" operator="equal">
      <formula>"No"</formula>
    </cfRule>
    <cfRule type="cellIs" dxfId="595" priority="299" operator="equal">
      <formula>"NA"</formula>
    </cfRule>
    <cfRule type="cellIs" dxfId="594" priority="300" operator="equal">
      <formula>"Yes"</formula>
    </cfRule>
  </conditionalFormatting>
  <conditionalFormatting sqref="AB9">
    <cfRule type="cellIs" dxfId="593" priority="295" operator="equal">
      <formula>"No"</formula>
    </cfRule>
    <cfRule type="cellIs" dxfId="592" priority="296" operator="equal">
      <formula>"NA"</formula>
    </cfRule>
    <cfRule type="cellIs" dxfId="591" priority="297" operator="equal">
      <formula>"Yes"</formula>
    </cfRule>
  </conditionalFormatting>
  <conditionalFormatting sqref="AB7">
    <cfRule type="cellIs" dxfId="590" priority="292" operator="equal">
      <formula>"No"</formula>
    </cfRule>
    <cfRule type="cellIs" dxfId="589" priority="293" operator="equal">
      <formula>"NA"</formula>
    </cfRule>
    <cfRule type="cellIs" dxfId="588" priority="294" operator="equal">
      <formula>"Yes"</formula>
    </cfRule>
  </conditionalFormatting>
  <conditionalFormatting sqref="AB11">
    <cfRule type="cellIs" dxfId="587" priority="289" operator="equal">
      <formula>"No"</formula>
    </cfRule>
    <cfRule type="cellIs" dxfId="586" priority="290" operator="equal">
      <formula>"NA"</formula>
    </cfRule>
    <cfRule type="cellIs" dxfId="585" priority="291" operator="equal">
      <formula>"Yes"</formula>
    </cfRule>
  </conditionalFormatting>
  <conditionalFormatting sqref="AC6">
    <cfRule type="cellIs" dxfId="584" priority="238" operator="equal">
      <formula>"No"</formula>
    </cfRule>
    <cfRule type="cellIs" dxfId="583" priority="239" operator="equal">
      <formula>"NA"</formula>
    </cfRule>
    <cfRule type="cellIs" dxfId="582" priority="240" operator="equal">
      <formula>"Yes"</formula>
    </cfRule>
  </conditionalFormatting>
  <conditionalFormatting sqref="AC10">
    <cfRule type="cellIs" dxfId="581" priority="235" operator="equal">
      <formula>"No"</formula>
    </cfRule>
    <cfRule type="cellIs" dxfId="580" priority="236" operator="equal">
      <formula>"NA"</formula>
    </cfRule>
    <cfRule type="cellIs" dxfId="579" priority="237" operator="equal">
      <formula>"Yes"</formula>
    </cfRule>
  </conditionalFormatting>
  <conditionalFormatting sqref="AC12">
    <cfRule type="cellIs" dxfId="578" priority="232" operator="equal">
      <formula>"No"</formula>
    </cfRule>
    <cfRule type="cellIs" dxfId="577" priority="233" operator="equal">
      <formula>"NA"</formula>
    </cfRule>
    <cfRule type="cellIs" dxfId="576" priority="234" operator="equal">
      <formula>"Yes"</formula>
    </cfRule>
  </conditionalFormatting>
  <conditionalFormatting sqref="AC13">
    <cfRule type="cellIs" dxfId="575" priority="229" operator="equal">
      <formula>"No"</formula>
    </cfRule>
    <cfRule type="cellIs" dxfId="574" priority="230" operator="equal">
      <formula>"NA"</formula>
    </cfRule>
    <cfRule type="cellIs" dxfId="573" priority="231" operator="equal">
      <formula>"Yes"</formula>
    </cfRule>
  </conditionalFormatting>
  <conditionalFormatting sqref="AC15">
    <cfRule type="cellIs" dxfId="572" priority="226" operator="equal">
      <formula>"No"</formula>
    </cfRule>
    <cfRule type="cellIs" dxfId="571" priority="227" operator="equal">
      <formula>"NA"</formula>
    </cfRule>
    <cfRule type="cellIs" dxfId="570" priority="228" operator="equal">
      <formula>"Yes"</formula>
    </cfRule>
  </conditionalFormatting>
  <conditionalFormatting sqref="AC14">
    <cfRule type="cellIs" dxfId="569" priority="223" operator="equal">
      <formula>"No"</formula>
    </cfRule>
    <cfRule type="cellIs" dxfId="568" priority="224" operator="equal">
      <formula>"NA"</formula>
    </cfRule>
    <cfRule type="cellIs" dxfId="567" priority="225" operator="equal">
      <formula>"Yes"</formula>
    </cfRule>
  </conditionalFormatting>
  <conditionalFormatting sqref="AC16">
    <cfRule type="cellIs" dxfId="566" priority="220" operator="equal">
      <formula>"No"</formula>
    </cfRule>
    <cfRule type="cellIs" dxfId="565" priority="221" operator="equal">
      <formula>"NA"</formula>
    </cfRule>
    <cfRule type="cellIs" dxfId="564" priority="222" operator="equal">
      <formula>"Yes"</formula>
    </cfRule>
  </conditionalFormatting>
  <conditionalFormatting sqref="AC17">
    <cfRule type="cellIs" dxfId="563" priority="217" operator="equal">
      <formula>"No"</formula>
    </cfRule>
    <cfRule type="cellIs" dxfId="562" priority="218" operator="equal">
      <formula>"NA"</formula>
    </cfRule>
    <cfRule type="cellIs" dxfId="561" priority="219" operator="equal">
      <formula>"Yes"</formula>
    </cfRule>
  </conditionalFormatting>
  <conditionalFormatting sqref="AC18">
    <cfRule type="cellIs" dxfId="560" priority="214" operator="equal">
      <formula>"No"</formula>
    </cfRule>
    <cfRule type="cellIs" dxfId="559" priority="215" operator="equal">
      <formula>"NA"</formula>
    </cfRule>
    <cfRule type="cellIs" dxfId="558" priority="216" operator="equal">
      <formula>"Yes"</formula>
    </cfRule>
  </conditionalFormatting>
  <conditionalFormatting sqref="AC19:AC23">
    <cfRule type="cellIs" dxfId="557" priority="211" operator="equal">
      <formula>"No"</formula>
    </cfRule>
    <cfRule type="cellIs" dxfId="556" priority="212" operator="equal">
      <formula>"NA"</formula>
    </cfRule>
    <cfRule type="cellIs" dxfId="555" priority="213" operator="equal">
      <formula>"Yes"</formula>
    </cfRule>
  </conditionalFormatting>
  <conditionalFormatting sqref="AC25:AC28">
    <cfRule type="cellIs" dxfId="554" priority="208" operator="equal">
      <formula>"No"</formula>
    </cfRule>
    <cfRule type="cellIs" dxfId="553" priority="209" operator="equal">
      <formula>"NA"</formula>
    </cfRule>
    <cfRule type="cellIs" dxfId="552" priority="210" operator="equal">
      <formula>"Yes"</formula>
    </cfRule>
  </conditionalFormatting>
  <conditionalFormatting sqref="AC30:AC31">
    <cfRule type="cellIs" dxfId="551" priority="205" operator="equal">
      <formula>"No"</formula>
    </cfRule>
    <cfRule type="cellIs" dxfId="550" priority="206" operator="equal">
      <formula>"NA"</formula>
    </cfRule>
    <cfRule type="cellIs" dxfId="549" priority="207" operator="equal">
      <formula>"Yes"</formula>
    </cfRule>
  </conditionalFormatting>
  <conditionalFormatting sqref="AC33">
    <cfRule type="cellIs" dxfId="548" priority="202" operator="equal">
      <formula>"No"</formula>
    </cfRule>
    <cfRule type="cellIs" dxfId="547" priority="203" operator="equal">
      <formula>"NA"</formula>
    </cfRule>
    <cfRule type="cellIs" dxfId="546" priority="204" operator="equal">
      <formula>"Yes"</formula>
    </cfRule>
  </conditionalFormatting>
  <conditionalFormatting sqref="AC9">
    <cfRule type="cellIs" dxfId="545" priority="199" operator="equal">
      <formula>"No"</formula>
    </cfRule>
    <cfRule type="cellIs" dxfId="544" priority="200" operator="equal">
      <formula>"NA"</formula>
    </cfRule>
    <cfRule type="cellIs" dxfId="543" priority="201" operator="equal">
      <formula>"Yes"</formula>
    </cfRule>
  </conditionalFormatting>
  <conditionalFormatting sqref="AC7">
    <cfRule type="cellIs" dxfId="542" priority="196" operator="equal">
      <formula>"No"</formula>
    </cfRule>
    <cfRule type="cellIs" dxfId="541" priority="197" operator="equal">
      <formula>"NA"</formula>
    </cfRule>
    <cfRule type="cellIs" dxfId="540" priority="198" operator="equal">
      <formula>"Yes"</formula>
    </cfRule>
  </conditionalFormatting>
  <conditionalFormatting sqref="AC11">
    <cfRule type="cellIs" dxfId="539" priority="193" operator="equal">
      <formula>"No"</formula>
    </cfRule>
    <cfRule type="cellIs" dxfId="538" priority="194" operator="equal">
      <formula>"NA"</formula>
    </cfRule>
    <cfRule type="cellIs" dxfId="537" priority="195" operator="equal">
      <formula>"Yes"</formula>
    </cfRule>
  </conditionalFormatting>
  <conditionalFormatting sqref="AD6">
    <cfRule type="cellIs" dxfId="536" priority="190" operator="equal">
      <formula>"No"</formula>
    </cfRule>
    <cfRule type="cellIs" dxfId="535" priority="191" operator="equal">
      <formula>"NA"</formula>
    </cfRule>
    <cfRule type="cellIs" dxfId="534" priority="192" operator="equal">
      <formula>"Yes"</formula>
    </cfRule>
  </conditionalFormatting>
  <conditionalFormatting sqref="AD10">
    <cfRule type="cellIs" dxfId="533" priority="187" operator="equal">
      <formula>"No"</formula>
    </cfRule>
    <cfRule type="cellIs" dxfId="532" priority="188" operator="equal">
      <formula>"NA"</formula>
    </cfRule>
    <cfRule type="cellIs" dxfId="531" priority="189" operator="equal">
      <formula>"Yes"</formula>
    </cfRule>
  </conditionalFormatting>
  <conditionalFormatting sqref="AD12">
    <cfRule type="cellIs" dxfId="530" priority="184" operator="equal">
      <formula>"No"</formula>
    </cfRule>
    <cfRule type="cellIs" dxfId="529" priority="185" operator="equal">
      <formula>"NA"</formula>
    </cfRule>
    <cfRule type="cellIs" dxfId="528" priority="186" operator="equal">
      <formula>"Yes"</formula>
    </cfRule>
  </conditionalFormatting>
  <conditionalFormatting sqref="AD13">
    <cfRule type="cellIs" dxfId="527" priority="181" operator="equal">
      <formula>"No"</formula>
    </cfRule>
    <cfRule type="cellIs" dxfId="526" priority="182" operator="equal">
      <formula>"NA"</formula>
    </cfRule>
    <cfRule type="cellIs" dxfId="525" priority="183" operator="equal">
      <formula>"Yes"</formula>
    </cfRule>
  </conditionalFormatting>
  <conditionalFormatting sqref="AD15">
    <cfRule type="cellIs" dxfId="524" priority="178" operator="equal">
      <formula>"No"</formula>
    </cfRule>
    <cfRule type="cellIs" dxfId="523" priority="179" operator="equal">
      <formula>"NA"</formula>
    </cfRule>
    <cfRule type="cellIs" dxfId="522" priority="180" operator="equal">
      <formula>"Yes"</formula>
    </cfRule>
  </conditionalFormatting>
  <conditionalFormatting sqref="AD14">
    <cfRule type="cellIs" dxfId="521" priority="175" operator="equal">
      <formula>"No"</formula>
    </cfRule>
    <cfRule type="cellIs" dxfId="520" priority="176" operator="equal">
      <formula>"NA"</formula>
    </cfRule>
    <cfRule type="cellIs" dxfId="519" priority="177" operator="equal">
      <formula>"Yes"</formula>
    </cfRule>
  </conditionalFormatting>
  <conditionalFormatting sqref="AD16">
    <cfRule type="cellIs" dxfId="518" priority="172" operator="equal">
      <formula>"No"</formula>
    </cfRule>
    <cfRule type="cellIs" dxfId="517" priority="173" operator="equal">
      <formula>"NA"</formula>
    </cfRule>
    <cfRule type="cellIs" dxfId="516" priority="174" operator="equal">
      <formula>"Yes"</formula>
    </cfRule>
  </conditionalFormatting>
  <conditionalFormatting sqref="AD17">
    <cfRule type="cellIs" dxfId="515" priority="169" operator="equal">
      <formula>"No"</formula>
    </cfRule>
    <cfRule type="cellIs" dxfId="514" priority="170" operator="equal">
      <formula>"NA"</formula>
    </cfRule>
    <cfRule type="cellIs" dxfId="513" priority="171" operator="equal">
      <formula>"Yes"</formula>
    </cfRule>
  </conditionalFormatting>
  <conditionalFormatting sqref="AD18">
    <cfRule type="cellIs" dxfId="512" priority="166" operator="equal">
      <formula>"No"</formula>
    </cfRule>
    <cfRule type="cellIs" dxfId="511" priority="167" operator="equal">
      <formula>"NA"</formula>
    </cfRule>
    <cfRule type="cellIs" dxfId="510" priority="168" operator="equal">
      <formula>"Yes"</formula>
    </cfRule>
  </conditionalFormatting>
  <conditionalFormatting sqref="AD19:AD23">
    <cfRule type="cellIs" dxfId="509" priority="163" operator="equal">
      <formula>"No"</formula>
    </cfRule>
    <cfRule type="cellIs" dxfId="508" priority="164" operator="equal">
      <formula>"NA"</formula>
    </cfRule>
    <cfRule type="cellIs" dxfId="507" priority="165" operator="equal">
      <formula>"Yes"</formula>
    </cfRule>
  </conditionalFormatting>
  <conditionalFormatting sqref="AD25:AD28">
    <cfRule type="cellIs" dxfId="506" priority="160" operator="equal">
      <formula>"No"</formula>
    </cfRule>
    <cfRule type="cellIs" dxfId="505" priority="161" operator="equal">
      <formula>"NA"</formula>
    </cfRule>
    <cfRule type="cellIs" dxfId="504" priority="162" operator="equal">
      <formula>"Yes"</formula>
    </cfRule>
  </conditionalFormatting>
  <conditionalFormatting sqref="AD30:AD31">
    <cfRule type="cellIs" dxfId="503" priority="157" operator="equal">
      <formula>"No"</formula>
    </cfRule>
    <cfRule type="cellIs" dxfId="502" priority="158" operator="equal">
      <formula>"NA"</formula>
    </cfRule>
    <cfRule type="cellIs" dxfId="501" priority="159" operator="equal">
      <formula>"Yes"</formula>
    </cfRule>
  </conditionalFormatting>
  <conditionalFormatting sqref="AD33">
    <cfRule type="cellIs" dxfId="500" priority="154" operator="equal">
      <formula>"No"</formula>
    </cfRule>
    <cfRule type="cellIs" dxfId="499" priority="155" operator="equal">
      <formula>"NA"</formula>
    </cfRule>
    <cfRule type="cellIs" dxfId="498" priority="156" operator="equal">
      <formula>"Yes"</formula>
    </cfRule>
  </conditionalFormatting>
  <conditionalFormatting sqref="AD9">
    <cfRule type="cellIs" dxfId="497" priority="151" operator="equal">
      <formula>"No"</formula>
    </cfRule>
    <cfRule type="cellIs" dxfId="496" priority="152" operator="equal">
      <formula>"NA"</formula>
    </cfRule>
    <cfRule type="cellIs" dxfId="495" priority="153" operator="equal">
      <formula>"Yes"</formula>
    </cfRule>
  </conditionalFormatting>
  <conditionalFormatting sqref="AD7">
    <cfRule type="cellIs" dxfId="494" priority="148" operator="equal">
      <formula>"No"</formula>
    </cfRule>
    <cfRule type="cellIs" dxfId="493" priority="149" operator="equal">
      <formula>"NA"</formula>
    </cfRule>
    <cfRule type="cellIs" dxfId="492" priority="150" operator="equal">
      <formula>"Yes"</formula>
    </cfRule>
  </conditionalFormatting>
  <conditionalFormatting sqref="AD11">
    <cfRule type="cellIs" dxfId="491" priority="145" operator="equal">
      <formula>"No"</formula>
    </cfRule>
    <cfRule type="cellIs" dxfId="490" priority="146" operator="equal">
      <formula>"NA"</formula>
    </cfRule>
    <cfRule type="cellIs" dxfId="489" priority="147" operator="equal">
      <formula>"Yes"</formula>
    </cfRule>
  </conditionalFormatting>
  <conditionalFormatting sqref="AE6">
    <cfRule type="cellIs" dxfId="488" priority="142" operator="equal">
      <formula>"No"</formula>
    </cfRule>
    <cfRule type="cellIs" dxfId="487" priority="143" operator="equal">
      <formula>"NA"</formula>
    </cfRule>
    <cfRule type="cellIs" dxfId="486" priority="144" operator="equal">
      <formula>"Yes"</formula>
    </cfRule>
  </conditionalFormatting>
  <conditionalFormatting sqref="AE10">
    <cfRule type="cellIs" dxfId="485" priority="139" operator="equal">
      <formula>"No"</formula>
    </cfRule>
    <cfRule type="cellIs" dxfId="484" priority="140" operator="equal">
      <formula>"NA"</formula>
    </cfRule>
    <cfRule type="cellIs" dxfId="483" priority="141" operator="equal">
      <formula>"Yes"</formula>
    </cfRule>
  </conditionalFormatting>
  <conditionalFormatting sqref="AE12">
    <cfRule type="cellIs" dxfId="482" priority="136" operator="equal">
      <formula>"No"</formula>
    </cfRule>
    <cfRule type="cellIs" dxfId="481" priority="137" operator="equal">
      <formula>"NA"</formula>
    </cfRule>
    <cfRule type="cellIs" dxfId="480" priority="138" operator="equal">
      <formula>"Yes"</formula>
    </cfRule>
  </conditionalFormatting>
  <conditionalFormatting sqref="AE13">
    <cfRule type="cellIs" dxfId="479" priority="133" operator="equal">
      <formula>"No"</formula>
    </cfRule>
    <cfRule type="cellIs" dxfId="478" priority="134" operator="equal">
      <formula>"NA"</formula>
    </cfRule>
    <cfRule type="cellIs" dxfId="477" priority="135" operator="equal">
      <formula>"Yes"</formula>
    </cfRule>
  </conditionalFormatting>
  <conditionalFormatting sqref="AE15">
    <cfRule type="cellIs" dxfId="476" priority="130" operator="equal">
      <formula>"No"</formula>
    </cfRule>
    <cfRule type="cellIs" dxfId="475" priority="131" operator="equal">
      <formula>"NA"</formula>
    </cfRule>
    <cfRule type="cellIs" dxfId="474" priority="132" operator="equal">
      <formula>"Yes"</formula>
    </cfRule>
  </conditionalFormatting>
  <conditionalFormatting sqref="AE14">
    <cfRule type="cellIs" dxfId="473" priority="127" operator="equal">
      <formula>"No"</formula>
    </cfRule>
    <cfRule type="cellIs" dxfId="472" priority="128" operator="equal">
      <formula>"NA"</formula>
    </cfRule>
    <cfRule type="cellIs" dxfId="471" priority="129" operator="equal">
      <formula>"Yes"</formula>
    </cfRule>
  </conditionalFormatting>
  <conditionalFormatting sqref="AE16">
    <cfRule type="cellIs" dxfId="470" priority="124" operator="equal">
      <formula>"No"</formula>
    </cfRule>
    <cfRule type="cellIs" dxfId="469" priority="125" operator="equal">
      <formula>"NA"</formula>
    </cfRule>
    <cfRule type="cellIs" dxfId="468" priority="126" operator="equal">
      <formula>"Yes"</formula>
    </cfRule>
  </conditionalFormatting>
  <conditionalFormatting sqref="AE17">
    <cfRule type="cellIs" dxfId="467" priority="121" operator="equal">
      <formula>"No"</formula>
    </cfRule>
    <cfRule type="cellIs" dxfId="466" priority="122" operator="equal">
      <formula>"NA"</formula>
    </cfRule>
    <cfRule type="cellIs" dxfId="465" priority="123" operator="equal">
      <formula>"Yes"</formula>
    </cfRule>
  </conditionalFormatting>
  <conditionalFormatting sqref="AE18">
    <cfRule type="cellIs" dxfId="464" priority="118" operator="equal">
      <formula>"No"</formula>
    </cfRule>
    <cfRule type="cellIs" dxfId="463" priority="119" operator="equal">
      <formula>"NA"</formula>
    </cfRule>
    <cfRule type="cellIs" dxfId="462" priority="120" operator="equal">
      <formula>"Yes"</formula>
    </cfRule>
  </conditionalFormatting>
  <conditionalFormatting sqref="AE19:AE23">
    <cfRule type="cellIs" dxfId="461" priority="115" operator="equal">
      <formula>"No"</formula>
    </cfRule>
    <cfRule type="cellIs" dxfId="460" priority="116" operator="equal">
      <formula>"NA"</formula>
    </cfRule>
    <cfRule type="cellIs" dxfId="459" priority="117" operator="equal">
      <formula>"Yes"</formula>
    </cfRule>
  </conditionalFormatting>
  <conditionalFormatting sqref="AE25:AE28">
    <cfRule type="cellIs" dxfId="458" priority="112" operator="equal">
      <formula>"No"</formula>
    </cfRule>
    <cfRule type="cellIs" dxfId="457" priority="113" operator="equal">
      <formula>"NA"</formula>
    </cfRule>
    <cfRule type="cellIs" dxfId="456" priority="114" operator="equal">
      <formula>"Yes"</formula>
    </cfRule>
  </conditionalFormatting>
  <conditionalFormatting sqref="AE30:AE31">
    <cfRule type="cellIs" dxfId="455" priority="109" operator="equal">
      <formula>"No"</formula>
    </cfRule>
    <cfRule type="cellIs" dxfId="454" priority="110" operator="equal">
      <formula>"NA"</formula>
    </cfRule>
    <cfRule type="cellIs" dxfId="453" priority="111" operator="equal">
      <formula>"Yes"</formula>
    </cfRule>
  </conditionalFormatting>
  <conditionalFormatting sqref="AE33">
    <cfRule type="cellIs" dxfId="452" priority="106" operator="equal">
      <formula>"No"</formula>
    </cfRule>
    <cfRule type="cellIs" dxfId="451" priority="107" operator="equal">
      <formula>"NA"</formula>
    </cfRule>
    <cfRule type="cellIs" dxfId="450" priority="108" operator="equal">
      <formula>"Yes"</formula>
    </cfRule>
  </conditionalFormatting>
  <conditionalFormatting sqref="AE9">
    <cfRule type="cellIs" dxfId="449" priority="103" operator="equal">
      <formula>"No"</formula>
    </cfRule>
    <cfRule type="cellIs" dxfId="448" priority="104" operator="equal">
      <formula>"NA"</formula>
    </cfRule>
    <cfRule type="cellIs" dxfId="447" priority="105" operator="equal">
      <formula>"Yes"</formula>
    </cfRule>
  </conditionalFormatting>
  <conditionalFormatting sqref="AE7">
    <cfRule type="cellIs" dxfId="446" priority="100" operator="equal">
      <formula>"No"</formula>
    </cfRule>
    <cfRule type="cellIs" dxfId="445" priority="101" operator="equal">
      <formula>"NA"</formula>
    </cfRule>
    <cfRule type="cellIs" dxfId="444" priority="102" operator="equal">
      <formula>"Yes"</formula>
    </cfRule>
  </conditionalFormatting>
  <conditionalFormatting sqref="AE11">
    <cfRule type="cellIs" dxfId="443" priority="97" operator="equal">
      <formula>"No"</formula>
    </cfRule>
    <cfRule type="cellIs" dxfId="442" priority="98" operator="equal">
      <formula>"NA"</formula>
    </cfRule>
    <cfRule type="cellIs" dxfId="441" priority="99" operator="equal">
      <formula>"Yes"</formula>
    </cfRule>
  </conditionalFormatting>
  <conditionalFormatting sqref="AF6">
    <cfRule type="cellIs" dxfId="440" priority="94" operator="equal">
      <formula>"No"</formula>
    </cfRule>
    <cfRule type="cellIs" dxfId="439" priority="95" operator="equal">
      <formula>"NA"</formula>
    </cfRule>
    <cfRule type="cellIs" dxfId="438" priority="96" operator="equal">
      <formula>"Yes"</formula>
    </cfRule>
  </conditionalFormatting>
  <conditionalFormatting sqref="AF10">
    <cfRule type="cellIs" dxfId="437" priority="91" operator="equal">
      <formula>"No"</formula>
    </cfRule>
    <cfRule type="cellIs" dxfId="436" priority="92" operator="equal">
      <formula>"NA"</formula>
    </cfRule>
    <cfRule type="cellIs" dxfId="435" priority="93" operator="equal">
      <formula>"Yes"</formula>
    </cfRule>
  </conditionalFormatting>
  <conditionalFormatting sqref="AF12">
    <cfRule type="cellIs" dxfId="434" priority="88" operator="equal">
      <formula>"No"</formula>
    </cfRule>
    <cfRule type="cellIs" dxfId="433" priority="89" operator="equal">
      <formula>"NA"</formula>
    </cfRule>
    <cfRule type="cellIs" dxfId="432" priority="90" operator="equal">
      <formula>"Yes"</formula>
    </cfRule>
  </conditionalFormatting>
  <conditionalFormatting sqref="AF13">
    <cfRule type="cellIs" dxfId="431" priority="85" operator="equal">
      <formula>"No"</formula>
    </cfRule>
    <cfRule type="cellIs" dxfId="430" priority="86" operator="equal">
      <formula>"NA"</formula>
    </cfRule>
    <cfRule type="cellIs" dxfId="429" priority="87" operator="equal">
      <formula>"Yes"</formula>
    </cfRule>
  </conditionalFormatting>
  <conditionalFormatting sqref="AF15">
    <cfRule type="cellIs" dxfId="428" priority="82" operator="equal">
      <formula>"No"</formula>
    </cfRule>
    <cfRule type="cellIs" dxfId="427" priority="83" operator="equal">
      <formula>"NA"</formula>
    </cfRule>
    <cfRule type="cellIs" dxfId="426" priority="84" operator="equal">
      <formula>"Yes"</formula>
    </cfRule>
  </conditionalFormatting>
  <conditionalFormatting sqref="AF14">
    <cfRule type="cellIs" dxfId="425" priority="79" operator="equal">
      <formula>"No"</formula>
    </cfRule>
    <cfRule type="cellIs" dxfId="424" priority="80" operator="equal">
      <formula>"NA"</formula>
    </cfRule>
    <cfRule type="cellIs" dxfId="423" priority="81" operator="equal">
      <formula>"Yes"</formula>
    </cfRule>
  </conditionalFormatting>
  <conditionalFormatting sqref="AF16">
    <cfRule type="cellIs" dxfId="422" priority="76" operator="equal">
      <formula>"No"</formula>
    </cfRule>
    <cfRule type="cellIs" dxfId="421" priority="77" operator="equal">
      <formula>"NA"</formula>
    </cfRule>
    <cfRule type="cellIs" dxfId="420" priority="78" operator="equal">
      <formula>"Yes"</formula>
    </cfRule>
  </conditionalFormatting>
  <conditionalFormatting sqref="AF17">
    <cfRule type="cellIs" dxfId="419" priority="73" operator="equal">
      <formula>"No"</formula>
    </cfRule>
    <cfRule type="cellIs" dxfId="418" priority="74" operator="equal">
      <formula>"NA"</formula>
    </cfRule>
    <cfRule type="cellIs" dxfId="417" priority="75" operator="equal">
      <formula>"Yes"</formula>
    </cfRule>
  </conditionalFormatting>
  <conditionalFormatting sqref="AF18">
    <cfRule type="cellIs" dxfId="416" priority="70" operator="equal">
      <formula>"No"</formula>
    </cfRule>
    <cfRule type="cellIs" dxfId="415" priority="71" operator="equal">
      <formula>"NA"</formula>
    </cfRule>
    <cfRule type="cellIs" dxfId="414" priority="72" operator="equal">
      <formula>"Yes"</formula>
    </cfRule>
  </conditionalFormatting>
  <conditionalFormatting sqref="AF19:AF23">
    <cfRule type="cellIs" dxfId="413" priority="67" operator="equal">
      <formula>"No"</formula>
    </cfRule>
    <cfRule type="cellIs" dxfId="412" priority="68" operator="equal">
      <formula>"NA"</formula>
    </cfRule>
    <cfRule type="cellIs" dxfId="411" priority="69" operator="equal">
      <formula>"Yes"</formula>
    </cfRule>
  </conditionalFormatting>
  <conditionalFormatting sqref="AF25:AF28">
    <cfRule type="cellIs" dxfId="410" priority="64" operator="equal">
      <formula>"No"</formula>
    </cfRule>
    <cfRule type="cellIs" dxfId="409" priority="65" operator="equal">
      <formula>"NA"</formula>
    </cfRule>
    <cfRule type="cellIs" dxfId="408" priority="66" operator="equal">
      <formula>"Yes"</formula>
    </cfRule>
  </conditionalFormatting>
  <conditionalFormatting sqref="AF30:AF31">
    <cfRule type="cellIs" dxfId="407" priority="61" operator="equal">
      <formula>"No"</formula>
    </cfRule>
    <cfRule type="cellIs" dxfId="406" priority="62" operator="equal">
      <formula>"NA"</formula>
    </cfRule>
    <cfRule type="cellIs" dxfId="405" priority="63" operator="equal">
      <formula>"Yes"</formula>
    </cfRule>
  </conditionalFormatting>
  <conditionalFormatting sqref="AF33">
    <cfRule type="cellIs" dxfId="404" priority="58" operator="equal">
      <formula>"No"</formula>
    </cfRule>
    <cfRule type="cellIs" dxfId="403" priority="59" operator="equal">
      <formula>"NA"</formula>
    </cfRule>
    <cfRule type="cellIs" dxfId="402" priority="60" operator="equal">
      <formula>"Yes"</formula>
    </cfRule>
  </conditionalFormatting>
  <conditionalFormatting sqref="AF9">
    <cfRule type="cellIs" dxfId="401" priority="55" operator="equal">
      <formula>"No"</formula>
    </cfRule>
    <cfRule type="cellIs" dxfId="400" priority="56" operator="equal">
      <formula>"NA"</formula>
    </cfRule>
    <cfRule type="cellIs" dxfId="399" priority="57" operator="equal">
      <formula>"Yes"</formula>
    </cfRule>
  </conditionalFormatting>
  <conditionalFormatting sqref="AF7">
    <cfRule type="cellIs" dxfId="398" priority="52" operator="equal">
      <formula>"No"</formula>
    </cfRule>
    <cfRule type="cellIs" dxfId="397" priority="53" operator="equal">
      <formula>"NA"</formula>
    </cfRule>
    <cfRule type="cellIs" dxfId="396" priority="54" operator="equal">
      <formula>"Yes"</formula>
    </cfRule>
  </conditionalFormatting>
  <conditionalFormatting sqref="AF11">
    <cfRule type="cellIs" dxfId="395" priority="49" operator="equal">
      <formula>"No"</formula>
    </cfRule>
    <cfRule type="cellIs" dxfId="394" priority="50" operator="equal">
      <formula>"NA"</formula>
    </cfRule>
    <cfRule type="cellIs" dxfId="393" priority="51" operator="equal">
      <formula>"Yes"</formula>
    </cfRule>
  </conditionalFormatting>
  <conditionalFormatting sqref="AG6">
    <cfRule type="cellIs" dxfId="392" priority="46" operator="equal">
      <formula>"No"</formula>
    </cfRule>
    <cfRule type="cellIs" dxfId="391" priority="47" operator="equal">
      <formula>"NA"</formula>
    </cfRule>
    <cfRule type="cellIs" dxfId="390" priority="48" operator="equal">
      <formula>"Yes"</formula>
    </cfRule>
  </conditionalFormatting>
  <conditionalFormatting sqref="AG10">
    <cfRule type="cellIs" dxfId="389" priority="43" operator="equal">
      <formula>"No"</formula>
    </cfRule>
    <cfRule type="cellIs" dxfId="388" priority="44" operator="equal">
      <formula>"NA"</formula>
    </cfRule>
    <cfRule type="cellIs" dxfId="387" priority="45" operator="equal">
      <formula>"Yes"</formula>
    </cfRule>
  </conditionalFormatting>
  <conditionalFormatting sqref="AG12">
    <cfRule type="cellIs" dxfId="386" priority="40" operator="equal">
      <formula>"No"</formula>
    </cfRule>
    <cfRule type="cellIs" dxfId="385" priority="41" operator="equal">
      <formula>"NA"</formula>
    </cfRule>
    <cfRule type="cellIs" dxfId="384" priority="42" operator="equal">
      <formula>"Yes"</formula>
    </cfRule>
  </conditionalFormatting>
  <conditionalFormatting sqref="AG13">
    <cfRule type="cellIs" dxfId="383" priority="37" operator="equal">
      <formula>"No"</formula>
    </cfRule>
    <cfRule type="cellIs" dxfId="382" priority="38" operator="equal">
      <formula>"NA"</formula>
    </cfRule>
    <cfRule type="cellIs" dxfId="381" priority="39" operator="equal">
      <formula>"Yes"</formula>
    </cfRule>
  </conditionalFormatting>
  <conditionalFormatting sqref="AG15">
    <cfRule type="cellIs" dxfId="380" priority="34" operator="equal">
      <formula>"No"</formula>
    </cfRule>
    <cfRule type="cellIs" dxfId="379" priority="35" operator="equal">
      <formula>"NA"</formula>
    </cfRule>
    <cfRule type="cellIs" dxfId="378" priority="36" operator="equal">
      <formula>"Yes"</formula>
    </cfRule>
  </conditionalFormatting>
  <conditionalFormatting sqref="AG14">
    <cfRule type="cellIs" dxfId="377" priority="31" operator="equal">
      <formula>"No"</formula>
    </cfRule>
    <cfRule type="cellIs" dxfId="376" priority="32" operator="equal">
      <formula>"NA"</formula>
    </cfRule>
    <cfRule type="cellIs" dxfId="375" priority="33" operator="equal">
      <formula>"Yes"</formula>
    </cfRule>
  </conditionalFormatting>
  <conditionalFormatting sqref="AG16">
    <cfRule type="cellIs" dxfId="374" priority="28" operator="equal">
      <formula>"No"</formula>
    </cfRule>
    <cfRule type="cellIs" dxfId="373" priority="29" operator="equal">
      <formula>"NA"</formula>
    </cfRule>
    <cfRule type="cellIs" dxfId="372" priority="30" operator="equal">
      <formula>"Yes"</formula>
    </cfRule>
  </conditionalFormatting>
  <conditionalFormatting sqref="AG17">
    <cfRule type="cellIs" dxfId="371" priority="25" operator="equal">
      <formula>"No"</formula>
    </cfRule>
    <cfRule type="cellIs" dxfId="370" priority="26" operator="equal">
      <formula>"NA"</formula>
    </cfRule>
    <cfRule type="cellIs" dxfId="369" priority="27" operator="equal">
      <formula>"Yes"</formula>
    </cfRule>
  </conditionalFormatting>
  <conditionalFormatting sqref="AG18">
    <cfRule type="cellIs" dxfId="368" priority="22" operator="equal">
      <formula>"No"</formula>
    </cfRule>
    <cfRule type="cellIs" dxfId="367" priority="23" operator="equal">
      <formula>"NA"</formula>
    </cfRule>
    <cfRule type="cellIs" dxfId="366" priority="24" operator="equal">
      <formula>"Yes"</formula>
    </cfRule>
  </conditionalFormatting>
  <conditionalFormatting sqref="AG19:AG23">
    <cfRule type="cellIs" dxfId="365" priority="19" operator="equal">
      <formula>"No"</formula>
    </cfRule>
    <cfRule type="cellIs" dxfId="364" priority="20" operator="equal">
      <formula>"NA"</formula>
    </cfRule>
    <cfRule type="cellIs" dxfId="363" priority="21" operator="equal">
      <formula>"Yes"</formula>
    </cfRule>
  </conditionalFormatting>
  <conditionalFormatting sqref="AG25:AG28">
    <cfRule type="cellIs" dxfId="362" priority="16" operator="equal">
      <formula>"No"</formula>
    </cfRule>
    <cfRule type="cellIs" dxfId="361" priority="17" operator="equal">
      <formula>"NA"</formula>
    </cfRule>
    <cfRule type="cellIs" dxfId="360" priority="18" operator="equal">
      <formula>"Yes"</formula>
    </cfRule>
  </conditionalFormatting>
  <conditionalFormatting sqref="AG30:AG31">
    <cfRule type="cellIs" dxfId="359" priority="13" operator="equal">
      <formula>"No"</formula>
    </cfRule>
    <cfRule type="cellIs" dxfId="358" priority="14" operator="equal">
      <formula>"NA"</formula>
    </cfRule>
    <cfRule type="cellIs" dxfId="357" priority="15" operator="equal">
      <formula>"Yes"</formula>
    </cfRule>
  </conditionalFormatting>
  <conditionalFormatting sqref="AG33">
    <cfRule type="cellIs" dxfId="356" priority="10" operator="equal">
      <formula>"No"</formula>
    </cfRule>
    <cfRule type="cellIs" dxfId="355" priority="11" operator="equal">
      <formula>"NA"</formula>
    </cfRule>
    <cfRule type="cellIs" dxfId="354" priority="12" operator="equal">
      <formula>"Yes"</formula>
    </cfRule>
  </conditionalFormatting>
  <conditionalFormatting sqref="AG9">
    <cfRule type="cellIs" dxfId="353" priority="7" operator="equal">
      <formula>"No"</formula>
    </cfRule>
    <cfRule type="cellIs" dxfId="352" priority="8" operator="equal">
      <formula>"NA"</formula>
    </cfRule>
    <cfRule type="cellIs" dxfId="351" priority="9" operator="equal">
      <formula>"Yes"</formula>
    </cfRule>
  </conditionalFormatting>
  <conditionalFormatting sqref="AG7">
    <cfRule type="cellIs" dxfId="350" priority="4" operator="equal">
      <formula>"No"</formula>
    </cfRule>
    <cfRule type="cellIs" dxfId="349" priority="5" operator="equal">
      <formula>"NA"</formula>
    </cfRule>
    <cfRule type="cellIs" dxfId="348" priority="6" operator="equal">
      <formula>"Yes"</formula>
    </cfRule>
  </conditionalFormatting>
  <conditionalFormatting sqref="AG11">
    <cfRule type="cellIs" dxfId="347" priority="1" operator="equal">
      <formula>"No"</formula>
    </cfRule>
    <cfRule type="cellIs" dxfId="346" priority="2" operator="equal">
      <formula>"NA"</formula>
    </cfRule>
    <cfRule type="cellIs" dxfId="345" priority="3" operator="equal">
      <formula>"Yes"</formula>
    </cfRule>
  </conditionalFormatting>
  <dataValidations count="1">
    <dataValidation type="list" allowBlank="1" showInputMessage="1" showErrorMessage="1" sqref="C25:AG28 C9:AG23 C6:AG7 C33:AG33 C30:AG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359</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318</v>
      </c>
      <c r="C5" s="162"/>
      <c r="D5" s="162"/>
      <c r="E5" s="229"/>
      <c r="F5" s="229"/>
    </row>
    <row r="6" spans="1:7" ht="25.5">
      <c r="A6" s="164" t="s">
        <v>801</v>
      </c>
      <c r="B6" s="173" t="s">
        <v>320</v>
      </c>
      <c r="C6" s="223"/>
      <c r="D6" s="224"/>
      <c r="E6" s="163"/>
      <c r="F6" s="163"/>
    </row>
    <row r="7" spans="1:7" ht="38.25">
      <c r="A7" s="164" t="s">
        <v>802</v>
      </c>
      <c r="B7" s="173" t="s">
        <v>422</v>
      </c>
      <c r="C7" s="223"/>
      <c r="D7" s="224"/>
      <c r="E7" s="165" t="s">
        <v>423</v>
      </c>
      <c r="F7" s="163"/>
    </row>
    <row r="8" spans="1:7" ht="38.25">
      <c r="A8" s="164" t="s">
        <v>803</v>
      </c>
      <c r="B8" s="173" t="s">
        <v>424</v>
      </c>
      <c r="C8" s="223"/>
      <c r="D8" s="224"/>
      <c r="E8" s="163"/>
      <c r="F8" s="163"/>
    </row>
    <row r="9" spans="1:7" ht="38.25">
      <c r="A9" s="164" t="s">
        <v>804</v>
      </c>
      <c r="B9" s="173" t="s">
        <v>425</v>
      </c>
      <c r="C9" s="223"/>
      <c r="D9" s="224"/>
      <c r="E9" s="163"/>
      <c r="F9" s="163"/>
    </row>
    <row r="10" spans="1:7" ht="25.5">
      <c r="A10" s="164" t="s">
        <v>805</v>
      </c>
      <c r="B10" s="173" t="s">
        <v>426</v>
      </c>
      <c r="C10" s="223"/>
      <c r="D10" s="224"/>
      <c r="E10" s="163"/>
      <c r="F10" s="163"/>
    </row>
    <row r="11" spans="1:7" ht="25.5">
      <c r="A11" s="164" t="s">
        <v>806</v>
      </c>
      <c r="B11" s="173" t="s">
        <v>321</v>
      </c>
      <c r="C11" s="223"/>
      <c r="D11" s="224"/>
      <c r="E11" s="163"/>
      <c r="F11" s="163"/>
    </row>
    <row r="12" spans="1:7" ht="51">
      <c r="A12" s="164" t="s">
        <v>807</v>
      </c>
      <c r="B12" s="173" t="s">
        <v>324</v>
      </c>
      <c r="C12" s="223"/>
      <c r="D12" s="224"/>
      <c r="E12" s="163"/>
      <c r="F12" s="163"/>
    </row>
    <row r="13" spans="1:7" ht="25.5">
      <c r="A13" s="164" t="s">
        <v>808</v>
      </c>
      <c r="B13" s="173" t="s">
        <v>427</v>
      </c>
      <c r="C13" s="223"/>
      <c r="D13" s="224"/>
      <c r="E13" s="163"/>
      <c r="F13" s="163"/>
    </row>
    <row r="14" spans="1:7" ht="38.25">
      <c r="A14" s="164" t="s">
        <v>809</v>
      </c>
      <c r="B14" s="173" t="s">
        <v>428</v>
      </c>
      <c r="C14" s="223"/>
      <c r="D14" s="224"/>
      <c r="E14" s="163"/>
      <c r="F14" s="163"/>
    </row>
    <row r="15" spans="1:7" ht="18.75">
      <c r="A15" s="161"/>
      <c r="B15" s="170" t="s">
        <v>319</v>
      </c>
      <c r="C15" s="162"/>
      <c r="D15" s="162"/>
      <c r="E15" s="229"/>
      <c r="F15" s="229"/>
    </row>
    <row r="16" spans="1:7" ht="63.75">
      <c r="A16" s="164" t="s">
        <v>810</v>
      </c>
      <c r="B16" s="173" t="s">
        <v>322</v>
      </c>
      <c r="C16" s="223"/>
      <c r="D16" s="224"/>
      <c r="E16" s="163"/>
      <c r="F16" s="163"/>
    </row>
    <row r="17" spans="1:6" ht="63.75">
      <c r="A17" s="164" t="s">
        <v>811</v>
      </c>
      <c r="B17" s="173" t="s">
        <v>323</v>
      </c>
      <c r="C17" s="223"/>
      <c r="D17" s="224"/>
      <c r="E17" s="163"/>
      <c r="F17" s="163"/>
    </row>
    <row r="18" spans="1:6" ht="51">
      <c r="A18" s="164" t="s">
        <v>812</v>
      </c>
      <c r="B18" s="173" t="s">
        <v>360</v>
      </c>
      <c r="C18" s="223"/>
      <c r="D18" s="224"/>
      <c r="E18" s="163"/>
      <c r="F18" s="163"/>
    </row>
    <row r="19" spans="1:6" ht="25.5">
      <c r="A19" s="164" t="s">
        <v>813</v>
      </c>
      <c r="B19" s="173" t="s">
        <v>325</v>
      </c>
      <c r="C19" s="223"/>
      <c r="D19" s="224"/>
      <c r="E19" s="163"/>
      <c r="F19" s="163"/>
    </row>
    <row r="20" spans="1:6" ht="18.75">
      <c r="A20" s="161"/>
      <c r="B20" s="170" t="s">
        <v>502</v>
      </c>
      <c r="C20" s="162"/>
      <c r="D20" s="162"/>
      <c r="E20" s="229"/>
      <c r="F20" s="229"/>
    </row>
    <row r="21" spans="1:6" ht="38.25">
      <c r="A21" s="164" t="s">
        <v>814</v>
      </c>
      <c r="B21" s="173" t="s">
        <v>524</v>
      </c>
      <c r="C21" s="223"/>
      <c r="D21" s="224"/>
      <c r="E21" s="163"/>
      <c r="F21" s="163"/>
    </row>
    <row r="22" spans="1:6" ht="38.25">
      <c r="A22" s="164" t="s">
        <v>815</v>
      </c>
      <c r="B22" s="173" t="s">
        <v>525</v>
      </c>
      <c r="C22" s="223"/>
      <c r="D22" s="224"/>
      <c r="E22" s="163"/>
      <c r="F22" s="163"/>
    </row>
    <row r="23" spans="1:6" ht="51">
      <c r="A23" s="164" t="s">
        <v>816</v>
      </c>
      <c r="B23" s="173" t="s">
        <v>817</v>
      </c>
      <c r="C23" s="223"/>
      <c r="D23" s="224"/>
      <c r="E23" s="163"/>
      <c r="F23" s="163"/>
    </row>
    <row r="24" spans="1:6" ht="18.75">
      <c r="A24" s="161"/>
      <c r="B24" s="170" t="s">
        <v>265</v>
      </c>
      <c r="C24" s="162"/>
      <c r="D24" s="162"/>
      <c r="E24" s="229"/>
      <c r="F24" s="229"/>
    </row>
    <row r="25" spans="1:6" ht="38.25">
      <c r="A25" s="164" t="s">
        <v>593</v>
      </c>
      <c r="B25" s="173" t="s">
        <v>214</v>
      </c>
      <c r="C25" s="223"/>
      <c r="D25" s="224"/>
      <c r="E25" s="163"/>
      <c r="F25" s="163"/>
    </row>
    <row r="26" spans="1:6" ht="25.5">
      <c r="A26" s="164" t="s">
        <v>594</v>
      </c>
      <c r="B26" s="173" t="s">
        <v>215</v>
      </c>
      <c r="C26" s="223"/>
      <c r="D26" s="224"/>
      <c r="E26" s="163"/>
      <c r="F26" s="163"/>
    </row>
    <row r="27" spans="1:6" ht="38.25">
      <c r="A27" s="164" t="s">
        <v>595</v>
      </c>
      <c r="B27" s="173" t="s">
        <v>216</v>
      </c>
      <c r="C27" s="223"/>
      <c r="D27" s="224"/>
      <c r="E27" s="163"/>
      <c r="F27" s="163"/>
    </row>
    <row r="28" spans="1:6" ht="38.25">
      <c r="A28" s="164" t="s">
        <v>596</v>
      </c>
      <c r="B28" s="173" t="s">
        <v>217</v>
      </c>
      <c r="C28" s="223"/>
      <c r="D28" s="224"/>
      <c r="E28" s="163"/>
      <c r="F28" s="163"/>
    </row>
    <row r="29" spans="1:6" ht="18.75">
      <c r="A29" s="161"/>
      <c r="B29" s="170" t="s">
        <v>266</v>
      </c>
      <c r="C29" s="162"/>
      <c r="D29" s="162"/>
      <c r="E29" s="229"/>
      <c r="F29" s="229"/>
    </row>
    <row r="30" spans="1:6" ht="38.25">
      <c r="A30" s="164" t="s">
        <v>597</v>
      </c>
      <c r="B30" s="173" t="s">
        <v>218</v>
      </c>
      <c r="C30" s="223"/>
      <c r="D30" s="224"/>
      <c r="E30" s="163"/>
      <c r="F30" s="163"/>
    </row>
    <row r="31" spans="1:6" ht="38.25">
      <c r="A31" s="164" t="s">
        <v>598</v>
      </c>
      <c r="B31" s="173" t="s">
        <v>219</v>
      </c>
      <c r="C31" s="223"/>
      <c r="D31" s="224"/>
      <c r="E31" s="163"/>
      <c r="F31" s="163"/>
    </row>
    <row r="32" spans="1:6" ht="18.75">
      <c r="A32" s="161"/>
      <c r="B32" s="170" t="s">
        <v>212</v>
      </c>
      <c r="C32" s="162"/>
      <c r="D32" s="162"/>
      <c r="E32" s="229"/>
      <c r="F32" s="229"/>
    </row>
    <row r="33" spans="1:6" ht="51">
      <c r="A33" s="164" t="s">
        <v>599</v>
      </c>
      <c r="B33" s="173" t="s">
        <v>213</v>
      </c>
      <c r="C33" s="223"/>
      <c r="D33" s="224"/>
      <c r="E33" s="163"/>
      <c r="F33" s="163"/>
    </row>
    <row r="34" spans="1:6" ht="18">
      <c r="A34" s="225"/>
      <c r="B34" s="226" t="s">
        <v>285</v>
      </c>
      <c r="C34" s="225"/>
      <c r="D34" s="225"/>
      <c r="E34" s="225"/>
      <c r="F34" s="225"/>
    </row>
    <row r="35" spans="1:6">
      <c r="A35" s="164"/>
      <c r="B35" s="173"/>
    </row>
    <row r="36" spans="1:6" ht="15">
      <c r="A36" s="227"/>
      <c r="B36" s="228" t="s">
        <v>618</v>
      </c>
      <c r="C36" s="227"/>
      <c r="D36" s="227"/>
      <c r="E36" s="227"/>
      <c r="F36" s="227"/>
    </row>
  </sheetData>
  <mergeCells count="1">
    <mergeCell ref="E2:F2"/>
  </mergeCells>
  <conditionalFormatting sqref="C6">
    <cfRule type="cellIs" dxfId="344" priority="1056" operator="equal">
      <formula>"No"</formula>
    </cfRule>
    <cfRule type="cellIs" dxfId="343" priority="1057" operator="equal">
      <formula>"NA"</formula>
    </cfRule>
    <cfRule type="cellIs" dxfId="342" priority="1058" operator="equal">
      <formula>"Yes"</formula>
    </cfRule>
  </conditionalFormatting>
  <conditionalFormatting sqref="C7">
    <cfRule type="cellIs" dxfId="341" priority="1010" operator="equal">
      <formula>"No"</formula>
    </cfRule>
    <cfRule type="cellIs" dxfId="340" priority="1011" operator="equal">
      <formula>"NA"</formula>
    </cfRule>
    <cfRule type="cellIs" dxfId="339" priority="1012" operator="equal">
      <formula>"Yes"</formula>
    </cfRule>
  </conditionalFormatting>
  <conditionalFormatting sqref="C8">
    <cfRule type="cellIs" dxfId="338" priority="964" operator="equal">
      <formula>"No"</formula>
    </cfRule>
    <cfRule type="cellIs" dxfId="337" priority="965" operator="equal">
      <formula>"NA"</formula>
    </cfRule>
    <cfRule type="cellIs" dxfId="336" priority="966" operator="equal">
      <formula>"Yes"</formula>
    </cfRule>
  </conditionalFormatting>
  <conditionalFormatting sqref="C9">
    <cfRule type="cellIs" dxfId="335" priority="918" operator="equal">
      <formula>"No"</formula>
    </cfRule>
    <cfRule type="cellIs" dxfId="334" priority="919" operator="equal">
      <formula>"NA"</formula>
    </cfRule>
    <cfRule type="cellIs" dxfId="333" priority="920" operator="equal">
      <formula>"Yes"</formula>
    </cfRule>
  </conditionalFormatting>
  <conditionalFormatting sqref="C10">
    <cfRule type="cellIs" dxfId="332" priority="872" operator="equal">
      <formula>"No"</formula>
    </cfRule>
    <cfRule type="cellIs" dxfId="331" priority="873" operator="equal">
      <formula>"NA"</formula>
    </cfRule>
    <cfRule type="cellIs" dxfId="330" priority="874" operator="equal">
      <formula>"Yes"</formula>
    </cfRule>
  </conditionalFormatting>
  <conditionalFormatting sqref="C11">
    <cfRule type="cellIs" dxfId="329" priority="826" operator="equal">
      <formula>"No"</formula>
    </cfRule>
    <cfRule type="cellIs" dxfId="328" priority="827" operator="equal">
      <formula>"NA"</formula>
    </cfRule>
    <cfRule type="cellIs" dxfId="327" priority="828" operator="equal">
      <formula>"Yes"</formula>
    </cfRule>
  </conditionalFormatting>
  <conditionalFormatting sqref="C12">
    <cfRule type="cellIs" dxfId="326" priority="780" operator="equal">
      <formula>"No"</formula>
    </cfRule>
    <cfRule type="cellIs" dxfId="325" priority="781" operator="equal">
      <formula>"NA"</formula>
    </cfRule>
    <cfRule type="cellIs" dxfId="324" priority="782" operator="equal">
      <formula>"Yes"</formula>
    </cfRule>
  </conditionalFormatting>
  <conditionalFormatting sqref="C13">
    <cfRule type="cellIs" dxfId="323" priority="734" operator="equal">
      <formula>"No"</formula>
    </cfRule>
    <cfRule type="cellIs" dxfId="322" priority="735" operator="equal">
      <formula>"NA"</formula>
    </cfRule>
    <cfRule type="cellIs" dxfId="321" priority="736" operator="equal">
      <formula>"Yes"</formula>
    </cfRule>
  </conditionalFormatting>
  <conditionalFormatting sqref="C14">
    <cfRule type="cellIs" dxfId="320" priority="688" operator="equal">
      <formula>"No"</formula>
    </cfRule>
    <cfRule type="cellIs" dxfId="319" priority="689" operator="equal">
      <formula>"NA"</formula>
    </cfRule>
    <cfRule type="cellIs" dxfId="318" priority="690" operator="equal">
      <formula>"Yes"</formula>
    </cfRule>
  </conditionalFormatting>
  <conditionalFormatting sqref="C16">
    <cfRule type="cellIs" dxfId="317" priority="642" operator="equal">
      <formula>"No"</formula>
    </cfRule>
    <cfRule type="cellIs" dxfId="316" priority="643" operator="equal">
      <formula>"NA"</formula>
    </cfRule>
    <cfRule type="cellIs" dxfId="315" priority="644" operator="equal">
      <formula>"Yes"</formula>
    </cfRule>
  </conditionalFormatting>
  <conditionalFormatting sqref="C17">
    <cfRule type="cellIs" dxfId="314" priority="596" operator="equal">
      <formula>"No"</formula>
    </cfRule>
    <cfRule type="cellIs" dxfId="313" priority="597" operator="equal">
      <formula>"NA"</formula>
    </cfRule>
    <cfRule type="cellIs" dxfId="312" priority="598" operator="equal">
      <formula>"Yes"</formula>
    </cfRule>
  </conditionalFormatting>
  <conditionalFormatting sqref="C18">
    <cfRule type="cellIs" dxfId="311" priority="550" operator="equal">
      <formula>"No"</formula>
    </cfRule>
    <cfRule type="cellIs" dxfId="310" priority="551" operator="equal">
      <formula>"NA"</formula>
    </cfRule>
    <cfRule type="cellIs" dxfId="309" priority="552" operator="equal">
      <formula>"Yes"</formula>
    </cfRule>
  </conditionalFormatting>
  <conditionalFormatting sqref="C19">
    <cfRule type="cellIs" dxfId="308" priority="504" operator="equal">
      <formula>"No"</formula>
    </cfRule>
    <cfRule type="cellIs" dxfId="307" priority="505" operator="equal">
      <formula>"NA"</formula>
    </cfRule>
    <cfRule type="cellIs" dxfId="306" priority="506" operator="equal">
      <formula>"Yes"</formula>
    </cfRule>
  </conditionalFormatting>
  <conditionalFormatting sqref="C21">
    <cfRule type="cellIs" dxfId="305" priority="458" operator="equal">
      <formula>"No"</formula>
    </cfRule>
    <cfRule type="cellIs" dxfId="304" priority="459" operator="equal">
      <formula>"NA"</formula>
    </cfRule>
    <cfRule type="cellIs" dxfId="303" priority="460" operator="equal">
      <formula>"Yes"</formula>
    </cfRule>
  </conditionalFormatting>
  <conditionalFormatting sqref="C22">
    <cfRule type="cellIs" dxfId="302" priority="412" operator="equal">
      <formula>"No"</formula>
    </cfRule>
    <cfRule type="cellIs" dxfId="301" priority="413" operator="equal">
      <formula>"NA"</formula>
    </cfRule>
    <cfRule type="cellIs" dxfId="300" priority="414" operator="equal">
      <formula>"Yes"</formula>
    </cfRule>
  </conditionalFormatting>
  <conditionalFormatting sqref="C23">
    <cfRule type="cellIs" dxfId="299" priority="366" operator="equal">
      <formula>"No"</formula>
    </cfRule>
    <cfRule type="cellIs" dxfId="298" priority="367" operator="equal">
      <formula>"NA"</formula>
    </cfRule>
    <cfRule type="cellIs" dxfId="297" priority="368" operator="equal">
      <formula>"Yes"</formula>
    </cfRule>
  </conditionalFormatting>
  <conditionalFormatting sqref="C25">
    <cfRule type="cellIs" dxfId="296" priority="320" operator="equal">
      <formula>"No"</formula>
    </cfRule>
    <cfRule type="cellIs" dxfId="295" priority="321" operator="equal">
      <formula>"NA"</formula>
    </cfRule>
    <cfRule type="cellIs" dxfId="294" priority="322" operator="equal">
      <formula>"Yes"</formula>
    </cfRule>
  </conditionalFormatting>
  <conditionalFormatting sqref="C26">
    <cfRule type="cellIs" dxfId="293" priority="274" operator="equal">
      <formula>"No"</formula>
    </cfRule>
    <cfRule type="cellIs" dxfId="292" priority="275" operator="equal">
      <formula>"NA"</formula>
    </cfRule>
    <cfRule type="cellIs" dxfId="291" priority="276" operator="equal">
      <formula>"Yes"</formula>
    </cfRule>
  </conditionalFormatting>
  <conditionalFormatting sqref="C27">
    <cfRule type="cellIs" dxfId="290" priority="228" operator="equal">
      <formula>"No"</formula>
    </cfRule>
    <cfRule type="cellIs" dxfId="289" priority="229" operator="equal">
      <formula>"NA"</formula>
    </cfRule>
    <cfRule type="cellIs" dxfId="288" priority="230" operator="equal">
      <formula>"Yes"</formula>
    </cfRule>
  </conditionalFormatting>
  <conditionalFormatting sqref="C28">
    <cfRule type="cellIs" dxfId="287" priority="182" operator="equal">
      <formula>"No"</formula>
    </cfRule>
    <cfRule type="cellIs" dxfId="286" priority="183" operator="equal">
      <formula>"NA"</formula>
    </cfRule>
    <cfRule type="cellIs" dxfId="285" priority="184" operator="equal">
      <formula>"Yes"</formula>
    </cfRule>
  </conditionalFormatting>
  <conditionalFormatting sqref="C30">
    <cfRule type="cellIs" dxfId="284" priority="136" operator="equal">
      <formula>"No"</formula>
    </cfRule>
    <cfRule type="cellIs" dxfId="283" priority="137" operator="equal">
      <formula>"NA"</formula>
    </cfRule>
    <cfRule type="cellIs" dxfId="282" priority="138" operator="equal">
      <formula>"Yes"</formula>
    </cfRule>
  </conditionalFormatting>
  <conditionalFormatting sqref="C31">
    <cfRule type="cellIs" dxfId="281" priority="90" operator="equal">
      <formula>"No"</formula>
    </cfRule>
    <cfRule type="cellIs" dxfId="280" priority="91" operator="equal">
      <formula>"NA"</formula>
    </cfRule>
    <cfRule type="cellIs" dxfId="279" priority="92" operator="equal">
      <formula>"Yes"</formula>
    </cfRule>
  </conditionalFormatting>
  <conditionalFormatting sqref="C33">
    <cfRule type="cellIs" dxfId="278" priority="44" operator="equal">
      <formula>"No"</formula>
    </cfRule>
    <cfRule type="cellIs" dxfId="277" priority="45" operator="equal">
      <formula>"NA"</formula>
    </cfRule>
    <cfRule type="cellIs" dxfId="276"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I38"/>
  <sheetViews>
    <sheetView zoomScale="130" zoomScaleNormal="130" workbookViewId="0">
      <pane xSplit="1" ySplit="3" topLeftCell="B30" activePane="bottomRight" state="frozen"/>
      <selection pane="topRight" activeCell="B1" sqref="B1"/>
      <selection pane="bottomLeft" activeCell="A4" sqref="A4"/>
      <selection pane="bottomRight" activeCell="E4" sqref="E4"/>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5" width="6.28515625" style="157" customWidth="1"/>
    <col min="6" max="6" width="33.7109375" style="157" customWidth="1"/>
    <col min="7" max="8" width="30.7109375" style="157" customWidth="1" outlineLevel="1"/>
    <col min="9" max="16384" width="9.28515625" style="157"/>
  </cols>
  <sheetData>
    <row r="2" spans="1:9" ht="69.75">
      <c r="A2" s="210" t="s">
        <v>228</v>
      </c>
      <c r="B2" s="211" t="s">
        <v>361</v>
      </c>
      <c r="C2" s="212" t="s">
        <v>942</v>
      </c>
      <c r="D2" s="212" t="s">
        <v>986</v>
      </c>
      <c r="E2" s="212" t="s">
        <v>1021</v>
      </c>
      <c r="F2" s="213" t="s">
        <v>293</v>
      </c>
      <c r="G2" s="379" t="s">
        <v>185</v>
      </c>
      <c r="H2" s="380"/>
    </row>
    <row r="3" spans="1:9" ht="18.75">
      <c r="A3" s="214"/>
      <c r="B3" s="215"/>
      <c r="C3" s="216">
        <f>COUNTIF(Review.ratings,"Yes") / ( COUNTA(Review.QuestionIds) - COUNTIF(Review.ratings,"NA"))</f>
        <v>0.88888888888888884</v>
      </c>
      <c r="D3" s="216">
        <f>COUNTIF(D6:D35,"Yes") / ( COUNTA(Review.QuestionIds) - COUNTIF(D6:D35,"NA"))</f>
        <v>1</v>
      </c>
      <c r="E3" s="216">
        <f>COUNTIF(E6:E35,"Yes") / ( COUNTA(Review.QuestionIds) - COUNTIF(E6:E35,"NA"))</f>
        <v>1</v>
      </c>
      <c r="F3" s="221"/>
      <c r="G3" s="229" t="s">
        <v>268</v>
      </c>
      <c r="H3" s="229" t="s">
        <v>269</v>
      </c>
      <c r="I3" s="222"/>
    </row>
    <row r="4" spans="1:9" ht="36">
      <c r="A4" s="217"/>
      <c r="B4" s="218" t="s">
        <v>317</v>
      </c>
      <c r="C4" s="219"/>
      <c r="D4" s="219"/>
      <c r="E4" s="219"/>
      <c r="F4" s="219"/>
      <c r="G4" s="219"/>
      <c r="H4" s="220"/>
      <c r="I4" s="25"/>
    </row>
    <row r="5" spans="1:9" ht="18.75">
      <c r="A5" s="161"/>
      <c r="B5" s="170" t="s">
        <v>318</v>
      </c>
      <c r="C5" s="162"/>
      <c r="D5" s="162"/>
      <c r="E5" s="162"/>
      <c r="F5" s="162"/>
      <c r="G5" s="229"/>
      <c r="H5" s="229"/>
    </row>
    <row r="6" spans="1:9" ht="25.5">
      <c r="A6" s="164" t="s">
        <v>801</v>
      </c>
      <c r="B6" s="173" t="s">
        <v>320</v>
      </c>
      <c r="C6" s="223" t="s">
        <v>220</v>
      </c>
      <c r="D6" s="223" t="s">
        <v>220</v>
      </c>
      <c r="E6" s="223" t="s">
        <v>220</v>
      </c>
      <c r="F6" s="224"/>
      <c r="G6" s="163"/>
      <c r="H6" s="163"/>
    </row>
    <row r="7" spans="1:9" ht="38.25">
      <c r="A7" s="164" t="s">
        <v>802</v>
      </c>
      <c r="B7" s="173" t="s">
        <v>422</v>
      </c>
      <c r="C7" s="223" t="s">
        <v>220</v>
      </c>
      <c r="D7" s="223" t="s">
        <v>220</v>
      </c>
      <c r="E7" s="223" t="s">
        <v>220</v>
      </c>
      <c r="F7" s="224"/>
      <c r="G7" s="165"/>
      <c r="H7" s="163"/>
    </row>
    <row r="8" spans="1:9" ht="25.5">
      <c r="A8" s="164" t="s">
        <v>806</v>
      </c>
      <c r="B8" s="173" t="s">
        <v>321</v>
      </c>
      <c r="C8" s="223" t="s">
        <v>220</v>
      </c>
      <c r="D8" s="223" t="s">
        <v>220</v>
      </c>
      <c r="E8" s="223" t="s">
        <v>220</v>
      </c>
      <c r="F8" s="224"/>
      <c r="G8" s="163"/>
      <c r="H8" s="163"/>
    </row>
    <row r="9" spans="1:9" ht="25.5">
      <c r="A9" s="164" t="s">
        <v>808</v>
      </c>
      <c r="B9" s="173" t="s">
        <v>427</v>
      </c>
      <c r="C9" s="223" t="s">
        <v>220</v>
      </c>
      <c r="D9" s="223" t="s">
        <v>220</v>
      </c>
      <c r="E9" s="223" t="s">
        <v>220</v>
      </c>
      <c r="F9" s="224"/>
      <c r="G9" s="163"/>
      <c r="H9" s="163"/>
    </row>
    <row r="10" spans="1:9" ht="38.25">
      <c r="A10" s="164" t="s">
        <v>809</v>
      </c>
      <c r="B10" s="173" t="s">
        <v>428</v>
      </c>
      <c r="C10" s="223" t="s">
        <v>220</v>
      </c>
      <c r="D10" s="223" t="s">
        <v>220</v>
      </c>
      <c r="E10" s="223" t="s">
        <v>220</v>
      </c>
      <c r="F10" s="224"/>
      <c r="G10" s="163"/>
      <c r="H10" s="163"/>
    </row>
    <row r="11" spans="1:9" ht="18.75">
      <c r="A11" s="161"/>
      <c r="B11" s="170" t="s">
        <v>319</v>
      </c>
      <c r="C11" s="162"/>
      <c r="D11" s="162"/>
      <c r="E11" s="162"/>
      <c r="F11" s="162"/>
      <c r="G11" s="229"/>
      <c r="H11" s="229"/>
    </row>
    <row r="12" spans="1:9" ht="63.75">
      <c r="A12" s="164" t="s">
        <v>810</v>
      </c>
      <c r="B12" s="173" t="s">
        <v>322</v>
      </c>
      <c r="C12" s="223" t="s">
        <v>11</v>
      </c>
      <c r="D12" s="223" t="s">
        <v>11</v>
      </c>
      <c r="E12" s="223" t="s">
        <v>11</v>
      </c>
      <c r="F12" s="238" t="s">
        <v>861</v>
      </c>
      <c r="G12" s="163"/>
      <c r="H12" s="163"/>
    </row>
    <row r="13" spans="1:9" ht="63.75">
      <c r="A13" s="164" t="s">
        <v>811</v>
      </c>
      <c r="B13" s="173" t="s">
        <v>323</v>
      </c>
      <c r="C13" s="223" t="s">
        <v>220</v>
      </c>
      <c r="D13" s="223" t="s">
        <v>220</v>
      </c>
      <c r="E13" s="223" t="s">
        <v>220</v>
      </c>
      <c r="F13" s="224"/>
      <c r="G13" s="163"/>
      <c r="H13" s="163"/>
    </row>
    <row r="14" spans="1:9" ht="51">
      <c r="A14" s="164" t="s">
        <v>812</v>
      </c>
      <c r="B14" s="173" t="s">
        <v>360</v>
      </c>
      <c r="C14" s="223" t="s">
        <v>220</v>
      </c>
      <c r="D14" s="223" t="s">
        <v>220</v>
      </c>
      <c r="E14" s="223" t="s">
        <v>220</v>
      </c>
      <c r="F14" s="224"/>
      <c r="G14" s="163"/>
      <c r="H14" s="163"/>
    </row>
    <row r="15" spans="1:9" ht="25.5">
      <c r="A15" s="164" t="s">
        <v>813</v>
      </c>
      <c r="B15" s="173" t="s">
        <v>325</v>
      </c>
      <c r="C15" s="223" t="s">
        <v>220</v>
      </c>
      <c r="D15" s="223" t="s">
        <v>220</v>
      </c>
      <c r="E15" s="223" t="s">
        <v>220</v>
      </c>
      <c r="F15" s="224"/>
      <c r="G15" s="163"/>
      <c r="H15" s="163"/>
    </row>
    <row r="16" spans="1:9" ht="18.75">
      <c r="A16" s="161"/>
      <c r="B16" s="170" t="s">
        <v>367</v>
      </c>
      <c r="C16" s="162"/>
      <c r="D16" s="162"/>
      <c r="E16" s="162"/>
      <c r="F16" s="162"/>
      <c r="G16" s="229"/>
      <c r="H16" s="229"/>
    </row>
    <row r="17" spans="1:8" ht="38.25">
      <c r="A17" s="164" t="s">
        <v>818</v>
      </c>
      <c r="B17" s="173" t="s">
        <v>526</v>
      </c>
      <c r="C17" s="223" t="s">
        <v>23</v>
      </c>
      <c r="D17" s="223" t="s">
        <v>220</v>
      </c>
      <c r="E17" s="223" t="s">
        <v>220</v>
      </c>
      <c r="F17" s="159" t="s">
        <v>987</v>
      </c>
      <c r="G17" s="163"/>
      <c r="H17" s="163"/>
    </row>
    <row r="18" spans="1:8" ht="76.5">
      <c r="A18" s="164" t="s">
        <v>819</v>
      </c>
      <c r="B18" s="173" t="s">
        <v>527</v>
      </c>
      <c r="C18" s="223" t="s">
        <v>23</v>
      </c>
      <c r="D18" s="223" t="s">
        <v>220</v>
      </c>
      <c r="E18" s="223" t="s">
        <v>220</v>
      </c>
      <c r="F18" s="159" t="s">
        <v>987</v>
      </c>
      <c r="G18" s="163"/>
      <c r="H18" s="163"/>
    </row>
    <row r="19" spans="1:8" ht="18.75">
      <c r="A19" s="161"/>
      <c r="B19" s="170" t="s">
        <v>502</v>
      </c>
      <c r="C19" s="162"/>
      <c r="D19" s="162"/>
      <c r="E19" s="162"/>
      <c r="F19" s="162"/>
      <c r="G19" s="229"/>
      <c r="H19" s="229"/>
    </row>
    <row r="20" spans="1:8" ht="51">
      <c r="A20" s="164" t="s">
        <v>820</v>
      </c>
      <c r="B20" s="173" t="s">
        <v>817</v>
      </c>
      <c r="C20" s="223" t="s">
        <v>11</v>
      </c>
      <c r="D20" s="223" t="s">
        <v>11</v>
      </c>
      <c r="E20" s="223" t="s">
        <v>11</v>
      </c>
      <c r="F20" s="238" t="s">
        <v>862</v>
      </c>
      <c r="G20" s="163"/>
      <c r="H20" s="163"/>
    </row>
    <row r="21" spans="1:8" ht="51">
      <c r="A21" s="164" t="s">
        <v>821</v>
      </c>
      <c r="B21" s="173" t="s">
        <v>822</v>
      </c>
      <c r="C21" s="223" t="s">
        <v>11</v>
      </c>
      <c r="D21" s="223" t="s">
        <v>11</v>
      </c>
      <c r="E21" s="223" t="s">
        <v>11</v>
      </c>
      <c r="F21" s="238" t="s">
        <v>862</v>
      </c>
      <c r="G21" s="163"/>
      <c r="H21" s="163"/>
    </row>
    <row r="22" spans="1:8" ht="51">
      <c r="A22" s="164" t="s">
        <v>823</v>
      </c>
      <c r="B22" s="173" t="s">
        <v>824</v>
      </c>
      <c r="C22" s="223" t="s">
        <v>11</v>
      </c>
      <c r="D22" s="223" t="s">
        <v>11</v>
      </c>
      <c r="E22" s="223" t="s">
        <v>11</v>
      </c>
      <c r="F22" s="238" t="s">
        <v>862</v>
      </c>
      <c r="G22" s="163"/>
      <c r="H22" s="163"/>
    </row>
    <row r="23" spans="1:8" ht="25.5">
      <c r="A23" s="164" t="s">
        <v>825</v>
      </c>
      <c r="B23" s="173" t="s">
        <v>528</v>
      </c>
      <c r="C23" s="223" t="s">
        <v>220</v>
      </c>
      <c r="D23" s="223" t="s">
        <v>220</v>
      </c>
      <c r="E23" s="223" t="s">
        <v>220</v>
      </c>
      <c r="F23" s="224"/>
      <c r="G23" s="163"/>
      <c r="H23" s="163"/>
    </row>
    <row r="24" spans="1:8" ht="51">
      <c r="A24" s="164" t="s">
        <v>826</v>
      </c>
      <c r="B24" s="173" t="s">
        <v>827</v>
      </c>
      <c r="C24" s="223" t="s">
        <v>11</v>
      </c>
      <c r="D24" s="223" t="s">
        <v>11</v>
      </c>
      <c r="E24" s="223" t="s">
        <v>11</v>
      </c>
      <c r="F24" s="238" t="s">
        <v>862</v>
      </c>
      <c r="G24" s="163"/>
      <c r="H24" s="163"/>
    </row>
    <row r="25" spans="1:8" ht="25.5">
      <c r="A25" s="164" t="s">
        <v>828</v>
      </c>
      <c r="B25" s="173" t="s">
        <v>529</v>
      </c>
      <c r="C25" s="223" t="s">
        <v>220</v>
      </c>
      <c r="D25" s="223" t="s">
        <v>220</v>
      </c>
      <c r="E25" s="223" t="s">
        <v>220</v>
      </c>
      <c r="F25" s="224"/>
      <c r="G25" s="163"/>
      <c r="H25" s="163"/>
    </row>
    <row r="26" spans="1:8" ht="18.75">
      <c r="A26" s="161"/>
      <c r="B26" s="170" t="s">
        <v>265</v>
      </c>
      <c r="C26" s="162"/>
      <c r="D26" s="162"/>
      <c r="E26" s="162"/>
      <c r="F26" s="162"/>
      <c r="G26" s="229"/>
      <c r="H26" s="229"/>
    </row>
    <row r="27" spans="1:8" ht="38.25">
      <c r="A27" s="164" t="s">
        <v>593</v>
      </c>
      <c r="B27" s="173" t="s">
        <v>214</v>
      </c>
      <c r="C27" s="223" t="s">
        <v>220</v>
      </c>
      <c r="D27" s="223" t="s">
        <v>220</v>
      </c>
      <c r="E27" s="223" t="s">
        <v>220</v>
      </c>
      <c r="F27" s="224"/>
      <c r="G27" s="163"/>
      <c r="H27" s="163"/>
    </row>
    <row r="28" spans="1:8" ht="25.5">
      <c r="A28" s="164" t="s">
        <v>594</v>
      </c>
      <c r="B28" s="173" t="s">
        <v>215</v>
      </c>
      <c r="C28" s="223" t="s">
        <v>220</v>
      </c>
      <c r="D28" s="223" t="s">
        <v>220</v>
      </c>
      <c r="E28" s="223" t="s">
        <v>220</v>
      </c>
      <c r="F28" s="224"/>
      <c r="G28" s="163"/>
      <c r="H28" s="163"/>
    </row>
    <row r="29" spans="1:8" ht="38.25">
      <c r="A29" s="164" t="s">
        <v>595</v>
      </c>
      <c r="B29" s="173" t="s">
        <v>216</v>
      </c>
      <c r="C29" s="223" t="s">
        <v>220</v>
      </c>
      <c r="D29" s="223" t="s">
        <v>220</v>
      </c>
      <c r="E29" s="223" t="s">
        <v>220</v>
      </c>
      <c r="F29" s="224"/>
      <c r="G29" s="163"/>
      <c r="H29" s="163"/>
    </row>
    <row r="30" spans="1:8" ht="38.25">
      <c r="A30" s="164" t="s">
        <v>596</v>
      </c>
      <c r="B30" s="173" t="s">
        <v>217</v>
      </c>
      <c r="C30" s="223" t="s">
        <v>220</v>
      </c>
      <c r="D30" s="223" t="s">
        <v>220</v>
      </c>
      <c r="E30" s="223" t="s">
        <v>220</v>
      </c>
      <c r="F30" s="224"/>
      <c r="G30" s="163"/>
      <c r="H30" s="163"/>
    </row>
    <row r="31" spans="1:8" ht="18.75">
      <c r="A31" s="161"/>
      <c r="B31" s="170" t="s">
        <v>266</v>
      </c>
      <c r="C31" s="162"/>
      <c r="D31" s="162"/>
      <c r="E31" s="162"/>
      <c r="F31" s="162"/>
      <c r="G31" s="229"/>
      <c r="H31" s="229"/>
    </row>
    <row r="32" spans="1:8" ht="38.25">
      <c r="A32" s="164" t="s">
        <v>597</v>
      </c>
      <c r="B32" s="173" t="s">
        <v>218</v>
      </c>
      <c r="C32" s="223" t="s">
        <v>220</v>
      </c>
      <c r="D32" s="223" t="s">
        <v>220</v>
      </c>
      <c r="E32" s="223" t="s">
        <v>220</v>
      </c>
      <c r="F32" s="224"/>
      <c r="G32" s="163"/>
      <c r="H32" s="163"/>
    </row>
    <row r="33" spans="1:8" ht="38.25">
      <c r="A33" s="164" t="s">
        <v>598</v>
      </c>
      <c r="B33" s="173" t="s">
        <v>219</v>
      </c>
      <c r="C33" s="223" t="s">
        <v>220</v>
      </c>
      <c r="D33" s="223" t="s">
        <v>220</v>
      </c>
      <c r="E33" s="223" t="s">
        <v>220</v>
      </c>
      <c r="F33" s="224"/>
      <c r="G33" s="163"/>
      <c r="H33" s="163"/>
    </row>
    <row r="34" spans="1:8" ht="18.75">
      <c r="A34" s="161"/>
      <c r="B34" s="170" t="s">
        <v>212</v>
      </c>
      <c r="C34" s="162"/>
      <c r="D34" s="162"/>
      <c r="E34" s="162"/>
      <c r="F34" s="162"/>
      <c r="G34" s="229"/>
      <c r="H34" s="229"/>
    </row>
    <row r="35" spans="1:8" ht="51">
      <c r="A35" s="164" t="s">
        <v>599</v>
      </c>
      <c r="B35" s="173" t="s">
        <v>213</v>
      </c>
      <c r="C35" s="223" t="s">
        <v>11</v>
      </c>
      <c r="D35" s="223" t="s">
        <v>11</v>
      </c>
      <c r="E35" s="223" t="s">
        <v>11</v>
      </c>
      <c r="F35" s="224"/>
      <c r="G35" s="163"/>
      <c r="H35" s="163"/>
    </row>
    <row r="36" spans="1:8" ht="18">
      <c r="A36" s="225"/>
      <c r="B36" s="226" t="s">
        <v>285</v>
      </c>
      <c r="C36" s="225"/>
      <c r="D36" s="225"/>
      <c r="E36" s="225"/>
      <c r="F36" s="225"/>
      <c r="G36" s="225"/>
      <c r="H36" s="225"/>
    </row>
    <row r="37" spans="1:8">
      <c r="A37" s="164"/>
      <c r="B37" s="173"/>
    </row>
    <row r="38" spans="1:8" ht="15">
      <c r="A38" s="227"/>
      <c r="B38" s="228" t="s">
        <v>618</v>
      </c>
      <c r="C38" s="227"/>
      <c r="D38" s="227"/>
      <c r="E38" s="227"/>
      <c r="F38" s="227"/>
      <c r="G38" s="227"/>
      <c r="H38" s="227"/>
    </row>
  </sheetData>
  <mergeCells count="1">
    <mergeCell ref="G2:H2"/>
  </mergeCells>
  <conditionalFormatting sqref="C6">
    <cfRule type="cellIs" dxfId="275" priority="142" operator="equal">
      <formula>"No"</formula>
    </cfRule>
    <cfRule type="cellIs" dxfId="274" priority="143" operator="equal">
      <formula>"NA"</formula>
    </cfRule>
    <cfRule type="cellIs" dxfId="273" priority="144" operator="equal">
      <formula>"Yes"</formula>
    </cfRule>
  </conditionalFormatting>
  <conditionalFormatting sqref="C7">
    <cfRule type="cellIs" dxfId="272" priority="139" operator="equal">
      <formula>"No"</formula>
    </cfRule>
    <cfRule type="cellIs" dxfId="271" priority="140" operator="equal">
      <formula>"NA"</formula>
    </cfRule>
    <cfRule type="cellIs" dxfId="270" priority="141" operator="equal">
      <formula>"Yes"</formula>
    </cfRule>
  </conditionalFormatting>
  <conditionalFormatting sqref="C8">
    <cfRule type="cellIs" dxfId="269" priority="136" operator="equal">
      <formula>"No"</formula>
    </cfRule>
    <cfRule type="cellIs" dxfId="268" priority="137" operator="equal">
      <formula>"NA"</formula>
    </cfRule>
    <cfRule type="cellIs" dxfId="267" priority="138" operator="equal">
      <formula>"Yes"</formula>
    </cfRule>
  </conditionalFormatting>
  <conditionalFormatting sqref="C9">
    <cfRule type="cellIs" dxfId="266" priority="133" operator="equal">
      <formula>"No"</formula>
    </cfRule>
    <cfRule type="cellIs" dxfId="265" priority="134" operator="equal">
      <formula>"NA"</formula>
    </cfRule>
    <cfRule type="cellIs" dxfId="264" priority="135" operator="equal">
      <formula>"Yes"</formula>
    </cfRule>
  </conditionalFormatting>
  <conditionalFormatting sqref="C10">
    <cfRule type="cellIs" dxfId="263" priority="130" operator="equal">
      <formula>"No"</formula>
    </cfRule>
    <cfRule type="cellIs" dxfId="262" priority="131" operator="equal">
      <formula>"NA"</formula>
    </cfRule>
    <cfRule type="cellIs" dxfId="261" priority="132" operator="equal">
      <formula>"Yes"</formula>
    </cfRule>
  </conditionalFormatting>
  <conditionalFormatting sqref="C12">
    <cfRule type="cellIs" dxfId="260" priority="127" operator="equal">
      <formula>"No"</formula>
    </cfRule>
    <cfRule type="cellIs" dxfId="259" priority="128" operator="equal">
      <formula>"NA"</formula>
    </cfRule>
    <cfRule type="cellIs" dxfId="258" priority="129" operator="equal">
      <formula>"Yes"</formula>
    </cfRule>
  </conditionalFormatting>
  <conditionalFormatting sqref="C13">
    <cfRule type="cellIs" dxfId="257" priority="124" operator="equal">
      <formula>"No"</formula>
    </cfRule>
    <cfRule type="cellIs" dxfId="256" priority="125" operator="equal">
      <formula>"NA"</formula>
    </cfRule>
    <cfRule type="cellIs" dxfId="255" priority="126" operator="equal">
      <formula>"Yes"</formula>
    </cfRule>
  </conditionalFormatting>
  <conditionalFormatting sqref="C14">
    <cfRule type="cellIs" dxfId="254" priority="121" operator="equal">
      <formula>"No"</formula>
    </cfRule>
    <cfRule type="cellIs" dxfId="253" priority="122" operator="equal">
      <formula>"NA"</formula>
    </cfRule>
    <cfRule type="cellIs" dxfId="252" priority="123" operator="equal">
      <formula>"Yes"</formula>
    </cfRule>
  </conditionalFormatting>
  <conditionalFormatting sqref="C15">
    <cfRule type="cellIs" dxfId="251" priority="118" operator="equal">
      <formula>"No"</formula>
    </cfRule>
    <cfRule type="cellIs" dxfId="250" priority="119" operator="equal">
      <formula>"NA"</formula>
    </cfRule>
    <cfRule type="cellIs" dxfId="249" priority="120" operator="equal">
      <formula>"Yes"</formula>
    </cfRule>
  </conditionalFormatting>
  <conditionalFormatting sqref="C17">
    <cfRule type="cellIs" dxfId="248" priority="115" operator="equal">
      <formula>"No"</formula>
    </cfRule>
    <cfRule type="cellIs" dxfId="247" priority="116" operator="equal">
      <formula>"NA"</formula>
    </cfRule>
    <cfRule type="cellIs" dxfId="246" priority="117" operator="equal">
      <formula>"Yes"</formula>
    </cfRule>
  </conditionalFormatting>
  <conditionalFormatting sqref="C18">
    <cfRule type="cellIs" dxfId="245" priority="112" operator="equal">
      <formula>"No"</formula>
    </cfRule>
    <cfRule type="cellIs" dxfId="244" priority="113" operator="equal">
      <formula>"NA"</formula>
    </cfRule>
    <cfRule type="cellIs" dxfId="243" priority="114" operator="equal">
      <formula>"Yes"</formula>
    </cfRule>
  </conditionalFormatting>
  <conditionalFormatting sqref="C20">
    <cfRule type="cellIs" dxfId="242" priority="109" operator="equal">
      <formula>"No"</formula>
    </cfRule>
    <cfRule type="cellIs" dxfId="241" priority="110" operator="equal">
      <formula>"NA"</formula>
    </cfRule>
    <cfRule type="cellIs" dxfId="240" priority="111" operator="equal">
      <formula>"Yes"</formula>
    </cfRule>
  </conditionalFormatting>
  <conditionalFormatting sqref="C21">
    <cfRule type="cellIs" dxfId="239" priority="106" operator="equal">
      <formula>"No"</formula>
    </cfRule>
    <cfRule type="cellIs" dxfId="238" priority="107" operator="equal">
      <formula>"NA"</formula>
    </cfRule>
    <cfRule type="cellIs" dxfId="237" priority="108" operator="equal">
      <formula>"Yes"</formula>
    </cfRule>
  </conditionalFormatting>
  <conditionalFormatting sqref="C22">
    <cfRule type="cellIs" dxfId="236" priority="103" operator="equal">
      <formula>"No"</formula>
    </cfRule>
    <cfRule type="cellIs" dxfId="235" priority="104" operator="equal">
      <formula>"NA"</formula>
    </cfRule>
    <cfRule type="cellIs" dxfId="234" priority="105" operator="equal">
      <formula>"Yes"</formula>
    </cfRule>
  </conditionalFormatting>
  <conditionalFormatting sqref="C23">
    <cfRule type="cellIs" dxfId="233" priority="100" operator="equal">
      <formula>"No"</formula>
    </cfRule>
    <cfRule type="cellIs" dxfId="232" priority="101" operator="equal">
      <formula>"NA"</formula>
    </cfRule>
    <cfRule type="cellIs" dxfId="231" priority="102" operator="equal">
      <formula>"Yes"</formula>
    </cfRule>
  </conditionalFormatting>
  <conditionalFormatting sqref="C24">
    <cfRule type="cellIs" dxfId="230" priority="97" operator="equal">
      <formula>"No"</formula>
    </cfRule>
    <cfRule type="cellIs" dxfId="229" priority="98" operator="equal">
      <formula>"NA"</formula>
    </cfRule>
    <cfRule type="cellIs" dxfId="228" priority="99" operator="equal">
      <formula>"Yes"</formula>
    </cfRule>
  </conditionalFormatting>
  <conditionalFormatting sqref="C25">
    <cfRule type="cellIs" dxfId="227" priority="94" operator="equal">
      <formula>"No"</formula>
    </cfRule>
    <cfRule type="cellIs" dxfId="226" priority="95" operator="equal">
      <formula>"NA"</formula>
    </cfRule>
    <cfRule type="cellIs" dxfId="225" priority="96" operator="equal">
      <formula>"Yes"</formula>
    </cfRule>
  </conditionalFormatting>
  <conditionalFormatting sqref="C27">
    <cfRule type="cellIs" dxfId="224" priority="91" operator="equal">
      <formula>"No"</formula>
    </cfRule>
    <cfRule type="cellIs" dxfId="223" priority="92" operator="equal">
      <formula>"NA"</formula>
    </cfRule>
    <cfRule type="cellIs" dxfId="222" priority="93" operator="equal">
      <formula>"Yes"</formula>
    </cfRule>
  </conditionalFormatting>
  <conditionalFormatting sqref="C28">
    <cfRule type="cellIs" dxfId="221" priority="88" operator="equal">
      <formula>"No"</formula>
    </cfRule>
    <cfRule type="cellIs" dxfId="220" priority="89" operator="equal">
      <formula>"NA"</formula>
    </cfRule>
    <cfRule type="cellIs" dxfId="219" priority="90" operator="equal">
      <formula>"Yes"</formula>
    </cfRule>
  </conditionalFormatting>
  <conditionalFormatting sqref="C29">
    <cfRule type="cellIs" dxfId="218" priority="85" operator="equal">
      <formula>"No"</formula>
    </cfRule>
    <cfRule type="cellIs" dxfId="217" priority="86" operator="equal">
      <formula>"NA"</formula>
    </cfRule>
    <cfRule type="cellIs" dxfId="216" priority="87" operator="equal">
      <formula>"Yes"</formula>
    </cfRule>
  </conditionalFormatting>
  <conditionalFormatting sqref="C30">
    <cfRule type="cellIs" dxfId="215" priority="82" operator="equal">
      <formula>"No"</formula>
    </cfRule>
    <cfRule type="cellIs" dxfId="214" priority="83" operator="equal">
      <formula>"NA"</formula>
    </cfRule>
    <cfRule type="cellIs" dxfId="213" priority="84" operator="equal">
      <formula>"Yes"</formula>
    </cfRule>
  </conditionalFormatting>
  <conditionalFormatting sqref="C32">
    <cfRule type="cellIs" dxfId="212" priority="79" operator="equal">
      <formula>"No"</formula>
    </cfRule>
    <cfRule type="cellIs" dxfId="211" priority="80" operator="equal">
      <formula>"NA"</formula>
    </cfRule>
    <cfRule type="cellIs" dxfId="210" priority="81" operator="equal">
      <formula>"Yes"</formula>
    </cfRule>
  </conditionalFormatting>
  <conditionalFormatting sqref="C33">
    <cfRule type="cellIs" dxfId="209" priority="76" operator="equal">
      <formula>"No"</formula>
    </cfRule>
    <cfRule type="cellIs" dxfId="208" priority="77" operator="equal">
      <formula>"NA"</formula>
    </cfRule>
    <cfRule type="cellIs" dxfId="207" priority="78" operator="equal">
      <formula>"Yes"</formula>
    </cfRule>
  </conditionalFormatting>
  <conditionalFormatting sqref="C35">
    <cfRule type="cellIs" dxfId="206" priority="73" operator="equal">
      <formula>"No"</formula>
    </cfRule>
    <cfRule type="cellIs" dxfId="205" priority="74" operator="equal">
      <formula>"NA"</formula>
    </cfRule>
    <cfRule type="cellIs" dxfId="204" priority="75" operator="equal">
      <formula>"Yes"</formula>
    </cfRule>
  </conditionalFormatting>
  <conditionalFormatting sqref="D6:E6">
    <cfRule type="cellIs" dxfId="203" priority="70" operator="equal">
      <formula>"No"</formula>
    </cfRule>
    <cfRule type="cellIs" dxfId="202" priority="71" operator="equal">
      <formula>"NA"</formula>
    </cfRule>
    <cfRule type="cellIs" dxfId="201" priority="72" operator="equal">
      <formula>"Yes"</formula>
    </cfRule>
  </conditionalFormatting>
  <conditionalFormatting sqref="D7:E7">
    <cfRule type="cellIs" dxfId="200" priority="67" operator="equal">
      <formula>"No"</formula>
    </cfRule>
    <cfRule type="cellIs" dxfId="199" priority="68" operator="equal">
      <formula>"NA"</formula>
    </cfRule>
    <cfRule type="cellIs" dxfId="198" priority="69" operator="equal">
      <formula>"Yes"</formula>
    </cfRule>
  </conditionalFormatting>
  <conditionalFormatting sqref="D8:E8">
    <cfRule type="cellIs" dxfId="197" priority="64" operator="equal">
      <formula>"No"</formula>
    </cfRule>
    <cfRule type="cellIs" dxfId="196" priority="65" operator="equal">
      <formula>"NA"</formula>
    </cfRule>
    <cfRule type="cellIs" dxfId="195" priority="66" operator="equal">
      <formula>"Yes"</formula>
    </cfRule>
  </conditionalFormatting>
  <conditionalFormatting sqref="D9:E9">
    <cfRule type="cellIs" dxfId="194" priority="61" operator="equal">
      <formula>"No"</formula>
    </cfRule>
    <cfRule type="cellIs" dxfId="193" priority="62" operator="equal">
      <formula>"NA"</formula>
    </cfRule>
    <cfRule type="cellIs" dxfId="192" priority="63" operator="equal">
      <formula>"Yes"</formula>
    </cfRule>
  </conditionalFormatting>
  <conditionalFormatting sqref="D10:E10">
    <cfRule type="cellIs" dxfId="191" priority="58" operator="equal">
      <formula>"No"</formula>
    </cfRule>
    <cfRule type="cellIs" dxfId="190" priority="59" operator="equal">
      <formula>"NA"</formula>
    </cfRule>
    <cfRule type="cellIs" dxfId="189" priority="60" operator="equal">
      <formula>"Yes"</formula>
    </cfRule>
  </conditionalFormatting>
  <conditionalFormatting sqref="D12:E12">
    <cfRule type="cellIs" dxfId="188" priority="55" operator="equal">
      <formula>"No"</formula>
    </cfRule>
    <cfRule type="cellIs" dxfId="187" priority="56" operator="equal">
      <formula>"NA"</formula>
    </cfRule>
    <cfRule type="cellIs" dxfId="186" priority="57" operator="equal">
      <formula>"Yes"</formula>
    </cfRule>
  </conditionalFormatting>
  <conditionalFormatting sqref="D13:E13">
    <cfRule type="cellIs" dxfId="185" priority="52" operator="equal">
      <formula>"No"</formula>
    </cfRule>
    <cfRule type="cellIs" dxfId="184" priority="53" operator="equal">
      <formula>"NA"</formula>
    </cfRule>
    <cfRule type="cellIs" dxfId="183" priority="54" operator="equal">
      <formula>"Yes"</formula>
    </cfRule>
  </conditionalFormatting>
  <conditionalFormatting sqref="D14:E14">
    <cfRule type="cellIs" dxfId="182" priority="49" operator="equal">
      <formula>"No"</formula>
    </cfRule>
    <cfRule type="cellIs" dxfId="181" priority="50" operator="equal">
      <formula>"NA"</formula>
    </cfRule>
    <cfRule type="cellIs" dxfId="180" priority="51" operator="equal">
      <formula>"Yes"</formula>
    </cfRule>
  </conditionalFormatting>
  <conditionalFormatting sqref="D15:E15">
    <cfRule type="cellIs" dxfId="179" priority="46" operator="equal">
      <formula>"No"</formula>
    </cfRule>
    <cfRule type="cellIs" dxfId="178" priority="47" operator="equal">
      <formula>"NA"</formula>
    </cfRule>
    <cfRule type="cellIs" dxfId="177" priority="48" operator="equal">
      <formula>"Yes"</formula>
    </cfRule>
  </conditionalFormatting>
  <conditionalFormatting sqref="D17:E17">
    <cfRule type="cellIs" dxfId="176" priority="43" operator="equal">
      <formula>"No"</formula>
    </cfRule>
    <cfRule type="cellIs" dxfId="175" priority="44" operator="equal">
      <formula>"NA"</formula>
    </cfRule>
    <cfRule type="cellIs" dxfId="174" priority="45" operator="equal">
      <formula>"Yes"</formula>
    </cfRule>
  </conditionalFormatting>
  <conditionalFormatting sqref="D18:E18">
    <cfRule type="cellIs" dxfId="173" priority="40" operator="equal">
      <formula>"No"</formula>
    </cfRule>
    <cfRule type="cellIs" dxfId="172" priority="41" operator="equal">
      <formula>"NA"</formula>
    </cfRule>
    <cfRule type="cellIs" dxfId="171" priority="42" operator="equal">
      <formula>"Yes"</formula>
    </cfRule>
  </conditionalFormatting>
  <conditionalFormatting sqref="D20:E20">
    <cfRule type="cellIs" dxfId="170" priority="37" operator="equal">
      <formula>"No"</formula>
    </cfRule>
    <cfRule type="cellIs" dxfId="169" priority="38" operator="equal">
      <formula>"NA"</formula>
    </cfRule>
    <cfRule type="cellIs" dxfId="168" priority="39" operator="equal">
      <formula>"Yes"</formula>
    </cfRule>
  </conditionalFormatting>
  <conditionalFormatting sqref="D21:E21">
    <cfRule type="cellIs" dxfId="167" priority="34" operator="equal">
      <formula>"No"</formula>
    </cfRule>
    <cfRule type="cellIs" dxfId="166" priority="35" operator="equal">
      <formula>"NA"</formula>
    </cfRule>
    <cfRule type="cellIs" dxfId="165" priority="36" operator="equal">
      <formula>"Yes"</formula>
    </cfRule>
  </conditionalFormatting>
  <conditionalFormatting sqref="D22:E22">
    <cfRule type="cellIs" dxfId="164" priority="31" operator="equal">
      <formula>"No"</formula>
    </cfRule>
    <cfRule type="cellIs" dxfId="163" priority="32" operator="equal">
      <formula>"NA"</formula>
    </cfRule>
    <cfRule type="cellIs" dxfId="162" priority="33" operator="equal">
      <formula>"Yes"</formula>
    </cfRule>
  </conditionalFormatting>
  <conditionalFormatting sqref="D23:E23">
    <cfRule type="cellIs" dxfId="161" priority="28" operator="equal">
      <formula>"No"</formula>
    </cfRule>
    <cfRule type="cellIs" dxfId="160" priority="29" operator="equal">
      <formula>"NA"</formula>
    </cfRule>
    <cfRule type="cellIs" dxfId="159" priority="30" operator="equal">
      <formula>"Yes"</formula>
    </cfRule>
  </conditionalFormatting>
  <conditionalFormatting sqref="D24:E24">
    <cfRule type="cellIs" dxfId="158" priority="25" operator="equal">
      <formula>"No"</formula>
    </cfRule>
    <cfRule type="cellIs" dxfId="157" priority="26" operator="equal">
      <formula>"NA"</formula>
    </cfRule>
    <cfRule type="cellIs" dxfId="156" priority="27" operator="equal">
      <formula>"Yes"</formula>
    </cfRule>
  </conditionalFormatting>
  <conditionalFormatting sqref="D25:E25">
    <cfRule type="cellIs" dxfId="155" priority="22" operator="equal">
      <formula>"No"</formula>
    </cfRule>
    <cfRule type="cellIs" dxfId="154" priority="23" operator="equal">
      <formula>"NA"</formula>
    </cfRule>
    <cfRule type="cellIs" dxfId="153" priority="24" operator="equal">
      <formula>"Yes"</formula>
    </cfRule>
  </conditionalFormatting>
  <conditionalFormatting sqref="D27:E27">
    <cfRule type="cellIs" dxfId="152" priority="19" operator="equal">
      <formula>"No"</formula>
    </cfRule>
    <cfRule type="cellIs" dxfId="151" priority="20" operator="equal">
      <formula>"NA"</formula>
    </cfRule>
    <cfRule type="cellIs" dxfId="150" priority="21" operator="equal">
      <formula>"Yes"</formula>
    </cfRule>
  </conditionalFormatting>
  <conditionalFormatting sqref="D28:E28">
    <cfRule type="cellIs" dxfId="149" priority="16" operator="equal">
      <formula>"No"</formula>
    </cfRule>
    <cfRule type="cellIs" dxfId="148" priority="17" operator="equal">
      <formula>"NA"</formula>
    </cfRule>
    <cfRule type="cellIs" dxfId="147" priority="18" operator="equal">
      <formula>"Yes"</formula>
    </cfRule>
  </conditionalFormatting>
  <conditionalFormatting sqref="D29:E29">
    <cfRule type="cellIs" dxfId="146" priority="13" operator="equal">
      <formula>"No"</formula>
    </cfRule>
    <cfRule type="cellIs" dxfId="145" priority="14" operator="equal">
      <formula>"NA"</formula>
    </cfRule>
    <cfRule type="cellIs" dxfId="144" priority="15" operator="equal">
      <formula>"Yes"</formula>
    </cfRule>
  </conditionalFormatting>
  <conditionalFormatting sqref="D30:E30">
    <cfRule type="cellIs" dxfId="143" priority="10" operator="equal">
      <formula>"No"</formula>
    </cfRule>
    <cfRule type="cellIs" dxfId="142" priority="11" operator="equal">
      <formula>"NA"</formula>
    </cfRule>
    <cfRule type="cellIs" dxfId="141" priority="12" operator="equal">
      <formula>"Yes"</formula>
    </cfRule>
  </conditionalFormatting>
  <conditionalFormatting sqref="D32:E32">
    <cfRule type="cellIs" dxfId="140" priority="7" operator="equal">
      <formula>"No"</formula>
    </cfRule>
    <cfRule type="cellIs" dxfId="139" priority="8" operator="equal">
      <formula>"NA"</formula>
    </cfRule>
    <cfRule type="cellIs" dxfId="138" priority="9" operator="equal">
      <formula>"Yes"</formula>
    </cfRule>
  </conditionalFormatting>
  <conditionalFormatting sqref="D33:E33">
    <cfRule type="cellIs" dxfId="137" priority="4" operator="equal">
      <formula>"No"</formula>
    </cfRule>
    <cfRule type="cellIs" dxfId="136" priority="5" operator="equal">
      <formula>"NA"</formula>
    </cfRule>
    <cfRule type="cellIs" dxfId="135" priority="6" operator="equal">
      <formula>"Yes"</formula>
    </cfRule>
  </conditionalFormatting>
  <conditionalFormatting sqref="D35:E35">
    <cfRule type="cellIs" dxfId="134" priority="1" operator="equal">
      <formula>"No"</formula>
    </cfRule>
    <cfRule type="cellIs" dxfId="133" priority="2" operator="equal">
      <formula>"NA"</formula>
    </cfRule>
    <cfRule type="cellIs" dxfId="132" priority="3" operator="equal">
      <formula>"Yes"</formula>
    </cfRule>
  </conditionalFormatting>
  <dataValidations count="1">
    <dataValidation type="list" allowBlank="1" showInputMessage="1" showErrorMessage="1" sqref="C17:E18 C20:E25 C27:E30 C32:E33 C35:E35 C6:E10 C12:E15" xr:uid="{39746F01-FC7F-483B-99F6-90D1254868C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429</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318</v>
      </c>
      <c r="C5" s="162"/>
      <c r="D5" s="162"/>
      <c r="E5" s="229"/>
      <c r="F5" s="229"/>
    </row>
    <row r="6" spans="1:7" ht="25.5">
      <c r="A6" s="164" t="s">
        <v>801</v>
      </c>
      <c r="B6" s="173" t="s">
        <v>320</v>
      </c>
      <c r="C6" s="223"/>
      <c r="D6" s="224"/>
      <c r="E6" s="163"/>
      <c r="F6" s="163"/>
    </row>
    <row r="7" spans="1:7" ht="38.25">
      <c r="A7" s="164" t="s">
        <v>802</v>
      </c>
      <c r="B7" s="173" t="s">
        <v>422</v>
      </c>
      <c r="C7" s="223"/>
      <c r="D7" s="224"/>
      <c r="E7" s="165" t="s">
        <v>423</v>
      </c>
      <c r="F7" s="163"/>
    </row>
    <row r="8" spans="1:7" ht="25.5">
      <c r="A8" s="164" t="s">
        <v>805</v>
      </c>
      <c r="B8" s="173" t="s">
        <v>426</v>
      </c>
      <c r="C8" s="223"/>
      <c r="D8" s="224"/>
      <c r="E8" s="163"/>
      <c r="F8" s="163"/>
    </row>
    <row r="9" spans="1:7" ht="25.5">
      <c r="A9" s="164" t="s">
        <v>806</v>
      </c>
      <c r="B9" s="173" t="s">
        <v>321</v>
      </c>
      <c r="C9" s="223"/>
      <c r="D9" s="224"/>
      <c r="E9" s="163"/>
      <c r="F9" s="163"/>
    </row>
    <row r="10" spans="1:7" ht="25.5">
      <c r="A10" s="164" t="s">
        <v>808</v>
      </c>
      <c r="B10" s="173" t="s">
        <v>427</v>
      </c>
      <c r="C10" s="223"/>
      <c r="D10" s="224"/>
      <c r="E10" s="163"/>
      <c r="F10" s="163"/>
    </row>
    <row r="11" spans="1:7" ht="38.25">
      <c r="A11" s="164" t="s">
        <v>809</v>
      </c>
      <c r="B11" s="173" t="s">
        <v>428</v>
      </c>
      <c r="C11" s="223"/>
      <c r="D11" s="224"/>
      <c r="E11" s="163"/>
      <c r="F11" s="163"/>
    </row>
    <row r="12" spans="1:7" ht="18.75">
      <c r="A12" s="161"/>
      <c r="B12" s="170" t="s">
        <v>319</v>
      </c>
      <c r="C12" s="162"/>
      <c r="D12" s="162"/>
      <c r="E12" s="229"/>
      <c r="F12" s="229"/>
    </row>
    <row r="13" spans="1:7" ht="63.75">
      <c r="A13" s="164" t="s">
        <v>811</v>
      </c>
      <c r="B13" s="173" t="s">
        <v>323</v>
      </c>
      <c r="C13" s="223"/>
      <c r="D13" s="224"/>
      <c r="E13" s="163"/>
      <c r="F13" s="163"/>
    </row>
    <row r="14" spans="1:7" ht="51">
      <c r="A14" s="164" t="s">
        <v>812</v>
      </c>
      <c r="B14" s="173" t="s">
        <v>360</v>
      </c>
      <c r="C14" s="223"/>
      <c r="D14" s="224"/>
      <c r="E14" s="163"/>
      <c r="F14" s="163"/>
    </row>
    <row r="15" spans="1:7" ht="25.5">
      <c r="A15" s="164" t="s">
        <v>813</v>
      </c>
      <c r="B15" s="173" t="s">
        <v>325</v>
      </c>
      <c r="C15" s="223"/>
      <c r="D15" s="224"/>
      <c r="E15" s="163"/>
      <c r="F15" s="163"/>
    </row>
    <row r="16" spans="1:7" ht="18.75">
      <c r="A16" s="161"/>
      <c r="B16" s="170" t="s">
        <v>265</v>
      </c>
      <c r="C16" s="162"/>
      <c r="D16" s="162"/>
      <c r="E16" s="229"/>
      <c r="F16" s="229"/>
    </row>
    <row r="17" spans="1:6" ht="38.25">
      <c r="A17" s="164" t="s">
        <v>593</v>
      </c>
      <c r="B17" s="173" t="s">
        <v>214</v>
      </c>
      <c r="C17" s="223"/>
      <c r="D17" s="224"/>
      <c r="E17" s="163"/>
      <c r="F17" s="163"/>
    </row>
    <row r="18" spans="1:6" ht="25.5">
      <c r="A18" s="164" t="s">
        <v>594</v>
      </c>
      <c r="B18" s="173" t="s">
        <v>215</v>
      </c>
      <c r="C18" s="223"/>
      <c r="D18" s="224"/>
      <c r="E18" s="163"/>
      <c r="F18" s="163"/>
    </row>
    <row r="19" spans="1:6" ht="38.25">
      <c r="A19" s="164" t="s">
        <v>595</v>
      </c>
      <c r="B19" s="173" t="s">
        <v>216</v>
      </c>
      <c r="C19" s="223"/>
      <c r="D19" s="224"/>
      <c r="E19" s="163"/>
      <c r="F19" s="163"/>
    </row>
    <row r="20" spans="1:6" ht="38.25">
      <c r="A20" s="164" t="s">
        <v>596</v>
      </c>
      <c r="B20" s="173" t="s">
        <v>217</v>
      </c>
      <c r="C20" s="223"/>
      <c r="D20" s="224"/>
      <c r="E20" s="163"/>
      <c r="F20" s="163"/>
    </row>
    <row r="21" spans="1:6" ht="18.75">
      <c r="A21" s="161"/>
      <c r="B21" s="170" t="s">
        <v>266</v>
      </c>
      <c r="C21" s="162"/>
      <c r="D21" s="162"/>
      <c r="E21" s="229"/>
      <c r="F21" s="229"/>
    </row>
    <row r="22" spans="1:6" ht="38.25">
      <c r="A22" s="164" t="s">
        <v>597</v>
      </c>
      <c r="B22" s="173" t="s">
        <v>218</v>
      </c>
      <c r="C22" s="223"/>
      <c r="D22" s="224"/>
      <c r="E22" s="163"/>
      <c r="F22" s="163"/>
    </row>
    <row r="23" spans="1:6" ht="38.25">
      <c r="A23" s="164" t="s">
        <v>598</v>
      </c>
      <c r="B23" s="173" t="s">
        <v>219</v>
      </c>
      <c r="C23" s="223"/>
      <c r="D23" s="224"/>
      <c r="E23" s="163"/>
      <c r="F23" s="163"/>
    </row>
    <row r="24" spans="1:6" ht="18.75">
      <c r="A24" s="161"/>
      <c r="B24" s="170" t="s">
        <v>212</v>
      </c>
      <c r="C24" s="162"/>
      <c r="D24" s="162"/>
      <c r="E24" s="229"/>
      <c r="F24" s="229"/>
    </row>
    <row r="25" spans="1:6" ht="51">
      <c r="A25" s="164" t="s">
        <v>599</v>
      </c>
      <c r="B25" s="173" t="s">
        <v>213</v>
      </c>
      <c r="C25" s="223"/>
      <c r="D25" s="224"/>
      <c r="E25" s="163"/>
      <c r="F25" s="163"/>
    </row>
    <row r="26" spans="1:6" ht="18">
      <c r="A26" s="225"/>
      <c r="B26" s="226" t="s">
        <v>285</v>
      </c>
      <c r="C26" s="225"/>
      <c r="D26" s="225"/>
      <c r="E26" s="225"/>
      <c r="F26" s="225"/>
    </row>
    <row r="27" spans="1:6">
      <c r="A27" s="164"/>
      <c r="B27" s="173"/>
    </row>
    <row r="28" spans="1:6" ht="15">
      <c r="A28" s="227"/>
      <c r="B28" s="228" t="s">
        <v>618</v>
      </c>
      <c r="C28" s="227"/>
      <c r="D28" s="227"/>
      <c r="E28" s="227"/>
      <c r="F28" s="227"/>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362</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248</v>
      </c>
      <c r="C5" s="162"/>
      <c r="D5" s="162"/>
      <c r="E5" s="229"/>
      <c r="F5" s="229"/>
    </row>
    <row r="6" spans="1:7" ht="63.75">
      <c r="A6" s="164" t="s">
        <v>829</v>
      </c>
      <c r="B6" s="173" t="s">
        <v>430</v>
      </c>
      <c r="C6" s="223"/>
      <c r="D6" s="224"/>
      <c r="E6" s="163"/>
      <c r="F6" s="163"/>
    </row>
    <row r="7" spans="1:7" ht="25.5">
      <c r="A7" s="164" t="s">
        <v>830</v>
      </c>
      <c r="B7" s="173" t="s">
        <v>431</v>
      </c>
      <c r="C7" s="223"/>
      <c r="D7" s="224"/>
      <c r="E7" s="163"/>
      <c r="F7" s="163"/>
    </row>
    <row r="8" spans="1:7" ht="25.5">
      <c r="A8" s="164" t="s">
        <v>831</v>
      </c>
      <c r="B8" s="173" t="s">
        <v>432</v>
      </c>
      <c r="C8" s="223"/>
      <c r="D8" s="224"/>
      <c r="E8" s="163"/>
      <c r="F8" s="163"/>
    </row>
    <row r="9" spans="1:7" ht="25.5">
      <c r="A9" s="164" t="s">
        <v>832</v>
      </c>
      <c r="B9" s="173" t="s">
        <v>433</v>
      </c>
      <c r="C9" s="223"/>
      <c r="D9" s="224"/>
      <c r="E9" s="163"/>
      <c r="F9" s="163"/>
    </row>
    <row r="10" spans="1:7" ht="18.75">
      <c r="A10" s="161"/>
      <c r="B10" s="170" t="s">
        <v>265</v>
      </c>
      <c r="C10" s="162"/>
      <c r="D10" s="162"/>
      <c r="E10" s="229"/>
      <c r="F10" s="229"/>
    </row>
    <row r="11" spans="1:7" ht="38.25">
      <c r="A11" s="164" t="s">
        <v>593</v>
      </c>
      <c r="B11" s="173" t="s">
        <v>214</v>
      </c>
      <c r="C11" s="223"/>
      <c r="D11" s="224"/>
      <c r="E11" s="163"/>
      <c r="F11" s="163"/>
    </row>
    <row r="12" spans="1:7" ht="25.5">
      <c r="A12" s="164" t="s">
        <v>594</v>
      </c>
      <c r="B12" s="173" t="s">
        <v>215</v>
      </c>
      <c r="C12" s="223"/>
      <c r="D12" s="224"/>
      <c r="E12" s="163"/>
      <c r="F12" s="163"/>
    </row>
    <row r="13" spans="1:7" ht="38.25">
      <c r="A13" s="164" t="s">
        <v>595</v>
      </c>
      <c r="B13" s="173" t="s">
        <v>216</v>
      </c>
      <c r="C13" s="223"/>
      <c r="D13" s="224"/>
      <c r="E13" s="163"/>
      <c r="F13" s="163"/>
    </row>
    <row r="14" spans="1:7" ht="38.25">
      <c r="A14" s="164" t="s">
        <v>596</v>
      </c>
      <c r="B14" s="173" t="s">
        <v>217</v>
      </c>
      <c r="C14" s="223"/>
      <c r="D14" s="224"/>
      <c r="E14" s="163"/>
      <c r="F14" s="163"/>
    </row>
    <row r="15" spans="1:7" ht="18.75">
      <c r="A15" s="161"/>
      <c r="B15" s="170" t="s">
        <v>266</v>
      </c>
      <c r="C15" s="162"/>
      <c r="D15" s="162"/>
      <c r="E15" s="229"/>
      <c r="F15" s="229"/>
    </row>
    <row r="16" spans="1:7" ht="38.25">
      <c r="A16" s="164" t="s">
        <v>597</v>
      </c>
      <c r="B16" s="173" t="s">
        <v>218</v>
      </c>
      <c r="C16" s="223"/>
      <c r="D16" s="224"/>
      <c r="E16" s="163"/>
      <c r="F16" s="163"/>
    </row>
    <row r="17" spans="1:6" ht="38.25">
      <c r="A17" s="164" t="s">
        <v>598</v>
      </c>
      <c r="B17" s="173" t="s">
        <v>219</v>
      </c>
      <c r="C17" s="223"/>
      <c r="D17" s="224"/>
      <c r="E17" s="163"/>
      <c r="F17" s="163"/>
    </row>
    <row r="18" spans="1:6" ht="18.75">
      <c r="A18" s="161"/>
      <c r="B18" s="170" t="s">
        <v>212</v>
      </c>
      <c r="C18" s="162"/>
      <c r="D18" s="162"/>
      <c r="E18" s="229"/>
      <c r="F18" s="229"/>
    </row>
    <row r="19" spans="1:6" ht="51">
      <c r="A19" s="164" t="s">
        <v>599</v>
      </c>
      <c r="B19" s="173" t="s">
        <v>213</v>
      </c>
      <c r="C19" s="223"/>
      <c r="D19" s="224"/>
      <c r="E19" s="163"/>
      <c r="F19" s="163"/>
    </row>
    <row r="20" spans="1:6" ht="18">
      <c r="A20" s="225"/>
      <c r="B20" s="226" t="s">
        <v>285</v>
      </c>
      <c r="C20" s="225"/>
      <c r="D20" s="225"/>
      <c r="E20" s="225"/>
      <c r="F20" s="225"/>
    </row>
    <row r="21" spans="1:6">
      <c r="A21" s="164"/>
      <c r="B21" s="173"/>
    </row>
    <row r="22" spans="1:6" ht="15">
      <c r="A22" s="227"/>
      <c r="B22" s="228" t="s">
        <v>618</v>
      </c>
      <c r="C22" s="227"/>
      <c r="D22" s="227"/>
      <c r="E22" s="227"/>
      <c r="F22" s="227"/>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228</v>
      </c>
      <c r="B2" s="211" t="s">
        <v>363</v>
      </c>
      <c r="C2" s="212" t="s">
        <v>617</v>
      </c>
      <c r="D2" s="213" t="s">
        <v>293</v>
      </c>
      <c r="E2" s="379" t="s">
        <v>185</v>
      </c>
      <c r="F2" s="380"/>
    </row>
    <row r="3" spans="1:7" ht="18.75">
      <c r="A3" s="214"/>
      <c r="B3" s="215"/>
      <c r="C3" s="216">
        <f>COUNTIF(Review.ratings,"Yes") / ( COUNTA(Review.QuestionIds) - COUNTIF(Review.ratings,"NA"))</f>
        <v>0</v>
      </c>
      <c r="D3" s="221"/>
      <c r="E3" s="229" t="s">
        <v>268</v>
      </c>
      <c r="F3" s="229" t="s">
        <v>269</v>
      </c>
      <c r="G3" s="222"/>
    </row>
    <row r="4" spans="1:7" ht="36">
      <c r="A4" s="217"/>
      <c r="B4" s="218" t="s">
        <v>317</v>
      </c>
      <c r="C4" s="219"/>
      <c r="D4" s="219"/>
      <c r="E4" s="219"/>
      <c r="F4" s="220"/>
      <c r="G4" s="25"/>
    </row>
    <row r="5" spans="1:7" ht="18.75">
      <c r="A5" s="161"/>
      <c r="B5" s="170" t="s">
        <v>248</v>
      </c>
      <c r="C5" s="162"/>
      <c r="D5" s="162"/>
      <c r="E5" s="229"/>
      <c r="F5" s="229"/>
    </row>
    <row r="6" spans="1:7" ht="229.5">
      <c r="A6" s="164" t="s">
        <v>833</v>
      </c>
      <c r="B6" s="173" t="s">
        <v>446</v>
      </c>
      <c r="C6" s="223"/>
      <c r="D6" s="224"/>
      <c r="E6" s="163"/>
      <c r="F6" s="163"/>
    </row>
    <row r="7" spans="1:7" ht="38.25">
      <c r="A7" s="164" t="s">
        <v>834</v>
      </c>
      <c r="B7" s="173" t="s">
        <v>326</v>
      </c>
      <c r="C7" s="223"/>
      <c r="D7" s="224"/>
      <c r="E7" s="163"/>
      <c r="F7" s="163"/>
    </row>
    <row r="8" spans="1:7" ht="25.5">
      <c r="A8" s="164" t="s">
        <v>835</v>
      </c>
      <c r="B8" s="173" t="s">
        <v>327</v>
      </c>
      <c r="C8" s="223"/>
      <c r="D8" s="224"/>
      <c r="E8" s="163"/>
      <c r="F8" s="163"/>
    </row>
    <row r="9" spans="1:7" ht="25.5">
      <c r="A9" s="164" t="s">
        <v>836</v>
      </c>
      <c r="B9" s="173" t="s">
        <v>328</v>
      </c>
      <c r="C9" s="223"/>
      <c r="D9" s="224"/>
      <c r="E9" s="163"/>
      <c r="F9" s="163"/>
    </row>
    <row r="10" spans="1:7" ht="25.5">
      <c r="A10" s="164" t="s">
        <v>837</v>
      </c>
      <c r="B10" s="173" t="s">
        <v>329</v>
      </c>
      <c r="C10" s="223"/>
      <c r="D10" s="224"/>
      <c r="E10" s="163"/>
      <c r="F10" s="163"/>
    </row>
    <row r="11" spans="1:7" ht="25.5">
      <c r="A11" s="164" t="s">
        <v>838</v>
      </c>
      <c r="B11" s="173" t="s">
        <v>330</v>
      </c>
      <c r="C11" s="223"/>
      <c r="D11" s="224"/>
      <c r="E11" s="163"/>
      <c r="F11" s="163"/>
    </row>
    <row r="12" spans="1:7" ht="25.5">
      <c r="A12" s="164" t="s">
        <v>839</v>
      </c>
      <c r="B12" s="173" t="s">
        <v>331</v>
      </c>
      <c r="C12" s="223"/>
      <c r="D12" s="224"/>
      <c r="E12" s="163"/>
      <c r="F12" s="163"/>
    </row>
    <row r="13" spans="1:7" ht="63.75">
      <c r="A13" s="164" t="s">
        <v>840</v>
      </c>
      <c r="B13" s="173" t="s">
        <v>332</v>
      </c>
      <c r="C13" s="223"/>
      <c r="D13" s="224"/>
      <c r="E13" s="163"/>
      <c r="F13" s="163"/>
    </row>
    <row r="14" spans="1:7" ht="38.25">
      <c r="A14" s="164" t="s">
        <v>841</v>
      </c>
      <c r="B14" s="173" t="s">
        <v>333</v>
      </c>
      <c r="C14" s="223"/>
      <c r="D14" s="224"/>
      <c r="E14" s="163"/>
      <c r="F14" s="163"/>
    </row>
    <row r="15" spans="1:7" ht="25.5">
      <c r="A15" s="164" t="s">
        <v>842</v>
      </c>
      <c r="B15" s="173" t="s">
        <v>447</v>
      </c>
      <c r="C15" s="223"/>
      <c r="D15" s="224"/>
      <c r="E15" s="163"/>
      <c r="F15" s="163"/>
    </row>
    <row r="16" spans="1:7" ht="18.75">
      <c r="A16" s="161"/>
      <c r="B16" s="170" t="s">
        <v>265</v>
      </c>
      <c r="C16" s="162"/>
      <c r="D16" s="162"/>
      <c r="E16" s="229"/>
      <c r="F16" s="229"/>
    </row>
    <row r="17" spans="1:6" ht="38.25">
      <c r="A17" s="164" t="s">
        <v>593</v>
      </c>
      <c r="B17" s="173" t="s">
        <v>214</v>
      </c>
      <c r="C17" s="223"/>
      <c r="D17" s="224"/>
      <c r="E17" s="163"/>
      <c r="F17" s="163"/>
    </row>
    <row r="18" spans="1:6" ht="25.5">
      <c r="A18" s="164" t="s">
        <v>594</v>
      </c>
      <c r="B18" s="173" t="s">
        <v>215</v>
      </c>
      <c r="C18" s="223"/>
      <c r="D18" s="224"/>
      <c r="E18" s="163"/>
      <c r="F18" s="163"/>
    </row>
    <row r="19" spans="1:6" ht="38.25">
      <c r="A19" s="164" t="s">
        <v>595</v>
      </c>
      <c r="B19" s="173" t="s">
        <v>216</v>
      </c>
      <c r="C19" s="223"/>
      <c r="D19" s="224"/>
      <c r="E19" s="163"/>
      <c r="F19" s="163"/>
    </row>
    <row r="20" spans="1:6" ht="38.25">
      <c r="A20" s="164" t="s">
        <v>596</v>
      </c>
      <c r="B20" s="173" t="s">
        <v>217</v>
      </c>
      <c r="C20" s="223"/>
      <c r="D20" s="224"/>
      <c r="E20" s="163"/>
      <c r="F20" s="163"/>
    </row>
    <row r="21" spans="1:6" ht="18.75">
      <c r="A21" s="161"/>
      <c r="B21" s="170" t="s">
        <v>266</v>
      </c>
      <c r="C21" s="162"/>
      <c r="D21" s="162"/>
      <c r="E21" s="229"/>
      <c r="F21" s="229"/>
    </row>
    <row r="22" spans="1:6" ht="38.25">
      <c r="A22" s="164" t="s">
        <v>597</v>
      </c>
      <c r="B22" s="173" t="s">
        <v>218</v>
      </c>
      <c r="C22" s="223"/>
      <c r="D22" s="224"/>
      <c r="E22" s="163"/>
      <c r="F22" s="163"/>
    </row>
    <row r="23" spans="1:6" ht="38.25">
      <c r="A23" s="164" t="s">
        <v>598</v>
      </c>
      <c r="B23" s="173" t="s">
        <v>219</v>
      </c>
      <c r="C23" s="223"/>
      <c r="D23" s="224"/>
      <c r="E23" s="163"/>
      <c r="F23" s="163"/>
    </row>
    <row r="24" spans="1:6" ht="18.75">
      <c r="A24" s="161"/>
      <c r="B24" s="170" t="s">
        <v>212</v>
      </c>
      <c r="C24" s="162"/>
      <c r="D24" s="162"/>
      <c r="E24" s="229"/>
      <c r="F24" s="229"/>
    </row>
    <row r="25" spans="1:6" ht="51">
      <c r="A25" s="164" t="s">
        <v>599</v>
      </c>
      <c r="B25" s="173" t="s">
        <v>213</v>
      </c>
      <c r="C25" s="223"/>
      <c r="D25" s="224"/>
      <c r="E25" s="163"/>
      <c r="F25" s="163"/>
    </row>
    <row r="26" spans="1:6" ht="18">
      <c r="A26" s="225"/>
      <c r="B26" s="226" t="s">
        <v>285</v>
      </c>
      <c r="C26" s="225"/>
      <c r="D26" s="225"/>
      <c r="E26" s="225"/>
      <c r="F26" s="225"/>
    </row>
    <row r="27" spans="1:6">
      <c r="A27" s="164"/>
      <c r="B27" s="173"/>
    </row>
    <row r="28" spans="1:6" ht="15">
      <c r="A28" s="227"/>
      <c r="B28" s="228" t="s">
        <v>618</v>
      </c>
      <c r="C28" s="227"/>
      <c r="D28" s="227"/>
      <c r="E28" s="227"/>
      <c r="F28" s="227"/>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2.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Mihai Motoc</cp:lastModifiedBy>
  <dcterms:created xsi:type="dcterms:W3CDTF">1996-10-21T11:03:58Z</dcterms:created>
  <dcterms:modified xsi:type="dcterms:W3CDTF">2023-07-31T12:42:48Z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