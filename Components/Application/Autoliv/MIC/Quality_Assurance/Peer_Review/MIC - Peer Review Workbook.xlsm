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Components\Application\Autoliv\MIC\Quality_Assurance\Peer_Review\"/>
    </mc:Choice>
  </mc:AlternateContent>
  <xr:revisionPtr revIDLastSave="0" documentId="13_ncr:1_{3ACC88CA-BBE6-4081-A462-7D0C878A3E18}" xr6:coauthVersionLast="47" xr6:coauthVersionMax="47" xr10:uidLastSave="{00000000-0000-0000-0000-000000000000}"/>
  <bookViews>
    <workbookView xWindow="28680" yWindow="-165" windowWidth="29040" windowHeight="15840" tabRatio="750" activeTab="4"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 name="UTSR checklist" sheetId="247" r:id="rId9"/>
  </sheets>
  <functionGroups builtInGroupCount="19"/>
  <externalReferences>
    <externalReference r:id="rId10"/>
    <externalReference r:id="rId11"/>
    <externalReference r:id="rId12"/>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6">'SDD checklist'!$A$5:$A$35</definedName>
    <definedName name="Review.QuestionIds" localSheetId="8">'UTSR checklist'!$A$5:$A$38</definedName>
    <definedName name="Review.ratings" localSheetId="7">'CODE checklist'!$H$5:$H$36</definedName>
    <definedName name="Review.ratings" localSheetId="6">'SDD checklist'!$C$5:$C$35</definedName>
    <definedName name="Review.ratings" localSheetId="8">'UTSR checklist'!$C$5:$C$38</definedName>
    <definedName name="ReviewerStatus">Review!$M$4</definedName>
    <definedName name="ReviewFilename">'[1]Generate checklists'!$Q$23</definedName>
    <definedName name="Sheet.ReviewTempate" localSheetId="7">'CODE checklist'!$A$1</definedName>
    <definedName name="Sheet.ReviewTempate" localSheetId="6">'SDD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6">'SDD checklist'!$B$2</definedName>
    <definedName name="Template.Question" localSheetId="7">'CODE checklist'!#REF!</definedName>
    <definedName name="Template.Question" localSheetId="6">'SDD checklist'!#REF!</definedName>
    <definedName name="Template.Section" localSheetId="7">'CODE checklist'!#REF!</definedName>
    <definedName name="Template.Section" localSheetId="6">'SDD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6">'SDD checklist'!$B$2</definedName>
    <definedName name="Title.Checklist.Actions.Responsible" localSheetId="7">[1]!Table1[[#Headers],[Actions
(description)]]</definedName>
    <definedName name="Title.Checklist.Actions.Responsible" localSheetId="6">[1]!Table1[[#Headers],[Actions
(description)]]</definedName>
    <definedName name="Title.Checklist.Guide.HowToRate" localSheetId="7">'CODE checklist'!$AH$3</definedName>
    <definedName name="Title.Checklist.Guide.HowToRate" localSheetId="6">'SDD checklist'!$J$3</definedName>
    <definedName name="Title.Checklist.Guide.WhatToCheck" localSheetId="7">'CODE checklist'!$AG$3</definedName>
    <definedName name="Title.Checklist.Guide.WhatToCheck" localSheetId="6">'SDD checklist'!$I$3</definedName>
    <definedName name="Title.Checklist.ManualQuestion" localSheetId="7">'CODE checklist'!$B$34</definedName>
    <definedName name="Title.Checklist.ManualQuestion" localSheetId="6">'SDD checklist'!$B$33</definedName>
    <definedName name="Title.Checklist.NoteForAuditor" localSheetId="7">'CODE checklist'!$AG$2</definedName>
    <definedName name="Title.Checklist.NoteForAuditor" localSheetId="6">'SDD checklist'!$I$2</definedName>
    <definedName name="Title.Checklist.Question" localSheetId="7">'CODE checklist'!$B$4</definedName>
    <definedName name="Title.Checklist.Question" localSheetId="6">'SDD checklist'!$B$4</definedName>
    <definedName name="Title.Checklist.QuestionReference" localSheetId="7">'CODE checklist'!$A$2</definedName>
    <definedName name="Title.Checklist.QuestionReference" localSheetId="6">'SDD checklist'!$A$2</definedName>
    <definedName name="Title.Checklist.Rate" localSheetId="7">'CODE checklist'!$H$2</definedName>
    <definedName name="Title.Checklist.Rate" localSheetId="6">'SDD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6">'SDD checklist'!$2:$2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8" i="42" l="1"/>
  <c r="G3" i="245"/>
  <c r="F3" i="245"/>
  <c r="D3" i="245"/>
  <c r="E27" i="42"/>
  <c r="E26" i="42"/>
  <c r="E25" i="42"/>
  <c r="E24" i="42"/>
  <c r="AE3" i="246"/>
  <c r="AD3" i="246"/>
  <c r="AC3" i="246"/>
  <c r="G27" i="16"/>
  <c r="F27" i="16"/>
  <c r="E27" i="16"/>
  <c r="E44" i="16"/>
  <c r="E37" i="16"/>
  <c r="E23" i="42"/>
  <c r="E22" i="42"/>
  <c r="AB3" i="246"/>
  <c r="AA3" i="246"/>
  <c r="Z3" i="246"/>
  <c r="Y3" i="246"/>
  <c r="X3" i="246"/>
  <c r="W3" i="246"/>
  <c r="V3" i="246"/>
  <c r="U3" i="246"/>
  <c r="T3" i="246"/>
  <c r="E3" i="245"/>
  <c r="E16" i="42"/>
  <c r="E17" i="42"/>
  <c r="E18" i="42"/>
  <c r="E19" i="42"/>
  <c r="E20" i="42"/>
  <c r="E21" i="42"/>
  <c r="S3" i="246"/>
  <c r="R3" i="246"/>
  <c r="Q3" i="246"/>
  <c r="P3" i="246"/>
  <c r="O3" i="246"/>
  <c r="E9" i="42"/>
  <c r="E10" i="42"/>
  <c r="E11" i="42"/>
  <c r="E12" i="42"/>
  <c r="E13" i="42"/>
  <c r="E14" i="42"/>
  <c r="E15" i="42"/>
  <c r="N3" i="246"/>
  <c r="E8" i="42"/>
  <c r="E7" i="42"/>
  <c r="E6" i="42"/>
  <c r="E5" i="42"/>
  <c r="E4" i="42"/>
  <c r="E3" i="42"/>
  <c r="D3" i="246"/>
  <c r="E3" i="246"/>
  <c r="F3" i="246"/>
  <c r="G3" i="246"/>
  <c r="H3" i="246"/>
  <c r="I3" i="246"/>
  <c r="J3" i="246"/>
  <c r="K3" i="246"/>
  <c r="L3" i="246"/>
  <c r="M3" i="246"/>
  <c r="C3" i="246"/>
  <c r="AB7" i="38"/>
  <c r="W7" i="38"/>
  <c r="F10" i="38"/>
  <c r="AB5" i="38"/>
  <c r="E7" i="38"/>
  <c r="W5" i="38"/>
  <c r="A7" i="38"/>
  <c r="A5" i="38"/>
  <c r="AE7" i="38"/>
  <c r="C3" i="247" l="1"/>
  <c r="C3" i="245" l="1"/>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D3" authorId="0" shapeId="0" xr:uid="{C7DA84D2-F38F-4857-B214-E7ED04E04CE5}">
      <text>
        <r>
          <rPr>
            <b/>
            <sz val="9"/>
            <color indexed="81"/>
            <rFont val="Tahoma"/>
            <family val="2"/>
          </rPr>
          <t>Overview :</t>
        </r>
        <r>
          <rPr>
            <sz val="9"/>
            <color indexed="81"/>
            <rFont val="Tahoma"/>
            <family val="2"/>
          </rPr>
          <t xml:space="preserve">
Pourcentage of "yes" answers out of applicable answers</t>
        </r>
      </text>
    </comment>
    <comment ref="E3" authorId="0" shapeId="0" xr:uid="{0482AA5E-9D7A-4A24-8B22-3F0B71B6F36A}">
      <text>
        <r>
          <rPr>
            <b/>
            <sz val="9"/>
            <color indexed="81"/>
            <rFont val="Tahoma"/>
            <family val="2"/>
          </rPr>
          <t>Overview :</t>
        </r>
        <r>
          <rPr>
            <sz val="9"/>
            <color indexed="81"/>
            <rFont val="Tahoma"/>
            <family val="2"/>
          </rPr>
          <t xml:space="preserve">
Pourcentage of "yes" answers out of applicable answers</t>
        </r>
      </text>
    </comment>
    <comment ref="F3" authorId="0" shapeId="0" xr:uid="{2B0D9142-75EB-42C3-886A-358DFFEC6A11}">
      <text>
        <r>
          <rPr>
            <b/>
            <sz val="9"/>
            <color indexed="81"/>
            <rFont val="Tahoma"/>
            <family val="2"/>
          </rPr>
          <t>Overview :</t>
        </r>
        <r>
          <rPr>
            <sz val="9"/>
            <color indexed="81"/>
            <rFont val="Tahoma"/>
            <family val="2"/>
          </rPr>
          <t xml:space="preserve">
Pourcentage of "yes" answers out of applicable answers</t>
        </r>
      </text>
    </comment>
    <comment ref="G3" authorId="0" shapeId="0" xr:uid="{E9BD0E59-782B-4C24-89A3-B63C163FE9D1}">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 ref="D35" authorId="0" shapeId="0" xr:uid="{46E04FB3-5D82-42AE-98E1-CA9F16FF4A6E}">
      <text>
        <r>
          <rPr>
            <b/>
            <sz val="9"/>
            <color indexed="81"/>
            <rFont val="Tahoma"/>
            <family val="2"/>
          </rPr>
          <t>This cell must be blank</t>
        </r>
      </text>
    </comment>
    <comment ref="E35" authorId="0" shapeId="0" xr:uid="{F9D7AA24-795B-4D97-A17B-234EF1B6EBC3}">
      <text>
        <r>
          <rPr>
            <b/>
            <sz val="9"/>
            <color indexed="81"/>
            <rFont val="Tahoma"/>
            <family val="2"/>
          </rPr>
          <t>This cell must be blank</t>
        </r>
      </text>
    </comment>
    <comment ref="F35" authorId="0" shapeId="0" xr:uid="{E8D355B8-9EAE-42F9-A345-868732F3DF54}">
      <text>
        <r>
          <rPr>
            <b/>
            <sz val="9"/>
            <color indexed="81"/>
            <rFont val="Tahoma"/>
            <family val="2"/>
          </rPr>
          <t>This cell must be blank</t>
        </r>
      </text>
    </comment>
    <comment ref="G35" authorId="0" shapeId="0" xr:uid="{1360E7C0-FB66-4B41-A185-5AB4D4723483}">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CB3A25E-F5ED-4883-B392-930F7305B785}">
      <text>
        <r>
          <rPr>
            <b/>
            <sz val="9"/>
            <color indexed="81"/>
            <rFont val="Tahoma"/>
            <family val="2"/>
          </rPr>
          <t>Overview :</t>
        </r>
        <r>
          <rPr>
            <sz val="9"/>
            <color indexed="81"/>
            <rFont val="Tahoma"/>
            <family val="2"/>
          </rPr>
          <t xml:space="preserve">
Pourcentage of "yes" answers out of applicable answers</t>
        </r>
      </text>
    </comment>
    <comment ref="D3" authorId="0" shapeId="0" xr:uid="{AF3A7783-6975-4692-8F2E-5D6D4423DEAA}">
      <text>
        <r>
          <rPr>
            <b/>
            <sz val="9"/>
            <color indexed="81"/>
            <rFont val="Tahoma"/>
            <family val="2"/>
          </rPr>
          <t>Overview :</t>
        </r>
        <r>
          <rPr>
            <sz val="9"/>
            <color indexed="81"/>
            <rFont val="Tahoma"/>
            <family val="2"/>
          </rPr>
          <t xml:space="preserve">
Pourcentage of "yes" answers out of applicable answers</t>
        </r>
      </text>
    </comment>
    <comment ref="E3" authorId="0" shapeId="0" xr:uid="{160C1FCA-3F6E-45A2-881C-5F66D6FF5148}">
      <text>
        <r>
          <rPr>
            <b/>
            <sz val="9"/>
            <color indexed="81"/>
            <rFont val="Tahoma"/>
            <family val="2"/>
          </rPr>
          <t>Overview :</t>
        </r>
        <r>
          <rPr>
            <sz val="9"/>
            <color indexed="81"/>
            <rFont val="Tahoma"/>
            <family val="2"/>
          </rPr>
          <t xml:space="preserve">
Pourcentage of "yes" answers out of applicable answers</t>
        </r>
      </text>
    </comment>
    <comment ref="F3" authorId="0" shapeId="0" xr:uid="{31939765-1459-4722-956F-2B846775308C}">
      <text>
        <r>
          <rPr>
            <b/>
            <sz val="9"/>
            <color indexed="81"/>
            <rFont val="Tahoma"/>
            <family val="2"/>
          </rPr>
          <t>Overview :</t>
        </r>
        <r>
          <rPr>
            <sz val="9"/>
            <color indexed="81"/>
            <rFont val="Tahoma"/>
            <family val="2"/>
          </rPr>
          <t xml:space="preserve">
Pourcentage of "yes" answers out of applicable answers</t>
        </r>
      </text>
    </comment>
    <comment ref="G3" authorId="0" shapeId="0" xr:uid="{537235AE-6A62-46B0-B5D9-C846405C26E5}">
      <text>
        <r>
          <rPr>
            <b/>
            <sz val="9"/>
            <color indexed="81"/>
            <rFont val="Tahoma"/>
            <family val="2"/>
          </rPr>
          <t>Overview :</t>
        </r>
        <r>
          <rPr>
            <sz val="9"/>
            <color indexed="81"/>
            <rFont val="Tahoma"/>
            <family val="2"/>
          </rPr>
          <t xml:space="preserve">
Pourcentage of "yes" answers out of applicable answers</t>
        </r>
      </text>
    </comment>
    <comment ref="H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I3" authorId="0" shapeId="0" xr:uid="{CA95E880-6968-4E33-9E83-F834C3FFD6B2}">
      <text>
        <r>
          <rPr>
            <b/>
            <sz val="9"/>
            <color indexed="81"/>
            <rFont val="Tahoma"/>
            <family val="2"/>
          </rPr>
          <t>Overview :</t>
        </r>
        <r>
          <rPr>
            <sz val="9"/>
            <color indexed="81"/>
            <rFont val="Tahoma"/>
            <family val="2"/>
          </rPr>
          <t xml:space="preserve">
Pourcentage of "yes" answers out of applicable answers</t>
        </r>
      </text>
    </comment>
    <comment ref="J3" authorId="0" shapeId="0" xr:uid="{C6E8AA22-BA04-4ADF-A45D-184E95981598}">
      <text>
        <r>
          <rPr>
            <b/>
            <sz val="9"/>
            <color indexed="81"/>
            <rFont val="Tahoma"/>
            <family val="2"/>
          </rPr>
          <t>Overview :</t>
        </r>
        <r>
          <rPr>
            <sz val="9"/>
            <color indexed="81"/>
            <rFont val="Tahoma"/>
            <family val="2"/>
          </rPr>
          <t xml:space="preserve">
Pourcentage of "yes" answers out of applicable answers</t>
        </r>
      </text>
    </comment>
    <comment ref="K3" authorId="0" shapeId="0" xr:uid="{B2B13E61-43DD-452B-AB49-1417D481410B}">
      <text>
        <r>
          <rPr>
            <b/>
            <sz val="9"/>
            <color indexed="81"/>
            <rFont val="Tahoma"/>
            <family val="2"/>
          </rPr>
          <t>Overview :</t>
        </r>
        <r>
          <rPr>
            <sz val="9"/>
            <color indexed="81"/>
            <rFont val="Tahoma"/>
            <family val="2"/>
          </rPr>
          <t xml:space="preserve">
Pourcentage of "yes" answers out of applicable answers</t>
        </r>
      </text>
    </comment>
    <comment ref="L3" authorId="0" shapeId="0" xr:uid="{525C8A0F-3199-4125-A933-EBA34F946CF7}">
      <text>
        <r>
          <rPr>
            <b/>
            <sz val="9"/>
            <color indexed="81"/>
            <rFont val="Tahoma"/>
            <family val="2"/>
          </rPr>
          <t>Overview :</t>
        </r>
        <r>
          <rPr>
            <sz val="9"/>
            <color indexed="81"/>
            <rFont val="Tahoma"/>
            <family val="2"/>
          </rPr>
          <t xml:space="preserve">
Pourcentage of "yes" answers out of applicable answers</t>
        </r>
      </text>
    </comment>
    <comment ref="T3" authorId="0" shapeId="0" xr:uid="{CDFD98BE-D2A8-416C-BE78-8A1A3DA4D2A5}">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D892C8C4-4D32-4913-8544-B955B7BB69CF}">
      <text>
        <r>
          <rPr>
            <b/>
            <sz val="9"/>
            <color indexed="81"/>
            <rFont val="Tahoma"/>
            <family val="2"/>
          </rPr>
          <t>This cell must be blank</t>
        </r>
      </text>
    </comment>
    <comment ref="D36" authorId="0" shapeId="0" xr:uid="{FF0EEFA1-E8C9-469D-95FA-5F8BB1C822EB}">
      <text>
        <r>
          <rPr>
            <b/>
            <sz val="9"/>
            <color indexed="81"/>
            <rFont val="Tahoma"/>
            <family val="2"/>
          </rPr>
          <t>This cell must be blank</t>
        </r>
      </text>
    </comment>
    <comment ref="E36" authorId="0" shapeId="0" xr:uid="{B475C007-DBE3-4520-98A4-DA523402395F}">
      <text>
        <r>
          <rPr>
            <b/>
            <sz val="9"/>
            <color indexed="81"/>
            <rFont val="Tahoma"/>
            <family val="2"/>
          </rPr>
          <t>This cell must be blank</t>
        </r>
      </text>
    </comment>
    <comment ref="F36" authorId="0" shapeId="0" xr:uid="{8378F3AE-3CE2-44A8-B438-D1DC95570943}">
      <text>
        <r>
          <rPr>
            <b/>
            <sz val="9"/>
            <color indexed="81"/>
            <rFont val="Tahoma"/>
            <family val="2"/>
          </rPr>
          <t>This cell must be blank</t>
        </r>
      </text>
    </comment>
    <comment ref="G36" authorId="0" shapeId="0" xr:uid="{42342897-E7C6-41F8-BFEC-F2C6167AA6FA}">
      <text>
        <r>
          <rPr>
            <b/>
            <sz val="9"/>
            <color indexed="81"/>
            <rFont val="Tahoma"/>
            <family val="2"/>
          </rPr>
          <t>This cell must be blank</t>
        </r>
      </text>
    </comment>
    <comment ref="H36" authorId="0" shapeId="0" xr:uid="{E7DC79D1-99F9-42FD-8563-D14B693744FA}">
      <text>
        <r>
          <rPr>
            <b/>
            <sz val="9"/>
            <color indexed="81"/>
            <rFont val="Tahoma"/>
            <family val="2"/>
          </rPr>
          <t>This cell must be blank</t>
        </r>
      </text>
    </comment>
    <comment ref="I36" authorId="0" shapeId="0" xr:uid="{F60882B6-A9F4-48FA-8AEA-DD4A412E0835}">
      <text>
        <r>
          <rPr>
            <b/>
            <sz val="9"/>
            <color indexed="81"/>
            <rFont val="Tahoma"/>
            <family val="2"/>
          </rPr>
          <t>This cell must be blank</t>
        </r>
      </text>
    </comment>
    <comment ref="J36" authorId="0" shapeId="0" xr:uid="{5E8F3846-EC8D-4431-A5E2-816A59CF8A56}">
      <text>
        <r>
          <rPr>
            <b/>
            <sz val="9"/>
            <color indexed="81"/>
            <rFont val="Tahoma"/>
            <family val="2"/>
          </rPr>
          <t>This cell must be blank</t>
        </r>
      </text>
    </comment>
    <comment ref="K36" authorId="0" shapeId="0" xr:uid="{8D05F124-423D-407A-A7DB-BD110E28DC57}">
      <text>
        <r>
          <rPr>
            <b/>
            <sz val="9"/>
            <color indexed="81"/>
            <rFont val="Tahoma"/>
            <family val="2"/>
          </rPr>
          <t>This cell must be blank</t>
        </r>
      </text>
    </comment>
    <comment ref="L36" authorId="0" shapeId="0" xr:uid="{4D0721EA-44F8-44F6-BF88-095D4423452F}">
      <text>
        <r>
          <rPr>
            <b/>
            <sz val="9"/>
            <color indexed="81"/>
            <rFont val="Tahoma"/>
            <family val="2"/>
          </rPr>
          <t>This cell must be blank</t>
        </r>
      </text>
    </comment>
    <comment ref="T36" authorId="0" shapeId="0" xr:uid="{51D4185F-7B4C-4C13-AB3B-062670C2F8E1}">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9A8E3E4-A30E-49F9-A746-0D2FB240D500}">
      <text>
        <r>
          <rPr>
            <b/>
            <sz val="9"/>
            <color indexed="81"/>
            <rFont val="Tahoma"/>
            <family val="2"/>
          </rPr>
          <t>Overview :</t>
        </r>
        <r>
          <rPr>
            <sz val="9"/>
            <color indexed="81"/>
            <rFont val="Tahoma"/>
            <family val="2"/>
          </rPr>
          <t xml:space="preserve">
Pourcentage of "yes" answers out of applicable answers</t>
        </r>
      </text>
    </comment>
    <comment ref="B36" authorId="0" shapeId="0" xr:uid="{964A1A66-70A8-4108-8184-464879845884}">
      <text>
        <r>
          <rPr>
            <b/>
            <sz val="9"/>
            <color indexed="81"/>
            <rFont val="Tahoma"/>
            <family val="2"/>
          </rPr>
          <t xml:space="preserve">Everything above this row is generated by Question Library (TEM486 - Master questions library.xlsm) </t>
        </r>
      </text>
    </comment>
    <comment ref="A38" authorId="0" shapeId="0" xr:uid="{81E13E4F-21DA-4F52-9DCF-C9340547C8DB}">
      <text>
        <r>
          <rPr>
            <b/>
            <sz val="9"/>
            <color indexed="81"/>
            <rFont val="Tahoma"/>
            <family val="2"/>
          </rPr>
          <t>This cell must be blank</t>
        </r>
      </text>
    </comment>
    <comment ref="C38" authorId="0" shapeId="0" xr:uid="{BBC6C658-6E02-455E-85C9-889A34AF5B0C}">
      <text>
        <r>
          <rPr>
            <b/>
            <sz val="9"/>
            <color indexed="81"/>
            <rFont val="Tahoma"/>
            <family val="2"/>
          </rPr>
          <t>This cell must be blank</t>
        </r>
      </text>
    </comment>
  </commentList>
</comments>
</file>

<file path=xl/sharedStrings.xml><?xml version="1.0" encoding="utf-8"?>
<sst xmlns="http://schemas.openxmlformats.org/spreadsheetml/2006/main" count="2103" uniqueCount="530">
  <si>
    <t>Project Number &amp; Name</t>
  </si>
  <si>
    <t>Review</t>
  </si>
  <si>
    <t>Document state</t>
  </si>
  <si>
    <t>Date of release</t>
  </si>
  <si>
    <t>To be fullfilled</t>
  </si>
  <si>
    <t>Document id</t>
  </si>
  <si>
    <t>Document title</t>
  </si>
  <si>
    <t>Template</t>
  </si>
  <si>
    <t>Revision</t>
  </si>
  <si>
    <t>Version</t>
  </si>
  <si>
    <t>Author</t>
  </si>
  <si>
    <t>Approval</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</si>
  <si>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</si>
  <si>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</si>
  <si>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</si>
  <si>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</si>
  <si>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</si>
  <si>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</si>
  <si>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</si>
  <si>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Project Name and Number</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</si>
  <si>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</si>
  <si>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</si>
  <si>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</si>
  <si>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</si>
  <si>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</si>
  <si>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</si>
  <si>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</si>
  <si>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</si>
  <si>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</si>
  <si>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</si>
  <si>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</si>
  <si>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</si>
  <si>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</si>
  <si>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</si>
  <si>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</si>
  <si>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</si>
  <si>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</si>
  <si>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</si>
  <si>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</si>
  <si>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</si>
  <si>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</si>
  <si>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</si>
  <si>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</si>
  <si>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</si>
  <si>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</si>
  <si>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</si>
  <si>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</si>
  <si>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</si>
  <si>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</si>
  <si>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</si>
  <si>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</si>
  <si>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</si>
  <si>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</si>
  <si>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</si>
  <si>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</si>
  <si>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</si>
  <si>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</si>
  <si>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</si>
  <si>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</si>
  <si>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</si>
  <si>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</si>
  <si>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</si>
  <si>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</si>
  <si>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</si>
  <si>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</si>
  <si>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</si>
  <si>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</si>
  <si>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</si>
  <si>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</si>
  <si>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</si>
  <si>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</si>
  <si>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</si>
  <si>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</si>
  <si>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</si>
  <si>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</si>
  <si>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</si>
  <si>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</si>
  <si>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</si>
  <si>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</si>
  <si>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</si>
  <si>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</si>
  <si>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</si>
  <si>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</si>
  <si>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</si>
  <si>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</si>
  <si>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</si>
  <si>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</si>
  <si>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</si>
  <si>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</si>
  <si>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</si>
  <si>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</si>
  <si>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</si>
  <si>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</si>
  <si>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</si>
  <si>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</si>
  <si>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</si>
  <si>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</si>
  <si>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</si>
  <si>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</si>
  <si>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</si>
  <si>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</si>
  <si>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</si>
  <si>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</si>
  <si>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</si>
  <si>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</si>
  <si>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</si>
  <si>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</si>
  <si>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</si>
  <si>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</si>
  <si>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</si>
  <si>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</si>
  <si>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</si>
  <si>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</si>
  <si>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</si>
  <si>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</si>
  <si>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</si>
  <si>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</si>
  <si>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</si>
  <si>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</si>
  <si>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</si>
  <si>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</si>
  <si>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</si>
  <si>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</si>
  <si>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</si>
  <si>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</si>
  <si>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</si>
  <si>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</si>
  <si>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</si>
  <si>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</si>
  <si>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</si>
  <si>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</si>
  <si>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</si>
  <si>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</si>
  <si>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</si>
  <si>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</si>
  <si>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</si>
  <si>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</si>
  <si>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</si>
  <si>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</si>
  <si>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</si>
  <si>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</si>
  <si>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</si>
  <si>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</si>
  <si>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</si>
  <si>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</si>
  <si>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</si>
  <si>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</si>
  <si>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</si>
  <si>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Review Definition =&gt; more details in : PRO483 Review</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</si>
  <si>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</si>
  <si>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</si>
  <si>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</si>
  <si>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</si>
  <si>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</si>
  <si>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</si>
  <si>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NEW REQUIREMENTS FROM KGAS, THAT ARE MISSING FROM PRWB</t>
  </si>
  <si>
    <t>General rules</t>
  </si>
  <si>
    <t>New Software Specification checklist to be included according with KGAS requirements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</si>
  <si>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</si>
  <si>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</si>
  <si>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to nclude consumed effort and duration of the review</t>
  </si>
  <si>
    <t>to define the roles in the review meeting and the roles in the project</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</si>
  <si>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</si>
  <si>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</si>
  <si>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</si>
  <si>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</si>
  <si>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</si>
  <si>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</si>
  <si>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</si>
  <si>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</si>
  <si>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</si>
  <si>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</si>
  <si>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</si>
  <si>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</si>
  <si>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</si>
  <si>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</si>
  <si>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</si>
  <si>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</si>
  <si>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</si>
  <si>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</si>
  <si>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</si>
  <si>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</si>
  <si>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</si>
  <si>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</si>
  <si>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</si>
  <si>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</si>
  <si>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</si>
  <si>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</si>
  <si>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</si>
  <si>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</si>
  <si>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</si>
  <si>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</si>
  <si>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</si>
  <si>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</si>
  <si>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</si>
  <si>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</si>
  <si>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</si>
  <si>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</si>
  <si>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</si>
  <si>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</si>
  <si>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</si>
  <si>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</si>
  <si>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</si>
  <si>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</si>
  <si>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</si>
  <si>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</si>
  <si>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</si>
  <si>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</si>
  <si>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</si>
  <si>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</si>
  <si>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</si>
  <si>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</si>
  <si>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</si>
  <si>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</si>
  <si>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</si>
  <si>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</si>
  <si>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</si>
  <si>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</si>
  <si>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</si>
  <si>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</si>
  <si>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</si>
  <si>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</si>
  <si>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</si>
  <si>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</si>
  <si>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</si>
  <si>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</si>
  <si>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</si>
  <si>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</si>
  <si>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</si>
  <si>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</si>
  <si>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</si>
  <si>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Reviewer 9</t>
  </si>
  <si>
    <t>Reviewer 10</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</si>
  <si>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</si>
  <si>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</si>
  <si>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</si>
  <si>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</si>
  <si>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</si>
  <si>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</si>
  <si>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</si>
  <si>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</si>
  <si>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</si>
  <si>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</si>
  <si>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</si>
  <si>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</si>
  <si>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</si>
  <si>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</si>
  <si>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</si>
  <si>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</si>
  <si>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</si>
  <si>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</si>
  <si>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</si>
  <si>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</si>
  <si>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</si>
  <si>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</si>
  <si>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</si>
  <si>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</si>
  <si>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</si>
  <si>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</si>
  <si>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</si>
  <si>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</si>
  <si>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</si>
  <si>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</si>
  <si>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Question
reference</t>
  </si>
  <si>
    <r>
      <t xml:space="preserve">Justification
</t>
    </r>
    <r>
      <rPr>
        <sz val="10"/>
        <color theme="0"/>
        <rFont val="Arial"/>
        <family val="2"/>
      </rPr>
      <t>(if not OK)</t>
    </r>
  </si>
  <si>
    <t>What to check</t>
  </si>
  <si>
    <t>How to rate the question</t>
  </si>
  <si>
    <t>Questions generated by questions library tool</t>
  </si>
  <si>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</si>
  <si>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</si>
  <si>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</si>
  <si>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</si>
  <si>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</si>
  <si>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</si>
  <si>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</si>
  <si>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</si>
  <si>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</si>
  <si>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</si>
  <si>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</si>
  <si>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</si>
  <si>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</si>
  <si>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</si>
  <si>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</si>
  <si>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</si>
  <si>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</si>
  <si>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</si>
  <si>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</si>
  <si>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Content</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</si>
  <si>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</si>
  <si>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</si>
  <si>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</si>
  <si>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r>
      <rPr>
        <b/>
        <sz val="10"/>
        <rFont val="Arial"/>
        <family val="2"/>
      </rPr>
      <t>Consistency</t>
    </r>
    <r>
      <rPr>
        <sz val="10"/>
        <rFont val="Arial"/>
        <family val="2"/>
      </rPr>
      <t xml:space="preserve">
Is consistency of the traceability checked ?</t>
    </r>
  </si>
  <si>
    <t>Review criteria for
Software detailed design (SDD)</t>
  </si>
  <si>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</si>
  <si>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</si>
  <si>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</si>
  <si>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</si>
  <si>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</si>
  <si>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</si>
  <si>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</si>
  <si>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</si>
  <si>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</si>
  <si>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</si>
  <si>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</si>
  <si>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</si>
  <si>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</si>
  <si>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</si>
  <si>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</si>
  <si>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</si>
  <si>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</si>
  <si>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</si>
  <si>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</si>
  <si>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</si>
  <si>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</si>
  <si>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</si>
  <si>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</si>
  <si>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</si>
  <si>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</si>
  <si>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</si>
  <si>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</si>
  <si>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</si>
  <si>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</si>
  <si>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</si>
  <si>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Review criteria for
Code (CODE)</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</si>
  <si>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</si>
  <si>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</si>
  <si>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</si>
  <si>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</si>
  <si>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</si>
  <si>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</si>
  <si>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</si>
  <si>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</si>
  <si>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</si>
  <si>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</si>
  <si>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</si>
  <si>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</si>
  <si>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</si>
  <si>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</si>
  <si>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</si>
  <si>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</si>
  <si>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</si>
  <si>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</si>
  <si>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</si>
  <si>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</si>
  <si>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</si>
  <si>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</si>
  <si>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</si>
  <si>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</si>
  <si>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</si>
  <si>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</si>
  <si>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</si>
  <si>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</si>
  <si>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</si>
  <si>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</si>
  <si>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</si>
  <si>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</si>
  <si>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</si>
  <si>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</si>
  <si>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MIC_LLD.h</t>
  </si>
  <si>
    <t>MIC_Private.h</t>
  </si>
  <si>
    <t>MIC_Public.h</t>
  </si>
  <si>
    <t>MIC_LLD.c</t>
  </si>
  <si>
    <t>MIC_autotests.c</t>
  </si>
  <si>
    <t>MIC.c</t>
  </si>
  <si>
    <t>Header template version not according to the process.</t>
  </si>
  <si>
    <t>Ioan Repede</t>
  </si>
  <si>
    <t>Rename defines according to coding convention.</t>
  </si>
  <si>
    <t>Remove unused defines.</t>
  </si>
  <si>
    <t>Source file template version not according to the process</t>
  </si>
  <si>
    <t>Remove unused include file "Config.h" from header.</t>
  </si>
  <si>
    <t>Multiple inclusion of common.h. Remove it from source file.</t>
  </si>
  <si>
    <t>In function MIC_LLD_CheckEccFault, not sufficient comments.</t>
  </si>
  <si>
    <t>Un function MIC_LLD_GetFaultAddress, reorder the if statements.</t>
  </si>
  <si>
    <t>Remove unused include file "common.h" from header.</t>
  </si>
  <si>
    <t>Relocate includes headers to include area of the file.</t>
  </si>
  <si>
    <t>Unclear handling of RAM Shadow start address. (mic_u32_RamShadowAddr = MIC_RAM_SHADOW_START_ADDRESS + KU32_ONE;)</t>
  </si>
  <si>
    <t>in MIC_Autotest_RunRamMemoryCorruption function, the value of mic_u32_RamShadowAddr should be more precisely handled.</t>
  </si>
  <si>
    <t>The overflow handling of variable NVP_u32RAMECCOccurrenceNumber is not managed.</t>
  </si>
  <si>
    <t>NA: The interrupts are disabled for this code section</t>
  </si>
  <si>
    <t>NA: No aditional questions.</t>
  </si>
  <si>
    <t>The MIC_Autotest_RunPFlashMemoryCorruption function header is not consistent with the function implementation</t>
  </si>
  <si>
    <t>The overflow handling of variable NVP_u32PFLASHECCOccurrenceNumber is not managed.</t>
  </si>
  <si>
    <t>The overflow handling of variable NVP_u32DFLASHECCOccurrenceNumber is not managed.</t>
  </si>
  <si>
    <t>Source file template version not according to the process.</t>
  </si>
  <si>
    <t>Cast the values of the defines.</t>
  </si>
  <si>
    <t>Delete duplicate includes (common.h, MCU.h)</t>
  </si>
  <si>
    <t>The mic_ECC_RAM_Correction function header is not consistent with the function implementation</t>
  </si>
  <si>
    <t>Inconsitance comments in Mic_Init().</t>
  </si>
  <si>
    <t>Cast to the coresponding data type (MIC_HardFaultHandkerHll.</t>
  </si>
  <si>
    <t>mic_ECC_RAM_Correction</t>
  </si>
  <si>
    <t xml:space="preserve">No: Implementation of mic_ECC_RAM_Correction </t>
  </si>
  <si>
    <t>MIC - Peer Review Workbook.xlsm</t>
  </si>
  <si>
    <t>Andrei Anca</t>
  </si>
  <si>
    <t>common.h is used for EXPORTED functions</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</si>
  <si>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</si>
  <si>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</si>
  <si>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</si>
  <si>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</si>
  <si>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</si>
  <si>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</si>
  <si>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</si>
  <si>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</si>
  <si>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</si>
  <si>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</si>
  <si>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</si>
  <si>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</si>
  <si>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</si>
  <si>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</si>
  <si>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</si>
  <si>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</si>
  <si>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NA: no possible logs provided by TESSY</t>
  </si>
  <si>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</si>
  <si>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</si>
  <si>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</si>
  <si>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</si>
  <si>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</si>
  <si>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</si>
  <si>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</si>
  <si>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</si>
  <si>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</si>
  <si>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</si>
  <si>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</si>
  <si>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</si>
  <si>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</si>
  <si>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NA: No HIL present</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</si>
  <si>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</si>
  <si>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</si>
  <si>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</si>
  <si>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</si>
  <si>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</si>
  <si>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</si>
  <si>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</si>
  <si>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</si>
  <si>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</si>
  <si>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</si>
  <si>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eCS_Audi_MCC.MIC.tmb - v1.1</t>
  </si>
  <si>
    <t>eCS_Audi_MCC.MIC.tmb</t>
  </si>
  <si>
    <t>No findings</t>
  </si>
  <si>
    <t>Vlad Chioveanu</t>
  </si>
  <si>
    <t>Albu Cornel</t>
  </si>
  <si>
    <t>29.11.2022</t>
  </si>
  <si>
    <t>VCH</t>
  </si>
  <si>
    <t>CGA</t>
  </si>
  <si>
    <t>MIC_LLD.c - 1.1</t>
  </si>
  <si>
    <t>MIC_LLD.h - 1.1</t>
  </si>
  <si>
    <t>MIC_Private.h - 1.1</t>
  </si>
  <si>
    <t>MIC_Public.h - 1.1</t>
  </si>
  <si>
    <t>MIC_autotests.c - 1.1</t>
  </si>
  <si>
    <t>MIC.c - 1.1</t>
  </si>
  <si>
    <t>1.1.6.6</t>
  </si>
  <si>
    <t>David Puscasu</t>
  </si>
  <si>
    <t>1.1.6.5</t>
  </si>
  <si>
    <t>Template not according to the process</t>
  </si>
  <si>
    <t>1.1.4.8</t>
  </si>
  <si>
    <t>Update input/output patameters description. The type section shall contain pointer(*), in function MIC_Autotest_RunRamMemoryCorruption</t>
  </si>
  <si>
    <t>Razvan Badiu</t>
  </si>
  <si>
    <t>Add EXPORTED keyword to global functions</t>
  </si>
  <si>
    <t>1.1.9.8</t>
  </si>
  <si>
    <t>Verify if all includes are used</t>
  </si>
  <si>
    <t>Add Initialization and Range tags to brief description of variables</t>
  </si>
  <si>
    <t>Update functions description. Return tag shall be filled with "No return" at the void functions.</t>
  </si>
  <si>
    <t>Update atchitecture tag to function MIC_HardFaultHandlerHll</t>
  </si>
  <si>
    <t>Template not updated according with process</t>
  </si>
  <si>
    <t>The document was full scope checked</t>
  </si>
  <si>
    <t>Author name not completed</t>
  </si>
  <si>
    <t>Project number and name and the other fields from header not completed</t>
  </si>
  <si>
    <t>MIC_SW_DetailedDesign.docx</t>
  </si>
  <si>
    <t>MIC_SW_DetailedDesign.docx - v1.3</t>
  </si>
  <si>
    <t>Open project no.1047503</t>
  </si>
  <si>
    <t>MIC_LLD.h - 1.1.6.6</t>
  </si>
  <si>
    <t>MIC_Private.h - 1.1.6.6</t>
  </si>
  <si>
    <t>MIC_Public.h - 1.1.6.5</t>
  </si>
  <si>
    <t>MIC_LLD.c - 1.1.6.6</t>
  </si>
  <si>
    <t>MIC.c - 1.1.9.8</t>
  </si>
  <si>
    <t>Open project no.1047690</t>
  </si>
  <si>
    <t>23.02.2023</t>
  </si>
  <si>
    <t>DPU</t>
  </si>
  <si>
    <t>GBR</t>
  </si>
  <si>
    <t>MIC_autotests.c - 1.1.4.8</t>
  </si>
  <si>
    <t>1.1.6.7</t>
  </si>
  <si>
    <t>1.1.9.9</t>
  </si>
  <si>
    <t>1.1.4.9</t>
  </si>
  <si>
    <t>Dan Dustinta</t>
  </si>
  <si>
    <t>MIC_LLD.h - v1.1.6.7</t>
  </si>
  <si>
    <t>MIC_Public.h - v1.1.6.6</t>
  </si>
  <si>
    <t>MIC.c - v1.1.9.9</t>
  </si>
  <si>
    <t>MIC_autotests.c - v1.1.4.9</t>
  </si>
  <si>
    <t>MIC_LLD.c - v1.1.6.7</t>
  </si>
  <si>
    <t>fixed</t>
  </si>
  <si>
    <t>will not be fixed</t>
  </si>
  <si>
    <t>1.1.6.8</t>
  </si>
  <si>
    <t>1.1.4.10</t>
  </si>
  <si>
    <t>No findings - fixed on CR 1047690</t>
  </si>
  <si>
    <t>1.1.9.10</t>
  </si>
  <si>
    <t>No findings - fixed on CR 1047503</t>
  </si>
  <si>
    <t>MIC_LLD.h - 1.1.6.8</t>
  </si>
  <si>
    <t>MIC_SW_DetailedDesign.docx - v1.4</t>
  </si>
  <si>
    <t>MIC_LLD.h - v1.1.6.8</t>
  </si>
  <si>
    <t>MIC_Public.h - v1.1.6.7</t>
  </si>
  <si>
    <t>MIC.c - v1.1.9.10</t>
  </si>
  <si>
    <t>MIC_autotests.c - v1.1.4.10</t>
  </si>
  <si>
    <t>MIC_LLD.c - v1.1.6.8</t>
  </si>
  <si>
    <t>1.1.9.11</t>
  </si>
  <si>
    <t>1.1.6.9</t>
  </si>
  <si>
    <t>MIC.c - v1.1.9.11</t>
  </si>
  <si>
    <t>MIC_LLD.c - v1.1.6.9</t>
  </si>
  <si>
    <t>Ioan
Repede</t>
  </si>
  <si>
    <t>Coverage C1 not 100%</t>
  </si>
  <si>
    <t>Robert Hadadea</t>
  </si>
  <si>
    <t>1.1.4.13</t>
  </si>
  <si>
    <t>Code review between 1.1.4.10 and 1.1.4.13 is covered by this version</t>
  </si>
  <si>
    <t>Gabriel Brasoveanu</t>
  </si>
  <si>
    <t>Roxana Dimanescu</t>
  </si>
  <si>
    <t>1.1.6.11</t>
  </si>
  <si>
    <t>Code review between 1.1.6.9 and 1.1.6.11 is covered by this version</t>
  </si>
  <si>
    <t>1.1.9.15</t>
  </si>
  <si>
    <t>Code review between 1.1.9.11 and 1.1.9.15 is covered by this version</t>
  </si>
  <si>
    <t>MIC.c - v1.1.9.15</t>
  </si>
  <si>
    <t>MIC_LLD.c - v1.1.6.11</t>
  </si>
  <si>
    <t>MIC_autotests.c - v1.1.4.13</t>
  </si>
  <si>
    <t>MIC_Private.h - 1.1.6.7</t>
  </si>
  <si>
    <t>1.3.1.1.1.24</t>
  </si>
  <si>
    <t>eCS_SW_Arhitecture.eapx</t>
  </si>
  <si>
    <t>Lucian Ardeleanu</t>
  </si>
  <si>
    <t>Mihai Motoc</t>
  </si>
  <si>
    <t>eCS_SW_Arhitecture.eapx - v1.3.1.1.1.24</t>
  </si>
  <si>
    <t>eCS_SW_Arhitecture.eapx - v1.3.1.1.1.26</t>
  </si>
  <si>
    <t>1.3.1.1.1.25</t>
  </si>
  <si>
    <t>1.3.1.1.1.26</t>
  </si>
  <si>
    <t>eCS_SW_Arhitecture.eapx - v1.3.1.1.1.25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</si>
</sst>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rgb="FF000000"/>
      <name val="Arial"/>
      <family val="2"/>
    </font>
    <font>
      <sz val="10"/>
      <color rgb="FF333333"/>
      <name val="Arial"/>
      <family val="2"/>
    </font>
    <font>
      <sz val="11"/>
      <color rgb="FF000000"/>
      <name val="Calibri"/>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
      <left style="thin">
        <color rgb="FF4F81BD"/>
      </left>
      <right/>
      <top style="thin">
        <color rgb="FF4F81BD"/>
      </top>
      <bottom style="thin">
        <color rgb="FF4F81BD"/>
      </bottom>
      <diagonal/>
    </border>
    <border>
      <left/>
      <right/>
      <top style="thin">
        <color rgb="FF4F81BD"/>
      </top>
      <bottom style="thin">
        <color rgb="FF4F81BD"/>
      </bottom>
      <diagonal/>
    </border>
  </borders>
  <cellStyleXfs count="35">
    <xf numFmtId="0" fontId="0" fillId="0" borderId="0"/>
    <xf numFmtId="0" fontId="57" fillId="6" borderId="14" applyNumberFormat="0" applyAlignment="0" applyProtection="0"/>
    <xf numFmtId="0" fontId="58" fillId="0" borderId="0" applyNumberFormat="0" applyFill="0" applyBorder="0" applyAlignment="0" applyProtection="0"/>
    <xf numFmtId="0" fontId="28" fillId="0" borderId="0"/>
    <xf numFmtId="0" fontId="52" fillId="0" borderId="0"/>
    <xf numFmtId="0" fontId="56" fillId="0" borderId="0"/>
    <xf numFmtId="0" fontId="28" fillId="0" borderId="0"/>
    <xf numFmtId="0" fontId="34" fillId="0" borderId="0"/>
    <xf numFmtId="0" fontId="59" fillId="6" borderId="15" applyNumberFormat="0" applyAlignment="0" applyProtection="0"/>
    <xf numFmtId="0" fontId="27" fillId="0" borderId="0"/>
    <xf numFmtId="0" fontId="26" fillId="0" borderId="0"/>
    <xf numFmtId="0" fontId="25" fillId="0" borderId="0"/>
    <xf numFmtId="0" fontId="84" fillId="25" borderId="14" applyNumberFormat="0" applyAlignment="0" applyProtection="0"/>
    <xf numFmtId="0" fontId="85" fillId="26" borderId="0" applyNumberFormat="0" applyBorder="0" applyAlignment="0" applyProtection="0"/>
    <xf numFmtId="0" fontId="24" fillId="27" borderId="0" applyNumberFormat="0" applyBorder="0" applyAlignment="0" applyProtection="0"/>
    <xf numFmtId="0" fontId="28" fillId="0" borderId="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0" borderId="0"/>
    <xf numFmtId="0" fontId="11" fillId="27" borderId="0" applyNumberFormat="0" applyBorder="0" applyAlignment="0" applyProtection="0"/>
    <xf numFmtId="0" fontId="10" fillId="27" borderId="0" applyNumberFormat="0" applyBorder="0" applyAlignment="0" applyProtection="0"/>
    <xf numFmtId="0" fontId="103" fillId="0" borderId="0" applyNumberFormat="0" applyFill="0" applyBorder="0" applyAlignment="0" applyProtection="0"/>
    <xf numFmtId="0" fontId="9" fillId="27"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cellStyleXfs>
  <cellXfs count="327">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9" fillId="3" borderId="12" xfId="0" applyFont="1" applyFill="1" applyBorder="1" applyAlignment="1">
      <alignment horizontal="center" wrapText="1"/>
    </xf>
    <xf numFmtId="0" fontId="0" fillId="2" borderId="0" xfId="0" applyFill="1" applyAlignment="1">
      <alignment horizontal="center"/>
    </xf>
    <xf numFmtId="0" fontId="29"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8" fillId="0" borderId="1" xfId="0" applyFont="1" applyBorder="1" applyAlignment="1">
      <alignment vertical="center" wrapText="1"/>
    </xf>
    <xf numFmtId="0" fontId="28" fillId="3" borderId="1" xfId="0" applyFont="1" applyFill="1" applyBorder="1" applyAlignment="1">
      <alignment horizontal="center" vertical="center" wrapText="1"/>
    </xf>
    <xf numFmtId="0" fontId="28" fillId="2" borderId="0" xfId="0" applyFont="1" applyFill="1" applyAlignment="1">
      <alignment wrapText="1"/>
    </xf>
    <xf numFmtId="0" fontId="60" fillId="7" borderId="0" xfId="0" applyFont="1" applyFill="1" applyAlignment="1">
      <alignment horizontal="center" vertical="center" wrapText="1"/>
    </xf>
    <xf numFmtId="0" fontId="60" fillId="0" borderId="0" xfId="0" applyFont="1" applyAlignment="1">
      <alignment horizontal="center" vertical="center" wrapText="1"/>
    </xf>
    <xf numFmtId="0" fontId="60" fillId="0" borderId="0" xfId="0" applyFont="1" applyAlignment="1">
      <alignment vertical="center"/>
    </xf>
    <xf numFmtId="0" fontId="60" fillId="0" borderId="0" xfId="0" applyFont="1" applyAlignment="1">
      <alignment vertical="center" wrapText="1"/>
    </xf>
    <xf numFmtId="0" fontId="49" fillId="2" borderId="2" xfId="0" applyFont="1" applyFill="1" applyBorder="1"/>
    <xf numFmtId="0" fontId="28" fillId="2" borderId="0" xfId="0" applyFont="1" applyFill="1" applyAlignment="1">
      <alignment horizontal="center"/>
    </xf>
    <xf numFmtId="0" fontId="0" fillId="8" borderId="0" xfId="0" applyFill="1" applyAlignment="1">
      <alignment horizontal="center"/>
    </xf>
    <xf numFmtId="0" fontId="28" fillId="2" borderId="1" xfId="0" applyFont="1" applyFill="1" applyBorder="1" applyAlignment="1">
      <alignment horizontal="center" wrapText="1"/>
    </xf>
    <xf numFmtId="0" fontId="28" fillId="2" borderId="1" xfId="0" applyFont="1" applyFill="1" applyBorder="1" applyAlignment="1">
      <alignment horizontal="center" vertical="center" wrapText="1"/>
    </xf>
    <xf numFmtId="0" fontId="28" fillId="0" borderId="1" xfId="0" applyFont="1" applyBorder="1" applyAlignment="1">
      <alignment horizontal="center" vertical="center" wrapText="1"/>
    </xf>
    <xf numFmtId="0" fontId="0" fillId="2" borderId="5" xfId="0" applyFill="1" applyBorder="1" applyAlignment="1">
      <alignment wrapText="1"/>
    </xf>
    <xf numFmtId="0" fontId="28" fillId="2" borderId="0" xfId="0" applyFont="1" applyFill="1"/>
    <xf numFmtId="0" fontId="29" fillId="9" borderId="1" xfId="0" applyFont="1" applyFill="1" applyBorder="1" applyAlignment="1">
      <alignment horizontal="center" vertical="center" wrapText="1"/>
    </xf>
    <xf numFmtId="0" fontId="28" fillId="2" borderId="10" xfId="0" applyFont="1" applyFill="1" applyBorder="1"/>
    <xf numFmtId="0" fontId="60"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8" fillId="8" borderId="0" xfId="0" applyFont="1" applyFill="1" applyAlignment="1">
      <alignment horizontal="center" vertical="center"/>
    </xf>
    <xf numFmtId="0" fontId="28" fillId="8" borderId="1" xfId="0" applyFont="1" applyFill="1" applyBorder="1" applyAlignment="1">
      <alignment horizontal="center" vertical="center"/>
    </xf>
    <xf numFmtId="0" fontId="28" fillId="13" borderId="1" xfId="0" applyFont="1" applyFill="1" applyBorder="1" applyAlignment="1">
      <alignment horizontal="center" vertical="center" wrapText="1"/>
    </xf>
    <xf numFmtId="0" fontId="28"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0" fillId="8" borderId="0" xfId="0" applyFont="1" applyFill="1" applyAlignment="1">
      <alignment horizontal="center" vertical="center" wrapText="1"/>
    </xf>
    <xf numFmtId="0" fontId="60" fillId="8" borderId="0" xfId="0" applyFont="1" applyFill="1" applyAlignment="1">
      <alignment vertical="center"/>
    </xf>
    <xf numFmtId="0" fontId="0" fillId="8" borderId="0" xfId="0" applyFill="1" applyAlignment="1">
      <alignment vertical="center"/>
    </xf>
    <xf numFmtId="0" fontId="0" fillId="8" borderId="0" xfId="0" applyFill="1"/>
    <xf numFmtId="0" fontId="31" fillId="14" borderId="1" xfId="0" applyFont="1" applyFill="1" applyBorder="1" applyAlignment="1">
      <alignment horizontal="center" vertical="center" wrapText="1"/>
    </xf>
    <xf numFmtId="0" fontId="60" fillId="0" borderId="0" xfId="0" applyFont="1" applyAlignment="1">
      <alignment horizontal="center" vertical="center"/>
    </xf>
    <xf numFmtId="14" fontId="0" fillId="13" borderId="1" xfId="0" applyNumberFormat="1" applyFill="1" applyBorder="1" applyAlignment="1">
      <alignment horizontal="center" vertical="center" wrapText="1"/>
    </xf>
    <xf numFmtId="0" fontId="28" fillId="13" borderId="1" xfId="0" applyFont="1" applyFill="1" applyBorder="1" applyAlignment="1">
      <alignment horizontal="center" vertical="center"/>
    </xf>
    <xf numFmtId="0" fontId="0" fillId="13" borderId="1" xfId="0" applyFill="1" applyBorder="1" applyAlignment="1">
      <alignment horizontal="center" vertical="center"/>
    </xf>
    <xf numFmtId="0" fontId="28" fillId="2" borderId="5" xfId="0" applyFont="1" applyFill="1" applyBorder="1" applyAlignment="1">
      <alignment wrapText="1"/>
    </xf>
    <xf numFmtId="0" fontId="28" fillId="10" borderId="0" xfId="0" applyFont="1" applyFill="1" applyAlignment="1">
      <alignment horizontal="left" vertical="center"/>
    </xf>
    <xf numFmtId="0" fontId="28" fillId="12" borderId="0" xfId="0" applyFont="1" applyFill="1" applyAlignment="1">
      <alignment horizontal="left" vertical="center"/>
    </xf>
    <xf numFmtId="0" fontId="28" fillId="15" borderId="0" xfId="0" applyFont="1" applyFill="1" applyAlignment="1">
      <alignment horizontal="left" vertical="center"/>
    </xf>
    <xf numFmtId="0" fontId="28" fillId="13" borderId="0" xfId="0" applyFont="1" applyFill="1" applyAlignment="1">
      <alignment horizontal="left" vertical="center"/>
    </xf>
    <xf numFmtId="0" fontId="28" fillId="2" borderId="1" xfId="0" applyFont="1" applyFill="1" applyBorder="1"/>
    <xf numFmtId="0" fontId="28" fillId="0" borderId="1" xfId="0" applyFont="1" applyBorder="1" applyAlignment="1">
      <alignment horizontal="center" vertical="center"/>
    </xf>
    <xf numFmtId="14" fontId="28" fillId="0" borderId="1" xfId="0" applyNumberFormat="1" applyFont="1" applyBorder="1" applyAlignment="1">
      <alignment horizontal="center" vertical="center" wrapText="1"/>
    </xf>
    <xf numFmtId="0" fontId="0" fillId="2" borderId="0" xfId="0" applyFill="1" applyAlignment="1">
      <alignment horizontal="center" wrapText="1"/>
    </xf>
    <xf numFmtId="0" fontId="28" fillId="3" borderId="12" xfId="0" applyFont="1" applyFill="1" applyBorder="1" applyAlignment="1">
      <alignment horizontal="center" vertical="center" wrapText="1"/>
    </xf>
    <xf numFmtId="0" fontId="57" fillId="6" borderId="1" xfId="1" applyBorder="1" applyAlignment="1">
      <alignment horizontal="center"/>
    </xf>
    <xf numFmtId="0" fontId="61" fillId="6" borderId="15" xfId="8" applyFont="1" applyAlignment="1">
      <alignment horizontal="center"/>
    </xf>
    <xf numFmtId="0" fontId="61" fillId="6" borderId="17" xfId="8" applyFont="1" applyBorder="1" applyAlignment="1">
      <alignment horizontal="center"/>
    </xf>
    <xf numFmtId="0" fontId="57" fillId="6" borderId="1" xfId="1" applyBorder="1" applyAlignment="1">
      <alignment horizontal="center" vertical="center"/>
    </xf>
    <xf numFmtId="0" fontId="28"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8" fillId="2" borderId="8" xfId="0" applyFont="1" applyFill="1" applyBorder="1" applyAlignment="1">
      <alignment wrapText="1" shrinkToFit="1"/>
    </xf>
    <xf numFmtId="0" fontId="28" fillId="2" borderId="0" xfId="0" applyFont="1" applyFill="1" applyAlignment="1">
      <alignment vertical="top"/>
    </xf>
    <xf numFmtId="0" fontId="28" fillId="0" borderId="0" xfId="3" applyAlignment="1">
      <alignment vertical="center"/>
    </xf>
    <xf numFmtId="0" fontId="32" fillId="0" borderId="0" xfId="3" applyFont="1" applyAlignment="1">
      <alignment vertical="center" wrapText="1"/>
    </xf>
    <xf numFmtId="164" fontId="32" fillId="0" borderId="0" xfId="3" applyNumberFormat="1" applyFont="1" applyAlignment="1">
      <alignment horizontal="center" vertical="center" wrapText="1"/>
    </xf>
    <xf numFmtId="20" fontId="32" fillId="0" borderId="0" xfId="3" applyNumberFormat="1" applyFont="1" applyAlignment="1">
      <alignment vertical="center" wrapText="1"/>
    </xf>
    <xf numFmtId="0" fontId="32" fillId="0" borderId="0" xfId="3" applyFont="1" applyAlignment="1">
      <alignment horizontal="left" vertical="center" wrapText="1"/>
    </xf>
    <xf numFmtId="0" fontId="62" fillId="0" borderId="0" xfId="3" quotePrefix="1" applyFont="1" applyAlignment="1">
      <alignment horizontal="right" vertical="center"/>
    </xf>
    <xf numFmtId="0" fontId="33" fillId="0" borderId="0" xfId="3" applyFont="1" applyAlignment="1">
      <alignment horizontal="left" vertical="center" wrapText="1"/>
    </xf>
    <xf numFmtId="0" fontId="28" fillId="0" borderId="0" xfId="3" applyAlignment="1">
      <alignment vertical="center" shrinkToFit="1"/>
    </xf>
    <xf numFmtId="0" fontId="64" fillId="0" borderId="0" xfId="3" applyFont="1" applyAlignment="1">
      <alignment horizontal="left" vertical="center" shrinkToFit="1"/>
    </xf>
    <xf numFmtId="0" fontId="29" fillId="0" borderId="0" xfId="3" applyFont="1" applyAlignment="1">
      <alignment horizontal="left" vertical="center" shrinkToFit="1"/>
    </xf>
    <xf numFmtId="0" fontId="28" fillId="0" borderId="0" xfId="3" applyAlignment="1" applyProtection="1">
      <alignment vertical="center"/>
      <protection locked="0"/>
    </xf>
    <xf numFmtId="0" fontId="28" fillId="0" borderId="0" xfId="3" applyAlignment="1" applyProtection="1">
      <alignment vertical="center" shrinkToFit="1"/>
      <protection locked="0"/>
    </xf>
    <xf numFmtId="0" fontId="69" fillId="0" borderId="2" xfId="3" applyFont="1" applyBorder="1" applyAlignment="1" applyProtection="1">
      <alignment horizontal="left" vertical="center" wrapText="1" shrinkToFit="1"/>
      <protection locked="0"/>
    </xf>
    <xf numFmtId="0" fontId="70" fillId="0" borderId="0" xfId="3" applyFont="1" applyAlignment="1" applyProtection="1">
      <alignment horizontal="left" vertical="center" shrinkToFit="1"/>
      <protection locked="0"/>
    </xf>
    <xf numFmtId="0" fontId="69" fillId="0" borderId="0" xfId="3" applyFont="1" applyAlignment="1" applyProtection="1">
      <alignment horizontal="left" vertical="center" wrapText="1" shrinkToFit="1"/>
      <protection locked="0"/>
    </xf>
    <xf numFmtId="0" fontId="70" fillId="0" borderId="3" xfId="3" applyFont="1" applyBorder="1" applyAlignment="1" applyProtection="1">
      <alignment horizontal="left" vertical="center" shrinkToFit="1"/>
      <protection locked="0"/>
    </xf>
    <xf numFmtId="0" fontId="73" fillId="0" borderId="0" xfId="3" applyFont="1" applyAlignment="1" applyProtection="1">
      <alignment vertical="center"/>
      <protection locked="0"/>
    </xf>
    <xf numFmtId="0" fontId="74" fillId="0" borderId="0" xfId="3" applyFont="1" applyAlignment="1" applyProtection="1">
      <alignment horizontal="center" vertical="center"/>
      <protection locked="0"/>
    </xf>
    <xf numFmtId="0" fontId="27" fillId="8" borderId="0" xfId="9" applyFill="1"/>
    <xf numFmtId="0" fontId="75" fillId="0" borderId="0" xfId="3" applyFont="1" applyAlignment="1">
      <alignment horizontal="right" vertical="center"/>
    </xf>
    <xf numFmtId="0" fontId="76" fillId="0" borderId="18" xfId="3" applyFont="1" applyBorder="1" applyAlignment="1" applyProtection="1">
      <alignment vertical="center"/>
      <protection locked="0"/>
    </xf>
    <xf numFmtId="0" fontId="28" fillId="0" borderId="18" xfId="3" applyBorder="1" applyAlignment="1" applyProtection="1">
      <alignment vertical="center"/>
      <protection locked="0"/>
    </xf>
    <xf numFmtId="0" fontId="77" fillId="0" borderId="0" xfId="3" applyFont="1" applyAlignment="1" applyProtection="1">
      <alignment horizontal="left" vertical="center"/>
      <protection locked="0"/>
    </xf>
    <xf numFmtId="0" fontId="36" fillId="0" borderId="0" xfId="3" applyFont="1" applyAlignment="1" applyProtection="1">
      <alignment horizontal="left" vertical="center"/>
      <protection locked="0"/>
    </xf>
    <xf numFmtId="0" fontId="55" fillId="0" borderId="0" xfId="3" applyFont="1" applyAlignment="1" applyProtection="1">
      <alignment vertical="center"/>
      <protection locked="0"/>
    </xf>
    <xf numFmtId="0" fontId="29" fillId="0" borderId="0" xfId="3" applyFont="1" applyAlignment="1" applyProtection="1">
      <alignment vertical="center"/>
      <protection locked="0"/>
    </xf>
    <xf numFmtId="49" fontId="78" fillId="0" borderId="0" xfId="3" applyNumberFormat="1" applyFont="1" applyAlignment="1" applyProtection="1">
      <alignment horizontal="left" vertical="center"/>
      <protection locked="0"/>
    </xf>
    <xf numFmtId="49" fontId="28" fillId="0" borderId="0" xfId="3" applyNumberFormat="1" applyAlignment="1">
      <alignment horizontal="center" vertical="center" wrapText="1"/>
    </xf>
    <xf numFmtId="49" fontId="28" fillId="0" borderId="0" xfId="3" applyNumberFormat="1" applyAlignment="1" applyProtection="1">
      <alignment horizontal="left" vertical="center" wrapText="1"/>
      <protection locked="0"/>
    </xf>
    <xf numFmtId="49" fontId="28" fillId="0" borderId="0" xfId="3" applyNumberFormat="1" applyAlignment="1">
      <alignment horizontal="left" vertical="center" wrapText="1"/>
    </xf>
    <xf numFmtId="14" fontId="28" fillId="0" borderId="0" xfId="3" applyNumberFormat="1" applyAlignment="1" applyProtection="1">
      <alignment vertical="center"/>
      <protection locked="0"/>
    </xf>
    <xf numFmtId="0" fontId="79" fillId="0" borderId="0" xfId="3" applyFont="1" applyAlignment="1" applyProtection="1">
      <alignment horizontal="left" vertical="center"/>
      <protection locked="0"/>
    </xf>
    <xf numFmtId="0" fontId="28" fillId="0" borderId="0" xfId="3" applyAlignment="1">
      <alignment horizontal="left" vertical="center" wrapText="1"/>
    </xf>
    <xf numFmtId="0" fontId="76" fillId="0" borderId="5" xfId="3" applyFont="1" applyBorder="1" applyAlignment="1" applyProtection="1">
      <alignment vertical="center"/>
      <protection locked="0"/>
    </xf>
    <xf numFmtId="49" fontId="28" fillId="0" borderId="5" xfId="3" applyNumberFormat="1" applyBorder="1" applyAlignment="1" applyProtection="1">
      <alignment horizontal="left" vertical="center" wrapText="1"/>
      <protection locked="0"/>
    </xf>
    <xf numFmtId="0" fontId="28" fillId="0" borderId="5" xfId="3" applyBorder="1" applyAlignment="1">
      <alignment horizontal="left" vertical="center" wrapText="1"/>
    </xf>
    <xf numFmtId="0" fontId="76" fillId="0" borderId="0" xfId="3" applyFont="1" applyAlignment="1" applyProtection="1">
      <alignment vertical="center"/>
      <protection locked="0"/>
    </xf>
    <xf numFmtId="49" fontId="28" fillId="0" borderId="0" xfId="3" applyNumberFormat="1" applyAlignment="1" applyProtection="1">
      <alignment horizontal="left" vertical="center"/>
      <protection locked="0"/>
    </xf>
    <xf numFmtId="0" fontId="28" fillId="0" borderId="0" xfId="3" applyAlignment="1">
      <alignment horizontal="left" vertical="center"/>
    </xf>
    <xf numFmtId="0" fontId="29" fillId="2" borderId="1" xfId="0" applyFont="1" applyFill="1" applyBorder="1" applyAlignment="1">
      <alignment horizontal="center" vertical="center"/>
    </xf>
    <xf numFmtId="0" fontId="28" fillId="21" borderId="0" xfId="0" applyFont="1" applyFill="1" applyAlignment="1">
      <alignment horizontal="left" vertical="top" wrapText="1"/>
    </xf>
    <xf numFmtId="0" fontId="28" fillId="21" borderId="0" xfId="0" applyFont="1" applyFill="1" applyAlignment="1">
      <alignment wrapText="1"/>
    </xf>
    <xf numFmtId="0" fontId="0" fillId="21" borderId="0" xfId="0" applyFill="1" applyAlignment="1">
      <alignment wrapText="1"/>
    </xf>
    <xf numFmtId="0" fontId="28" fillId="9" borderId="0" xfId="0" applyFont="1" applyFill="1" applyAlignment="1">
      <alignment wrapText="1"/>
    </xf>
    <xf numFmtId="0" fontId="0" fillId="9" borderId="0" xfId="0" applyFill="1" applyAlignment="1">
      <alignment wrapText="1"/>
    </xf>
    <xf numFmtId="0" fontId="28" fillId="2" borderId="2" xfId="0" applyFont="1" applyFill="1" applyBorder="1" applyAlignment="1">
      <alignment horizontal="right"/>
    </xf>
    <xf numFmtId="0" fontId="0" fillId="2" borderId="4" xfId="0" applyFill="1" applyBorder="1" applyAlignment="1">
      <alignment horizontal="right"/>
    </xf>
    <xf numFmtId="0" fontId="25" fillId="0" borderId="0" xfId="11"/>
    <xf numFmtId="0" fontId="31" fillId="10" borderId="1" xfId="0" applyFont="1" applyFill="1" applyBorder="1" applyAlignment="1">
      <alignment horizontal="center" vertical="center" wrapText="1"/>
    </xf>
    <xf numFmtId="0" fontId="86" fillId="12" borderId="1" xfId="0" applyFont="1" applyFill="1" applyBorder="1" applyAlignment="1">
      <alignment horizontal="center" vertical="center" wrapText="1"/>
    </xf>
    <xf numFmtId="0" fontId="31" fillId="11" borderId="1" xfId="0" applyFont="1" applyFill="1" applyBorder="1" applyAlignment="1">
      <alignment horizontal="center" vertical="center" wrapText="1"/>
    </xf>
    <xf numFmtId="14" fontId="31" fillId="11" borderId="1" xfId="0" applyNumberFormat="1" applyFont="1" applyFill="1" applyBorder="1" applyAlignment="1">
      <alignment horizontal="center" vertical="center" wrapText="1"/>
    </xf>
    <xf numFmtId="0" fontId="51" fillId="8" borderId="0" xfId="0" applyFont="1" applyFill="1" applyAlignment="1">
      <alignment horizontal="center" vertical="center"/>
    </xf>
    <xf numFmtId="0" fontId="51" fillId="8" borderId="0" xfId="0" applyFont="1" applyFill="1" applyAlignment="1">
      <alignment vertical="center"/>
    </xf>
    <xf numFmtId="0" fontId="51" fillId="0" borderId="0" xfId="0" applyFont="1" applyAlignment="1">
      <alignment vertical="center"/>
    </xf>
    <xf numFmtId="0" fontId="31" fillId="0" borderId="0" xfId="0" applyFont="1" applyAlignment="1">
      <alignment vertical="center"/>
    </xf>
    <xf numFmtId="0" fontId="88" fillId="29" borderId="20" xfId="14" applyFont="1" applyFill="1" applyBorder="1" applyAlignment="1" applyProtection="1">
      <alignment horizontal="center" vertical="center" wrapText="1"/>
      <protection locked="0"/>
    </xf>
    <xf numFmtId="0" fontId="89" fillId="13" borderId="20" xfId="14" applyFont="1" applyFill="1" applyBorder="1" applyAlignment="1" applyProtection="1">
      <alignment horizontal="center" vertical="center" wrapText="1"/>
    </xf>
    <xf numFmtId="0" fontId="88" fillId="7" borderId="1" xfId="14" applyFont="1" applyFill="1" applyBorder="1" applyAlignment="1">
      <alignment horizontal="left" vertical="center"/>
    </xf>
    <xf numFmtId="0" fontId="84" fillId="25" borderId="14" xfId="12" applyAlignment="1">
      <alignment horizontal="center" vertical="center"/>
    </xf>
    <xf numFmtId="0" fontId="88" fillId="7" borderId="1" xfId="14" applyFont="1" applyFill="1" applyBorder="1" applyAlignment="1">
      <alignment horizontal="center" vertical="center"/>
    </xf>
    <xf numFmtId="0" fontId="28" fillId="5" borderId="0" xfId="15" applyFill="1" applyAlignment="1">
      <alignment vertical="center"/>
    </xf>
    <xf numFmtId="0" fontId="28" fillId="5" borderId="0" xfId="15" applyFill="1" applyAlignment="1">
      <alignment vertical="center" wrapText="1"/>
    </xf>
    <xf numFmtId="0" fontId="30" fillId="5" borderId="0" xfId="15" applyFont="1" applyFill="1" applyAlignment="1">
      <alignment vertical="center"/>
    </xf>
    <xf numFmtId="0" fontId="65" fillId="30" borderId="10" xfId="15" applyFont="1" applyFill="1" applyBorder="1" applyAlignment="1">
      <alignment vertical="center"/>
    </xf>
    <xf numFmtId="0" fontId="94" fillId="30" borderId="19" xfId="15" applyFont="1" applyFill="1" applyBorder="1" applyAlignment="1">
      <alignment vertical="center" wrapText="1"/>
    </xf>
    <xf numFmtId="0" fontId="28" fillId="5" borderId="1" xfId="15" applyFill="1" applyBorder="1" applyAlignment="1">
      <alignment vertical="center"/>
    </xf>
    <xf numFmtId="0" fontId="95" fillId="5" borderId="1" xfId="15" applyFont="1" applyFill="1" applyBorder="1" applyAlignment="1">
      <alignment horizontal="center" vertical="center"/>
    </xf>
    <xf numFmtId="0" fontId="28" fillId="5" borderId="1" xfId="15" applyFill="1" applyBorder="1" applyAlignment="1">
      <alignment vertical="center" wrapText="1"/>
    </xf>
    <xf numFmtId="0" fontId="65" fillId="31" borderId="10" xfId="15" applyFont="1" applyFill="1" applyBorder="1" applyAlignment="1">
      <alignment vertical="center"/>
    </xf>
    <xf numFmtId="0" fontId="37" fillId="31" borderId="8" xfId="15" applyFont="1" applyFill="1" applyBorder="1" applyAlignment="1">
      <alignment horizontal="center" vertical="center" wrapText="1"/>
    </xf>
    <xf numFmtId="0" fontId="94" fillId="31" borderId="19" xfId="15" applyFont="1" applyFill="1" applyBorder="1" applyAlignment="1">
      <alignment vertical="center" wrapText="1"/>
    </xf>
    <xf numFmtId="0" fontId="94" fillId="31" borderId="11" xfId="15" applyFont="1" applyFill="1" applyBorder="1" applyAlignment="1">
      <alignment vertical="center" wrapText="1"/>
    </xf>
    <xf numFmtId="0" fontId="37" fillId="30" borderId="19" xfId="15" applyFont="1" applyFill="1" applyBorder="1" applyAlignment="1">
      <alignment vertical="center" wrapText="1"/>
    </xf>
    <xf numFmtId="0" fontId="0" fillId="0" borderId="0" xfId="0" applyAlignment="1" applyProtection="1">
      <alignment vertical="center"/>
      <protection locked="0"/>
    </xf>
    <xf numFmtId="0" fontId="77" fillId="0" borderId="0" xfId="0" applyFont="1" applyAlignment="1" applyProtection="1">
      <alignment horizontal="left" vertical="center"/>
      <protection locked="0"/>
    </xf>
    <xf numFmtId="0" fontId="28" fillId="0" borderId="1" xfId="15" applyBorder="1" applyAlignment="1">
      <alignment vertical="center" wrapText="1"/>
    </xf>
    <xf numFmtId="0" fontId="100" fillId="0" borderId="2" xfId="0" applyFont="1" applyBorder="1" applyAlignment="1">
      <alignment horizontal="right" vertical="center"/>
    </xf>
    <xf numFmtId="0" fontId="102" fillId="0" borderId="0" xfId="0" applyFont="1" applyAlignment="1">
      <alignment wrapText="1"/>
    </xf>
    <xf numFmtId="0" fontId="85" fillId="7" borderId="1" xfId="14" applyFont="1" applyFill="1" applyBorder="1" applyAlignment="1">
      <alignment horizontal="center" vertical="center"/>
    </xf>
    <xf numFmtId="0" fontId="103" fillId="8" borderId="0" xfId="30" applyFill="1" applyAlignment="1">
      <alignment horizontal="center" wrapText="1"/>
    </xf>
    <xf numFmtId="0" fontId="31" fillId="3" borderId="12" xfId="0" applyFont="1" applyFill="1" applyBorder="1" applyAlignment="1">
      <alignment horizontal="center" vertical="center" wrapText="1"/>
    </xf>
    <xf numFmtId="0" fontId="31" fillId="3" borderId="16" xfId="0" applyFont="1" applyFill="1" applyBorder="1" applyAlignment="1">
      <alignment horizontal="center" vertical="center" wrapText="1"/>
    </xf>
    <xf numFmtId="0" fontId="31" fillId="3" borderId="1" xfId="0" applyFont="1" applyFill="1" applyBorder="1" applyAlignment="1">
      <alignment horizontal="center" vertical="center" wrapText="1"/>
    </xf>
    <xf numFmtId="0" fontId="57" fillId="6" borderId="16" xfId="1" applyBorder="1" applyAlignment="1">
      <alignment horizontal="center" vertical="center"/>
    </xf>
    <xf numFmtId="0" fontId="29" fillId="2" borderId="1" xfId="0" applyFont="1" applyFill="1" applyBorder="1" applyAlignment="1">
      <alignment horizontal="center"/>
    </xf>
    <xf numFmtId="0" fontId="65" fillId="33" borderId="12" xfId="15" applyFont="1" applyFill="1" applyBorder="1" applyAlignment="1">
      <alignment horizontal="center" vertical="center" textRotation="45" wrapText="1"/>
    </xf>
    <xf numFmtId="0" fontId="92" fillId="33" borderId="12" xfId="15" applyFont="1" applyFill="1" applyBorder="1" applyAlignment="1">
      <alignment horizontal="center" vertical="center" wrapText="1"/>
    </xf>
    <xf numFmtId="0" fontId="80" fillId="33" borderId="1" xfId="15" applyFont="1" applyFill="1" applyBorder="1" applyAlignment="1">
      <alignment horizontal="center" vertical="center" textRotation="45" wrapText="1"/>
    </xf>
    <xf numFmtId="0" fontId="80" fillId="33" borderId="1" xfId="15" applyFont="1" applyFill="1" applyBorder="1" applyAlignment="1">
      <alignment horizontal="center" vertical="center" wrapText="1"/>
    </xf>
    <xf numFmtId="0" fontId="65" fillId="33" borderId="13" xfId="15" applyFont="1" applyFill="1" applyBorder="1" applyAlignment="1">
      <alignment horizontal="center" vertical="center"/>
    </xf>
    <xf numFmtId="0" fontId="93" fillId="33" borderId="13" xfId="15" applyFont="1" applyFill="1" applyBorder="1" applyAlignment="1">
      <alignment horizontal="center" vertical="center" wrapText="1"/>
    </xf>
    <xf numFmtId="9" fontId="104" fillId="6" borderId="14" xfId="1" applyNumberFormat="1" applyFont="1" applyAlignment="1">
      <alignment horizontal="center" vertical="center" wrapText="1"/>
    </xf>
    <xf numFmtId="0" fontId="65" fillId="33" borderId="7" xfId="15" applyFont="1" applyFill="1" applyBorder="1" applyAlignment="1">
      <alignment horizontal="center" vertical="center"/>
    </xf>
    <xf numFmtId="0" fontId="96" fillId="33" borderId="8" xfId="15" applyFont="1" applyFill="1" applyBorder="1" applyAlignment="1">
      <alignment horizontal="center" vertical="center" wrapText="1"/>
    </xf>
    <xf numFmtId="0" fontId="93" fillId="33" borderId="8" xfId="15" applyFont="1" applyFill="1" applyBorder="1" applyAlignment="1">
      <alignment horizontal="center" vertical="center" wrapText="1"/>
    </xf>
    <xf numFmtId="0" fontId="93"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37" fillId="15" borderId="0" xfId="0" applyFont="1" applyFill="1" applyAlignment="1">
      <alignment horizontal="center" wrapText="1"/>
    </xf>
    <xf numFmtId="0" fontId="49" fillId="15" borderId="0" xfId="0" applyFont="1" applyFill="1" applyAlignment="1">
      <alignment horizontal="center" wrapText="1"/>
    </xf>
    <xf numFmtId="0" fontId="37" fillId="7" borderId="0" xfId="0" applyFont="1" applyFill="1" applyAlignment="1">
      <alignment horizontal="center" wrapText="1"/>
    </xf>
    <xf numFmtId="0" fontId="105" fillId="7" borderId="0" xfId="0" applyFont="1" applyFill="1" applyAlignment="1">
      <alignment horizontal="center" vertical="center" wrapText="1"/>
    </xf>
    <xf numFmtId="0" fontId="88" fillId="29" borderId="12" xfId="34" applyFont="1" applyFill="1" applyBorder="1" applyAlignment="1">
      <alignment horizontal="center" vertical="center" wrapText="1"/>
    </xf>
    <xf numFmtId="0" fontId="37" fillId="7" borderId="0" xfId="3" applyFont="1" applyFill="1" applyAlignment="1">
      <alignment horizontal="center" wrapText="1"/>
    </xf>
    <xf numFmtId="0" fontId="105" fillId="7" borderId="0" xfId="3" applyFont="1" applyFill="1" applyAlignment="1">
      <alignment horizontal="center" vertical="center" wrapText="1"/>
    </xf>
    <xf numFmtId="0" fontId="28" fillId="0" borderId="1" xfId="0" applyFont="1" applyBorder="1" applyAlignment="1">
      <alignment vertical="center"/>
    </xf>
    <xf numFmtId="0" fontId="5" fillId="0" borderId="0" xfId="11" applyFont="1"/>
    <xf numFmtId="0" fontId="25" fillId="0" borderId="0" xfId="11" applyFill="1" applyBorder="1"/>
    <xf numFmtId="0" fontId="4" fillId="0" borderId="0" xfId="11" applyFont="1" applyFill="1" applyBorder="1"/>
    <xf numFmtId="0" fontId="57" fillId="6" borderId="21" xfId="1" applyNumberFormat="1" applyBorder="1"/>
    <xf numFmtId="0" fontId="3" fillId="0" borderId="0" xfId="11" applyFont="1" applyFill="1" applyBorder="1"/>
    <xf numFmtId="14" fontId="3" fillId="0" borderId="0" xfId="11" applyNumberFormat="1" applyFont="1" applyFill="1" applyBorder="1" applyAlignment="1">
      <alignment horizontal="left"/>
    </xf>
    <xf numFmtId="0" fontId="25" fillId="0" borderId="0" xfId="11" applyFill="1"/>
    <xf numFmtId="0" fontId="57" fillId="6" borderId="14" xfId="1" applyNumberFormat="1"/>
    <xf numFmtId="14" fontId="0" fillId="0" borderId="0" xfId="0" applyNumberFormat="1" applyFill="1" applyBorder="1" applyAlignment="1">
      <alignment horizontal="left" vertical="center" wrapText="1"/>
    </xf>
    <xf numFmtId="0" fontId="28" fillId="0" borderId="0" xfId="0" applyFont="1" applyBorder="1" applyAlignment="1">
      <alignment horizontal="left" vertical="center" wrapText="1"/>
    </xf>
    <xf numFmtId="14" fontId="25" fillId="0" borderId="0" xfId="11" applyNumberFormat="1" applyFill="1" applyBorder="1" applyAlignment="1">
      <alignment horizontal="left"/>
    </xf>
    <xf numFmtId="0" fontId="2" fillId="0" borderId="0" xfId="11" applyFont="1" applyFill="1" applyBorder="1"/>
    <xf numFmtId="0" fontId="28" fillId="0" borderId="1" xfId="0" applyFont="1" applyBorder="1" applyAlignment="1"/>
    <xf numFmtId="0" fontId="60" fillId="7" borderId="0" xfId="0" applyFont="1" applyFill="1" applyAlignment="1"/>
    <xf numFmtId="0" fontId="28" fillId="8" borderId="0" xfId="0" applyFont="1" applyFill="1" applyAlignment="1"/>
    <xf numFmtId="0" fontId="31" fillId="11" borderId="1" xfId="0" applyFont="1" applyFill="1" applyBorder="1" applyAlignment="1">
      <alignment wrapText="1"/>
    </xf>
    <xf numFmtId="0" fontId="0" fillId="0" borderId="1" xfId="0" applyBorder="1" applyAlignment="1"/>
    <xf numFmtId="14" fontId="0" fillId="13" borderId="1" xfId="0" applyNumberFormat="1" applyFill="1" applyBorder="1" applyAlignment="1">
      <alignment wrapText="1"/>
    </xf>
    <xf numFmtId="0" fontId="107" fillId="0" borderId="0" xfId="0" applyFont="1" applyAlignment="1"/>
    <xf numFmtId="0" fontId="1" fillId="0" borderId="0" xfId="11" applyFont="1" applyFill="1" applyBorder="1"/>
    <xf numFmtId="0" fontId="28" fillId="35" borderId="1" xfId="0" applyFont="1" applyFill="1" applyBorder="1" applyAlignment="1">
      <alignment horizontal="center" vertical="center" wrapText="1"/>
    </xf>
    <xf numFmtId="0" fontId="28" fillId="35" borderId="11" xfId="0" applyFont="1" applyFill="1" applyBorder="1" applyAlignment="1">
      <alignment horizontal="center" vertical="center" wrapText="1"/>
    </xf>
    <xf numFmtId="0" fontId="28" fillId="35" borderId="11" xfId="0" applyFont="1" applyFill="1" applyBorder="1" applyAlignment="1">
      <alignment vertical="center" wrapText="1"/>
    </xf>
    <xf numFmtId="14" fontId="28" fillId="35" borderId="11" xfId="0" applyNumberFormat="1" applyFont="1" applyFill="1" applyBorder="1" applyAlignment="1">
      <alignment horizontal="center" vertical="center" wrapText="1"/>
    </xf>
    <xf numFmtId="0" fontId="28" fillId="35" borderId="11" xfId="0" applyFont="1" applyFill="1" applyBorder="1" applyAlignment="1">
      <alignment horizontal="center" vertical="center"/>
    </xf>
    <xf numFmtId="0" fontId="28" fillId="0" borderId="11" xfId="0" applyFont="1" applyBorder="1" applyAlignment="1">
      <alignment horizontal="center" vertical="center"/>
    </xf>
    <xf numFmtId="0" fontId="28" fillId="36" borderId="11" xfId="0" applyFont="1" applyFill="1" applyBorder="1" applyAlignment="1">
      <alignment horizontal="center" vertical="center"/>
    </xf>
    <xf numFmtId="0" fontId="108" fillId="0" borderId="22" xfId="0" applyFont="1" applyBorder="1"/>
    <xf numFmtId="0" fontId="108" fillId="0" borderId="23" xfId="0" applyFont="1" applyBorder="1"/>
    <xf numFmtId="14" fontId="108" fillId="0" borderId="23" xfId="0" applyNumberFormat="1" applyFont="1" applyBorder="1" applyAlignment="1">
      <alignment horizontal="left"/>
    </xf>
    <xf numFmtId="14" fontId="25" fillId="0" borderId="0" xfId="11" applyNumberFormat="1" applyAlignment="1">
      <alignment horizontal="left"/>
    </xf>
    <xf numFmtId="0" fontId="74" fillId="0" borderId="0" xfId="3" applyFont="1" applyAlignment="1" applyProtection="1">
      <alignment horizontal="center" vertical="center" wrapText="1"/>
      <protection locked="0"/>
    </xf>
    <xf numFmtId="0" fontId="28" fillId="0" borderId="0" xfId="3" applyAlignment="1">
      <alignment vertical="center" wrapText="1"/>
    </xf>
    <xf numFmtId="0" fontId="65" fillId="16" borderId="2" xfId="3" applyFont="1" applyFill="1" applyBorder="1" applyAlignment="1" applyProtection="1">
      <alignment horizontal="center" vertical="center" shrinkToFit="1"/>
      <protection locked="0"/>
    </xf>
    <xf numFmtId="0" fontId="65" fillId="16" borderId="0" xfId="3" applyFont="1" applyFill="1" applyAlignment="1" applyProtection="1">
      <alignment horizontal="center" vertical="center" shrinkToFit="1"/>
      <protection locked="0"/>
    </xf>
    <xf numFmtId="0" fontId="65" fillId="16" borderId="3" xfId="3" applyFont="1" applyFill="1" applyBorder="1" applyAlignment="1" applyProtection="1">
      <alignment horizontal="center" vertical="center" shrinkToFit="1"/>
      <protection locked="0"/>
    </xf>
    <xf numFmtId="0" fontId="28" fillId="0" borderId="4" xfId="3" applyBorder="1" applyAlignment="1" applyProtection="1">
      <alignment horizontal="right" vertical="top" wrapText="1" shrinkToFit="1"/>
      <protection locked="0"/>
    </xf>
    <xf numFmtId="0" fontId="28" fillId="0" borderId="5" xfId="3" applyBorder="1" applyAlignment="1" applyProtection="1">
      <alignment horizontal="right" vertical="top" wrapText="1" shrinkToFit="1"/>
      <protection locked="0"/>
    </xf>
    <xf numFmtId="0" fontId="66" fillId="0" borderId="5" xfId="0" applyFont="1" applyBorder="1" applyAlignment="1" applyProtection="1">
      <alignment horizontal="left" vertical="top" wrapText="1" shrinkToFit="1"/>
      <protection locked="0"/>
    </xf>
    <xf numFmtId="0" fontId="66" fillId="0" borderId="6" xfId="0" applyFont="1" applyBorder="1" applyAlignment="1" applyProtection="1">
      <alignment horizontal="left" vertical="top" wrapText="1" shrinkToFit="1"/>
      <protection locked="0"/>
    </xf>
    <xf numFmtId="0" fontId="30" fillId="0" borderId="5" xfId="3" applyFont="1" applyBorder="1" applyAlignment="1" applyProtection="1">
      <alignment horizontal="left" vertical="top" wrapText="1" shrinkToFit="1"/>
      <protection locked="0"/>
    </xf>
    <xf numFmtId="0" fontId="68" fillId="0" borderId="5" xfId="3" applyFont="1" applyBorder="1" applyAlignment="1" applyProtection="1">
      <alignment horizontal="left" vertical="top" shrinkToFit="1"/>
      <protection locked="0"/>
    </xf>
    <xf numFmtId="0" fontId="68" fillId="0" borderId="6" xfId="3" applyFont="1" applyBorder="1" applyAlignment="1" applyProtection="1">
      <alignment horizontal="left" vertical="top" shrinkToFit="1"/>
      <protection locked="0"/>
    </xf>
    <xf numFmtId="0" fontId="65" fillId="16" borderId="7" xfId="3" applyFont="1" applyFill="1" applyBorder="1" applyAlignment="1" applyProtection="1">
      <alignment horizontal="center" vertical="center" shrinkToFit="1"/>
      <protection locked="0"/>
    </xf>
    <xf numFmtId="0" fontId="65" fillId="16" borderId="8" xfId="3" applyFont="1" applyFill="1" applyBorder="1" applyAlignment="1" applyProtection="1">
      <alignment horizontal="center" vertical="center" shrinkToFit="1"/>
      <protection locked="0"/>
    </xf>
    <xf numFmtId="0" fontId="65" fillId="16" borderId="9" xfId="3" applyFont="1" applyFill="1" applyBorder="1" applyAlignment="1" applyProtection="1">
      <alignment horizontal="center" vertical="center" shrinkToFit="1"/>
      <protection locked="0"/>
    </xf>
    <xf numFmtId="0" fontId="28" fillId="0" borderId="4" xfId="3" applyBorder="1" applyAlignment="1" applyProtection="1">
      <alignment horizontal="center" vertical="top" wrapText="1" shrinkToFit="1"/>
      <protection locked="0"/>
    </xf>
    <xf numFmtId="0" fontId="28" fillId="0" borderId="5" xfId="3" applyBorder="1" applyAlignment="1" applyProtection="1">
      <alignment horizontal="center" vertical="top" wrapText="1" shrinkToFit="1"/>
      <protection locked="0"/>
    </xf>
    <xf numFmtId="0" fontId="28" fillId="0" borderId="6" xfId="3" applyBorder="1" applyAlignment="1" applyProtection="1">
      <alignment horizontal="center" vertical="top" wrapText="1" shrinkToFit="1"/>
      <protection locked="0"/>
    </xf>
    <xf numFmtId="0" fontId="65" fillId="16" borderId="8" xfId="3" applyFont="1" applyFill="1" applyBorder="1" applyAlignment="1" applyProtection="1">
      <alignment horizontal="center" vertical="center" wrapText="1"/>
      <protection locked="0"/>
    </xf>
    <xf numFmtId="0" fontId="65" fillId="16" borderId="0" xfId="3" applyFont="1" applyFill="1" applyAlignment="1" applyProtection="1">
      <alignment horizontal="center" vertical="center" wrapText="1"/>
      <protection locked="0"/>
    </xf>
    <xf numFmtId="0" fontId="28" fillId="0" borderId="7" xfId="3" applyBorder="1" applyAlignment="1" applyProtection="1">
      <alignment horizontal="left" vertical="top"/>
      <protection locked="0"/>
    </xf>
    <xf numFmtId="0" fontId="28" fillId="0" borderId="8" xfId="3" applyBorder="1" applyAlignment="1" applyProtection="1">
      <alignment horizontal="left" vertical="top"/>
      <protection locked="0"/>
    </xf>
    <xf numFmtId="0" fontId="28" fillId="0" borderId="9" xfId="3" applyBorder="1" applyAlignment="1" applyProtection="1">
      <alignment horizontal="left" vertical="top"/>
      <protection locked="0"/>
    </xf>
    <xf numFmtId="0" fontId="28" fillId="0" borderId="4" xfId="3" applyBorder="1" applyAlignment="1" applyProtection="1">
      <alignment horizontal="left" vertical="top"/>
      <protection locked="0"/>
    </xf>
    <xf numFmtId="0" fontId="28" fillId="0" borderId="5" xfId="3" applyBorder="1" applyAlignment="1" applyProtection="1">
      <alignment horizontal="left" vertical="top"/>
      <protection locked="0"/>
    </xf>
    <xf numFmtId="0" fontId="28" fillId="0" borderId="6" xfId="3" applyBorder="1" applyAlignment="1" applyProtection="1">
      <alignment horizontal="left" vertical="top"/>
      <protection locked="0"/>
    </xf>
    <xf numFmtId="0" fontId="65" fillId="16" borderId="2" xfId="3" applyFont="1" applyFill="1" applyBorder="1" applyAlignment="1" applyProtection="1">
      <alignment horizontal="center" vertical="center" wrapText="1" shrinkToFit="1"/>
      <protection locked="0"/>
    </xf>
    <xf numFmtId="0" fontId="65" fillId="16" borderId="0" xfId="3" applyFont="1" applyFill="1" applyAlignment="1" applyProtection="1">
      <alignment horizontal="center" vertical="center" wrapText="1" shrinkToFit="1"/>
      <protection locked="0"/>
    </xf>
    <xf numFmtId="0" fontId="84" fillId="25" borderId="14" xfId="12" applyAlignment="1" applyProtection="1">
      <alignment horizontal="center" vertical="center"/>
      <protection locked="0"/>
    </xf>
    <xf numFmtId="0" fontId="33" fillId="0" borderId="7" xfId="3" applyFont="1" applyBorder="1" applyAlignment="1">
      <alignment horizontal="left" vertical="center" wrapText="1"/>
    </xf>
    <xf numFmtId="0" fontId="33" fillId="0" borderId="8" xfId="3" applyFont="1" applyBorder="1" applyAlignment="1">
      <alignment horizontal="left" vertical="center" wrapText="1"/>
    </xf>
    <xf numFmtId="0" fontId="33" fillId="0" borderId="9" xfId="3" applyFont="1" applyBorder="1" applyAlignment="1">
      <alignment horizontal="left" vertical="center" wrapText="1"/>
    </xf>
    <xf numFmtId="0" fontId="33" fillId="0" borderId="7" xfId="3" applyFont="1" applyBorder="1" applyAlignment="1">
      <alignment horizontal="left" vertical="center" shrinkToFit="1"/>
    </xf>
    <xf numFmtId="0" fontId="33" fillId="0" borderId="8" xfId="3" applyFont="1" applyBorder="1" applyAlignment="1">
      <alignment horizontal="left" vertical="center" shrinkToFit="1"/>
    </xf>
    <xf numFmtId="0" fontId="33" fillId="0" borderId="9" xfId="3" applyFont="1" applyBorder="1" applyAlignment="1">
      <alignment horizontal="left" vertical="center" shrinkToFit="1"/>
    </xf>
    <xf numFmtId="0" fontId="63" fillId="0" borderId="4" xfId="0" applyFont="1" applyBorder="1" applyAlignment="1">
      <alignment horizontal="left" vertical="center" shrinkToFit="1"/>
    </xf>
    <xf numFmtId="0" fontId="63" fillId="0" borderId="5" xfId="0" applyFont="1" applyBorder="1" applyAlignment="1">
      <alignment horizontal="left" vertical="center" shrinkToFit="1"/>
    </xf>
    <xf numFmtId="0" fontId="63" fillId="0" borderId="6" xfId="0" applyFont="1" applyBorder="1" applyAlignment="1">
      <alignment horizontal="left" vertical="center" shrinkToFit="1"/>
    </xf>
    <xf numFmtId="0" fontId="63" fillId="0" borderId="4" xfId="3" applyFont="1" applyBorder="1" applyAlignment="1">
      <alignment horizontal="left" vertical="center" shrinkToFit="1"/>
    </xf>
    <xf numFmtId="0" fontId="63" fillId="0" borderId="5" xfId="3" applyFont="1" applyBorder="1" applyAlignment="1">
      <alignment horizontal="left" vertical="center" shrinkToFit="1"/>
    </xf>
    <xf numFmtId="0" fontId="63" fillId="0" borderId="6" xfId="3" applyFont="1" applyBorder="1" applyAlignment="1">
      <alignment horizontal="left" vertical="center" shrinkToFit="1"/>
    </xf>
    <xf numFmtId="49" fontId="28" fillId="0" borderId="10" xfId="3" applyNumberFormat="1" applyBorder="1" applyAlignment="1" applyProtection="1">
      <alignment horizontal="center" vertical="center" wrapText="1"/>
      <protection locked="0"/>
    </xf>
    <xf numFmtId="49" fontId="28" fillId="0" borderId="19" xfId="3" applyNumberFormat="1" applyBorder="1" applyAlignment="1" applyProtection="1">
      <alignment horizontal="center" vertical="center" wrapText="1"/>
      <protection locked="0"/>
    </xf>
    <xf numFmtId="49" fontId="28" fillId="0" borderId="11" xfId="3" applyNumberFormat="1" applyBorder="1" applyAlignment="1" applyProtection="1">
      <alignment horizontal="center" vertical="center" wrapText="1"/>
      <protection locked="0"/>
    </xf>
    <xf numFmtId="0" fontId="28" fillId="0" borderId="10" xfId="3" applyBorder="1" applyAlignment="1">
      <alignment horizontal="left" vertical="center" wrapText="1"/>
    </xf>
    <xf numFmtId="0" fontId="28" fillId="0" borderId="19" xfId="3" applyBorder="1" applyAlignment="1">
      <alignment horizontal="left" vertical="center" wrapText="1"/>
    </xf>
    <xf numFmtId="0" fontId="28" fillId="0" borderId="11" xfId="3" applyBorder="1" applyAlignment="1">
      <alignment horizontal="left" vertical="center" wrapText="1"/>
    </xf>
    <xf numFmtId="0" fontId="58" fillId="0" borderId="10" xfId="2" applyBorder="1" applyAlignment="1">
      <alignment horizontal="left" vertical="center" wrapText="1"/>
    </xf>
    <xf numFmtId="49" fontId="28" fillId="0" borderId="1" xfId="3" applyNumberFormat="1" applyBorder="1" applyAlignment="1" applyProtection="1">
      <alignment horizontal="left" vertical="center" wrapText="1"/>
      <protection locked="0"/>
    </xf>
    <xf numFmtId="0" fontId="28" fillId="0" borderId="1" xfId="3" applyBorder="1" applyAlignment="1">
      <alignment horizontal="left" vertical="center" wrapText="1"/>
    </xf>
    <xf numFmtId="49" fontId="28" fillId="0" borderId="1" xfId="3" applyNumberFormat="1" applyBorder="1" applyAlignment="1" applyProtection="1">
      <alignment vertical="center" wrapText="1"/>
      <protection locked="0"/>
    </xf>
    <xf numFmtId="0" fontId="46" fillId="18" borderId="1" xfId="3" applyFont="1" applyFill="1" applyBorder="1" applyAlignment="1" applyProtection="1">
      <alignment horizontal="center" vertical="center" wrapText="1"/>
      <protection locked="0"/>
    </xf>
    <xf numFmtId="0" fontId="80" fillId="20" borderId="1" xfId="3" applyFont="1" applyFill="1" applyBorder="1" applyAlignment="1">
      <alignment horizontal="center" vertical="center" wrapText="1"/>
    </xf>
    <xf numFmtId="0" fontId="28" fillId="0" borderId="1" xfId="3" applyBorder="1" applyAlignment="1">
      <alignment horizontal="center" vertical="center" wrapText="1"/>
    </xf>
    <xf numFmtId="14" fontId="28" fillId="0" borderId="10" xfId="3" applyNumberFormat="1" applyBorder="1" applyAlignment="1" applyProtection="1">
      <alignment horizontal="left" vertical="center" wrapText="1"/>
      <protection locked="0"/>
    </xf>
    <xf numFmtId="14" fontId="28" fillId="0" borderId="19" xfId="3" applyNumberFormat="1" applyBorder="1" applyAlignment="1" applyProtection="1">
      <alignment horizontal="left" vertical="center" wrapText="1"/>
      <protection locked="0"/>
    </xf>
    <xf numFmtId="14" fontId="28" fillId="0" borderId="11" xfId="3" applyNumberFormat="1" applyBorder="1" applyAlignment="1" applyProtection="1">
      <alignment horizontal="left" vertical="center" wrapText="1"/>
      <protection locked="0"/>
    </xf>
    <xf numFmtId="49" fontId="28" fillId="0" borderId="1" xfId="3" applyNumberFormat="1" applyBorder="1" applyAlignment="1">
      <alignment horizontal="left" vertical="center" wrapText="1"/>
    </xf>
    <xf numFmtId="49" fontId="28" fillId="0" borderId="1" xfId="3" applyNumberFormat="1" applyBorder="1" applyAlignment="1" applyProtection="1">
      <alignment horizontal="center" vertical="center" wrapText="1"/>
      <protection locked="0"/>
    </xf>
    <xf numFmtId="49" fontId="28" fillId="0" borderId="1" xfId="3" applyNumberFormat="1" applyBorder="1" applyAlignment="1">
      <alignment horizontal="center" vertical="center" wrapText="1"/>
    </xf>
    <xf numFmtId="49" fontId="28" fillId="22" borderId="1" xfId="3" applyNumberFormat="1" applyFill="1" applyBorder="1" applyAlignment="1" applyProtection="1">
      <alignment horizontal="center" vertical="center" wrapText="1"/>
      <protection locked="0"/>
    </xf>
    <xf numFmtId="49" fontId="28" fillId="32" borderId="1" xfId="3" applyNumberFormat="1" applyFill="1" applyBorder="1" applyAlignment="1" applyProtection="1">
      <alignment horizontal="center" vertical="center" wrapText="1"/>
      <protection locked="0"/>
    </xf>
    <xf numFmtId="49" fontId="60" fillId="24" borderId="1" xfId="3" applyNumberFormat="1" applyFont="1" applyFill="1" applyBorder="1" applyAlignment="1" applyProtection="1">
      <alignment horizontal="center" vertical="center" wrapText="1"/>
      <protection locked="0"/>
    </xf>
    <xf numFmtId="0" fontId="33" fillId="17" borderId="7" xfId="3" applyFont="1" applyFill="1" applyBorder="1" applyAlignment="1">
      <alignment horizontal="left" vertical="center" shrinkToFit="1"/>
    </xf>
    <xf numFmtId="0" fontId="33" fillId="17" borderId="8" xfId="3" applyFont="1" applyFill="1" applyBorder="1" applyAlignment="1">
      <alignment horizontal="left" vertical="center" shrinkToFit="1"/>
    </xf>
    <xf numFmtId="0" fontId="33" fillId="17" borderId="9" xfId="3" applyFont="1" applyFill="1" applyBorder="1" applyAlignment="1">
      <alignment horizontal="left" vertical="center" shrinkToFit="1"/>
    </xf>
    <xf numFmtId="0" fontId="64" fillId="17" borderId="4" xfId="3" applyFont="1" applyFill="1" applyBorder="1" applyAlignment="1">
      <alignment horizontal="left" vertical="center" shrinkToFit="1"/>
    </xf>
    <xf numFmtId="0" fontId="64" fillId="17" borderId="5" xfId="3" applyFont="1" applyFill="1" applyBorder="1" applyAlignment="1">
      <alignment horizontal="left" vertical="center" shrinkToFit="1"/>
    </xf>
    <xf numFmtId="0" fontId="64" fillId="17" borderId="6" xfId="3" applyFont="1" applyFill="1" applyBorder="1" applyAlignment="1">
      <alignment horizontal="left" vertical="center" shrinkToFit="1"/>
    </xf>
    <xf numFmtId="0" fontId="28" fillId="18" borderId="1" xfId="3" applyFill="1" applyBorder="1" applyAlignment="1" applyProtection="1">
      <alignment horizontal="center" vertical="center" wrapText="1"/>
      <protection locked="0"/>
    </xf>
    <xf numFmtId="49" fontId="28" fillId="19" borderId="1" xfId="3" applyNumberFormat="1" applyFill="1" applyBorder="1" applyAlignment="1" applyProtection="1">
      <alignment horizontal="center" vertical="center" wrapText="1"/>
      <protection locked="0"/>
    </xf>
    <xf numFmtId="0" fontId="33" fillId="17" borderId="7" xfId="3" applyFont="1" applyFill="1" applyBorder="1" applyAlignment="1">
      <alignment horizontal="left" vertical="center" wrapText="1"/>
    </xf>
    <xf numFmtId="0" fontId="33" fillId="17" borderId="8" xfId="3" applyFont="1" applyFill="1" applyBorder="1" applyAlignment="1">
      <alignment horizontal="left" vertical="center" wrapText="1"/>
    </xf>
    <xf numFmtId="0" fontId="33" fillId="17" borderId="9" xfId="3" applyFont="1" applyFill="1" applyBorder="1" applyAlignment="1">
      <alignment horizontal="left" vertical="center" wrapTex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49" fontId="28" fillId="23" borderId="1" xfId="3" applyNumberFormat="1" applyFill="1" applyBorder="1" applyAlignment="1" applyProtection="1">
      <alignment horizontal="center" vertical="center" wrapText="1"/>
      <protection locked="0"/>
    </xf>
    <xf numFmtId="0" fontId="97" fillId="2" borderId="10" xfId="7" applyFont="1" applyFill="1" applyBorder="1" applyAlignment="1">
      <alignment horizontal="center" vertical="center"/>
    </xf>
    <xf numFmtId="0" fontId="97" fillId="2" borderId="19" xfId="7" applyFont="1" applyFill="1" applyBorder="1" applyAlignment="1">
      <alignment horizontal="center" vertical="center"/>
    </xf>
    <xf numFmtId="0" fontId="97" fillId="2" borderId="11" xfId="7" applyFont="1" applyFill="1" applyBorder="1" applyAlignment="1">
      <alignment horizontal="center" vertical="center"/>
    </xf>
    <xf numFmtId="0" fontId="34" fillId="2" borderId="10" xfId="7" applyFill="1" applyBorder="1" applyAlignment="1">
      <alignment horizontal="justify" vertical="center" wrapText="1"/>
    </xf>
    <xf numFmtId="0" fontId="34" fillId="2" borderId="19" xfId="7" applyFill="1" applyBorder="1" applyAlignment="1">
      <alignment horizontal="justify" vertical="center" wrapText="1"/>
    </xf>
    <xf numFmtId="0" fontId="34" fillId="2" borderId="11" xfId="7" applyFill="1" applyBorder="1" applyAlignment="1">
      <alignment horizontal="justify" vertical="center" wrapText="1"/>
    </xf>
    <xf numFmtId="0" fontId="29" fillId="21" borderId="2" xfId="0" applyFont="1" applyFill="1" applyBorder="1" applyAlignment="1">
      <alignment horizontal="center" vertical="top" textRotation="45"/>
    </xf>
    <xf numFmtId="0" fontId="29" fillId="9" borderId="2" xfId="0" applyFont="1" applyFill="1" applyBorder="1" applyAlignment="1">
      <alignment horizontal="center" vertical="center" textRotation="45"/>
    </xf>
    <xf numFmtId="0" fontId="35" fillId="3" borderId="7" xfId="7" applyFont="1" applyFill="1" applyBorder="1" applyAlignment="1">
      <alignment horizontal="center" vertical="distributed"/>
    </xf>
    <xf numFmtId="0" fontId="35" fillId="3" borderId="8" xfId="7" applyFont="1" applyFill="1" applyBorder="1" applyAlignment="1">
      <alignment horizontal="center" vertical="distributed"/>
    </xf>
    <xf numFmtId="0" fontId="35" fillId="3" borderId="9" xfId="7" applyFont="1" applyFill="1" applyBorder="1" applyAlignment="1">
      <alignment horizontal="center" vertical="distributed"/>
    </xf>
    <xf numFmtId="0" fontId="29" fillId="3" borderId="7" xfId="0" applyFont="1" applyFill="1" applyBorder="1" applyAlignment="1">
      <alignment horizontal="center" wrapText="1"/>
    </xf>
    <xf numFmtId="0" fontId="29" fillId="3" borderId="8" xfId="0" applyFont="1" applyFill="1" applyBorder="1" applyAlignment="1">
      <alignment horizontal="center" wrapText="1"/>
    </xf>
    <xf numFmtId="0" fontId="29" fillId="3" borderId="9" xfId="0" applyFont="1" applyFill="1" applyBorder="1" applyAlignment="1">
      <alignment horizontal="center" wrapText="1"/>
    </xf>
    <xf numFmtId="0" fontId="28" fillId="2" borderId="10" xfId="0" applyFont="1" applyFill="1" applyBorder="1" applyAlignment="1">
      <alignment horizontal="left" vertical="center" wrapText="1" shrinkToFit="1"/>
    </xf>
    <xf numFmtId="0" fontId="28" fillId="2" borderId="11" xfId="0" applyFont="1" applyFill="1" applyBorder="1" applyAlignment="1">
      <alignment horizontal="left" vertical="center" wrapText="1" shrinkToFit="1"/>
    </xf>
    <xf numFmtId="0" fontId="87" fillId="28" borderId="4" xfId="13" applyFont="1" applyFill="1" applyBorder="1" applyAlignment="1" applyProtection="1">
      <alignment horizontal="center" vertical="center" wrapText="1"/>
      <protection locked="0"/>
    </xf>
    <xf numFmtId="0" fontId="87" fillId="28" borderId="5" xfId="13" applyFont="1" applyFill="1" applyBorder="1" applyAlignment="1" applyProtection="1">
      <alignment horizontal="center" vertical="center" wrapText="1"/>
      <protection locked="0"/>
    </xf>
    <xf numFmtId="0" fontId="87" fillId="28" borderId="6" xfId="13" applyFont="1" applyFill="1" applyBorder="1" applyAlignment="1" applyProtection="1">
      <alignment horizontal="center" vertical="center" wrapText="1"/>
      <protection locked="0"/>
    </xf>
    <xf numFmtId="0" fontId="87" fillId="16" borderId="4" xfId="13" applyFont="1" applyFill="1" applyBorder="1" applyAlignment="1" applyProtection="1">
      <alignment horizontal="center" vertical="center" wrapText="1"/>
    </xf>
    <xf numFmtId="0" fontId="87" fillId="16" borderId="5" xfId="13" applyFont="1" applyFill="1" applyBorder="1" applyAlignment="1" applyProtection="1">
      <alignment horizontal="center" vertical="center" wrapText="1"/>
    </xf>
    <xf numFmtId="0" fontId="84" fillId="25" borderId="14" xfId="12" applyAlignment="1">
      <alignment horizontal="left" vertical="center"/>
    </xf>
    <xf numFmtId="0" fontId="37" fillId="8" borderId="5" xfId="0" applyFont="1" applyFill="1" applyBorder="1" applyAlignment="1">
      <alignment horizontal="center" vertical="center"/>
    </xf>
    <xf numFmtId="0" fontId="37" fillId="8" borderId="6" xfId="0" applyFont="1" applyFill="1" applyBorder="1" applyAlignment="1">
      <alignment horizontal="center" vertical="center"/>
    </xf>
    <xf numFmtId="0" fontId="92" fillId="28" borderId="10" xfId="2" applyFont="1" applyFill="1" applyBorder="1" applyAlignment="1" applyProtection="1">
      <alignment horizontal="center" vertical="center" wrapText="1"/>
      <protection locked="0"/>
    </xf>
    <xf numFmtId="0" fontId="92" fillId="28" borderId="11" xfId="2" applyFont="1" applyFill="1" applyBorder="1" applyAlignment="1" applyProtection="1">
      <alignment horizontal="center" vertical="center" wrapText="1"/>
      <protection locked="0"/>
    </xf>
  </cellXfs>
  <cellStyles count="35">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1565">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numFmt numFmtId="0" formatCode="Genera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37</c:v>
                </c:pt>
                <c:pt idx="1">
                  <c:v>8</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25</c:v>
                </c:pt>
                <c:pt idx="3">
                  <c:v>18</c:v>
                </c:pt>
                <c:pt idx="4">
                  <c:v>17</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41</c:v>
                </c:pt>
                <c:pt idx="1">
                  <c:v>18</c:v>
                </c:pt>
                <c:pt idx="2">
                  <c:v>1</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23" totalsRowShown="0" headerRowDxfId="1535" headerRowBorderDxfId="1534" tableBorderDxfId="1533" headerRowCellStyle="40% - Accent5" dataCellStyle="Normal 4">
  <autoFilter ref="A2:O2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DxfId="1532" dataCellStyle="Calculation">
      <calculatedColumnFormula>SUM(F3:O3)</calculatedColumnFormula>
    </tableColumn>
    <tableColumn id="6" xr3:uid="{DD9655BE-E53F-4CA5-885B-7FC10F8D2395}" name="VCH" dataCellStyle="Normal 4"/>
    <tableColumn id="7" xr3:uid="{525D8884-0C8A-4478-BF05-7E1372CD45F9}" name="CGA" dataCellStyle="Normal 4"/>
    <tableColumn id="8" xr3:uid="{967B83B5-4BDD-455D-9479-4517937966AE}" name="DPU" dataCellStyle="Normal 4"/>
    <tableColumn id="9" xr3:uid="{B1B837F4-0787-4CAA-BD5D-A6B2F7E9368A}" name="GBR" dataCellStyle="Normal 4"/>
    <tableColumn id="10" xr3:uid="{4B029EAF-CE65-4128-A016-A786C51E5D01}" name="Dan Dustinta" dataCellStyle="Normal 4"/>
    <tableColumn id="11" xr3:uid="{5B3D026C-0D6F-4D5D-949A-921EED9750D8}" name="Ioan_x000a_Repede" dataCellStyle="Normal 4"/>
    <tableColumn id="12" xr3:uid="{F47E4945-FC46-4596-99F8-6868803682F5}" name="Lucian Ardeleanu" dataCellStyle="Normal 4"/>
    <tableColumn id="13" xr3:uid="{5139BD5E-7132-4168-905C-F6084CD7F3D0}" name="Mihai Motoc"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opLeftCell="A10" zoomScale="130" zoomScaleNormal="130" workbookViewId="0">
      <selection activeCell="F11" sqref="F11"/>
    </sheetView>
  </sheetViews>
  <sheetFormatPr defaultColWidth="0" defaultRowHeight="12.75" customHeight="1" zeroHeight="1"/>
  <cols>
    <col min="1" max="3" width="2.85546875" style="93" customWidth="1"/>
    <col min="4" max="4" width="3.28515625" style="93" customWidth="1"/>
    <col min="5" max="33" width="2.85546875" style="93" customWidth="1"/>
    <col min="34" max="34" width="1.28515625" style="93" customWidth="1"/>
    <col min="35" max="60" width="3.28515625" style="93" hidden="1" customWidth="1"/>
    <col min="61" max="16384" width="0" style="93" hidden="1"/>
  </cols>
  <sheetData>
    <row r="1" spans="1:37" s="83" customFormat="1">
      <c r="C1" s="84"/>
      <c r="D1" s="84"/>
      <c r="E1" s="84"/>
      <c r="F1" s="84"/>
      <c r="G1" s="85"/>
      <c r="H1" s="86"/>
      <c r="I1" s="86"/>
      <c r="J1" s="86"/>
      <c r="K1" s="86"/>
      <c r="L1" s="86"/>
      <c r="M1" s="86"/>
      <c r="N1" s="86"/>
      <c r="O1" s="86"/>
      <c r="P1" s="87"/>
      <c r="Q1" s="87"/>
      <c r="R1" s="87"/>
      <c r="S1" s="87"/>
      <c r="T1" s="87"/>
      <c r="U1" s="87"/>
      <c r="V1" s="87"/>
      <c r="W1" s="87"/>
      <c r="X1" s="87"/>
      <c r="Y1" s="87"/>
      <c r="Z1" s="87"/>
      <c r="AA1" s="87"/>
      <c r="AB1" s="87"/>
      <c r="AC1" s="87"/>
      <c r="AD1" s="87"/>
      <c r="AE1" s="87"/>
      <c r="AF1" s="87"/>
      <c r="AG1" s="87"/>
      <c r="AH1" s="87"/>
      <c r="AI1" s="87"/>
      <c r="AJ1" s="87"/>
      <c r="AK1" s="87"/>
    </row>
    <row r="2" spans="1:37" s="83" customFormat="1"/>
    <row r="3" spans="1:37" s="83" customFormat="1">
      <c r="AD3" s="88" t="s">
        <v>391</v>
      </c>
    </row>
    <row r="4" spans="1:37" s="83" customFormat="1" ht="11.1" customHeight="1">
      <c r="A4" s="255" t="s">
        <v>0</v>
      </c>
      <c r="B4" s="256"/>
      <c r="C4" s="256"/>
      <c r="D4" s="256"/>
      <c r="E4" s="256"/>
      <c r="F4" s="256"/>
      <c r="G4" s="256"/>
      <c r="H4" s="256"/>
      <c r="I4" s="256"/>
      <c r="J4" s="256"/>
      <c r="K4" s="256"/>
      <c r="L4" s="256"/>
      <c r="M4" s="256"/>
      <c r="N4" s="256"/>
      <c r="O4" s="256"/>
      <c r="P4" s="256"/>
      <c r="Q4" s="257"/>
      <c r="R4" s="252" t="s">
        <v>1</v>
      </c>
      <c r="S4" s="253"/>
      <c r="T4" s="253"/>
      <c r="U4" s="253"/>
      <c r="V4" s="254"/>
      <c r="W4" s="252" t="s">
        <v>2</v>
      </c>
      <c r="X4" s="253"/>
      <c r="Y4" s="253"/>
      <c r="Z4" s="253"/>
      <c r="AA4" s="254"/>
      <c r="AB4" s="255" t="s">
        <v>3</v>
      </c>
      <c r="AC4" s="256"/>
      <c r="AD4" s="256"/>
      <c r="AE4" s="256"/>
      <c r="AF4" s="256"/>
      <c r="AG4" s="257"/>
      <c r="AH4" s="89"/>
      <c r="AI4" s="89"/>
      <c r="AJ4" s="89"/>
    </row>
    <row r="5" spans="1:37" s="90" customFormat="1" ht="12.75" customHeight="1">
      <c r="A5" s="258" t="str">
        <f ca="1" xml:space="preserve"> IFERROR(IF([2]!alvDocProperty("MXAuthority")="","272502 VW VWA VN 41S1_NAR EL SB",[2]!alvDocProperty("MXAuthority")),"272502 VW VWA VN 41S1_NAR EL SB")</f>
        <v>272502 VW VWA VN 41S1_NAR EL SB</v>
      </c>
      <c r="B5" s="259"/>
      <c r="C5" s="259"/>
      <c r="D5" s="259"/>
      <c r="E5" s="259"/>
      <c r="F5" s="259"/>
      <c r="G5" s="259"/>
      <c r="H5" s="259"/>
      <c r="I5" s="259"/>
      <c r="J5" s="259"/>
      <c r="K5" s="259"/>
      <c r="L5" s="259"/>
      <c r="M5" s="259"/>
      <c r="N5" s="259"/>
      <c r="O5" s="259"/>
      <c r="P5" s="259"/>
      <c r="Q5" s="260"/>
      <c r="R5" s="258" t="s">
        <v>4</v>
      </c>
      <c r="S5" s="259"/>
      <c r="T5" s="259"/>
      <c r="U5" s="259"/>
      <c r="V5" s="260"/>
      <c r="W5" s="258" t="str">
        <f ca="1" xml:space="preserve"> IFERROR(IF([2]!alvDocProperty("MXCurrent.Localized")="","Template released",[2]!alvDocProperty("MXCurrent.Localized")),"Template released")</f>
        <v>Template released</v>
      </c>
      <c r="X5" s="259"/>
      <c r="Y5" s="259"/>
      <c r="Z5" s="259"/>
      <c r="AA5" s="260"/>
      <c r="AB5" s="258" t="str">
        <f ca="1" xml:space="preserve"> IFERROR(IF([2]!alvDocProperty("MXActual_state_Released")="","2022-09",[2]!alvDocProperty("MXActual_state_Released")),"2022-09")</f>
        <v>2022-09</v>
      </c>
      <c r="AC5" s="259"/>
      <c r="AD5" s="259"/>
      <c r="AE5" s="259"/>
      <c r="AF5" s="259"/>
      <c r="AG5" s="260"/>
    </row>
    <row r="6" spans="1:37" s="83" customFormat="1" ht="11.1" customHeight="1">
      <c r="A6" s="252" t="s">
        <v>5</v>
      </c>
      <c r="B6" s="253"/>
      <c r="C6" s="253"/>
      <c r="D6" s="254"/>
      <c r="E6" s="252" t="s">
        <v>6</v>
      </c>
      <c r="F6" s="253"/>
      <c r="G6" s="253"/>
      <c r="H6" s="253"/>
      <c r="I6" s="253"/>
      <c r="J6" s="253"/>
      <c r="K6" s="253"/>
      <c r="L6" s="253"/>
      <c r="M6" s="253"/>
      <c r="N6" s="253"/>
      <c r="O6" s="253"/>
      <c r="P6" s="253"/>
      <c r="Q6" s="253"/>
      <c r="R6" s="253"/>
      <c r="S6" s="253"/>
      <c r="T6" s="253"/>
      <c r="U6" s="253"/>
      <c r="V6" s="254"/>
      <c r="W6" s="255" t="s">
        <v>7</v>
      </c>
      <c r="X6" s="256"/>
      <c r="Y6" s="256"/>
      <c r="Z6" s="256"/>
      <c r="AA6" s="257"/>
      <c r="AB6" s="252" t="s">
        <v>8</v>
      </c>
      <c r="AC6" s="253"/>
      <c r="AD6" s="254"/>
      <c r="AE6" s="252" t="s">
        <v>9</v>
      </c>
      <c r="AF6" s="253"/>
      <c r="AG6" s="254"/>
    </row>
    <row r="7" spans="1:37" s="90" customFormat="1" ht="12.75" customHeight="1">
      <c r="A7" s="258" t="str">
        <f ca="1" xml:space="preserve"> IFERROR(IF([2]!alvDocProperty("MXName")="","TBD",[2]!alvDocProperty("MXName")),"TBD")</f>
        <v>TBD</v>
      </c>
      <c r="B7" s="259"/>
      <c r="C7" s="259"/>
      <c r="D7" s="260"/>
      <c r="E7" s="258" t="str">
        <f ca="1" xml:space="preserve"> IFERROR(IF([2]!alvDocProperty("MXTitle")="","MIC - Peer Review Workbook (PRWB)",[2]!alvDocProperty("MXTitle")),"MIC - Peer Review Workbook (PRWB)")</f>
        <v>MIC - Peer Review Workbook (PRWB)</v>
      </c>
      <c r="F7" s="259"/>
      <c r="G7" s="259"/>
      <c r="H7" s="259"/>
      <c r="I7" s="259"/>
      <c r="J7" s="259"/>
      <c r="K7" s="259"/>
      <c r="L7" s="259"/>
      <c r="M7" s="259"/>
      <c r="N7" s="259"/>
      <c r="O7" s="259"/>
      <c r="P7" s="259"/>
      <c r="Q7" s="259"/>
      <c r="R7" s="259"/>
      <c r="S7" s="259"/>
      <c r="T7" s="259"/>
      <c r="U7" s="259"/>
      <c r="V7" s="260"/>
      <c r="W7" s="261" t="str">
        <f ca="1" xml:space="preserve"> IFERROR(IF([2]!alvDocProperty("MXDocTemplate_Name")="","AEF1007",[2]!alvDocProperty("MXDocTemplate_Name")),"AEF1007")</f>
        <v>AEF1007</v>
      </c>
      <c r="X7" s="262"/>
      <c r="Y7" s="262"/>
      <c r="Z7" s="262"/>
      <c r="AA7" s="263"/>
      <c r="AB7" s="258" t="str">
        <f ca="1" xml:space="preserve"> IFERROR(IF([2]!alvDocProperty("MXRevision")="","TBD",[2]!alvDocProperty("MXRevision")),"TBD")</f>
        <v>TBD</v>
      </c>
      <c r="AC7" s="259"/>
      <c r="AD7" s="260"/>
      <c r="AE7" s="258" t="str">
        <f ca="1" xml:space="preserve"> IFERROR(IF([2]!alvDocProperty("MXVersion")="","TBD",[2]!alvDocProperty("MXVersion")),"TBD")</f>
        <v>TBD</v>
      </c>
      <c r="AF7" s="259"/>
      <c r="AG7" s="260"/>
    </row>
    <row r="8" spans="1:37" s="90" customFormat="1">
      <c r="A8" s="91"/>
      <c r="B8" s="91"/>
      <c r="C8" s="91"/>
      <c r="D8" s="91"/>
      <c r="E8" s="91"/>
      <c r="F8" s="91"/>
      <c r="G8" s="91"/>
      <c r="H8" s="91"/>
      <c r="I8" s="91"/>
      <c r="J8" s="91"/>
      <c r="K8" s="91"/>
      <c r="L8" s="91"/>
      <c r="M8" s="91"/>
      <c r="N8" s="91"/>
      <c r="O8" s="91"/>
      <c r="P8" s="91"/>
      <c r="Q8" s="91"/>
      <c r="R8" s="91"/>
      <c r="S8" s="91"/>
      <c r="T8" s="91"/>
      <c r="U8" s="91"/>
      <c r="V8" s="91"/>
      <c r="W8" s="92"/>
      <c r="X8" s="92"/>
      <c r="Y8" s="92"/>
      <c r="Z8" s="92"/>
      <c r="AA8" s="92"/>
      <c r="AB8" s="91"/>
      <c r="AC8" s="91"/>
      <c r="AD8" s="91"/>
      <c r="AE8" s="91"/>
      <c r="AF8" s="91"/>
      <c r="AG8" s="91"/>
    </row>
    <row r="9" spans="1:37" ht="11.1" customHeight="1">
      <c r="A9" s="225" t="s">
        <v>10</v>
      </c>
      <c r="B9" s="226"/>
      <c r="C9" s="226"/>
      <c r="D9" s="226"/>
      <c r="E9" s="226"/>
      <c r="F9" s="226"/>
      <c r="G9" s="226"/>
      <c r="H9" s="226"/>
      <c r="I9" s="226"/>
      <c r="J9" s="226"/>
      <c r="K9" s="227"/>
      <c r="L9" s="225" t="s">
        <v>1</v>
      </c>
      <c r="M9" s="226"/>
      <c r="N9" s="226"/>
      <c r="O9" s="226"/>
      <c r="P9" s="226"/>
      <c r="Q9" s="226"/>
      <c r="R9" s="226"/>
      <c r="S9" s="226"/>
      <c r="T9" s="226"/>
      <c r="U9" s="226"/>
      <c r="V9" s="227"/>
      <c r="W9" s="225" t="s">
        <v>11</v>
      </c>
      <c r="X9" s="226"/>
      <c r="Y9" s="226"/>
      <c r="Z9" s="226"/>
      <c r="AA9" s="226"/>
      <c r="AB9" s="226"/>
      <c r="AC9" s="226"/>
      <c r="AD9" s="226"/>
      <c r="AE9" s="226"/>
      <c r="AF9" s="226"/>
      <c r="AG9" s="227"/>
    </row>
    <row r="10" spans="1:37" s="94" customFormat="1" ht="39" customHeight="1">
      <c r="A10" s="228" t="s">
        <v>12</v>
      </c>
      <c r="B10" s="229"/>
      <c r="C10" s="229"/>
      <c r="D10" s="229"/>
      <c r="E10" s="229"/>
      <c r="F10" s="230" t="str">
        <f ca="1" xml:space="preserve"> IFERROR(IF([2]!alvDocProperty("MXUser")="","Vlad Chioveanu",[2]!alvDocProperty("MXUser")),"Vlad Chioveanu")</f>
        <v>Vlad Chioveanu</v>
      </c>
      <c r="G10" s="230"/>
      <c r="H10" s="230"/>
      <c r="I10" s="230"/>
      <c r="J10" s="230"/>
      <c r="K10" s="231"/>
      <c r="L10" s="232" t="s">
        <v>13</v>
      </c>
      <c r="M10" s="233"/>
      <c r="N10" s="233"/>
      <c r="O10" s="233"/>
      <c r="P10" s="233"/>
      <c r="Q10" s="233"/>
      <c r="R10" s="233"/>
      <c r="S10" s="233"/>
      <c r="T10" s="233"/>
      <c r="U10" s="233"/>
      <c r="V10" s="234"/>
      <c r="W10" s="232" t="s">
        <v>13</v>
      </c>
      <c r="X10" s="233"/>
      <c r="Y10" s="233"/>
      <c r="Z10" s="233"/>
      <c r="AA10" s="233"/>
      <c r="AB10" s="233"/>
      <c r="AC10" s="233"/>
      <c r="AD10" s="233"/>
      <c r="AE10" s="233"/>
      <c r="AF10" s="233"/>
      <c r="AG10" s="234"/>
    </row>
    <row r="11" spans="1:37" s="94" customFormat="1" ht="4.5" customHeight="1">
      <c r="A11" s="95"/>
      <c r="B11" s="96"/>
      <c r="C11" s="96"/>
      <c r="D11" s="96"/>
      <c r="E11" s="96"/>
      <c r="F11" s="96"/>
      <c r="G11" s="96"/>
      <c r="H11" s="96"/>
      <c r="I11" s="96"/>
      <c r="J11" s="96"/>
      <c r="K11" s="96"/>
      <c r="L11" s="97"/>
      <c r="M11" s="96"/>
      <c r="N11" s="96"/>
      <c r="O11" s="96"/>
      <c r="P11" s="96"/>
      <c r="Q11" s="96"/>
      <c r="R11" s="96"/>
      <c r="S11" s="96"/>
      <c r="T11" s="96"/>
      <c r="U11" s="96"/>
      <c r="V11" s="96"/>
      <c r="W11" s="97"/>
      <c r="X11" s="96"/>
      <c r="Y11" s="96"/>
      <c r="Z11" s="96"/>
      <c r="AA11" s="96"/>
      <c r="AB11" s="96"/>
      <c r="AC11" s="96"/>
      <c r="AD11" s="96"/>
      <c r="AE11" s="96"/>
      <c r="AF11" s="96"/>
      <c r="AG11" s="98"/>
    </row>
    <row r="12" spans="1:37" ht="11.1" customHeight="1">
      <c r="A12" s="235" t="s">
        <v>14</v>
      </c>
      <c r="B12" s="23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7"/>
    </row>
    <row r="13" spans="1:37" s="94" customFormat="1" ht="28.5" customHeight="1">
      <c r="A13" s="238" t="s">
        <v>15</v>
      </c>
      <c r="B13" s="239"/>
      <c r="C13" s="239"/>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39"/>
      <c r="AB13" s="239"/>
      <c r="AC13" s="239"/>
      <c r="AD13" s="239"/>
      <c r="AE13" s="239"/>
      <c r="AF13" s="239"/>
      <c r="AG13" s="240"/>
    </row>
    <row r="14" spans="1:37" s="94" customFormat="1" ht="4.5" customHeight="1">
      <c r="A14" s="97"/>
      <c r="B14" s="96"/>
      <c r="C14" s="96"/>
      <c r="D14" s="96"/>
      <c r="E14" s="96"/>
      <c r="F14" s="96"/>
      <c r="G14" s="96"/>
      <c r="H14" s="96"/>
      <c r="I14" s="96"/>
      <c r="J14" s="96"/>
      <c r="K14" s="96"/>
      <c r="L14" s="97"/>
      <c r="M14" s="96"/>
      <c r="N14" s="96"/>
      <c r="O14" s="96"/>
      <c r="P14" s="96"/>
      <c r="Q14" s="96"/>
      <c r="R14" s="96"/>
      <c r="S14" s="96"/>
      <c r="T14" s="96"/>
      <c r="U14" s="96"/>
      <c r="V14" s="96"/>
      <c r="W14" s="97"/>
      <c r="X14" s="96"/>
      <c r="Y14" s="96"/>
      <c r="Z14" s="96"/>
      <c r="AA14" s="96"/>
      <c r="AB14" s="96"/>
      <c r="AC14" s="96"/>
      <c r="AD14" s="96"/>
      <c r="AE14" s="96"/>
      <c r="AF14" s="96"/>
      <c r="AG14" s="96"/>
    </row>
    <row r="15" spans="1:37" ht="37.5" customHeight="1">
      <c r="A15" s="241" t="s">
        <v>16</v>
      </c>
      <c r="B15" s="241"/>
      <c r="C15" s="241"/>
      <c r="D15" s="241"/>
      <c r="E15" s="243"/>
      <c r="F15" s="244"/>
      <c r="G15" s="244"/>
      <c r="H15" s="244"/>
      <c r="I15" s="244"/>
      <c r="J15" s="244"/>
      <c r="K15" s="244"/>
      <c r="L15" s="244"/>
      <c r="M15" s="244"/>
      <c r="N15" s="244"/>
      <c r="O15" s="244"/>
      <c r="P15" s="244"/>
      <c r="Q15" s="244"/>
      <c r="R15" s="244"/>
      <c r="S15" s="244"/>
      <c r="T15" s="244"/>
      <c r="U15" s="244"/>
      <c r="V15" s="244"/>
      <c r="W15" s="244"/>
      <c r="X15" s="244"/>
      <c r="Y15" s="244"/>
      <c r="Z15" s="244"/>
      <c r="AA15" s="244"/>
      <c r="AB15" s="244"/>
      <c r="AC15" s="244"/>
      <c r="AD15" s="244"/>
      <c r="AE15" s="244"/>
      <c r="AF15" s="244"/>
      <c r="AG15" s="245"/>
    </row>
    <row r="16" spans="1:37" ht="37.5" customHeight="1">
      <c r="A16" s="242"/>
      <c r="B16" s="242"/>
      <c r="C16" s="242"/>
      <c r="D16" s="242"/>
      <c r="E16" s="246"/>
      <c r="F16" s="247"/>
      <c r="G16" s="247"/>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7"/>
      <c r="AG16" s="248"/>
    </row>
    <row r="17" spans="1:33">
      <c r="A17" s="99"/>
    </row>
    <row r="18" spans="1:33" ht="26.25" customHeight="1">
      <c r="A18" s="249" t="s">
        <v>17</v>
      </c>
      <c r="B18" s="250"/>
      <c r="C18" s="250"/>
      <c r="D18" s="250"/>
      <c r="E18" s="251" t="s">
        <v>18</v>
      </c>
      <c r="F18" s="251"/>
      <c r="G18" s="251"/>
      <c r="H18" s="251"/>
      <c r="I18" s="251"/>
      <c r="J18" s="251"/>
      <c r="K18" s="251"/>
      <c r="L18" s="251"/>
      <c r="M18" s="251"/>
      <c r="N18" s="251"/>
      <c r="O18" s="251"/>
      <c r="P18" s="251"/>
    </row>
    <row r="19" spans="1:33"/>
    <row r="20" spans="1:33"/>
    <row r="21" spans="1:33" ht="15.75" customHeight="1">
      <c r="Q21" s="100"/>
    </row>
    <row r="22" spans="1:33" ht="12" customHeight="1">
      <c r="Q22" s="100"/>
    </row>
    <row r="23" spans="1:33" ht="60" customHeight="1">
      <c r="A23" s="223" t="str">
        <f ca="1">MXTitle</f>
        <v>MIC - Peer Review Workbook (PRWB)</v>
      </c>
      <c r="B23" s="224"/>
      <c r="C23" s="224"/>
      <c r="D23" s="224"/>
      <c r="E23" s="224"/>
      <c r="F23" s="224"/>
      <c r="G23" s="224"/>
      <c r="H23" s="224"/>
      <c r="I23" s="224"/>
      <c r="J23" s="224"/>
      <c r="K23" s="224"/>
      <c r="L23" s="224"/>
      <c r="M23" s="224"/>
      <c r="N23" s="224"/>
      <c r="O23" s="224"/>
      <c r="P23" s="224"/>
      <c r="Q23" s="224"/>
      <c r="R23" s="224"/>
      <c r="S23" s="224"/>
      <c r="T23" s="224"/>
      <c r="U23" s="224"/>
      <c r="V23" s="224"/>
      <c r="W23" s="224"/>
      <c r="X23" s="224"/>
      <c r="Y23" s="224"/>
      <c r="Z23" s="224"/>
      <c r="AA23" s="224"/>
      <c r="AB23" s="224"/>
      <c r="AC23" s="224"/>
      <c r="AD23" s="224"/>
      <c r="AE23" s="224"/>
      <c r="AF23" s="224"/>
      <c r="AG23" s="224"/>
    </row>
    <row r="24" spans="1:33" ht="25.5">
      <c r="Q24" s="100"/>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1" type="noConversion"/>
  <conditionalFormatting sqref="W5">
    <cfRule type="cellIs" dxfId="1564" priority="23" operator="equal">
      <formula>"draft"</formula>
    </cfRule>
  </conditionalFormatting>
  <conditionalFormatting sqref="W5:AA5">
    <cfRule type="cellIs" dxfId="1563" priority="1" operator="equal">
      <formula>"In-Work"</formula>
    </cfRule>
    <cfRule type="cellIs" dxfId="1562" priority="2" stopIfTrue="1" operator="equal">
      <formula>"draft"</formula>
    </cfRule>
    <cfRule type="cellIs" dxfId="1561" priority="3" operator="equal">
      <formula>"In-Work"</formula>
    </cfRule>
    <cfRule type="cellIs" dxfId="1560" priority="4" stopIfTrue="1" operator="equal">
      <formula>"draft"</formula>
    </cfRule>
    <cfRule type="cellIs" dxfId="1559" priority="5" operator="equal">
      <formula>"In-Work"</formula>
    </cfRule>
    <cfRule type="cellIs" dxfId="1558" priority="6" stopIfTrue="1" operator="equal">
      <formula>"draft"</formula>
    </cfRule>
    <cfRule type="cellIs" dxfId="1557" priority="7" operator="equal">
      <formula>"In-Work"</formula>
    </cfRule>
    <cfRule type="cellIs" dxfId="1556" priority="8" stopIfTrue="1" operator="equal">
      <formula>"draft"</formula>
    </cfRule>
    <cfRule type="cellIs" dxfId="1555" priority="9" operator="equal">
      <formula>"In-Work"</formula>
    </cfRule>
    <cfRule type="cellIs" dxfId="1554" priority="10" stopIfTrue="1" operator="equal">
      <formula>"draft"</formula>
    </cfRule>
    <cfRule type="cellIs" dxfId="1553" priority="11" operator="equal">
      <formula>"In-Work"</formula>
    </cfRule>
    <cfRule type="cellIs" dxfId="1552" priority="12" stopIfTrue="1" operator="equal">
      <formula>"draft"</formula>
    </cfRule>
    <cfRule type="cellIs" dxfId="1551" priority="13" operator="equal">
      <formula>"In-Work"</formula>
    </cfRule>
    <cfRule type="cellIs" dxfId="1550" priority="14" stopIfTrue="1" operator="equal">
      <formula>"draft"</formula>
    </cfRule>
    <cfRule type="cellIs" dxfId="1549" priority="15" operator="equal">
      <formula>"In-Work"</formula>
    </cfRule>
    <cfRule type="cellIs" dxfId="1548" priority="16" stopIfTrue="1" operator="equal">
      <formula>"draft"</formula>
    </cfRule>
    <cfRule type="cellIs" dxfId="1547" priority="17" operator="equal">
      <formula>"In-Work"</formula>
    </cfRule>
    <cfRule type="cellIs" dxfId="1546" priority="18" stopIfTrue="1" operator="equal">
      <formula>"draft"</formula>
    </cfRule>
    <cfRule type="cellIs" dxfId="1545" priority="19" operator="equal">
      <formula>"In-Work"</formula>
    </cfRule>
    <cfRule type="cellIs" dxfId="1544" priority="20" stopIfTrue="1" operator="equal">
      <formula>"draft"</formula>
    </cfRule>
    <cfRule type="cellIs" dxfId="1543" priority="21" operator="equal">
      <formula>"In-Work"</formula>
    </cfRule>
    <cfRule type="cellIs" dxfId="1542"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topLeftCell="A7" zoomScaleNormal="100" workbookViewId="0"/>
  </sheetViews>
  <sheetFormatPr defaultColWidth="9.140625" defaultRowHeight="15"/>
  <cols>
    <col min="1" max="34" width="2.85546875" style="101" customWidth="1"/>
    <col min="35" max="35" width="9.140625" style="101"/>
    <col min="36" max="36" width="22" style="101" customWidth="1"/>
    <col min="37" max="16384" width="9.140625" style="101"/>
  </cols>
  <sheetData>
    <row r="1" spans="1:34">
      <c r="A1" s="83"/>
      <c r="B1" s="83"/>
      <c r="C1" s="84"/>
      <c r="D1" s="84"/>
      <c r="E1" s="84"/>
      <c r="F1" s="84"/>
      <c r="G1" s="85"/>
      <c r="H1" s="86"/>
      <c r="I1" s="86"/>
      <c r="J1" s="86"/>
      <c r="K1" s="86"/>
      <c r="L1" s="86"/>
      <c r="M1" s="86"/>
      <c r="N1" s="86"/>
      <c r="O1" s="86"/>
      <c r="P1" s="87"/>
      <c r="Q1" s="87"/>
      <c r="R1" s="87"/>
      <c r="S1" s="87"/>
      <c r="T1" s="87"/>
      <c r="U1" s="87"/>
      <c r="V1" s="87"/>
      <c r="W1" s="87"/>
      <c r="X1" s="87"/>
      <c r="Y1" s="87"/>
      <c r="Z1" s="87"/>
      <c r="AA1" s="87"/>
      <c r="AB1" s="87"/>
      <c r="AC1" s="87"/>
      <c r="AD1" s="87"/>
      <c r="AE1" s="87"/>
      <c r="AF1" s="87"/>
      <c r="AG1" s="87"/>
      <c r="AH1" s="87"/>
    </row>
    <row r="2" spans="1:34">
      <c r="A2" s="83"/>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row>
    <row r="3" spans="1:34">
      <c r="A3" s="83"/>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102" t="str">
        <f>FileName</f>
        <v>MIC - Peer Review Workbook.xlsm</v>
      </c>
      <c r="AE3" s="83"/>
      <c r="AF3" s="83"/>
      <c r="AG3" s="83"/>
      <c r="AH3" s="83"/>
    </row>
    <row r="4" spans="1:34">
      <c r="A4" s="255" t="s">
        <v>0</v>
      </c>
      <c r="B4" s="256"/>
      <c r="C4" s="256"/>
      <c r="D4" s="256"/>
      <c r="E4" s="256"/>
      <c r="F4" s="256"/>
      <c r="G4" s="256"/>
      <c r="H4" s="256"/>
      <c r="I4" s="256"/>
      <c r="J4" s="256"/>
      <c r="K4" s="256"/>
      <c r="L4" s="256"/>
      <c r="M4" s="256"/>
      <c r="N4" s="256"/>
      <c r="O4" s="256"/>
      <c r="P4" s="256"/>
      <c r="Q4" s="256"/>
      <c r="R4" s="256"/>
      <c r="S4" s="256"/>
      <c r="T4" s="256"/>
      <c r="U4" s="256"/>
      <c r="V4" s="257"/>
      <c r="W4" s="294" t="s">
        <v>2</v>
      </c>
      <c r="X4" s="295"/>
      <c r="Y4" s="295"/>
      <c r="Z4" s="295"/>
      <c r="AA4" s="296"/>
      <c r="AB4" s="255" t="s">
        <v>3</v>
      </c>
      <c r="AC4" s="256"/>
      <c r="AD4" s="256"/>
      <c r="AE4" s="256"/>
      <c r="AF4" s="256"/>
      <c r="AG4" s="257"/>
      <c r="AH4" s="89"/>
    </row>
    <row r="5" spans="1:34">
      <c r="A5" s="261" t="s">
        <v>19</v>
      </c>
      <c r="B5" s="262"/>
      <c r="C5" s="262"/>
      <c r="D5" s="262"/>
      <c r="E5" s="262"/>
      <c r="F5" s="262"/>
      <c r="G5" s="262"/>
      <c r="H5" s="262"/>
      <c r="I5" s="262"/>
      <c r="J5" s="262"/>
      <c r="K5" s="262"/>
      <c r="L5" s="262"/>
      <c r="M5" s="262"/>
      <c r="N5" s="262"/>
      <c r="O5" s="262"/>
      <c r="P5" s="262"/>
      <c r="Q5" s="262"/>
      <c r="R5" s="262"/>
      <c r="S5" s="262"/>
      <c r="T5" s="262"/>
      <c r="U5" s="262"/>
      <c r="V5" s="263"/>
      <c r="W5" s="297" t="s">
        <v>20</v>
      </c>
      <c r="X5" s="298"/>
      <c r="Y5" s="298"/>
      <c r="Z5" s="298"/>
      <c r="AA5" s="299"/>
      <c r="AB5" s="261" t="s">
        <v>21</v>
      </c>
      <c r="AC5" s="262"/>
      <c r="AD5" s="262"/>
      <c r="AE5" s="262"/>
      <c r="AF5" s="262"/>
      <c r="AG5" s="263"/>
      <c r="AH5" s="90"/>
    </row>
    <row r="6" spans="1:34">
      <c r="A6" s="286" t="s">
        <v>5</v>
      </c>
      <c r="B6" s="287"/>
      <c r="C6" s="287"/>
      <c r="D6" s="288"/>
      <c r="E6" s="286" t="s">
        <v>6</v>
      </c>
      <c r="F6" s="287"/>
      <c r="G6" s="287"/>
      <c r="H6" s="287"/>
      <c r="I6" s="287"/>
      <c r="J6" s="287"/>
      <c r="K6" s="287"/>
      <c r="L6" s="287"/>
      <c r="M6" s="287"/>
      <c r="N6" s="287"/>
      <c r="O6" s="287"/>
      <c r="P6" s="287"/>
      <c r="Q6" s="287"/>
      <c r="R6" s="287"/>
      <c r="S6" s="287"/>
      <c r="T6" s="287"/>
      <c r="U6" s="287"/>
      <c r="V6" s="288"/>
      <c r="W6" s="255" t="s">
        <v>7</v>
      </c>
      <c r="X6" s="256"/>
      <c r="Y6" s="256"/>
      <c r="Z6" s="256"/>
      <c r="AA6" s="257"/>
      <c r="AB6" s="294" t="s">
        <v>8</v>
      </c>
      <c r="AC6" s="295"/>
      <c r="AD6" s="296"/>
      <c r="AE6" s="294" t="s">
        <v>9</v>
      </c>
      <c r="AF6" s="295"/>
      <c r="AG6" s="296"/>
      <c r="AH6" s="83"/>
    </row>
    <row r="7" spans="1:34">
      <c r="A7" s="297" t="s">
        <v>22</v>
      </c>
      <c r="B7" s="298"/>
      <c r="C7" s="298"/>
      <c r="D7" s="299"/>
      <c r="E7" s="297" t="s">
        <v>23</v>
      </c>
      <c r="F7" s="298"/>
      <c r="G7" s="298"/>
      <c r="H7" s="298"/>
      <c r="I7" s="298"/>
      <c r="J7" s="298"/>
      <c r="K7" s="298"/>
      <c r="L7" s="298"/>
      <c r="M7" s="298"/>
      <c r="N7" s="298"/>
      <c r="O7" s="298"/>
      <c r="P7" s="298"/>
      <c r="Q7" s="298"/>
      <c r="R7" s="298"/>
      <c r="S7" s="298"/>
      <c r="T7" s="298"/>
      <c r="U7" s="298"/>
      <c r="V7" s="299"/>
      <c r="W7" s="297" t="str">
        <f ca="1">TemplateRef</f>
        <v>AEF1007</v>
      </c>
      <c r="X7" s="298"/>
      <c r="Y7" s="298"/>
      <c r="Z7" s="298"/>
      <c r="AA7" s="299"/>
      <c r="AB7" s="297" t="s">
        <v>24</v>
      </c>
      <c r="AC7" s="298"/>
      <c r="AD7" s="299"/>
      <c r="AE7" s="297" t="s">
        <v>24</v>
      </c>
      <c r="AF7" s="298"/>
      <c r="AG7" s="299"/>
      <c r="AH7" s="90"/>
    </row>
    <row r="8" spans="1:34">
      <c r="A8" s="286" t="s">
        <v>25</v>
      </c>
      <c r="B8" s="287"/>
      <c r="C8" s="287"/>
      <c r="D8" s="287"/>
      <c r="E8" s="287"/>
      <c r="F8" s="287"/>
      <c r="G8" s="287"/>
      <c r="H8" s="287"/>
      <c r="I8" s="287"/>
      <c r="J8" s="287"/>
      <c r="K8" s="287"/>
      <c r="L8" s="287"/>
      <c r="M8" s="287"/>
      <c r="N8" s="287"/>
      <c r="O8" s="287"/>
      <c r="P8" s="287"/>
      <c r="Q8" s="287"/>
      <c r="R8" s="287"/>
      <c r="S8" s="287"/>
      <c r="T8" s="287"/>
      <c r="U8" s="287"/>
      <c r="V8" s="287"/>
      <c r="W8" s="287"/>
      <c r="X8" s="287"/>
      <c r="Y8" s="287"/>
      <c r="Z8" s="287"/>
      <c r="AA8" s="287"/>
      <c r="AB8" s="287"/>
      <c r="AC8" s="287"/>
      <c r="AD8" s="287"/>
      <c r="AE8" s="287"/>
      <c r="AF8" s="287"/>
      <c r="AG8" s="288"/>
      <c r="AH8" s="93"/>
    </row>
    <row r="9" spans="1:34">
      <c r="A9" s="289" t="s">
        <v>26</v>
      </c>
      <c r="B9" s="290"/>
      <c r="C9" s="290"/>
      <c r="D9" s="290"/>
      <c r="E9" s="290"/>
      <c r="F9" s="290"/>
      <c r="G9" s="290"/>
      <c r="H9" s="290"/>
      <c r="I9" s="290"/>
      <c r="J9" s="290"/>
      <c r="K9" s="290"/>
      <c r="L9" s="290"/>
      <c r="M9" s="290"/>
      <c r="N9" s="290"/>
      <c r="O9" s="290"/>
      <c r="P9" s="290"/>
      <c r="Q9" s="290"/>
      <c r="R9" s="290"/>
      <c r="S9" s="290"/>
      <c r="T9" s="290"/>
      <c r="U9" s="290"/>
      <c r="V9" s="290"/>
      <c r="W9" s="290"/>
      <c r="X9" s="290"/>
      <c r="Y9" s="290"/>
      <c r="Z9" s="290"/>
      <c r="AA9" s="290"/>
      <c r="AB9" s="290"/>
      <c r="AC9" s="290"/>
      <c r="AD9" s="290"/>
      <c r="AE9" s="290"/>
      <c r="AF9" s="290"/>
      <c r="AG9" s="291"/>
      <c r="AH9" s="93"/>
    </row>
    <row r="10" spans="1:34">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93"/>
      <c r="AE10" s="93"/>
      <c r="AF10" s="93"/>
      <c r="AG10" s="93"/>
      <c r="AH10" s="93"/>
    </row>
    <row r="11" spans="1:34">
      <c r="A11" s="93"/>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c r="AF11" s="93"/>
      <c r="AG11" s="93"/>
      <c r="AH11" s="93"/>
    </row>
    <row r="12" spans="1:34" ht="26.25">
      <c r="A12" s="93"/>
      <c r="B12" s="103" t="s">
        <v>27</v>
      </c>
      <c r="C12" s="104"/>
      <c r="D12" s="104"/>
      <c r="E12" s="104"/>
      <c r="F12" s="104"/>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93"/>
      <c r="AH12" s="93"/>
    </row>
    <row r="13" spans="1:34">
      <c r="A13" s="93"/>
      <c r="B13" s="93"/>
      <c r="C13" s="9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c r="AF13" s="93"/>
      <c r="AG13" s="93"/>
      <c r="AH13" s="93"/>
    </row>
    <row r="14" spans="1:34" ht="20.25">
      <c r="A14" s="93"/>
      <c r="B14" s="105" t="s">
        <v>28</v>
      </c>
      <c r="C14" s="106"/>
      <c r="D14" s="93"/>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c r="AF14" s="93"/>
      <c r="AG14" s="93"/>
      <c r="AH14" s="93"/>
    </row>
    <row r="15" spans="1:34">
      <c r="A15" s="93"/>
      <c r="B15" s="274" t="s">
        <v>29</v>
      </c>
      <c r="C15" s="292"/>
      <c r="D15" s="292"/>
      <c r="E15" s="292"/>
      <c r="F15" s="292"/>
      <c r="G15" s="274" t="s">
        <v>30</v>
      </c>
      <c r="H15" s="274"/>
      <c r="I15" s="274"/>
      <c r="J15" s="274"/>
      <c r="K15" s="274"/>
      <c r="L15" s="274"/>
      <c r="M15" s="274"/>
      <c r="N15" s="274"/>
      <c r="O15" s="274"/>
      <c r="P15" s="274"/>
      <c r="Q15" s="274"/>
      <c r="R15" s="274"/>
      <c r="S15" s="274"/>
      <c r="T15" s="274"/>
      <c r="U15" s="274"/>
      <c r="V15" s="274"/>
      <c r="W15" s="274"/>
      <c r="X15" s="274"/>
      <c r="Y15" s="274"/>
      <c r="Z15" s="274"/>
      <c r="AA15" s="274"/>
      <c r="AB15" s="274"/>
      <c r="AC15" s="274"/>
      <c r="AD15" s="274"/>
      <c r="AE15" s="274"/>
      <c r="AF15" s="274"/>
      <c r="AG15" s="93"/>
      <c r="AH15" s="93"/>
    </row>
    <row r="16" spans="1:34" ht="55.5" customHeight="1">
      <c r="A16" s="93"/>
      <c r="B16" s="293" t="s">
        <v>31</v>
      </c>
      <c r="C16" s="293"/>
      <c r="D16" s="293"/>
      <c r="E16" s="293"/>
      <c r="F16" s="293"/>
      <c r="G16" s="271" t="s">
        <v>32</v>
      </c>
      <c r="H16" s="271"/>
      <c r="I16" s="271"/>
      <c r="J16" s="271"/>
      <c r="K16" s="271"/>
      <c r="L16" s="271"/>
      <c r="M16" s="271"/>
      <c r="N16" s="271"/>
      <c r="O16" s="271"/>
      <c r="P16" s="271"/>
      <c r="Q16" s="271"/>
      <c r="R16" s="271"/>
      <c r="S16" s="271"/>
      <c r="T16" s="271"/>
      <c r="U16" s="271"/>
      <c r="V16" s="271"/>
      <c r="W16" s="271"/>
      <c r="X16" s="271"/>
      <c r="Y16" s="271"/>
      <c r="Z16" s="271"/>
      <c r="AA16" s="271"/>
      <c r="AB16" s="271"/>
      <c r="AC16" s="271"/>
      <c r="AD16" s="271"/>
      <c r="AE16" s="271"/>
      <c r="AF16" s="271"/>
      <c r="AG16" s="93"/>
      <c r="AH16" s="93"/>
    </row>
    <row r="17" spans="1:34">
      <c r="A17" s="93"/>
      <c r="B17" s="293" t="s">
        <v>33</v>
      </c>
      <c r="C17" s="293"/>
      <c r="D17" s="293"/>
      <c r="E17" s="293"/>
      <c r="F17" s="293"/>
      <c r="G17" s="271" t="s">
        <v>34</v>
      </c>
      <c r="H17" s="271"/>
      <c r="I17" s="271"/>
      <c r="J17" s="271"/>
      <c r="K17" s="271"/>
      <c r="L17" s="271"/>
      <c r="M17" s="271"/>
      <c r="N17" s="271"/>
      <c r="O17" s="271"/>
      <c r="P17" s="271"/>
      <c r="Q17" s="271"/>
      <c r="R17" s="271"/>
      <c r="S17" s="271"/>
      <c r="T17" s="271"/>
      <c r="U17" s="271"/>
      <c r="V17" s="271"/>
      <c r="W17" s="271"/>
      <c r="X17" s="271"/>
      <c r="Y17" s="271"/>
      <c r="Z17" s="271"/>
      <c r="AA17" s="271"/>
      <c r="AB17" s="271"/>
      <c r="AC17" s="271"/>
      <c r="AD17" s="271"/>
      <c r="AE17" s="271"/>
      <c r="AF17" s="271"/>
      <c r="AG17" s="93"/>
      <c r="AH17" s="93"/>
    </row>
    <row r="18" spans="1:34" ht="15" customHeight="1">
      <c r="A18" s="93"/>
      <c r="B18" s="293" t="s">
        <v>35</v>
      </c>
      <c r="C18" s="293"/>
      <c r="D18" s="293"/>
      <c r="E18" s="293"/>
      <c r="F18" s="293"/>
      <c r="G18" s="271" t="s">
        <v>36</v>
      </c>
      <c r="H18" s="271"/>
      <c r="I18" s="271"/>
      <c r="J18" s="271"/>
      <c r="K18" s="271"/>
      <c r="L18" s="271"/>
      <c r="M18" s="271"/>
      <c r="N18" s="271"/>
      <c r="O18" s="271"/>
      <c r="P18" s="271"/>
      <c r="Q18" s="271"/>
      <c r="R18" s="271"/>
      <c r="S18" s="271"/>
      <c r="T18" s="271"/>
      <c r="U18" s="271"/>
      <c r="V18" s="271"/>
      <c r="W18" s="271"/>
      <c r="X18" s="271"/>
      <c r="Y18" s="271"/>
      <c r="Z18" s="271"/>
      <c r="AA18" s="271"/>
      <c r="AB18" s="271"/>
      <c r="AC18" s="271"/>
      <c r="AD18" s="271"/>
      <c r="AE18" s="271"/>
      <c r="AF18" s="271"/>
      <c r="AG18" s="93"/>
      <c r="AH18" s="93"/>
    </row>
    <row r="19" spans="1:34" ht="24" customHeight="1">
      <c r="A19" s="93"/>
      <c r="B19" s="283" t="s">
        <v>37</v>
      </c>
      <c r="C19" s="283"/>
      <c r="D19" s="283"/>
      <c r="E19" s="283"/>
      <c r="F19" s="283"/>
      <c r="G19" s="271" t="s">
        <v>36</v>
      </c>
      <c r="H19" s="271"/>
      <c r="I19" s="271"/>
      <c r="J19" s="271"/>
      <c r="K19" s="271"/>
      <c r="L19" s="271"/>
      <c r="M19" s="271"/>
      <c r="N19" s="271"/>
      <c r="O19" s="271"/>
      <c r="P19" s="271"/>
      <c r="Q19" s="271"/>
      <c r="R19" s="271"/>
      <c r="S19" s="271"/>
      <c r="T19" s="271"/>
      <c r="U19" s="271"/>
      <c r="V19" s="271"/>
      <c r="W19" s="271"/>
      <c r="X19" s="271"/>
      <c r="Y19" s="271"/>
      <c r="Z19" s="271"/>
      <c r="AA19" s="271"/>
      <c r="AB19" s="271"/>
      <c r="AC19" s="271"/>
      <c r="AD19" s="271"/>
      <c r="AE19" s="271"/>
      <c r="AF19" s="271"/>
      <c r="AG19" s="93"/>
      <c r="AH19" s="93"/>
    </row>
    <row r="20" spans="1:34">
      <c r="A20" s="93"/>
      <c r="B20" s="300" t="s">
        <v>38</v>
      </c>
      <c r="C20" s="300"/>
      <c r="D20" s="300"/>
      <c r="E20" s="300"/>
      <c r="F20" s="300"/>
      <c r="G20" s="271" t="s">
        <v>36</v>
      </c>
      <c r="H20" s="271"/>
      <c r="I20" s="271"/>
      <c r="J20" s="271"/>
      <c r="K20" s="271"/>
      <c r="L20" s="271"/>
      <c r="M20" s="271"/>
      <c r="N20" s="271"/>
      <c r="O20" s="271"/>
      <c r="P20" s="271"/>
      <c r="Q20" s="271"/>
      <c r="R20" s="271"/>
      <c r="S20" s="271"/>
      <c r="T20" s="271"/>
      <c r="U20" s="271"/>
      <c r="V20" s="271"/>
      <c r="W20" s="271"/>
      <c r="X20" s="271"/>
      <c r="Y20" s="271"/>
      <c r="Z20" s="271"/>
      <c r="AA20" s="271"/>
      <c r="AB20" s="271"/>
      <c r="AC20" s="271"/>
      <c r="AD20" s="271"/>
      <c r="AE20" s="271"/>
      <c r="AF20" s="271"/>
      <c r="AG20" s="93"/>
      <c r="AH20" s="93"/>
    </row>
    <row r="21" spans="1:34" ht="35.25" customHeight="1">
      <c r="A21" s="93"/>
      <c r="B21" s="284" t="s">
        <v>39</v>
      </c>
      <c r="C21" s="284"/>
      <c r="D21" s="284"/>
      <c r="E21" s="284"/>
      <c r="F21" s="284"/>
      <c r="G21" s="271" t="s">
        <v>40</v>
      </c>
      <c r="H21" s="271"/>
      <c r="I21" s="271"/>
      <c r="J21" s="271"/>
      <c r="K21" s="271"/>
      <c r="L21" s="271"/>
      <c r="M21" s="271"/>
      <c r="N21" s="271"/>
      <c r="O21" s="271"/>
      <c r="P21" s="271"/>
      <c r="Q21" s="271"/>
      <c r="R21" s="271"/>
      <c r="S21" s="271"/>
      <c r="T21" s="271"/>
      <c r="U21" s="271"/>
      <c r="V21" s="271"/>
      <c r="W21" s="271"/>
      <c r="X21" s="271"/>
      <c r="Y21" s="271"/>
      <c r="Z21" s="271"/>
      <c r="AA21" s="271"/>
      <c r="AB21" s="271"/>
      <c r="AC21" s="271"/>
      <c r="AD21" s="271"/>
      <c r="AE21" s="271"/>
      <c r="AF21" s="271"/>
      <c r="AG21" s="93"/>
      <c r="AH21" s="93"/>
    </row>
    <row r="22" spans="1:34" ht="28.5" customHeight="1">
      <c r="A22" s="93"/>
      <c r="B22" s="284" t="s">
        <v>41</v>
      </c>
      <c r="C22" s="284"/>
      <c r="D22" s="284"/>
      <c r="E22" s="284"/>
      <c r="F22" s="284"/>
      <c r="G22" s="271" t="s">
        <v>42</v>
      </c>
      <c r="H22" s="271"/>
      <c r="I22" s="271"/>
      <c r="J22" s="271"/>
      <c r="K22" s="271"/>
      <c r="L22" s="271"/>
      <c r="M22" s="271"/>
      <c r="N22" s="271"/>
      <c r="O22" s="271"/>
      <c r="P22" s="271"/>
      <c r="Q22" s="271"/>
      <c r="R22" s="271"/>
      <c r="S22" s="271"/>
      <c r="T22" s="271"/>
      <c r="U22" s="271"/>
      <c r="V22" s="271"/>
      <c r="W22" s="271"/>
      <c r="X22" s="271"/>
      <c r="Y22" s="271"/>
      <c r="Z22" s="271"/>
      <c r="AA22" s="271"/>
      <c r="AB22" s="271"/>
      <c r="AC22" s="271"/>
      <c r="AD22" s="271"/>
      <c r="AE22" s="271"/>
      <c r="AF22" s="271"/>
      <c r="AG22" s="93"/>
      <c r="AH22" s="93"/>
    </row>
    <row r="23" spans="1:34" ht="22.5" customHeight="1">
      <c r="A23" s="93"/>
      <c r="B23" s="284" t="s">
        <v>43</v>
      </c>
      <c r="C23" s="284"/>
      <c r="D23" s="284"/>
      <c r="E23" s="284"/>
      <c r="F23" s="284"/>
      <c r="G23" s="271" t="s">
        <v>44</v>
      </c>
      <c r="H23" s="271"/>
      <c r="I23" s="271"/>
      <c r="J23" s="271"/>
      <c r="K23" s="271"/>
      <c r="L23" s="271"/>
      <c r="M23" s="271"/>
      <c r="N23" s="271"/>
      <c r="O23" s="271"/>
      <c r="P23" s="271"/>
      <c r="Q23" s="271"/>
      <c r="R23" s="271"/>
      <c r="S23" s="271"/>
      <c r="T23" s="271"/>
      <c r="U23" s="271"/>
      <c r="V23" s="271"/>
      <c r="W23" s="271"/>
      <c r="X23" s="271"/>
      <c r="Y23" s="271"/>
      <c r="Z23" s="271"/>
      <c r="AA23" s="271"/>
      <c r="AB23" s="271"/>
      <c r="AC23" s="271"/>
      <c r="AD23" s="271"/>
      <c r="AE23" s="271"/>
      <c r="AF23" s="271"/>
      <c r="AG23" s="93"/>
      <c r="AH23" s="93"/>
    </row>
    <row r="24" spans="1:34" ht="45" customHeight="1">
      <c r="A24" s="93"/>
      <c r="B24" s="285" t="s">
        <v>45</v>
      </c>
      <c r="C24" s="285"/>
      <c r="D24" s="285"/>
      <c r="E24" s="285"/>
      <c r="F24" s="285"/>
      <c r="G24" s="271" t="s">
        <v>46</v>
      </c>
      <c r="H24" s="271"/>
      <c r="I24" s="271"/>
      <c r="J24" s="271"/>
      <c r="K24" s="271"/>
      <c r="L24" s="271"/>
      <c r="M24" s="271"/>
      <c r="N24" s="271"/>
      <c r="O24" s="271"/>
      <c r="P24" s="271"/>
      <c r="Q24" s="271"/>
      <c r="R24" s="271"/>
      <c r="S24" s="271"/>
      <c r="T24" s="271"/>
      <c r="U24" s="271"/>
      <c r="V24" s="271"/>
      <c r="W24" s="271"/>
      <c r="X24" s="271"/>
      <c r="Y24" s="271"/>
      <c r="Z24" s="271"/>
      <c r="AA24" s="271"/>
      <c r="AB24" s="271"/>
      <c r="AC24" s="271"/>
      <c r="AD24" s="271"/>
      <c r="AE24" s="271"/>
      <c r="AF24" s="271"/>
      <c r="AG24" s="93"/>
      <c r="AH24" s="93"/>
    </row>
    <row r="25" spans="1:34">
      <c r="A25" s="93"/>
      <c r="B25" s="93"/>
      <c r="C25" s="107"/>
      <c r="D25" s="93"/>
      <c r="E25" s="93"/>
      <c r="F25" s="93"/>
      <c r="G25" s="93"/>
      <c r="H25" s="93"/>
      <c r="I25" s="108"/>
      <c r="J25" s="93"/>
      <c r="K25" s="93"/>
      <c r="L25" s="93"/>
      <c r="M25" s="93"/>
      <c r="N25" s="93"/>
      <c r="O25" s="93"/>
      <c r="P25" s="93"/>
      <c r="Q25" s="93"/>
      <c r="R25" s="93"/>
      <c r="S25" s="93"/>
      <c r="T25" s="93"/>
      <c r="U25" s="93"/>
      <c r="V25" s="93"/>
      <c r="W25" s="93"/>
      <c r="X25" s="93"/>
      <c r="Y25" s="93"/>
      <c r="Z25" s="93"/>
      <c r="AA25" s="93"/>
      <c r="AB25" s="93"/>
      <c r="AC25" s="93"/>
      <c r="AD25" s="93"/>
      <c r="AE25" s="93"/>
      <c r="AF25" s="93"/>
      <c r="AG25" s="93"/>
      <c r="AH25" s="93"/>
    </row>
    <row r="26" spans="1:34" ht="20.25">
      <c r="A26" s="105"/>
      <c r="B26" s="105" t="s">
        <v>47</v>
      </c>
      <c r="C26" s="107"/>
      <c r="D26" s="93"/>
      <c r="E26" s="93"/>
      <c r="F26" s="93"/>
      <c r="G26" s="93"/>
      <c r="H26" s="93"/>
      <c r="I26" s="108"/>
      <c r="J26" s="93"/>
      <c r="K26" s="93"/>
      <c r="L26" s="93"/>
      <c r="M26" s="93"/>
      <c r="N26" s="93"/>
      <c r="O26" s="93"/>
      <c r="P26" s="93"/>
      <c r="Q26" s="93"/>
      <c r="R26" s="93"/>
      <c r="S26" s="93"/>
      <c r="T26" s="93"/>
      <c r="U26" s="93"/>
      <c r="V26" s="93"/>
      <c r="W26" s="93"/>
      <c r="X26" s="93"/>
      <c r="Y26" s="93"/>
      <c r="Z26" s="93"/>
      <c r="AA26" s="93"/>
      <c r="AB26" s="93"/>
      <c r="AC26" s="93"/>
      <c r="AD26" s="93"/>
      <c r="AE26" s="93"/>
      <c r="AF26" s="93"/>
      <c r="AG26" s="93"/>
      <c r="AH26" s="93"/>
    </row>
    <row r="27" spans="1:34">
      <c r="A27" s="93"/>
      <c r="B27" s="274" t="s">
        <v>8</v>
      </c>
      <c r="C27" s="276"/>
      <c r="D27" s="276"/>
      <c r="E27" s="274" t="s">
        <v>48</v>
      </c>
      <c r="F27" s="274"/>
      <c r="G27" s="274"/>
      <c r="H27" s="274"/>
      <c r="I27" s="274" t="s">
        <v>49</v>
      </c>
      <c r="J27" s="276"/>
      <c r="K27" s="276"/>
      <c r="L27" s="276"/>
      <c r="M27" s="276"/>
      <c r="N27" s="276"/>
      <c r="O27" s="276"/>
      <c r="P27" s="276"/>
      <c r="Q27" s="276"/>
      <c r="R27" s="274" t="s">
        <v>50</v>
      </c>
      <c r="S27" s="274"/>
      <c r="T27" s="274"/>
      <c r="U27" s="274"/>
      <c r="V27" s="274"/>
      <c r="W27" s="274"/>
      <c r="X27" s="274"/>
      <c r="Y27" s="274"/>
      <c r="Z27" s="274"/>
      <c r="AA27" s="274"/>
      <c r="AB27" s="274"/>
      <c r="AC27" s="274"/>
      <c r="AD27" s="274"/>
      <c r="AE27" s="274"/>
      <c r="AF27" s="274"/>
      <c r="AG27" s="93"/>
      <c r="AH27" s="93"/>
    </row>
    <row r="28" spans="1:34" ht="40.5" customHeight="1">
      <c r="A28" s="93"/>
      <c r="B28" s="264" t="s">
        <v>51</v>
      </c>
      <c r="C28" s="265" t="s">
        <v>52</v>
      </c>
      <c r="D28" s="266" t="s">
        <v>52</v>
      </c>
      <c r="E28" s="277"/>
      <c r="F28" s="278"/>
      <c r="G28" s="278"/>
      <c r="H28" s="279"/>
      <c r="I28" s="271"/>
      <c r="J28" s="280"/>
      <c r="K28" s="280"/>
      <c r="L28" s="280"/>
      <c r="M28" s="280"/>
      <c r="N28" s="280"/>
      <c r="O28" s="280"/>
      <c r="P28" s="280"/>
      <c r="Q28" s="280"/>
      <c r="R28" s="271" t="s">
        <v>53</v>
      </c>
      <c r="S28" s="271" t="s">
        <v>53</v>
      </c>
      <c r="T28" s="271" t="s">
        <v>53</v>
      </c>
      <c r="U28" s="271" t="s">
        <v>53</v>
      </c>
      <c r="V28" s="271" t="s">
        <v>53</v>
      </c>
      <c r="W28" s="271" t="s">
        <v>53</v>
      </c>
      <c r="X28" s="271" t="s">
        <v>53</v>
      </c>
      <c r="Y28" s="271" t="s">
        <v>53</v>
      </c>
      <c r="Z28" s="271" t="s">
        <v>53</v>
      </c>
      <c r="AA28" s="271" t="s">
        <v>53</v>
      </c>
      <c r="AB28" s="271" t="s">
        <v>53</v>
      </c>
      <c r="AC28" s="271" t="s">
        <v>53</v>
      </c>
      <c r="AD28" s="271" t="s">
        <v>53</v>
      </c>
      <c r="AE28" s="271" t="s">
        <v>53</v>
      </c>
      <c r="AF28" s="271" t="s">
        <v>53</v>
      </c>
      <c r="AG28" s="93"/>
      <c r="AH28" s="93"/>
    </row>
    <row r="29" spans="1:34" ht="60" customHeight="1">
      <c r="A29" s="93"/>
      <c r="B29" s="264" t="s">
        <v>54</v>
      </c>
      <c r="C29" s="265" t="s">
        <v>54</v>
      </c>
      <c r="D29" s="266" t="s">
        <v>54</v>
      </c>
      <c r="E29" s="277">
        <v>40591.490486111114</v>
      </c>
      <c r="F29" s="278">
        <v>40591.490486111114</v>
      </c>
      <c r="G29" s="278">
        <v>40591.490486111114</v>
      </c>
      <c r="H29" s="279">
        <v>40591.490486111114</v>
      </c>
      <c r="I29" s="271" t="s">
        <v>55</v>
      </c>
      <c r="J29" s="280" t="s">
        <v>55</v>
      </c>
      <c r="K29" s="280" t="s">
        <v>55</v>
      </c>
      <c r="L29" s="280" t="s">
        <v>55</v>
      </c>
      <c r="M29" s="280" t="s">
        <v>55</v>
      </c>
      <c r="N29" s="280" t="s">
        <v>55</v>
      </c>
      <c r="O29" s="280" t="s">
        <v>55</v>
      </c>
      <c r="P29" s="280" t="s">
        <v>55</v>
      </c>
      <c r="Q29" s="280" t="s">
        <v>55</v>
      </c>
      <c r="R29" s="271" t="s">
        <v>56</v>
      </c>
      <c r="S29" s="271" t="s">
        <v>56</v>
      </c>
      <c r="T29" s="271" t="s">
        <v>56</v>
      </c>
      <c r="U29" s="271" t="s">
        <v>56</v>
      </c>
      <c r="V29" s="271" t="s">
        <v>56</v>
      </c>
      <c r="W29" s="271" t="s">
        <v>56</v>
      </c>
      <c r="X29" s="271" t="s">
        <v>56</v>
      </c>
      <c r="Y29" s="271" t="s">
        <v>56</v>
      </c>
      <c r="Z29" s="271" t="s">
        <v>56</v>
      </c>
      <c r="AA29" s="271" t="s">
        <v>56</v>
      </c>
      <c r="AB29" s="271" t="s">
        <v>56</v>
      </c>
      <c r="AC29" s="271" t="s">
        <v>56</v>
      </c>
      <c r="AD29" s="271" t="s">
        <v>56</v>
      </c>
      <c r="AE29" s="271" t="s">
        <v>56</v>
      </c>
      <c r="AF29" s="271" t="s">
        <v>56</v>
      </c>
      <c r="AG29" s="93"/>
      <c r="AH29" s="93"/>
    </row>
    <row r="30" spans="1:34" ht="291" customHeight="1">
      <c r="A30" s="93"/>
      <c r="B30" s="264" t="s">
        <v>57</v>
      </c>
      <c r="C30" s="265" t="s">
        <v>57</v>
      </c>
      <c r="D30" s="266" t="s">
        <v>57</v>
      </c>
      <c r="E30" s="277">
        <v>41071.656145833331</v>
      </c>
      <c r="F30" s="278">
        <v>41071.656145833331</v>
      </c>
      <c r="G30" s="278">
        <v>41071.656145833331</v>
      </c>
      <c r="H30" s="279">
        <v>41071.656145833331</v>
      </c>
      <c r="I30" s="271" t="s">
        <v>55</v>
      </c>
      <c r="J30" s="280" t="s">
        <v>55</v>
      </c>
      <c r="K30" s="280" t="s">
        <v>55</v>
      </c>
      <c r="L30" s="280" t="s">
        <v>55</v>
      </c>
      <c r="M30" s="280" t="s">
        <v>55</v>
      </c>
      <c r="N30" s="280" t="s">
        <v>55</v>
      </c>
      <c r="O30" s="280" t="s">
        <v>55</v>
      </c>
      <c r="P30" s="280" t="s">
        <v>55</v>
      </c>
      <c r="Q30" s="280" t="s">
        <v>55</v>
      </c>
      <c r="R30" s="271" t="s">
        <v>58</v>
      </c>
      <c r="S30" s="271" t="s">
        <v>58</v>
      </c>
      <c r="T30" s="271" t="s">
        <v>58</v>
      </c>
      <c r="U30" s="271" t="s">
        <v>58</v>
      </c>
      <c r="V30" s="271" t="s">
        <v>58</v>
      </c>
      <c r="W30" s="271" t="s">
        <v>58</v>
      </c>
      <c r="X30" s="271" t="s">
        <v>58</v>
      </c>
      <c r="Y30" s="271" t="s">
        <v>58</v>
      </c>
      <c r="Z30" s="271" t="s">
        <v>58</v>
      </c>
      <c r="AA30" s="271" t="s">
        <v>58</v>
      </c>
      <c r="AB30" s="271" t="s">
        <v>58</v>
      </c>
      <c r="AC30" s="271" t="s">
        <v>58</v>
      </c>
      <c r="AD30" s="271" t="s">
        <v>58</v>
      </c>
      <c r="AE30" s="271" t="s">
        <v>58</v>
      </c>
      <c r="AF30" s="271" t="s">
        <v>58</v>
      </c>
      <c r="AG30" s="93"/>
      <c r="AH30" s="93"/>
    </row>
    <row r="31" spans="1:34" ht="40.5" customHeight="1">
      <c r="A31" s="93"/>
      <c r="B31" s="264" t="s">
        <v>59</v>
      </c>
      <c r="C31" s="265" t="s">
        <v>59</v>
      </c>
      <c r="D31" s="266" t="s">
        <v>59</v>
      </c>
      <c r="E31" s="277">
        <v>41071.656145833331</v>
      </c>
      <c r="F31" s="278">
        <v>41071.656145833331</v>
      </c>
      <c r="G31" s="278">
        <v>41071.656145833331</v>
      </c>
      <c r="H31" s="279">
        <v>41071.656145833331</v>
      </c>
      <c r="I31" s="271" t="s">
        <v>60</v>
      </c>
      <c r="J31" s="280" t="s">
        <v>60</v>
      </c>
      <c r="K31" s="280" t="s">
        <v>60</v>
      </c>
      <c r="L31" s="280" t="s">
        <v>60</v>
      </c>
      <c r="M31" s="280" t="s">
        <v>60</v>
      </c>
      <c r="N31" s="280" t="s">
        <v>60</v>
      </c>
      <c r="O31" s="280" t="s">
        <v>60</v>
      </c>
      <c r="P31" s="280" t="s">
        <v>60</v>
      </c>
      <c r="Q31" s="280" t="s">
        <v>60</v>
      </c>
      <c r="R31" s="271" t="s">
        <v>61</v>
      </c>
      <c r="S31" s="271" t="s">
        <v>61</v>
      </c>
      <c r="T31" s="271" t="s">
        <v>61</v>
      </c>
      <c r="U31" s="271" t="s">
        <v>61</v>
      </c>
      <c r="V31" s="271" t="s">
        <v>61</v>
      </c>
      <c r="W31" s="271" t="s">
        <v>61</v>
      </c>
      <c r="X31" s="271" t="s">
        <v>61</v>
      </c>
      <c r="Y31" s="271" t="s">
        <v>61</v>
      </c>
      <c r="Z31" s="271" t="s">
        <v>61</v>
      </c>
      <c r="AA31" s="271" t="s">
        <v>61</v>
      </c>
      <c r="AB31" s="271" t="s">
        <v>61</v>
      </c>
      <c r="AC31" s="271" t="s">
        <v>61</v>
      </c>
      <c r="AD31" s="271" t="s">
        <v>61</v>
      </c>
      <c r="AE31" s="271" t="s">
        <v>61</v>
      </c>
      <c r="AF31" s="271" t="s">
        <v>61</v>
      </c>
      <c r="AG31" s="93"/>
      <c r="AH31" s="93"/>
    </row>
    <row r="32" spans="1:34" ht="121.5" customHeight="1">
      <c r="A32" s="93"/>
      <c r="B32" s="264"/>
      <c r="C32" s="265"/>
      <c r="D32" s="266"/>
      <c r="E32" s="277">
        <v>42195</v>
      </c>
      <c r="F32" s="278">
        <v>42195</v>
      </c>
      <c r="G32" s="278">
        <v>42195</v>
      </c>
      <c r="H32" s="279">
        <v>42195</v>
      </c>
      <c r="I32" s="271" t="s">
        <v>62</v>
      </c>
      <c r="J32" s="280" t="s">
        <v>62</v>
      </c>
      <c r="K32" s="280" t="s">
        <v>62</v>
      </c>
      <c r="L32" s="280" t="s">
        <v>62</v>
      </c>
      <c r="M32" s="280" t="s">
        <v>62</v>
      </c>
      <c r="N32" s="280" t="s">
        <v>62</v>
      </c>
      <c r="O32" s="280" t="s">
        <v>62</v>
      </c>
      <c r="P32" s="280" t="s">
        <v>62</v>
      </c>
      <c r="Q32" s="280" t="s">
        <v>62</v>
      </c>
      <c r="R32" s="271" t="s">
        <v>63</v>
      </c>
      <c r="S32" s="271" t="s">
        <v>63</v>
      </c>
      <c r="T32" s="271" t="s">
        <v>63</v>
      </c>
      <c r="U32" s="271" t="s">
        <v>63</v>
      </c>
      <c r="V32" s="271" t="s">
        <v>63</v>
      </c>
      <c r="W32" s="271" t="s">
        <v>63</v>
      </c>
      <c r="X32" s="271" t="s">
        <v>63</v>
      </c>
      <c r="Y32" s="271" t="s">
        <v>63</v>
      </c>
      <c r="Z32" s="271" t="s">
        <v>63</v>
      </c>
      <c r="AA32" s="271" t="s">
        <v>63</v>
      </c>
      <c r="AB32" s="271" t="s">
        <v>63</v>
      </c>
      <c r="AC32" s="271" t="s">
        <v>63</v>
      </c>
      <c r="AD32" s="271" t="s">
        <v>63</v>
      </c>
      <c r="AE32" s="271" t="s">
        <v>63</v>
      </c>
      <c r="AF32" s="271" t="s">
        <v>63</v>
      </c>
      <c r="AG32" s="93"/>
      <c r="AH32" s="93"/>
    </row>
    <row r="33" spans="1:34" ht="114" customHeight="1">
      <c r="A33" s="93"/>
      <c r="B33" s="264" t="s">
        <v>64</v>
      </c>
      <c r="C33" s="265" t="s">
        <v>64</v>
      </c>
      <c r="D33" s="266" t="s">
        <v>64</v>
      </c>
      <c r="E33" s="277">
        <v>42391.634837962964</v>
      </c>
      <c r="F33" s="278">
        <v>42391.634837962964</v>
      </c>
      <c r="G33" s="278">
        <v>42391.634837962964</v>
      </c>
      <c r="H33" s="279">
        <v>42391.634837962964</v>
      </c>
      <c r="I33" s="271" t="s">
        <v>65</v>
      </c>
      <c r="J33" s="280" t="s">
        <v>65</v>
      </c>
      <c r="K33" s="280" t="s">
        <v>65</v>
      </c>
      <c r="L33" s="280" t="s">
        <v>65</v>
      </c>
      <c r="M33" s="280" t="s">
        <v>65</v>
      </c>
      <c r="N33" s="280" t="s">
        <v>65</v>
      </c>
      <c r="O33" s="280" t="s">
        <v>65</v>
      </c>
      <c r="P33" s="280" t="s">
        <v>65</v>
      </c>
      <c r="Q33" s="280" t="s">
        <v>65</v>
      </c>
      <c r="R33" s="271" t="s">
        <v>66</v>
      </c>
      <c r="S33" s="271" t="s">
        <v>66</v>
      </c>
      <c r="T33" s="271" t="s">
        <v>66</v>
      </c>
      <c r="U33" s="271" t="s">
        <v>66</v>
      </c>
      <c r="V33" s="271" t="s">
        <v>66</v>
      </c>
      <c r="W33" s="271" t="s">
        <v>66</v>
      </c>
      <c r="X33" s="271" t="s">
        <v>66</v>
      </c>
      <c r="Y33" s="271" t="s">
        <v>66</v>
      </c>
      <c r="Z33" s="271" t="s">
        <v>66</v>
      </c>
      <c r="AA33" s="271" t="s">
        <v>66</v>
      </c>
      <c r="AB33" s="271" t="s">
        <v>66</v>
      </c>
      <c r="AC33" s="271" t="s">
        <v>66</v>
      </c>
      <c r="AD33" s="271" t="s">
        <v>66</v>
      </c>
      <c r="AE33" s="271" t="s">
        <v>66</v>
      </c>
      <c r="AF33" s="271" t="s">
        <v>66</v>
      </c>
      <c r="AG33" s="93"/>
      <c r="AH33" s="93"/>
    </row>
    <row r="34" spans="1:34" ht="40.5" customHeight="1">
      <c r="A34" s="93"/>
      <c r="B34" s="281" t="s">
        <v>67</v>
      </c>
      <c r="C34" s="282"/>
      <c r="D34" s="282"/>
      <c r="E34" s="277"/>
      <c r="F34" s="278"/>
      <c r="G34" s="278"/>
      <c r="H34" s="279"/>
      <c r="I34" s="271" t="s">
        <v>68</v>
      </c>
      <c r="J34" s="280"/>
      <c r="K34" s="280"/>
      <c r="L34" s="280"/>
      <c r="M34" s="280"/>
      <c r="N34" s="280"/>
      <c r="O34" s="280"/>
      <c r="P34" s="280"/>
      <c r="Q34" s="280"/>
      <c r="R34" s="271" t="s">
        <v>69</v>
      </c>
      <c r="S34" s="271"/>
      <c r="T34" s="271"/>
      <c r="U34" s="271"/>
      <c r="V34" s="271"/>
      <c r="W34" s="271"/>
      <c r="X34" s="271"/>
      <c r="Y34" s="271"/>
      <c r="Z34" s="271"/>
      <c r="AA34" s="271"/>
      <c r="AB34" s="271"/>
      <c r="AC34" s="271"/>
      <c r="AD34" s="271"/>
      <c r="AE34" s="271"/>
      <c r="AF34" s="271"/>
      <c r="AG34" s="93"/>
      <c r="AH34" s="93"/>
    </row>
    <row r="35" spans="1:34" ht="40.5" customHeight="1">
      <c r="A35" s="93"/>
      <c r="B35" s="281" t="s">
        <v>70</v>
      </c>
      <c r="C35" s="282"/>
      <c r="D35" s="282"/>
      <c r="E35" s="277"/>
      <c r="F35" s="278"/>
      <c r="G35" s="278"/>
      <c r="H35" s="279"/>
      <c r="I35" s="271" t="s">
        <v>68</v>
      </c>
      <c r="J35" s="280"/>
      <c r="K35" s="280"/>
      <c r="L35" s="280"/>
      <c r="M35" s="280"/>
      <c r="N35" s="280"/>
      <c r="O35" s="280"/>
      <c r="P35" s="280"/>
      <c r="Q35" s="280"/>
      <c r="R35" s="271" t="s">
        <v>71</v>
      </c>
      <c r="S35" s="271"/>
      <c r="T35" s="271"/>
      <c r="U35" s="271"/>
      <c r="V35" s="271"/>
      <c r="W35" s="271"/>
      <c r="X35" s="271"/>
      <c r="Y35" s="271"/>
      <c r="Z35" s="271"/>
      <c r="AA35" s="271"/>
      <c r="AB35" s="271"/>
      <c r="AC35" s="271"/>
      <c r="AD35" s="271"/>
      <c r="AE35" s="271"/>
      <c r="AF35" s="271"/>
      <c r="AG35" s="93"/>
      <c r="AH35" s="93"/>
    </row>
    <row r="36" spans="1:34" ht="40.5" customHeight="1">
      <c r="A36" s="93"/>
      <c r="B36" s="281" t="s">
        <v>72</v>
      </c>
      <c r="C36" s="282"/>
      <c r="D36" s="282"/>
      <c r="E36" s="277"/>
      <c r="F36" s="278"/>
      <c r="G36" s="278"/>
      <c r="H36" s="279"/>
      <c r="I36" s="271" t="s">
        <v>68</v>
      </c>
      <c r="J36" s="280"/>
      <c r="K36" s="280"/>
      <c r="L36" s="280"/>
      <c r="M36" s="280"/>
      <c r="N36" s="280"/>
      <c r="O36" s="280"/>
      <c r="P36" s="280"/>
      <c r="Q36" s="280"/>
      <c r="R36" s="271" t="s">
        <v>73</v>
      </c>
      <c r="S36" s="271"/>
      <c r="T36" s="271"/>
      <c r="U36" s="271"/>
      <c r="V36" s="271"/>
      <c r="W36" s="271"/>
      <c r="X36" s="271"/>
      <c r="Y36" s="271"/>
      <c r="Z36" s="271"/>
      <c r="AA36" s="271"/>
      <c r="AB36" s="271"/>
      <c r="AC36" s="271"/>
      <c r="AD36" s="271"/>
      <c r="AE36" s="271"/>
      <c r="AF36" s="271"/>
      <c r="AG36" s="93"/>
      <c r="AH36" s="93"/>
    </row>
    <row r="37" spans="1:34" ht="102" customHeight="1">
      <c r="A37" s="93"/>
      <c r="B37" s="281" t="s">
        <v>74</v>
      </c>
      <c r="C37" s="282"/>
      <c r="D37" s="282"/>
      <c r="E37" s="277"/>
      <c r="F37" s="278"/>
      <c r="G37" s="278"/>
      <c r="H37" s="279"/>
      <c r="I37" s="271" t="s">
        <v>68</v>
      </c>
      <c r="J37" s="280"/>
      <c r="K37" s="280"/>
      <c r="L37" s="280"/>
      <c r="M37" s="280"/>
      <c r="N37" s="280"/>
      <c r="O37" s="280"/>
      <c r="P37" s="280"/>
      <c r="Q37" s="280"/>
      <c r="R37" s="271" t="s">
        <v>75</v>
      </c>
      <c r="S37" s="271"/>
      <c r="T37" s="271"/>
      <c r="U37" s="271"/>
      <c r="V37" s="271"/>
      <c r="W37" s="271"/>
      <c r="X37" s="271"/>
      <c r="Y37" s="271"/>
      <c r="Z37" s="271"/>
      <c r="AA37" s="271"/>
      <c r="AB37" s="271"/>
      <c r="AC37" s="271"/>
      <c r="AD37" s="271"/>
      <c r="AE37" s="271"/>
      <c r="AF37" s="271"/>
      <c r="AG37" s="93"/>
      <c r="AH37" s="93"/>
    </row>
    <row r="38" spans="1:34" ht="217.5" customHeight="1">
      <c r="A38" s="93"/>
      <c r="B38" s="281" t="s">
        <v>76</v>
      </c>
      <c r="C38" s="282"/>
      <c r="D38" s="282"/>
      <c r="E38" s="277"/>
      <c r="F38" s="278"/>
      <c r="G38" s="278"/>
      <c r="H38" s="279"/>
      <c r="I38" s="271" t="s">
        <v>68</v>
      </c>
      <c r="J38" s="280"/>
      <c r="K38" s="280"/>
      <c r="L38" s="280"/>
      <c r="M38" s="280"/>
      <c r="N38" s="280"/>
      <c r="O38" s="280"/>
      <c r="P38" s="280"/>
      <c r="Q38" s="280"/>
      <c r="R38" s="271" t="s">
        <v>77</v>
      </c>
      <c r="S38" s="271"/>
      <c r="T38" s="271"/>
      <c r="U38" s="271"/>
      <c r="V38" s="271"/>
      <c r="W38" s="271"/>
      <c r="X38" s="271"/>
      <c r="Y38" s="271"/>
      <c r="Z38" s="271"/>
      <c r="AA38" s="271"/>
      <c r="AB38" s="271"/>
      <c r="AC38" s="271"/>
      <c r="AD38" s="271"/>
      <c r="AE38" s="271"/>
      <c r="AF38" s="271"/>
      <c r="AG38" s="93"/>
      <c r="AH38" s="93"/>
    </row>
    <row r="39" spans="1:34" ht="40.5" customHeight="1">
      <c r="A39" s="93"/>
      <c r="B39" s="281" t="s">
        <v>78</v>
      </c>
      <c r="C39" s="282"/>
      <c r="D39" s="282"/>
      <c r="E39" s="277"/>
      <c r="F39" s="278"/>
      <c r="G39" s="278"/>
      <c r="H39" s="279"/>
      <c r="I39" s="271" t="s">
        <v>68</v>
      </c>
      <c r="J39" s="280"/>
      <c r="K39" s="280"/>
      <c r="L39" s="280"/>
      <c r="M39" s="280"/>
      <c r="N39" s="280"/>
      <c r="O39" s="280"/>
      <c r="P39" s="280"/>
      <c r="Q39" s="280"/>
      <c r="R39" s="271" t="s">
        <v>79</v>
      </c>
      <c r="S39" s="271"/>
      <c r="T39" s="271"/>
      <c r="U39" s="271"/>
      <c r="V39" s="271"/>
      <c r="W39" s="271"/>
      <c r="X39" s="271"/>
      <c r="Y39" s="271"/>
      <c r="Z39" s="271"/>
      <c r="AA39" s="271"/>
      <c r="AB39" s="271"/>
      <c r="AC39" s="271"/>
      <c r="AD39" s="271"/>
      <c r="AE39" s="271"/>
      <c r="AF39" s="271"/>
      <c r="AG39" s="93"/>
      <c r="AH39" s="93"/>
    </row>
    <row r="40" spans="1:34" ht="69" customHeight="1">
      <c r="A40" s="93"/>
      <c r="B40" s="281" t="s">
        <v>80</v>
      </c>
      <c r="C40" s="282"/>
      <c r="D40" s="282"/>
      <c r="E40" s="277">
        <v>44562</v>
      </c>
      <c r="F40" s="278"/>
      <c r="G40" s="278"/>
      <c r="H40" s="279"/>
      <c r="I40" s="271" t="s">
        <v>68</v>
      </c>
      <c r="J40" s="280"/>
      <c r="K40" s="280"/>
      <c r="L40" s="280"/>
      <c r="M40" s="280"/>
      <c r="N40" s="280"/>
      <c r="O40" s="280"/>
      <c r="P40" s="280"/>
      <c r="Q40" s="280"/>
      <c r="R40" s="271" t="s">
        <v>81</v>
      </c>
      <c r="S40" s="271"/>
      <c r="T40" s="271"/>
      <c r="U40" s="271"/>
      <c r="V40" s="271"/>
      <c r="W40" s="271"/>
      <c r="X40" s="271"/>
      <c r="Y40" s="271"/>
      <c r="Z40" s="271"/>
      <c r="AA40" s="271"/>
      <c r="AB40" s="271"/>
      <c r="AC40" s="271"/>
      <c r="AD40" s="271"/>
      <c r="AE40" s="271"/>
      <c r="AF40" s="271"/>
      <c r="AG40" s="93"/>
      <c r="AH40" s="93"/>
    </row>
    <row r="41" spans="1:34">
      <c r="A41" s="93"/>
      <c r="B41" s="109" t="s">
        <v>82</v>
      </c>
      <c r="C41" s="110"/>
      <c r="D41" s="110"/>
      <c r="E41" s="111"/>
      <c r="F41" s="111"/>
      <c r="G41" s="111"/>
      <c r="H41" s="111"/>
      <c r="I41" s="111"/>
      <c r="J41" s="112"/>
      <c r="K41" s="112"/>
      <c r="L41" s="112"/>
      <c r="M41" s="112"/>
      <c r="N41" s="112"/>
      <c r="O41" s="112"/>
      <c r="P41" s="112"/>
      <c r="Q41" s="112"/>
      <c r="R41" s="111"/>
      <c r="S41" s="111"/>
      <c r="T41" s="111"/>
      <c r="U41" s="111"/>
      <c r="V41" s="111"/>
      <c r="W41" s="111"/>
      <c r="X41" s="111"/>
      <c r="Y41" s="111"/>
      <c r="Z41" s="111"/>
      <c r="AA41" s="111"/>
      <c r="AB41" s="111"/>
      <c r="AC41" s="111"/>
      <c r="AD41" s="111"/>
      <c r="AE41" s="111"/>
      <c r="AF41" s="111"/>
      <c r="AG41" s="93"/>
      <c r="AH41" s="93"/>
    </row>
    <row r="42" spans="1:34">
      <c r="A42" s="93"/>
      <c r="B42" s="93"/>
      <c r="C42" s="107"/>
      <c r="D42" s="93"/>
      <c r="E42" s="93"/>
      <c r="F42" s="93"/>
      <c r="G42" s="93"/>
      <c r="H42" s="93"/>
      <c r="I42" s="108"/>
      <c r="J42" s="93"/>
      <c r="K42" s="93"/>
      <c r="L42" s="93"/>
      <c r="M42" s="93"/>
      <c r="N42" s="93"/>
      <c r="O42" s="93"/>
      <c r="P42" s="93"/>
      <c r="Q42" s="93"/>
      <c r="R42" s="93"/>
      <c r="S42" s="93"/>
      <c r="T42" s="93"/>
      <c r="U42" s="93"/>
      <c r="V42" s="93"/>
      <c r="W42" s="93"/>
      <c r="X42" s="93"/>
      <c r="Y42" s="93"/>
      <c r="Z42" s="93"/>
      <c r="AA42" s="93"/>
      <c r="AB42" s="93"/>
      <c r="AC42" s="93"/>
      <c r="AD42" s="93"/>
      <c r="AE42" s="93"/>
      <c r="AF42" s="93"/>
      <c r="AG42" s="93"/>
      <c r="AH42" s="93"/>
    </row>
    <row r="43" spans="1:34">
      <c r="A43" s="93"/>
      <c r="B43" s="93"/>
      <c r="C43" s="93"/>
      <c r="D43" s="93"/>
      <c r="E43" s="93"/>
      <c r="F43" s="93"/>
      <c r="G43" s="93"/>
      <c r="H43" s="93"/>
      <c r="I43" s="93"/>
      <c r="J43" s="113"/>
      <c r="K43" s="93"/>
      <c r="L43" s="93"/>
      <c r="M43" s="93"/>
      <c r="N43" s="93"/>
      <c r="O43" s="93"/>
      <c r="P43" s="93"/>
      <c r="Q43" s="93"/>
      <c r="R43" s="93"/>
      <c r="S43" s="93"/>
      <c r="T43" s="93"/>
      <c r="U43" s="93"/>
      <c r="V43" s="93"/>
      <c r="W43" s="93"/>
      <c r="X43" s="93"/>
      <c r="Y43" s="93"/>
      <c r="Z43" s="93"/>
      <c r="AA43" s="93"/>
      <c r="AB43" s="93"/>
      <c r="AC43" s="93"/>
      <c r="AD43" s="93"/>
      <c r="AE43" s="93"/>
      <c r="AF43" s="93"/>
      <c r="AG43" s="93"/>
      <c r="AH43" s="93"/>
    </row>
    <row r="44" spans="1:34" ht="20.25">
      <c r="A44" s="93"/>
      <c r="B44" s="105" t="s">
        <v>83</v>
      </c>
      <c r="C44" s="106"/>
      <c r="D44" s="93"/>
      <c r="E44" s="93"/>
      <c r="F44" s="93"/>
      <c r="G44" s="93"/>
      <c r="H44" s="93"/>
      <c r="I44" s="108"/>
      <c r="J44" s="93"/>
      <c r="K44" s="93"/>
      <c r="L44" s="93"/>
      <c r="M44" s="93"/>
      <c r="N44" s="93"/>
      <c r="O44" s="93"/>
      <c r="P44" s="93"/>
      <c r="Q44" s="93"/>
      <c r="R44" s="93"/>
      <c r="S44" s="93"/>
      <c r="T44" s="93"/>
      <c r="U44" s="93"/>
      <c r="V44" s="93"/>
      <c r="W44" s="93"/>
      <c r="X44" s="93"/>
      <c r="Y44" s="93"/>
      <c r="Z44" s="93"/>
      <c r="AA44" s="93"/>
      <c r="AB44" s="93"/>
      <c r="AC44" s="93"/>
      <c r="AD44" s="93"/>
      <c r="AE44" s="93"/>
      <c r="AF44" s="93"/>
      <c r="AG44" s="93"/>
      <c r="AH44" s="93"/>
    </row>
    <row r="45" spans="1:34" ht="18.75">
      <c r="A45" s="93"/>
      <c r="B45" s="114" t="s">
        <v>84</v>
      </c>
      <c r="C45" s="106"/>
      <c r="D45" s="93"/>
      <c r="E45" s="93"/>
      <c r="F45" s="93"/>
      <c r="G45" s="93"/>
      <c r="H45" s="93"/>
      <c r="I45" s="108"/>
      <c r="J45" s="93"/>
      <c r="K45" s="93"/>
      <c r="L45" s="93"/>
      <c r="M45" s="93"/>
      <c r="N45" s="93"/>
      <c r="O45" s="93"/>
      <c r="P45" s="93"/>
      <c r="Q45" s="93"/>
      <c r="R45" s="93"/>
      <c r="S45" s="93"/>
      <c r="T45" s="93"/>
      <c r="U45" s="93"/>
      <c r="V45" s="93"/>
      <c r="W45" s="93"/>
      <c r="X45" s="93"/>
      <c r="Y45" s="93"/>
      <c r="Z45" s="93"/>
      <c r="AA45" s="93"/>
      <c r="AB45" s="93"/>
      <c r="AC45" s="93"/>
      <c r="AD45" s="93"/>
      <c r="AE45" s="93"/>
      <c r="AF45" s="93"/>
      <c r="AG45" s="93"/>
      <c r="AH45" s="93"/>
    </row>
    <row r="46" spans="1:34">
      <c r="A46" s="93"/>
      <c r="B46" s="274" t="s">
        <v>85</v>
      </c>
      <c r="C46" s="274"/>
      <c r="D46" s="274"/>
      <c r="E46" s="274" t="s">
        <v>86</v>
      </c>
      <c r="F46" s="276"/>
      <c r="G46" s="276"/>
      <c r="H46" s="276"/>
      <c r="I46" s="276"/>
      <c r="J46" s="276"/>
      <c r="K46" s="276"/>
      <c r="L46" s="276"/>
      <c r="M46" s="276"/>
      <c r="N46" s="276"/>
      <c r="O46" s="276"/>
      <c r="P46" s="276"/>
      <c r="Q46" s="276"/>
      <c r="R46" s="276"/>
      <c r="S46" s="276"/>
      <c r="T46" s="276"/>
      <c r="U46" s="276"/>
      <c r="V46" s="276"/>
      <c r="W46" s="276"/>
      <c r="X46" s="276"/>
      <c r="Y46" s="274" t="s">
        <v>87</v>
      </c>
      <c r="Z46" s="274"/>
      <c r="AA46" s="274"/>
      <c r="AB46" s="274"/>
      <c r="AC46" s="274"/>
      <c r="AD46" s="274"/>
      <c r="AE46" s="274"/>
      <c r="AF46" s="274"/>
      <c r="AG46" s="93"/>
      <c r="AH46" s="93"/>
    </row>
    <row r="47" spans="1:34">
      <c r="A47" s="93"/>
      <c r="B47" s="273"/>
      <c r="C47" s="273"/>
      <c r="D47" s="273"/>
      <c r="E47" s="271"/>
      <c r="F47" s="272"/>
      <c r="G47" s="272"/>
      <c r="H47" s="272"/>
      <c r="I47" s="272"/>
      <c r="J47" s="272"/>
      <c r="K47" s="272"/>
      <c r="L47" s="272"/>
      <c r="M47" s="272"/>
      <c r="N47" s="272"/>
      <c r="O47" s="272"/>
      <c r="P47" s="272"/>
      <c r="Q47" s="272"/>
      <c r="R47" s="272"/>
      <c r="S47" s="272"/>
      <c r="T47" s="272"/>
      <c r="U47" s="272"/>
      <c r="V47" s="272"/>
      <c r="W47" s="272"/>
      <c r="X47" s="272"/>
      <c r="Y47" s="271"/>
      <c r="Z47" s="272"/>
      <c r="AA47" s="272"/>
      <c r="AB47" s="272"/>
      <c r="AC47" s="272"/>
      <c r="AD47" s="272"/>
      <c r="AE47" s="272"/>
      <c r="AF47" s="272"/>
      <c r="AG47" s="93"/>
      <c r="AH47" s="93"/>
    </row>
    <row r="48" spans="1:34">
      <c r="A48" s="93"/>
      <c r="B48" s="273"/>
      <c r="C48" s="273"/>
      <c r="D48" s="273"/>
      <c r="E48" s="271"/>
      <c r="F48" s="272"/>
      <c r="G48" s="272"/>
      <c r="H48" s="272"/>
      <c r="I48" s="272"/>
      <c r="J48" s="272"/>
      <c r="K48" s="272"/>
      <c r="L48" s="272"/>
      <c r="M48" s="272"/>
      <c r="N48" s="272"/>
      <c r="O48" s="272"/>
      <c r="P48" s="272"/>
      <c r="Q48" s="272"/>
      <c r="R48" s="272"/>
      <c r="S48" s="272"/>
      <c r="T48" s="272"/>
      <c r="U48" s="272"/>
      <c r="V48" s="272"/>
      <c r="W48" s="272"/>
      <c r="X48" s="272"/>
      <c r="Y48" s="271"/>
      <c r="Z48" s="272"/>
      <c r="AA48" s="272"/>
      <c r="AB48" s="272"/>
      <c r="AC48" s="272"/>
      <c r="AD48" s="272"/>
      <c r="AE48" s="272"/>
      <c r="AF48" s="272"/>
      <c r="AG48" s="93"/>
      <c r="AH48" s="93"/>
    </row>
    <row r="49" spans="1:34">
      <c r="A49" s="93"/>
      <c r="B49" s="273"/>
      <c r="C49" s="273"/>
      <c r="D49" s="273"/>
      <c r="E49" s="271"/>
      <c r="F49" s="272"/>
      <c r="G49" s="272"/>
      <c r="H49" s="272"/>
      <c r="I49" s="272"/>
      <c r="J49" s="272"/>
      <c r="K49" s="272"/>
      <c r="L49" s="272"/>
      <c r="M49" s="272"/>
      <c r="N49" s="272"/>
      <c r="O49" s="272"/>
      <c r="P49" s="272"/>
      <c r="Q49" s="272"/>
      <c r="R49" s="272"/>
      <c r="S49" s="272"/>
      <c r="T49" s="272"/>
      <c r="U49" s="272"/>
      <c r="V49" s="272"/>
      <c r="W49" s="272"/>
      <c r="X49" s="272"/>
      <c r="Y49" s="271"/>
      <c r="Z49" s="272"/>
      <c r="AA49" s="272"/>
      <c r="AB49" s="272"/>
      <c r="AC49" s="272"/>
      <c r="AD49" s="272"/>
      <c r="AE49" s="272"/>
      <c r="AF49" s="272"/>
      <c r="AG49" s="93"/>
      <c r="AH49" s="93"/>
    </row>
    <row r="50" spans="1:34">
      <c r="A50" s="93"/>
      <c r="B50" s="273"/>
      <c r="C50" s="273"/>
      <c r="D50" s="273"/>
      <c r="E50" s="271"/>
      <c r="F50" s="272"/>
      <c r="G50" s="272"/>
      <c r="H50" s="272"/>
      <c r="I50" s="272"/>
      <c r="J50" s="272"/>
      <c r="K50" s="272"/>
      <c r="L50" s="272"/>
      <c r="M50" s="272"/>
      <c r="N50" s="272"/>
      <c r="O50" s="272"/>
      <c r="P50" s="272"/>
      <c r="Q50" s="272"/>
      <c r="R50" s="272"/>
      <c r="S50" s="272"/>
      <c r="T50" s="272"/>
      <c r="U50" s="272"/>
      <c r="V50" s="272"/>
      <c r="W50" s="272"/>
      <c r="X50" s="272"/>
      <c r="Y50" s="271"/>
      <c r="Z50" s="272"/>
      <c r="AA50" s="272"/>
      <c r="AB50" s="272"/>
      <c r="AC50" s="272"/>
      <c r="AD50" s="272"/>
      <c r="AE50" s="272"/>
      <c r="AF50" s="272"/>
      <c r="AG50" s="93"/>
      <c r="AH50" s="93"/>
    </row>
    <row r="51" spans="1:34" ht="18.75">
      <c r="A51" s="93"/>
      <c r="B51" s="114" t="s">
        <v>88</v>
      </c>
      <c r="C51" s="106"/>
      <c r="D51" s="93"/>
      <c r="E51" s="93"/>
      <c r="F51" s="93"/>
      <c r="G51" s="93"/>
      <c r="H51" s="93"/>
      <c r="I51" s="108"/>
      <c r="J51" s="93"/>
      <c r="K51" s="93"/>
      <c r="L51" s="93"/>
      <c r="M51" s="93"/>
      <c r="N51" s="93"/>
      <c r="O51" s="93"/>
      <c r="P51" s="93"/>
      <c r="Q51" s="93"/>
      <c r="R51" s="93"/>
      <c r="S51" s="93"/>
      <c r="T51" s="93"/>
      <c r="U51" s="93"/>
      <c r="V51" s="93"/>
      <c r="W51" s="93"/>
      <c r="X51" s="93"/>
      <c r="Y51" s="93"/>
      <c r="Z51" s="93"/>
      <c r="AA51" s="93"/>
      <c r="AB51" s="93"/>
      <c r="AC51" s="93"/>
      <c r="AD51" s="93"/>
      <c r="AE51" s="93"/>
      <c r="AF51" s="93"/>
      <c r="AG51" s="93"/>
      <c r="AH51" s="93"/>
    </row>
    <row r="52" spans="1:34">
      <c r="A52" s="93"/>
      <c r="B52" s="274" t="s">
        <v>85</v>
      </c>
      <c r="C52" s="274"/>
      <c r="D52" s="274"/>
      <c r="E52" s="274" t="s">
        <v>86</v>
      </c>
      <c r="F52" s="276"/>
      <c r="G52" s="276"/>
      <c r="H52" s="276"/>
      <c r="I52" s="276"/>
      <c r="J52" s="276"/>
      <c r="K52" s="276"/>
      <c r="L52" s="276"/>
      <c r="M52" s="276"/>
      <c r="N52" s="276"/>
      <c r="O52" s="276"/>
      <c r="P52" s="276"/>
      <c r="Q52" s="276"/>
      <c r="R52" s="276"/>
      <c r="S52" s="276"/>
      <c r="T52" s="276"/>
      <c r="U52" s="276"/>
      <c r="V52" s="276"/>
      <c r="W52" s="276"/>
      <c r="X52" s="276"/>
      <c r="Y52" s="274" t="s">
        <v>87</v>
      </c>
      <c r="Z52" s="274"/>
      <c r="AA52" s="274"/>
      <c r="AB52" s="274"/>
      <c r="AC52" s="274"/>
      <c r="AD52" s="274"/>
      <c r="AE52" s="274"/>
      <c r="AF52" s="274"/>
      <c r="AG52" s="93"/>
      <c r="AH52" s="93"/>
    </row>
    <row r="53" spans="1:34">
      <c r="A53" s="93"/>
      <c r="B53" s="273"/>
      <c r="C53" s="273"/>
      <c r="D53" s="273"/>
      <c r="E53" s="271"/>
      <c r="F53" s="272"/>
      <c r="G53" s="272"/>
      <c r="H53" s="272"/>
      <c r="I53" s="272"/>
      <c r="J53" s="272"/>
      <c r="K53" s="272"/>
      <c r="L53" s="272"/>
      <c r="M53" s="272"/>
      <c r="N53" s="272"/>
      <c r="O53" s="272"/>
      <c r="P53" s="272"/>
      <c r="Q53" s="272"/>
      <c r="R53" s="272"/>
      <c r="S53" s="272"/>
      <c r="T53" s="272"/>
      <c r="U53" s="272"/>
      <c r="V53" s="272"/>
      <c r="W53" s="272"/>
      <c r="X53" s="272"/>
      <c r="Y53" s="271"/>
      <c r="Z53" s="272"/>
      <c r="AA53" s="272"/>
      <c r="AB53" s="272"/>
      <c r="AC53" s="272"/>
      <c r="AD53" s="272"/>
      <c r="AE53" s="272"/>
      <c r="AF53" s="272"/>
      <c r="AG53" s="93"/>
      <c r="AH53" s="93"/>
    </row>
    <row r="54" spans="1:34">
      <c r="A54" s="93"/>
      <c r="B54" s="273"/>
      <c r="C54" s="273"/>
      <c r="D54" s="273"/>
      <c r="E54" s="271"/>
      <c r="F54" s="272"/>
      <c r="G54" s="272"/>
      <c r="H54" s="272"/>
      <c r="I54" s="272"/>
      <c r="J54" s="272"/>
      <c r="K54" s="272"/>
      <c r="L54" s="272"/>
      <c r="M54" s="272"/>
      <c r="N54" s="272"/>
      <c r="O54" s="272"/>
      <c r="P54" s="272"/>
      <c r="Q54" s="272"/>
      <c r="R54" s="272"/>
      <c r="S54" s="272"/>
      <c r="T54" s="272"/>
      <c r="U54" s="272"/>
      <c r="V54" s="272"/>
      <c r="W54" s="272"/>
      <c r="X54" s="272"/>
      <c r="Y54" s="271"/>
      <c r="Z54" s="272"/>
      <c r="AA54" s="272"/>
      <c r="AB54" s="272"/>
      <c r="AC54" s="272"/>
      <c r="AD54" s="272"/>
      <c r="AE54" s="272"/>
      <c r="AF54" s="272"/>
      <c r="AG54" s="93"/>
      <c r="AH54" s="93"/>
    </row>
    <row r="55" spans="1:34">
      <c r="A55" s="93"/>
      <c r="B55" s="273"/>
      <c r="C55" s="273"/>
      <c r="D55" s="273"/>
      <c r="E55" s="271"/>
      <c r="F55" s="272"/>
      <c r="G55" s="272"/>
      <c r="H55" s="272"/>
      <c r="I55" s="272"/>
      <c r="J55" s="272"/>
      <c r="K55" s="272"/>
      <c r="L55" s="272"/>
      <c r="M55" s="272"/>
      <c r="N55" s="272"/>
      <c r="O55" s="272"/>
      <c r="P55" s="272"/>
      <c r="Q55" s="272"/>
      <c r="R55" s="272"/>
      <c r="S55" s="272"/>
      <c r="T55" s="272"/>
      <c r="U55" s="272"/>
      <c r="V55" s="272"/>
      <c r="W55" s="272"/>
      <c r="X55" s="272"/>
      <c r="Y55" s="271"/>
      <c r="Z55" s="272"/>
      <c r="AA55" s="272"/>
      <c r="AB55" s="272"/>
      <c r="AC55" s="272"/>
      <c r="AD55" s="272"/>
      <c r="AE55" s="272"/>
      <c r="AF55" s="272"/>
      <c r="AG55" s="93"/>
      <c r="AH55" s="93"/>
    </row>
    <row r="56" spans="1:34">
      <c r="A56" s="93"/>
      <c r="B56" s="273"/>
      <c r="C56" s="273"/>
      <c r="D56" s="273"/>
      <c r="E56" s="271"/>
      <c r="F56" s="272"/>
      <c r="G56" s="272"/>
      <c r="H56" s="272"/>
      <c r="I56" s="272"/>
      <c r="J56" s="272"/>
      <c r="K56" s="272"/>
      <c r="L56" s="272"/>
      <c r="M56" s="272"/>
      <c r="N56" s="272"/>
      <c r="O56" s="272"/>
      <c r="P56" s="272"/>
      <c r="Q56" s="272"/>
      <c r="R56" s="272"/>
      <c r="S56" s="272"/>
      <c r="T56" s="272"/>
      <c r="U56" s="272"/>
      <c r="V56" s="272"/>
      <c r="W56" s="272"/>
      <c r="X56" s="272"/>
      <c r="Y56" s="271"/>
      <c r="Z56" s="272"/>
      <c r="AA56" s="272"/>
      <c r="AB56" s="272"/>
      <c r="AC56" s="272"/>
      <c r="AD56" s="272"/>
      <c r="AE56" s="272"/>
      <c r="AF56" s="272"/>
      <c r="AG56" s="93"/>
      <c r="AH56" s="93"/>
    </row>
    <row r="57" spans="1:34">
      <c r="A57" s="93"/>
      <c r="B57" s="93"/>
      <c r="C57" s="107"/>
      <c r="D57" s="93"/>
      <c r="E57" s="93"/>
      <c r="F57" s="93"/>
      <c r="G57" s="93"/>
      <c r="H57" s="93"/>
      <c r="I57" s="108"/>
      <c r="J57" s="93"/>
      <c r="K57" s="93"/>
      <c r="L57" s="93"/>
      <c r="M57" s="93"/>
      <c r="N57" s="93"/>
      <c r="O57" s="93"/>
      <c r="P57" s="93"/>
      <c r="Q57" s="93"/>
      <c r="R57" s="93"/>
      <c r="S57" s="93"/>
      <c r="T57" s="93"/>
      <c r="U57" s="93"/>
      <c r="V57" s="93"/>
      <c r="W57" s="93"/>
      <c r="X57" s="93"/>
      <c r="Y57" s="93"/>
      <c r="Z57" s="93"/>
      <c r="AA57" s="93"/>
      <c r="AB57" s="93"/>
      <c r="AC57" s="93"/>
      <c r="AD57" s="93"/>
      <c r="AE57" s="93"/>
      <c r="AF57" s="93"/>
      <c r="AG57" s="93"/>
      <c r="AH57" s="93"/>
    </row>
    <row r="58" spans="1:34" ht="20.25">
      <c r="A58" s="93"/>
      <c r="B58" s="105" t="s">
        <v>89</v>
      </c>
      <c r="C58" s="106"/>
      <c r="D58" s="93"/>
      <c r="E58" s="93"/>
      <c r="F58" s="93"/>
      <c r="G58" s="93"/>
      <c r="H58" s="93"/>
      <c r="I58" s="108"/>
      <c r="J58" s="93"/>
      <c r="K58" s="93"/>
      <c r="L58" s="93"/>
      <c r="M58" s="93"/>
      <c r="N58" s="93"/>
      <c r="O58" s="93"/>
      <c r="P58" s="93"/>
      <c r="Q58" s="93"/>
      <c r="R58" s="93"/>
      <c r="S58" s="93"/>
      <c r="T58" s="93"/>
      <c r="U58" s="93"/>
      <c r="V58" s="93"/>
      <c r="W58" s="93"/>
      <c r="X58" s="93"/>
      <c r="Y58" s="93"/>
      <c r="Z58" s="93"/>
      <c r="AA58" s="93"/>
      <c r="AB58" s="93"/>
      <c r="AC58" s="93"/>
      <c r="AD58" s="93"/>
      <c r="AE58" s="93"/>
      <c r="AF58" s="93"/>
      <c r="AG58" s="93"/>
      <c r="AH58" s="93"/>
    </row>
    <row r="59" spans="1:34">
      <c r="A59" s="93"/>
      <c r="B59" s="274" t="s">
        <v>90</v>
      </c>
      <c r="C59" s="274"/>
      <c r="D59" s="274"/>
      <c r="E59" s="274"/>
      <c r="F59" s="274"/>
      <c r="G59" s="274"/>
      <c r="H59" s="275"/>
      <c r="I59" s="275"/>
      <c r="J59" s="275"/>
      <c r="K59" s="275"/>
      <c r="L59" s="275"/>
      <c r="M59" s="275"/>
      <c r="N59" s="275"/>
      <c r="O59" s="275"/>
      <c r="P59" s="275"/>
      <c r="Q59" s="275"/>
      <c r="R59" s="275"/>
      <c r="S59" s="275"/>
      <c r="T59" s="275"/>
      <c r="U59" s="275"/>
      <c r="V59" s="275"/>
      <c r="W59" s="275"/>
      <c r="X59" s="275"/>
      <c r="Y59" s="275"/>
      <c r="Z59" s="275"/>
      <c r="AA59" s="275"/>
      <c r="AB59" s="275"/>
      <c r="AC59" s="275"/>
      <c r="AD59" s="275"/>
      <c r="AE59" s="275"/>
      <c r="AF59" s="275"/>
      <c r="AG59" s="93"/>
      <c r="AH59" s="93"/>
    </row>
    <row r="60" spans="1:34" ht="27.75" customHeight="1">
      <c r="A60" s="93"/>
      <c r="B60" s="264" t="s">
        <v>91</v>
      </c>
      <c r="C60" s="265"/>
      <c r="D60" s="265"/>
      <c r="E60" s="265"/>
      <c r="F60" s="265"/>
      <c r="G60" s="266"/>
      <c r="H60" s="270" t="s">
        <v>92</v>
      </c>
      <c r="I60" s="268"/>
      <c r="J60" s="268"/>
      <c r="K60" s="268"/>
      <c r="L60" s="268"/>
      <c r="M60" s="268"/>
      <c r="N60" s="268"/>
      <c r="O60" s="268"/>
      <c r="P60" s="268"/>
      <c r="Q60" s="268"/>
      <c r="R60" s="268"/>
      <c r="S60" s="268"/>
      <c r="T60" s="268"/>
      <c r="U60" s="268"/>
      <c r="V60" s="268"/>
      <c r="W60" s="268"/>
      <c r="X60" s="268"/>
      <c r="Y60" s="268"/>
      <c r="Z60" s="268"/>
      <c r="AA60" s="268"/>
      <c r="AB60" s="268"/>
      <c r="AC60" s="268"/>
      <c r="AD60" s="268"/>
      <c r="AE60" s="268"/>
      <c r="AF60" s="269"/>
      <c r="AG60" s="93"/>
      <c r="AH60" s="93"/>
    </row>
    <row r="61" spans="1:34">
      <c r="A61" s="93"/>
      <c r="B61" s="264"/>
      <c r="C61" s="265"/>
      <c r="D61" s="265"/>
      <c r="E61" s="265"/>
      <c r="F61" s="265"/>
      <c r="G61" s="266"/>
      <c r="H61" s="267"/>
      <c r="I61" s="268"/>
      <c r="J61" s="268"/>
      <c r="K61" s="268"/>
      <c r="L61" s="268"/>
      <c r="M61" s="268"/>
      <c r="N61" s="268"/>
      <c r="O61" s="268"/>
      <c r="P61" s="268"/>
      <c r="Q61" s="268"/>
      <c r="R61" s="268"/>
      <c r="S61" s="268"/>
      <c r="T61" s="268"/>
      <c r="U61" s="268"/>
      <c r="V61" s="268"/>
      <c r="W61" s="268"/>
      <c r="X61" s="268"/>
      <c r="Y61" s="268"/>
      <c r="Z61" s="268"/>
      <c r="AA61" s="268"/>
      <c r="AB61" s="268"/>
      <c r="AC61" s="268"/>
      <c r="AD61" s="268"/>
      <c r="AE61" s="268"/>
      <c r="AF61" s="269"/>
      <c r="AG61" s="93"/>
      <c r="AH61" s="93"/>
    </row>
    <row r="62" spans="1:34">
      <c r="A62" s="93"/>
      <c r="B62" s="264"/>
      <c r="C62" s="265"/>
      <c r="D62" s="265"/>
      <c r="E62" s="265"/>
      <c r="F62" s="265"/>
      <c r="G62" s="266"/>
      <c r="H62" s="267"/>
      <c r="I62" s="268"/>
      <c r="J62" s="268"/>
      <c r="K62" s="268"/>
      <c r="L62" s="268"/>
      <c r="M62" s="268"/>
      <c r="N62" s="268"/>
      <c r="O62" s="268"/>
      <c r="P62" s="268"/>
      <c r="Q62" s="268"/>
      <c r="R62" s="268"/>
      <c r="S62" s="268"/>
      <c r="T62" s="268"/>
      <c r="U62" s="268"/>
      <c r="V62" s="268"/>
      <c r="W62" s="268"/>
      <c r="X62" s="268"/>
      <c r="Y62" s="268"/>
      <c r="Z62" s="268"/>
      <c r="AA62" s="268"/>
      <c r="AB62" s="268"/>
      <c r="AC62" s="268"/>
      <c r="AD62" s="268"/>
      <c r="AE62" s="268"/>
      <c r="AF62" s="269"/>
      <c r="AG62" s="93"/>
      <c r="AH62" s="93"/>
    </row>
    <row r="63" spans="1:34">
      <c r="A63" s="93"/>
      <c r="B63" s="264"/>
      <c r="C63" s="265"/>
      <c r="D63" s="265"/>
      <c r="E63" s="265"/>
      <c r="F63" s="265"/>
      <c r="G63" s="266"/>
      <c r="H63" s="267"/>
      <c r="I63" s="268"/>
      <c r="J63" s="268"/>
      <c r="K63" s="268"/>
      <c r="L63" s="268"/>
      <c r="M63" s="268"/>
      <c r="N63" s="268"/>
      <c r="O63" s="268"/>
      <c r="P63" s="268"/>
      <c r="Q63" s="268"/>
      <c r="R63" s="268"/>
      <c r="S63" s="268"/>
      <c r="T63" s="268"/>
      <c r="U63" s="268"/>
      <c r="V63" s="268"/>
      <c r="W63" s="268"/>
      <c r="X63" s="268"/>
      <c r="Y63" s="268"/>
      <c r="Z63" s="268"/>
      <c r="AA63" s="268"/>
      <c r="AB63" s="268"/>
      <c r="AC63" s="268"/>
      <c r="AD63" s="268"/>
      <c r="AE63" s="268"/>
      <c r="AF63" s="269"/>
      <c r="AG63" s="93"/>
      <c r="AH63" s="93"/>
    </row>
    <row r="64" spans="1:34">
      <c r="A64" s="93"/>
      <c r="B64" s="264"/>
      <c r="C64" s="265"/>
      <c r="D64" s="265"/>
      <c r="E64" s="265"/>
      <c r="F64" s="265"/>
      <c r="G64" s="266"/>
      <c r="H64" s="267"/>
      <c r="I64" s="268"/>
      <c r="J64" s="268"/>
      <c r="K64" s="268"/>
      <c r="L64" s="268"/>
      <c r="M64" s="268"/>
      <c r="N64" s="268"/>
      <c r="O64" s="268"/>
      <c r="P64" s="268"/>
      <c r="Q64" s="268"/>
      <c r="R64" s="268"/>
      <c r="S64" s="268"/>
      <c r="T64" s="268"/>
      <c r="U64" s="268"/>
      <c r="V64" s="268"/>
      <c r="W64" s="268"/>
      <c r="X64" s="268"/>
      <c r="Y64" s="268"/>
      <c r="Z64" s="268"/>
      <c r="AA64" s="268"/>
      <c r="AB64" s="268"/>
      <c r="AC64" s="268"/>
      <c r="AD64" s="268"/>
      <c r="AE64" s="268"/>
      <c r="AF64" s="269"/>
      <c r="AG64" s="93"/>
      <c r="AH64" s="93"/>
    </row>
    <row r="65" spans="1:34">
      <c r="A65" s="93"/>
      <c r="B65" s="111"/>
      <c r="C65" s="111"/>
      <c r="D65" s="111"/>
      <c r="E65" s="111"/>
      <c r="F65" s="111"/>
      <c r="G65" s="111"/>
      <c r="H65" s="115"/>
      <c r="I65" s="115"/>
      <c r="J65" s="115"/>
      <c r="K65" s="115"/>
      <c r="L65" s="115"/>
      <c r="M65" s="115"/>
      <c r="N65" s="115"/>
      <c r="O65" s="115"/>
      <c r="P65" s="115"/>
      <c r="Q65" s="115"/>
      <c r="R65" s="115"/>
      <c r="S65" s="115"/>
      <c r="T65" s="115"/>
      <c r="U65" s="115"/>
      <c r="V65" s="115"/>
      <c r="W65" s="115"/>
      <c r="X65" s="115"/>
      <c r="Y65" s="115"/>
      <c r="Z65" s="115"/>
      <c r="AA65" s="115"/>
      <c r="AB65" s="115"/>
      <c r="AC65" s="115"/>
      <c r="AD65" s="115"/>
      <c r="AE65" s="115"/>
      <c r="AF65" s="115"/>
      <c r="AG65" s="93"/>
      <c r="AH65" s="93"/>
    </row>
    <row r="66" spans="1:34">
      <c r="A66" s="93"/>
      <c r="B66" s="111"/>
      <c r="C66" s="111"/>
      <c r="D66" s="111"/>
      <c r="E66" s="111"/>
      <c r="F66" s="111"/>
      <c r="G66" s="111"/>
      <c r="H66" s="115"/>
      <c r="I66" s="115"/>
      <c r="J66" s="115"/>
      <c r="K66" s="115"/>
      <c r="L66" s="115"/>
      <c r="M66" s="115"/>
      <c r="N66" s="115"/>
      <c r="O66" s="115"/>
      <c r="P66" s="115"/>
      <c r="Q66" s="115"/>
      <c r="R66" s="115"/>
      <c r="S66" s="115"/>
      <c r="T66" s="115"/>
      <c r="U66" s="115"/>
      <c r="V66" s="115"/>
      <c r="W66" s="115"/>
      <c r="X66" s="115"/>
      <c r="Y66" s="115"/>
      <c r="Z66" s="115"/>
      <c r="AA66" s="115"/>
      <c r="AB66" s="115"/>
      <c r="AC66" s="115"/>
      <c r="AD66" s="115"/>
      <c r="AE66" s="115"/>
      <c r="AF66" s="115"/>
      <c r="AG66" s="93"/>
      <c r="AH66" s="93"/>
    </row>
    <row r="67" spans="1:34" ht="26.25">
      <c r="A67" s="93"/>
      <c r="B67" s="116" t="s">
        <v>93</v>
      </c>
      <c r="C67" s="117"/>
      <c r="D67" s="117"/>
      <c r="E67" s="117"/>
      <c r="F67" s="117"/>
      <c r="G67" s="117"/>
      <c r="H67" s="118"/>
      <c r="I67" s="118"/>
      <c r="J67" s="118"/>
      <c r="K67" s="118"/>
      <c r="L67" s="118"/>
      <c r="M67" s="118"/>
      <c r="N67" s="118"/>
      <c r="O67" s="118"/>
      <c r="P67" s="118"/>
      <c r="Q67" s="118"/>
      <c r="R67" s="118"/>
      <c r="S67" s="118"/>
      <c r="T67" s="118"/>
      <c r="U67" s="118"/>
      <c r="V67" s="118"/>
      <c r="W67" s="118"/>
      <c r="X67" s="118"/>
      <c r="Y67" s="118"/>
      <c r="Z67" s="118"/>
      <c r="AA67" s="118"/>
      <c r="AB67" s="118"/>
      <c r="AC67" s="118"/>
      <c r="AD67" s="118"/>
      <c r="AE67" s="118"/>
      <c r="AF67" s="118"/>
      <c r="AG67" s="93"/>
      <c r="AH67" s="93"/>
    </row>
    <row r="68" spans="1:34" ht="26.25">
      <c r="A68" s="93"/>
      <c r="B68" s="119"/>
      <c r="C68" s="111"/>
      <c r="D68" s="111"/>
      <c r="E68" s="111"/>
      <c r="F68" s="111"/>
      <c r="G68" s="111"/>
      <c r="H68" s="115"/>
      <c r="I68" s="115"/>
      <c r="J68" s="115"/>
      <c r="K68" s="115"/>
      <c r="L68" s="115"/>
      <c r="M68" s="115"/>
      <c r="N68" s="115"/>
      <c r="O68" s="115"/>
      <c r="P68" s="115"/>
      <c r="Q68" s="115"/>
      <c r="R68" s="115"/>
      <c r="S68" s="115"/>
      <c r="T68" s="115"/>
      <c r="U68" s="115"/>
      <c r="V68" s="115"/>
      <c r="W68" s="115"/>
      <c r="X68" s="115"/>
      <c r="Y68" s="115"/>
      <c r="Z68" s="115"/>
      <c r="AA68" s="115"/>
      <c r="AB68" s="115"/>
      <c r="AC68" s="115"/>
      <c r="AD68" s="115"/>
      <c r="AE68" s="115"/>
      <c r="AF68" s="115"/>
      <c r="AG68" s="93"/>
      <c r="AH68" s="93"/>
    </row>
    <row r="69" spans="1:34" s="157" customFormat="1" ht="20.25">
      <c r="B69" s="158" t="s">
        <v>94</v>
      </c>
    </row>
    <row r="70" spans="1:34">
      <c r="A70" s="93"/>
      <c r="B70" s="120"/>
      <c r="C70" s="120"/>
      <c r="D70" s="120"/>
      <c r="E70" s="120"/>
      <c r="F70" s="120"/>
      <c r="G70" s="120"/>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93"/>
      <c r="AH70" s="93"/>
    </row>
    <row r="71" spans="1:34" ht="52.5" customHeight="1">
      <c r="A71" s="93"/>
      <c r="B71" s="301" t="s">
        <v>95</v>
      </c>
      <c r="C71" s="302"/>
      <c r="D71" s="302"/>
      <c r="E71" s="302"/>
      <c r="F71" s="302"/>
      <c r="G71" s="303"/>
      <c r="H71" s="304" t="s">
        <v>96</v>
      </c>
      <c r="I71" s="305"/>
      <c r="J71" s="305"/>
      <c r="K71" s="305"/>
      <c r="L71" s="305"/>
      <c r="M71" s="305"/>
      <c r="N71" s="305"/>
      <c r="O71" s="305"/>
      <c r="P71" s="305"/>
      <c r="Q71" s="305"/>
      <c r="R71" s="305"/>
      <c r="S71" s="305"/>
      <c r="T71" s="305"/>
      <c r="U71" s="305"/>
      <c r="V71" s="305"/>
      <c r="W71" s="305"/>
      <c r="X71" s="305"/>
      <c r="Y71" s="305"/>
      <c r="Z71" s="305"/>
      <c r="AA71" s="305"/>
      <c r="AB71" s="305"/>
      <c r="AC71" s="305"/>
      <c r="AD71" s="305"/>
      <c r="AE71" s="305"/>
      <c r="AF71" s="306"/>
      <c r="AG71" s="93"/>
      <c r="AH71" s="93"/>
    </row>
    <row r="72" spans="1:34" ht="111" customHeight="1">
      <c r="A72" s="93"/>
      <c r="B72" s="301" t="s">
        <v>97</v>
      </c>
      <c r="C72" s="302"/>
      <c r="D72" s="302"/>
      <c r="E72" s="302"/>
      <c r="F72" s="302"/>
      <c r="G72" s="303"/>
      <c r="H72" s="304" t="s">
        <v>98</v>
      </c>
      <c r="I72" s="305"/>
      <c r="J72" s="305"/>
      <c r="K72" s="305"/>
      <c r="L72" s="305"/>
      <c r="M72" s="305"/>
      <c r="N72" s="305"/>
      <c r="O72" s="305"/>
      <c r="P72" s="305"/>
      <c r="Q72" s="305"/>
      <c r="R72" s="305"/>
      <c r="S72" s="305"/>
      <c r="T72" s="305"/>
      <c r="U72" s="305"/>
      <c r="V72" s="305"/>
      <c r="W72" s="305"/>
      <c r="X72" s="305"/>
      <c r="Y72" s="305"/>
      <c r="Z72" s="305"/>
      <c r="AA72" s="305"/>
      <c r="AB72" s="305"/>
      <c r="AC72" s="305"/>
      <c r="AD72" s="305"/>
      <c r="AE72" s="305"/>
      <c r="AF72" s="306"/>
      <c r="AG72" s="93"/>
      <c r="AH72" s="93"/>
    </row>
    <row r="73" spans="1:34" ht="52.5" customHeight="1">
      <c r="A73" s="93"/>
      <c r="B73" s="301" t="s">
        <v>99</v>
      </c>
      <c r="C73" s="302"/>
      <c r="D73" s="302"/>
      <c r="E73" s="302"/>
      <c r="F73" s="302"/>
      <c r="G73" s="303"/>
      <c r="H73" s="304" t="s">
        <v>100</v>
      </c>
      <c r="I73" s="305"/>
      <c r="J73" s="305"/>
      <c r="K73" s="305"/>
      <c r="L73" s="305"/>
      <c r="M73" s="305"/>
      <c r="N73" s="305"/>
      <c r="O73" s="305"/>
      <c r="P73" s="305"/>
      <c r="Q73" s="305"/>
      <c r="R73" s="305"/>
      <c r="S73" s="305"/>
      <c r="T73" s="305"/>
      <c r="U73" s="305"/>
      <c r="V73" s="305"/>
      <c r="W73" s="305"/>
      <c r="X73" s="305"/>
      <c r="Y73" s="305"/>
      <c r="Z73" s="305"/>
      <c r="AA73" s="305"/>
      <c r="AB73" s="305"/>
      <c r="AC73" s="305"/>
      <c r="AD73" s="305"/>
      <c r="AE73" s="305"/>
      <c r="AF73" s="306"/>
      <c r="AG73" s="93"/>
      <c r="AH73" s="93"/>
    </row>
    <row r="74" spans="1:34" ht="52.5" customHeight="1">
      <c r="A74" s="93"/>
      <c r="B74" s="301" t="s">
        <v>101</v>
      </c>
      <c r="C74" s="302"/>
      <c r="D74" s="302"/>
      <c r="E74" s="302"/>
      <c r="F74" s="302"/>
      <c r="G74" s="303"/>
      <c r="H74" s="304" t="s">
        <v>102</v>
      </c>
      <c r="I74" s="305"/>
      <c r="J74" s="305"/>
      <c r="K74" s="305"/>
      <c r="L74" s="305"/>
      <c r="M74" s="305"/>
      <c r="N74" s="305"/>
      <c r="O74" s="305"/>
      <c r="P74" s="305"/>
      <c r="Q74" s="305"/>
      <c r="R74" s="305"/>
      <c r="S74" s="305"/>
      <c r="T74" s="305"/>
      <c r="U74" s="305"/>
      <c r="V74" s="305"/>
      <c r="W74" s="305"/>
      <c r="X74" s="305"/>
      <c r="Y74" s="305"/>
      <c r="Z74" s="305"/>
      <c r="AA74" s="305"/>
      <c r="AB74" s="305"/>
      <c r="AC74" s="305"/>
      <c r="AD74" s="305"/>
      <c r="AE74" s="305"/>
      <c r="AF74" s="306"/>
      <c r="AG74" s="93"/>
      <c r="AH74" s="93"/>
    </row>
    <row r="75" spans="1:34" ht="81" customHeight="1">
      <c r="A75" s="93"/>
      <c r="B75" s="301" t="s">
        <v>103</v>
      </c>
      <c r="C75" s="302"/>
      <c r="D75" s="302"/>
      <c r="E75" s="302"/>
      <c r="F75" s="302"/>
      <c r="G75" s="303"/>
      <c r="H75" s="304" t="s">
        <v>104</v>
      </c>
      <c r="I75" s="305"/>
      <c r="J75" s="305"/>
      <c r="K75" s="305"/>
      <c r="L75" s="305"/>
      <c r="M75" s="305"/>
      <c r="N75" s="305"/>
      <c r="O75" s="305"/>
      <c r="P75" s="305"/>
      <c r="Q75" s="305"/>
      <c r="R75" s="305"/>
      <c r="S75" s="305"/>
      <c r="T75" s="305"/>
      <c r="U75" s="305"/>
      <c r="V75" s="305"/>
      <c r="W75" s="305"/>
      <c r="X75" s="305"/>
      <c r="Y75" s="305"/>
      <c r="Z75" s="305"/>
      <c r="AA75" s="305"/>
      <c r="AB75" s="305"/>
      <c r="AC75" s="305"/>
      <c r="AD75" s="305"/>
      <c r="AE75" s="305"/>
      <c r="AF75" s="306"/>
      <c r="AG75" s="93"/>
      <c r="AH75" s="93"/>
    </row>
    <row r="76" spans="1:34" ht="97.5" customHeight="1">
      <c r="A76" s="93"/>
      <c r="B76" s="301" t="s">
        <v>105</v>
      </c>
      <c r="C76" s="302"/>
      <c r="D76" s="302"/>
      <c r="E76" s="302"/>
      <c r="F76" s="302"/>
      <c r="G76" s="303"/>
      <c r="H76" s="304" t="s">
        <v>106</v>
      </c>
      <c r="I76" s="305"/>
      <c r="J76" s="305"/>
      <c r="K76" s="305"/>
      <c r="L76" s="305"/>
      <c r="M76" s="305"/>
      <c r="N76" s="305"/>
      <c r="O76" s="305"/>
      <c r="P76" s="305"/>
      <c r="Q76" s="305"/>
      <c r="R76" s="305"/>
      <c r="S76" s="305"/>
      <c r="T76" s="305"/>
      <c r="U76" s="305"/>
      <c r="V76" s="305"/>
      <c r="W76" s="305"/>
      <c r="X76" s="305"/>
      <c r="Y76" s="305"/>
      <c r="Z76" s="305"/>
      <c r="AA76" s="305"/>
      <c r="AB76" s="305"/>
      <c r="AC76" s="305"/>
      <c r="AD76" s="305"/>
      <c r="AE76" s="305"/>
      <c r="AF76" s="306"/>
      <c r="AG76" s="93"/>
      <c r="AH76" s="93"/>
    </row>
    <row r="77" spans="1:34">
      <c r="A77" s="93"/>
      <c r="B77" s="120"/>
      <c r="C77" s="120"/>
      <c r="D77" s="120"/>
      <c r="E77" s="120"/>
      <c r="F77" s="120"/>
      <c r="G77" s="120"/>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93"/>
      <c r="AH77" s="93"/>
    </row>
    <row r="78" spans="1:34">
      <c r="A78" s="93"/>
      <c r="B78" s="120"/>
      <c r="C78" s="120"/>
      <c r="D78" s="120"/>
      <c r="E78" s="120"/>
      <c r="F78" s="120"/>
      <c r="G78" s="120"/>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93"/>
      <c r="AH78" s="93"/>
    </row>
    <row r="79" spans="1:34">
      <c r="A79" s="93"/>
      <c r="B79" s="120"/>
      <c r="C79" s="120"/>
      <c r="D79" s="120"/>
      <c r="E79" s="120"/>
      <c r="F79" s="120"/>
      <c r="G79" s="120"/>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93"/>
      <c r="AH79" s="93"/>
    </row>
    <row r="80" spans="1:34" ht="26.25">
      <c r="A80" s="93"/>
      <c r="B80" s="116" t="s">
        <v>107</v>
      </c>
      <c r="C80" s="117"/>
      <c r="D80" s="117"/>
      <c r="E80" s="117"/>
      <c r="F80" s="117"/>
      <c r="G80" s="117"/>
      <c r="H80" s="118"/>
      <c r="I80" s="118"/>
      <c r="J80" s="118"/>
      <c r="K80" s="118"/>
      <c r="L80" s="118"/>
      <c r="M80" s="118"/>
      <c r="N80" s="118"/>
      <c r="O80" s="118"/>
      <c r="P80" s="118"/>
      <c r="Q80" s="118"/>
      <c r="R80" s="118"/>
      <c r="S80" s="118"/>
      <c r="T80" s="118"/>
      <c r="U80" s="118"/>
      <c r="V80" s="118"/>
      <c r="W80" s="118"/>
      <c r="X80" s="118"/>
      <c r="Y80" s="118"/>
      <c r="Z80" s="118"/>
      <c r="AA80" s="118"/>
      <c r="AB80" s="118"/>
      <c r="AC80" s="118"/>
      <c r="AD80" s="118"/>
      <c r="AE80" s="118"/>
      <c r="AF80" s="118"/>
      <c r="AG80" s="93"/>
      <c r="AH80" s="93"/>
    </row>
    <row r="81" spans="1:36">
      <c r="A81" s="93"/>
      <c r="B81" s="120"/>
      <c r="C81" s="120"/>
      <c r="D81" s="120"/>
      <c r="E81" s="120"/>
      <c r="F81" s="120"/>
      <c r="G81" s="120"/>
      <c r="H81" s="121"/>
      <c r="I81" s="121"/>
      <c r="J81" s="121"/>
      <c r="K81" s="121"/>
      <c r="L81" s="121"/>
      <c r="M81" s="121"/>
      <c r="N81" s="121"/>
      <c r="O81" s="121"/>
      <c r="P81" s="121"/>
      <c r="Q81" s="121"/>
      <c r="R81" s="121"/>
      <c r="S81" s="121"/>
      <c r="T81" s="121"/>
      <c r="U81" s="121"/>
      <c r="V81" s="121"/>
      <c r="W81" s="121"/>
      <c r="X81" s="121"/>
      <c r="Y81" s="121"/>
      <c r="Z81" s="121"/>
      <c r="AA81" s="121"/>
      <c r="AB81" s="121"/>
      <c r="AC81" s="121"/>
      <c r="AD81" s="121"/>
      <c r="AE81" s="121"/>
      <c r="AF81" s="121"/>
      <c r="AG81" s="93"/>
      <c r="AH81" s="93"/>
    </row>
    <row r="82" spans="1:36">
      <c r="A82" s="93"/>
      <c r="B82" s="120" t="s">
        <v>108</v>
      </c>
      <c r="C82" s="120"/>
      <c r="D82" s="120"/>
      <c r="E82" s="120"/>
      <c r="F82" s="120"/>
      <c r="G82" s="120"/>
      <c r="H82" s="121"/>
      <c r="I82" s="121"/>
      <c r="J82" s="121"/>
      <c r="K82" s="121"/>
      <c r="L82" s="121"/>
      <c r="M82" s="121"/>
      <c r="N82" s="121"/>
      <c r="O82" s="121"/>
      <c r="P82" s="121"/>
      <c r="Q82" s="121"/>
      <c r="R82" s="121"/>
      <c r="S82" s="121"/>
      <c r="T82" s="121"/>
      <c r="U82" s="121"/>
      <c r="V82" s="121"/>
      <c r="W82" s="121"/>
      <c r="X82" s="121"/>
      <c r="Y82" s="121"/>
      <c r="Z82" s="121"/>
      <c r="AA82" s="121"/>
      <c r="AB82" s="121"/>
      <c r="AC82" s="121"/>
      <c r="AD82" s="121"/>
      <c r="AE82" s="121"/>
      <c r="AF82" s="121"/>
      <c r="AG82" s="93"/>
      <c r="AH82" s="93"/>
    </row>
    <row r="83" spans="1:36" ht="67.5">
      <c r="A83" s="93"/>
      <c r="B83" s="120"/>
      <c r="C83" s="120"/>
      <c r="D83" s="120"/>
      <c r="E83" s="120"/>
      <c r="F83" s="120"/>
      <c r="G83" s="120"/>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93"/>
      <c r="AH83" s="93"/>
      <c r="AJ83" s="163" t="s">
        <v>109</v>
      </c>
    </row>
    <row r="84" spans="1:36" ht="18.75">
      <c r="A84" s="93"/>
      <c r="C84" s="120"/>
      <c r="D84" s="120"/>
      <c r="E84" s="120"/>
      <c r="F84" s="120"/>
      <c r="G84" s="120"/>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93"/>
      <c r="AH84" s="93"/>
      <c r="AI84" s="141"/>
      <c r="AJ84" s="162" t="s">
        <v>18</v>
      </c>
    </row>
    <row r="85" spans="1:36">
      <c r="A85" s="93"/>
      <c r="C85" s="120"/>
      <c r="D85" s="120"/>
      <c r="E85" s="120"/>
      <c r="F85" s="120"/>
      <c r="G85" s="120"/>
      <c r="H85" s="121"/>
      <c r="I85" s="121"/>
      <c r="J85" s="121"/>
      <c r="K85" s="121"/>
      <c r="L85" s="121"/>
      <c r="M85" s="121"/>
      <c r="N85" s="121"/>
      <c r="O85" s="121"/>
      <c r="P85" s="121"/>
      <c r="Q85" s="121"/>
      <c r="R85" s="121"/>
      <c r="S85" s="121"/>
      <c r="T85" s="121"/>
      <c r="U85" s="121"/>
      <c r="V85" s="121"/>
      <c r="W85" s="121"/>
      <c r="X85" s="121"/>
      <c r="Y85" s="121"/>
      <c r="Z85" s="121"/>
      <c r="AA85" s="121"/>
      <c r="AB85" s="121"/>
      <c r="AC85" s="121"/>
      <c r="AD85" s="121"/>
      <c r="AE85" s="121"/>
      <c r="AF85" s="121"/>
      <c r="AG85" s="93"/>
      <c r="AH85" s="93"/>
      <c r="AI85" s="142" t="s">
        <v>110</v>
      </c>
      <c r="AJ85" s="142" t="s">
        <v>111</v>
      </c>
    </row>
    <row r="86" spans="1:36">
      <c r="A86" s="93"/>
      <c r="C86" s="120"/>
      <c r="D86" s="120"/>
      <c r="E86" s="120"/>
      <c r="F86" s="120"/>
      <c r="G86" s="120"/>
      <c r="H86" s="121"/>
      <c r="I86" s="121"/>
      <c r="J86" s="121"/>
      <c r="K86" s="121"/>
      <c r="L86" s="121"/>
      <c r="M86" s="121"/>
      <c r="N86" s="121"/>
      <c r="O86" s="121"/>
      <c r="P86" s="121"/>
      <c r="Q86" s="121"/>
      <c r="R86" s="121"/>
      <c r="S86" s="121"/>
      <c r="T86" s="121"/>
      <c r="U86" s="121"/>
      <c r="V86" s="121"/>
      <c r="W86" s="121"/>
      <c r="X86" s="121"/>
      <c r="Y86" s="121"/>
      <c r="Z86" s="121"/>
      <c r="AA86" s="121"/>
      <c r="AB86" s="121"/>
      <c r="AC86" s="121"/>
      <c r="AD86" s="121"/>
      <c r="AE86" s="121"/>
      <c r="AF86" s="121"/>
      <c r="AG86" s="93"/>
      <c r="AH86" s="93"/>
      <c r="AI86" s="142" t="s">
        <v>112</v>
      </c>
      <c r="AJ86" s="142" t="s">
        <v>113</v>
      </c>
    </row>
    <row r="87" spans="1:36">
      <c r="A87" s="93"/>
      <c r="C87" s="120"/>
      <c r="D87" s="120"/>
      <c r="E87" s="120"/>
      <c r="F87" s="120"/>
      <c r="G87" s="120"/>
      <c r="H87" s="121"/>
      <c r="I87" s="121"/>
      <c r="J87" s="121"/>
      <c r="K87" s="121"/>
      <c r="L87" s="121"/>
      <c r="M87" s="121"/>
      <c r="N87" s="121"/>
      <c r="O87" s="121"/>
      <c r="P87" s="121"/>
      <c r="Q87" s="121"/>
      <c r="R87" s="121"/>
      <c r="S87" s="121"/>
      <c r="T87" s="121"/>
      <c r="U87" s="121"/>
      <c r="V87" s="121"/>
      <c r="W87" s="121"/>
      <c r="X87" s="121"/>
      <c r="Y87" s="121"/>
      <c r="Z87" s="121"/>
      <c r="AA87" s="121"/>
      <c r="AB87" s="121"/>
      <c r="AC87" s="121"/>
      <c r="AD87" s="121"/>
      <c r="AE87" s="121"/>
      <c r="AF87" s="121"/>
      <c r="AG87" s="93"/>
      <c r="AH87" s="93"/>
      <c r="AI87" s="142" t="s">
        <v>114</v>
      </c>
      <c r="AJ87" s="142" t="s">
        <v>115</v>
      </c>
    </row>
    <row r="88" spans="1:36" ht="18.75">
      <c r="A88" s="93"/>
      <c r="C88" s="120"/>
      <c r="D88" s="120"/>
      <c r="E88" s="120"/>
      <c r="F88" s="120"/>
      <c r="G88" s="120"/>
      <c r="H88" s="121"/>
      <c r="I88" s="121"/>
      <c r="J88" s="121"/>
      <c r="K88" s="121"/>
      <c r="L88" s="121"/>
      <c r="M88" s="121"/>
      <c r="N88" s="121"/>
      <c r="O88" s="121"/>
      <c r="P88" s="121"/>
      <c r="Q88" s="121"/>
      <c r="R88" s="121"/>
      <c r="S88" s="121"/>
      <c r="T88" s="121"/>
      <c r="U88" s="121"/>
      <c r="V88" s="121"/>
      <c r="W88" s="121"/>
      <c r="X88" s="121"/>
      <c r="Y88" s="121"/>
      <c r="Z88" s="121"/>
      <c r="AA88" s="121"/>
      <c r="AB88" s="121"/>
      <c r="AC88" s="121"/>
      <c r="AD88" s="121"/>
      <c r="AE88" s="121"/>
      <c r="AF88" s="121"/>
      <c r="AG88" s="93"/>
      <c r="AH88" s="93"/>
      <c r="AI88" s="143"/>
      <c r="AJ88" s="142" t="s">
        <v>116</v>
      </c>
    </row>
    <row r="89" spans="1:36">
      <c r="A89" s="93"/>
      <c r="B89" s="120"/>
      <c r="C89" s="120"/>
      <c r="D89" s="120"/>
      <c r="E89" s="120"/>
      <c r="F89" s="120"/>
      <c r="G89" s="120"/>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93"/>
      <c r="AH89" s="93"/>
      <c r="AJ89" s="142" t="s">
        <v>117</v>
      </c>
    </row>
    <row r="90" spans="1:36">
      <c r="A90" s="93"/>
      <c r="B90" s="93"/>
      <c r="C90" s="93"/>
      <c r="D90" s="93"/>
      <c r="E90" s="93"/>
      <c r="F90" s="93"/>
      <c r="G90" s="93"/>
      <c r="H90" s="93"/>
      <c r="I90" s="93"/>
      <c r="J90" s="93"/>
      <c r="K90" s="93"/>
      <c r="L90" s="93"/>
      <c r="M90" s="93"/>
      <c r="N90" s="93"/>
      <c r="O90" s="93"/>
      <c r="P90" s="93"/>
      <c r="Q90" s="93"/>
      <c r="R90" s="93"/>
      <c r="S90" s="93"/>
      <c r="T90" s="93"/>
      <c r="U90" s="93"/>
      <c r="V90" s="93"/>
      <c r="W90" s="93"/>
      <c r="X90" s="93"/>
      <c r="Y90" s="93"/>
      <c r="Z90" s="93"/>
      <c r="AA90" s="93"/>
      <c r="AB90" s="93"/>
      <c r="AC90" s="93"/>
      <c r="AD90" s="93"/>
      <c r="AE90" s="93"/>
      <c r="AF90" s="93"/>
      <c r="AG90" s="93"/>
      <c r="AH90" s="93"/>
      <c r="AJ90" s="142" t="s">
        <v>118</v>
      </c>
    </row>
    <row r="91" spans="1:36">
      <c r="AJ91" s="142" t="s">
        <v>119</v>
      </c>
    </row>
    <row r="92" spans="1:36">
      <c r="AJ92" s="142" t="s">
        <v>120</v>
      </c>
    </row>
    <row r="93" spans="1:36">
      <c r="AJ93" s="142" t="s">
        <v>121</v>
      </c>
    </row>
    <row r="94" spans="1:36">
      <c r="AJ94" s="142" t="s">
        <v>122</v>
      </c>
    </row>
    <row r="95" spans="1:36">
      <c r="AJ95" s="142" t="s">
        <v>123</v>
      </c>
    </row>
    <row r="96" spans="1:36">
      <c r="AJ96" s="142" t="s">
        <v>124</v>
      </c>
    </row>
    <row r="97" spans="36:36">
      <c r="AJ97" s="142" t="s">
        <v>125</v>
      </c>
    </row>
    <row r="98" spans="36:36">
      <c r="AJ98" s="142" t="s">
        <v>126</v>
      </c>
    </row>
    <row r="99" spans="36:36">
      <c r="AJ99" s="142" t="s">
        <v>127</v>
      </c>
    </row>
    <row r="100" spans="36:36">
      <c r="AJ100" s="142" t="s">
        <v>128</v>
      </c>
    </row>
    <row r="101" spans="36:36">
      <c r="AJ101" s="142" t="s">
        <v>129</v>
      </c>
    </row>
    <row r="102" spans="36:36">
      <c r="AJ102" s="142" t="s">
        <v>130</v>
      </c>
    </row>
    <row r="103" spans="36:36">
      <c r="AJ103" s="142" t="s">
        <v>131</v>
      </c>
    </row>
    <row r="104" spans="36:36">
      <c r="AJ104" s="142" t="s">
        <v>132</v>
      </c>
    </row>
    <row r="105" spans="36:36" ht="18.75">
      <c r="AJ105" s="143" t="s">
        <v>127</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81"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09" t="s">
        <v>35</v>
      </c>
      <c r="B1" s="310"/>
      <c r="C1" s="310"/>
      <c r="D1" s="311"/>
    </row>
    <row r="3" spans="1:8">
      <c r="B3" s="312" t="s">
        <v>133</v>
      </c>
      <c r="C3" s="313"/>
      <c r="D3" s="314"/>
    </row>
    <row r="4" spans="1:8">
      <c r="B4" s="68" t="s">
        <v>134</v>
      </c>
      <c r="C4" s="41" t="s">
        <v>135</v>
      </c>
      <c r="D4" s="12"/>
    </row>
    <row r="5" spans="1:8">
      <c r="B5" s="10" t="s">
        <v>136</v>
      </c>
      <c r="C5" s="11" t="s">
        <v>137</v>
      </c>
      <c r="D5" s="12"/>
    </row>
    <row r="6" spans="1:8">
      <c r="B6" s="10" t="s">
        <v>138</v>
      </c>
      <c r="C6" s="11" t="s">
        <v>139</v>
      </c>
      <c r="D6" s="12"/>
    </row>
    <row r="7" spans="1:8">
      <c r="B7" s="10" t="s">
        <v>140</v>
      </c>
      <c r="C7" s="11" t="s">
        <v>141</v>
      </c>
      <c r="D7" s="12"/>
    </row>
    <row r="8" spans="1:8">
      <c r="B8" s="10" t="s">
        <v>142</v>
      </c>
      <c r="C8" s="11" t="s">
        <v>143</v>
      </c>
      <c r="D8" s="12"/>
    </row>
    <row r="9" spans="1:8">
      <c r="B9" s="68" t="s">
        <v>144</v>
      </c>
      <c r="C9" s="41" t="s">
        <v>145</v>
      </c>
      <c r="D9" s="12"/>
    </row>
    <row r="10" spans="1:8">
      <c r="B10" s="68" t="s">
        <v>146</v>
      </c>
      <c r="C10" s="41" t="s">
        <v>147</v>
      </c>
      <c r="D10" s="12"/>
    </row>
    <row r="12" spans="1:8">
      <c r="B12" s="312" t="s">
        <v>148</v>
      </c>
      <c r="C12" s="313"/>
      <c r="D12" s="314"/>
    </row>
    <row r="13" spans="1:8" ht="24.75" customHeight="1">
      <c r="B13" s="122" t="s">
        <v>149</v>
      </c>
      <c r="C13" s="315" t="s">
        <v>150</v>
      </c>
      <c r="D13" s="316"/>
    </row>
    <row r="14" spans="1:8" ht="25.5" customHeight="1">
      <c r="B14" s="122" t="s">
        <v>151</v>
      </c>
      <c r="C14" s="315" t="s">
        <v>152</v>
      </c>
      <c r="D14" s="316"/>
      <c r="E14" s="78"/>
      <c r="F14" s="78"/>
      <c r="G14" s="78"/>
      <c r="H14" s="78"/>
    </row>
    <row r="15" spans="1:8" ht="49.5" customHeight="1">
      <c r="B15" s="122" t="s">
        <v>153</v>
      </c>
      <c r="C15" s="315" t="s">
        <v>154</v>
      </c>
      <c r="D15" s="316"/>
      <c r="F15" s="39" t="s">
        <v>155</v>
      </c>
    </row>
    <row r="17" spans="2:6">
      <c r="B17" s="312" t="s">
        <v>156</v>
      </c>
      <c r="C17" s="313"/>
      <c r="D17" s="314"/>
    </row>
    <row r="18" spans="2:6">
      <c r="B18" s="2"/>
      <c r="D18" s="3"/>
      <c r="F18" s="39" t="s">
        <v>157</v>
      </c>
    </row>
    <row r="19" spans="2:6" s="79" customFormat="1" ht="38.25">
      <c r="B19" s="307" t="s">
        <v>158</v>
      </c>
      <c r="C19" s="123" t="s">
        <v>159</v>
      </c>
      <c r="D19" s="80"/>
      <c r="F19" s="82" t="s">
        <v>160</v>
      </c>
    </row>
    <row r="20" spans="2:6">
      <c r="B20" s="307"/>
      <c r="C20" s="124"/>
      <c r="D20" s="3"/>
      <c r="F20" s="39" t="s">
        <v>161</v>
      </c>
    </row>
    <row r="21" spans="2:6" ht="25.5">
      <c r="B21" s="307"/>
      <c r="C21" s="125" t="s">
        <v>162</v>
      </c>
      <c r="D21" s="3"/>
    </row>
    <row r="22" spans="2:6" ht="25.5">
      <c r="B22" s="307"/>
      <c r="C22" s="125" t="s">
        <v>163</v>
      </c>
      <c r="D22" s="3"/>
    </row>
    <row r="23" spans="2:6">
      <c r="B23" s="307"/>
      <c r="C23" s="125" t="s">
        <v>164</v>
      </c>
      <c r="D23" s="3"/>
    </row>
    <row r="24" spans="2:6">
      <c r="B24" s="2"/>
      <c r="C24" s="24"/>
      <c r="D24" s="3"/>
    </row>
    <row r="25" spans="2:6">
      <c r="B25" s="308" t="s">
        <v>165</v>
      </c>
      <c r="C25" s="126" t="s">
        <v>166</v>
      </c>
      <c r="D25" s="3"/>
    </row>
    <row r="26" spans="2:6" ht="25.5">
      <c r="B26" s="308"/>
      <c r="C26" s="127" t="s">
        <v>167</v>
      </c>
      <c r="D26" s="3"/>
    </row>
    <row r="27" spans="2:6">
      <c r="B27" s="308"/>
      <c r="C27" s="126" t="s">
        <v>168</v>
      </c>
      <c r="D27" s="3"/>
    </row>
    <row r="28" spans="2:6">
      <c r="B28" s="2"/>
      <c r="C28" s="24"/>
      <c r="D28" s="3"/>
    </row>
    <row r="29" spans="2:6">
      <c r="B29" s="4"/>
      <c r="C29" s="5"/>
      <c r="D29" s="6"/>
    </row>
    <row r="32" spans="2:6">
      <c r="B32" s="13" t="s">
        <v>169</v>
      </c>
    </row>
    <row r="33" spans="2:4">
      <c r="B33" s="7"/>
      <c r="C33" s="8"/>
      <c r="D33" s="9"/>
    </row>
    <row r="34" spans="2:4" ht="18">
      <c r="B34" s="32" t="s">
        <v>170</v>
      </c>
      <c r="D34" s="3"/>
    </row>
    <row r="35" spans="2:4" ht="25.5">
      <c r="B35" s="2"/>
      <c r="C35" s="27" t="s">
        <v>171</v>
      </c>
      <c r="D35" s="3"/>
    </row>
    <row r="36" spans="2:4">
      <c r="B36" s="4"/>
      <c r="C36" s="63"/>
      <c r="D36" s="6"/>
    </row>
    <row r="37" spans="2:4">
      <c r="B37" s="2"/>
      <c r="C37" s="27"/>
      <c r="D37" s="3"/>
    </row>
    <row r="38" spans="2:4" ht="18">
      <c r="B38" s="32" t="s">
        <v>172</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60" t="s">
        <v>173</v>
      </c>
      <c r="C50" s="161" t="s">
        <v>174</v>
      </c>
      <c r="D50" s="3"/>
    </row>
    <row r="51" spans="2:4">
      <c r="B51" s="4"/>
      <c r="C51" s="38"/>
      <c r="D51" s="6"/>
    </row>
    <row r="52" spans="2:4">
      <c r="B52" s="2"/>
      <c r="C52" s="27"/>
      <c r="D52" s="3"/>
    </row>
    <row r="53" spans="2:4" ht="18">
      <c r="B53" s="32" t="s">
        <v>175</v>
      </c>
      <c r="C53" s="27"/>
      <c r="D53" s="3"/>
    </row>
    <row r="54" spans="2:4">
      <c r="B54" s="2"/>
      <c r="C54" s="64" t="s">
        <v>176</v>
      </c>
      <c r="D54" s="3"/>
    </row>
    <row r="55" spans="2:4">
      <c r="B55" s="2"/>
      <c r="C55" s="65" t="s">
        <v>10</v>
      </c>
      <c r="D55" s="3"/>
    </row>
    <row r="56" spans="2:4">
      <c r="B56" s="2"/>
      <c r="C56" s="66" t="s">
        <v>177</v>
      </c>
      <c r="D56" s="3"/>
    </row>
    <row r="57" spans="2:4">
      <c r="B57" s="2"/>
      <c r="C57" s="67" t="s">
        <v>178</v>
      </c>
      <c r="D57" s="3"/>
    </row>
    <row r="58" spans="2:4">
      <c r="B58" s="4"/>
      <c r="C58" s="38"/>
      <c r="D58" s="6"/>
    </row>
    <row r="59" spans="2:4">
      <c r="B59" s="2"/>
      <c r="C59" s="24"/>
      <c r="D59" s="3"/>
    </row>
    <row r="60" spans="2:4" ht="18">
      <c r="B60" s="32" t="s">
        <v>179</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180</v>
      </c>
    </row>
    <row r="112" spans="2:4">
      <c r="B112" s="7"/>
      <c r="C112" s="8"/>
      <c r="D112" s="9"/>
    </row>
    <row r="113" spans="2:4">
      <c r="B113" s="2"/>
      <c r="D113" s="3"/>
    </row>
    <row r="114" spans="2:4">
      <c r="B114" s="2"/>
      <c r="D114" s="3"/>
    </row>
    <row r="115" spans="2:4">
      <c r="B115" s="2"/>
      <c r="C115" s="39" t="s">
        <v>181</v>
      </c>
      <c r="D115" s="3"/>
    </row>
    <row r="116" spans="2:4">
      <c r="B116" s="2"/>
      <c r="D116" s="3"/>
    </row>
    <row r="117" spans="2:4" ht="12.75" customHeight="1">
      <c r="B117" s="2"/>
      <c r="C117" s="39" t="s">
        <v>182</v>
      </c>
      <c r="D117" s="3"/>
    </row>
    <row r="118" spans="2:4" ht="12.75" customHeight="1">
      <c r="B118" s="2"/>
      <c r="D118" s="3"/>
    </row>
    <row r="119" spans="2:4" ht="12.75" customHeight="1">
      <c r="B119" s="2"/>
      <c r="D119" s="3"/>
    </row>
    <row r="120" spans="2:4">
      <c r="B120" s="4"/>
      <c r="C120" s="5"/>
      <c r="D120" s="6"/>
    </row>
    <row r="122" spans="2:4">
      <c r="B122" s="13" t="s">
        <v>183</v>
      </c>
    </row>
    <row r="123" spans="2:4" ht="38.25">
      <c r="B123" s="7"/>
      <c r="C123" s="81" t="s">
        <v>184</v>
      </c>
      <c r="D123" s="9"/>
    </row>
    <row r="124" spans="2:4">
      <c r="B124" s="128" t="s">
        <v>185</v>
      </c>
      <c r="C124" s="1" t="s">
        <v>186</v>
      </c>
      <c r="D124" s="3"/>
    </row>
    <row r="125" spans="2:4">
      <c r="B125" s="128" t="s">
        <v>185</v>
      </c>
      <c r="C125" s="27" t="s">
        <v>187</v>
      </c>
      <c r="D125" s="3"/>
    </row>
    <row r="126" spans="2:4">
      <c r="B126" s="128" t="s">
        <v>185</v>
      </c>
      <c r="C126" s="24" t="s">
        <v>188</v>
      </c>
      <c r="D126" s="3"/>
    </row>
    <row r="127" spans="2:4">
      <c r="B127" s="128" t="s">
        <v>185</v>
      </c>
      <c r="C127" s="24" t="s">
        <v>189</v>
      </c>
      <c r="D127" s="3"/>
    </row>
    <row r="128" spans="2:4">
      <c r="B128" s="128" t="s">
        <v>185</v>
      </c>
      <c r="C128" s="24" t="s">
        <v>190</v>
      </c>
      <c r="D128" s="3"/>
    </row>
    <row r="129" spans="2:4">
      <c r="B129" s="128" t="s">
        <v>185</v>
      </c>
      <c r="C129" s="24" t="s">
        <v>191</v>
      </c>
      <c r="D129" s="3"/>
    </row>
    <row r="130" spans="2:4">
      <c r="B130" s="128" t="s">
        <v>185</v>
      </c>
      <c r="C130" s="24" t="s">
        <v>192</v>
      </c>
      <c r="D130" s="3"/>
    </row>
    <row r="131" spans="2:4">
      <c r="B131" s="128" t="s">
        <v>185</v>
      </c>
      <c r="C131" s="27" t="s">
        <v>193</v>
      </c>
      <c r="D131" s="3"/>
    </row>
    <row r="132" spans="2:4">
      <c r="B132" s="128" t="s">
        <v>185</v>
      </c>
      <c r="C132" s="27" t="s">
        <v>194</v>
      </c>
      <c r="D132" s="3"/>
    </row>
    <row r="133" spans="2:4">
      <c r="B133" s="128" t="s">
        <v>185</v>
      </c>
      <c r="C133" s="1" t="s">
        <v>195</v>
      </c>
      <c r="D133" s="3"/>
    </row>
    <row r="134" spans="2:4">
      <c r="B134" s="128" t="s">
        <v>185</v>
      </c>
      <c r="C134" s="24" t="s">
        <v>196</v>
      </c>
      <c r="D134" s="3"/>
    </row>
    <row r="135" spans="2:4">
      <c r="B135" s="128" t="s">
        <v>185</v>
      </c>
      <c r="C135" s="24" t="s">
        <v>197</v>
      </c>
      <c r="D135" s="3"/>
    </row>
    <row r="136" spans="2:4">
      <c r="B136" s="128" t="s">
        <v>185</v>
      </c>
      <c r="C136" s="27" t="s">
        <v>198</v>
      </c>
      <c r="D136" s="3"/>
    </row>
    <row r="137" spans="2:4">
      <c r="B137" s="128" t="s">
        <v>185</v>
      </c>
      <c r="C137" s="27" t="s">
        <v>199</v>
      </c>
      <c r="D137" s="3"/>
    </row>
    <row r="138" spans="2:4">
      <c r="B138" s="128" t="s">
        <v>185</v>
      </c>
      <c r="C138" s="27" t="s">
        <v>200</v>
      </c>
      <c r="D138" s="3"/>
    </row>
    <row r="139" spans="2:4">
      <c r="B139" s="128" t="s">
        <v>185</v>
      </c>
      <c r="C139" s="27" t="s">
        <v>201</v>
      </c>
      <c r="D139" s="3"/>
    </row>
    <row r="140" spans="2:4">
      <c r="B140" s="129" t="s">
        <v>185</v>
      </c>
      <c r="C140" s="5" t="s">
        <v>202</v>
      </c>
      <c r="D140" s="6"/>
    </row>
  </sheetData>
  <mergeCells count="9">
    <mergeCell ref="B19:B23"/>
    <mergeCell ref="B25:B27"/>
    <mergeCell ref="A1:D1"/>
    <mergeCell ref="B17:D17"/>
    <mergeCell ref="B3:D3"/>
    <mergeCell ref="B12:D12"/>
    <mergeCell ref="C14:D14"/>
    <mergeCell ref="C15:D15"/>
    <mergeCell ref="C13:D13"/>
  </mergeCells>
  <phoneticPr fontId="30"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G24" sqref="G24:G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71" customFormat="1" ht="76.5">
      <c r="B24" s="72" t="s">
        <v>203</v>
      </c>
      <c r="C24" s="164" t="s">
        <v>204</v>
      </c>
      <c r="D24" s="165" t="s">
        <v>205</v>
      </c>
      <c r="E24" s="72" t="s">
        <v>126</v>
      </c>
      <c r="F24" s="72" t="s">
        <v>127</v>
      </c>
      <c r="G24" s="72" t="s">
        <v>129</v>
      </c>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4"/>
      <c r="C25" s="35" t="s">
        <v>206</v>
      </c>
      <c r="D25" s="167">
        <f>SUM(E25:AA25)</f>
        <v>37</v>
      </c>
      <c r="E25" s="74">
        <v>21</v>
      </c>
      <c r="F25" s="74">
        <v>16</v>
      </c>
      <c r="G25" s="74">
        <v>0</v>
      </c>
    </row>
    <row r="26" spans="2:52" ht="15">
      <c r="B26" s="75"/>
      <c r="C26" s="36" t="s">
        <v>207</v>
      </c>
      <c r="D26" s="167">
        <f>SUM(E26:AA26)</f>
        <v>8</v>
      </c>
      <c r="E26" s="75">
        <v>2</v>
      </c>
      <c r="F26" s="75">
        <v>6</v>
      </c>
      <c r="G26" s="75">
        <v>0</v>
      </c>
    </row>
    <row r="27" spans="2:52" ht="15">
      <c r="B27" s="73">
        <f>B25+B26</f>
        <v>0</v>
      </c>
      <c r="C27" s="40" t="s">
        <v>208</v>
      </c>
      <c r="D27" s="73">
        <f t="shared" ref="D27" si="0">D25+D26</f>
        <v>45</v>
      </c>
      <c r="E27" s="73">
        <f>E25+E26</f>
        <v>23</v>
      </c>
      <c r="F27" s="73">
        <f>F25+F26</f>
        <v>22</v>
      </c>
      <c r="G27" s="73">
        <f>G25+G26</f>
        <v>0</v>
      </c>
    </row>
    <row r="28" spans="2:52">
      <c r="D28" s="15"/>
      <c r="H28" s="33"/>
    </row>
    <row r="29" spans="2:52">
      <c r="D29" s="15"/>
      <c r="H29" s="33"/>
    </row>
    <row r="30" spans="2:52">
      <c r="D30" s="15"/>
      <c r="H30" s="33"/>
    </row>
    <row r="31" spans="2:52" s="71" customFormat="1" ht="60" customHeight="1">
      <c r="B31" s="72" t="s">
        <v>209</v>
      </c>
      <c r="C31" s="164" t="s">
        <v>210</v>
      </c>
      <c r="D31" s="165" t="s">
        <v>205</v>
      </c>
      <c r="E31" s="72" t="s">
        <v>1</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4"/>
      <c r="C32" s="36" t="s">
        <v>211</v>
      </c>
      <c r="D32" s="167">
        <f>SUM(E32:AA32)</f>
        <v>0</v>
      </c>
      <c r="E32" s="74">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5"/>
      <c r="C33" s="36" t="s">
        <v>212</v>
      </c>
      <c r="D33" s="167">
        <f>SUM(E33:AA33)</f>
        <v>0</v>
      </c>
      <c r="E33" s="75">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5"/>
      <c r="C34" s="36" t="s">
        <v>213</v>
      </c>
      <c r="D34" s="167">
        <f>SUM(E34:AA34)</f>
        <v>25</v>
      </c>
      <c r="E34" s="75">
        <v>25</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5"/>
      <c r="C35" s="36" t="s">
        <v>214</v>
      </c>
      <c r="D35" s="167">
        <f>SUM(E35:AA35)</f>
        <v>18</v>
      </c>
      <c r="E35" s="75">
        <v>18</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5"/>
      <c r="C36" s="36" t="s">
        <v>215</v>
      </c>
      <c r="D36" s="167">
        <f>SUM(E36:AA36)</f>
        <v>17</v>
      </c>
      <c r="E36" s="75">
        <v>17</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6">
        <f>SUM(B32:B36)</f>
        <v>0</v>
      </c>
      <c r="C37" s="40" t="s">
        <v>208</v>
      </c>
      <c r="D37" s="76">
        <f>SUM(D32:D36)</f>
        <v>60</v>
      </c>
      <c r="E37" s="76">
        <f>SUM(E32:E36)</f>
        <v>60</v>
      </c>
    </row>
    <row r="38" spans="2:52">
      <c r="D38" s="15"/>
      <c r="H38" s="33"/>
    </row>
    <row r="39" spans="2:52">
      <c r="D39" s="15"/>
      <c r="H39" s="33"/>
    </row>
    <row r="40" spans="2:52" s="71" customFormat="1" ht="63.75">
      <c r="B40" s="72" t="s">
        <v>209</v>
      </c>
      <c r="C40" s="164" t="s">
        <v>216</v>
      </c>
      <c r="D40" s="165" t="s">
        <v>205</v>
      </c>
      <c r="E40" s="72" t="s">
        <v>1</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5"/>
      <c r="C41" s="36" t="s">
        <v>217</v>
      </c>
      <c r="D41" s="167">
        <f>SUM(E41:AA41)</f>
        <v>41</v>
      </c>
      <c r="E41" s="75">
        <v>41</v>
      </c>
    </row>
    <row r="42" spans="2:52" ht="15">
      <c r="B42" s="75"/>
      <c r="C42" s="36" t="s">
        <v>218</v>
      </c>
      <c r="D42" s="167">
        <f>SUM(E42:AA42)</f>
        <v>18</v>
      </c>
      <c r="E42" s="75">
        <v>18</v>
      </c>
    </row>
    <row r="43" spans="2:52" s="15" customFormat="1" ht="15">
      <c r="B43" s="75"/>
      <c r="C43" s="36" t="s">
        <v>219</v>
      </c>
      <c r="D43" s="167">
        <f>SUM(E43:AA43)</f>
        <v>1</v>
      </c>
      <c r="E43" s="75">
        <v>1</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6">
        <f>SUM(B41:B43)</f>
        <v>0</v>
      </c>
      <c r="C44" s="40" t="s">
        <v>208</v>
      </c>
      <c r="D44" s="76">
        <f>SUM(D41:D43)</f>
        <v>60</v>
      </c>
      <c r="E44" s="76">
        <f>SUM(E41:E43)</f>
        <v>60</v>
      </c>
    </row>
    <row r="45" spans="2:52">
      <c r="D45" s="15"/>
    </row>
    <row r="46" spans="2:52">
      <c r="D46" s="15"/>
    </row>
    <row r="47" spans="2:52" ht="25.5">
      <c r="C47" s="166" t="s">
        <v>176</v>
      </c>
      <c r="D47" s="166" t="s">
        <v>48</v>
      </c>
      <c r="E47" s="26" t="s">
        <v>220</v>
      </c>
    </row>
    <row r="48" spans="2:52">
      <c r="C48" s="77" t="s">
        <v>221</v>
      </c>
      <c r="D48" s="168" t="s">
        <v>222</v>
      </c>
      <c r="E48" s="77" t="s">
        <v>223</v>
      </c>
    </row>
  </sheetData>
  <phoneticPr fontId="30"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28"/>
  <sheetViews>
    <sheetView showGridLines="0" tabSelected="1" zoomScaleNormal="100" workbookViewId="0">
      <selection activeCell="A27" sqref="A27"/>
    </sheetView>
  </sheetViews>
  <sheetFormatPr defaultColWidth="8.85546875" defaultRowHeight="15" outlineLevelCol="1"/>
  <cols>
    <col min="1" max="2" width="31.5703125" style="130" customWidth="1"/>
    <col min="3" max="3" width="43.28515625" style="130" customWidth="1"/>
    <col min="4" max="4" width="13.42578125" style="130" customWidth="1"/>
    <col min="5" max="5" width="18.140625" style="130" customWidth="1"/>
    <col min="6" max="14" width="15.28515625" style="130" customWidth="1" outlineLevel="1"/>
    <col min="15" max="15" width="16.7109375" style="130" customWidth="1" outlineLevel="1"/>
    <col min="16" max="16384" width="8.85546875" style="130"/>
  </cols>
  <sheetData>
    <row r="1" spans="1:15" ht="21" customHeight="1">
      <c r="A1" s="317" t="s">
        <v>224</v>
      </c>
      <c r="B1" s="318"/>
      <c r="C1" s="318"/>
      <c r="D1" s="318"/>
      <c r="E1" s="319"/>
      <c r="F1" s="320" t="s">
        <v>225</v>
      </c>
      <c r="G1" s="321"/>
      <c r="H1" s="321"/>
      <c r="I1" s="321"/>
      <c r="J1" s="321"/>
      <c r="K1" s="321"/>
      <c r="L1" s="321"/>
      <c r="M1" s="321"/>
      <c r="N1" s="321"/>
      <c r="O1" s="321"/>
    </row>
    <row r="2" spans="1:15" ht="37.5">
      <c r="A2" s="139" t="s">
        <v>226</v>
      </c>
      <c r="B2" s="139" t="s">
        <v>227</v>
      </c>
      <c r="C2" s="139" t="s">
        <v>228</v>
      </c>
      <c r="D2" s="139" t="s">
        <v>229</v>
      </c>
      <c r="E2" s="139" t="s">
        <v>230</v>
      </c>
      <c r="F2" s="140" t="s">
        <v>441</v>
      </c>
      <c r="G2" s="140" t="s">
        <v>442</v>
      </c>
      <c r="H2" s="140" t="s">
        <v>476</v>
      </c>
      <c r="I2" s="140" t="s">
        <v>477</v>
      </c>
      <c r="J2" s="140" t="s">
        <v>482</v>
      </c>
      <c r="K2" s="140" t="s">
        <v>506</v>
      </c>
      <c r="L2" s="140" t="s">
        <v>523</v>
      </c>
      <c r="M2" s="140" t="s">
        <v>524</v>
      </c>
      <c r="N2" s="140" t="s">
        <v>231</v>
      </c>
      <c r="O2" s="140" t="s">
        <v>232</v>
      </c>
    </row>
    <row r="3" spans="1:15">
      <c r="A3" s="192" t="s">
        <v>435</v>
      </c>
      <c r="B3" s="130" t="s">
        <v>151</v>
      </c>
      <c r="C3" s="192" t="s">
        <v>440</v>
      </c>
      <c r="D3" s="192" t="s">
        <v>440</v>
      </c>
      <c r="E3" s="195">
        <f t="shared" ref="E3:E15" si="0">SUM(F3:O3)</f>
        <v>60</v>
      </c>
      <c r="F3" s="130">
        <v>30</v>
      </c>
      <c r="G3" s="130">
        <v>30</v>
      </c>
    </row>
    <row r="4" spans="1:15">
      <c r="A4" s="193" t="s">
        <v>469</v>
      </c>
      <c r="B4" s="130" t="s">
        <v>151</v>
      </c>
      <c r="C4" s="194" t="s">
        <v>475</v>
      </c>
      <c r="D4" s="194" t="s">
        <v>475</v>
      </c>
      <c r="E4" s="195">
        <f t="shared" si="0"/>
        <v>30</v>
      </c>
      <c r="F4" s="193"/>
      <c r="G4" s="193"/>
      <c r="H4" s="193">
        <v>15</v>
      </c>
      <c r="I4" s="193">
        <v>15</v>
      </c>
      <c r="J4" s="193"/>
      <c r="K4" s="193"/>
      <c r="L4" s="193"/>
      <c r="M4" s="193"/>
      <c r="N4" s="193"/>
      <c r="O4" s="193"/>
    </row>
    <row r="5" spans="1:15">
      <c r="A5" s="193" t="s">
        <v>470</v>
      </c>
      <c r="B5" s="130" t="s">
        <v>151</v>
      </c>
      <c r="C5" s="194" t="s">
        <v>475</v>
      </c>
      <c r="D5" s="194" t="s">
        <v>475</v>
      </c>
      <c r="E5" s="195">
        <f t="shared" si="0"/>
        <v>30</v>
      </c>
      <c r="F5" s="193"/>
      <c r="G5" s="193"/>
      <c r="H5" s="193">
        <v>15</v>
      </c>
      <c r="I5" s="193">
        <v>15</v>
      </c>
      <c r="J5" s="193"/>
      <c r="K5" s="193"/>
      <c r="L5" s="193"/>
      <c r="M5" s="193"/>
      <c r="N5" s="193"/>
      <c r="O5" s="193"/>
    </row>
    <row r="6" spans="1:15">
      <c r="A6" s="193" t="s">
        <v>471</v>
      </c>
      <c r="B6" s="130" t="s">
        <v>151</v>
      </c>
      <c r="C6" s="194" t="s">
        <v>475</v>
      </c>
      <c r="D6" s="194" t="s">
        <v>475</v>
      </c>
      <c r="E6" s="195">
        <f t="shared" si="0"/>
        <v>30</v>
      </c>
      <c r="F6" s="193"/>
      <c r="G6" s="193"/>
      <c r="H6" s="193">
        <v>15</v>
      </c>
      <c r="I6" s="193">
        <v>15</v>
      </c>
      <c r="J6" s="193"/>
      <c r="K6" s="193"/>
      <c r="L6" s="193"/>
      <c r="M6" s="193"/>
      <c r="N6" s="193"/>
      <c r="O6" s="193"/>
    </row>
    <row r="7" spans="1:15">
      <c r="A7" s="193" t="s">
        <v>472</v>
      </c>
      <c r="B7" s="130" t="s">
        <v>151</v>
      </c>
      <c r="C7" s="194" t="s">
        <v>475</v>
      </c>
      <c r="D7" s="194" t="s">
        <v>475</v>
      </c>
      <c r="E7" s="195">
        <f t="shared" si="0"/>
        <v>30</v>
      </c>
      <c r="F7" s="193"/>
      <c r="G7" s="193"/>
      <c r="H7" s="193">
        <v>15</v>
      </c>
      <c r="I7" s="193">
        <v>15</v>
      </c>
      <c r="J7" s="193"/>
      <c r="K7" s="193"/>
      <c r="L7" s="193"/>
      <c r="M7" s="193"/>
      <c r="N7" s="193"/>
      <c r="O7" s="193"/>
    </row>
    <row r="8" spans="1:15">
      <c r="A8" s="193" t="s">
        <v>473</v>
      </c>
      <c r="B8" s="130" t="s">
        <v>151</v>
      </c>
      <c r="C8" s="194" t="s">
        <v>475</v>
      </c>
      <c r="D8" s="194" t="s">
        <v>475</v>
      </c>
      <c r="E8" s="195">
        <f t="shared" si="0"/>
        <v>30</v>
      </c>
      <c r="F8" s="193"/>
      <c r="G8" s="193"/>
      <c r="H8" s="193">
        <v>15</v>
      </c>
      <c r="I8" s="193">
        <v>15</v>
      </c>
      <c r="J8" s="193"/>
      <c r="K8" s="193"/>
      <c r="L8" s="193"/>
      <c r="M8" s="193"/>
      <c r="N8" s="193"/>
      <c r="O8" s="193"/>
    </row>
    <row r="9" spans="1:15">
      <c r="A9" s="196" t="s">
        <v>478</v>
      </c>
      <c r="B9" s="130" t="s">
        <v>151</v>
      </c>
      <c r="C9" s="194" t="s">
        <v>475</v>
      </c>
      <c r="D9" s="194" t="s">
        <v>475</v>
      </c>
      <c r="E9" s="195">
        <f t="shared" si="0"/>
        <v>30</v>
      </c>
      <c r="F9" s="193"/>
      <c r="G9" s="193"/>
      <c r="H9" s="193">
        <v>15</v>
      </c>
      <c r="I9" s="193">
        <v>15</v>
      </c>
      <c r="J9" s="193"/>
      <c r="K9" s="193"/>
      <c r="L9" s="193"/>
      <c r="M9" s="193"/>
      <c r="N9" s="193"/>
      <c r="O9" s="193"/>
    </row>
    <row r="10" spans="1:15">
      <c r="A10" s="193" t="s">
        <v>483</v>
      </c>
      <c r="B10" s="130" t="s">
        <v>151</v>
      </c>
      <c r="C10" s="197">
        <v>44959</v>
      </c>
      <c r="D10" s="197">
        <v>44959</v>
      </c>
      <c r="E10" s="195">
        <f t="shared" si="0"/>
        <v>15</v>
      </c>
      <c r="F10" s="193"/>
      <c r="G10" s="193"/>
      <c r="H10" s="193"/>
      <c r="I10" s="193"/>
      <c r="J10" s="193">
        <v>15</v>
      </c>
      <c r="K10" s="193"/>
      <c r="L10" s="193"/>
      <c r="M10" s="193"/>
      <c r="N10" s="193"/>
      <c r="O10" s="193"/>
    </row>
    <row r="11" spans="1:15">
      <c r="A11" s="193" t="s">
        <v>484</v>
      </c>
      <c r="B11" s="130" t="s">
        <v>151</v>
      </c>
      <c r="C11" s="197">
        <v>44959</v>
      </c>
      <c r="D11" s="197">
        <v>44959</v>
      </c>
      <c r="E11" s="195">
        <f t="shared" si="0"/>
        <v>15</v>
      </c>
      <c r="F11" s="193"/>
      <c r="G11" s="193"/>
      <c r="H11" s="193"/>
      <c r="I11" s="193"/>
      <c r="J11" s="193">
        <v>15</v>
      </c>
      <c r="K11" s="193"/>
      <c r="L11" s="193"/>
      <c r="M11" s="193"/>
      <c r="N11" s="193"/>
      <c r="O11" s="193"/>
    </row>
    <row r="12" spans="1:15">
      <c r="A12" s="193" t="s">
        <v>485</v>
      </c>
      <c r="B12" s="130" t="s">
        <v>151</v>
      </c>
      <c r="C12" s="197">
        <v>44959</v>
      </c>
      <c r="D12" s="197">
        <v>44959</v>
      </c>
      <c r="E12" s="195">
        <f t="shared" si="0"/>
        <v>15</v>
      </c>
      <c r="F12" s="193"/>
      <c r="G12" s="193"/>
      <c r="H12" s="193"/>
      <c r="I12" s="193"/>
      <c r="J12" s="193">
        <v>15</v>
      </c>
      <c r="K12" s="193"/>
      <c r="L12" s="193"/>
      <c r="M12" s="193"/>
      <c r="N12" s="193"/>
      <c r="O12" s="193"/>
    </row>
    <row r="13" spans="1:15">
      <c r="A13" s="193" t="s">
        <v>486</v>
      </c>
      <c r="B13" s="130" t="s">
        <v>151</v>
      </c>
      <c r="C13" s="197">
        <v>44959</v>
      </c>
      <c r="D13" s="197">
        <v>44959</v>
      </c>
      <c r="E13" s="195">
        <f t="shared" si="0"/>
        <v>15</v>
      </c>
      <c r="F13" s="193"/>
      <c r="G13" s="193"/>
      <c r="H13" s="193"/>
      <c r="I13" s="193"/>
      <c r="J13" s="193">
        <v>15</v>
      </c>
      <c r="K13" s="193"/>
      <c r="L13" s="193"/>
      <c r="M13" s="193"/>
      <c r="N13" s="193"/>
      <c r="O13" s="193"/>
    </row>
    <row r="14" spans="1:15">
      <c r="A14" s="193" t="s">
        <v>487</v>
      </c>
      <c r="B14" s="130" t="s">
        <v>151</v>
      </c>
      <c r="C14" s="197">
        <v>44959</v>
      </c>
      <c r="D14" s="197">
        <v>44959</v>
      </c>
      <c r="E14" s="195">
        <f t="shared" si="0"/>
        <v>15</v>
      </c>
      <c r="F14" s="193"/>
      <c r="G14" s="193"/>
      <c r="H14" s="193"/>
      <c r="I14" s="193"/>
      <c r="J14" s="193">
        <v>15</v>
      </c>
      <c r="K14" s="193"/>
      <c r="L14" s="193"/>
      <c r="M14" s="193"/>
      <c r="N14" s="193"/>
      <c r="O14" s="193"/>
    </row>
    <row r="15" spans="1:15">
      <c r="A15" s="200" t="s">
        <v>495</v>
      </c>
      <c r="B15" s="130" t="s">
        <v>151</v>
      </c>
      <c r="C15" s="202">
        <v>45002</v>
      </c>
      <c r="D15" s="202">
        <v>45002</v>
      </c>
      <c r="E15" s="195">
        <f t="shared" si="0"/>
        <v>30</v>
      </c>
      <c r="F15" s="193">
        <v>15</v>
      </c>
      <c r="G15" s="193">
        <v>15</v>
      </c>
      <c r="H15" s="193"/>
      <c r="I15" s="193"/>
      <c r="J15" s="193"/>
      <c r="K15" s="193"/>
      <c r="L15" s="193"/>
      <c r="M15" s="193"/>
      <c r="N15" s="193"/>
      <c r="O15" s="193"/>
    </row>
    <row r="16" spans="1:15">
      <c r="A16" s="200" t="s">
        <v>360</v>
      </c>
      <c r="B16" s="130" t="s">
        <v>151</v>
      </c>
      <c r="C16" s="202">
        <v>45002</v>
      </c>
      <c r="D16" s="202">
        <v>45002</v>
      </c>
      <c r="E16" s="199">
        <f t="shared" ref="E16:E21" si="1">SUM(F16:O16)</f>
        <v>30</v>
      </c>
      <c r="F16" s="198">
        <v>15</v>
      </c>
      <c r="G16" s="198">
        <v>15</v>
      </c>
      <c r="H16" s="198"/>
      <c r="I16" s="198"/>
      <c r="J16" s="198"/>
      <c r="K16" s="198"/>
      <c r="L16" s="198"/>
      <c r="M16" s="198"/>
      <c r="N16" s="198"/>
      <c r="O16" s="198"/>
    </row>
    <row r="17" spans="1:15">
      <c r="A17" s="200" t="s">
        <v>363</v>
      </c>
      <c r="B17" s="130" t="s">
        <v>151</v>
      </c>
      <c r="C17" s="202">
        <v>45002</v>
      </c>
      <c r="D17" s="202">
        <v>45002</v>
      </c>
      <c r="E17" s="199">
        <f t="shared" si="1"/>
        <v>30</v>
      </c>
      <c r="F17" s="198">
        <v>15</v>
      </c>
      <c r="G17" s="198">
        <v>15</v>
      </c>
      <c r="H17" s="198"/>
      <c r="I17" s="198"/>
      <c r="J17" s="198"/>
      <c r="K17" s="198"/>
      <c r="L17" s="198"/>
      <c r="M17" s="198"/>
      <c r="N17" s="198"/>
      <c r="O17" s="198"/>
    </row>
    <row r="18" spans="1:15">
      <c r="A18" s="200" t="s">
        <v>362</v>
      </c>
      <c r="B18" s="130" t="s">
        <v>151</v>
      </c>
      <c r="C18" s="202">
        <v>45002</v>
      </c>
      <c r="D18" s="202">
        <v>45002</v>
      </c>
      <c r="E18" s="199">
        <f t="shared" si="1"/>
        <v>30</v>
      </c>
      <c r="F18" s="198">
        <v>15</v>
      </c>
      <c r="G18" s="198">
        <v>15</v>
      </c>
      <c r="H18" s="198"/>
      <c r="I18" s="198"/>
      <c r="J18" s="198"/>
      <c r="K18" s="198"/>
      <c r="L18" s="198"/>
      <c r="M18" s="198"/>
      <c r="N18" s="198"/>
      <c r="O18" s="198"/>
    </row>
    <row r="19" spans="1:15">
      <c r="A19" s="200" t="s">
        <v>361</v>
      </c>
      <c r="B19" s="130" t="s">
        <v>151</v>
      </c>
      <c r="C19" s="202">
        <v>45002</v>
      </c>
      <c r="D19" s="202">
        <v>45002</v>
      </c>
      <c r="E19" s="199">
        <f t="shared" si="1"/>
        <v>30</v>
      </c>
      <c r="F19" s="198">
        <v>15</v>
      </c>
      <c r="G19" s="198">
        <v>15</v>
      </c>
      <c r="H19" s="198"/>
      <c r="I19" s="198"/>
      <c r="J19" s="198"/>
      <c r="K19" s="198"/>
      <c r="L19" s="198"/>
      <c r="M19" s="198"/>
      <c r="N19" s="198"/>
      <c r="O19" s="198"/>
    </row>
    <row r="20" spans="1:15">
      <c r="A20" s="201" t="s">
        <v>359</v>
      </c>
      <c r="B20" s="130" t="s">
        <v>151</v>
      </c>
      <c r="C20" s="202">
        <v>45002</v>
      </c>
      <c r="D20" s="202">
        <v>45002</v>
      </c>
      <c r="E20" s="199">
        <f t="shared" si="1"/>
        <v>30</v>
      </c>
      <c r="F20" s="198">
        <v>15</v>
      </c>
      <c r="G20" s="198">
        <v>15</v>
      </c>
      <c r="H20" s="198"/>
      <c r="I20" s="198"/>
      <c r="J20" s="198"/>
      <c r="K20" s="198"/>
      <c r="L20" s="198"/>
      <c r="M20" s="198"/>
      <c r="N20" s="198"/>
      <c r="O20" s="198"/>
    </row>
    <row r="21" spans="1:15">
      <c r="A21" s="201" t="s">
        <v>466</v>
      </c>
      <c r="B21" s="130" t="s">
        <v>151</v>
      </c>
      <c r="C21" s="202">
        <v>45002</v>
      </c>
      <c r="D21" s="202">
        <v>45002</v>
      </c>
      <c r="E21" s="199">
        <f t="shared" si="1"/>
        <v>30</v>
      </c>
      <c r="F21" s="198">
        <v>15</v>
      </c>
      <c r="G21" s="198">
        <v>15</v>
      </c>
      <c r="H21" s="198"/>
      <c r="I21" s="198"/>
      <c r="J21" s="198"/>
      <c r="K21" s="198"/>
      <c r="L21" s="198"/>
      <c r="M21" s="198"/>
      <c r="N21" s="198"/>
      <c r="O21" s="198"/>
    </row>
    <row r="22" spans="1:15">
      <c r="A22" s="203" t="s">
        <v>504</v>
      </c>
      <c r="B22" s="130" t="s">
        <v>151</v>
      </c>
      <c r="C22" s="202">
        <v>45007</v>
      </c>
      <c r="D22" s="202">
        <v>45007</v>
      </c>
      <c r="E22" s="195">
        <f>SUM(F22:O22)</f>
        <v>10</v>
      </c>
      <c r="F22" s="193"/>
      <c r="G22" s="193"/>
      <c r="H22" s="193"/>
      <c r="I22" s="193"/>
      <c r="J22" s="193"/>
      <c r="K22" s="193">
        <v>10</v>
      </c>
      <c r="L22" s="193"/>
      <c r="M22" s="193"/>
      <c r="N22" s="193"/>
      <c r="O22" s="193"/>
    </row>
    <row r="23" spans="1:15">
      <c r="A23" s="203" t="s">
        <v>505</v>
      </c>
      <c r="B23" s="130" t="s">
        <v>151</v>
      </c>
      <c r="C23" s="202">
        <v>45007</v>
      </c>
      <c r="D23" s="202">
        <v>45007</v>
      </c>
      <c r="E23" s="195">
        <f>SUM(F23:O23)</f>
        <v>10</v>
      </c>
      <c r="F23" s="193"/>
      <c r="G23" s="193"/>
      <c r="H23" s="193"/>
      <c r="I23" s="193"/>
      <c r="J23" s="193"/>
      <c r="K23" s="193">
        <v>10</v>
      </c>
      <c r="L23" s="193"/>
      <c r="M23" s="193"/>
      <c r="N23" s="193"/>
      <c r="O23" s="193"/>
    </row>
    <row r="24" spans="1:15">
      <c r="A24" s="211" t="s">
        <v>517</v>
      </c>
      <c r="B24" s="130" t="s">
        <v>151</v>
      </c>
      <c r="C24" s="202">
        <v>45104</v>
      </c>
      <c r="D24" s="202">
        <v>45104</v>
      </c>
      <c r="E24" s="195">
        <f>SUM(F24:O24)</f>
        <v>20</v>
      </c>
      <c r="F24" s="193"/>
      <c r="G24" s="193"/>
      <c r="H24" s="193"/>
      <c r="I24" s="193">
        <v>10</v>
      </c>
      <c r="J24" s="193"/>
      <c r="K24" s="193">
        <v>10</v>
      </c>
      <c r="L24" s="193"/>
      <c r="M24" s="193"/>
      <c r="N24" s="193"/>
      <c r="O24" s="193"/>
    </row>
    <row r="25" spans="1:15">
      <c r="A25" s="211" t="s">
        <v>518</v>
      </c>
      <c r="B25" s="130" t="s">
        <v>151</v>
      </c>
      <c r="C25" s="202">
        <v>45104</v>
      </c>
      <c r="D25" s="202">
        <v>45104</v>
      </c>
      <c r="E25" s="195">
        <f>SUM(F25:O25)</f>
        <v>20</v>
      </c>
      <c r="F25" s="193"/>
      <c r="G25" s="193"/>
      <c r="H25" s="193"/>
      <c r="I25" s="193">
        <v>10</v>
      </c>
      <c r="J25" s="193"/>
      <c r="K25" s="193">
        <v>10</v>
      </c>
      <c r="L25" s="193"/>
      <c r="M25" s="193"/>
      <c r="N25" s="193"/>
      <c r="O25" s="193"/>
    </row>
    <row r="26" spans="1:15">
      <c r="A26" s="211" t="s">
        <v>519</v>
      </c>
      <c r="B26" s="130" t="s">
        <v>151</v>
      </c>
      <c r="C26" s="202">
        <v>45104</v>
      </c>
      <c r="D26" s="202">
        <v>45104</v>
      </c>
      <c r="E26" s="199">
        <f t="shared" ref="E26:E28" si="2">SUM(F26:O26)</f>
        <v>20</v>
      </c>
      <c r="F26" s="198"/>
      <c r="G26" s="198"/>
      <c r="H26" s="198"/>
      <c r="I26" s="198">
        <v>10</v>
      </c>
      <c r="J26" s="198"/>
      <c r="K26" s="198">
        <v>10</v>
      </c>
      <c r="L26" s="198"/>
      <c r="M26" s="198"/>
      <c r="N26" s="198"/>
      <c r="O26" s="198"/>
    </row>
    <row r="27" spans="1:15">
      <c r="A27" s="219" t="s">
        <v>525</v>
      </c>
      <c r="B27" s="220" t="s">
        <v>151</v>
      </c>
      <c r="C27" s="221">
        <v>45132</v>
      </c>
      <c r="D27" s="221">
        <v>45132</v>
      </c>
      <c r="E27" s="199">
        <f t="shared" si="2"/>
        <v>20</v>
      </c>
      <c r="J27" s="130">
        <v>10</v>
      </c>
      <c r="L27" s="130">
        <v>10</v>
      </c>
    </row>
    <row r="28" spans="1:15">
      <c r="A28" s="219" t="s">
        <v>526</v>
      </c>
      <c r="B28" s="220" t="s">
        <v>151</v>
      </c>
      <c r="C28" s="222">
        <v>45138</v>
      </c>
      <c r="D28" s="222">
        <v>45138</v>
      </c>
      <c r="E28" s="199">
        <f t="shared" si="2"/>
        <v>20</v>
      </c>
      <c r="H28" s="130">
        <v>10</v>
      </c>
      <c r="M28" s="130">
        <v>10</v>
      </c>
    </row>
  </sheetData>
  <mergeCells count="2">
    <mergeCell ref="A1:E1"/>
    <mergeCell ref="F1:O1"/>
  </mergeCells>
  <conditionalFormatting sqref="A15">
    <cfRule type="expression" dxfId="1541" priority="8" stopIfTrue="1">
      <formula>AND($M15="Approved",OR($L15=$R$1,$L15=$T$1))</formula>
    </cfRule>
  </conditionalFormatting>
  <conditionalFormatting sqref="A16:A19">
    <cfRule type="expression" dxfId="1540" priority="9" stopIfTrue="1">
      <formula>AND($M17="Approved",OR($L17=$R$1,$L17=$T$1))</formula>
    </cfRule>
  </conditionalFormatting>
  <conditionalFormatting sqref="A15:A19">
    <cfRule type="expression" dxfId="1539" priority="7" stopIfTrue="1">
      <formula>AND($M15="Approved",OR($L15=$R$1,$L15=$T$1))</formula>
    </cfRule>
  </conditionalFormatting>
  <conditionalFormatting sqref="A15:A19">
    <cfRule type="expression" dxfId="1538" priority="6" stopIfTrue="1">
      <formula>AND($M15="Approved",OR($L15=$R$1,$L15=$T$1))</formula>
    </cfRule>
  </conditionalFormatting>
  <conditionalFormatting sqref="A20">
    <cfRule type="expression" dxfId="1537" priority="5" stopIfTrue="1">
      <formula>AND($M21="Approved",OR($L21=$R$1,$L21=$T$1))</formula>
    </cfRule>
  </conditionalFormatting>
  <conditionalFormatting sqref="A21">
    <cfRule type="expression" dxfId="1536" priority="4" stopIfTrue="1">
      <formula>AND($M21="Approved",OR($L21=$R$1,$L21=$T$1))</formula>
    </cfRule>
  </conditionalFormatting>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B3:B26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66" activePane="bottomRight" state="frozenSplit"/>
      <selection pane="topRight" activeCell="K17" sqref="K17"/>
      <selection pane="bottomLeft" activeCell="K17" sqref="K17"/>
      <selection pane="bottomRight" activeCell="C74" sqref="C74"/>
    </sheetView>
  </sheetViews>
  <sheetFormatPr defaultRowHeight="12.75" outlineLevelRow="1" outlineLevelCol="1"/>
  <cols>
    <col min="1" max="1" width="5.28515625" style="46" customWidth="1"/>
    <col min="2" max="2" width="9.85546875" style="43" customWidth="1"/>
    <col min="3" max="3" width="31.42578125" style="43" customWidth="1"/>
    <col min="4" max="4" width="42.140625" style="44" customWidth="1"/>
    <col min="5" max="5" width="11" style="45" customWidth="1" outlineLevel="1"/>
    <col min="6" max="6" width="14.5703125" style="43" customWidth="1" outlineLevel="1"/>
    <col min="7" max="7" width="33.7109375" style="44" customWidth="1"/>
    <col min="8" max="8" width="11.28515625" style="44" customWidth="1" outlineLevel="1"/>
    <col min="9" max="9" width="11.28515625" style="43" customWidth="1" outlineLevel="1"/>
    <col min="10" max="10" width="18.28515625" style="43" customWidth="1" outlineLevel="1"/>
    <col min="11" max="11" width="12.5703125" style="45" customWidth="1"/>
    <col min="12" max="12" width="13.7109375" style="46" customWidth="1"/>
    <col min="13" max="13" width="13.140625" style="46" customWidth="1"/>
    <col min="14" max="14" width="12" style="34" bestFit="1" customWidth="1"/>
    <col min="15" max="15" width="20.85546875" style="34" bestFit="1" customWidth="1"/>
    <col min="16" max="16" width="13.28515625" style="34" bestFit="1" customWidth="1"/>
    <col min="17" max="22" width="11.42578125" style="57" customWidth="1"/>
    <col min="23" max="23" width="11.85546875" style="57" bestFit="1" customWidth="1"/>
    <col min="24" max="24" width="15.5703125" bestFit="1" customWidth="1"/>
    <col min="25" max="25" width="15" bestFit="1" customWidth="1"/>
    <col min="26" max="26" width="9.7109375" bestFit="1" customWidth="1"/>
  </cols>
  <sheetData>
    <row r="1" spans="1:46" s="22" customFormat="1" ht="51" hidden="1">
      <c r="A1" s="59"/>
      <c r="B1" s="42"/>
      <c r="C1" s="42"/>
      <c r="D1" s="42" t="s">
        <v>233</v>
      </c>
      <c r="E1" s="59"/>
      <c r="F1" s="59"/>
      <c r="G1" s="42"/>
      <c r="H1" s="205" t="s">
        <v>233</v>
      </c>
      <c r="I1" s="42"/>
      <c r="J1" s="42"/>
      <c r="K1" s="42"/>
      <c r="L1" s="26" t="s">
        <v>234</v>
      </c>
      <c r="M1" s="26" t="s">
        <v>235</v>
      </c>
      <c r="N1" s="26" t="s">
        <v>236</v>
      </c>
      <c r="O1" s="26" t="s">
        <v>237</v>
      </c>
      <c r="P1" s="51"/>
      <c r="Q1" s="26" t="s">
        <v>212</v>
      </c>
      <c r="R1" s="26" t="s">
        <v>213</v>
      </c>
      <c r="S1" s="26" t="s">
        <v>214</v>
      </c>
      <c r="T1" s="26" t="s">
        <v>238</v>
      </c>
      <c r="U1" s="26" t="s">
        <v>211</v>
      </c>
      <c r="V1" s="52"/>
      <c r="W1" s="53"/>
      <c r="X1" s="26" t="s">
        <v>239</v>
      </c>
      <c r="Y1" s="26" t="s">
        <v>240</v>
      </c>
      <c r="Z1" s="26" t="s">
        <v>241</v>
      </c>
      <c r="AA1" s="26" t="s">
        <v>242</v>
      </c>
      <c r="AH1" s="17" t="s">
        <v>243</v>
      </c>
      <c r="AI1" s="17" t="s">
        <v>244</v>
      </c>
      <c r="AJ1" s="26" t="s">
        <v>245</v>
      </c>
      <c r="AO1" s="19"/>
      <c r="AP1" s="19"/>
      <c r="AQ1" s="18" t="s">
        <v>246</v>
      </c>
      <c r="AR1" s="18" t="s">
        <v>247</v>
      </c>
      <c r="AS1" s="18" t="s">
        <v>248</v>
      </c>
      <c r="AT1" s="18" t="s">
        <v>112</v>
      </c>
    </row>
    <row r="2" spans="1:46" s="30" customFormat="1" hidden="1">
      <c r="A2" s="59"/>
      <c r="B2" s="42"/>
      <c r="C2" s="28"/>
      <c r="D2" s="42" t="s">
        <v>249</v>
      </c>
      <c r="E2" s="59"/>
      <c r="F2" s="59"/>
      <c r="G2" s="28"/>
      <c r="H2" s="205" t="s">
        <v>249</v>
      </c>
      <c r="I2" s="42"/>
      <c r="J2" s="28"/>
      <c r="K2" s="28"/>
      <c r="L2" s="49">
        <f>COUNTA(D5:D500)+COUNTIF(L5:L500,"=Open")+COUNTIF(L5:L500,"=To be fixed")-COUNTA(L5:L500)</f>
        <v>0</v>
      </c>
      <c r="M2" s="49">
        <f>COUNTIF(M5:M500,"=Rejected")</f>
        <v>0</v>
      </c>
      <c r="N2" s="49">
        <f>COUNTA(D5:D500)-COUNTIF(M5:M500,"=Approved")</f>
        <v>0</v>
      </c>
      <c r="O2" s="49">
        <f>COUNTIFS(L5:L500,"=Postponed",M5:M500,"=Approved")</f>
        <v>19</v>
      </c>
      <c r="P2" s="54"/>
      <c r="Q2" s="49">
        <f>COUNTIF($L5:$L500,"=" &amp; Q1)</f>
        <v>0</v>
      </c>
      <c r="R2" s="49">
        <f>COUNTIF($L5:$L500,"=" &amp; R1)</f>
        <v>25</v>
      </c>
      <c r="S2" s="49">
        <f>COUNTIF($L5:$L500,"=" &amp; S1)</f>
        <v>19</v>
      </c>
      <c r="T2" s="49">
        <f>COUNTIF($L5:$L500,"=" &amp; T1)</f>
        <v>26</v>
      </c>
      <c r="U2" s="49">
        <f>COUNTIF($L5:$L500,"=" &amp; U1)+COUNTIFS($L5:$L500,"",$D5:$D500,"&lt;&gt;")</f>
        <v>0</v>
      </c>
      <c r="V2" s="54"/>
      <c r="W2" s="55"/>
      <c r="X2" s="49">
        <f>IF(OR(NbOfNotTreatedIssues&gt;0,NbOfRejectedIssues&gt;0),1,0)</f>
        <v>0</v>
      </c>
      <c r="Y2" s="49">
        <f>IF(AND(Issue_to_treat=0,NbOfNotApprovedIssues&gt;0),1,0)</f>
        <v>0</v>
      </c>
      <c r="Z2" s="49">
        <f>IF(AND(Issues_to_approve=0,NbOfNotApprovedAndPostponedIssues&gt;0),1,0)</f>
        <v>1</v>
      </c>
      <c r="AA2" s="49">
        <f>IF(AND(Issue_to_treat=0,Issues_to_approve=0,Issues_postponed=0),1,0)</f>
        <v>0</v>
      </c>
      <c r="AB2" s="29"/>
      <c r="AC2" s="29"/>
      <c r="AD2" s="29"/>
      <c r="AE2" s="29"/>
      <c r="AF2" s="29"/>
      <c r="AH2" s="49">
        <f>COUNTIF($M5:$M500,"=" &amp; AH1)</f>
        <v>70</v>
      </c>
      <c r="AI2" s="49">
        <f>COUNTIF($M5:$M500,"=" &amp; AI1)</f>
        <v>0</v>
      </c>
      <c r="AJ2" s="49">
        <f>COUNTIF($M5:$M500,"=" &amp; AJ1)</f>
        <v>0</v>
      </c>
      <c r="AM2" s="29"/>
      <c r="AN2" s="29"/>
      <c r="AO2" s="29"/>
      <c r="AP2" s="31"/>
      <c r="AQ2" s="31"/>
      <c r="AR2" s="29"/>
      <c r="AS2" s="31"/>
      <c r="AT2" s="31"/>
    </row>
    <row r="3" spans="1:46" s="48" customFormat="1" ht="25.5" customHeight="1" outlineLevel="1">
      <c r="A3" s="323" t="str">
        <f>IF(Issue_to_treat=1,NbOfNotTreatedIssues+NbOfRejectedIssues&amp;" issue(s) to treat",IF(Issues_to_approve=1,NbOfNotApprovedIssues&amp;" issue(s) to approve",IF(Issues_postponed=1,NbOfNotApprovedAndPostponedIssues&amp;" issue(s) postponed","Status OK")))</f>
        <v>19 issue(s) postponed</v>
      </c>
      <c r="B3" s="323"/>
      <c r="C3" s="324"/>
      <c r="D3" s="58" t="s">
        <v>250</v>
      </c>
      <c r="E3" s="322" t="s">
        <v>251</v>
      </c>
      <c r="F3" s="322"/>
      <c r="G3" s="322"/>
      <c r="H3" s="206"/>
      <c r="I3" s="47"/>
      <c r="J3" s="47"/>
      <c r="K3" s="47"/>
      <c r="L3" s="47"/>
      <c r="M3" s="47"/>
      <c r="N3" s="53"/>
      <c r="O3" s="53"/>
      <c r="P3" s="53"/>
      <c r="Q3" s="56"/>
      <c r="R3" s="56"/>
      <c r="S3" s="56"/>
      <c r="T3" s="56"/>
      <c r="U3" s="56"/>
      <c r="V3" s="56"/>
      <c r="W3" s="56"/>
      <c r="X3" s="23"/>
      <c r="Y3" s="23"/>
      <c r="Z3" s="23"/>
      <c r="AA3" s="23"/>
      <c r="AB3" s="23"/>
    </row>
    <row r="4" spans="1:46" s="138" customFormat="1" ht="47.25">
      <c r="A4" s="131" t="s">
        <v>252</v>
      </c>
      <c r="B4" s="131" t="s">
        <v>9</v>
      </c>
      <c r="C4" s="131" t="s">
        <v>253</v>
      </c>
      <c r="D4" s="131" t="s">
        <v>254</v>
      </c>
      <c r="E4" s="131" t="s">
        <v>255</v>
      </c>
      <c r="F4" s="131" t="s">
        <v>256</v>
      </c>
      <c r="G4" s="132" t="s">
        <v>257</v>
      </c>
      <c r="H4" s="207" t="s">
        <v>258</v>
      </c>
      <c r="I4" s="133" t="s">
        <v>259</v>
      </c>
      <c r="J4" s="133" t="s">
        <v>260</v>
      </c>
      <c r="K4" s="134" t="s">
        <v>261</v>
      </c>
      <c r="L4" s="133" t="s">
        <v>210</v>
      </c>
      <c r="M4" s="131" t="s">
        <v>262</v>
      </c>
      <c r="N4" s="135"/>
      <c r="O4" s="135"/>
      <c r="P4" s="135"/>
      <c r="Q4" s="136"/>
      <c r="R4" s="136"/>
      <c r="S4" s="136"/>
      <c r="T4" s="136"/>
      <c r="U4" s="136"/>
      <c r="V4" s="136"/>
      <c r="W4" s="136"/>
      <c r="X4" s="137"/>
      <c r="Y4" s="137"/>
      <c r="Z4" s="137"/>
      <c r="AA4" s="137"/>
      <c r="AB4" s="137"/>
    </row>
    <row r="5" spans="1:46" s="23" customFormat="1" ht="25.5">
      <c r="A5" s="61">
        <v>1</v>
      </c>
      <c r="B5" s="19">
        <v>1.1000000000000001</v>
      </c>
      <c r="C5" s="37" t="s">
        <v>358</v>
      </c>
      <c r="D5" s="25" t="s">
        <v>364</v>
      </c>
      <c r="E5" s="60">
        <v>44838.616412037038</v>
      </c>
      <c r="F5" s="49" t="s">
        <v>365</v>
      </c>
      <c r="G5" s="16"/>
      <c r="H5" s="208"/>
      <c r="I5" s="20"/>
      <c r="J5" s="20" t="s">
        <v>392</v>
      </c>
      <c r="K5" s="21">
        <v>44840.565625000003</v>
      </c>
      <c r="L5" s="20" t="s">
        <v>213</v>
      </c>
      <c r="M5" s="69" t="s">
        <v>243</v>
      </c>
      <c r="N5" s="53"/>
      <c r="O5" s="53"/>
      <c r="P5" s="53"/>
      <c r="Q5" s="56"/>
      <c r="R5" s="56"/>
      <c r="S5" s="56"/>
      <c r="T5" s="56"/>
      <c r="U5" s="56"/>
      <c r="V5" s="56"/>
      <c r="W5" s="56"/>
    </row>
    <row r="6" spans="1:46" s="23" customFormat="1" ht="25.5">
      <c r="A6" s="62">
        <v>2</v>
      </c>
      <c r="B6" s="19">
        <v>1.1000000000000001</v>
      </c>
      <c r="C6" s="37" t="s">
        <v>358</v>
      </c>
      <c r="D6" s="25" t="s">
        <v>369</v>
      </c>
      <c r="E6" s="60">
        <v>44838.619884259257</v>
      </c>
      <c r="F6" s="49" t="s">
        <v>365</v>
      </c>
      <c r="G6" s="16"/>
      <c r="H6" s="208"/>
      <c r="I6" s="20"/>
      <c r="J6" s="69" t="s">
        <v>392</v>
      </c>
      <c r="K6" s="21">
        <v>44840.639050925929</v>
      </c>
      <c r="L6" s="20" t="s">
        <v>213</v>
      </c>
      <c r="M6" s="69" t="s">
        <v>243</v>
      </c>
      <c r="N6" s="53"/>
      <c r="O6" s="53"/>
      <c r="P6" s="53"/>
      <c r="Q6" s="56"/>
      <c r="R6" s="56"/>
      <c r="S6" s="56"/>
      <c r="T6" s="56"/>
      <c r="U6" s="56"/>
      <c r="V6" s="56"/>
      <c r="W6" s="56"/>
    </row>
    <row r="7" spans="1:46" s="23" customFormat="1">
      <c r="A7" s="62">
        <v>3</v>
      </c>
      <c r="B7" s="19">
        <v>1.1000000000000001</v>
      </c>
      <c r="C7" s="37" t="s">
        <v>358</v>
      </c>
      <c r="D7" s="25" t="s">
        <v>366</v>
      </c>
      <c r="E7" s="60">
        <v>44838.622141203705</v>
      </c>
      <c r="F7" s="49" t="s">
        <v>365</v>
      </c>
      <c r="G7" s="16"/>
      <c r="H7" s="208"/>
      <c r="I7" s="20"/>
      <c r="J7" s="69" t="s">
        <v>392</v>
      </c>
      <c r="K7" s="21">
        <v>44840.639155092591</v>
      </c>
      <c r="L7" s="20" t="s">
        <v>213</v>
      </c>
      <c r="M7" s="69" t="s">
        <v>243</v>
      </c>
      <c r="N7" s="53"/>
      <c r="O7" s="53"/>
      <c r="P7" s="53"/>
      <c r="Q7" s="56"/>
      <c r="R7" s="56"/>
      <c r="S7" s="56"/>
      <c r="T7" s="56"/>
      <c r="U7" s="56"/>
      <c r="V7" s="56"/>
      <c r="W7" s="56"/>
    </row>
    <row r="8" spans="1:46" s="23" customFormat="1">
      <c r="A8" s="62">
        <v>4</v>
      </c>
      <c r="B8" s="19">
        <v>1.1000000000000001</v>
      </c>
      <c r="C8" s="37" t="s">
        <v>358</v>
      </c>
      <c r="D8" s="25" t="s">
        <v>367</v>
      </c>
      <c r="E8" s="60">
        <v>44838.630578703705</v>
      </c>
      <c r="F8" s="49" t="s">
        <v>365</v>
      </c>
      <c r="G8" s="16"/>
      <c r="H8" s="208"/>
      <c r="I8" s="20"/>
      <c r="J8" s="69" t="s">
        <v>392</v>
      </c>
      <c r="K8" s="21">
        <v>44840.656284722223</v>
      </c>
      <c r="L8" s="20" t="s">
        <v>213</v>
      </c>
      <c r="M8" s="69" t="s">
        <v>243</v>
      </c>
      <c r="N8" s="53"/>
      <c r="O8" s="53"/>
      <c r="P8" s="53"/>
      <c r="Q8" s="56"/>
      <c r="R8" s="56"/>
      <c r="S8" s="56"/>
      <c r="T8" s="56"/>
      <c r="U8" s="56"/>
      <c r="V8" s="56"/>
      <c r="W8" s="56"/>
    </row>
    <row r="9" spans="1:46" s="23" customFormat="1" ht="25.5">
      <c r="A9" s="62">
        <v>5</v>
      </c>
      <c r="B9" s="19">
        <v>1.1000000000000001</v>
      </c>
      <c r="C9" s="37" t="s">
        <v>361</v>
      </c>
      <c r="D9" s="25" t="s">
        <v>368</v>
      </c>
      <c r="E9" s="60">
        <v>44838.632928240739</v>
      </c>
      <c r="F9" s="49" t="s">
        <v>365</v>
      </c>
      <c r="G9" s="16"/>
      <c r="H9" s="208"/>
      <c r="I9" s="20"/>
      <c r="J9" s="69" t="s">
        <v>392</v>
      </c>
      <c r="K9" s="21">
        <v>44840.657129629632</v>
      </c>
      <c r="L9" s="20" t="s">
        <v>213</v>
      </c>
      <c r="M9" s="69" t="s">
        <v>243</v>
      </c>
      <c r="N9" s="53"/>
      <c r="O9" s="53"/>
      <c r="P9" s="53"/>
      <c r="Q9" s="56"/>
      <c r="R9" s="56"/>
      <c r="S9" s="56"/>
      <c r="T9" s="56"/>
      <c r="U9" s="56"/>
      <c r="V9" s="56"/>
      <c r="W9" s="56"/>
    </row>
    <row r="10" spans="1:46" s="23" customFormat="1" ht="25.5">
      <c r="A10" s="62">
        <v>6</v>
      </c>
      <c r="B10" s="19">
        <v>1.1000000000000001</v>
      </c>
      <c r="C10" s="37" t="s">
        <v>361</v>
      </c>
      <c r="D10" s="25" t="s">
        <v>370</v>
      </c>
      <c r="E10" s="60">
        <v>44838.634664351855</v>
      </c>
      <c r="F10" s="49" t="s">
        <v>365</v>
      </c>
      <c r="G10" s="16"/>
      <c r="H10" s="208"/>
      <c r="I10" s="20"/>
      <c r="J10" s="20" t="s">
        <v>392</v>
      </c>
      <c r="K10" s="21">
        <v>44840.659571759257</v>
      </c>
      <c r="L10" s="20" t="s">
        <v>213</v>
      </c>
      <c r="M10" s="69" t="s">
        <v>243</v>
      </c>
      <c r="N10" s="53"/>
      <c r="O10" s="53"/>
      <c r="P10" s="53"/>
      <c r="Q10" s="56"/>
      <c r="R10" s="56"/>
      <c r="S10" s="56"/>
      <c r="T10" s="56"/>
      <c r="U10" s="56"/>
      <c r="V10" s="56"/>
      <c r="W10" s="56"/>
    </row>
    <row r="11" spans="1:46" s="23" customFormat="1" ht="25.5">
      <c r="A11" s="62">
        <v>7</v>
      </c>
      <c r="B11" s="19">
        <v>1.1000000000000001</v>
      </c>
      <c r="C11" s="37" t="s">
        <v>361</v>
      </c>
      <c r="D11" s="25" t="s">
        <v>371</v>
      </c>
      <c r="E11" s="60">
        <v>44838.642812500002</v>
      </c>
      <c r="F11" s="49" t="s">
        <v>365</v>
      </c>
      <c r="G11" s="16"/>
      <c r="H11" s="208"/>
      <c r="I11" s="20"/>
      <c r="J11" s="20" t="s">
        <v>392</v>
      </c>
      <c r="K11" s="70">
        <v>44853.553854166668</v>
      </c>
      <c r="L11" s="20" t="s">
        <v>213</v>
      </c>
      <c r="M11" s="69" t="s">
        <v>243</v>
      </c>
      <c r="N11" s="53"/>
      <c r="O11" s="53"/>
      <c r="P11" s="53"/>
      <c r="Q11" s="56"/>
      <c r="R11" s="56"/>
      <c r="S11" s="56"/>
      <c r="T11" s="56"/>
      <c r="U11" s="56"/>
      <c r="V11" s="56"/>
      <c r="W11" s="56"/>
    </row>
    <row r="12" spans="1:46" s="23" customFormat="1" ht="25.5">
      <c r="A12" s="62">
        <v>8</v>
      </c>
      <c r="B12" s="19">
        <v>1.1000000000000001</v>
      </c>
      <c r="C12" s="37" t="s">
        <v>361</v>
      </c>
      <c r="D12" s="25" t="s">
        <v>372</v>
      </c>
      <c r="E12" s="60">
        <v>44838.646365740744</v>
      </c>
      <c r="F12" s="49" t="s">
        <v>365</v>
      </c>
      <c r="G12" s="16"/>
      <c r="H12" s="208"/>
      <c r="I12" s="20"/>
      <c r="J12" s="20" t="s">
        <v>392</v>
      </c>
      <c r="K12" s="21">
        <v>44840.683009259257</v>
      </c>
      <c r="L12" s="20" t="s">
        <v>213</v>
      </c>
      <c r="M12" s="69" t="s">
        <v>243</v>
      </c>
      <c r="N12" s="53"/>
      <c r="O12" s="53"/>
      <c r="P12" s="53"/>
      <c r="Q12" s="56"/>
      <c r="R12" s="56"/>
      <c r="S12" s="56"/>
      <c r="T12" s="56"/>
      <c r="U12" s="56"/>
      <c r="V12" s="56"/>
      <c r="W12" s="56"/>
    </row>
    <row r="13" spans="1:46" s="23" customFormat="1" ht="25.5">
      <c r="A13" s="62">
        <v>9</v>
      </c>
      <c r="B13" s="19">
        <v>1.1000000000000001</v>
      </c>
      <c r="C13" s="37" t="s">
        <v>359</v>
      </c>
      <c r="D13" s="25" t="s">
        <v>364</v>
      </c>
      <c r="E13" s="60">
        <v>44838.657256944447</v>
      </c>
      <c r="F13" s="49" t="s">
        <v>365</v>
      </c>
      <c r="G13" s="16"/>
      <c r="H13" s="208"/>
      <c r="I13" s="20"/>
      <c r="J13" s="20" t="s">
        <v>392</v>
      </c>
      <c r="K13" s="21">
        <v>44840.565682870372</v>
      </c>
      <c r="L13" s="20" t="s">
        <v>213</v>
      </c>
      <c r="M13" s="69" t="s">
        <v>243</v>
      </c>
      <c r="N13" s="53"/>
      <c r="O13" s="53"/>
      <c r="P13" s="53"/>
      <c r="Q13" s="56"/>
      <c r="R13" s="56"/>
      <c r="S13" s="56"/>
      <c r="T13" s="56"/>
      <c r="U13" s="56"/>
      <c r="V13" s="56"/>
      <c r="W13" s="56"/>
    </row>
    <row r="14" spans="1:46" s="23" customFormat="1" ht="25.5">
      <c r="A14" s="62">
        <v>10</v>
      </c>
      <c r="B14" s="19">
        <v>1.1000000000000001</v>
      </c>
      <c r="C14" s="37" t="s">
        <v>359</v>
      </c>
      <c r="D14" s="25" t="s">
        <v>373</v>
      </c>
      <c r="E14" s="60">
        <v>44838.657361111109</v>
      </c>
      <c r="F14" s="49" t="s">
        <v>365</v>
      </c>
      <c r="G14" s="16" t="s">
        <v>393</v>
      </c>
      <c r="H14" s="208"/>
      <c r="I14" s="20"/>
      <c r="J14" s="20" t="s">
        <v>392</v>
      </c>
      <c r="K14" s="21">
        <v>44841.466493055559</v>
      </c>
      <c r="L14" s="20" t="s">
        <v>238</v>
      </c>
      <c r="M14" s="69" t="s">
        <v>243</v>
      </c>
      <c r="N14" s="53"/>
      <c r="O14" s="53"/>
      <c r="P14" s="53"/>
      <c r="Q14" s="56"/>
      <c r="R14" s="56"/>
      <c r="S14" s="56"/>
      <c r="T14" s="56"/>
      <c r="U14" s="56"/>
      <c r="V14" s="56"/>
      <c r="W14" s="56"/>
    </row>
    <row r="15" spans="1:46" s="23" customFormat="1" ht="25.5">
      <c r="A15" s="62">
        <v>11</v>
      </c>
      <c r="B15" s="19">
        <v>1.1000000000000001</v>
      </c>
      <c r="C15" s="37" t="s">
        <v>360</v>
      </c>
      <c r="D15" s="25" t="s">
        <v>364</v>
      </c>
      <c r="E15" s="60">
        <v>44838.662939814814</v>
      </c>
      <c r="F15" s="49" t="s">
        <v>365</v>
      </c>
      <c r="G15" s="16"/>
      <c r="H15" s="208"/>
      <c r="I15" s="20"/>
      <c r="J15" s="20" t="s">
        <v>392</v>
      </c>
      <c r="K15" s="21">
        <v>44840.565706018519</v>
      </c>
      <c r="L15" s="20" t="s">
        <v>213</v>
      </c>
      <c r="M15" s="69" t="s">
        <v>243</v>
      </c>
      <c r="N15" s="53"/>
      <c r="O15" s="53"/>
      <c r="P15" s="53"/>
      <c r="Q15" s="56"/>
      <c r="R15" s="56"/>
      <c r="S15" s="56"/>
      <c r="T15" s="56"/>
      <c r="U15" s="56"/>
      <c r="V15" s="56"/>
      <c r="W15" s="56"/>
    </row>
    <row r="16" spans="1:46" s="23" customFormat="1" ht="25.5">
      <c r="A16" s="62">
        <v>12</v>
      </c>
      <c r="B16" s="19">
        <v>1.1000000000000001</v>
      </c>
      <c r="C16" s="37" t="s">
        <v>360</v>
      </c>
      <c r="D16" s="16" t="s">
        <v>374</v>
      </c>
      <c r="E16" s="60">
        <v>44838.664363425924</v>
      </c>
      <c r="F16" s="49" t="s">
        <v>365</v>
      </c>
      <c r="G16" s="16"/>
      <c r="H16" s="208"/>
      <c r="I16" s="20"/>
      <c r="J16" s="20" t="s">
        <v>392</v>
      </c>
      <c r="K16" s="21">
        <v>44841.47865740741</v>
      </c>
      <c r="L16" s="20" t="s">
        <v>213</v>
      </c>
      <c r="M16" s="69" t="s">
        <v>243</v>
      </c>
      <c r="N16" s="53"/>
      <c r="O16" s="53"/>
      <c r="P16" s="53"/>
      <c r="Q16" s="56"/>
      <c r="R16" s="56"/>
      <c r="S16" s="56"/>
      <c r="T16" s="56"/>
      <c r="U16" s="56"/>
      <c r="V16" s="56"/>
      <c r="W16" s="56"/>
    </row>
    <row r="17" spans="1:23" s="23" customFormat="1" ht="25.5">
      <c r="A17" s="62">
        <v>13</v>
      </c>
      <c r="B17" s="19">
        <v>1.1000000000000001</v>
      </c>
      <c r="C17" s="37" t="s">
        <v>362</v>
      </c>
      <c r="D17" s="16" t="s">
        <v>368</v>
      </c>
      <c r="E17" s="60">
        <v>44838.669016203705</v>
      </c>
      <c r="F17" s="49" t="s">
        <v>365</v>
      </c>
      <c r="G17" s="16"/>
      <c r="H17" s="208"/>
      <c r="I17" s="20"/>
      <c r="J17" s="20" t="s">
        <v>392</v>
      </c>
      <c r="K17" s="21">
        <v>44840.657187500001</v>
      </c>
      <c r="L17" s="20" t="s">
        <v>213</v>
      </c>
      <c r="M17" s="69" t="s">
        <v>243</v>
      </c>
      <c r="N17" s="53"/>
      <c r="O17" s="53"/>
      <c r="P17" s="53"/>
      <c r="Q17" s="56"/>
      <c r="R17" s="56"/>
      <c r="S17" s="56"/>
      <c r="T17" s="56"/>
      <c r="U17" s="56"/>
      <c r="V17" s="56"/>
      <c r="W17" s="56"/>
    </row>
    <row r="18" spans="1:23" s="23" customFormat="1" ht="51">
      <c r="A18" s="62">
        <v>14</v>
      </c>
      <c r="B18" s="19">
        <v>1.1000000000000001</v>
      </c>
      <c r="C18" s="37" t="s">
        <v>362</v>
      </c>
      <c r="D18" s="25" t="s">
        <v>375</v>
      </c>
      <c r="E18" s="60">
        <v>44838.676747685182</v>
      </c>
      <c r="F18" s="49" t="s">
        <v>365</v>
      </c>
      <c r="G18" s="16"/>
      <c r="H18" s="208"/>
      <c r="I18" s="20"/>
      <c r="J18" s="20" t="s">
        <v>392</v>
      </c>
      <c r="K18" s="21">
        <v>44841.644386574073</v>
      </c>
      <c r="L18" s="20" t="s">
        <v>213</v>
      </c>
      <c r="M18" s="69" t="s">
        <v>243</v>
      </c>
      <c r="N18" s="53"/>
      <c r="O18" s="53"/>
      <c r="P18" s="53"/>
      <c r="Q18" s="56"/>
      <c r="R18" s="56"/>
      <c r="S18" s="56"/>
      <c r="T18" s="56"/>
      <c r="U18" s="56"/>
      <c r="V18" s="56"/>
      <c r="W18" s="56"/>
    </row>
    <row r="19" spans="1:23" s="23" customFormat="1" ht="38.25">
      <c r="A19" s="62">
        <v>15</v>
      </c>
      <c r="B19" s="19">
        <v>1.1000000000000001</v>
      </c>
      <c r="C19" s="37" t="s">
        <v>362</v>
      </c>
      <c r="D19" s="25" t="s">
        <v>376</v>
      </c>
      <c r="E19" s="60">
        <v>44838.682395833333</v>
      </c>
      <c r="F19" s="49" t="s">
        <v>365</v>
      </c>
      <c r="G19" s="16"/>
      <c r="H19" s="208"/>
      <c r="I19" s="20"/>
      <c r="J19" s="20" t="s">
        <v>392</v>
      </c>
      <c r="K19" s="21">
        <v>44853.552835648145</v>
      </c>
      <c r="L19" s="20" t="s">
        <v>213</v>
      </c>
      <c r="M19" s="69" t="s">
        <v>243</v>
      </c>
      <c r="N19" s="53"/>
      <c r="O19" s="53"/>
      <c r="P19" s="53"/>
      <c r="Q19" s="56"/>
      <c r="R19" s="56"/>
      <c r="S19" s="56"/>
      <c r="T19" s="56"/>
      <c r="U19" s="56"/>
      <c r="V19" s="56"/>
      <c r="W19" s="56"/>
    </row>
    <row r="20" spans="1:23" s="23" customFormat="1" ht="38.25">
      <c r="A20" s="62">
        <v>16</v>
      </c>
      <c r="B20" s="19">
        <v>1.1000000000000001</v>
      </c>
      <c r="C20" s="37" t="s">
        <v>362</v>
      </c>
      <c r="D20" s="25" t="s">
        <v>377</v>
      </c>
      <c r="E20" s="60">
        <v>44838.686678240738</v>
      </c>
      <c r="F20" s="49" t="s">
        <v>365</v>
      </c>
      <c r="G20" s="16"/>
      <c r="H20" s="208"/>
      <c r="I20" s="20"/>
      <c r="J20" s="20" t="s">
        <v>392</v>
      </c>
      <c r="K20" s="21">
        <v>44853.549722222226</v>
      </c>
      <c r="L20" s="20" t="s">
        <v>213</v>
      </c>
      <c r="M20" s="69" t="s">
        <v>243</v>
      </c>
      <c r="N20" s="53"/>
      <c r="O20" s="53"/>
      <c r="P20" s="53"/>
      <c r="Q20" s="56"/>
      <c r="R20" s="56"/>
      <c r="S20" s="56"/>
      <c r="T20" s="56"/>
      <c r="U20" s="56"/>
      <c r="V20" s="56"/>
      <c r="W20" s="56"/>
    </row>
    <row r="21" spans="1:23" s="23" customFormat="1" ht="51">
      <c r="A21" s="62">
        <v>17</v>
      </c>
      <c r="B21" s="19">
        <v>1.1000000000000001</v>
      </c>
      <c r="C21" s="37" t="s">
        <v>362</v>
      </c>
      <c r="D21" s="25" t="s">
        <v>380</v>
      </c>
      <c r="E21" s="60">
        <v>44839.576273148145</v>
      </c>
      <c r="F21" s="49" t="s">
        <v>365</v>
      </c>
      <c r="G21" s="16"/>
      <c r="H21" s="208"/>
      <c r="I21" s="20"/>
      <c r="J21" s="20" t="s">
        <v>392</v>
      </c>
      <c r="K21" s="21">
        <v>44841.677824074075</v>
      </c>
      <c r="L21" s="20" t="s">
        <v>213</v>
      </c>
      <c r="M21" s="69" t="s">
        <v>243</v>
      </c>
      <c r="N21" s="53"/>
      <c r="O21" s="53"/>
      <c r="P21" s="53"/>
      <c r="Q21" s="56"/>
      <c r="R21" s="56"/>
      <c r="S21" s="56"/>
      <c r="T21" s="56"/>
      <c r="U21" s="56"/>
      <c r="V21" s="56"/>
      <c r="W21" s="56"/>
    </row>
    <row r="22" spans="1:23" s="23" customFormat="1" ht="38.25">
      <c r="A22" s="62">
        <v>18</v>
      </c>
      <c r="B22" s="19">
        <v>1.1000000000000001</v>
      </c>
      <c r="C22" s="37" t="s">
        <v>362</v>
      </c>
      <c r="D22" s="25" t="s">
        <v>381</v>
      </c>
      <c r="E22" s="60">
        <v>44839.578240740739</v>
      </c>
      <c r="F22" s="49" t="s">
        <v>365</v>
      </c>
      <c r="G22" s="16"/>
      <c r="H22" s="208"/>
      <c r="I22" s="20"/>
      <c r="J22" s="20" t="s">
        <v>392</v>
      </c>
      <c r="K22" s="21">
        <v>44853.551516203705</v>
      </c>
      <c r="L22" s="20" t="s">
        <v>213</v>
      </c>
      <c r="M22" s="69" t="s">
        <v>243</v>
      </c>
      <c r="N22" s="53"/>
      <c r="O22" s="53"/>
      <c r="P22" s="53"/>
      <c r="Q22" s="56"/>
      <c r="R22" s="56"/>
      <c r="S22" s="56"/>
      <c r="T22" s="56"/>
      <c r="U22" s="56"/>
      <c r="V22" s="56"/>
      <c r="W22" s="56"/>
    </row>
    <row r="23" spans="1:23" s="23" customFormat="1" ht="38.25">
      <c r="A23" s="62">
        <v>19</v>
      </c>
      <c r="B23" s="19">
        <v>1.1000000000000001</v>
      </c>
      <c r="C23" s="37" t="s">
        <v>362</v>
      </c>
      <c r="D23" s="25" t="s">
        <v>382</v>
      </c>
      <c r="E23" s="60">
        <v>44839.58489583333</v>
      </c>
      <c r="F23" s="49" t="s">
        <v>365</v>
      </c>
      <c r="G23" s="16"/>
      <c r="H23" s="208"/>
      <c r="I23" s="20"/>
      <c r="J23" s="20" t="s">
        <v>392</v>
      </c>
      <c r="K23" s="21">
        <v>44853.551550925928</v>
      </c>
      <c r="L23" s="20" t="s">
        <v>213</v>
      </c>
      <c r="M23" s="69" t="s">
        <v>243</v>
      </c>
      <c r="N23" s="53"/>
      <c r="O23" s="53"/>
      <c r="P23" s="53"/>
      <c r="Q23" s="56"/>
      <c r="R23" s="56"/>
      <c r="S23" s="56"/>
      <c r="T23" s="56"/>
      <c r="U23" s="56"/>
      <c r="V23" s="56"/>
      <c r="W23" s="56"/>
    </row>
    <row r="24" spans="1:23" s="23" customFormat="1" ht="25.5">
      <c r="A24" s="62">
        <v>20</v>
      </c>
      <c r="B24" s="19">
        <v>1.1000000000000001</v>
      </c>
      <c r="C24" s="37" t="s">
        <v>363</v>
      </c>
      <c r="D24" s="25" t="s">
        <v>383</v>
      </c>
      <c r="E24" s="60">
        <v>44839.587083333332</v>
      </c>
      <c r="F24" s="49" t="s">
        <v>365</v>
      </c>
      <c r="G24" s="16"/>
      <c r="H24" s="208"/>
      <c r="I24" s="20"/>
      <c r="J24" s="20" t="s">
        <v>392</v>
      </c>
      <c r="K24" s="21">
        <v>44840.657210648147</v>
      </c>
      <c r="L24" s="20" t="s">
        <v>213</v>
      </c>
      <c r="M24" s="69" t="s">
        <v>243</v>
      </c>
      <c r="N24" s="53"/>
      <c r="O24" s="53"/>
      <c r="P24" s="53"/>
      <c r="Q24" s="56"/>
      <c r="R24" s="56"/>
      <c r="S24" s="56"/>
      <c r="T24" s="56"/>
      <c r="U24" s="56"/>
      <c r="V24" s="56"/>
      <c r="W24" s="56"/>
    </row>
    <row r="25" spans="1:23" s="23" customFormat="1">
      <c r="A25" s="62">
        <v>21</v>
      </c>
      <c r="B25" s="19">
        <v>1.1000000000000001</v>
      </c>
      <c r="C25" s="37" t="s">
        <v>363</v>
      </c>
      <c r="D25" s="25" t="s">
        <v>385</v>
      </c>
      <c r="E25" s="60">
        <v>44839.587002314816</v>
      </c>
      <c r="F25" s="49" t="s">
        <v>365</v>
      </c>
      <c r="G25" s="16"/>
      <c r="H25" s="208"/>
      <c r="I25" s="20"/>
      <c r="J25" s="20" t="s">
        <v>392</v>
      </c>
      <c r="K25" s="21">
        <v>44841.528425925928</v>
      </c>
      <c r="L25" s="20" t="s">
        <v>213</v>
      </c>
      <c r="M25" s="69" t="s">
        <v>243</v>
      </c>
      <c r="N25" s="53"/>
      <c r="O25" s="53"/>
      <c r="P25" s="53"/>
      <c r="Q25" s="56"/>
      <c r="R25" s="56"/>
      <c r="S25" s="56"/>
      <c r="T25" s="56"/>
      <c r="U25" s="56"/>
      <c r="V25" s="56"/>
      <c r="W25" s="56"/>
    </row>
    <row r="26" spans="1:23" s="23" customFormat="1">
      <c r="A26" s="62">
        <v>22</v>
      </c>
      <c r="B26" s="19">
        <v>1.1000000000000001</v>
      </c>
      <c r="C26" s="37" t="s">
        <v>363</v>
      </c>
      <c r="D26" s="25" t="s">
        <v>366</v>
      </c>
      <c r="E26" s="60">
        <v>44839.589155092595</v>
      </c>
      <c r="F26" s="49" t="s">
        <v>365</v>
      </c>
      <c r="G26" s="16"/>
      <c r="H26" s="208"/>
      <c r="I26" s="20"/>
      <c r="J26" s="20" t="s">
        <v>392</v>
      </c>
      <c r="K26" s="21">
        <v>44841.52851851852</v>
      </c>
      <c r="L26" s="20" t="s">
        <v>213</v>
      </c>
      <c r="M26" s="69" t="s">
        <v>243</v>
      </c>
      <c r="N26" s="53"/>
      <c r="O26" s="53"/>
      <c r="P26" s="53"/>
      <c r="Q26" s="56"/>
      <c r="R26" s="56"/>
      <c r="S26" s="56"/>
      <c r="T26" s="56"/>
      <c r="U26" s="56"/>
      <c r="V26" s="56"/>
      <c r="W26" s="56"/>
    </row>
    <row r="27" spans="1:23" s="23" customFormat="1">
      <c r="A27" s="62">
        <v>23</v>
      </c>
      <c r="B27" s="19">
        <v>1.1000000000000001</v>
      </c>
      <c r="C27" s="37" t="s">
        <v>363</v>
      </c>
      <c r="D27" s="25" t="s">
        <v>384</v>
      </c>
      <c r="E27" s="60">
        <v>44839.590046296296</v>
      </c>
      <c r="F27" s="49" t="s">
        <v>365</v>
      </c>
      <c r="G27" s="16"/>
      <c r="H27" s="208"/>
      <c r="I27" s="20"/>
      <c r="J27" s="20" t="s">
        <v>392</v>
      </c>
      <c r="K27" s="21">
        <v>44841.523009259261</v>
      </c>
      <c r="L27" s="20" t="s">
        <v>213</v>
      </c>
      <c r="M27" s="69" t="s">
        <v>243</v>
      </c>
      <c r="N27" s="53"/>
      <c r="O27" s="53"/>
      <c r="P27" s="53"/>
      <c r="Q27" s="56"/>
      <c r="R27" s="56"/>
      <c r="S27" s="56"/>
      <c r="T27" s="56"/>
      <c r="U27" s="56"/>
      <c r="V27" s="56"/>
      <c r="W27" s="56"/>
    </row>
    <row r="28" spans="1:23" s="23" customFormat="1" ht="38.25">
      <c r="A28" s="62">
        <v>24</v>
      </c>
      <c r="B28" s="19">
        <v>1.1000000000000001</v>
      </c>
      <c r="C28" s="37" t="s">
        <v>363</v>
      </c>
      <c r="D28" s="25" t="s">
        <v>386</v>
      </c>
      <c r="E28" s="60">
        <v>44839.593784722223</v>
      </c>
      <c r="F28" s="49" t="s">
        <v>365</v>
      </c>
      <c r="G28" s="16"/>
      <c r="H28" s="208"/>
      <c r="I28" s="20"/>
      <c r="J28" s="20" t="s">
        <v>392</v>
      </c>
      <c r="K28" s="21">
        <v>44841.643599537034</v>
      </c>
      <c r="L28" s="20" t="s">
        <v>213</v>
      </c>
      <c r="M28" s="69" t="s">
        <v>243</v>
      </c>
      <c r="N28" s="53"/>
      <c r="O28" s="53"/>
      <c r="P28" s="53"/>
      <c r="Q28" s="56"/>
      <c r="R28" s="56"/>
      <c r="S28" s="56"/>
      <c r="T28" s="56"/>
      <c r="U28" s="56"/>
      <c r="V28" s="56"/>
      <c r="W28" s="56"/>
    </row>
    <row r="29" spans="1:23" s="23" customFormat="1">
      <c r="A29" s="62">
        <v>25</v>
      </c>
      <c r="B29" s="19">
        <v>1.1000000000000001</v>
      </c>
      <c r="C29" s="37" t="s">
        <v>363</v>
      </c>
      <c r="D29" s="16" t="s">
        <v>387</v>
      </c>
      <c r="E29" s="60">
        <v>44839.609664351854</v>
      </c>
      <c r="F29" s="49" t="s">
        <v>365</v>
      </c>
      <c r="G29" s="16"/>
      <c r="H29" s="208"/>
      <c r="I29" s="20"/>
      <c r="J29" s="20" t="s">
        <v>392</v>
      </c>
      <c r="K29" s="21">
        <v>44841.641979166663</v>
      </c>
      <c r="L29" s="20" t="s">
        <v>213</v>
      </c>
      <c r="M29" s="69" t="s">
        <v>243</v>
      </c>
      <c r="N29" s="53"/>
      <c r="O29" s="53"/>
      <c r="P29" s="53"/>
      <c r="Q29" s="56"/>
      <c r="R29" s="56"/>
      <c r="S29" s="56"/>
      <c r="T29" s="56"/>
      <c r="U29" s="56"/>
      <c r="V29" s="56"/>
      <c r="W29" s="56"/>
    </row>
    <row r="30" spans="1:23" s="23" customFormat="1" ht="25.5">
      <c r="A30" s="62">
        <v>26</v>
      </c>
      <c r="B30" s="19">
        <v>1.1000000000000001</v>
      </c>
      <c r="C30" s="37" t="s">
        <v>363</v>
      </c>
      <c r="D30" s="16" t="s">
        <v>388</v>
      </c>
      <c r="E30" s="60">
        <v>44839.622037037036</v>
      </c>
      <c r="F30" s="49" t="s">
        <v>365</v>
      </c>
      <c r="G30" s="16"/>
      <c r="H30" s="208"/>
      <c r="I30" s="20"/>
      <c r="J30" s="20" t="s">
        <v>392</v>
      </c>
      <c r="K30" s="21">
        <v>44841.640428240738</v>
      </c>
      <c r="L30" s="20" t="s">
        <v>213</v>
      </c>
      <c r="M30" s="69" t="s">
        <v>243</v>
      </c>
      <c r="N30" s="53"/>
      <c r="O30" s="53"/>
      <c r="P30" s="53"/>
      <c r="Q30" s="56"/>
      <c r="R30" s="56"/>
      <c r="S30" s="56"/>
      <c r="T30" s="56"/>
      <c r="U30" s="56"/>
      <c r="V30" s="56"/>
      <c r="W30" s="56"/>
    </row>
    <row r="31" spans="1:23" s="23" customFormat="1">
      <c r="A31" s="62">
        <v>27</v>
      </c>
      <c r="B31" s="19">
        <v>1.1000000000000001</v>
      </c>
      <c r="C31" s="37" t="s">
        <v>436</v>
      </c>
      <c r="D31" s="25" t="s">
        <v>437</v>
      </c>
      <c r="E31" s="60">
        <v>44894.480543981481</v>
      </c>
      <c r="F31" s="49" t="s">
        <v>438</v>
      </c>
      <c r="G31" s="16"/>
      <c r="H31" s="208"/>
      <c r="I31" s="20"/>
      <c r="J31" s="69" t="s">
        <v>439</v>
      </c>
      <c r="K31" s="21">
        <v>44894.480613425927</v>
      </c>
      <c r="L31" s="20" t="s">
        <v>238</v>
      </c>
      <c r="M31" s="20" t="s">
        <v>243</v>
      </c>
      <c r="N31" s="53"/>
      <c r="O31" s="53"/>
      <c r="P31" s="53"/>
      <c r="Q31" s="56"/>
      <c r="R31" s="56"/>
      <c r="S31" s="56"/>
      <c r="T31" s="56"/>
      <c r="U31" s="56"/>
      <c r="V31" s="56"/>
      <c r="W31" s="56"/>
    </row>
    <row r="32" spans="1:23" s="23" customFormat="1">
      <c r="A32" s="62">
        <v>28</v>
      </c>
      <c r="B32" s="37" t="s">
        <v>449</v>
      </c>
      <c r="C32" s="37" t="s">
        <v>358</v>
      </c>
      <c r="D32" s="25" t="s">
        <v>366</v>
      </c>
      <c r="E32" s="60">
        <v>44980.645555555559</v>
      </c>
      <c r="F32" s="49" t="s">
        <v>450</v>
      </c>
      <c r="G32" s="25" t="s">
        <v>488</v>
      </c>
      <c r="H32" s="204">
        <v>1047690</v>
      </c>
      <c r="I32" s="20" t="s">
        <v>246</v>
      </c>
      <c r="J32" s="20" t="s">
        <v>455</v>
      </c>
      <c r="K32" s="21">
        <v>45005</v>
      </c>
      <c r="L32" s="20" t="s">
        <v>214</v>
      </c>
      <c r="M32" s="20" t="s">
        <v>243</v>
      </c>
      <c r="N32" s="53"/>
      <c r="O32" s="53"/>
      <c r="P32" s="53"/>
      <c r="Q32" s="56"/>
      <c r="R32" s="56"/>
      <c r="S32" s="56"/>
      <c r="T32" s="56"/>
      <c r="U32" s="56"/>
      <c r="V32" s="56"/>
      <c r="W32" s="56"/>
    </row>
    <row r="33" spans="1:23" s="23" customFormat="1">
      <c r="A33" s="62">
        <v>29</v>
      </c>
      <c r="B33" s="37" t="s">
        <v>449</v>
      </c>
      <c r="C33" s="37" t="s">
        <v>358</v>
      </c>
      <c r="D33" s="25" t="s">
        <v>452</v>
      </c>
      <c r="E33" s="60">
        <v>44980.648449074077</v>
      </c>
      <c r="F33" s="49" t="s">
        <v>450</v>
      </c>
      <c r="G33" s="25" t="s">
        <v>488</v>
      </c>
      <c r="H33" s="204">
        <v>1047690</v>
      </c>
      <c r="I33" s="20" t="s">
        <v>246</v>
      </c>
      <c r="J33" s="20" t="s">
        <v>455</v>
      </c>
      <c r="K33" s="21">
        <v>45005</v>
      </c>
      <c r="L33" s="20" t="s">
        <v>214</v>
      </c>
      <c r="M33" s="20" t="s">
        <v>243</v>
      </c>
      <c r="N33" s="53"/>
      <c r="O33" s="53"/>
      <c r="P33" s="53"/>
      <c r="Q33" s="56"/>
      <c r="R33" s="56"/>
      <c r="S33" s="56"/>
      <c r="T33" s="56"/>
      <c r="U33" s="56"/>
      <c r="V33" s="56"/>
      <c r="W33" s="56"/>
    </row>
    <row r="34" spans="1:23" s="23" customFormat="1">
      <c r="A34" s="62">
        <v>30</v>
      </c>
      <c r="B34" s="37" t="s">
        <v>449</v>
      </c>
      <c r="C34" s="37" t="s">
        <v>359</v>
      </c>
      <c r="D34" s="25" t="s">
        <v>452</v>
      </c>
      <c r="E34" s="60">
        <v>44980.65048611111</v>
      </c>
      <c r="F34" s="49" t="s">
        <v>450</v>
      </c>
      <c r="G34" s="25" t="s">
        <v>488</v>
      </c>
      <c r="H34" s="204">
        <v>1047690</v>
      </c>
      <c r="I34" s="20" t="s">
        <v>246</v>
      </c>
      <c r="J34" s="20" t="s">
        <v>455</v>
      </c>
      <c r="K34" s="21">
        <v>45005</v>
      </c>
      <c r="L34" s="20" t="s">
        <v>214</v>
      </c>
      <c r="M34" s="20" t="s">
        <v>243</v>
      </c>
      <c r="N34" s="53"/>
      <c r="O34" s="53"/>
      <c r="P34" s="53"/>
      <c r="Q34" s="56"/>
      <c r="R34" s="56"/>
      <c r="S34" s="56"/>
      <c r="T34" s="56"/>
      <c r="U34" s="56"/>
      <c r="V34" s="56"/>
      <c r="W34" s="56"/>
    </row>
    <row r="35" spans="1:23" s="23" customFormat="1">
      <c r="A35" s="62">
        <v>31</v>
      </c>
      <c r="B35" s="37" t="s">
        <v>451</v>
      </c>
      <c r="C35" s="37" t="s">
        <v>360</v>
      </c>
      <c r="D35" s="25" t="s">
        <v>452</v>
      </c>
      <c r="E35" s="60">
        <v>44980.651608796295</v>
      </c>
      <c r="F35" s="49" t="s">
        <v>450</v>
      </c>
      <c r="G35" s="25" t="s">
        <v>488</v>
      </c>
      <c r="H35" s="204">
        <v>1047690</v>
      </c>
      <c r="I35" s="20" t="s">
        <v>246</v>
      </c>
      <c r="J35" s="20" t="s">
        <v>455</v>
      </c>
      <c r="K35" s="21">
        <v>45005</v>
      </c>
      <c r="L35" s="20" t="s">
        <v>214</v>
      </c>
      <c r="M35" s="20" t="s">
        <v>243</v>
      </c>
      <c r="N35" s="53"/>
      <c r="O35" s="53"/>
      <c r="P35" s="53"/>
      <c r="Q35" s="56"/>
      <c r="R35" s="56"/>
      <c r="S35" s="56"/>
      <c r="T35" s="56"/>
      <c r="U35" s="56"/>
      <c r="V35" s="56"/>
      <c r="W35" s="56"/>
    </row>
    <row r="36" spans="1:23" s="23" customFormat="1">
      <c r="A36" s="62">
        <v>32</v>
      </c>
      <c r="B36" s="37" t="s">
        <v>453</v>
      </c>
      <c r="C36" s="37" t="s">
        <v>362</v>
      </c>
      <c r="D36" s="25" t="s">
        <v>452</v>
      </c>
      <c r="E36" s="60">
        <v>44980.65425925926</v>
      </c>
      <c r="F36" s="49" t="s">
        <v>450</v>
      </c>
      <c r="G36" s="25" t="s">
        <v>488</v>
      </c>
      <c r="H36" s="204">
        <v>1047690</v>
      </c>
      <c r="I36" s="20" t="s">
        <v>246</v>
      </c>
      <c r="J36" s="20" t="s">
        <v>455</v>
      </c>
      <c r="K36" s="21">
        <v>45005</v>
      </c>
      <c r="L36" s="20" t="s">
        <v>214</v>
      </c>
      <c r="M36" s="20" t="s">
        <v>243</v>
      </c>
      <c r="N36" s="53"/>
      <c r="O36" s="53"/>
      <c r="P36" s="53"/>
      <c r="Q36" s="56"/>
      <c r="R36" s="56"/>
      <c r="S36" s="56"/>
      <c r="T36" s="56"/>
      <c r="U36" s="56"/>
      <c r="V36" s="56"/>
      <c r="W36" s="56"/>
    </row>
    <row r="37" spans="1:23" s="23" customFormat="1">
      <c r="A37" s="62">
        <v>33</v>
      </c>
      <c r="B37" s="37" t="s">
        <v>453</v>
      </c>
      <c r="C37" s="37" t="s">
        <v>362</v>
      </c>
      <c r="D37" s="50" t="s">
        <v>456</v>
      </c>
      <c r="E37" s="60">
        <v>44980.655428240738</v>
      </c>
      <c r="F37" s="49" t="s">
        <v>450</v>
      </c>
      <c r="G37" s="25" t="s">
        <v>488</v>
      </c>
      <c r="H37" s="204">
        <v>1047690</v>
      </c>
      <c r="I37" s="20" t="s">
        <v>246</v>
      </c>
      <c r="J37" s="20" t="s">
        <v>455</v>
      </c>
      <c r="K37" s="21">
        <v>45005</v>
      </c>
      <c r="L37" s="20" t="s">
        <v>214</v>
      </c>
      <c r="M37" s="20" t="s">
        <v>243</v>
      </c>
      <c r="N37" s="53"/>
      <c r="O37" s="53"/>
      <c r="P37" s="53"/>
      <c r="Q37" s="56"/>
      <c r="R37" s="56"/>
      <c r="S37" s="56"/>
      <c r="T37" s="56"/>
      <c r="U37" s="56"/>
      <c r="V37" s="56"/>
      <c r="W37" s="56"/>
    </row>
    <row r="38" spans="1:23" s="23" customFormat="1" ht="38.25">
      <c r="A38" s="62">
        <v>34</v>
      </c>
      <c r="B38" s="37" t="s">
        <v>453</v>
      </c>
      <c r="C38" s="37" t="s">
        <v>362</v>
      </c>
      <c r="D38" s="25" t="s">
        <v>454</v>
      </c>
      <c r="E38" s="60">
        <v>44980.656585648147</v>
      </c>
      <c r="F38" s="49" t="s">
        <v>450</v>
      </c>
      <c r="G38" s="25" t="s">
        <v>488</v>
      </c>
      <c r="H38" s="208">
        <v>1047690</v>
      </c>
      <c r="I38" s="20" t="s">
        <v>246</v>
      </c>
      <c r="J38" s="20" t="s">
        <v>455</v>
      </c>
      <c r="K38" s="21">
        <v>45005</v>
      </c>
      <c r="L38" s="20" t="s">
        <v>214</v>
      </c>
      <c r="M38" s="20" t="s">
        <v>243</v>
      </c>
      <c r="N38" s="53"/>
      <c r="O38" s="53"/>
      <c r="P38" s="53"/>
      <c r="Q38" s="56"/>
      <c r="R38" s="56"/>
      <c r="S38" s="56"/>
      <c r="T38" s="56"/>
      <c r="U38" s="56"/>
      <c r="V38" s="56"/>
      <c r="W38" s="56"/>
    </row>
    <row r="39" spans="1:23" s="23" customFormat="1">
      <c r="A39" s="62">
        <v>35</v>
      </c>
      <c r="B39" s="37" t="s">
        <v>449</v>
      </c>
      <c r="C39" s="37" t="s">
        <v>361</v>
      </c>
      <c r="D39" s="25" t="s">
        <v>452</v>
      </c>
      <c r="E39" s="60">
        <v>44980.660486111112</v>
      </c>
      <c r="F39" s="49" t="s">
        <v>450</v>
      </c>
      <c r="G39" s="16" t="s">
        <v>488</v>
      </c>
      <c r="H39" s="204">
        <v>1047690</v>
      </c>
      <c r="I39" s="20" t="s">
        <v>246</v>
      </c>
      <c r="J39" s="20" t="s">
        <v>455</v>
      </c>
      <c r="K39" s="21">
        <v>45005</v>
      </c>
      <c r="L39" s="20" t="s">
        <v>214</v>
      </c>
      <c r="M39" s="20" t="s">
        <v>243</v>
      </c>
      <c r="N39" s="53"/>
      <c r="O39" s="53"/>
      <c r="P39" s="53"/>
      <c r="Q39" s="56"/>
      <c r="R39" s="56"/>
      <c r="S39" s="56"/>
      <c r="T39" s="56"/>
      <c r="U39" s="56"/>
      <c r="V39" s="56"/>
      <c r="W39" s="56"/>
    </row>
    <row r="40" spans="1:23" s="23" customFormat="1">
      <c r="A40" s="62">
        <v>36</v>
      </c>
      <c r="B40" s="37" t="s">
        <v>449</v>
      </c>
      <c r="C40" s="37" t="s">
        <v>361</v>
      </c>
      <c r="D40" s="25" t="s">
        <v>366</v>
      </c>
      <c r="E40" s="60">
        <v>44980.661585648151</v>
      </c>
      <c r="F40" s="49" t="s">
        <v>450</v>
      </c>
      <c r="G40" s="16" t="s">
        <v>488</v>
      </c>
      <c r="H40" s="204">
        <v>1047690</v>
      </c>
      <c r="I40" s="20" t="s">
        <v>246</v>
      </c>
      <c r="J40" s="20" t="s">
        <v>455</v>
      </c>
      <c r="K40" s="21">
        <v>45005</v>
      </c>
      <c r="L40" s="20" t="s">
        <v>214</v>
      </c>
      <c r="M40" s="20" t="s">
        <v>243</v>
      </c>
      <c r="N40" s="53"/>
      <c r="O40" s="53"/>
      <c r="P40" s="53"/>
      <c r="Q40" s="56"/>
      <c r="R40" s="56"/>
      <c r="S40" s="56"/>
      <c r="T40" s="56"/>
      <c r="U40" s="56"/>
      <c r="V40" s="56"/>
      <c r="W40" s="56"/>
    </row>
    <row r="41" spans="1:23" s="23" customFormat="1">
      <c r="A41" s="62">
        <v>37</v>
      </c>
      <c r="B41" s="37" t="s">
        <v>457</v>
      </c>
      <c r="C41" s="37" t="s">
        <v>363</v>
      </c>
      <c r="D41" s="25" t="s">
        <v>452</v>
      </c>
      <c r="E41" s="60">
        <v>44980.663738425923</v>
      </c>
      <c r="F41" s="49" t="s">
        <v>450</v>
      </c>
      <c r="G41" s="16" t="s">
        <v>488</v>
      </c>
      <c r="H41" s="204">
        <v>1047690</v>
      </c>
      <c r="I41" s="20" t="s">
        <v>246</v>
      </c>
      <c r="J41" s="20" t="s">
        <v>455</v>
      </c>
      <c r="K41" s="21">
        <v>45005</v>
      </c>
      <c r="L41" s="20" t="s">
        <v>214</v>
      </c>
      <c r="M41" s="20" t="s">
        <v>243</v>
      </c>
      <c r="N41" s="53"/>
      <c r="O41" s="53"/>
      <c r="P41" s="53"/>
      <c r="Q41" s="56"/>
      <c r="R41" s="56"/>
      <c r="S41" s="56"/>
      <c r="T41" s="56"/>
      <c r="U41" s="56"/>
      <c r="V41" s="56"/>
      <c r="W41" s="56"/>
    </row>
    <row r="42" spans="1:23" s="23" customFormat="1">
      <c r="A42" s="62">
        <v>38</v>
      </c>
      <c r="B42" s="37" t="s">
        <v>457</v>
      </c>
      <c r="C42" s="37" t="s">
        <v>363</v>
      </c>
      <c r="D42" s="25" t="s">
        <v>366</v>
      </c>
      <c r="E42" s="60">
        <v>44980.663807870369</v>
      </c>
      <c r="F42" s="49" t="s">
        <v>450</v>
      </c>
      <c r="G42" s="16" t="s">
        <v>488</v>
      </c>
      <c r="H42" s="204">
        <v>1047690</v>
      </c>
      <c r="I42" s="20" t="s">
        <v>246</v>
      </c>
      <c r="J42" s="20" t="s">
        <v>455</v>
      </c>
      <c r="K42" s="21">
        <v>45005</v>
      </c>
      <c r="L42" s="20" t="s">
        <v>214</v>
      </c>
      <c r="M42" s="20" t="s">
        <v>243</v>
      </c>
      <c r="N42" s="53"/>
      <c r="O42" s="53"/>
      <c r="P42" s="53"/>
      <c r="Q42" s="56"/>
      <c r="R42" s="56"/>
      <c r="S42" s="56"/>
      <c r="T42" s="56"/>
      <c r="U42" s="56"/>
      <c r="V42" s="56"/>
      <c r="W42" s="56"/>
    </row>
    <row r="43" spans="1:23" s="23" customFormat="1">
      <c r="A43" s="62">
        <v>39</v>
      </c>
      <c r="B43" s="37" t="s">
        <v>457</v>
      </c>
      <c r="C43" s="37" t="s">
        <v>363</v>
      </c>
      <c r="D43" s="25" t="s">
        <v>458</v>
      </c>
      <c r="E43" s="60">
        <v>44980.664340277777</v>
      </c>
      <c r="F43" s="49" t="s">
        <v>450</v>
      </c>
      <c r="G43" s="16" t="s">
        <v>488</v>
      </c>
      <c r="H43" s="204">
        <v>1047690</v>
      </c>
      <c r="I43" s="20" t="s">
        <v>246</v>
      </c>
      <c r="J43" s="20" t="s">
        <v>455</v>
      </c>
      <c r="K43" s="21">
        <v>45005</v>
      </c>
      <c r="L43" s="20" t="s">
        <v>214</v>
      </c>
      <c r="M43" s="20" t="s">
        <v>243</v>
      </c>
      <c r="N43" s="53"/>
      <c r="O43" s="53"/>
      <c r="P43" s="53"/>
      <c r="Q43" s="56"/>
      <c r="R43" s="56"/>
      <c r="S43" s="56"/>
      <c r="T43" s="56"/>
      <c r="U43" s="56"/>
      <c r="V43" s="56"/>
      <c r="W43" s="56"/>
    </row>
    <row r="44" spans="1:23" s="23" customFormat="1" ht="25.5">
      <c r="A44" s="62">
        <v>40</v>
      </c>
      <c r="B44" s="37" t="s">
        <v>457</v>
      </c>
      <c r="C44" s="37" t="s">
        <v>363</v>
      </c>
      <c r="D44" s="25" t="s">
        <v>459</v>
      </c>
      <c r="E44" s="60">
        <v>44980.666168981479</v>
      </c>
      <c r="F44" s="49" t="s">
        <v>450</v>
      </c>
      <c r="G44" s="16" t="s">
        <v>488</v>
      </c>
      <c r="H44" s="204">
        <v>1047690</v>
      </c>
      <c r="I44" s="20" t="s">
        <v>246</v>
      </c>
      <c r="J44" s="20" t="s">
        <v>455</v>
      </c>
      <c r="K44" s="21">
        <v>45005</v>
      </c>
      <c r="L44" s="20" t="s">
        <v>214</v>
      </c>
      <c r="M44" s="20" t="s">
        <v>243</v>
      </c>
      <c r="N44" s="53"/>
      <c r="O44" s="53"/>
      <c r="P44" s="53"/>
      <c r="Q44" s="56"/>
      <c r="R44" s="56"/>
      <c r="S44" s="56"/>
      <c r="T44" s="56"/>
      <c r="U44" s="56"/>
      <c r="V44" s="56"/>
      <c r="W44" s="56"/>
    </row>
    <row r="45" spans="1:23" s="23" customFormat="1" ht="25.5">
      <c r="A45" s="62">
        <v>41</v>
      </c>
      <c r="B45" s="37" t="s">
        <v>457</v>
      </c>
      <c r="C45" s="37" t="s">
        <v>363</v>
      </c>
      <c r="D45" s="25" t="s">
        <v>460</v>
      </c>
      <c r="E45" s="60">
        <v>44980.669745370367</v>
      </c>
      <c r="F45" s="49" t="s">
        <v>450</v>
      </c>
      <c r="G45" s="16" t="s">
        <v>488</v>
      </c>
      <c r="H45" s="204">
        <v>1047690</v>
      </c>
      <c r="I45" s="20" t="s">
        <v>246</v>
      </c>
      <c r="J45" s="20" t="s">
        <v>455</v>
      </c>
      <c r="K45" s="21">
        <v>45005</v>
      </c>
      <c r="L45" s="20" t="s">
        <v>214</v>
      </c>
      <c r="M45" s="20" t="s">
        <v>243</v>
      </c>
      <c r="N45" s="53"/>
      <c r="O45" s="53"/>
      <c r="P45" s="53"/>
      <c r="Q45" s="56"/>
      <c r="R45" s="56"/>
      <c r="S45" s="56"/>
      <c r="T45" s="56"/>
      <c r="U45" s="56"/>
      <c r="V45" s="56"/>
      <c r="W45" s="56"/>
    </row>
    <row r="46" spans="1:23" s="23" customFormat="1" ht="25.5">
      <c r="A46" s="62">
        <v>42</v>
      </c>
      <c r="B46" s="37" t="s">
        <v>457</v>
      </c>
      <c r="C46" s="37" t="s">
        <v>363</v>
      </c>
      <c r="D46" s="25" t="s">
        <v>461</v>
      </c>
      <c r="E46" s="60">
        <v>44980.671956018516</v>
      </c>
      <c r="F46" s="49" t="s">
        <v>450</v>
      </c>
      <c r="G46" s="16" t="s">
        <v>488</v>
      </c>
      <c r="H46" s="204">
        <v>1047690</v>
      </c>
      <c r="I46" s="20" t="s">
        <v>246</v>
      </c>
      <c r="J46" s="20" t="s">
        <v>455</v>
      </c>
      <c r="K46" s="21">
        <v>45005</v>
      </c>
      <c r="L46" s="20" t="s">
        <v>214</v>
      </c>
      <c r="M46" s="20" t="s">
        <v>243</v>
      </c>
      <c r="N46" s="53"/>
      <c r="O46" s="53"/>
      <c r="P46" s="53"/>
      <c r="Q46" s="56"/>
      <c r="R46" s="56"/>
      <c r="S46" s="56"/>
      <c r="T46" s="56"/>
      <c r="U46" s="56"/>
      <c r="V46" s="56"/>
      <c r="W46" s="56"/>
    </row>
    <row r="47" spans="1:23" s="23" customFormat="1">
      <c r="A47" s="62">
        <v>43</v>
      </c>
      <c r="B47" s="19">
        <v>1.3</v>
      </c>
      <c r="C47" s="37" t="s">
        <v>466</v>
      </c>
      <c r="D47" s="25" t="s">
        <v>462</v>
      </c>
      <c r="E47" s="60">
        <v>44980.516099537039</v>
      </c>
      <c r="F47" s="49" t="s">
        <v>450</v>
      </c>
      <c r="G47" s="25" t="s">
        <v>489</v>
      </c>
      <c r="H47" s="208">
        <v>1047503</v>
      </c>
      <c r="I47" s="69" t="s">
        <v>246</v>
      </c>
      <c r="J47" s="20" t="s">
        <v>455</v>
      </c>
      <c r="K47" s="21">
        <v>45005.406087962961</v>
      </c>
      <c r="L47" s="20" t="s">
        <v>214</v>
      </c>
      <c r="M47" s="20" t="s">
        <v>243</v>
      </c>
      <c r="N47" s="53"/>
      <c r="O47" s="53"/>
      <c r="P47" s="53"/>
      <c r="Q47" s="56"/>
      <c r="R47" s="56"/>
      <c r="S47" s="56"/>
      <c r="T47" s="56"/>
      <c r="U47" s="56"/>
      <c r="V47" s="56"/>
      <c r="W47" s="56"/>
    </row>
    <row r="48" spans="1:23" s="23" customFormat="1">
      <c r="A48" s="62">
        <v>44</v>
      </c>
      <c r="B48" s="19">
        <v>1.3</v>
      </c>
      <c r="C48" s="37" t="s">
        <v>466</v>
      </c>
      <c r="D48" s="25" t="s">
        <v>463</v>
      </c>
      <c r="E48" s="60">
        <v>44980.517465277779</v>
      </c>
      <c r="F48" s="49" t="s">
        <v>450</v>
      </c>
      <c r="G48" s="16"/>
      <c r="H48" s="208"/>
      <c r="I48" s="20"/>
      <c r="J48" s="20" t="s">
        <v>455</v>
      </c>
      <c r="K48" s="21">
        <v>44980.517569444448</v>
      </c>
      <c r="L48" s="20" t="s">
        <v>238</v>
      </c>
      <c r="M48" s="20" t="s">
        <v>243</v>
      </c>
      <c r="N48" s="53"/>
      <c r="O48" s="53"/>
      <c r="P48" s="53"/>
      <c r="Q48" s="56"/>
      <c r="R48" s="56"/>
      <c r="S48" s="56"/>
      <c r="T48" s="56"/>
      <c r="U48" s="56"/>
      <c r="V48" s="56"/>
      <c r="W48" s="56"/>
    </row>
    <row r="49" spans="1:23" s="23" customFormat="1">
      <c r="A49" s="62">
        <v>45</v>
      </c>
      <c r="B49" s="19">
        <v>1.3</v>
      </c>
      <c r="C49" s="37" t="s">
        <v>466</v>
      </c>
      <c r="D49" s="25" t="s">
        <v>464</v>
      </c>
      <c r="E49" s="60">
        <v>44980.521643518521</v>
      </c>
      <c r="F49" s="49" t="s">
        <v>450</v>
      </c>
      <c r="G49" s="25" t="s">
        <v>488</v>
      </c>
      <c r="H49" s="208">
        <v>1047503</v>
      </c>
      <c r="I49" s="69" t="s">
        <v>246</v>
      </c>
      <c r="J49" s="20" t="s">
        <v>455</v>
      </c>
      <c r="K49" s="21">
        <v>45005.406087962961</v>
      </c>
      <c r="L49" s="20" t="s">
        <v>214</v>
      </c>
      <c r="M49" s="20" t="s">
        <v>243</v>
      </c>
      <c r="N49" s="53"/>
      <c r="O49" s="53"/>
      <c r="P49" s="53"/>
      <c r="Q49" s="56"/>
      <c r="R49" s="56"/>
      <c r="S49" s="56"/>
      <c r="T49" s="56"/>
      <c r="U49" s="56"/>
      <c r="V49" s="56"/>
      <c r="W49" s="56"/>
    </row>
    <row r="50" spans="1:23" s="23" customFormat="1" ht="25.5">
      <c r="A50" s="62">
        <v>46</v>
      </c>
      <c r="B50" s="19">
        <v>1.3</v>
      </c>
      <c r="C50" s="19" t="s">
        <v>466</v>
      </c>
      <c r="D50" s="25" t="s">
        <v>465</v>
      </c>
      <c r="E50" s="60">
        <v>44980.522187499999</v>
      </c>
      <c r="F50" s="49" t="s">
        <v>450</v>
      </c>
      <c r="G50" s="25" t="s">
        <v>488</v>
      </c>
      <c r="H50" s="208">
        <v>1047503</v>
      </c>
      <c r="I50" s="69" t="s">
        <v>246</v>
      </c>
      <c r="J50" s="20" t="s">
        <v>455</v>
      </c>
      <c r="K50" s="21">
        <v>45005.406087962961</v>
      </c>
      <c r="L50" s="20" t="s">
        <v>214</v>
      </c>
      <c r="M50" s="20" t="s">
        <v>243</v>
      </c>
      <c r="N50" s="53"/>
      <c r="O50" s="53"/>
      <c r="P50" s="53"/>
      <c r="Q50" s="56"/>
      <c r="R50" s="56"/>
      <c r="S50" s="56"/>
      <c r="T50" s="56"/>
      <c r="U50" s="56"/>
      <c r="V50" s="56"/>
      <c r="W50" s="56"/>
    </row>
    <row r="51" spans="1:23" s="23" customFormat="1">
      <c r="A51" s="62">
        <v>47</v>
      </c>
      <c r="B51" s="60" t="s">
        <v>479</v>
      </c>
      <c r="C51" s="60" t="s">
        <v>358</v>
      </c>
      <c r="D51" s="60" t="s">
        <v>437</v>
      </c>
      <c r="E51" s="60">
        <v>44987</v>
      </c>
      <c r="F51" s="60" t="s">
        <v>482</v>
      </c>
      <c r="G51" s="60"/>
      <c r="H51" s="209"/>
      <c r="I51" s="60"/>
      <c r="J51" s="60" t="s">
        <v>455</v>
      </c>
      <c r="K51" s="60">
        <v>44987</v>
      </c>
      <c r="L51" s="20" t="s">
        <v>238</v>
      </c>
      <c r="M51" s="20" t="s">
        <v>243</v>
      </c>
      <c r="N51" s="53"/>
      <c r="O51" s="53"/>
      <c r="P51" s="53"/>
      <c r="Q51" s="56"/>
      <c r="R51" s="56"/>
      <c r="S51" s="56"/>
      <c r="T51" s="56"/>
      <c r="U51" s="56"/>
      <c r="V51" s="56"/>
      <c r="W51" s="56"/>
    </row>
    <row r="52" spans="1:23" s="23" customFormat="1">
      <c r="A52" s="62">
        <v>48</v>
      </c>
      <c r="B52" s="60" t="s">
        <v>449</v>
      </c>
      <c r="C52" s="60" t="s">
        <v>360</v>
      </c>
      <c r="D52" s="60" t="s">
        <v>437</v>
      </c>
      <c r="E52" s="60">
        <v>44987</v>
      </c>
      <c r="F52" s="60" t="s">
        <v>482</v>
      </c>
      <c r="G52" s="60"/>
      <c r="H52" s="209"/>
      <c r="I52" s="60"/>
      <c r="J52" s="60" t="s">
        <v>455</v>
      </c>
      <c r="K52" s="60">
        <v>44987</v>
      </c>
      <c r="L52" s="20" t="s">
        <v>238</v>
      </c>
      <c r="M52" s="20" t="s">
        <v>243</v>
      </c>
      <c r="N52" s="53"/>
      <c r="O52" s="53"/>
      <c r="P52" s="53"/>
      <c r="Q52" s="56"/>
      <c r="R52" s="56"/>
      <c r="S52" s="56"/>
      <c r="T52" s="56"/>
      <c r="U52" s="56"/>
      <c r="V52" s="56"/>
      <c r="W52" s="56"/>
    </row>
    <row r="53" spans="1:23" s="23" customFormat="1">
      <c r="A53" s="62">
        <v>49</v>
      </c>
      <c r="B53" s="60" t="s">
        <v>480</v>
      </c>
      <c r="C53" s="60" t="s">
        <v>363</v>
      </c>
      <c r="D53" s="60" t="s">
        <v>437</v>
      </c>
      <c r="E53" s="60">
        <v>44987</v>
      </c>
      <c r="F53" s="60" t="s">
        <v>482</v>
      </c>
      <c r="G53" s="60"/>
      <c r="H53" s="209"/>
      <c r="I53" s="60"/>
      <c r="J53" s="60" t="s">
        <v>455</v>
      </c>
      <c r="K53" s="60">
        <v>44987</v>
      </c>
      <c r="L53" s="20" t="s">
        <v>238</v>
      </c>
      <c r="M53" s="20" t="s">
        <v>243</v>
      </c>
      <c r="N53" s="53"/>
      <c r="O53" s="53"/>
      <c r="P53" s="53"/>
      <c r="Q53" s="56"/>
      <c r="R53" s="56"/>
      <c r="S53" s="56"/>
      <c r="T53" s="56"/>
      <c r="U53" s="56"/>
      <c r="V53" s="56"/>
      <c r="W53" s="56"/>
    </row>
    <row r="54" spans="1:23" s="23" customFormat="1">
      <c r="A54" s="62">
        <v>50</v>
      </c>
      <c r="B54" s="60" t="s">
        <v>481</v>
      </c>
      <c r="C54" s="60" t="s">
        <v>362</v>
      </c>
      <c r="D54" s="60" t="s">
        <v>437</v>
      </c>
      <c r="E54" s="60">
        <v>44987</v>
      </c>
      <c r="F54" s="60" t="s">
        <v>482</v>
      </c>
      <c r="G54" s="60"/>
      <c r="H54" s="209"/>
      <c r="I54" s="60"/>
      <c r="J54" s="60" t="s">
        <v>455</v>
      </c>
      <c r="K54" s="60">
        <v>44987</v>
      </c>
      <c r="L54" s="20" t="s">
        <v>238</v>
      </c>
      <c r="M54" s="20" t="s">
        <v>243</v>
      </c>
      <c r="N54" s="53"/>
      <c r="O54" s="53"/>
      <c r="P54" s="53"/>
      <c r="Q54" s="56"/>
      <c r="R54" s="56"/>
      <c r="S54" s="56"/>
      <c r="T54" s="56"/>
      <c r="U54" s="56"/>
      <c r="V54" s="56"/>
      <c r="W54" s="56"/>
    </row>
    <row r="55" spans="1:23" s="23" customFormat="1">
      <c r="A55" s="62">
        <v>51</v>
      </c>
      <c r="B55" s="60" t="s">
        <v>479</v>
      </c>
      <c r="C55" s="60" t="s">
        <v>361</v>
      </c>
      <c r="D55" s="60" t="s">
        <v>437</v>
      </c>
      <c r="E55" s="60">
        <v>44987</v>
      </c>
      <c r="F55" s="60" t="s">
        <v>482</v>
      </c>
      <c r="G55" s="60"/>
      <c r="H55" s="209"/>
      <c r="I55" s="60"/>
      <c r="J55" s="60" t="s">
        <v>455</v>
      </c>
      <c r="K55" s="60">
        <v>44987</v>
      </c>
      <c r="L55" s="20" t="s">
        <v>238</v>
      </c>
      <c r="M55" s="20" t="s">
        <v>243</v>
      </c>
      <c r="N55" s="53"/>
      <c r="O55" s="53"/>
      <c r="P55" s="53"/>
      <c r="Q55" s="56"/>
      <c r="R55" s="56"/>
      <c r="S55" s="56"/>
      <c r="T55" s="56"/>
      <c r="U55" s="56"/>
      <c r="V55" s="56"/>
      <c r="W55" s="56"/>
    </row>
    <row r="56" spans="1:23" s="23" customFormat="1">
      <c r="A56" s="62">
        <v>52</v>
      </c>
      <c r="B56" s="19" t="s">
        <v>490</v>
      </c>
      <c r="C56" s="60" t="s">
        <v>358</v>
      </c>
      <c r="D56" s="16" t="s">
        <v>492</v>
      </c>
      <c r="E56" s="60">
        <v>45002.595949074072</v>
      </c>
      <c r="F56" s="49" t="s">
        <v>438</v>
      </c>
      <c r="G56" s="16"/>
      <c r="H56" s="208"/>
      <c r="I56" s="20"/>
      <c r="J56" s="60" t="s">
        <v>455</v>
      </c>
      <c r="K56" s="21">
        <v>45002.600347222222</v>
      </c>
      <c r="L56" s="20" t="s">
        <v>238</v>
      </c>
      <c r="M56" s="20" t="s">
        <v>243</v>
      </c>
      <c r="N56" s="53"/>
      <c r="O56" s="53"/>
      <c r="P56" s="53"/>
      <c r="Q56" s="56"/>
      <c r="R56" s="56"/>
      <c r="S56" s="56"/>
      <c r="T56" s="56"/>
      <c r="U56" s="56"/>
      <c r="V56" s="56"/>
      <c r="W56" s="56"/>
    </row>
    <row r="57" spans="1:23" s="23" customFormat="1">
      <c r="A57" s="62">
        <v>53</v>
      </c>
      <c r="B57" s="19" t="s">
        <v>479</v>
      </c>
      <c r="C57" s="60" t="s">
        <v>360</v>
      </c>
      <c r="D57" s="16" t="s">
        <v>492</v>
      </c>
      <c r="E57" s="60">
        <v>45002.600023148145</v>
      </c>
      <c r="F57" s="49" t="s">
        <v>438</v>
      </c>
      <c r="G57" s="16"/>
      <c r="H57" s="208"/>
      <c r="I57" s="20"/>
      <c r="J57" s="60" t="s">
        <v>455</v>
      </c>
      <c r="K57" s="21">
        <v>45002.600393518522</v>
      </c>
      <c r="L57" s="20" t="s">
        <v>238</v>
      </c>
      <c r="M57" s="20" t="s">
        <v>243</v>
      </c>
      <c r="N57" s="53"/>
      <c r="O57" s="53"/>
      <c r="P57" s="53"/>
      <c r="Q57" s="56"/>
      <c r="R57" s="56"/>
      <c r="S57" s="56"/>
      <c r="T57" s="56"/>
      <c r="U57" s="56"/>
      <c r="V57" s="56"/>
      <c r="W57" s="56"/>
    </row>
    <row r="58" spans="1:23" s="23" customFormat="1">
      <c r="A58" s="62">
        <v>54</v>
      </c>
      <c r="B58" s="19" t="s">
        <v>493</v>
      </c>
      <c r="C58" s="60" t="s">
        <v>363</v>
      </c>
      <c r="D58" s="16" t="s">
        <v>492</v>
      </c>
      <c r="E58" s="60">
        <v>45002.600057870368</v>
      </c>
      <c r="F58" s="49" t="s">
        <v>438</v>
      </c>
      <c r="G58" s="16"/>
      <c r="H58" s="208"/>
      <c r="I58" s="20"/>
      <c r="J58" s="60" t="s">
        <v>455</v>
      </c>
      <c r="K58" s="21">
        <v>45002.600416666668</v>
      </c>
      <c r="L58" s="20" t="s">
        <v>238</v>
      </c>
      <c r="M58" s="20" t="s">
        <v>243</v>
      </c>
      <c r="N58" s="53"/>
      <c r="O58" s="53"/>
      <c r="P58" s="53"/>
      <c r="Q58" s="56"/>
      <c r="R58" s="56"/>
      <c r="S58" s="56"/>
      <c r="T58" s="56"/>
      <c r="U58" s="56"/>
      <c r="V58" s="56"/>
      <c r="W58" s="56"/>
    </row>
    <row r="59" spans="1:23" s="23" customFormat="1">
      <c r="A59" s="62">
        <v>55</v>
      </c>
      <c r="B59" s="19" t="s">
        <v>491</v>
      </c>
      <c r="C59" s="60" t="s">
        <v>362</v>
      </c>
      <c r="D59" s="16" t="s">
        <v>492</v>
      </c>
      <c r="E59" s="60">
        <v>45002.598217592589</v>
      </c>
      <c r="F59" s="49" t="s">
        <v>438</v>
      </c>
      <c r="G59" s="16"/>
      <c r="H59" s="208"/>
      <c r="I59" s="20"/>
      <c r="J59" s="60" t="s">
        <v>455</v>
      </c>
      <c r="K59" s="21">
        <v>45002.607372685183</v>
      </c>
      <c r="L59" s="20" t="s">
        <v>238</v>
      </c>
      <c r="M59" s="20" t="s">
        <v>243</v>
      </c>
      <c r="N59" s="53"/>
      <c r="O59" s="53"/>
      <c r="P59" s="53"/>
      <c r="Q59" s="56"/>
      <c r="R59" s="56"/>
      <c r="S59" s="56"/>
      <c r="T59" s="56"/>
      <c r="U59" s="56"/>
      <c r="V59" s="56"/>
      <c r="W59" s="56"/>
    </row>
    <row r="60" spans="1:23" s="23" customFormat="1">
      <c r="A60" s="62">
        <v>56</v>
      </c>
      <c r="B60" s="19" t="s">
        <v>490</v>
      </c>
      <c r="C60" s="60" t="s">
        <v>361</v>
      </c>
      <c r="D60" s="16" t="s">
        <v>492</v>
      </c>
      <c r="E60" s="60">
        <v>45002.60015046296</v>
      </c>
      <c r="F60" s="49" t="s">
        <v>438</v>
      </c>
      <c r="G60" s="16"/>
      <c r="H60" s="208"/>
      <c r="I60" s="20"/>
      <c r="J60" s="60" t="s">
        <v>455</v>
      </c>
      <c r="K60" s="21">
        <v>45002.607395833336</v>
      </c>
      <c r="L60" s="20" t="s">
        <v>238</v>
      </c>
      <c r="M60" s="20" t="s">
        <v>243</v>
      </c>
      <c r="N60" s="53"/>
      <c r="O60" s="53"/>
      <c r="P60" s="53"/>
      <c r="Q60" s="56"/>
      <c r="R60" s="56"/>
      <c r="S60" s="56"/>
      <c r="T60" s="56"/>
      <c r="U60" s="56"/>
      <c r="V60" s="56"/>
      <c r="W60" s="56"/>
    </row>
    <row r="61" spans="1:23" s="23" customFormat="1">
      <c r="A61" s="62">
        <v>57</v>
      </c>
      <c r="B61" s="19" t="s">
        <v>479</v>
      </c>
      <c r="C61" s="37" t="s">
        <v>359</v>
      </c>
      <c r="D61" s="16" t="s">
        <v>492</v>
      </c>
      <c r="E61" s="60">
        <v>45002.596296296295</v>
      </c>
      <c r="F61" s="49" t="s">
        <v>438</v>
      </c>
      <c r="G61" s="16"/>
      <c r="H61" s="208"/>
      <c r="I61" s="20"/>
      <c r="J61" s="60" t="s">
        <v>455</v>
      </c>
      <c r="K61" s="21">
        <v>45002.607430555552</v>
      </c>
      <c r="L61" s="20" t="s">
        <v>238</v>
      </c>
      <c r="M61" s="20" t="s">
        <v>243</v>
      </c>
      <c r="N61" s="53"/>
      <c r="O61" s="53"/>
      <c r="P61" s="53"/>
      <c r="Q61" s="56"/>
      <c r="R61" s="56"/>
      <c r="S61" s="56"/>
      <c r="T61" s="56"/>
      <c r="U61" s="56"/>
      <c r="V61" s="56"/>
      <c r="W61" s="56"/>
    </row>
    <row r="62" spans="1:23" s="23" customFormat="1">
      <c r="A62" s="62">
        <v>58</v>
      </c>
      <c r="B62" s="19">
        <v>1.4</v>
      </c>
      <c r="C62" s="37" t="s">
        <v>466</v>
      </c>
      <c r="D62" s="16" t="s">
        <v>494</v>
      </c>
      <c r="E62" s="60">
        <v>45002.607268518521</v>
      </c>
      <c r="F62" s="49" t="s">
        <v>438</v>
      </c>
      <c r="G62" s="16"/>
      <c r="H62" s="208"/>
      <c r="I62" s="20"/>
      <c r="J62" s="60" t="s">
        <v>455</v>
      </c>
      <c r="K62" s="21">
        <v>45002.607453703706</v>
      </c>
      <c r="L62" s="20" t="s">
        <v>238</v>
      </c>
      <c r="M62" s="20" t="s">
        <v>243</v>
      </c>
      <c r="N62" s="53"/>
      <c r="O62" s="53"/>
      <c r="P62" s="53"/>
      <c r="Q62" s="56"/>
      <c r="R62" s="56"/>
      <c r="S62" s="56"/>
      <c r="T62" s="56"/>
      <c r="U62" s="56"/>
      <c r="V62" s="56"/>
      <c r="W62" s="56"/>
    </row>
    <row r="63" spans="1:23" s="23" customFormat="1">
      <c r="A63" s="62">
        <v>59</v>
      </c>
      <c r="B63" s="37" t="s">
        <v>502</v>
      </c>
      <c r="C63" s="60" t="s">
        <v>363</v>
      </c>
      <c r="D63" s="60" t="s">
        <v>437</v>
      </c>
      <c r="E63" s="60">
        <v>45007.367928240739</v>
      </c>
      <c r="F63" s="49" t="s">
        <v>365</v>
      </c>
      <c r="G63" s="16"/>
      <c r="H63" s="208"/>
      <c r="I63" s="20"/>
      <c r="J63" s="20" t="s">
        <v>365</v>
      </c>
      <c r="K63" s="21">
        <v>45007.368009259262</v>
      </c>
      <c r="L63" s="20" t="s">
        <v>238</v>
      </c>
      <c r="M63" s="20" t="s">
        <v>243</v>
      </c>
      <c r="N63" s="53"/>
      <c r="O63" s="53"/>
      <c r="P63" s="53"/>
      <c r="Q63" s="56"/>
      <c r="R63" s="56"/>
      <c r="S63" s="56"/>
      <c r="T63" s="56"/>
      <c r="U63" s="56"/>
      <c r="V63" s="56"/>
      <c r="W63" s="56"/>
    </row>
    <row r="64" spans="1:23" s="23" customFormat="1">
      <c r="A64" s="62">
        <v>60</v>
      </c>
      <c r="B64" s="37" t="s">
        <v>503</v>
      </c>
      <c r="C64" s="60" t="s">
        <v>361</v>
      </c>
      <c r="D64" s="60" t="s">
        <v>437</v>
      </c>
      <c r="E64" s="60">
        <v>45007.368854166663</v>
      </c>
      <c r="F64" s="49" t="s">
        <v>365</v>
      </c>
      <c r="G64" s="16"/>
      <c r="H64" s="208"/>
      <c r="I64" s="20"/>
      <c r="J64" s="20" t="s">
        <v>365</v>
      </c>
      <c r="K64" s="21">
        <v>45007.368923611109</v>
      </c>
      <c r="L64" s="20" t="s">
        <v>238</v>
      </c>
      <c r="M64" s="20" t="s">
        <v>243</v>
      </c>
      <c r="N64" s="53"/>
      <c r="O64" s="53"/>
      <c r="P64" s="53"/>
      <c r="Q64" s="56"/>
      <c r="R64" s="56"/>
      <c r="S64" s="56"/>
      <c r="T64" s="56"/>
      <c r="U64" s="56"/>
      <c r="V64" s="56"/>
      <c r="W64" s="56"/>
    </row>
    <row r="65" spans="1:23" s="23" customFormat="1">
      <c r="A65" s="62">
        <v>61</v>
      </c>
      <c r="B65" s="19">
        <v>1.1000000000000001</v>
      </c>
      <c r="C65" s="37" t="s">
        <v>436</v>
      </c>
      <c r="D65" s="25" t="s">
        <v>507</v>
      </c>
      <c r="E65" s="60">
        <v>45029.436574074076</v>
      </c>
      <c r="F65" s="49" t="s">
        <v>438</v>
      </c>
      <c r="G65" s="16"/>
      <c r="H65" s="210">
        <v>1103015</v>
      </c>
      <c r="I65" s="20"/>
      <c r="J65" s="69" t="s">
        <v>508</v>
      </c>
      <c r="K65" s="21">
        <v>45051</v>
      </c>
      <c r="L65" s="20" t="s">
        <v>214</v>
      </c>
      <c r="M65" s="20" t="s">
        <v>243</v>
      </c>
      <c r="N65" s="53"/>
      <c r="O65" s="53"/>
      <c r="P65" s="53"/>
      <c r="Q65" s="56"/>
      <c r="R65" s="56"/>
      <c r="S65" s="56"/>
      <c r="T65" s="56"/>
      <c r="U65" s="56"/>
      <c r="V65" s="56"/>
      <c r="W65" s="56"/>
    </row>
    <row r="66" spans="1:23" s="23" customFormat="1" ht="25.5">
      <c r="A66" s="62">
        <v>62</v>
      </c>
      <c r="B66" s="19" t="s">
        <v>509</v>
      </c>
      <c r="C66" s="19" t="s">
        <v>362</v>
      </c>
      <c r="D66" s="16" t="s">
        <v>510</v>
      </c>
      <c r="E66" s="60">
        <v>45104.637395833335</v>
      </c>
      <c r="F66" s="49" t="s">
        <v>511</v>
      </c>
      <c r="G66" s="16"/>
      <c r="H66" s="208"/>
      <c r="I66" s="20"/>
      <c r="J66" s="20" t="s">
        <v>512</v>
      </c>
      <c r="K66" s="21">
        <v>45104.637442129628</v>
      </c>
      <c r="L66" s="20" t="s">
        <v>238</v>
      </c>
      <c r="M66" s="20" t="s">
        <v>243</v>
      </c>
      <c r="N66" s="53"/>
      <c r="O66" s="53"/>
      <c r="P66" s="53"/>
      <c r="Q66" s="56"/>
      <c r="R66" s="56"/>
      <c r="S66" s="56"/>
      <c r="T66" s="56"/>
      <c r="U66" s="56"/>
      <c r="V66" s="56"/>
      <c r="W66" s="56"/>
    </row>
    <row r="67" spans="1:23" s="23" customFormat="1" ht="25.5">
      <c r="A67" s="62">
        <v>63</v>
      </c>
      <c r="B67" s="19" t="s">
        <v>509</v>
      </c>
      <c r="C67" s="19" t="s">
        <v>362</v>
      </c>
      <c r="D67" s="16" t="s">
        <v>437</v>
      </c>
      <c r="E67" s="60">
        <v>45104.638784722221</v>
      </c>
      <c r="F67" s="49" t="s">
        <v>511</v>
      </c>
      <c r="G67" s="16"/>
      <c r="H67" s="208"/>
      <c r="I67" s="20"/>
      <c r="J67" s="20" t="s">
        <v>512</v>
      </c>
      <c r="K67" s="21">
        <v>45104.638831018521</v>
      </c>
      <c r="L67" s="20" t="s">
        <v>238</v>
      </c>
      <c r="M67" s="20" t="s">
        <v>243</v>
      </c>
      <c r="N67" s="53"/>
      <c r="O67" s="53"/>
      <c r="P67" s="53"/>
      <c r="Q67" s="56"/>
      <c r="R67" s="56"/>
      <c r="S67" s="56"/>
      <c r="T67" s="56"/>
      <c r="U67" s="56"/>
      <c r="V67" s="56"/>
      <c r="W67" s="56"/>
    </row>
    <row r="68" spans="1:23" s="23" customFormat="1" ht="25.5">
      <c r="A68" s="62">
        <v>64</v>
      </c>
      <c r="B68" s="19" t="s">
        <v>513</v>
      </c>
      <c r="C68" s="19" t="s">
        <v>361</v>
      </c>
      <c r="D68" s="16" t="s">
        <v>514</v>
      </c>
      <c r="E68" s="60">
        <v>45104.640416666669</v>
      </c>
      <c r="F68" s="49" t="s">
        <v>511</v>
      </c>
      <c r="G68" s="16"/>
      <c r="H68" s="208"/>
      <c r="I68" s="20"/>
      <c r="J68" s="20" t="s">
        <v>455</v>
      </c>
      <c r="K68" s="21">
        <v>45104.640451388892</v>
      </c>
      <c r="L68" s="20" t="s">
        <v>238</v>
      </c>
      <c r="M68" s="20" t="s">
        <v>243</v>
      </c>
      <c r="N68" s="53"/>
      <c r="O68" s="53"/>
      <c r="P68" s="53"/>
      <c r="Q68" s="56"/>
      <c r="R68" s="56"/>
      <c r="S68" s="56"/>
      <c r="T68" s="56"/>
      <c r="U68" s="56"/>
      <c r="V68" s="56"/>
      <c r="W68" s="56"/>
    </row>
    <row r="69" spans="1:23" s="23" customFormat="1" ht="25.5">
      <c r="A69" s="62">
        <v>65</v>
      </c>
      <c r="B69" s="19" t="s">
        <v>513</v>
      </c>
      <c r="C69" s="19" t="s">
        <v>361</v>
      </c>
      <c r="D69" s="16" t="s">
        <v>437</v>
      </c>
      <c r="E69" s="60">
        <v>45104.641539351855</v>
      </c>
      <c r="F69" s="49" t="s">
        <v>511</v>
      </c>
      <c r="G69" s="16"/>
      <c r="H69" s="208"/>
      <c r="I69" s="20"/>
      <c r="J69" s="20" t="s">
        <v>455</v>
      </c>
      <c r="K69" s="21">
        <v>45104.641597222224</v>
      </c>
      <c r="L69" s="20" t="s">
        <v>238</v>
      </c>
      <c r="M69" s="20" t="s">
        <v>243</v>
      </c>
      <c r="N69" s="53"/>
      <c r="O69" s="53"/>
      <c r="P69" s="53"/>
      <c r="Q69" s="56"/>
      <c r="R69" s="56"/>
      <c r="S69" s="56"/>
      <c r="T69" s="56"/>
      <c r="U69" s="56"/>
      <c r="V69" s="56"/>
      <c r="W69" s="56"/>
    </row>
    <row r="70" spans="1:23" s="23" customFormat="1" ht="25.5">
      <c r="A70" s="62">
        <v>66</v>
      </c>
      <c r="B70" s="19" t="s">
        <v>515</v>
      </c>
      <c r="C70" s="19" t="s">
        <v>363</v>
      </c>
      <c r="D70" s="16" t="s">
        <v>516</v>
      </c>
      <c r="E70" s="60">
        <v>45104.64203703704</v>
      </c>
      <c r="F70" s="49" t="s">
        <v>511</v>
      </c>
      <c r="G70" s="16"/>
      <c r="H70" s="208"/>
      <c r="I70" s="20"/>
      <c r="J70" s="20" t="s">
        <v>455</v>
      </c>
      <c r="K70" s="21">
        <v>45104.643101851849</v>
      </c>
      <c r="L70" s="20" t="s">
        <v>238</v>
      </c>
      <c r="M70" s="20" t="s">
        <v>243</v>
      </c>
      <c r="N70" s="53"/>
      <c r="O70" s="53"/>
      <c r="P70" s="53"/>
      <c r="Q70" s="56"/>
      <c r="R70" s="56"/>
      <c r="S70" s="56"/>
      <c r="T70" s="56"/>
      <c r="U70" s="56"/>
      <c r="V70" s="56"/>
      <c r="W70" s="56"/>
    </row>
    <row r="71" spans="1:23" s="23" customFormat="1" ht="25.5">
      <c r="A71" s="62">
        <v>67</v>
      </c>
      <c r="B71" s="19" t="s">
        <v>515</v>
      </c>
      <c r="C71" s="19" t="s">
        <v>363</v>
      </c>
      <c r="D71" s="16" t="s">
        <v>437</v>
      </c>
      <c r="E71" s="60">
        <v>45104.644421296296</v>
      </c>
      <c r="F71" s="49" t="s">
        <v>511</v>
      </c>
      <c r="G71" s="16"/>
      <c r="H71" s="208"/>
      <c r="I71" s="20"/>
      <c r="J71" s="20" t="s">
        <v>455</v>
      </c>
      <c r="K71" s="21">
        <v>45104.644479166665</v>
      </c>
      <c r="L71" s="20" t="s">
        <v>238</v>
      </c>
      <c r="M71" s="20" t="s">
        <v>243</v>
      </c>
      <c r="N71" s="53"/>
      <c r="O71" s="53"/>
      <c r="P71" s="53"/>
      <c r="Q71" s="56"/>
      <c r="R71" s="56"/>
      <c r="S71" s="56"/>
      <c r="T71" s="56"/>
      <c r="U71" s="56"/>
      <c r="V71" s="56"/>
      <c r="W71" s="56"/>
    </row>
    <row r="72" spans="1:23" s="23" customFormat="1" ht="25.5">
      <c r="A72" s="62">
        <v>68</v>
      </c>
      <c r="B72" s="212" t="s">
        <v>521</v>
      </c>
      <c r="C72" s="213" t="s">
        <v>522</v>
      </c>
      <c r="D72" s="214" t="s">
        <v>437</v>
      </c>
      <c r="E72" s="215">
        <v>45132</v>
      </c>
      <c r="F72" s="213" t="s">
        <v>523</v>
      </c>
      <c r="G72" s="214"/>
      <c r="H72" s="216"/>
      <c r="I72" s="216"/>
      <c r="J72" s="216" t="s">
        <v>524</v>
      </c>
      <c r="K72" s="215">
        <v>45132</v>
      </c>
      <c r="L72" s="217" t="s">
        <v>238</v>
      </c>
      <c r="M72" s="218" t="s">
        <v>243</v>
      </c>
      <c r="N72" s="53"/>
      <c r="O72" s="53"/>
      <c r="P72" s="53"/>
      <c r="Q72" s="56"/>
      <c r="R72" s="56"/>
      <c r="S72" s="56"/>
      <c r="T72" s="56"/>
      <c r="U72" s="56"/>
      <c r="V72" s="56"/>
      <c r="W72" s="56"/>
    </row>
    <row r="73" spans="1:23" s="23" customFormat="1" ht="25.5">
      <c r="A73" s="62">
        <v>69</v>
      </c>
      <c r="B73" s="212" t="s">
        <v>527</v>
      </c>
      <c r="C73" s="213" t="s">
        <v>522</v>
      </c>
      <c r="D73" s="214" t="s">
        <v>437</v>
      </c>
      <c r="E73" s="215">
        <v>45138</v>
      </c>
      <c r="F73" s="216" t="s">
        <v>524</v>
      </c>
      <c r="G73" s="214"/>
      <c r="H73" s="216"/>
      <c r="I73" s="216"/>
      <c r="J73" s="213" t="s">
        <v>523</v>
      </c>
      <c r="K73" s="215">
        <v>45138</v>
      </c>
      <c r="L73" s="217" t="s">
        <v>238</v>
      </c>
      <c r="M73" s="218" t="s">
        <v>243</v>
      </c>
      <c r="N73" s="53"/>
      <c r="O73" s="53"/>
      <c r="P73" s="53"/>
      <c r="Q73" s="56"/>
      <c r="R73" s="56"/>
      <c r="S73" s="56"/>
      <c r="T73" s="56"/>
      <c r="U73" s="56"/>
      <c r="V73" s="56"/>
      <c r="W73" s="56"/>
    </row>
    <row r="74" spans="1:23" s="23" customFormat="1" ht="25.5">
      <c r="A74" s="62">
        <v>70</v>
      </c>
      <c r="B74" s="212" t="s">
        <v>528</v>
      </c>
      <c r="C74" s="213" t="s">
        <v>522</v>
      </c>
      <c r="D74" s="214" t="s">
        <v>437</v>
      </c>
      <c r="E74" s="215">
        <v>45138</v>
      </c>
      <c r="F74" s="216" t="s">
        <v>524</v>
      </c>
      <c r="G74" s="214"/>
      <c r="H74" s="216"/>
      <c r="I74" s="216"/>
      <c r="J74" s="213" t="s">
        <v>523</v>
      </c>
      <c r="K74" s="215">
        <v>45138</v>
      </c>
      <c r="L74" s="217" t="s">
        <v>238</v>
      </c>
      <c r="M74" s="218" t="s">
        <v>243</v>
      </c>
      <c r="N74" s="53"/>
      <c r="O74" s="53"/>
      <c r="P74" s="53"/>
      <c r="Q74" s="56"/>
      <c r="R74" s="56"/>
      <c r="S74" s="56"/>
      <c r="T74" s="56"/>
      <c r="U74" s="56"/>
      <c r="V74" s="56"/>
      <c r="W74" s="56"/>
    </row>
    <row r="75" spans="1:23" s="23" customFormat="1">
      <c r="A75" s="62">
        <v>71</v>
      </c>
      <c r="B75" s="19"/>
      <c r="C75" s="19"/>
      <c r="D75" s="16"/>
      <c r="E75" s="60"/>
      <c r="F75" s="49"/>
      <c r="G75" s="16"/>
      <c r="H75" s="208"/>
      <c r="I75" s="20"/>
      <c r="J75" s="20"/>
      <c r="K75" s="21"/>
      <c r="L75" s="20"/>
      <c r="M75" s="20"/>
      <c r="N75" s="53"/>
      <c r="O75" s="53"/>
      <c r="P75" s="53"/>
      <c r="Q75" s="56"/>
      <c r="R75" s="56"/>
      <c r="S75" s="56"/>
      <c r="T75" s="56"/>
      <c r="U75" s="56"/>
      <c r="V75" s="56"/>
      <c r="W75" s="56"/>
    </row>
    <row r="76" spans="1:23" s="23" customFormat="1">
      <c r="A76" s="62">
        <v>72</v>
      </c>
      <c r="B76" s="19"/>
      <c r="C76" s="19"/>
      <c r="D76" s="16"/>
      <c r="E76" s="60"/>
      <c r="F76" s="49"/>
      <c r="G76" s="16"/>
      <c r="H76" s="208"/>
      <c r="I76" s="20"/>
      <c r="J76" s="20"/>
      <c r="K76" s="21"/>
      <c r="L76" s="20"/>
      <c r="M76" s="20"/>
      <c r="N76" s="53"/>
      <c r="O76" s="53"/>
      <c r="P76" s="53"/>
      <c r="Q76" s="56"/>
      <c r="R76" s="56"/>
      <c r="S76" s="56"/>
      <c r="T76" s="56"/>
      <c r="U76" s="56"/>
      <c r="V76" s="56"/>
      <c r="W76" s="56"/>
    </row>
    <row r="77" spans="1:23" s="23" customFormat="1">
      <c r="A77" s="62">
        <v>73</v>
      </c>
      <c r="B77" s="19"/>
      <c r="C77" s="19"/>
      <c r="D77" s="16"/>
      <c r="E77" s="60"/>
      <c r="F77" s="49"/>
      <c r="G77" s="16"/>
      <c r="H77" s="208"/>
      <c r="I77" s="20"/>
      <c r="J77" s="20"/>
      <c r="K77" s="21"/>
      <c r="L77" s="20"/>
      <c r="M77" s="20"/>
      <c r="N77" s="53"/>
      <c r="O77" s="53"/>
      <c r="P77" s="53"/>
      <c r="Q77" s="56"/>
      <c r="R77" s="56"/>
      <c r="S77" s="56"/>
      <c r="T77" s="56"/>
      <c r="U77" s="56"/>
      <c r="V77" s="56"/>
      <c r="W77" s="56"/>
    </row>
    <row r="78" spans="1:23" s="23" customFormat="1">
      <c r="A78" s="62">
        <v>74</v>
      </c>
      <c r="B78" s="19"/>
      <c r="C78" s="19"/>
      <c r="D78" s="16"/>
      <c r="E78" s="60"/>
      <c r="F78" s="49"/>
      <c r="G78" s="16"/>
      <c r="H78" s="208"/>
      <c r="I78" s="20"/>
      <c r="J78" s="20"/>
      <c r="K78" s="21"/>
      <c r="L78" s="20"/>
      <c r="M78" s="20"/>
      <c r="N78" s="53"/>
      <c r="O78" s="53"/>
      <c r="P78" s="53"/>
      <c r="Q78" s="56"/>
      <c r="R78" s="56"/>
      <c r="S78" s="56"/>
      <c r="T78" s="56"/>
      <c r="U78" s="56"/>
      <c r="V78" s="56"/>
      <c r="W78" s="56"/>
    </row>
    <row r="79" spans="1:23" s="23" customFormat="1">
      <c r="A79" s="62">
        <v>75</v>
      </c>
      <c r="B79" s="19"/>
      <c r="C79" s="19"/>
      <c r="D79" s="16"/>
      <c r="E79" s="60"/>
      <c r="F79" s="49"/>
      <c r="G79" s="16"/>
      <c r="H79" s="208"/>
      <c r="I79" s="20"/>
      <c r="J79" s="20"/>
      <c r="K79" s="21"/>
      <c r="L79" s="20"/>
      <c r="M79" s="20"/>
      <c r="N79" s="53"/>
      <c r="O79" s="53"/>
      <c r="P79" s="53"/>
      <c r="Q79" s="56"/>
      <c r="R79" s="56"/>
      <c r="S79" s="56"/>
      <c r="T79" s="56"/>
      <c r="U79" s="56"/>
      <c r="V79" s="56"/>
      <c r="W79" s="56"/>
    </row>
    <row r="80" spans="1:23" s="23" customFormat="1">
      <c r="A80" s="62">
        <v>76</v>
      </c>
      <c r="B80" s="19"/>
      <c r="C80" s="19"/>
      <c r="D80" s="16"/>
      <c r="E80" s="60"/>
      <c r="F80" s="49"/>
      <c r="G80" s="16"/>
      <c r="H80" s="208"/>
      <c r="I80" s="20"/>
      <c r="J80" s="20"/>
      <c r="K80" s="21"/>
      <c r="L80" s="20"/>
      <c r="M80" s="20"/>
      <c r="N80" s="53"/>
      <c r="O80" s="53"/>
      <c r="P80" s="53"/>
      <c r="Q80" s="56"/>
      <c r="R80" s="56"/>
      <c r="S80" s="56"/>
      <c r="T80" s="56"/>
      <c r="U80" s="56"/>
      <c r="V80" s="56"/>
      <c r="W80" s="56"/>
    </row>
    <row r="81" spans="1:23" s="23" customFormat="1">
      <c r="A81" s="62">
        <v>77</v>
      </c>
      <c r="B81" s="19"/>
      <c r="C81" s="19"/>
      <c r="D81" s="16"/>
      <c r="E81" s="60"/>
      <c r="F81" s="49"/>
      <c r="G81" s="16"/>
      <c r="H81" s="208"/>
      <c r="I81" s="20"/>
      <c r="J81" s="20"/>
      <c r="K81" s="21"/>
      <c r="L81" s="20"/>
      <c r="M81" s="20"/>
      <c r="N81" s="53"/>
      <c r="O81" s="53"/>
      <c r="P81" s="53"/>
      <c r="Q81" s="56"/>
      <c r="R81" s="56"/>
      <c r="S81" s="56"/>
      <c r="T81" s="56"/>
      <c r="U81" s="56"/>
      <c r="V81" s="56"/>
      <c r="W81" s="56"/>
    </row>
    <row r="82" spans="1:23" s="23" customFormat="1">
      <c r="A82" s="62">
        <v>78</v>
      </c>
      <c r="B82" s="19"/>
      <c r="C82" s="19"/>
      <c r="D82" s="16"/>
      <c r="E82" s="60"/>
      <c r="F82" s="49"/>
      <c r="G82" s="16"/>
      <c r="H82" s="208"/>
      <c r="I82" s="20"/>
      <c r="J82" s="20"/>
      <c r="K82" s="21"/>
      <c r="L82" s="20"/>
      <c r="M82" s="20"/>
      <c r="N82" s="53"/>
      <c r="O82" s="53"/>
      <c r="P82" s="53"/>
      <c r="Q82" s="56"/>
      <c r="R82" s="56"/>
      <c r="S82" s="56"/>
      <c r="T82" s="56"/>
      <c r="U82" s="56"/>
      <c r="V82" s="56"/>
      <c r="W82" s="56"/>
    </row>
    <row r="83" spans="1:23" s="23" customFormat="1">
      <c r="A83" s="62">
        <v>79</v>
      </c>
      <c r="B83" s="19"/>
      <c r="C83" s="19"/>
      <c r="D83" s="16"/>
      <c r="E83" s="60"/>
      <c r="F83" s="49"/>
      <c r="G83" s="16"/>
      <c r="H83" s="208"/>
      <c r="I83" s="20"/>
      <c r="J83" s="20"/>
      <c r="K83" s="21"/>
      <c r="L83" s="20"/>
      <c r="M83" s="20"/>
      <c r="N83" s="53"/>
      <c r="O83" s="53"/>
      <c r="P83" s="53"/>
      <c r="Q83" s="56"/>
      <c r="R83" s="56"/>
      <c r="S83" s="56"/>
      <c r="T83" s="56"/>
      <c r="U83" s="56"/>
      <c r="V83" s="56"/>
      <c r="W83" s="56"/>
    </row>
    <row r="84" spans="1:23" s="23" customFormat="1">
      <c r="A84" s="62">
        <v>80</v>
      </c>
      <c r="B84" s="19"/>
      <c r="C84" s="19"/>
      <c r="D84" s="16"/>
      <c r="E84" s="60"/>
      <c r="F84" s="49"/>
      <c r="G84" s="16"/>
      <c r="H84" s="208"/>
      <c r="I84" s="20"/>
      <c r="J84" s="20"/>
      <c r="K84" s="21"/>
      <c r="L84" s="20"/>
      <c r="M84" s="20"/>
      <c r="N84" s="53"/>
      <c r="O84" s="53"/>
      <c r="P84" s="53"/>
      <c r="Q84" s="56"/>
      <c r="R84" s="56"/>
      <c r="S84" s="56"/>
      <c r="T84" s="56"/>
      <c r="U84" s="56"/>
      <c r="V84" s="56"/>
      <c r="W84" s="56"/>
    </row>
    <row r="85" spans="1:23" s="23" customFormat="1">
      <c r="A85" s="62">
        <v>81</v>
      </c>
      <c r="B85" s="19"/>
      <c r="C85" s="19"/>
      <c r="D85" s="16"/>
      <c r="E85" s="60"/>
      <c r="F85" s="49"/>
      <c r="G85" s="16"/>
      <c r="H85" s="208"/>
      <c r="I85" s="20"/>
      <c r="J85" s="20"/>
      <c r="K85" s="21"/>
      <c r="L85" s="20"/>
      <c r="M85" s="20"/>
      <c r="N85" s="53"/>
      <c r="O85" s="53"/>
      <c r="P85" s="53"/>
      <c r="Q85" s="56"/>
      <c r="R85" s="56"/>
      <c r="S85" s="56"/>
      <c r="T85" s="56"/>
      <c r="U85" s="56"/>
      <c r="V85" s="56"/>
      <c r="W85" s="56"/>
    </row>
    <row r="86" spans="1:23" s="23" customFormat="1">
      <c r="A86" s="62">
        <v>82</v>
      </c>
      <c r="B86" s="19"/>
      <c r="C86" s="19"/>
      <c r="D86" s="16"/>
      <c r="E86" s="60"/>
      <c r="F86" s="49"/>
      <c r="G86" s="16"/>
      <c r="H86" s="208"/>
      <c r="I86" s="20"/>
      <c r="J86" s="20"/>
      <c r="K86" s="21"/>
      <c r="L86" s="20"/>
      <c r="M86" s="20"/>
      <c r="N86" s="53"/>
      <c r="O86" s="53"/>
      <c r="P86" s="53"/>
      <c r="Q86" s="56"/>
      <c r="R86" s="56"/>
      <c r="S86" s="56"/>
      <c r="T86" s="56"/>
      <c r="U86" s="56"/>
      <c r="V86" s="56"/>
      <c r="W86" s="56"/>
    </row>
    <row r="87" spans="1:23" s="23" customFormat="1">
      <c r="A87" s="62">
        <v>83</v>
      </c>
      <c r="B87" s="19"/>
      <c r="C87" s="19"/>
      <c r="D87" s="16"/>
      <c r="E87" s="60"/>
      <c r="F87" s="49"/>
      <c r="G87" s="16"/>
      <c r="H87" s="208"/>
      <c r="I87" s="20"/>
      <c r="J87" s="20"/>
      <c r="K87" s="21"/>
      <c r="L87" s="20"/>
      <c r="M87" s="20"/>
      <c r="N87" s="53"/>
      <c r="O87" s="53"/>
      <c r="P87" s="53"/>
      <c r="Q87" s="56"/>
      <c r="R87" s="56"/>
      <c r="S87" s="56"/>
      <c r="T87" s="56"/>
      <c r="U87" s="56"/>
      <c r="V87" s="56"/>
      <c r="W87" s="56"/>
    </row>
    <row r="88" spans="1:23" s="23" customFormat="1">
      <c r="A88" s="62">
        <v>84</v>
      </c>
      <c r="B88" s="19"/>
      <c r="C88" s="19"/>
      <c r="D88" s="16"/>
      <c r="E88" s="60"/>
      <c r="F88" s="49"/>
      <c r="G88" s="16"/>
      <c r="H88" s="208"/>
      <c r="I88" s="20"/>
      <c r="J88" s="20"/>
      <c r="K88" s="21"/>
      <c r="L88" s="20"/>
      <c r="M88" s="20"/>
      <c r="N88" s="53"/>
      <c r="O88" s="53"/>
      <c r="P88" s="53"/>
      <c r="Q88" s="56"/>
      <c r="R88" s="56"/>
      <c r="S88" s="56"/>
      <c r="T88" s="56"/>
      <c r="U88" s="56"/>
      <c r="V88" s="56"/>
      <c r="W88" s="56"/>
    </row>
    <row r="89" spans="1:23" s="23" customFormat="1">
      <c r="A89" s="62">
        <v>85</v>
      </c>
      <c r="B89" s="19"/>
      <c r="C89" s="19"/>
      <c r="D89" s="16"/>
      <c r="E89" s="60"/>
      <c r="F89" s="49"/>
      <c r="G89" s="16"/>
      <c r="H89" s="208"/>
      <c r="I89" s="20"/>
      <c r="J89" s="20"/>
      <c r="K89" s="21"/>
      <c r="L89" s="20"/>
      <c r="M89" s="20"/>
      <c r="N89" s="53"/>
      <c r="O89" s="53"/>
      <c r="P89" s="53"/>
      <c r="Q89" s="56"/>
      <c r="R89" s="56"/>
      <c r="S89" s="56"/>
      <c r="T89" s="56"/>
      <c r="U89" s="56"/>
      <c r="V89" s="56"/>
      <c r="W89" s="56"/>
    </row>
    <row r="90" spans="1:23" s="23" customFormat="1">
      <c r="A90" s="62">
        <v>86</v>
      </c>
      <c r="B90" s="19"/>
      <c r="C90" s="19"/>
      <c r="D90" s="16"/>
      <c r="E90" s="60"/>
      <c r="F90" s="49"/>
      <c r="G90" s="16"/>
      <c r="H90" s="208"/>
      <c r="I90" s="20"/>
      <c r="J90" s="20"/>
      <c r="K90" s="21"/>
      <c r="L90" s="20"/>
      <c r="M90" s="20"/>
      <c r="N90" s="53"/>
      <c r="O90" s="53"/>
      <c r="P90" s="53"/>
      <c r="Q90" s="56"/>
      <c r="R90" s="56"/>
      <c r="S90" s="56"/>
      <c r="T90" s="56"/>
      <c r="U90" s="56"/>
      <c r="V90" s="56"/>
      <c r="W90" s="56"/>
    </row>
    <row r="91" spans="1:23" s="23" customFormat="1">
      <c r="A91" s="62">
        <v>87</v>
      </c>
      <c r="B91" s="19"/>
      <c r="C91" s="19"/>
      <c r="D91" s="16"/>
      <c r="E91" s="60"/>
      <c r="F91" s="49"/>
      <c r="G91" s="16"/>
      <c r="H91" s="208"/>
      <c r="I91" s="20"/>
      <c r="J91" s="20"/>
      <c r="K91" s="21"/>
      <c r="L91" s="20"/>
      <c r="M91" s="20"/>
      <c r="N91" s="53"/>
      <c r="O91" s="53"/>
      <c r="P91" s="53"/>
      <c r="Q91" s="56"/>
      <c r="R91" s="56"/>
      <c r="S91" s="56"/>
      <c r="T91" s="56"/>
      <c r="U91" s="56"/>
      <c r="V91" s="56"/>
      <c r="W91" s="56"/>
    </row>
    <row r="92" spans="1:23" s="23" customFormat="1">
      <c r="A92" s="62">
        <v>88</v>
      </c>
      <c r="B92" s="19"/>
      <c r="C92" s="19"/>
      <c r="D92" s="16"/>
      <c r="E92" s="60"/>
      <c r="F92" s="49"/>
      <c r="G92" s="16"/>
      <c r="H92" s="208"/>
      <c r="I92" s="20"/>
      <c r="J92" s="20"/>
      <c r="K92" s="21"/>
      <c r="L92" s="20"/>
      <c r="M92" s="20"/>
      <c r="N92" s="53"/>
      <c r="O92" s="53"/>
      <c r="P92" s="53"/>
      <c r="Q92" s="56"/>
      <c r="R92" s="56"/>
      <c r="S92" s="56"/>
      <c r="T92" s="56"/>
      <c r="U92" s="56"/>
      <c r="V92" s="56"/>
      <c r="W92" s="56"/>
    </row>
    <row r="93" spans="1:23" s="23" customFormat="1">
      <c r="A93" s="62">
        <v>89</v>
      </c>
      <c r="B93" s="19"/>
      <c r="C93" s="19"/>
      <c r="D93" s="16"/>
      <c r="E93" s="60"/>
      <c r="F93" s="49"/>
      <c r="G93" s="16"/>
      <c r="H93" s="208"/>
      <c r="I93" s="20"/>
      <c r="J93" s="20"/>
      <c r="K93" s="21"/>
      <c r="L93" s="20"/>
      <c r="M93" s="20"/>
      <c r="N93" s="53"/>
      <c r="O93" s="53"/>
      <c r="P93" s="53"/>
      <c r="Q93" s="56"/>
      <c r="R93" s="56"/>
      <c r="S93" s="56"/>
      <c r="T93" s="56"/>
      <c r="U93" s="56"/>
      <c r="V93" s="56"/>
      <c r="W93" s="56"/>
    </row>
    <row r="94" spans="1:23">
      <c r="A94" s="62">
        <v>90</v>
      </c>
      <c r="B94" s="19"/>
      <c r="C94" s="19"/>
      <c r="D94" s="16"/>
      <c r="E94" s="60"/>
      <c r="F94" s="49"/>
      <c r="G94" s="16"/>
      <c r="H94" s="208"/>
      <c r="I94" s="20"/>
      <c r="J94" s="20"/>
      <c r="K94" s="21"/>
      <c r="L94" s="20"/>
      <c r="M94" s="20"/>
      <c r="N94" s="53"/>
      <c r="O94" s="53"/>
      <c r="P94" s="53"/>
    </row>
    <row r="95" spans="1:23">
      <c r="A95" s="62">
        <v>91</v>
      </c>
      <c r="B95" s="19"/>
      <c r="C95" s="19"/>
      <c r="D95" s="16"/>
      <c r="E95" s="60"/>
      <c r="F95" s="49"/>
      <c r="G95" s="16"/>
      <c r="H95" s="208"/>
      <c r="I95" s="20"/>
      <c r="J95" s="20"/>
      <c r="K95" s="21"/>
      <c r="L95" s="20"/>
      <c r="M95" s="20"/>
      <c r="N95" s="53"/>
      <c r="O95" s="53"/>
      <c r="P95" s="53"/>
    </row>
    <row r="96" spans="1:23">
      <c r="A96" s="62">
        <v>92</v>
      </c>
      <c r="B96" s="19"/>
      <c r="C96" s="19"/>
      <c r="D96" s="16"/>
      <c r="E96" s="60"/>
      <c r="F96" s="49"/>
      <c r="G96" s="16"/>
      <c r="H96" s="208"/>
      <c r="I96" s="20"/>
      <c r="J96" s="20"/>
      <c r="K96" s="21"/>
      <c r="L96" s="20"/>
      <c r="M96" s="20"/>
      <c r="N96" s="53"/>
      <c r="O96" s="53"/>
      <c r="P96" s="53"/>
    </row>
    <row r="97" spans="1:16">
      <c r="A97" s="62">
        <v>93</v>
      </c>
      <c r="B97" s="19"/>
      <c r="C97" s="19"/>
      <c r="D97" s="16"/>
      <c r="E97" s="60"/>
      <c r="F97" s="49"/>
      <c r="G97" s="16"/>
      <c r="H97" s="208"/>
      <c r="I97" s="20"/>
      <c r="J97" s="20"/>
      <c r="K97" s="21"/>
      <c r="L97" s="20"/>
      <c r="M97" s="20"/>
      <c r="N97" s="53"/>
      <c r="O97" s="53"/>
      <c r="P97" s="53"/>
    </row>
    <row r="98" spans="1:16">
      <c r="A98" s="62">
        <v>94</v>
      </c>
      <c r="B98" s="19"/>
      <c r="C98" s="19"/>
      <c r="D98" s="16"/>
      <c r="E98" s="60"/>
      <c r="F98" s="49"/>
      <c r="G98" s="16"/>
      <c r="H98" s="208"/>
      <c r="I98" s="20"/>
      <c r="J98" s="20"/>
      <c r="K98" s="21"/>
      <c r="L98" s="20"/>
      <c r="M98" s="20"/>
      <c r="N98" s="53"/>
      <c r="O98" s="53"/>
      <c r="P98" s="53"/>
    </row>
    <row r="99" spans="1:16">
      <c r="A99" s="62">
        <v>95</v>
      </c>
      <c r="B99" s="19"/>
      <c r="C99" s="19"/>
      <c r="D99" s="16"/>
      <c r="E99" s="60"/>
      <c r="F99" s="49"/>
      <c r="G99" s="16"/>
      <c r="H99" s="208"/>
      <c r="I99" s="20"/>
      <c r="J99" s="20"/>
      <c r="K99" s="21"/>
      <c r="L99" s="20"/>
      <c r="M99" s="20"/>
      <c r="N99" s="53"/>
      <c r="O99" s="53"/>
      <c r="P99" s="53"/>
    </row>
    <row r="100" spans="1:16">
      <c r="A100" s="62">
        <v>96</v>
      </c>
      <c r="B100" s="19"/>
      <c r="C100" s="19"/>
      <c r="D100" s="16"/>
      <c r="E100" s="60"/>
      <c r="F100" s="49"/>
      <c r="G100" s="16"/>
      <c r="H100" s="208"/>
      <c r="I100" s="20"/>
      <c r="J100" s="20"/>
      <c r="K100" s="21"/>
      <c r="L100" s="20"/>
      <c r="M100" s="20"/>
      <c r="N100" s="53"/>
      <c r="O100" s="53"/>
      <c r="P100" s="53"/>
    </row>
    <row r="101" spans="1:16">
      <c r="A101" s="62">
        <v>97</v>
      </c>
      <c r="B101" s="19"/>
      <c r="C101" s="19"/>
      <c r="D101" s="16"/>
      <c r="E101" s="60"/>
      <c r="F101" s="49"/>
      <c r="G101" s="16"/>
      <c r="H101" s="208"/>
      <c r="I101" s="20"/>
      <c r="J101" s="20"/>
      <c r="K101" s="21"/>
      <c r="L101" s="20"/>
      <c r="M101" s="20"/>
      <c r="N101" s="53"/>
      <c r="O101" s="53"/>
      <c r="P101" s="53"/>
    </row>
    <row r="102" spans="1:16">
      <c r="A102" s="62">
        <v>98</v>
      </c>
      <c r="B102" s="19"/>
      <c r="C102" s="19"/>
      <c r="D102" s="16"/>
      <c r="E102" s="60"/>
      <c r="F102" s="49"/>
      <c r="G102" s="16"/>
      <c r="H102" s="208"/>
      <c r="I102" s="20"/>
      <c r="J102" s="20"/>
      <c r="K102" s="21"/>
      <c r="L102" s="20"/>
      <c r="M102" s="20"/>
      <c r="N102" s="53"/>
      <c r="O102" s="53"/>
      <c r="P102" s="53"/>
    </row>
    <row r="103" spans="1:16">
      <c r="A103" s="62">
        <v>99</v>
      </c>
      <c r="B103" s="19"/>
      <c r="C103" s="19"/>
      <c r="D103" s="16"/>
      <c r="E103" s="60"/>
      <c r="F103" s="49"/>
      <c r="G103" s="16"/>
      <c r="H103" s="208"/>
      <c r="I103" s="20"/>
      <c r="J103" s="20"/>
      <c r="K103" s="21"/>
      <c r="L103" s="20"/>
      <c r="M103" s="20"/>
      <c r="N103" s="53"/>
      <c r="O103" s="53"/>
      <c r="P103" s="53"/>
    </row>
    <row r="104" spans="1:16">
      <c r="A104" s="62">
        <v>100</v>
      </c>
      <c r="B104" s="19"/>
      <c r="C104" s="19"/>
      <c r="D104" s="16"/>
      <c r="E104" s="60"/>
      <c r="F104" s="49"/>
      <c r="G104" s="16"/>
      <c r="H104" s="208"/>
      <c r="I104" s="20"/>
      <c r="J104" s="20"/>
      <c r="K104" s="21"/>
      <c r="L104" s="20"/>
      <c r="M104" s="20"/>
      <c r="N104" s="53"/>
      <c r="O104" s="53"/>
      <c r="P104" s="53"/>
    </row>
    <row r="105" spans="1:16">
      <c r="A105" s="62">
        <v>101</v>
      </c>
      <c r="B105" s="19"/>
      <c r="C105" s="19"/>
      <c r="D105" s="16"/>
      <c r="E105" s="60"/>
      <c r="F105" s="49"/>
      <c r="G105" s="16"/>
      <c r="H105" s="208"/>
      <c r="I105" s="20"/>
      <c r="J105" s="20"/>
      <c r="K105" s="21"/>
      <c r="L105" s="20"/>
      <c r="M105" s="20"/>
      <c r="N105" s="53"/>
      <c r="O105" s="53"/>
      <c r="P105" s="53"/>
    </row>
    <row r="106" spans="1:16">
      <c r="A106" s="62">
        <v>102</v>
      </c>
      <c r="B106" s="19"/>
      <c r="C106" s="19"/>
      <c r="D106" s="16"/>
      <c r="E106" s="60"/>
      <c r="F106" s="49"/>
      <c r="G106" s="16"/>
      <c r="H106" s="208"/>
      <c r="I106" s="20"/>
      <c r="J106" s="20"/>
      <c r="K106" s="21"/>
      <c r="L106" s="20"/>
      <c r="M106" s="20"/>
    </row>
    <row r="107" spans="1:16">
      <c r="A107" s="62">
        <v>103</v>
      </c>
      <c r="B107" s="19"/>
      <c r="C107" s="19"/>
      <c r="D107" s="16"/>
      <c r="E107" s="60"/>
      <c r="F107" s="49"/>
      <c r="G107" s="16"/>
      <c r="H107" s="208"/>
      <c r="I107" s="20"/>
      <c r="J107" s="20"/>
      <c r="K107" s="21"/>
      <c r="L107" s="20"/>
      <c r="M107" s="20"/>
    </row>
    <row r="108" spans="1:16">
      <c r="A108" s="62">
        <v>104</v>
      </c>
      <c r="B108" s="19"/>
      <c r="C108" s="19"/>
      <c r="D108" s="16"/>
      <c r="E108" s="60"/>
      <c r="F108" s="49"/>
      <c r="G108" s="16"/>
      <c r="H108" s="208"/>
      <c r="I108" s="20"/>
      <c r="J108" s="20"/>
      <c r="K108" s="21"/>
      <c r="L108" s="20"/>
      <c r="M108" s="20"/>
    </row>
    <row r="109" spans="1:16">
      <c r="A109" s="62">
        <v>105</v>
      </c>
      <c r="B109" s="19"/>
      <c r="C109" s="19"/>
      <c r="D109" s="16"/>
      <c r="E109" s="60"/>
      <c r="F109" s="49"/>
      <c r="G109" s="16"/>
      <c r="H109" s="208"/>
      <c r="I109" s="20"/>
      <c r="J109" s="20"/>
      <c r="K109" s="21"/>
      <c r="L109" s="20"/>
      <c r="M109" s="20"/>
    </row>
    <row r="110" spans="1:16">
      <c r="A110" s="62">
        <v>106</v>
      </c>
      <c r="B110" s="19"/>
      <c r="C110" s="19"/>
      <c r="D110" s="16"/>
      <c r="E110" s="60"/>
      <c r="F110" s="49"/>
      <c r="G110" s="16"/>
      <c r="H110" s="208"/>
      <c r="I110" s="20"/>
      <c r="J110" s="20"/>
      <c r="K110" s="21"/>
      <c r="L110" s="20"/>
      <c r="M110" s="20"/>
    </row>
    <row r="111" spans="1:16">
      <c r="A111" s="62">
        <v>107</v>
      </c>
      <c r="B111" s="19"/>
      <c r="C111" s="19"/>
      <c r="D111" s="16"/>
      <c r="E111" s="60"/>
      <c r="F111" s="49"/>
      <c r="G111" s="16"/>
      <c r="H111" s="208"/>
      <c r="I111" s="20"/>
      <c r="J111" s="20"/>
      <c r="K111" s="21"/>
      <c r="L111" s="20"/>
      <c r="M111" s="20"/>
    </row>
    <row r="112" spans="1:16">
      <c r="A112" s="62">
        <v>108</v>
      </c>
      <c r="B112" s="19"/>
      <c r="C112" s="19"/>
      <c r="D112" s="16"/>
      <c r="E112" s="60"/>
      <c r="F112" s="49"/>
      <c r="G112" s="16"/>
      <c r="H112" s="208"/>
      <c r="I112" s="20"/>
      <c r="J112" s="20"/>
      <c r="K112" s="21"/>
      <c r="L112" s="20"/>
      <c r="M112" s="20"/>
    </row>
    <row r="113" spans="1:13">
      <c r="A113" s="62">
        <v>109</v>
      </c>
      <c r="B113" s="19"/>
      <c r="C113" s="19"/>
      <c r="D113" s="16"/>
      <c r="E113" s="60"/>
      <c r="F113" s="49"/>
      <c r="G113" s="16"/>
      <c r="H113" s="208"/>
      <c r="I113" s="20"/>
      <c r="J113" s="20"/>
      <c r="K113" s="21"/>
      <c r="L113" s="20"/>
      <c r="M113" s="20"/>
    </row>
    <row r="114" spans="1:13">
      <c r="A114" s="62">
        <v>110</v>
      </c>
      <c r="B114" s="19"/>
      <c r="C114" s="19"/>
      <c r="D114" s="16"/>
      <c r="E114" s="60"/>
      <c r="F114" s="49"/>
      <c r="G114" s="16"/>
      <c r="H114" s="208"/>
      <c r="I114" s="20"/>
      <c r="J114" s="20"/>
      <c r="K114" s="21"/>
      <c r="L114" s="20"/>
      <c r="M114" s="20"/>
    </row>
    <row r="115" spans="1:13">
      <c r="A115" s="62">
        <v>111</v>
      </c>
      <c r="B115" s="19"/>
      <c r="C115" s="19"/>
      <c r="D115" s="16"/>
      <c r="E115" s="60"/>
      <c r="F115" s="49"/>
      <c r="G115" s="16"/>
      <c r="H115" s="208"/>
      <c r="I115" s="20"/>
      <c r="J115" s="20"/>
      <c r="K115" s="21"/>
      <c r="L115" s="20"/>
      <c r="M115" s="20"/>
    </row>
    <row r="116" spans="1:13">
      <c r="A116" s="62">
        <v>112</v>
      </c>
      <c r="B116" s="19"/>
      <c r="C116" s="19"/>
      <c r="D116" s="16"/>
      <c r="E116" s="60"/>
      <c r="F116" s="49"/>
      <c r="G116" s="16"/>
      <c r="H116" s="208"/>
      <c r="I116" s="20"/>
      <c r="J116" s="20"/>
      <c r="K116" s="21"/>
      <c r="L116" s="20"/>
      <c r="M116" s="20"/>
    </row>
    <row r="117" spans="1:13">
      <c r="A117" s="62">
        <v>113</v>
      </c>
      <c r="B117" s="19"/>
      <c r="C117" s="19"/>
      <c r="D117" s="16"/>
      <c r="E117" s="60"/>
      <c r="F117" s="49"/>
      <c r="G117" s="16"/>
      <c r="H117" s="208"/>
      <c r="I117" s="20"/>
      <c r="J117" s="20"/>
      <c r="K117" s="21"/>
      <c r="L117" s="20"/>
      <c r="M117" s="20"/>
    </row>
    <row r="118" spans="1:13">
      <c r="A118" s="62">
        <v>114</v>
      </c>
      <c r="B118" s="19"/>
      <c r="C118" s="19"/>
      <c r="D118" s="16"/>
      <c r="E118" s="60"/>
      <c r="F118" s="49"/>
      <c r="G118" s="16"/>
      <c r="H118" s="208"/>
      <c r="I118" s="20"/>
      <c r="J118" s="20"/>
      <c r="K118" s="21"/>
      <c r="L118" s="20"/>
      <c r="M118" s="20"/>
    </row>
    <row r="119" spans="1:13">
      <c r="A119" s="62">
        <v>115</v>
      </c>
      <c r="B119" s="19"/>
      <c r="C119" s="19"/>
      <c r="D119" s="16"/>
      <c r="E119" s="60"/>
      <c r="F119" s="49"/>
      <c r="G119" s="16"/>
      <c r="H119" s="208"/>
      <c r="I119" s="20"/>
      <c r="J119" s="20"/>
      <c r="K119" s="21"/>
      <c r="L119" s="20"/>
      <c r="M119" s="20"/>
    </row>
    <row r="120" spans="1:13">
      <c r="A120" s="62">
        <v>116</v>
      </c>
      <c r="B120" s="19"/>
      <c r="C120" s="19"/>
      <c r="D120" s="16"/>
      <c r="E120" s="60"/>
      <c r="F120" s="49"/>
      <c r="G120" s="16"/>
      <c r="H120" s="208"/>
      <c r="I120" s="20"/>
      <c r="J120" s="20"/>
      <c r="K120" s="21"/>
      <c r="L120" s="20"/>
      <c r="M120" s="20"/>
    </row>
    <row r="121" spans="1:13">
      <c r="A121" s="62">
        <v>117</v>
      </c>
      <c r="B121" s="19"/>
      <c r="C121" s="19"/>
      <c r="D121" s="16"/>
      <c r="E121" s="60"/>
      <c r="F121" s="49"/>
      <c r="G121" s="16"/>
      <c r="H121" s="208"/>
      <c r="I121" s="20"/>
      <c r="J121" s="20"/>
      <c r="K121" s="21"/>
      <c r="L121" s="20"/>
      <c r="M121" s="20"/>
    </row>
    <row r="122" spans="1:13">
      <c r="A122" s="62">
        <v>118</v>
      </c>
      <c r="B122" s="19"/>
      <c r="C122" s="19"/>
      <c r="D122" s="16"/>
      <c r="E122" s="60"/>
      <c r="F122" s="49"/>
      <c r="G122" s="16"/>
      <c r="H122" s="208"/>
      <c r="I122" s="20"/>
      <c r="J122" s="20"/>
      <c r="K122" s="21"/>
      <c r="L122" s="20"/>
      <c r="M122" s="20"/>
    </row>
    <row r="123" spans="1:13">
      <c r="A123" s="62">
        <v>119</v>
      </c>
      <c r="B123" s="19"/>
      <c r="C123" s="19"/>
      <c r="D123" s="16"/>
      <c r="E123" s="60"/>
      <c r="F123" s="49"/>
      <c r="G123" s="16"/>
      <c r="H123" s="208"/>
      <c r="I123" s="20"/>
      <c r="J123" s="20"/>
      <c r="K123" s="21"/>
      <c r="L123" s="20"/>
      <c r="M123" s="20"/>
    </row>
    <row r="124" spans="1:13">
      <c r="A124" s="62">
        <v>120</v>
      </c>
      <c r="B124" s="19"/>
      <c r="C124" s="19"/>
      <c r="D124" s="16"/>
      <c r="E124" s="60"/>
      <c r="F124" s="49"/>
      <c r="G124" s="16"/>
      <c r="H124" s="208"/>
      <c r="I124" s="20"/>
      <c r="J124" s="20"/>
      <c r="K124" s="21"/>
      <c r="L124" s="20"/>
      <c r="M124" s="20"/>
    </row>
    <row r="125" spans="1:13">
      <c r="A125" s="62">
        <v>121</v>
      </c>
      <c r="B125" s="19"/>
      <c r="C125" s="19"/>
      <c r="D125" s="16"/>
      <c r="E125" s="60"/>
      <c r="F125" s="49"/>
      <c r="G125" s="16"/>
      <c r="H125" s="208"/>
      <c r="I125" s="20"/>
      <c r="J125" s="20"/>
      <c r="K125" s="21"/>
      <c r="L125" s="20"/>
      <c r="M125" s="20"/>
    </row>
    <row r="126" spans="1:13">
      <c r="A126" s="62">
        <v>122</v>
      </c>
      <c r="B126" s="19"/>
      <c r="C126" s="19"/>
      <c r="D126" s="16"/>
      <c r="E126" s="60"/>
      <c r="F126" s="49"/>
      <c r="G126" s="16"/>
      <c r="H126" s="208"/>
      <c r="I126" s="20"/>
      <c r="J126" s="20"/>
      <c r="K126" s="21"/>
      <c r="L126" s="20"/>
      <c r="M126" s="20"/>
    </row>
    <row r="127" spans="1:13">
      <c r="A127" s="62">
        <v>123</v>
      </c>
      <c r="B127" s="19"/>
      <c r="C127" s="19"/>
      <c r="D127" s="16"/>
      <c r="E127" s="60"/>
      <c r="F127" s="49"/>
      <c r="G127" s="16"/>
      <c r="H127" s="208"/>
      <c r="I127" s="20"/>
      <c r="J127" s="20"/>
      <c r="K127" s="21"/>
      <c r="L127" s="20"/>
      <c r="M127" s="20"/>
    </row>
    <row r="128" spans="1:13">
      <c r="A128" s="62">
        <v>124</v>
      </c>
      <c r="B128" s="19"/>
      <c r="C128" s="19"/>
      <c r="D128" s="16"/>
      <c r="E128" s="60"/>
      <c r="F128" s="49"/>
      <c r="G128" s="16"/>
      <c r="H128" s="208"/>
      <c r="I128" s="20"/>
      <c r="J128" s="20"/>
      <c r="K128" s="21"/>
      <c r="L128" s="20"/>
      <c r="M128" s="20"/>
    </row>
    <row r="129" spans="1:13">
      <c r="A129" s="62">
        <v>125</v>
      </c>
      <c r="B129" s="19"/>
      <c r="C129" s="19"/>
      <c r="D129" s="16"/>
      <c r="E129" s="60"/>
      <c r="F129" s="49"/>
      <c r="G129" s="16"/>
      <c r="H129" s="208"/>
      <c r="I129" s="20"/>
      <c r="J129" s="20"/>
      <c r="K129" s="21"/>
      <c r="L129" s="20"/>
      <c r="M129" s="20"/>
    </row>
    <row r="130" spans="1:13">
      <c r="A130" s="62">
        <v>126</v>
      </c>
      <c r="B130" s="19"/>
      <c r="C130" s="19"/>
      <c r="D130" s="16"/>
      <c r="E130" s="60"/>
      <c r="F130" s="49"/>
      <c r="G130" s="16"/>
      <c r="H130" s="208"/>
      <c r="I130" s="20"/>
      <c r="J130" s="20"/>
      <c r="K130" s="21"/>
      <c r="L130" s="20"/>
      <c r="M130" s="20"/>
    </row>
    <row r="131" spans="1:13">
      <c r="A131" s="62">
        <v>127</v>
      </c>
      <c r="B131" s="19"/>
      <c r="C131" s="19"/>
      <c r="D131" s="16"/>
      <c r="E131" s="60"/>
      <c r="F131" s="49"/>
      <c r="G131" s="16"/>
      <c r="H131" s="208"/>
      <c r="I131" s="20"/>
      <c r="J131" s="20"/>
      <c r="K131" s="21"/>
      <c r="L131" s="20"/>
      <c r="M131" s="20"/>
    </row>
    <row r="132" spans="1:13">
      <c r="A132" s="62">
        <v>128</v>
      </c>
      <c r="B132" s="19"/>
      <c r="C132" s="19"/>
      <c r="D132" s="16"/>
      <c r="E132" s="60"/>
      <c r="F132" s="49"/>
      <c r="G132" s="16"/>
      <c r="H132" s="208"/>
      <c r="I132" s="20"/>
      <c r="J132" s="20"/>
      <c r="K132" s="21"/>
      <c r="L132" s="20"/>
      <c r="M132" s="20"/>
    </row>
    <row r="133" spans="1:13">
      <c r="A133" s="62">
        <v>129</v>
      </c>
      <c r="B133" s="19"/>
      <c r="C133" s="19"/>
      <c r="D133" s="16"/>
      <c r="E133" s="60"/>
      <c r="F133" s="49"/>
      <c r="G133" s="16"/>
      <c r="H133" s="208"/>
      <c r="I133" s="20"/>
      <c r="J133" s="20"/>
      <c r="K133" s="21"/>
      <c r="L133" s="20"/>
      <c r="M133" s="20"/>
    </row>
    <row r="134" spans="1:13">
      <c r="A134" s="62">
        <v>130</v>
      </c>
      <c r="B134" s="19"/>
      <c r="C134" s="19"/>
      <c r="D134" s="16"/>
      <c r="E134" s="60"/>
      <c r="F134" s="49"/>
      <c r="G134" s="16"/>
      <c r="H134" s="208"/>
      <c r="I134" s="20"/>
      <c r="J134" s="20"/>
      <c r="K134" s="21"/>
      <c r="L134" s="20"/>
      <c r="M134" s="20"/>
    </row>
    <row r="135" spans="1:13">
      <c r="A135" s="62">
        <v>131</v>
      </c>
      <c r="B135" s="19"/>
      <c r="C135" s="19"/>
      <c r="D135" s="16"/>
      <c r="E135" s="60"/>
      <c r="F135" s="49"/>
      <c r="G135" s="16"/>
      <c r="H135" s="208"/>
      <c r="I135" s="20"/>
      <c r="J135" s="20"/>
      <c r="K135" s="21"/>
      <c r="L135" s="20"/>
      <c r="M135" s="20"/>
    </row>
    <row r="136" spans="1:13">
      <c r="A136" s="62">
        <v>132</v>
      </c>
      <c r="B136" s="19"/>
      <c r="C136" s="19"/>
      <c r="D136" s="16"/>
      <c r="E136" s="60"/>
      <c r="F136" s="49"/>
      <c r="G136" s="16"/>
      <c r="H136" s="208"/>
      <c r="I136" s="20"/>
      <c r="J136" s="20"/>
      <c r="K136" s="21"/>
      <c r="L136" s="20"/>
      <c r="M136" s="20"/>
    </row>
    <row r="137" spans="1:13">
      <c r="A137" s="62">
        <v>133</v>
      </c>
      <c r="B137" s="19"/>
      <c r="C137" s="19"/>
      <c r="D137" s="16"/>
      <c r="E137" s="60"/>
      <c r="F137" s="49"/>
      <c r="G137" s="16"/>
      <c r="H137" s="208"/>
      <c r="I137" s="20"/>
      <c r="J137" s="20"/>
      <c r="K137" s="21"/>
      <c r="L137" s="20"/>
      <c r="M137" s="20"/>
    </row>
    <row r="138" spans="1:13">
      <c r="A138" s="62">
        <v>134</v>
      </c>
      <c r="B138" s="19"/>
      <c r="C138" s="19"/>
      <c r="D138" s="16"/>
      <c r="E138" s="60"/>
      <c r="F138" s="49"/>
      <c r="G138" s="16"/>
      <c r="H138" s="208"/>
      <c r="I138" s="20"/>
      <c r="J138" s="20"/>
      <c r="K138" s="21"/>
      <c r="L138" s="20"/>
      <c r="M138" s="20"/>
    </row>
    <row r="139" spans="1:13">
      <c r="A139" s="62">
        <v>135</v>
      </c>
      <c r="B139" s="19"/>
      <c r="C139" s="19"/>
      <c r="D139" s="16"/>
      <c r="E139" s="60"/>
      <c r="F139" s="49"/>
      <c r="G139" s="16"/>
      <c r="H139" s="208"/>
      <c r="I139" s="20"/>
      <c r="J139" s="20"/>
      <c r="K139" s="21"/>
      <c r="L139" s="20"/>
      <c r="M139" s="20"/>
    </row>
    <row r="140" spans="1:13">
      <c r="A140" s="62">
        <v>136</v>
      </c>
      <c r="B140" s="19"/>
      <c r="C140" s="19"/>
      <c r="D140" s="16"/>
      <c r="E140" s="60"/>
      <c r="F140" s="49"/>
      <c r="G140" s="16"/>
      <c r="H140" s="208"/>
      <c r="I140" s="20"/>
      <c r="J140" s="20"/>
      <c r="K140" s="21"/>
      <c r="L140" s="20"/>
      <c r="M140" s="20"/>
    </row>
    <row r="141" spans="1:13">
      <c r="A141" s="62">
        <v>137</v>
      </c>
      <c r="B141" s="19"/>
      <c r="C141" s="19"/>
      <c r="D141" s="16"/>
      <c r="E141" s="60"/>
      <c r="F141" s="49"/>
      <c r="G141" s="16"/>
      <c r="H141" s="208"/>
      <c r="I141" s="20"/>
      <c r="J141" s="20"/>
      <c r="K141" s="21"/>
      <c r="L141" s="20"/>
      <c r="M141" s="20"/>
    </row>
    <row r="142" spans="1:13">
      <c r="A142" s="62">
        <v>138</v>
      </c>
      <c r="B142" s="19"/>
      <c r="C142" s="19"/>
      <c r="D142" s="16"/>
      <c r="E142" s="60"/>
      <c r="F142" s="49"/>
      <c r="G142" s="16"/>
      <c r="H142" s="208"/>
      <c r="I142" s="20"/>
      <c r="J142" s="20"/>
      <c r="K142" s="21"/>
      <c r="L142" s="20"/>
      <c r="M142" s="20"/>
    </row>
    <row r="143" spans="1:13">
      <c r="A143" s="62">
        <v>139</v>
      </c>
      <c r="B143" s="19"/>
      <c r="C143" s="19"/>
      <c r="D143" s="16"/>
      <c r="E143" s="60"/>
      <c r="F143" s="49"/>
      <c r="G143" s="16"/>
      <c r="H143" s="208"/>
      <c r="I143" s="20"/>
      <c r="J143" s="20"/>
      <c r="K143" s="21"/>
      <c r="L143" s="20"/>
      <c r="M143" s="20"/>
    </row>
    <row r="144" spans="1:13">
      <c r="A144" s="62">
        <v>140</v>
      </c>
      <c r="B144" s="19"/>
      <c r="C144" s="19"/>
      <c r="D144" s="16"/>
      <c r="E144" s="60"/>
      <c r="F144" s="49"/>
      <c r="G144" s="16"/>
      <c r="H144" s="208"/>
      <c r="I144" s="20"/>
      <c r="J144" s="20"/>
      <c r="K144" s="21"/>
      <c r="L144" s="20"/>
      <c r="M144" s="20"/>
    </row>
    <row r="145" spans="1:13">
      <c r="A145" s="62">
        <v>141</v>
      </c>
      <c r="B145" s="19"/>
      <c r="C145" s="19"/>
      <c r="D145" s="16"/>
      <c r="E145" s="60"/>
      <c r="F145" s="49"/>
      <c r="G145" s="16"/>
      <c r="H145" s="208"/>
      <c r="I145" s="20"/>
      <c r="J145" s="20"/>
      <c r="K145" s="21"/>
      <c r="L145" s="20"/>
      <c r="M145" s="20"/>
    </row>
    <row r="146" spans="1:13">
      <c r="A146" s="62">
        <v>142</v>
      </c>
      <c r="B146" s="19"/>
      <c r="C146" s="19"/>
      <c r="D146" s="16"/>
      <c r="E146" s="60"/>
      <c r="F146" s="49"/>
      <c r="G146" s="16"/>
      <c r="H146" s="208"/>
      <c r="I146" s="20"/>
      <c r="J146" s="20"/>
      <c r="K146" s="21"/>
      <c r="L146" s="20"/>
      <c r="M146" s="20"/>
    </row>
    <row r="147" spans="1:13">
      <c r="A147" s="62">
        <v>143</v>
      </c>
      <c r="B147" s="19"/>
      <c r="C147" s="19"/>
      <c r="D147" s="16"/>
      <c r="E147" s="60"/>
      <c r="F147" s="49"/>
      <c r="G147" s="16"/>
      <c r="H147" s="208"/>
      <c r="I147" s="20"/>
      <c r="J147" s="20"/>
      <c r="K147" s="21"/>
      <c r="L147" s="20"/>
      <c r="M147" s="20"/>
    </row>
    <row r="148" spans="1:13">
      <c r="A148" s="62">
        <v>144</v>
      </c>
      <c r="B148" s="19"/>
      <c r="C148" s="19"/>
      <c r="D148" s="16"/>
      <c r="E148" s="60"/>
      <c r="F148" s="49"/>
      <c r="G148" s="16"/>
      <c r="H148" s="208"/>
      <c r="I148" s="20"/>
      <c r="J148" s="20"/>
      <c r="K148" s="21"/>
      <c r="L148" s="20"/>
      <c r="M148" s="20"/>
    </row>
    <row r="149" spans="1:13">
      <c r="A149" s="62">
        <v>145</v>
      </c>
      <c r="B149" s="19"/>
      <c r="C149" s="19"/>
      <c r="D149" s="16"/>
      <c r="E149" s="60"/>
      <c r="F149" s="49"/>
      <c r="G149" s="16"/>
      <c r="H149" s="208"/>
      <c r="I149" s="20"/>
      <c r="J149" s="20"/>
      <c r="K149" s="21"/>
      <c r="L149" s="20"/>
      <c r="M149" s="20"/>
    </row>
    <row r="150" spans="1:13">
      <c r="A150" s="62">
        <v>146</v>
      </c>
      <c r="B150" s="19"/>
      <c r="C150" s="19"/>
      <c r="D150" s="16"/>
      <c r="E150" s="60"/>
      <c r="F150" s="49"/>
      <c r="G150" s="16"/>
      <c r="H150" s="208"/>
      <c r="I150" s="20"/>
      <c r="J150" s="20"/>
      <c r="K150" s="21"/>
      <c r="L150" s="20"/>
      <c r="M150" s="20"/>
    </row>
    <row r="151" spans="1:13">
      <c r="A151" s="62">
        <v>147</v>
      </c>
      <c r="B151" s="19"/>
      <c r="C151" s="19"/>
      <c r="D151" s="16"/>
      <c r="E151" s="60"/>
      <c r="F151" s="49"/>
      <c r="G151" s="16"/>
      <c r="H151" s="208"/>
      <c r="I151" s="20"/>
      <c r="J151" s="20"/>
      <c r="K151" s="21"/>
      <c r="L151" s="20"/>
      <c r="M151" s="20"/>
    </row>
    <row r="152" spans="1:13">
      <c r="A152" s="62">
        <v>148</v>
      </c>
      <c r="B152" s="19"/>
      <c r="C152" s="19"/>
      <c r="D152" s="16"/>
      <c r="E152" s="60"/>
      <c r="F152" s="49"/>
      <c r="G152" s="16"/>
      <c r="H152" s="208"/>
      <c r="I152" s="20"/>
      <c r="J152" s="20"/>
      <c r="K152" s="21"/>
      <c r="L152" s="20"/>
      <c r="M152" s="20"/>
    </row>
    <row r="153" spans="1:13">
      <c r="A153" s="62">
        <v>149</v>
      </c>
      <c r="B153" s="19"/>
      <c r="C153" s="19"/>
      <c r="D153" s="16"/>
      <c r="E153" s="60"/>
      <c r="F153" s="49"/>
      <c r="G153" s="16"/>
      <c r="H153" s="208"/>
      <c r="I153" s="20"/>
      <c r="J153" s="20"/>
      <c r="K153" s="21"/>
      <c r="L153" s="20"/>
      <c r="M153" s="20"/>
    </row>
    <row r="154" spans="1:13">
      <c r="A154" s="62">
        <v>150</v>
      </c>
      <c r="B154" s="19"/>
      <c r="C154" s="19"/>
      <c r="D154" s="16"/>
      <c r="E154" s="60"/>
      <c r="F154" s="49"/>
      <c r="G154" s="16"/>
      <c r="H154" s="208"/>
      <c r="I154" s="20"/>
      <c r="J154" s="20"/>
      <c r="K154" s="21"/>
      <c r="L154" s="20"/>
      <c r="M154" s="20"/>
    </row>
    <row r="155" spans="1:13">
      <c r="A155" s="62">
        <v>151</v>
      </c>
      <c r="B155" s="19"/>
      <c r="C155" s="19"/>
      <c r="D155" s="16"/>
      <c r="E155" s="60"/>
      <c r="F155" s="49"/>
      <c r="G155" s="16"/>
      <c r="H155" s="208"/>
      <c r="I155" s="20"/>
      <c r="J155" s="20"/>
      <c r="K155" s="21"/>
      <c r="L155" s="20"/>
      <c r="M155" s="20"/>
    </row>
    <row r="156" spans="1:13">
      <c r="A156" s="62">
        <v>152</v>
      </c>
      <c r="B156" s="19"/>
      <c r="C156" s="19"/>
      <c r="D156" s="16"/>
      <c r="E156" s="60"/>
      <c r="F156" s="49"/>
      <c r="G156" s="16"/>
      <c r="H156" s="208"/>
      <c r="I156" s="20"/>
      <c r="J156" s="20"/>
      <c r="K156" s="21"/>
      <c r="L156" s="20"/>
      <c r="M156" s="20"/>
    </row>
    <row r="157" spans="1:13">
      <c r="A157" s="62">
        <v>153</v>
      </c>
      <c r="B157" s="19"/>
      <c r="C157" s="19"/>
      <c r="D157" s="16"/>
      <c r="E157" s="60"/>
      <c r="F157" s="49"/>
      <c r="G157" s="16"/>
      <c r="H157" s="208"/>
      <c r="I157" s="20"/>
      <c r="J157" s="20"/>
      <c r="K157" s="21"/>
      <c r="L157" s="20"/>
      <c r="M157" s="20"/>
    </row>
    <row r="158" spans="1:13">
      <c r="A158" s="62">
        <v>154</v>
      </c>
      <c r="B158" s="19"/>
      <c r="C158" s="19"/>
      <c r="D158" s="16"/>
      <c r="E158" s="60"/>
      <c r="F158" s="49"/>
      <c r="G158" s="16"/>
      <c r="H158" s="208"/>
      <c r="I158" s="20"/>
      <c r="J158" s="20"/>
      <c r="K158" s="21"/>
      <c r="L158" s="20"/>
      <c r="M158" s="20"/>
    </row>
    <row r="159" spans="1:13">
      <c r="A159" s="62">
        <v>155</v>
      </c>
      <c r="B159" s="19"/>
      <c r="C159" s="19"/>
      <c r="D159" s="16"/>
      <c r="E159" s="60"/>
      <c r="F159" s="49"/>
      <c r="G159" s="16"/>
      <c r="H159" s="208"/>
      <c r="I159" s="20"/>
      <c r="J159" s="20"/>
      <c r="K159" s="21"/>
      <c r="L159" s="20"/>
      <c r="M159" s="20"/>
    </row>
    <row r="160" spans="1:13">
      <c r="A160" s="62">
        <v>156</v>
      </c>
      <c r="B160" s="19"/>
      <c r="C160" s="19"/>
      <c r="D160" s="16"/>
      <c r="E160" s="60"/>
      <c r="F160" s="49"/>
      <c r="G160" s="16"/>
      <c r="H160" s="208"/>
      <c r="I160" s="20"/>
      <c r="J160" s="20"/>
      <c r="K160" s="21"/>
      <c r="L160" s="20"/>
      <c r="M160" s="20"/>
    </row>
    <row r="161" spans="1:13">
      <c r="A161" s="62">
        <v>157</v>
      </c>
      <c r="B161" s="19"/>
      <c r="C161" s="19"/>
      <c r="D161" s="16"/>
      <c r="E161" s="60"/>
      <c r="F161" s="49"/>
      <c r="G161" s="16"/>
      <c r="H161" s="208"/>
      <c r="I161" s="20"/>
      <c r="J161" s="20"/>
      <c r="K161" s="21"/>
      <c r="L161" s="20"/>
      <c r="M161" s="20"/>
    </row>
    <row r="162" spans="1:13">
      <c r="A162" s="62">
        <v>158</v>
      </c>
      <c r="B162" s="19"/>
      <c r="C162" s="19"/>
      <c r="D162" s="16"/>
      <c r="E162" s="60"/>
      <c r="F162" s="49"/>
      <c r="G162" s="16"/>
      <c r="H162" s="208"/>
      <c r="I162" s="20"/>
      <c r="J162" s="20"/>
      <c r="K162" s="21"/>
      <c r="L162" s="20"/>
      <c r="M162" s="20"/>
    </row>
    <row r="163" spans="1:13">
      <c r="A163" s="62">
        <v>159</v>
      </c>
      <c r="B163" s="19"/>
      <c r="C163" s="19"/>
      <c r="D163" s="16"/>
      <c r="E163" s="60"/>
      <c r="F163" s="49"/>
      <c r="G163" s="16"/>
      <c r="H163" s="208"/>
      <c r="I163" s="20"/>
      <c r="J163" s="20"/>
      <c r="K163" s="21"/>
      <c r="L163" s="20"/>
      <c r="M163" s="20"/>
    </row>
    <row r="164" spans="1:13">
      <c r="A164" s="62">
        <v>160</v>
      </c>
      <c r="B164" s="19"/>
      <c r="C164" s="19"/>
      <c r="D164" s="16"/>
      <c r="E164" s="60"/>
      <c r="F164" s="49"/>
      <c r="G164" s="16"/>
      <c r="H164" s="208"/>
      <c r="I164" s="20"/>
      <c r="J164" s="20"/>
      <c r="K164" s="21"/>
      <c r="L164" s="20"/>
      <c r="M164" s="20"/>
    </row>
    <row r="165" spans="1:13">
      <c r="A165" s="62">
        <v>161</v>
      </c>
      <c r="B165" s="19"/>
      <c r="C165" s="19"/>
      <c r="D165" s="16"/>
      <c r="E165" s="60"/>
      <c r="F165" s="49"/>
      <c r="G165" s="16"/>
      <c r="H165" s="208"/>
      <c r="I165" s="20"/>
      <c r="J165" s="20"/>
      <c r="K165" s="21"/>
      <c r="L165" s="20"/>
      <c r="M165" s="20"/>
    </row>
    <row r="166" spans="1:13">
      <c r="A166" s="62">
        <v>162</v>
      </c>
      <c r="B166" s="19"/>
      <c r="C166" s="19"/>
      <c r="D166" s="16"/>
      <c r="E166" s="60"/>
      <c r="F166" s="49"/>
      <c r="G166" s="16"/>
      <c r="H166" s="208"/>
      <c r="I166" s="20"/>
      <c r="J166" s="20"/>
      <c r="K166" s="21"/>
      <c r="L166" s="20"/>
      <c r="M166" s="20"/>
    </row>
    <row r="167" spans="1:13">
      <c r="A167" s="62">
        <v>163</v>
      </c>
      <c r="B167" s="19"/>
      <c r="C167" s="19"/>
      <c r="D167" s="16"/>
      <c r="E167" s="60"/>
      <c r="F167" s="49"/>
      <c r="G167" s="16"/>
      <c r="H167" s="208"/>
      <c r="I167" s="20"/>
      <c r="J167" s="20"/>
      <c r="K167" s="21"/>
      <c r="L167" s="20"/>
      <c r="M167" s="20"/>
    </row>
    <row r="168" spans="1:13">
      <c r="A168" s="62">
        <v>164</v>
      </c>
      <c r="B168" s="19"/>
      <c r="C168" s="19"/>
      <c r="D168" s="16"/>
      <c r="E168" s="60"/>
      <c r="F168" s="49"/>
      <c r="G168" s="16"/>
      <c r="H168" s="208"/>
      <c r="I168" s="20"/>
      <c r="J168" s="20"/>
      <c r="K168" s="21"/>
      <c r="L168" s="20"/>
      <c r="M168" s="20"/>
    </row>
    <row r="169" spans="1:13">
      <c r="A169" s="62">
        <v>165</v>
      </c>
      <c r="B169" s="19"/>
      <c r="C169" s="19"/>
      <c r="D169" s="16"/>
      <c r="E169" s="60"/>
      <c r="F169" s="49"/>
      <c r="G169" s="16"/>
      <c r="H169" s="208"/>
      <c r="I169" s="20"/>
      <c r="J169" s="20"/>
      <c r="K169" s="21"/>
      <c r="L169" s="20"/>
      <c r="M169" s="20"/>
    </row>
    <row r="170" spans="1:13">
      <c r="A170" s="62">
        <v>166</v>
      </c>
      <c r="B170" s="19"/>
      <c r="C170" s="19"/>
      <c r="D170" s="16"/>
      <c r="E170" s="60"/>
      <c r="F170" s="49"/>
      <c r="G170" s="16"/>
      <c r="H170" s="208"/>
      <c r="I170" s="20"/>
      <c r="J170" s="20"/>
      <c r="K170" s="21"/>
      <c r="L170" s="20"/>
      <c r="M170" s="20"/>
    </row>
    <row r="171" spans="1:13">
      <c r="A171" s="62">
        <v>167</v>
      </c>
      <c r="B171" s="19"/>
      <c r="C171" s="19"/>
      <c r="D171" s="16"/>
      <c r="E171" s="60"/>
      <c r="F171" s="49"/>
      <c r="G171" s="16"/>
      <c r="H171" s="208"/>
      <c r="I171" s="20"/>
      <c r="J171" s="20"/>
      <c r="K171" s="21"/>
      <c r="L171" s="20"/>
      <c r="M171" s="20"/>
    </row>
    <row r="172" spans="1:13">
      <c r="A172" s="62">
        <v>168</v>
      </c>
      <c r="B172" s="19"/>
      <c r="C172" s="19"/>
      <c r="D172" s="16"/>
      <c r="E172" s="60"/>
      <c r="F172" s="49"/>
      <c r="G172" s="16"/>
      <c r="H172" s="208"/>
      <c r="I172" s="20"/>
      <c r="J172" s="20"/>
      <c r="K172" s="21"/>
      <c r="L172" s="20"/>
      <c r="M172" s="20"/>
    </row>
    <row r="173" spans="1:13">
      <c r="A173" s="62">
        <v>169</v>
      </c>
      <c r="B173" s="19"/>
      <c r="C173" s="19"/>
      <c r="D173" s="16"/>
      <c r="E173" s="60"/>
      <c r="F173" s="49"/>
      <c r="G173" s="16"/>
      <c r="H173" s="208"/>
      <c r="I173" s="20"/>
      <c r="J173" s="20"/>
      <c r="K173" s="21"/>
      <c r="L173" s="20"/>
      <c r="M173" s="20"/>
    </row>
    <row r="174" spans="1:13">
      <c r="A174" s="62">
        <v>170</v>
      </c>
      <c r="B174" s="19"/>
      <c r="C174" s="19"/>
      <c r="D174" s="16"/>
      <c r="E174" s="60"/>
      <c r="F174" s="49"/>
      <c r="G174" s="16"/>
      <c r="H174" s="208"/>
      <c r="I174" s="20"/>
      <c r="J174" s="20"/>
      <c r="K174" s="21"/>
      <c r="L174" s="20"/>
      <c r="M174" s="20"/>
    </row>
    <row r="175" spans="1:13">
      <c r="A175" s="62">
        <v>171</v>
      </c>
      <c r="B175" s="19"/>
      <c r="C175" s="19"/>
      <c r="D175" s="16"/>
      <c r="E175" s="60"/>
      <c r="F175" s="49"/>
      <c r="G175" s="16"/>
      <c r="H175" s="208"/>
      <c r="I175" s="20"/>
      <c r="J175" s="20"/>
      <c r="K175" s="21"/>
      <c r="L175" s="20"/>
      <c r="M175" s="20"/>
    </row>
    <row r="176" spans="1:13">
      <c r="A176" s="62">
        <v>172</v>
      </c>
      <c r="B176" s="19"/>
      <c r="C176" s="19"/>
      <c r="D176" s="16"/>
      <c r="E176" s="60"/>
      <c r="F176" s="49"/>
      <c r="G176" s="16"/>
      <c r="H176" s="208"/>
      <c r="I176" s="20"/>
      <c r="J176" s="20"/>
      <c r="K176" s="21"/>
      <c r="L176" s="20"/>
      <c r="M176" s="20"/>
    </row>
    <row r="177" spans="1:13">
      <c r="A177" s="62">
        <v>173</v>
      </c>
      <c r="B177" s="19"/>
      <c r="C177" s="19"/>
      <c r="D177" s="16"/>
      <c r="E177" s="60"/>
      <c r="F177" s="49"/>
      <c r="G177" s="16"/>
      <c r="H177" s="208"/>
      <c r="I177" s="20"/>
      <c r="J177" s="20"/>
      <c r="K177" s="21"/>
      <c r="L177" s="20"/>
      <c r="M177" s="20"/>
    </row>
    <row r="178" spans="1:13">
      <c r="A178" s="62">
        <v>174</v>
      </c>
      <c r="B178" s="19"/>
      <c r="C178" s="19"/>
      <c r="D178" s="16"/>
      <c r="E178" s="60"/>
      <c r="F178" s="49"/>
      <c r="G178" s="16"/>
      <c r="H178" s="208"/>
      <c r="I178" s="20"/>
      <c r="J178" s="20"/>
      <c r="K178" s="21"/>
      <c r="L178" s="20"/>
      <c r="M178" s="20"/>
    </row>
    <row r="179" spans="1:13">
      <c r="A179" s="62">
        <v>175</v>
      </c>
      <c r="B179" s="19"/>
      <c r="C179" s="19"/>
      <c r="D179" s="16"/>
      <c r="E179" s="60"/>
      <c r="F179" s="49"/>
      <c r="G179" s="16"/>
      <c r="H179" s="208"/>
      <c r="I179" s="20"/>
      <c r="J179" s="20"/>
      <c r="K179" s="21"/>
      <c r="L179" s="20"/>
      <c r="M179" s="20"/>
    </row>
    <row r="180" spans="1:13">
      <c r="A180" s="62">
        <v>176</v>
      </c>
      <c r="B180" s="19"/>
      <c r="C180" s="19"/>
      <c r="D180" s="16"/>
      <c r="E180" s="60"/>
      <c r="F180" s="49"/>
      <c r="G180" s="16"/>
      <c r="H180" s="208"/>
      <c r="I180" s="20"/>
      <c r="J180" s="20"/>
      <c r="K180" s="21"/>
      <c r="L180" s="20"/>
      <c r="M180" s="20"/>
    </row>
    <row r="181" spans="1:13">
      <c r="A181" s="62">
        <v>177</v>
      </c>
      <c r="B181" s="19"/>
      <c r="C181" s="19"/>
      <c r="D181" s="16"/>
      <c r="E181" s="60"/>
      <c r="F181" s="49"/>
      <c r="G181" s="16"/>
      <c r="H181" s="208"/>
      <c r="I181" s="20"/>
      <c r="J181" s="20"/>
      <c r="K181" s="21"/>
      <c r="L181" s="20"/>
      <c r="M181" s="20"/>
    </row>
    <row r="182" spans="1:13">
      <c r="A182" s="62">
        <v>178</v>
      </c>
      <c r="B182" s="19"/>
      <c r="C182" s="19"/>
      <c r="D182" s="16"/>
      <c r="E182" s="60"/>
      <c r="F182" s="49"/>
      <c r="G182" s="16"/>
      <c r="H182" s="208"/>
      <c r="I182" s="20"/>
      <c r="J182" s="20"/>
      <c r="K182" s="21"/>
      <c r="L182" s="20"/>
      <c r="M182" s="20"/>
    </row>
    <row r="183" spans="1:13">
      <c r="A183" s="62">
        <v>179</v>
      </c>
      <c r="B183" s="19"/>
      <c r="C183" s="19"/>
      <c r="D183" s="16"/>
      <c r="E183" s="60"/>
      <c r="F183" s="49"/>
      <c r="G183" s="16"/>
      <c r="H183" s="208"/>
      <c r="I183" s="20"/>
      <c r="J183" s="20"/>
      <c r="K183" s="21"/>
      <c r="L183" s="20"/>
      <c r="M183" s="20"/>
    </row>
    <row r="184" spans="1:13">
      <c r="A184" s="62">
        <v>180</v>
      </c>
      <c r="B184" s="19"/>
      <c r="C184" s="19"/>
      <c r="D184" s="16"/>
      <c r="E184" s="60"/>
      <c r="F184" s="49"/>
      <c r="G184" s="16"/>
      <c r="H184" s="208"/>
      <c r="I184" s="20"/>
      <c r="J184" s="20"/>
      <c r="K184" s="21"/>
      <c r="L184" s="20"/>
      <c r="M184" s="20"/>
    </row>
    <row r="185" spans="1:13">
      <c r="A185" s="62">
        <v>181</v>
      </c>
      <c r="B185" s="19"/>
      <c r="C185" s="19"/>
      <c r="D185" s="16"/>
      <c r="E185" s="60"/>
      <c r="F185" s="49"/>
      <c r="G185" s="16"/>
      <c r="H185" s="208"/>
      <c r="I185" s="20"/>
      <c r="J185" s="20"/>
      <c r="K185" s="21"/>
      <c r="L185" s="20"/>
      <c r="M185" s="20"/>
    </row>
    <row r="186" spans="1:13">
      <c r="A186" s="62">
        <v>182</v>
      </c>
      <c r="B186" s="19"/>
      <c r="C186" s="19"/>
      <c r="D186" s="16"/>
      <c r="E186" s="60"/>
      <c r="F186" s="49"/>
      <c r="G186" s="16"/>
      <c r="H186" s="208"/>
      <c r="I186" s="20"/>
      <c r="J186" s="20"/>
      <c r="K186" s="21"/>
      <c r="L186" s="20"/>
      <c r="M186" s="20"/>
    </row>
    <row r="187" spans="1:13">
      <c r="A187" s="62">
        <v>183</v>
      </c>
      <c r="B187" s="19"/>
      <c r="C187" s="19"/>
      <c r="D187" s="16"/>
      <c r="E187" s="60"/>
      <c r="F187" s="49"/>
      <c r="G187" s="16"/>
      <c r="H187" s="208"/>
      <c r="I187" s="20"/>
      <c r="J187" s="20"/>
      <c r="K187" s="21"/>
      <c r="L187" s="20"/>
      <c r="M187" s="20"/>
    </row>
    <row r="188" spans="1:13">
      <c r="A188" s="62">
        <v>184</v>
      </c>
      <c r="B188" s="19"/>
      <c r="C188" s="19"/>
      <c r="D188" s="16"/>
      <c r="E188" s="60"/>
      <c r="F188" s="49"/>
      <c r="G188" s="16"/>
      <c r="H188" s="208"/>
      <c r="I188" s="20"/>
      <c r="J188" s="20"/>
      <c r="K188" s="21"/>
      <c r="L188" s="20"/>
      <c r="M188" s="20"/>
    </row>
    <row r="189" spans="1:13">
      <c r="A189" s="62">
        <v>185</v>
      </c>
      <c r="B189" s="19"/>
      <c r="C189" s="19"/>
      <c r="D189" s="16"/>
      <c r="E189" s="60"/>
      <c r="F189" s="49"/>
      <c r="G189" s="16"/>
      <c r="H189" s="208"/>
      <c r="I189" s="20"/>
      <c r="J189" s="20"/>
      <c r="K189" s="21"/>
      <c r="L189" s="20"/>
      <c r="M189" s="20"/>
    </row>
    <row r="190" spans="1:13">
      <c r="A190" s="62">
        <v>186</v>
      </c>
      <c r="B190" s="19"/>
      <c r="C190" s="19"/>
      <c r="D190" s="16"/>
      <c r="E190" s="60"/>
      <c r="F190" s="49"/>
      <c r="G190" s="16"/>
      <c r="H190" s="208"/>
      <c r="I190" s="20"/>
      <c r="J190" s="20"/>
      <c r="K190" s="21"/>
      <c r="L190" s="20"/>
      <c r="M190" s="20"/>
    </row>
    <row r="191" spans="1:13">
      <c r="A191" s="62">
        <v>187</v>
      </c>
      <c r="B191" s="19"/>
      <c r="C191" s="19"/>
      <c r="D191" s="16"/>
      <c r="E191" s="60"/>
      <c r="F191" s="49"/>
      <c r="G191" s="16"/>
      <c r="H191" s="208"/>
      <c r="I191" s="20"/>
      <c r="J191" s="20"/>
      <c r="K191" s="21"/>
      <c r="L191" s="20"/>
      <c r="M191" s="20"/>
    </row>
    <row r="192" spans="1:13">
      <c r="A192" s="62">
        <v>188</v>
      </c>
      <c r="B192" s="19"/>
      <c r="C192" s="19"/>
      <c r="D192" s="16"/>
      <c r="E192" s="60"/>
      <c r="F192" s="49"/>
      <c r="G192" s="16"/>
      <c r="H192" s="208"/>
      <c r="I192" s="20"/>
      <c r="J192" s="20"/>
      <c r="K192" s="21"/>
      <c r="L192" s="20"/>
      <c r="M192" s="20"/>
    </row>
    <row r="193" spans="1:13">
      <c r="A193" s="62">
        <v>189</v>
      </c>
      <c r="B193" s="19"/>
      <c r="C193" s="19"/>
      <c r="D193" s="16"/>
      <c r="E193" s="60"/>
      <c r="F193" s="49"/>
      <c r="G193" s="16"/>
      <c r="H193" s="208"/>
      <c r="I193" s="20"/>
      <c r="J193" s="20"/>
      <c r="K193" s="21"/>
      <c r="L193" s="20"/>
      <c r="M193" s="20"/>
    </row>
    <row r="194" spans="1:13">
      <c r="A194" s="62">
        <v>190</v>
      </c>
      <c r="B194" s="19"/>
      <c r="C194" s="19"/>
      <c r="D194" s="16"/>
      <c r="E194" s="60"/>
      <c r="F194" s="49"/>
      <c r="G194" s="16"/>
      <c r="H194" s="208"/>
      <c r="I194" s="20"/>
      <c r="J194" s="20"/>
      <c r="K194" s="21"/>
      <c r="L194" s="20"/>
      <c r="M194" s="20"/>
    </row>
    <row r="195" spans="1:13">
      <c r="A195" s="62">
        <v>191</v>
      </c>
      <c r="B195" s="19"/>
      <c r="C195" s="19"/>
      <c r="D195" s="16"/>
      <c r="E195" s="60"/>
      <c r="F195" s="49"/>
      <c r="G195" s="16"/>
      <c r="H195" s="208"/>
      <c r="I195" s="20"/>
      <c r="J195" s="20"/>
      <c r="K195" s="21"/>
      <c r="L195" s="20"/>
      <c r="M195" s="20"/>
    </row>
    <row r="196" spans="1:13">
      <c r="A196" s="62">
        <v>192</v>
      </c>
      <c r="B196" s="19"/>
      <c r="C196" s="19"/>
      <c r="D196" s="16"/>
      <c r="E196" s="60"/>
      <c r="F196" s="49"/>
      <c r="G196" s="16"/>
      <c r="H196" s="208"/>
      <c r="I196" s="20"/>
      <c r="J196" s="20"/>
      <c r="K196" s="21"/>
      <c r="L196" s="20"/>
      <c r="M196" s="20"/>
    </row>
    <row r="197" spans="1:13">
      <c r="A197" s="62">
        <v>193</v>
      </c>
      <c r="B197" s="19"/>
      <c r="C197" s="19"/>
      <c r="D197" s="16"/>
      <c r="E197" s="60"/>
      <c r="F197" s="49"/>
      <c r="G197" s="16"/>
      <c r="H197" s="208"/>
      <c r="I197" s="20"/>
      <c r="J197" s="20"/>
      <c r="K197" s="21"/>
      <c r="L197" s="20"/>
      <c r="M197" s="20"/>
    </row>
    <row r="198" spans="1:13">
      <c r="A198" s="62">
        <v>194</v>
      </c>
      <c r="B198" s="19"/>
      <c r="C198" s="19"/>
      <c r="D198" s="16"/>
      <c r="E198" s="60"/>
      <c r="F198" s="49"/>
      <c r="G198" s="16"/>
      <c r="H198" s="208"/>
      <c r="I198" s="20"/>
      <c r="J198" s="20"/>
      <c r="K198" s="21"/>
      <c r="L198" s="20"/>
      <c r="M198" s="20"/>
    </row>
    <row r="199" spans="1:13">
      <c r="A199" s="62">
        <v>195</v>
      </c>
      <c r="B199" s="19"/>
      <c r="C199" s="19"/>
      <c r="D199" s="16"/>
      <c r="E199" s="60"/>
      <c r="F199" s="49"/>
      <c r="G199" s="16"/>
      <c r="H199" s="208"/>
      <c r="I199" s="20"/>
      <c r="J199" s="20"/>
      <c r="K199" s="21"/>
      <c r="L199" s="20"/>
      <c r="M199" s="20"/>
    </row>
    <row r="200" spans="1:13">
      <c r="A200" s="62">
        <v>196</v>
      </c>
      <c r="B200" s="19"/>
      <c r="C200" s="19"/>
      <c r="D200" s="16"/>
      <c r="E200" s="60"/>
      <c r="F200" s="49"/>
      <c r="G200" s="16"/>
      <c r="H200" s="208"/>
      <c r="I200" s="20"/>
      <c r="J200" s="20"/>
      <c r="K200" s="21"/>
      <c r="L200" s="20"/>
      <c r="M200" s="20"/>
    </row>
    <row r="201" spans="1:13">
      <c r="A201" s="62">
        <v>197</v>
      </c>
      <c r="B201" s="19"/>
      <c r="C201" s="19"/>
      <c r="D201" s="16"/>
      <c r="E201" s="60"/>
      <c r="F201" s="49"/>
      <c r="G201" s="16"/>
      <c r="H201" s="208"/>
      <c r="I201" s="20"/>
      <c r="J201" s="20"/>
      <c r="K201" s="21"/>
      <c r="L201" s="20"/>
      <c r="M201" s="20"/>
    </row>
    <row r="202" spans="1:13">
      <c r="A202" s="62">
        <v>198</v>
      </c>
      <c r="B202" s="19"/>
      <c r="C202" s="19"/>
      <c r="D202" s="16"/>
      <c r="E202" s="60"/>
      <c r="F202" s="49"/>
      <c r="G202" s="16"/>
      <c r="H202" s="208"/>
      <c r="I202" s="20"/>
      <c r="J202" s="20"/>
      <c r="K202" s="21"/>
      <c r="L202" s="20"/>
      <c r="M202" s="20"/>
    </row>
    <row r="203" spans="1:13">
      <c r="A203" s="62">
        <v>199</v>
      </c>
      <c r="B203" s="19"/>
      <c r="C203" s="19"/>
      <c r="D203" s="16"/>
      <c r="E203" s="60"/>
      <c r="F203" s="49"/>
      <c r="G203" s="16"/>
      <c r="H203" s="208"/>
      <c r="I203" s="20"/>
      <c r="J203" s="20"/>
      <c r="K203" s="21"/>
      <c r="L203" s="20"/>
      <c r="M203" s="20"/>
    </row>
    <row r="204" spans="1:13">
      <c r="A204" s="62">
        <v>200</v>
      </c>
      <c r="B204" s="19"/>
      <c r="C204" s="19"/>
      <c r="D204" s="16"/>
      <c r="E204" s="60"/>
      <c r="F204" s="49"/>
      <c r="G204" s="16"/>
      <c r="H204" s="208"/>
      <c r="I204" s="20"/>
      <c r="J204" s="20"/>
      <c r="K204" s="21"/>
      <c r="L204" s="20"/>
      <c r="M204" s="20"/>
    </row>
    <row r="205" spans="1:13">
      <c r="D205" s="50"/>
    </row>
  </sheetData>
  <autoFilter ref="A4:M204" xr:uid="{00000000-0009-0000-0000-000003000000}"/>
  <dataConsolidate/>
  <mergeCells count="2">
    <mergeCell ref="E3:G3"/>
    <mergeCell ref="A3:C3"/>
  </mergeCells>
  <phoneticPr fontId="30" type="noConversion"/>
  <conditionalFormatting sqref="L205:L65536 P1:P2">
    <cfRule type="cellIs" dxfId="1531" priority="191" stopIfTrue="1" operator="equal">
      <formula>"Fixed"</formula>
    </cfRule>
    <cfRule type="cellIs" dxfId="1530" priority="192" stopIfTrue="1" operator="equal">
      <formula>"Open"</formula>
    </cfRule>
  </conditionalFormatting>
  <conditionalFormatting sqref="L4">
    <cfRule type="cellIs" dxfId="1529" priority="193" stopIfTrue="1" operator="equal">
      <formula>"Open"</formula>
    </cfRule>
    <cfRule type="cellIs" dxfId="1528" priority="194" stopIfTrue="1" operator="equal">
      <formula>"Fixed"</formula>
    </cfRule>
  </conditionalFormatting>
  <conditionalFormatting sqref="L5:L31 L56:L204">
    <cfRule type="expression" dxfId="1527" priority="195" stopIfTrue="1">
      <formula>AND($M5="Approved",$L5="Fixed")</formula>
    </cfRule>
    <cfRule type="cellIs" dxfId="1526" priority="196" stopIfTrue="1" operator="equal">
      <formula>"Fixed"</formula>
    </cfRule>
    <cfRule type="cellIs" dxfId="1525" priority="197" stopIfTrue="1" operator="equal">
      <formula>"Open"</formula>
    </cfRule>
  </conditionalFormatting>
  <conditionalFormatting sqref="M5:M31 M56:M204">
    <cfRule type="expression" dxfId="1524" priority="198" stopIfTrue="1">
      <formula>OR(M5="Fixed",M5="Approved")</formula>
    </cfRule>
    <cfRule type="cellIs" dxfId="1523" priority="199" stopIfTrue="1" operator="equal">
      <formula>"Rejected"</formula>
    </cfRule>
  </conditionalFormatting>
  <conditionalFormatting sqref="A3">
    <cfRule type="expression" dxfId="1522" priority="185" stopIfTrue="1">
      <formula>$X$2=1</formula>
    </cfRule>
    <cfRule type="expression" dxfId="1521" priority="186" stopIfTrue="1">
      <formula>$Y$2=1</formula>
    </cfRule>
    <cfRule type="expression" dxfId="1520" priority="188" stopIfTrue="1">
      <formula>$AA$2=1</formula>
    </cfRule>
  </conditionalFormatting>
  <conditionalFormatting sqref="A3:C3">
    <cfRule type="expression" dxfId="1519" priority="187" stopIfTrue="1">
      <formula>$Z$2=1</formula>
    </cfRule>
  </conditionalFormatting>
  <conditionalFormatting sqref="E5:K5 D6:K8 E9:K9 D10:K12 E13:K13 D14:K14 E15:K15 E24:K24 A5:A30 D25:K30 D16:K19 D20:F22 E23:F23 G20:K23 A31:K31 B35:C35 E32:F37 A32:A38 D38:F38 A39:B39 A40 A41:C42 A43:G46 E39:G42 A47:A50 A51:J51 A52:A56 D51:D57 E51:F55 D52:J55 A57:B62 A63:A64 D56:K64 A65:G65 I65:K65 A66:K67 A68:I71 K68:K71 A72:K204">
    <cfRule type="expression" dxfId="1518" priority="369" stopIfTrue="1">
      <formula>AND($M5="Approved",OR($L5=$R$1,$L5=$T$1))</formula>
    </cfRule>
  </conditionalFormatting>
  <conditionalFormatting sqref="B5:D5">
    <cfRule type="expression" dxfId="1517" priority="183" stopIfTrue="1">
      <formula>AND($M5="Approved",OR($L5=$R$1,$L5=$T$1))</formula>
    </cfRule>
  </conditionalFormatting>
  <conditionalFormatting sqref="B6:C6">
    <cfRule type="expression" dxfId="1516" priority="182" stopIfTrue="1">
      <formula>AND($M6="Approved",OR($L6=$R$1,$L6=$T$1))</formula>
    </cfRule>
  </conditionalFormatting>
  <conditionalFormatting sqref="B7:C7">
    <cfRule type="expression" dxfId="1515" priority="181" stopIfTrue="1">
      <formula>AND($M7="Approved",OR($L7=$R$1,$L7=$T$1))</formula>
    </cfRule>
  </conditionalFormatting>
  <conditionalFormatting sqref="B8:C8">
    <cfRule type="expression" dxfId="1514" priority="180" stopIfTrue="1">
      <formula>AND($M8="Approved",OR($L8=$R$1,$L8=$T$1))</formula>
    </cfRule>
  </conditionalFormatting>
  <conditionalFormatting sqref="B9 D9">
    <cfRule type="expression" dxfId="1513" priority="179" stopIfTrue="1">
      <formula>AND($M9="Approved",OR($L9=$R$1,$L9=$T$1))</formula>
    </cfRule>
  </conditionalFormatting>
  <conditionalFormatting sqref="C9">
    <cfRule type="expression" dxfId="1512" priority="178" stopIfTrue="1">
      <formula>AND($M9="Approved",OR($L9=$R$1,$L9=$T$1))</formula>
    </cfRule>
  </conditionalFormatting>
  <conditionalFormatting sqref="B10">
    <cfRule type="expression" dxfId="1511" priority="177" stopIfTrue="1">
      <formula>AND($M10="Approved",OR($L10=$R$1,$L10=$T$1))</formula>
    </cfRule>
  </conditionalFormatting>
  <conditionalFormatting sqref="C10">
    <cfRule type="expression" dxfId="1510" priority="176" stopIfTrue="1">
      <formula>AND($M10="Approved",OR($L10=$R$1,$L10=$T$1))</formula>
    </cfRule>
  </conditionalFormatting>
  <conditionalFormatting sqref="B11">
    <cfRule type="expression" dxfId="1509" priority="175" stopIfTrue="1">
      <formula>AND($M11="Approved",OR($L11=$R$1,$L11=$T$1))</formula>
    </cfRule>
  </conditionalFormatting>
  <conditionalFormatting sqref="C11">
    <cfRule type="expression" dxfId="1508" priority="174" stopIfTrue="1">
      <formula>AND($M11="Approved",OR($L11=$R$1,$L11=$T$1))</formula>
    </cfRule>
  </conditionalFormatting>
  <conditionalFormatting sqref="B12">
    <cfRule type="expression" dxfId="1507" priority="173" stopIfTrue="1">
      <formula>AND($M12="Approved",OR($L12=$R$1,$L12=$T$1))</formula>
    </cfRule>
  </conditionalFormatting>
  <conditionalFormatting sqref="C12">
    <cfRule type="expression" dxfId="1506" priority="172" stopIfTrue="1">
      <formula>AND($M12="Approved",OR($L12=$R$1,$L12=$T$1))</formula>
    </cfRule>
  </conditionalFormatting>
  <conditionalFormatting sqref="B13">
    <cfRule type="expression" dxfId="1505" priority="171" stopIfTrue="1">
      <formula>AND($M13="Approved",OR($L13=$R$1,$L13=$T$1))</formula>
    </cfRule>
  </conditionalFormatting>
  <conditionalFormatting sqref="C13">
    <cfRule type="expression" dxfId="1504" priority="170" stopIfTrue="1">
      <formula>AND($M13="Approved",OR($L13=$R$1,$L13=$T$1))</formula>
    </cfRule>
  </conditionalFormatting>
  <conditionalFormatting sqref="D13">
    <cfRule type="expression" dxfId="1503" priority="169" stopIfTrue="1">
      <formula>AND($M13="Approved",OR($L13=$R$1,$L13=$T$1))</formula>
    </cfRule>
  </conditionalFormatting>
  <conditionalFormatting sqref="B14">
    <cfRule type="expression" dxfId="1502" priority="168" stopIfTrue="1">
      <formula>AND($M14="Approved",OR($L14=$R$1,$L14=$T$1))</formula>
    </cfRule>
  </conditionalFormatting>
  <conditionalFormatting sqref="C14">
    <cfRule type="expression" dxfId="1501" priority="167" stopIfTrue="1">
      <formula>AND($M14="Approved",OR($L14=$R$1,$L14=$T$1))</formula>
    </cfRule>
  </conditionalFormatting>
  <conditionalFormatting sqref="B15">
    <cfRule type="expression" dxfId="1500" priority="166" stopIfTrue="1">
      <formula>AND($M15="Approved",OR($L15=$R$1,$L15=$T$1))</formula>
    </cfRule>
  </conditionalFormatting>
  <conditionalFormatting sqref="C15">
    <cfRule type="expression" dxfId="1499" priority="165" stopIfTrue="1">
      <formula>AND($M15="Approved",OR($L15=$R$1,$L15=$T$1))</formula>
    </cfRule>
  </conditionalFormatting>
  <conditionalFormatting sqref="D15">
    <cfRule type="expression" dxfId="1498" priority="164" stopIfTrue="1">
      <formula>AND($M15="Approved",OR($L15=$R$1,$L15=$T$1))</formula>
    </cfRule>
  </conditionalFormatting>
  <conditionalFormatting sqref="B16">
    <cfRule type="expression" dxfId="1497" priority="163" stopIfTrue="1">
      <formula>AND($M16="Approved",OR($L16=$R$1,$L16=$T$1))</formula>
    </cfRule>
  </conditionalFormatting>
  <conditionalFormatting sqref="C16">
    <cfRule type="expression" dxfId="1496" priority="162" stopIfTrue="1">
      <formula>AND($M16="Approved",OR($L16=$R$1,$L16=$T$1))</formula>
    </cfRule>
  </conditionalFormatting>
  <conditionalFormatting sqref="B17">
    <cfRule type="expression" dxfId="1495" priority="161" stopIfTrue="1">
      <formula>AND($M17="Approved",OR($L17=$R$1,$L17=$T$1))</formula>
    </cfRule>
  </conditionalFormatting>
  <conditionalFormatting sqref="C17">
    <cfRule type="expression" dxfId="1494" priority="160" stopIfTrue="1">
      <formula>AND($M17="Approved",OR($L17=$R$1,$L17=$T$1))</formula>
    </cfRule>
  </conditionalFormatting>
  <conditionalFormatting sqref="B18">
    <cfRule type="expression" dxfId="1493" priority="159" stopIfTrue="1">
      <formula>AND($M18="Approved",OR($L18=$R$1,$L18=$T$1))</formula>
    </cfRule>
  </conditionalFormatting>
  <conditionalFormatting sqref="C18">
    <cfRule type="expression" dxfId="1492" priority="158" stopIfTrue="1">
      <formula>AND($M18="Approved",OR($L18=$R$1,$L18=$T$1))</formula>
    </cfRule>
  </conditionalFormatting>
  <conditionalFormatting sqref="B19">
    <cfRule type="expression" dxfId="1491" priority="157" stopIfTrue="1">
      <formula>AND($M19="Approved",OR($L19=$R$1,$L19=$T$1))</formula>
    </cfRule>
  </conditionalFormatting>
  <conditionalFormatting sqref="C19">
    <cfRule type="expression" dxfId="1490" priority="156" stopIfTrue="1">
      <formula>AND($M19="Approved",OR($L19=$R$1,$L19=$T$1))</formula>
    </cfRule>
  </conditionalFormatting>
  <conditionalFormatting sqref="B20">
    <cfRule type="expression" dxfId="1489" priority="155" stopIfTrue="1">
      <formula>AND($M20="Approved",OR($L20=$R$1,$L20=$T$1))</formula>
    </cfRule>
  </conditionalFormatting>
  <conditionalFormatting sqref="C20">
    <cfRule type="expression" dxfId="1488" priority="154" stopIfTrue="1">
      <formula>AND($M20="Approved",OR($L20=$R$1,$L20=$T$1))</formula>
    </cfRule>
  </conditionalFormatting>
  <conditionalFormatting sqref="B21">
    <cfRule type="expression" dxfId="1487" priority="153" stopIfTrue="1">
      <formula>AND($M21="Approved",OR($L21=$R$1,$L21=$T$1))</formula>
    </cfRule>
  </conditionalFormatting>
  <conditionalFormatting sqref="C21">
    <cfRule type="expression" dxfId="1486" priority="152" stopIfTrue="1">
      <formula>AND($M21="Approved",OR($L21=$R$1,$L21=$T$1))</formula>
    </cfRule>
  </conditionalFormatting>
  <conditionalFormatting sqref="B22">
    <cfRule type="expression" dxfId="1485" priority="151" stopIfTrue="1">
      <formula>AND($M22="Approved",OR($L22=$R$1,$L22=$T$1))</formula>
    </cfRule>
  </conditionalFormatting>
  <conditionalFormatting sqref="C22">
    <cfRule type="expression" dxfId="1484" priority="150" stopIfTrue="1">
      <formula>AND($M22="Approved",OR($L22=$R$1,$L22=$T$1))</formula>
    </cfRule>
  </conditionalFormatting>
  <conditionalFormatting sqref="D23">
    <cfRule type="expression" dxfId="1483" priority="149" stopIfTrue="1">
      <formula>AND($M23="Approved",OR($L23=$R$1,$L23=$T$1))</formula>
    </cfRule>
  </conditionalFormatting>
  <conditionalFormatting sqref="B23">
    <cfRule type="expression" dxfId="1482" priority="148" stopIfTrue="1">
      <formula>AND($M23="Approved",OR($L23=$R$1,$L23=$T$1))</formula>
    </cfRule>
  </conditionalFormatting>
  <conditionalFormatting sqref="C23">
    <cfRule type="expression" dxfId="1481" priority="147" stopIfTrue="1">
      <formula>AND($M23="Approved",OR($L23=$R$1,$L23=$T$1))</formula>
    </cfRule>
  </conditionalFormatting>
  <conditionalFormatting sqref="D24">
    <cfRule type="expression" dxfId="1480" priority="146" stopIfTrue="1">
      <formula>AND($M24="Approved",OR($L24=$R$1,$L24=$T$1))</formula>
    </cfRule>
  </conditionalFormatting>
  <conditionalFormatting sqref="B24">
    <cfRule type="expression" dxfId="1479" priority="145" stopIfTrue="1">
      <formula>AND($M24="Approved",OR($L24=$R$1,$L24=$T$1))</formula>
    </cfRule>
  </conditionalFormatting>
  <conditionalFormatting sqref="C24">
    <cfRule type="expression" dxfId="1478" priority="144" stopIfTrue="1">
      <formula>AND($M24="Approved",OR($L24=$R$1,$L24=$T$1))</formula>
    </cfRule>
  </conditionalFormatting>
  <conditionalFormatting sqref="B25">
    <cfRule type="expression" dxfId="1477" priority="143" stopIfTrue="1">
      <formula>AND($M25="Approved",OR($L25=$R$1,$L25=$T$1))</formula>
    </cfRule>
  </conditionalFormatting>
  <conditionalFormatting sqref="C25">
    <cfRule type="expression" dxfId="1476" priority="142" stopIfTrue="1">
      <formula>AND($M25="Approved",OR($L25=$R$1,$L25=$T$1))</formula>
    </cfRule>
  </conditionalFormatting>
  <conditionalFormatting sqref="B26">
    <cfRule type="expression" dxfId="1475" priority="141" stopIfTrue="1">
      <formula>AND($M26="Approved",OR($L26=$R$1,$L26=$T$1))</formula>
    </cfRule>
  </conditionalFormatting>
  <conditionalFormatting sqref="C26">
    <cfRule type="expression" dxfId="1474" priority="140" stopIfTrue="1">
      <formula>AND($M26="Approved",OR($L26=$R$1,$L26=$T$1))</formula>
    </cfRule>
  </conditionalFormatting>
  <conditionalFormatting sqref="B27">
    <cfRule type="expression" dxfId="1473" priority="139" stopIfTrue="1">
      <formula>AND($M27="Approved",OR($L27=$R$1,$L27=$T$1))</formula>
    </cfRule>
  </conditionalFormatting>
  <conditionalFormatting sqref="C27">
    <cfRule type="expression" dxfId="1472" priority="138" stopIfTrue="1">
      <formula>AND($M27="Approved",OR($L27=$R$1,$L27=$T$1))</formula>
    </cfRule>
  </conditionalFormatting>
  <conditionalFormatting sqref="B28">
    <cfRule type="expression" dxfId="1471" priority="137" stopIfTrue="1">
      <formula>AND($M28="Approved",OR($L28=$R$1,$L28=$T$1))</formula>
    </cfRule>
  </conditionalFormatting>
  <conditionalFormatting sqref="C28">
    <cfRule type="expression" dxfId="1470" priority="136" stopIfTrue="1">
      <formula>AND($M28="Approved",OR($L28=$R$1,$L28=$T$1))</formula>
    </cfRule>
  </conditionalFormatting>
  <conditionalFormatting sqref="B29">
    <cfRule type="expression" dxfId="1469" priority="135" stopIfTrue="1">
      <formula>AND($M29="Approved",OR($L29=$R$1,$L29=$T$1))</formula>
    </cfRule>
  </conditionalFormatting>
  <conditionalFormatting sqref="C29">
    <cfRule type="expression" dxfId="1468" priority="134" stopIfTrue="1">
      <formula>AND($M29="Approved",OR($L29=$R$1,$L29=$T$1))</formula>
    </cfRule>
  </conditionalFormatting>
  <conditionalFormatting sqref="B30">
    <cfRule type="expression" dxfId="1467" priority="133" stopIfTrue="1">
      <formula>AND($M30="Approved",OR($L30=$R$1,$L30=$T$1))</formula>
    </cfRule>
  </conditionalFormatting>
  <conditionalFormatting sqref="C30">
    <cfRule type="expression" dxfId="1466" priority="132" stopIfTrue="1">
      <formula>AND($M30="Approved",OR($L30=$R$1,$L30=$T$1))</formula>
    </cfRule>
  </conditionalFormatting>
  <conditionalFormatting sqref="B32:D32 B35:D35 B33:C33 B52:C55">
    <cfRule type="expression" dxfId="1465" priority="1693" stopIfTrue="1">
      <formula>AND($M33="Approved",OR($L33=$R$1,$L33=$T$1))</formula>
    </cfRule>
  </conditionalFormatting>
  <conditionalFormatting sqref="B34:C34">
    <cfRule type="expression" dxfId="1464" priority="131" stopIfTrue="1">
      <formula>AND($M35="Approved",OR($L35=$R$1,$L35=$T$1))</formula>
    </cfRule>
  </conditionalFormatting>
  <conditionalFormatting sqref="D34">
    <cfRule type="expression" dxfId="1463" priority="130" stopIfTrue="1">
      <formula>AND($M34="Approved",OR($L34=$R$1,$L34=$T$1))</formula>
    </cfRule>
  </conditionalFormatting>
  <conditionalFormatting sqref="D35">
    <cfRule type="expression" dxfId="1462" priority="129" stopIfTrue="1">
      <formula>AND($M35="Approved",OR($L35=$R$1,$L35=$T$1))</formula>
    </cfRule>
  </conditionalFormatting>
  <conditionalFormatting sqref="D33">
    <cfRule type="expression" dxfId="1461" priority="128" stopIfTrue="1">
      <formula>AND($M33="Approved",OR($L33=$R$1,$L33=$T$1))</formula>
    </cfRule>
  </conditionalFormatting>
  <conditionalFormatting sqref="B36:C36">
    <cfRule type="expression" dxfId="1460" priority="126" stopIfTrue="1">
      <formula>AND($M36="Approved",OR($L36=$R$1,$L36=$T$1))</formula>
    </cfRule>
  </conditionalFormatting>
  <conditionalFormatting sqref="B36:C36">
    <cfRule type="expression" dxfId="1459" priority="127" stopIfTrue="1">
      <formula>AND($M37="Approved",OR($L37=$R$1,$L37=$T$1))</formula>
    </cfRule>
  </conditionalFormatting>
  <conditionalFormatting sqref="D36">
    <cfRule type="expression" dxfId="1458" priority="125" stopIfTrue="1">
      <formula>AND($M37="Approved",OR($L37=$R$1,$L37=$T$1))</formula>
    </cfRule>
  </conditionalFormatting>
  <conditionalFormatting sqref="D36">
    <cfRule type="expression" dxfId="1457" priority="124" stopIfTrue="1">
      <formula>AND($M36="Approved",OR($L36=$R$1,$L36=$T$1))</formula>
    </cfRule>
  </conditionalFormatting>
  <conditionalFormatting sqref="G32">
    <cfRule type="expression" dxfId="1456" priority="123" stopIfTrue="1">
      <formula>AND($M32="Approved",OR($L32=$R$1,$L32=$T$1))</formula>
    </cfRule>
  </conditionalFormatting>
  <conditionalFormatting sqref="L32">
    <cfRule type="expression" dxfId="1455" priority="117" stopIfTrue="1">
      <formula>AND($M32="Approved",$L32="Fixed")</formula>
    </cfRule>
    <cfRule type="cellIs" dxfId="1454" priority="118" stopIfTrue="1" operator="equal">
      <formula>"Fixed"</formula>
    </cfRule>
    <cfRule type="cellIs" dxfId="1453" priority="119" stopIfTrue="1" operator="equal">
      <formula>"Open"</formula>
    </cfRule>
  </conditionalFormatting>
  <conditionalFormatting sqref="M32">
    <cfRule type="expression" dxfId="1452" priority="120" stopIfTrue="1">
      <formula>OR(M32="Fixed",M32="Approved")</formula>
    </cfRule>
    <cfRule type="cellIs" dxfId="1451" priority="121" stopIfTrue="1" operator="equal">
      <formula>"Rejected"</formula>
    </cfRule>
  </conditionalFormatting>
  <conditionalFormatting sqref="I32:K32">
    <cfRule type="expression" dxfId="1450" priority="122" stopIfTrue="1">
      <formula>AND($M32="Approved",OR($L32=$R$1,$L32=$T$1))</formula>
    </cfRule>
  </conditionalFormatting>
  <conditionalFormatting sqref="G33">
    <cfRule type="expression" dxfId="1449" priority="116" stopIfTrue="1">
      <formula>AND($M33="Approved",OR($L33=$R$1,$L33=$T$1))</formula>
    </cfRule>
  </conditionalFormatting>
  <conditionalFormatting sqref="L33">
    <cfRule type="expression" dxfId="1448" priority="110" stopIfTrue="1">
      <formula>AND($M33="Approved",$L33="Fixed")</formula>
    </cfRule>
    <cfRule type="cellIs" dxfId="1447" priority="111" stopIfTrue="1" operator="equal">
      <formula>"Fixed"</formula>
    </cfRule>
    <cfRule type="cellIs" dxfId="1446" priority="112" stopIfTrue="1" operator="equal">
      <formula>"Open"</formula>
    </cfRule>
  </conditionalFormatting>
  <conditionalFormatting sqref="M33">
    <cfRule type="expression" dxfId="1445" priority="113" stopIfTrue="1">
      <formula>OR(M33="Fixed",M33="Approved")</formula>
    </cfRule>
    <cfRule type="cellIs" dxfId="1444" priority="114" stopIfTrue="1" operator="equal">
      <formula>"Rejected"</formula>
    </cfRule>
  </conditionalFormatting>
  <conditionalFormatting sqref="I33:K33">
    <cfRule type="expression" dxfId="1443" priority="115" stopIfTrue="1">
      <formula>AND($M33="Approved",OR($L33=$R$1,$L33=$T$1))</formula>
    </cfRule>
  </conditionalFormatting>
  <conditionalFormatting sqref="G34">
    <cfRule type="expression" dxfId="1442" priority="109" stopIfTrue="1">
      <formula>AND($M34="Approved",OR($L34=$R$1,$L34=$T$1))</formula>
    </cfRule>
  </conditionalFormatting>
  <conditionalFormatting sqref="L34">
    <cfRule type="expression" dxfId="1441" priority="103" stopIfTrue="1">
      <formula>AND($M34="Approved",$L34="Fixed")</formula>
    </cfRule>
    <cfRule type="cellIs" dxfId="1440" priority="104" stopIfTrue="1" operator="equal">
      <formula>"Fixed"</formula>
    </cfRule>
    <cfRule type="cellIs" dxfId="1439" priority="105" stopIfTrue="1" operator="equal">
      <formula>"Open"</formula>
    </cfRule>
  </conditionalFormatting>
  <conditionalFormatting sqref="M34">
    <cfRule type="expression" dxfId="1438" priority="106" stopIfTrue="1">
      <formula>OR(M34="Fixed",M34="Approved")</formula>
    </cfRule>
    <cfRule type="cellIs" dxfId="1437" priority="107" stopIfTrue="1" operator="equal">
      <formula>"Rejected"</formula>
    </cfRule>
  </conditionalFormatting>
  <conditionalFormatting sqref="I34:K34">
    <cfRule type="expression" dxfId="1436" priority="108" stopIfTrue="1">
      <formula>AND($M34="Approved",OR($L34=$R$1,$L34=$T$1))</formula>
    </cfRule>
  </conditionalFormatting>
  <conditionalFormatting sqref="G35">
    <cfRule type="expression" dxfId="1435" priority="102" stopIfTrue="1">
      <formula>AND($M35="Approved",OR($L35=$R$1,$L35=$T$1))</formula>
    </cfRule>
  </conditionalFormatting>
  <conditionalFormatting sqref="L35">
    <cfRule type="expression" dxfId="1434" priority="96" stopIfTrue="1">
      <formula>AND($M35="Approved",$L35="Fixed")</formula>
    </cfRule>
    <cfRule type="cellIs" dxfId="1433" priority="97" stopIfTrue="1" operator="equal">
      <formula>"Fixed"</formula>
    </cfRule>
    <cfRule type="cellIs" dxfId="1432" priority="98" stopIfTrue="1" operator="equal">
      <formula>"Open"</formula>
    </cfRule>
  </conditionalFormatting>
  <conditionalFormatting sqref="M35">
    <cfRule type="expression" dxfId="1431" priority="99" stopIfTrue="1">
      <formula>OR(M35="Fixed",M35="Approved")</formula>
    </cfRule>
    <cfRule type="cellIs" dxfId="1430" priority="100" stopIfTrue="1" operator="equal">
      <formula>"Rejected"</formula>
    </cfRule>
  </conditionalFormatting>
  <conditionalFormatting sqref="I35:K35">
    <cfRule type="expression" dxfId="1429" priority="101" stopIfTrue="1">
      <formula>AND($M35="Approved",OR($L35=$R$1,$L35=$T$1))</formula>
    </cfRule>
  </conditionalFormatting>
  <conditionalFormatting sqref="G36">
    <cfRule type="expression" dxfId="1428" priority="95" stopIfTrue="1">
      <formula>AND($M36="Approved",OR($L36=$R$1,$L36=$T$1))</formula>
    </cfRule>
  </conditionalFormatting>
  <conditionalFormatting sqref="L36">
    <cfRule type="expression" dxfId="1427" priority="89" stopIfTrue="1">
      <formula>AND($M36="Approved",$L36="Fixed")</formula>
    </cfRule>
    <cfRule type="cellIs" dxfId="1426" priority="90" stopIfTrue="1" operator="equal">
      <formula>"Fixed"</formula>
    </cfRule>
    <cfRule type="cellIs" dxfId="1425" priority="91" stopIfTrue="1" operator="equal">
      <formula>"Open"</formula>
    </cfRule>
  </conditionalFormatting>
  <conditionalFormatting sqref="M36">
    <cfRule type="expression" dxfId="1424" priority="92" stopIfTrue="1">
      <formula>OR(M36="Fixed",M36="Approved")</formula>
    </cfRule>
    <cfRule type="cellIs" dxfId="1423" priority="93" stopIfTrue="1" operator="equal">
      <formula>"Rejected"</formula>
    </cfRule>
  </conditionalFormatting>
  <conditionalFormatting sqref="I36:K36">
    <cfRule type="expression" dxfId="1422" priority="94" stopIfTrue="1">
      <formula>AND($M36="Approved",OR($L36=$R$1,$L36=$T$1))</formula>
    </cfRule>
  </conditionalFormatting>
  <conditionalFormatting sqref="G37">
    <cfRule type="expression" dxfId="1421" priority="88" stopIfTrue="1">
      <formula>AND($M37="Approved",OR($L37=$R$1,$L37=$T$1))</formula>
    </cfRule>
  </conditionalFormatting>
  <conditionalFormatting sqref="L37">
    <cfRule type="expression" dxfId="1420" priority="82" stopIfTrue="1">
      <formula>AND($M37="Approved",$L37="Fixed")</formula>
    </cfRule>
    <cfRule type="cellIs" dxfId="1419" priority="83" stopIfTrue="1" operator="equal">
      <formula>"Fixed"</formula>
    </cfRule>
    <cfRule type="cellIs" dxfId="1418" priority="84" stopIfTrue="1" operator="equal">
      <formula>"Open"</formula>
    </cfRule>
  </conditionalFormatting>
  <conditionalFormatting sqref="M37">
    <cfRule type="expression" dxfId="1417" priority="85" stopIfTrue="1">
      <formula>OR(M37="Fixed",M37="Approved")</formula>
    </cfRule>
    <cfRule type="cellIs" dxfId="1416" priority="86" stopIfTrue="1" operator="equal">
      <formula>"Rejected"</formula>
    </cfRule>
  </conditionalFormatting>
  <conditionalFormatting sqref="I37:K37">
    <cfRule type="expression" dxfId="1415" priority="87" stopIfTrue="1">
      <formula>AND($M37="Approved",OR($L37=$R$1,$L37=$T$1))</formula>
    </cfRule>
  </conditionalFormatting>
  <conditionalFormatting sqref="G38">
    <cfRule type="expression" dxfId="1414" priority="81" stopIfTrue="1">
      <formula>AND($M38="Approved",OR($L38=$R$1,$L38=$T$1))</formula>
    </cfRule>
  </conditionalFormatting>
  <conditionalFormatting sqref="L38">
    <cfRule type="expression" dxfId="1413" priority="75" stopIfTrue="1">
      <formula>AND($M38="Approved",$L38="Fixed")</formula>
    </cfRule>
    <cfRule type="cellIs" dxfId="1412" priority="76" stopIfTrue="1" operator="equal">
      <formula>"Fixed"</formula>
    </cfRule>
    <cfRule type="cellIs" dxfId="1411" priority="77" stopIfTrue="1" operator="equal">
      <formula>"Open"</formula>
    </cfRule>
  </conditionalFormatting>
  <conditionalFormatting sqref="M38">
    <cfRule type="expression" dxfId="1410" priority="78" stopIfTrue="1">
      <formula>OR(M38="Fixed",M38="Approved")</formula>
    </cfRule>
    <cfRule type="cellIs" dxfId="1409" priority="79" stopIfTrue="1" operator="equal">
      <formula>"Rejected"</formula>
    </cfRule>
  </conditionalFormatting>
  <conditionalFormatting sqref="I38:K38">
    <cfRule type="expression" dxfId="1408" priority="80" stopIfTrue="1">
      <formula>AND($M38="Approved",OR($L38=$R$1,$L38=$T$1))</formula>
    </cfRule>
  </conditionalFormatting>
  <conditionalFormatting sqref="B37:C37">
    <cfRule type="expression" dxfId="1407" priority="73" stopIfTrue="1">
      <formula>AND($M37="Approved",OR($L37=$R$1,$L37=$T$1))</formula>
    </cfRule>
  </conditionalFormatting>
  <conditionalFormatting sqref="B37:C37">
    <cfRule type="expression" dxfId="1406" priority="74" stopIfTrue="1">
      <formula>AND($M38="Approved",OR($L38=$R$1,$L38=$T$1))</formula>
    </cfRule>
  </conditionalFormatting>
  <conditionalFormatting sqref="B38:C38">
    <cfRule type="expression" dxfId="1405" priority="71" stopIfTrue="1">
      <formula>AND($M38="Approved",OR($L38=$R$1,$L38=$T$1))</formula>
    </cfRule>
  </conditionalFormatting>
  <conditionalFormatting sqref="B38:C38">
    <cfRule type="expression" dxfId="1404" priority="72" stopIfTrue="1">
      <formula>AND($M39="Approved",OR($L39=$R$1,$L39=$T$1))</formula>
    </cfRule>
  </conditionalFormatting>
  <conditionalFormatting sqref="C39">
    <cfRule type="expression" dxfId="1403" priority="70" stopIfTrue="1">
      <formula>AND($M40="Approved",OR($L40=$R$1,$L40=$T$1))</formula>
    </cfRule>
  </conditionalFormatting>
  <conditionalFormatting sqref="D39">
    <cfRule type="expression" dxfId="1402" priority="69" stopIfTrue="1">
      <formula>AND($M39="Approved",OR($L39=$R$1,$L39=$T$1))</formula>
    </cfRule>
  </conditionalFormatting>
  <conditionalFormatting sqref="D40">
    <cfRule type="expression" dxfId="1401" priority="68" stopIfTrue="1">
      <formula>AND($M41="Approved",OR($L41=$R$1,$L41=$T$1))</formula>
    </cfRule>
  </conditionalFormatting>
  <conditionalFormatting sqref="L39">
    <cfRule type="expression" dxfId="1400" priority="62" stopIfTrue="1">
      <formula>AND($M39="Approved",$L39="Fixed")</formula>
    </cfRule>
    <cfRule type="cellIs" dxfId="1399" priority="63" stopIfTrue="1" operator="equal">
      <formula>"Fixed"</formula>
    </cfRule>
    <cfRule type="cellIs" dxfId="1398" priority="64" stopIfTrue="1" operator="equal">
      <formula>"Open"</formula>
    </cfRule>
  </conditionalFormatting>
  <conditionalFormatting sqref="M39">
    <cfRule type="expression" dxfId="1397" priority="65" stopIfTrue="1">
      <formula>OR(M39="Fixed",M39="Approved")</formula>
    </cfRule>
    <cfRule type="cellIs" dxfId="1396" priority="66" stopIfTrue="1" operator="equal">
      <formula>"Rejected"</formula>
    </cfRule>
  </conditionalFormatting>
  <conditionalFormatting sqref="I39:K39">
    <cfRule type="expression" dxfId="1395" priority="67" stopIfTrue="1">
      <formula>AND($M39="Approved",OR($L39=$R$1,$L39=$T$1))</formula>
    </cfRule>
  </conditionalFormatting>
  <conditionalFormatting sqref="L40">
    <cfRule type="expression" dxfId="1394" priority="56" stopIfTrue="1">
      <formula>AND($M40="Approved",$L40="Fixed")</formula>
    </cfRule>
    <cfRule type="cellIs" dxfId="1393" priority="57" stopIfTrue="1" operator="equal">
      <formula>"Fixed"</formula>
    </cfRule>
    <cfRule type="cellIs" dxfId="1392" priority="58" stopIfTrue="1" operator="equal">
      <formula>"Open"</formula>
    </cfRule>
  </conditionalFormatting>
  <conditionalFormatting sqref="M40">
    <cfRule type="expression" dxfId="1391" priority="59" stopIfTrue="1">
      <formula>OR(M40="Fixed",M40="Approved")</formula>
    </cfRule>
    <cfRule type="cellIs" dxfId="1390" priority="60" stopIfTrue="1" operator="equal">
      <formula>"Rejected"</formula>
    </cfRule>
  </conditionalFormatting>
  <conditionalFormatting sqref="I40:K40">
    <cfRule type="expression" dxfId="1389" priority="61" stopIfTrue="1">
      <formula>AND($M40="Approved",OR($L40=$R$1,$L40=$T$1))</formula>
    </cfRule>
  </conditionalFormatting>
  <conditionalFormatting sqref="B40">
    <cfRule type="expression" dxfId="1388" priority="55" stopIfTrue="1">
      <formula>AND($M40="Approved",OR($L40=$R$1,$L40=$T$1))</formula>
    </cfRule>
  </conditionalFormatting>
  <conditionalFormatting sqref="C40">
    <cfRule type="expression" dxfId="1387" priority="54" stopIfTrue="1">
      <formula>AND($M41="Approved",OR($L41=$R$1,$L41=$T$1))</formula>
    </cfRule>
  </conditionalFormatting>
  <conditionalFormatting sqref="D41">
    <cfRule type="expression" dxfId="1386" priority="53" stopIfTrue="1">
      <formula>AND($M41="Approved",OR($L41=$R$1,$L41=$T$1))</formula>
    </cfRule>
  </conditionalFormatting>
  <conditionalFormatting sqref="D42">
    <cfRule type="expression" dxfId="1385" priority="52" stopIfTrue="1">
      <formula>AND($M43="Approved",OR($L43=$R$1,$L43=$T$1))</formula>
    </cfRule>
  </conditionalFormatting>
  <conditionalFormatting sqref="H38">
    <cfRule type="expression" dxfId="1384" priority="51" stopIfTrue="1">
      <formula>AND($M38="Approved",OR($L38=$R$1,$L38=$T$1))</formula>
    </cfRule>
  </conditionalFormatting>
  <conditionalFormatting sqref="L41:L46">
    <cfRule type="expression" dxfId="1383" priority="45" stopIfTrue="1">
      <formula>AND($M41="Approved",$L41="Fixed")</formula>
    </cfRule>
    <cfRule type="cellIs" dxfId="1382" priority="46" stopIfTrue="1" operator="equal">
      <formula>"Fixed"</formula>
    </cfRule>
    <cfRule type="cellIs" dxfId="1381" priority="47" stopIfTrue="1" operator="equal">
      <formula>"Open"</formula>
    </cfRule>
  </conditionalFormatting>
  <conditionalFormatting sqref="M41:M46">
    <cfRule type="expression" dxfId="1380" priority="48" stopIfTrue="1">
      <formula>OR(M41="Fixed",M41="Approved")</formula>
    </cfRule>
    <cfRule type="cellIs" dxfId="1379" priority="49" stopIfTrue="1" operator="equal">
      <formula>"Rejected"</formula>
    </cfRule>
  </conditionalFormatting>
  <conditionalFormatting sqref="I41:K46">
    <cfRule type="expression" dxfId="1378" priority="50" stopIfTrue="1">
      <formula>AND($M41="Approved",OR($L41=$R$1,$L41=$T$1))</formula>
    </cfRule>
  </conditionalFormatting>
  <conditionalFormatting sqref="L47:L50">
    <cfRule type="expression" dxfId="1377" priority="39" stopIfTrue="1">
      <formula>AND($M47="Approved",$L47="Fixed")</formula>
    </cfRule>
    <cfRule type="cellIs" dxfId="1376" priority="40" stopIfTrue="1" operator="equal">
      <formula>"Fixed"</formula>
    </cfRule>
    <cfRule type="cellIs" dxfId="1375" priority="41" stopIfTrue="1" operator="equal">
      <formula>"Open"</formula>
    </cfRule>
  </conditionalFormatting>
  <conditionalFormatting sqref="M47:M50">
    <cfRule type="expression" dxfId="1374" priority="42" stopIfTrue="1">
      <formula>OR(M47="Fixed",M47="Approved")</formula>
    </cfRule>
    <cfRule type="cellIs" dxfId="1373" priority="43" stopIfTrue="1" operator="equal">
      <formula>"Rejected"</formula>
    </cfRule>
  </conditionalFormatting>
  <conditionalFormatting sqref="G47 G48:I48 B47:E50 G49:G50 K48 B50:C55 B56">
    <cfRule type="expression" dxfId="1372" priority="44" stopIfTrue="1">
      <formula>AND($M47="Approved",OR($L47=$R$1,$L47=$T$1))</formula>
    </cfRule>
  </conditionalFormatting>
  <conditionalFormatting sqref="H47:I47 K47">
    <cfRule type="expression" dxfId="1371" priority="38" stopIfTrue="1">
      <formula>AND($M47="Approved",OR($L47=$R$1,$L47=$T$1))</formula>
    </cfRule>
  </conditionalFormatting>
  <conditionalFormatting sqref="H49:I49 K49">
    <cfRule type="expression" dxfId="1370" priority="37" stopIfTrue="1">
      <formula>AND($M49="Approved",OR($L49=$R$1,$L49=$T$1))</formula>
    </cfRule>
  </conditionalFormatting>
  <conditionalFormatting sqref="H50:I50 K50">
    <cfRule type="expression" dxfId="1369" priority="36" stopIfTrue="1">
      <formula>AND($M50="Approved",OR($L50=$R$1,$L50=$T$1))</formula>
    </cfRule>
  </conditionalFormatting>
  <conditionalFormatting sqref="F47">
    <cfRule type="expression" dxfId="1368" priority="35" stopIfTrue="1">
      <formula>AND($M47="Approved",OR($L47=$R$1,$L47=$T$1))</formula>
    </cfRule>
  </conditionalFormatting>
  <conditionalFormatting sqref="F48">
    <cfRule type="expression" dxfId="1367" priority="34" stopIfTrue="1">
      <formula>AND($M48="Approved",OR($L48=$R$1,$L48=$T$1))</formula>
    </cfRule>
  </conditionalFormatting>
  <conditionalFormatting sqref="F49">
    <cfRule type="expression" dxfId="1366" priority="33" stopIfTrue="1">
      <formula>AND($M49="Approved",OR($L49=$R$1,$L49=$T$1))</formula>
    </cfRule>
  </conditionalFormatting>
  <conditionalFormatting sqref="F50">
    <cfRule type="expression" dxfId="1365" priority="31" stopIfTrue="1">
      <formula>AND($M50="Approved",OR($L50=$R$1,$L50=$T$1))</formula>
    </cfRule>
  </conditionalFormatting>
  <conditionalFormatting sqref="J47">
    <cfRule type="expression" dxfId="1364" priority="30" stopIfTrue="1">
      <formula>AND($M47="Approved",OR($L47=$R$1,$L47=$T$1))</formula>
    </cfRule>
  </conditionalFormatting>
  <conditionalFormatting sqref="J48">
    <cfRule type="expression" dxfId="1363" priority="29" stopIfTrue="1">
      <formula>AND($M48="Approved",OR($L48=$R$1,$L48=$T$1))</formula>
    </cfRule>
  </conditionalFormatting>
  <conditionalFormatting sqref="J49">
    <cfRule type="expression" dxfId="1362" priority="28" stopIfTrue="1">
      <formula>AND($M49="Approved",OR($L49=$R$1,$L49=$T$1))</formula>
    </cfRule>
  </conditionalFormatting>
  <conditionalFormatting sqref="J50:J62">
    <cfRule type="expression" dxfId="1361" priority="27" stopIfTrue="1">
      <formula>AND($M50="Approved",OR($L50=$R$1,$L50=$T$1))</formula>
    </cfRule>
  </conditionalFormatting>
  <conditionalFormatting sqref="B51:K55 J56:J62">
    <cfRule type="expression" dxfId="1360" priority="26" stopIfTrue="1">
      <formula>AND($M51="Approved",OR($L51=$R$1,$L51=$T$1))</formula>
    </cfRule>
  </conditionalFormatting>
  <conditionalFormatting sqref="L51:L55">
    <cfRule type="expression" dxfId="1359" priority="21" stopIfTrue="1">
      <formula>AND($M51="Approved",$L51="Fixed")</formula>
    </cfRule>
    <cfRule type="cellIs" dxfId="1358" priority="22" stopIfTrue="1" operator="equal">
      <formula>"Fixed"</formula>
    </cfRule>
    <cfRule type="cellIs" dxfId="1357" priority="23" stopIfTrue="1" operator="equal">
      <formula>"Open"</formula>
    </cfRule>
  </conditionalFormatting>
  <conditionalFormatting sqref="M51:M55">
    <cfRule type="expression" dxfId="1356" priority="24" stopIfTrue="1">
      <formula>OR(M51="Fixed",M51="Approved")</formula>
    </cfRule>
    <cfRule type="cellIs" dxfId="1355" priority="25" stopIfTrue="1" operator="equal">
      <formula>"Rejected"</formula>
    </cfRule>
  </conditionalFormatting>
  <conditionalFormatting sqref="C56">
    <cfRule type="expression" dxfId="1354" priority="19" stopIfTrue="1">
      <formula>AND($M56="Approved",OR($L56=$R$1,$L56=$T$1))</formula>
    </cfRule>
  </conditionalFormatting>
  <conditionalFormatting sqref="C57:C60">
    <cfRule type="expression" dxfId="1353" priority="20" stopIfTrue="1">
      <formula>AND($M58="Approved",OR($L58=$R$1,$L58=$T$1))</formula>
    </cfRule>
  </conditionalFormatting>
  <conditionalFormatting sqref="C56:C60">
    <cfRule type="expression" dxfId="1352" priority="18" stopIfTrue="1">
      <formula>AND($M56="Approved",OR($L56=$R$1,$L56=$T$1))</formula>
    </cfRule>
  </conditionalFormatting>
  <conditionalFormatting sqref="C56:C60">
    <cfRule type="expression" dxfId="1351" priority="17" stopIfTrue="1">
      <formula>AND($M56="Approved",OR($L56=$R$1,$L56=$T$1))</formula>
    </cfRule>
  </conditionalFormatting>
  <conditionalFormatting sqref="C61">
    <cfRule type="expression" dxfId="1350" priority="16" stopIfTrue="1">
      <formula>AND($M62="Approved",OR($L62=$R$1,$L62=$T$1))</formula>
    </cfRule>
  </conditionalFormatting>
  <conditionalFormatting sqref="C62">
    <cfRule type="expression" dxfId="1349" priority="15" stopIfTrue="1">
      <formula>AND($M62="Approved",OR($L62=$R$1,$L62=$T$1))</formula>
    </cfRule>
  </conditionalFormatting>
  <conditionalFormatting sqref="B63">
    <cfRule type="expression" dxfId="1348" priority="14" stopIfTrue="1">
      <formula>AND($M63="Approved",OR($L63=$R$1,$L63=$T$1))</formula>
    </cfRule>
  </conditionalFormatting>
  <conditionalFormatting sqref="C63">
    <cfRule type="expression" dxfId="1347" priority="13" stopIfTrue="1">
      <formula>AND($M64="Approved",OR($L64=$R$1,$L64=$T$1))</formula>
    </cfRule>
  </conditionalFormatting>
  <conditionalFormatting sqref="C63">
    <cfRule type="expression" dxfId="1346" priority="12" stopIfTrue="1">
      <formula>AND($M63="Approved",OR($L63=$R$1,$L63=$T$1))</formula>
    </cfRule>
  </conditionalFormatting>
  <conditionalFormatting sqref="C63">
    <cfRule type="expression" dxfId="1345" priority="11" stopIfTrue="1">
      <formula>AND($M63="Approved",OR($L63=$R$1,$L63=$T$1))</formula>
    </cfRule>
  </conditionalFormatting>
  <conditionalFormatting sqref="D63">
    <cfRule type="expression" dxfId="1344" priority="10" stopIfTrue="1">
      <formula>AND($M63="Approved",OR($L63=$R$1,$L63=$T$1))</formula>
    </cfRule>
  </conditionalFormatting>
  <conditionalFormatting sqref="B64">
    <cfRule type="expression" dxfId="1343" priority="9" stopIfTrue="1">
      <formula>AND($M64="Approved",OR($L64=$R$1,$L64=$T$1))</formula>
    </cfRule>
  </conditionalFormatting>
  <conditionalFormatting sqref="C64">
    <cfRule type="expression" dxfId="1342" priority="8" stopIfTrue="1">
      <formula>AND($M65="Approved",OR($L65=$R$1,$L65=$T$1))</formula>
    </cfRule>
  </conditionalFormatting>
  <conditionalFormatting sqref="C64">
    <cfRule type="expression" dxfId="1341" priority="7" stopIfTrue="1">
      <formula>AND($M64="Approved",OR($L64=$R$1,$L64=$T$1))</formula>
    </cfRule>
  </conditionalFormatting>
  <conditionalFormatting sqref="C64">
    <cfRule type="expression" dxfId="1340" priority="6" stopIfTrue="1">
      <formula>AND($M64="Approved",OR($L64=$R$1,$L64=$T$1))</formula>
    </cfRule>
  </conditionalFormatting>
  <conditionalFormatting sqref="D64">
    <cfRule type="expression" dxfId="1339" priority="5" stopIfTrue="1">
      <formula>AND($M64="Approved",OR($L64=$R$1,$L64=$T$1))</formula>
    </cfRule>
  </conditionalFormatting>
  <conditionalFormatting sqref="J68">
    <cfRule type="expression" dxfId="1338" priority="4" stopIfTrue="1">
      <formula>AND($M68="Approved",OR($L68=$R$1,$L68=$T$1))</formula>
    </cfRule>
  </conditionalFormatting>
  <conditionalFormatting sqref="J69">
    <cfRule type="expression" dxfId="1337" priority="3" stopIfTrue="1">
      <formula>AND($M69="Approved",OR($L69=$R$1,$L69=$T$1))</formula>
    </cfRule>
  </conditionalFormatting>
  <conditionalFormatting sqref="J70">
    <cfRule type="expression" dxfId="1336" priority="2" stopIfTrue="1">
      <formula>AND($M70="Approved",OR($L70=$R$1,$L70=$T$1))</formula>
    </cfRule>
  </conditionalFormatting>
  <conditionalFormatting sqref="J71">
    <cfRule type="expression" dxfId="1335" priority="1" stopIfTrue="1">
      <formula>AND($M71="Approved",OR($L71=$R$1,$L71=$T$1))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K35"/>
  <sheetViews>
    <sheetView zoomScale="130" zoomScaleNormal="130" workbookViewId="0">
      <pane xSplit="1" ySplit="3" topLeftCell="B6" activePane="bottomRight" state="frozen"/>
      <selection pane="topRight" activeCell="B1" sqref="B1"/>
      <selection pane="bottomLeft" activeCell="A4" sqref="A4"/>
      <selection pane="bottomRight" activeCell="E2" sqref="E2"/>
    </sheetView>
  </sheetViews>
  <sheetFormatPr defaultColWidth="9.28515625" defaultRowHeight="12.75" outlineLevelCol="1"/>
  <cols>
    <col min="1" max="1" width="12.85546875" style="146" bestFit="1" customWidth="1"/>
    <col min="2" max="2" width="61" style="145" customWidth="1"/>
    <col min="3" max="7" width="11.42578125" style="144" customWidth="1"/>
    <col min="8" max="8" width="33.7109375" style="144" customWidth="1"/>
    <col min="9" max="10" width="30.7109375" style="144" customWidth="1" outlineLevel="1"/>
    <col min="11" max="16384" width="9.28515625" style="144"/>
  </cols>
  <sheetData>
    <row r="2" spans="1:11" ht="66" customHeight="1">
      <c r="A2" s="169" t="s">
        <v>263</v>
      </c>
      <c r="B2" s="170" t="s">
        <v>292</v>
      </c>
      <c r="C2" s="171" t="s">
        <v>467</v>
      </c>
      <c r="D2" s="171" t="s">
        <v>496</v>
      </c>
      <c r="E2" s="171" t="s">
        <v>525</v>
      </c>
      <c r="F2" s="171" t="s">
        <v>529</v>
      </c>
      <c r="G2" s="171" t="s">
        <v>526</v>
      </c>
      <c r="H2" s="172" t="s">
        <v>264</v>
      </c>
      <c r="I2" s="325" t="s">
        <v>165</v>
      </c>
      <c r="J2" s="326"/>
    </row>
    <row r="3" spans="1:11" ht="18.75">
      <c r="A3" s="173"/>
      <c r="B3" s="174"/>
      <c r="C3" s="175">
        <f>COUNTIF(Review.ratings,"Yes") / ( COUNTA(Review.QuestionIds) - COUNTIF(Review.ratings,"NA"))</f>
        <v>0.91304347826086951</v>
      </c>
      <c r="D3" s="175">
        <f>COUNTIF(D6:D32,"Yes") / ( COUNTA(Review.QuestionIds) - COUNTIF(D6:D32,"NA"))</f>
        <v>1</v>
      </c>
      <c r="E3" s="175">
        <f>COUNTIF(E6:E32,"Yes") / ( COUNTA(Review.QuestionIds) - COUNTIF(E6:E32,"NA"))</f>
        <v>1</v>
      </c>
      <c r="F3" s="175">
        <f>COUNTIF(F6:F32,"Yes") / ( COUNTA(Review.QuestionIds) - COUNTIF(F6:F32,"NA"))</f>
        <v>1</v>
      </c>
      <c r="G3" s="175">
        <f>COUNTIF(G6:G32,"Yes") / ( COUNTA(Review.QuestionIds) - COUNTIF(G6:G32,"NA"))</f>
        <v>1</v>
      </c>
      <c r="H3" s="180"/>
      <c r="I3" s="188" t="s">
        <v>265</v>
      </c>
      <c r="J3" s="188" t="s">
        <v>266</v>
      </c>
      <c r="K3" s="181"/>
    </row>
    <row r="4" spans="1:11" ht="36">
      <c r="A4" s="176"/>
      <c r="B4" s="177" t="s">
        <v>267</v>
      </c>
      <c r="C4" s="178"/>
      <c r="D4" s="178"/>
      <c r="E4" s="178"/>
      <c r="F4" s="178"/>
      <c r="G4" s="178"/>
      <c r="H4" s="178"/>
      <c r="I4" s="178"/>
      <c r="J4" s="179"/>
      <c r="K4" s="23"/>
    </row>
    <row r="5" spans="1:11" ht="18.75">
      <c r="A5" s="147"/>
      <c r="B5" s="156" t="s">
        <v>288</v>
      </c>
      <c r="C5" s="148"/>
      <c r="D5" s="148"/>
      <c r="E5" s="148"/>
      <c r="F5" s="148"/>
      <c r="G5" s="148"/>
      <c r="H5" s="148"/>
      <c r="I5" s="188"/>
      <c r="J5" s="188"/>
    </row>
    <row r="6" spans="1:11" ht="38.25">
      <c r="A6" s="150" t="s">
        <v>289</v>
      </c>
      <c r="B6" s="159" t="s">
        <v>290</v>
      </c>
      <c r="C6" s="182" t="s">
        <v>110</v>
      </c>
      <c r="D6" s="182" t="s">
        <v>110</v>
      </c>
      <c r="E6" s="182" t="s">
        <v>110</v>
      </c>
      <c r="F6" s="182" t="s">
        <v>110</v>
      </c>
      <c r="G6" s="182" t="s">
        <v>110</v>
      </c>
      <c r="H6" s="183"/>
      <c r="I6" s="149"/>
      <c r="J6" s="149"/>
    </row>
    <row r="7" spans="1:11" ht="18.75">
      <c r="A7" s="147"/>
      <c r="B7" s="156" t="s">
        <v>293</v>
      </c>
      <c r="C7" s="148"/>
      <c r="D7" s="148"/>
      <c r="E7" s="148"/>
      <c r="F7" s="148"/>
      <c r="G7" s="148"/>
      <c r="H7" s="148"/>
      <c r="I7" s="188"/>
      <c r="J7" s="188"/>
    </row>
    <row r="8" spans="1:11" ht="38.25">
      <c r="A8" s="150" t="s">
        <v>294</v>
      </c>
      <c r="B8" s="159" t="s">
        <v>295</v>
      </c>
      <c r="C8" s="182" t="s">
        <v>110</v>
      </c>
      <c r="D8" s="182" t="s">
        <v>110</v>
      </c>
      <c r="E8" s="182" t="s">
        <v>110</v>
      </c>
      <c r="F8" s="182" t="s">
        <v>110</v>
      </c>
      <c r="G8" s="182" t="s">
        <v>110</v>
      </c>
      <c r="H8" s="183"/>
      <c r="I8" s="149"/>
      <c r="J8" s="149"/>
    </row>
    <row r="9" spans="1:11" ht="25.5">
      <c r="A9" s="150" t="s">
        <v>296</v>
      </c>
      <c r="B9" s="159" t="s">
        <v>297</v>
      </c>
      <c r="C9" s="182" t="s">
        <v>110</v>
      </c>
      <c r="D9" s="182" t="s">
        <v>110</v>
      </c>
      <c r="E9" s="182" t="s">
        <v>110</v>
      </c>
      <c r="F9" s="182" t="s">
        <v>110</v>
      </c>
      <c r="G9" s="182" t="s">
        <v>110</v>
      </c>
      <c r="H9" s="183"/>
      <c r="I9" s="149"/>
      <c r="J9" s="149"/>
    </row>
    <row r="10" spans="1:11" ht="38.25">
      <c r="A10" s="150" t="s">
        <v>298</v>
      </c>
      <c r="B10" s="159" t="s">
        <v>299</v>
      </c>
      <c r="C10" s="182" t="s">
        <v>110</v>
      </c>
      <c r="D10" s="182" t="s">
        <v>110</v>
      </c>
      <c r="E10" s="182" t="s">
        <v>110</v>
      </c>
      <c r="F10" s="182" t="s">
        <v>110</v>
      </c>
      <c r="G10" s="182" t="s">
        <v>110</v>
      </c>
      <c r="H10" s="183"/>
      <c r="I10" s="149"/>
      <c r="J10" s="149"/>
    </row>
    <row r="11" spans="1:11" ht="25.5">
      <c r="A11" s="150" t="s">
        <v>300</v>
      </c>
      <c r="B11" s="159" t="s">
        <v>301</v>
      </c>
      <c r="C11" s="182" t="s">
        <v>110</v>
      </c>
      <c r="D11" s="182" t="s">
        <v>110</v>
      </c>
      <c r="E11" s="182" t="s">
        <v>110</v>
      </c>
      <c r="F11" s="182" t="s">
        <v>110</v>
      </c>
      <c r="G11" s="182" t="s">
        <v>110</v>
      </c>
      <c r="H11" s="183"/>
      <c r="I11" s="149"/>
      <c r="J11" s="149"/>
    </row>
    <row r="12" spans="1:11" ht="51">
      <c r="A12" s="150" t="s">
        <v>302</v>
      </c>
      <c r="B12" s="159" t="s">
        <v>303</v>
      </c>
      <c r="C12" s="182" t="s">
        <v>110</v>
      </c>
      <c r="D12" s="182" t="s">
        <v>110</v>
      </c>
      <c r="E12" s="182" t="s">
        <v>110</v>
      </c>
      <c r="F12" s="182" t="s">
        <v>110</v>
      </c>
      <c r="G12" s="182" t="s">
        <v>110</v>
      </c>
      <c r="H12" s="183"/>
      <c r="I12" s="149"/>
      <c r="J12" s="149"/>
    </row>
    <row r="13" spans="1:11" ht="25.5">
      <c r="A13" s="150" t="s">
        <v>304</v>
      </c>
      <c r="B13" s="159" t="s">
        <v>305</v>
      </c>
      <c r="C13" s="182" t="s">
        <v>110</v>
      </c>
      <c r="D13" s="182" t="s">
        <v>110</v>
      </c>
      <c r="E13" s="182" t="s">
        <v>110</v>
      </c>
      <c r="F13" s="182" t="s">
        <v>110</v>
      </c>
      <c r="G13" s="182" t="s">
        <v>110</v>
      </c>
      <c r="H13" s="183"/>
      <c r="I13" s="149"/>
      <c r="J13" s="149"/>
    </row>
    <row r="14" spans="1:11" ht="25.5">
      <c r="A14" s="150" t="s">
        <v>306</v>
      </c>
      <c r="B14" s="159" t="s">
        <v>307</v>
      </c>
      <c r="C14" s="182" t="s">
        <v>110</v>
      </c>
      <c r="D14" s="182" t="s">
        <v>110</v>
      </c>
      <c r="E14" s="182" t="s">
        <v>110</v>
      </c>
      <c r="F14" s="182" t="s">
        <v>110</v>
      </c>
      <c r="G14" s="182" t="s">
        <v>110</v>
      </c>
      <c r="H14" s="183"/>
      <c r="I14" s="149"/>
      <c r="J14" s="149"/>
    </row>
    <row r="15" spans="1:11" ht="38.25">
      <c r="A15" s="150" t="s">
        <v>308</v>
      </c>
      <c r="B15" s="159" t="s">
        <v>309</v>
      </c>
      <c r="C15" s="182" t="s">
        <v>110</v>
      </c>
      <c r="D15" s="182" t="s">
        <v>110</v>
      </c>
      <c r="E15" s="182" t="s">
        <v>110</v>
      </c>
      <c r="F15" s="182" t="s">
        <v>110</v>
      </c>
      <c r="G15" s="182" t="s">
        <v>110</v>
      </c>
      <c r="H15" s="183"/>
      <c r="I15" s="149"/>
      <c r="J15" s="149"/>
    </row>
    <row r="16" spans="1:11" ht="25.5">
      <c r="A16" s="150" t="s">
        <v>310</v>
      </c>
      <c r="B16" s="159" t="s">
        <v>291</v>
      </c>
      <c r="C16" s="182" t="s">
        <v>110</v>
      </c>
      <c r="D16" s="182" t="s">
        <v>110</v>
      </c>
      <c r="E16" s="182" t="s">
        <v>110</v>
      </c>
      <c r="F16" s="182" t="s">
        <v>110</v>
      </c>
      <c r="G16" s="182" t="s">
        <v>110</v>
      </c>
      <c r="H16" s="183"/>
      <c r="I16" s="149"/>
      <c r="J16" s="149"/>
    </row>
    <row r="17" spans="1:10" ht="38.25">
      <c r="A17" s="150" t="s">
        <v>311</v>
      </c>
      <c r="B17" s="159" t="s">
        <v>312</v>
      </c>
      <c r="C17" s="182" t="s">
        <v>110</v>
      </c>
      <c r="D17" s="182" t="s">
        <v>110</v>
      </c>
      <c r="E17" s="182" t="s">
        <v>110</v>
      </c>
      <c r="F17" s="182" t="s">
        <v>110</v>
      </c>
      <c r="G17" s="182" t="s">
        <v>110</v>
      </c>
      <c r="H17" s="183"/>
      <c r="I17" s="149"/>
      <c r="J17" s="149"/>
    </row>
    <row r="18" spans="1:10" ht="38.25">
      <c r="A18" s="150" t="s">
        <v>313</v>
      </c>
      <c r="B18" s="159" t="s">
        <v>314</v>
      </c>
      <c r="C18" s="182" t="s">
        <v>110</v>
      </c>
      <c r="D18" s="182" t="s">
        <v>110</v>
      </c>
      <c r="E18" s="182" t="s">
        <v>110</v>
      </c>
      <c r="F18" s="182" t="s">
        <v>110</v>
      </c>
      <c r="G18" s="182" t="s">
        <v>110</v>
      </c>
      <c r="H18" s="183"/>
      <c r="I18" s="149"/>
      <c r="J18" s="149"/>
    </row>
    <row r="19" spans="1:10" ht="25.5">
      <c r="A19" s="150" t="s">
        <v>315</v>
      </c>
      <c r="B19" s="159" t="s">
        <v>316</v>
      </c>
      <c r="C19" s="182" t="s">
        <v>110</v>
      </c>
      <c r="D19" s="182" t="s">
        <v>110</v>
      </c>
      <c r="E19" s="182" t="s">
        <v>110</v>
      </c>
      <c r="F19" s="182" t="s">
        <v>110</v>
      </c>
      <c r="G19" s="182" t="s">
        <v>110</v>
      </c>
      <c r="H19" s="183"/>
      <c r="I19" s="149"/>
      <c r="J19" s="149"/>
    </row>
    <row r="20" spans="1:10" ht="25.5">
      <c r="A20" s="150" t="s">
        <v>317</v>
      </c>
      <c r="B20" s="159" t="s">
        <v>318</v>
      </c>
      <c r="C20" s="182" t="s">
        <v>110</v>
      </c>
      <c r="D20" s="182" t="s">
        <v>110</v>
      </c>
      <c r="E20" s="182" t="s">
        <v>110</v>
      </c>
      <c r="F20" s="182" t="s">
        <v>110</v>
      </c>
      <c r="G20" s="182" t="s">
        <v>110</v>
      </c>
      <c r="H20" s="183"/>
      <c r="I20" s="149"/>
      <c r="J20" s="149"/>
    </row>
    <row r="21" spans="1:10" ht="38.25">
      <c r="A21" s="150" t="s">
        <v>319</v>
      </c>
      <c r="B21" s="159" t="s">
        <v>320</v>
      </c>
      <c r="C21" s="182" t="s">
        <v>110</v>
      </c>
      <c r="D21" s="182" t="s">
        <v>110</v>
      </c>
      <c r="E21" s="182" t="s">
        <v>110</v>
      </c>
      <c r="F21" s="182" t="s">
        <v>110</v>
      </c>
      <c r="G21" s="182" t="s">
        <v>110</v>
      </c>
      <c r="H21" s="183"/>
      <c r="I21" s="149"/>
      <c r="J21" s="149"/>
    </row>
    <row r="22" spans="1:10" ht="38.25">
      <c r="A22" s="150" t="s">
        <v>321</v>
      </c>
      <c r="B22" s="159" t="s">
        <v>322</v>
      </c>
      <c r="C22" s="182" t="s">
        <v>110</v>
      </c>
      <c r="D22" s="182" t="s">
        <v>110</v>
      </c>
      <c r="E22" s="182" t="s">
        <v>110</v>
      </c>
      <c r="F22" s="182" t="s">
        <v>110</v>
      </c>
      <c r="G22" s="182" t="s">
        <v>110</v>
      </c>
      <c r="H22" s="183"/>
      <c r="I22" s="149"/>
      <c r="J22" s="149"/>
    </row>
    <row r="23" spans="1:10" ht="18.75">
      <c r="A23" s="147"/>
      <c r="B23" s="156" t="s">
        <v>268</v>
      </c>
      <c r="C23" s="148"/>
      <c r="D23" s="148"/>
      <c r="E23" s="148"/>
      <c r="F23" s="148"/>
      <c r="G23" s="148"/>
      <c r="H23" s="148"/>
      <c r="I23" s="188"/>
      <c r="J23" s="188"/>
    </row>
    <row r="24" spans="1:10" ht="38.25">
      <c r="A24" s="150" t="s">
        <v>269</v>
      </c>
      <c r="B24" s="159" t="s">
        <v>270</v>
      </c>
      <c r="C24" s="182" t="s">
        <v>112</v>
      </c>
      <c r="D24" s="182" t="s">
        <v>110</v>
      </c>
      <c r="E24" s="182" t="s">
        <v>110</v>
      </c>
      <c r="F24" s="182" t="s">
        <v>110</v>
      </c>
      <c r="G24" s="182" t="s">
        <v>110</v>
      </c>
      <c r="H24" s="191" t="s">
        <v>468</v>
      </c>
      <c r="I24" s="149"/>
      <c r="J24" s="149"/>
    </row>
    <row r="25" spans="1:10" ht="25.5">
      <c r="A25" s="150" t="s">
        <v>271</v>
      </c>
      <c r="B25" s="159" t="s">
        <v>272</v>
      </c>
      <c r="C25" s="182" t="s">
        <v>110</v>
      </c>
      <c r="D25" s="182" t="s">
        <v>110</v>
      </c>
      <c r="E25" s="182" t="s">
        <v>110</v>
      </c>
      <c r="F25" s="182" t="s">
        <v>110</v>
      </c>
      <c r="G25" s="182" t="s">
        <v>110</v>
      </c>
      <c r="H25" s="183"/>
      <c r="I25" s="149"/>
      <c r="J25" s="149"/>
    </row>
    <row r="26" spans="1:10" ht="38.25">
      <c r="A26" s="150" t="s">
        <v>273</v>
      </c>
      <c r="B26" s="159" t="s">
        <v>274</v>
      </c>
      <c r="C26" s="182" t="s">
        <v>112</v>
      </c>
      <c r="D26" s="182" t="s">
        <v>110</v>
      </c>
      <c r="E26" s="182" t="s">
        <v>110</v>
      </c>
      <c r="F26" s="182" t="s">
        <v>110</v>
      </c>
      <c r="G26" s="182" t="s">
        <v>110</v>
      </c>
      <c r="H26" s="191" t="s">
        <v>468</v>
      </c>
      <c r="I26" s="149"/>
      <c r="J26" s="149"/>
    </row>
    <row r="27" spans="1:10" ht="38.25">
      <c r="A27" s="150" t="s">
        <v>275</v>
      </c>
      <c r="B27" s="159" t="s">
        <v>276</v>
      </c>
      <c r="C27" s="182" t="s">
        <v>110</v>
      </c>
      <c r="D27" s="182" t="s">
        <v>110</v>
      </c>
      <c r="E27" s="182" t="s">
        <v>110</v>
      </c>
      <c r="F27" s="182" t="s">
        <v>110</v>
      </c>
      <c r="G27" s="182" t="s">
        <v>110</v>
      </c>
      <c r="H27" s="183"/>
      <c r="I27" s="149"/>
      <c r="J27" s="149"/>
    </row>
    <row r="28" spans="1:10" ht="18.75">
      <c r="A28" s="147"/>
      <c r="B28" s="156" t="s">
        <v>277</v>
      </c>
      <c r="C28" s="148"/>
      <c r="D28" s="148"/>
      <c r="E28" s="148"/>
      <c r="F28" s="148"/>
      <c r="G28" s="148"/>
      <c r="H28" s="148"/>
      <c r="I28" s="188"/>
      <c r="J28" s="188"/>
    </row>
    <row r="29" spans="1:10" ht="38.25">
      <c r="A29" s="150" t="s">
        <v>278</v>
      </c>
      <c r="B29" s="159" t="s">
        <v>279</v>
      </c>
      <c r="C29" s="182" t="s">
        <v>110</v>
      </c>
      <c r="D29" s="182" t="s">
        <v>110</v>
      </c>
      <c r="E29" s="182" t="s">
        <v>110</v>
      </c>
      <c r="F29" s="182" t="s">
        <v>110</v>
      </c>
      <c r="G29" s="182" t="s">
        <v>110</v>
      </c>
      <c r="H29" s="183"/>
      <c r="I29" s="149"/>
      <c r="J29" s="149"/>
    </row>
    <row r="30" spans="1:10" ht="38.25">
      <c r="A30" s="150" t="s">
        <v>280</v>
      </c>
      <c r="B30" s="159" t="s">
        <v>281</v>
      </c>
      <c r="C30" s="182" t="s">
        <v>110</v>
      </c>
      <c r="D30" s="182" t="s">
        <v>110</v>
      </c>
      <c r="E30" s="182" t="s">
        <v>110</v>
      </c>
      <c r="F30" s="182" t="s">
        <v>110</v>
      </c>
      <c r="G30" s="182" t="s">
        <v>110</v>
      </c>
      <c r="H30" s="183"/>
      <c r="I30" s="149"/>
      <c r="J30" s="149"/>
    </row>
    <row r="31" spans="1:10" ht="18.75">
      <c r="A31" s="147"/>
      <c r="B31" s="156" t="s">
        <v>282</v>
      </c>
      <c r="C31" s="148"/>
      <c r="D31" s="148"/>
      <c r="E31" s="148"/>
      <c r="F31" s="148"/>
      <c r="G31" s="148"/>
      <c r="H31" s="148"/>
      <c r="I31" s="188"/>
      <c r="J31" s="188"/>
    </row>
    <row r="32" spans="1:10" ht="51">
      <c r="A32" s="150" t="s">
        <v>283</v>
      </c>
      <c r="B32" s="159" t="s">
        <v>284</v>
      </c>
      <c r="C32" s="182" t="s">
        <v>110</v>
      </c>
      <c r="D32" s="182" t="s">
        <v>110</v>
      </c>
      <c r="E32" s="182" t="s">
        <v>110</v>
      </c>
      <c r="F32" s="182" t="s">
        <v>110</v>
      </c>
      <c r="G32" s="182" t="s">
        <v>110</v>
      </c>
      <c r="H32" s="183"/>
      <c r="I32" s="149"/>
      <c r="J32" s="149"/>
    </row>
    <row r="33" spans="1:10" ht="18">
      <c r="A33" s="184"/>
      <c r="B33" s="185" t="s">
        <v>285</v>
      </c>
      <c r="C33" s="184"/>
      <c r="D33" s="184"/>
      <c r="E33" s="184"/>
      <c r="F33" s="184"/>
      <c r="G33" s="184"/>
      <c r="H33" s="184"/>
      <c r="I33" s="184"/>
      <c r="J33" s="184"/>
    </row>
    <row r="34" spans="1:10">
      <c r="A34" s="150"/>
      <c r="B34" s="159"/>
    </row>
    <row r="35" spans="1:10" ht="15">
      <c r="A35" s="186"/>
      <c r="B35" s="187" t="s">
        <v>286</v>
      </c>
      <c r="C35" s="186"/>
      <c r="D35" s="186"/>
      <c r="E35" s="186"/>
      <c r="F35" s="186"/>
      <c r="G35" s="186"/>
      <c r="H35" s="186"/>
      <c r="I35" s="186"/>
      <c r="J35" s="186"/>
    </row>
  </sheetData>
  <mergeCells count="1">
    <mergeCell ref="I2:J2"/>
  </mergeCells>
  <conditionalFormatting sqref="C6">
    <cfRule type="cellIs" dxfId="1334" priority="1110" operator="equal">
      <formula>"No"</formula>
    </cfRule>
    <cfRule type="cellIs" dxfId="1333" priority="1111" operator="equal">
      <formula>"NA"</formula>
    </cfRule>
    <cfRule type="cellIs" dxfId="1332" priority="1112" operator="equal">
      <formula>"Yes"</formula>
    </cfRule>
  </conditionalFormatting>
  <conditionalFormatting sqref="C8:C22">
    <cfRule type="cellIs" dxfId="1331" priority="52" operator="equal">
      <formula>"No"</formula>
    </cfRule>
    <cfRule type="cellIs" dxfId="1330" priority="53" operator="equal">
      <formula>"NA"</formula>
    </cfRule>
    <cfRule type="cellIs" dxfId="1329" priority="54" operator="equal">
      <formula>"Yes"</formula>
    </cfRule>
  </conditionalFormatting>
  <conditionalFormatting sqref="C24">
    <cfRule type="cellIs" dxfId="1328" priority="49" operator="equal">
      <formula>"No"</formula>
    </cfRule>
    <cfRule type="cellIs" dxfId="1327" priority="50" operator="equal">
      <formula>"NA"</formula>
    </cfRule>
    <cfRule type="cellIs" dxfId="1326" priority="51" operator="equal">
      <formula>"Yes"</formula>
    </cfRule>
  </conditionalFormatting>
  <conditionalFormatting sqref="C25">
    <cfRule type="cellIs" dxfId="1325" priority="46" operator="equal">
      <formula>"No"</formula>
    </cfRule>
    <cfRule type="cellIs" dxfId="1324" priority="47" operator="equal">
      <formula>"NA"</formula>
    </cfRule>
    <cfRule type="cellIs" dxfId="1323" priority="48" operator="equal">
      <formula>"Yes"</formula>
    </cfRule>
  </conditionalFormatting>
  <conditionalFormatting sqref="C26">
    <cfRule type="cellIs" dxfId="1322" priority="43" operator="equal">
      <formula>"No"</formula>
    </cfRule>
    <cfRule type="cellIs" dxfId="1321" priority="44" operator="equal">
      <formula>"NA"</formula>
    </cfRule>
    <cfRule type="cellIs" dxfId="1320" priority="45" operator="equal">
      <formula>"Yes"</formula>
    </cfRule>
  </conditionalFormatting>
  <conditionalFormatting sqref="C27">
    <cfRule type="cellIs" dxfId="1319" priority="40" operator="equal">
      <formula>"No"</formula>
    </cfRule>
    <cfRule type="cellIs" dxfId="1318" priority="41" operator="equal">
      <formula>"NA"</formula>
    </cfRule>
    <cfRule type="cellIs" dxfId="1317" priority="42" operator="equal">
      <formula>"Yes"</formula>
    </cfRule>
  </conditionalFormatting>
  <conditionalFormatting sqref="C29">
    <cfRule type="cellIs" dxfId="1316" priority="37" operator="equal">
      <formula>"No"</formula>
    </cfRule>
    <cfRule type="cellIs" dxfId="1315" priority="38" operator="equal">
      <formula>"NA"</formula>
    </cfRule>
    <cfRule type="cellIs" dxfId="1314" priority="39" operator="equal">
      <formula>"Yes"</formula>
    </cfRule>
  </conditionalFormatting>
  <conditionalFormatting sqref="C30">
    <cfRule type="cellIs" dxfId="1313" priority="34" operator="equal">
      <formula>"No"</formula>
    </cfRule>
    <cfRule type="cellIs" dxfId="1312" priority="35" operator="equal">
      <formula>"NA"</formula>
    </cfRule>
    <cfRule type="cellIs" dxfId="1311" priority="36" operator="equal">
      <formula>"Yes"</formula>
    </cfRule>
  </conditionalFormatting>
  <conditionalFormatting sqref="C32">
    <cfRule type="cellIs" dxfId="1310" priority="31" operator="equal">
      <formula>"No"</formula>
    </cfRule>
    <cfRule type="cellIs" dxfId="1309" priority="32" operator="equal">
      <formula>"NA"</formula>
    </cfRule>
    <cfRule type="cellIs" dxfId="1308" priority="33" operator="equal">
      <formula>"Yes"</formula>
    </cfRule>
  </conditionalFormatting>
  <conditionalFormatting sqref="D6:G6">
    <cfRule type="cellIs" dxfId="1307" priority="28" operator="equal">
      <formula>"No"</formula>
    </cfRule>
    <cfRule type="cellIs" dxfId="1306" priority="29" operator="equal">
      <formula>"NA"</formula>
    </cfRule>
    <cfRule type="cellIs" dxfId="1305" priority="30" operator="equal">
      <formula>"Yes"</formula>
    </cfRule>
  </conditionalFormatting>
  <conditionalFormatting sqref="E8:G22">
    <cfRule type="cellIs" dxfId="1304" priority="25" operator="equal">
      <formula>"No"</formula>
    </cfRule>
    <cfRule type="cellIs" dxfId="1303" priority="26" operator="equal">
      <formula>"NA"</formula>
    </cfRule>
    <cfRule type="cellIs" dxfId="1302" priority="27" operator="equal">
      <formula>"Yes"</formula>
    </cfRule>
  </conditionalFormatting>
  <conditionalFormatting sqref="D24:G24">
    <cfRule type="cellIs" dxfId="1301" priority="22" operator="equal">
      <formula>"No"</formula>
    </cfRule>
    <cfRule type="cellIs" dxfId="1300" priority="23" operator="equal">
      <formula>"NA"</formula>
    </cfRule>
    <cfRule type="cellIs" dxfId="1299" priority="24" operator="equal">
      <formula>"Yes"</formula>
    </cfRule>
  </conditionalFormatting>
  <conditionalFormatting sqref="D25:G25">
    <cfRule type="cellIs" dxfId="1298" priority="19" operator="equal">
      <formula>"No"</formula>
    </cfRule>
    <cfRule type="cellIs" dxfId="1297" priority="20" operator="equal">
      <formula>"NA"</formula>
    </cfRule>
    <cfRule type="cellIs" dxfId="1296" priority="21" operator="equal">
      <formula>"Yes"</formula>
    </cfRule>
  </conditionalFormatting>
  <conditionalFormatting sqref="D26:G26">
    <cfRule type="cellIs" dxfId="1295" priority="16" operator="equal">
      <formula>"No"</formula>
    </cfRule>
    <cfRule type="cellIs" dxfId="1294" priority="17" operator="equal">
      <formula>"NA"</formula>
    </cfRule>
    <cfRule type="cellIs" dxfId="1293" priority="18" operator="equal">
      <formula>"Yes"</formula>
    </cfRule>
  </conditionalFormatting>
  <conditionalFormatting sqref="D27:G27">
    <cfRule type="cellIs" dxfId="1292" priority="13" operator="equal">
      <formula>"No"</formula>
    </cfRule>
    <cfRule type="cellIs" dxfId="1291" priority="14" operator="equal">
      <formula>"NA"</formula>
    </cfRule>
    <cfRule type="cellIs" dxfId="1290" priority="15" operator="equal">
      <formula>"Yes"</formula>
    </cfRule>
  </conditionalFormatting>
  <conditionalFormatting sqref="D29:G29">
    <cfRule type="cellIs" dxfId="1289" priority="10" operator="equal">
      <formula>"No"</formula>
    </cfRule>
    <cfRule type="cellIs" dxfId="1288" priority="11" operator="equal">
      <formula>"NA"</formula>
    </cfRule>
    <cfRule type="cellIs" dxfId="1287" priority="12" operator="equal">
      <formula>"Yes"</formula>
    </cfRule>
  </conditionalFormatting>
  <conditionalFormatting sqref="D30:G30">
    <cfRule type="cellIs" dxfId="1286" priority="7" operator="equal">
      <formula>"No"</formula>
    </cfRule>
    <cfRule type="cellIs" dxfId="1285" priority="8" operator="equal">
      <formula>"NA"</formula>
    </cfRule>
    <cfRule type="cellIs" dxfId="1284" priority="9" operator="equal">
      <formula>"Yes"</formula>
    </cfRule>
  </conditionalFormatting>
  <conditionalFormatting sqref="D32:G32">
    <cfRule type="cellIs" dxfId="1283" priority="4" operator="equal">
      <formula>"No"</formula>
    </cfRule>
    <cfRule type="cellIs" dxfId="1282" priority="5" operator="equal">
      <formula>"NA"</formula>
    </cfRule>
    <cfRule type="cellIs" dxfId="1281" priority="6" operator="equal">
      <formula>"Yes"</formula>
    </cfRule>
  </conditionalFormatting>
  <conditionalFormatting sqref="D8:D22">
    <cfRule type="cellIs" dxfId="1280" priority="1" operator="equal">
      <formula>"No"</formula>
    </cfRule>
    <cfRule type="cellIs" dxfId="1279" priority="2" operator="equal">
      <formula>"NA"</formula>
    </cfRule>
    <cfRule type="cellIs" dxfId="1278" priority="3" operator="equal">
      <formula>"Yes"</formula>
    </cfRule>
  </conditionalFormatting>
  <dataValidations count="1">
    <dataValidation type="list" allowBlank="1" showInputMessage="1" showErrorMessage="1" sqref="C24:G27 C8:G22 C29:G30 C6:G6 C32:G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AI36"/>
  <sheetViews>
    <sheetView zoomScale="115" zoomScaleNormal="115" workbookViewId="0">
      <pane xSplit="1" ySplit="3" topLeftCell="G4" activePane="bottomRight" state="frozen"/>
      <selection pane="topRight" activeCell="B1" sqref="B1"/>
      <selection pane="bottomLeft" activeCell="A4" sqref="A4"/>
      <selection pane="bottomRight" activeCell="T3" sqref="T3"/>
    </sheetView>
  </sheetViews>
  <sheetFormatPr defaultColWidth="9.28515625" defaultRowHeight="12.75" outlineLevelCol="1"/>
  <cols>
    <col min="1" max="1" width="13" style="146" bestFit="1" customWidth="1"/>
    <col min="2" max="2" width="61" style="145" customWidth="1"/>
    <col min="3" max="3" width="7.85546875" style="144" customWidth="1"/>
    <col min="4" max="12" width="7.85546875" style="144" bestFit="1" customWidth="1"/>
    <col min="13" max="19" width="7.85546875" style="144" customWidth="1"/>
    <col min="20" max="20" width="7.85546875" style="144" bestFit="1" customWidth="1"/>
    <col min="21" max="31" width="7.85546875" style="144" customWidth="1"/>
    <col min="32" max="32" width="33.7109375" style="144" customWidth="1"/>
    <col min="33" max="34" width="30.7109375" style="144" customWidth="1" outlineLevel="1"/>
    <col min="35" max="16384" width="9.28515625" style="144"/>
  </cols>
  <sheetData>
    <row r="2" spans="1:35" ht="69.75" customHeight="1">
      <c r="A2" s="169" t="s">
        <v>263</v>
      </c>
      <c r="B2" s="170" t="s">
        <v>323</v>
      </c>
      <c r="C2" s="171" t="s">
        <v>444</v>
      </c>
      <c r="D2" s="171" t="s">
        <v>443</v>
      </c>
      <c r="E2" s="171" t="s">
        <v>445</v>
      </c>
      <c r="F2" s="171" t="s">
        <v>446</v>
      </c>
      <c r="G2" s="171" t="s">
        <v>447</v>
      </c>
      <c r="H2" s="171" t="s">
        <v>448</v>
      </c>
      <c r="I2" s="171" t="s">
        <v>469</v>
      </c>
      <c r="J2" s="171" t="s">
        <v>470</v>
      </c>
      <c r="K2" s="171" t="s">
        <v>471</v>
      </c>
      <c r="L2" s="171" t="s">
        <v>472</v>
      </c>
      <c r="M2" s="171" t="s">
        <v>473</v>
      </c>
      <c r="N2" s="171" t="s">
        <v>478</v>
      </c>
      <c r="O2" s="171" t="s">
        <v>483</v>
      </c>
      <c r="P2" s="171" t="s">
        <v>484</v>
      </c>
      <c r="Q2" s="171" t="s">
        <v>485</v>
      </c>
      <c r="R2" s="171" t="s">
        <v>486</v>
      </c>
      <c r="S2" s="171" t="s">
        <v>487</v>
      </c>
      <c r="T2" s="171" t="s">
        <v>520</v>
      </c>
      <c r="U2" s="171" t="s">
        <v>497</v>
      </c>
      <c r="V2" s="171" t="s">
        <v>498</v>
      </c>
      <c r="W2" s="171" t="s">
        <v>499</v>
      </c>
      <c r="X2" s="171" t="s">
        <v>500</v>
      </c>
      <c r="Y2" s="171" t="s">
        <v>501</v>
      </c>
      <c r="Z2" s="171" t="s">
        <v>499</v>
      </c>
      <c r="AA2" s="171" t="s">
        <v>504</v>
      </c>
      <c r="AB2" s="171" t="s">
        <v>505</v>
      </c>
      <c r="AC2" s="171" t="s">
        <v>517</v>
      </c>
      <c r="AD2" s="171" t="s">
        <v>518</v>
      </c>
      <c r="AE2" s="171" t="s">
        <v>519</v>
      </c>
      <c r="AF2" s="172" t="s">
        <v>264</v>
      </c>
      <c r="AG2" s="325" t="s">
        <v>165</v>
      </c>
      <c r="AH2" s="326"/>
    </row>
    <row r="3" spans="1:35" ht="18.75">
      <c r="A3" s="173"/>
      <c r="B3" s="174"/>
      <c r="C3" s="175">
        <f t="shared" ref="C3:M3" si="0">COUNTIF(C5:C33,"Yes") / ( COUNTA(Review.QuestionIds) - COUNTIF(C5:C33,"NA"))</f>
        <v>0.72727272727272729</v>
      </c>
      <c r="D3" s="175">
        <f t="shared" si="0"/>
        <v>0.72727272727272729</v>
      </c>
      <c r="E3" s="175">
        <f t="shared" si="0"/>
        <v>0.77272727272727271</v>
      </c>
      <c r="F3" s="175">
        <f t="shared" si="0"/>
        <v>0.77272727272727271</v>
      </c>
      <c r="G3" s="175">
        <f t="shared" si="0"/>
        <v>0.72727272727272729</v>
      </c>
      <c r="H3" s="175">
        <f t="shared" si="0"/>
        <v>0.60869565217391308</v>
      </c>
      <c r="I3" s="175">
        <f t="shared" si="0"/>
        <v>0.90909090909090906</v>
      </c>
      <c r="J3" s="175">
        <f t="shared" si="0"/>
        <v>0.95454545454545459</v>
      </c>
      <c r="K3" s="175">
        <f t="shared" si="0"/>
        <v>0.95454545454545459</v>
      </c>
      <c r="L3" s="175">
        <f t="shared" si="0"/>
        <v>0.86363636363636365</v>
      </c>
      <c r="M3" s="175">
        <f t="shared" si="0"/>
        <v>0.78260869565217395</v>
      </c>
      <c r="N3" s="175">
        <f t="shared" ref="N3:T3" si="1">COUNTIF(N5:N33,"Yes") / ( COUNTA(Review.QuestionIds) - COUNTIF(N5:N33,"NA"))</f>
        <v>0.90909090909090906</v>
      </c>
      <c r="O3" s="175">
        <f t="shared" si="1"/>
        <v>0.90909090909090906</v>
      </c>
      <c r="P3" s="175">
        <f t="shared" si="1"/>
        <v>0.90909090909090906</v>
      </c>
      <c r="Q3" s="175">
        <f t="shared" si="1"/>
        <v>0.90909090909090906</v>
      </c>
      <c r="R3" s="175">
        <f t="shared" si="1"/>
        <v>0.90909090909090906</v>
      </c>
      <c r="S3" s="175">
        <f t="shared" si="1"/>
        <v>0.90909090909090906</v>
      </c>
      <c r="T3" s="175">
        <f t="shared" si="1"/>
        <v>1</v>
      </c>
      <c r="U3" s="175">
        <f t="shared" ref="U3:Z3" si="2">COUNTIF(U5:U33,"Yes") / ( COUNTA(Review.QuestionIds) - COUNTIF(U5:U33,"NA"))</f>
        <v>1</v>
      </c>
      <c r="V3" s="175">
        <f t="shared" si="2"/>
        <v>1</v>
      </c>
      <c r="W3" s="175">
        <f t="shared" si="2"/>
        <v>1</v>
      </c>
      <c r="X3" s="175">
        <f t="shared" si="2"/>
        <v>1</v>
      </c>
      <c r="Y3" s="175">
        <f t="shared" si="2"/>
        <v>1</v>
      </c>
      <c r="Z3" s="175">
        <f t="shared" si="2"/>
        <v>1</v>
      </c>
      <c r="AA3" s="175">
        <f t="shared" ref="AA3:AB3" si="3">COUNTIF(AA5:AA33,"Yes") / ( COUNTA(Review.QuestionIds) - COUNTIF(AA5:AA33,"NA"))</f>
        <v>0.95454545454545459</v>
      </c>
      <c r="AB3" s="175">
        <f t="shared" si="3"/>
        <v>0.95454545454545459</v>
      </c>
      <c r="AC3" s="175">
        <f t="shared" ref="AC3:AE3" si="4">COUNTIF(AC5:AC33,"Yes") / ( COUNTA(Review.QuestionIds) - COUNTIF(AC5:AC33,"NA"))</f>
        <v>1</v>
      </c>
      <c r="AD3" s="175">
        <f t="shared" si="4"/>
        <v>1</v>
      </c>
      <c r="AE3" s="175">
        <f t="shared" si="4"/>
        <v>1</v>
      </c>
      <c r="AF3" s="180"/>
      <c r="AG3" s="188" t="s">
        <v>265</v>
      </c>
      <c r="AH3" s="188" t="s">
        <v>266</v>
      </c>
      <c r="AI3" s="181"/>
    </row>
    <row r="4" spans="1:35" ht="36">
      <c r="A4" s="176"/>
      <c r="B4" s="177" t="s">
        <v>267</v>
      </c>
      <c r="C4" s="178"/>
      <c r="D4" s="178"/>
      <c r="E4" s="178"/>
      <c r="F4" s="178"/>
      <c r="G4" s="178"/>
      <c r="H4" s="178"/>
      <c r="I4" s="178"/>
      <c r="J4" s="178"/>
      <c r="K4" s="178"/>
      <c r="L4" s="178"/>
      <c r="M4" s="178"/>
      <c r="N4" s="178"/>
      <c r="O4" s="178"/>
      <c r="P4" s="178"/>
      <c r="Q4" s="178"/>
      <c r="R4" s="178"/>
      <c r="S4" s="178"/>
      <c r="T4" s="178"/>
      <c r="U4" s="178"/>
      <c r="V4" s="178"/>
      <c r="W4" s="178"/>
      <c r="X4" s="178"/>
      <c r="Y4" s="178"/>
      <c r="Z4" s="178"/>
      <c r="AA4" s="178"/>
      <c r="AB4" s="178"/>
      <c r="AC4" s="178"/>
      <c r="AD4" s="178"/>
      <c r="AE4" s="178"/>
      <c r="AF4" s="178"/>
      <c r="AG4" s="178"/>
      <c r="AH4" s="179"/>
      <c r="AI4" s="23"/>
    </row>
    <row r="5" spans="1:35" ht="18.75">
      <c r="A5" s="147"/>
      <c r="B5" s="156" t="s">
        <v>287</v>
      </c>
      <c r="C5" s="148"/>
      <c r="D5" s="148"/>
      <c r="E5" s="148"/>
      <c r="F5" s="148"/>
      <c r="G5" s="148"/>
      <c r="H5" s="148"/>
      <c r="I5" s="148"/>
      <c r="J5" s="148"/>
      <c r="K5" s="148"/>
      <c r="L5" s="148"/>
      <c r="M5" s="148"/>
      <c r="N5" s="148"/>
      <c r="O5" s="148"/>
      <c r="P5" s="148"/>
      <c r="Q5" s="148"/>
      <c r="R5" s="148"/>
      <c r="S5" s="148"/>
      <c r="T5" s="148"/>
      <c r="U5" s="148"/>
      <c r="V5" s="148"/>
      <c r="W5" s="148"/>
      <c r="X5" s="148"/>
      <c r="Y5" s="148"/>
      <c r="Z5" s="148"/>
      <c r="AA5" s="148"/>
      <c r="AB5" s="148"/>
      <c r="AC5" s="148"/>
      <c r="AD5" s="148"/>
      <c r="AE5" s="148"/>
      <c r="AF5" s="148"/>
      <c r="AG5" s="188"/>
      <c r="AH5" s="188"/>
    </row>
    <row r="6" spans="1:35" ht="38.25">
      <c r="A6" s="150" t="s">
        <v>324</v>
      </c>
      <c r="B6" s="159" t="s">
        <v>325</v>
      </c>
      <c r="C6" s="182" t="s">
        <v>112</v>
      </c>
      <c r="D6" s="182" t="s">
        <v>112</v>
      </c>
      <c r="E6" s="182" t="s">
        <v>112</v>
      </c>
      <c r="F6" s="182" t="s">
        <v>112</v>
      </c>
      <c r="G6" s="182" t="s">
        <v>112</v>
      </c>
      <c r="H6" s="182" t="s">
        <v>112</v>
      </c>
      <c r="I6" s="182" t="s">
        <v>110</v>
      </c>
      <c r="J6" s="182" t="s">
        <v>110</v>
      </c>
      <c r="K6" s="182" t="s">
        <v>110</v>
      </c>
      <c r="L6" s="182" t="s">
        <v>110</v>
      </c>
      <c r="M6" s="182" t="s">
        <v>112</v>
      </c>
      <c r="N6" s="182" t="s">
        <v>110</v>
      </c>
      <c r="O6" s="182" t="s">
        <v>110</v>
      </c>
      <c r="P6" s="182" t="s">
        <v>110</v>
      </c>
      <c r="Q6" s="182" t="s">
        <v>110</v>
      </c>
      <c r="R6" s="182" t="s">
        <v>110</v>
      </c>
      <c r="S6" s="182" t="s">
        <v>110</v>
      </c>
      <c r="T6" s="182" t="s">
        <v>110</v>
      </c>
      <c r="U6" s="182" t="s">
        <v>110</v>
      </c>
      <c r="V6" s="182" t="s">
        <v>110</v>
      </c>
      <c r="W6" s="182" t="s">
        <v>110</v>
      </c>
      <c r="X6" s="182" t="s">
        <v>110</v>
      </c>
      <c r="Y6" s="182" t="s">
        <v>110</v>
      </c>
      <c r="Z6" s="182" t="s">
        <v>110</v>
      </c>
      <c r="AA6" s="182" t="s">
        <v>110</v>
      </c>
      <c r="AB6" s="182" t="s">
        <v>110</v>
      </c>
      <c r="AC6" s="182" t="s">
        <v>110</v>
      </c>
      <c r="AD6" s="182" t="s">
        <v>110</v>
      </c>
      <c r="AE6" s="182" t="s">
        <v>110</v>
      </c>
      <c r="AF6" s="191" t="s">
        <v>474</v>
      </c>
      <c r="AG6" s="149"/>
      <c r="AH6" s="149"/>
    </row>
    <row r="7" spans="1:35" ht="38.25">
      <c r="A7" s="150" t="s">
        <v>326</v>
      </c>
      <c r="B7" s="159" t="s">
        <v>327</v>
      </c>
      <c r="C7" s="182" t="s">
        <v>112</v>
      </c>
      <c r="D7" s="182" t="s">
        <v>112</v>
      </c>
      <c r="E7" s="182" t="s">
        <v>112</v>
      </c>
      <c r="F7" s="182" t="s">
        <v>112</v>
      </c>
      <c r="G7" s="182" t="s">
        <v>112</v>
      </c>
      <c r="H7" s="182" t="s">
        <v>112</v>
      </c>
      <c r="I7" s="182" t="s">
        <v>110</v>
      </c>
      <c r="J7" s="182" t="s">
        <v>110</v>
      </c>
      <c r="K7" s="182" t="s">
        <v>110</v>
      </c>
      <c r="L7" s="182" t="s">
        <v>110</v>
      </c>
      <c r="M7" s="182" t="s">
        <v>110</v>
      </c>
      <c r="N7" s="182" t="s">
        <v>110</v>
      </c>
      <c r="O7" s="182" t="s">
        <v>110</v>
      </c>
      <c r="P7" s="182" t="s">
        <v>110</v>
      </c>
      <c r="Q7" s="182" t="s">
        <v>110</v>
      </c>
      <c r="R7" s="182" t="s">
        <v>110</v>
      </c>
      <c r="S7" s="182" t="s">
        <v>110</v>
      </c>
      <c r="T7" s="182" t="s">
        <v>110</v>
      </c>
      <c r="U7" s="182" t="s">
        <v>110</v>
      </c>
      <c r="V7" s="182" t="s">
        <v>110</v>
      </c>
      <c r="W7" s="182" t="s">
        <v>110</v>
      </c>
      <c r="X7" s="182" t="s">
        <v>110</v>
      </c>
      <c r="Y7" s="182" t="s">
        <v>110</v>
      </c>
      <c r="Z7" s="182" t="s">
        <v>110</v>
      </c>
      <c r="AA7" s="182" t="s">
        <v>110</v>
      </c>
      <c r="AB7" s="182" t="s">
        <v>110</v>
      </c>
      <c r="AC7" s="182" t="s">
        <v>110</v>
      </c>
      <c r="AD7" s="182" t="s">
        <v>110</v>
      </c>
      <c r="AE7" s="182" t="s">
        <v>110</v>
      </c>
      <c r="AF7" s="183"/>
      <c r="AG7" s="149"/>
      <c r="AH7" s="149"/>
    </row>
    <row r="8" spans="1:35" ht="18.75">
      <c r="A8" s="147"/>
      <c r="B8" s="156" t="s">
        <v>293</v>
      </c>
      <c r="C8" s="148"/>
      <c r="D8" s="148"/>
      <c r="E8" s="148"/>
      <c r="F8" s="148"/>
      <c r="G8" s="148"/>
      <c r="H8" s="148"/>
      <c r="I8" s="148"/>
      <c r="J8" s="148"/>
      <c r="K8" s="148"/>
      <c r="L8" s="148"/>
      <c r="M8" s="148"/>
      <c r="N8" s="148"/>
      <c r="O8" s="148"/>
      <c r="P8" s="148"/>
      <c r="Q8" s="148"/>
      <c r="R8" s="148"/>
      <c r="S8" s="148"/>
      <c r="T8" s="148"/>
      <c r="U8" s="148"/>
      <c r="V8" s="148"/>
      <c r="W8" s="148"/>
      <c r="X8" s="148"/>
      <c r="Y8" s="148"/>
      <c r="Z8" s="148"/>
      <c r="AA8" s="148"/>
      <c r="AB8" s="148"/>
      <c r="AC8" s="148"/>
      <c r="AD8" s="148"/>
      <c r="AE8" s="148"/>
      <c r="AF8" s="148"/>
      <c r="AG8" s="188"/>
      <c r="AH8" s="188"/>
    </row>
    <row r="9" spans="1:35" ht="25.5">
      <c r="A9" s="150" t="s">
        <v>328</v>
      </c>
      <c r="B9" s="159" t="s">
        <v>329</v>
      </c>
      <c r="C9" s="182" t="s">
        <v>112</v>
      </c>
      <c r="D9" s="182" t="s">
        <v>110</v>
      </c>
      <c r="E9" s="182" t="s">
        <v>110</v>
      </c>
      <c r="F9" s="182" t="s">
        <v>110</v>
      </c>
      <c r="G9" s="182" t="s">
        <v>110</v>
      </c>
      <c r="H9" s="182" t="s">
        <v>112</v>
      </c>
      <c r="I9" s="182" t="s">
        <v>112</v>
      </c>
      <c r="J9" s="182" t="s">
        <v>110</v>
      </c>
      <c r="K9" s="182" t="s">
        <v>110</v>
      </c>
      <c r="L9" s="182" t="s">
        <v>112</v>
      </c>
      <c r="M9" s="182" t="s">
        <v>112</v>
      </c>
      <c r="N9" s="182" t="s">
        <v>112</v>
      </c>
      <c r="O9" s="182" t="s">
        <v>112</v>
      </c>
      <c r="P9" s="182" t="s">
        <v>112</v>
      </c>
      <c r="Q9" s="182" t="s">
        <v>112</v>
      </c>
      <c r="R9" s="182" t="s">
        <v>112</v>
      </c>
      <c r="S9" s="182" t="s">
        <v>112</v>
      </c>
      <c r="T9" s="182" t="s">
        <v>110</v>
      </c>
      <c r="U9" s="182" t="s">
        <v>110</v>
      </c>
      <c r="V9" s="182" t="s">
        <v>110</v>
      </c>
      <c r="W9" s="182" t="s">
        <v>110</v>
      </c>
      <c r="X9" s="182" t="s">
        <v>110</v>
      </c>
      <c r="Y9" s="182" t="s">
        <v>110</v>
      </c>
      <c r="Z9" s="182" t="s">
        <v>110</v>
      </c>
      <c r="AA9" s="182" t="s">
        <v>110</v>
      </c>
      <c r="AB9" s="182" t="s">
        <v>110</v>
      </c>
      <c r="AC9" s="182" t="s">
        <v>110</v>
      </c>
      <c r="AD9" s="182" t="s">
        <v>110</v>
      </c>
      <c r="AE9" s="182" t="s">
        <v>110</v>
      </c>
      <c r="AF9" s="191" t="s">
        <v>474</v>
      </c>
      <c r="AG9" s="149"/>
      <c r="AH9" s="149"/>
    </row>
    <row r="10" spans="1:35" ht="25.5">
      <c r="A10" s="150" t="s">
        <v>330</v>
      </c>
      <c r="B10" s="159" t="s">
        <v>331</v>
      </c>
      <c r="C10" s="182" t="s">
        <v>112</v>
      </c>
      <c r="D10" s="182" t="s">
        <v>112</v>
      </c>
      <c r="E10" s="182" t="s">
        <v>112</v>
      </c>
      <c r="F10" s="182" t="s">
        <v>112</v>
      </c>
      <c r="G10" s="182" t="s">
        <v>112</v>
      </c>
      <c r="H10" s="182" t="s">
        <v>112</v>
      </c>
      <c r="I10" s="182" t="s">
        <v>110</v>
      </c>
      <c r="J10" s="182" t="s">
        <v>110</v>
      </c>
      <c r="K10" s="182" t="s">
        <v>110</v>
      </c>
      <c r="L10" s="182" t="s">
        <v>110</v>
      </c>
      <c r="M10" s="182" t="s">
        <v>110</v>
      </c>
      <c r="N10" s="182" t="s">
        <v>110</v>
      </c>
      <c r="O10" s="182" t="s">
        <v>110</v>
      </c>
      <c r="P10" s="182" t="s">
        <v>110</v>
      </c>
      <c r="Q10" s="182" t="s">
        <v>110</v>
      </c>
      <c r="R10" s="182" t="s">
        <v>110</v>
      </c>
      <c r="S10" s="182" t="s">
        <v>110</v>
      </c>
      <c r="T10" s="182" t="s">
        <v>110</v>
      </c>
      <c r="U10" s="182" t="s">
        <v>110</v>
      </c>
      <c r="V10" s="182" t="s">
        <v>110</v>
      </c>
      <c r="W10" s="182" t="s">
        <v>110</v>
      </c>
      <c r="X10" s="182" t="s">
        <v>110</v>
      </c>
      <c r="Y10" s="182" t="s">
        <v>110</v>
      </c>
      <c r="Z10" s="182" t="s">
        <v>110</v>
      </c>
      <c r="AA10" s="182" t="s">
        <v>112</v>
      </c>
      <c r="AB10" s="182" t="s">
        <v>112</v>
      </c>
      <c r="AC10" s="182" t="s">
        <v>110</v>
      </c>
      <c r="AD10" s="182" t="s">
        <v>110</v>
      </c>
      <c r="AE10" s="182" t="s">
        <v>110</v>
      </c>
      <c r="AF10" s="183"/>
      <c r="AG10" s="149"/>
      <c r="AH10" s="149"/>
    </row>
    <row r="11" spans="1:35" ht="38.25">
      <c r="A11" s="150" t="s">
        <v>332</v>
      </c>
      <c r="B11" s="159" t="s">
        <v>333</v>
      </c>
      <c r="C11" s="182" t="s">
        <v>110</v>
      </c>
      <c r="D11" s="182" t="s">
        <v>110</v>
      </c>
      <c r="E11" s="182" t="s">
        <v>110</v>
      </c>
      <c r="F11" s="182" t="s">
        <v>110</v>
      </c>
      <c r="G11" s="182" t="s">
        <v>110</v>
      </c>
      <c r="H11" s="182" t="s">
        <v>110</v>
      </c>
      <c r="I11" s="182" t="s">
        <v>110</v>
      </c>
      <c r="J11" s="182" t="s">
        <v>110</v>
      </c>
      <c r="K11" s="182" t="s">
        <v>110</v>
      </c>
      <c r="L11" s="182" t="s">
        <v>110</v>
      </c>
      <c r="M11" s="182" t="s">
        <v>110</v>
      </c>
      <c r="N11" s="182" t="s">
        <v>110</v>
      </c>
      <c r="O11" s="182" t="s">
        <v>110</v>
      </c>
      <c r="P11" s="182" t="s">
        <v>110</v>
      </c>
      <c r="Q11" s="182" t="s">
        <v>110</v>
      </c>
      <c r="R11" s="182" t="s">
        <v>110</v>
      </c>
      <c r="S11" s="182" t="s">
        <v>110</v>
      </c>
      <c r="T11" s="182" t="s">
        <v>110</v>
      </c>
      <c r="U11" s="182" t="s">
        <v>110</v>
      </c>
      <c r="V11" s="182" t="s">
        <v>110</v>
      </c>
      <c r="W11" s="182" t="s">
        <v>110</v>
      </c>
      <c r="X11" s="182" t="s">
        <v>110</v>
      </c>
      <c r="Y11" s="182" t="s">
        <v>110</v>
      </c>
      <c r="Z11" s="182" t="s">
        <v>110</v>
      </c>
      <c r="AA11" s="182" t="s">
        <v>110</v>
      </c>
      <c r="AB11" s="182" t="s">
        <v>110</v>
      </c>
      <c r="AC11" s="182" t="s">
        <v>110</v>
      </c>
      <c r="AD11" s="182" t="s">
        <v>110</v>
      </c>
      <c r="AE11" s="182" t="s">
        <v>110</v>
      </c>
      <c r="AF11" s="183"/>
      <c r="AG11" s="149"/>
      <c r="AH11" s="149"/>
    </row>
    <row r="12" spans="1:35" ht="63.75">
      <c r="A12" s="150" t="s">
        <v>334</v>
      </c>
      <c r="B12" s="159" t="s">
        <v>335</v>
      </c>
      <c r="C12" s="182" t="s">
        <v>110</v>
      </c>
      <c r="D12" s="182" t="s">
        <v>110</v>
      </c>
      <c r="E12" s="182" t="s">
        <v>110</v>
      </c>
      <c r="F12" s="182" t="s">
        <v>110</v>
      </c>
      <c r="G12" s="182" t="s">
        <v>112</v>
      </c>
      <c r="H12" s="182" t="s">
        <v>110</v>
      </c>
      <c r="I12" s="182" t="s">
        <v>110</v>
      </c>
      <c r="J12" s="182" t="s">
        <v>110</v>
      </c>
      <c r="K12" s="182" t="s">
        <v>110</v>
      </c>
      <c r="L12" s="182" t="s">
        <v>110</v>
      </c>
      <c r="M12" s="182" t="s">
        <v>110</v>
      </c>
      <c r="N12" s="182" t="s">
        <v>110</v>
      </c>
      <c r="O12" s="182" t="s">
        <v>110</v>
      </c>
      <c r="P12" s="182" t="s">
        <v>110</v>
      </c>
      <c r="Q12" s="182" t="s">
        <v>110</v>
      </c>
      <c r="R12" s="182" t="s">
        <v>110</v>
      </c>
      <c r="S12" s="182" t="s">
        <v>110</v>
      </c>
      <c r="T12" s="182" t="s">
        <v>110</v>
      </c>
      <c r="U12" s="182" t="s">
        <v>110</v>
      </c>
      <c r="V12" s="182" t="s">
        <v>110</v>
      </c>
      <c r="W12" s="182" t="s">
        <v>110</v>
      </c>
      <c r="X12" s="182" t="s">
        <v>110</v>
      </c>
      <c r="Y12" s="182" t="s">
        <v>110</v>
      </c>
      <c r="Z12" s="182" t="s">
        <v>110</v>
      </c>
      <c r="AA12" s="182" t="s">
        <v>110</v>
      </c>
      <c r="AB12" s="182" t="s">
        <v>110</v>
      </c>
      <c r="AC12" s="182" t="s">
        <v>110</v>
      </c>
      <c r="AD12" s="182" t="s">
        <v>110</v>
      </c>
      <c r="AE12" s="182" t="s">
        <v>110</v>
      </c>
      <c r="AF12" s="183"/>
      <c r="AG12" s="149"/>
      <c r="AH12" s="149"/>
    </row>
    <row r="13" spans="1:35" ht="63.75">
      <c r="A13" s="150" t="s">
        <v>336</v>
      </c>
      <c r="B13" s="159" t="s">
        <v>337</v>
      </c>
      <c r="C13" s="182" t="s">
        <v>110</v>
      </c>
      <c r="D13" s="182" t="s">
        <v>110</v>
      </c>
      <c r="E13" s="182" t="s">
        <v>110</v>
      </c>
      <c r="F13" s="182" t="s">
        <v>110</v>
      </c>
      <c r="G13" s="182" t="s">
        <v>110</v>
      </c>
      <c r="H13" s="182" t="s">
        <v>110</v>
      </c>
      <c r="I13" s="182" t="s">
        <v>110</v>
      </c>
      <c r="J13" s="182" t="s">
        <v>110</v>
      </c>
      <c r="K13" s="182" t="s">
        <v>110</v>
      </c>
      <c r="L13" s="182" t="s">
        <v>110</v>
      </c>
      <c r="M13" s="182" t="s">
        <v>110</v>
      </c>
      <c r="N13" s="182" t="s">
        <v>110</v>
      </c>
      <c r="O13" s="182" t="s">
        <v>110</v>
      </c>
      <c r="P13" s="182" t="s">
        <v>110</v>
      </c>
      <c r="Q13" s="182" t="s">
        <v>110</v>
      </c>
      <c r="R13" s="182" t="s">
        <v>110</v>
      </c>
      <c r="S13" s="182" t="s">
        <v>110</v>
      </c>
      <c r="T13" s="182" t="s">
        <v>110</v>
      </c>
      <c r="U13" s="182" t="s">
        <v>110</v>
      </c>
      <c r="V13" s="182" t="s">
        <v>110</v>
      </c>
      <c r="W13" s="182" t="s">
        <v>110</v>
      </c>
      <c r="X13" s="182" t="s">
        <v>110</v>
      </c>
      <c r="Y13" s="182" t="s">
        <v>110</v>
      </c>
      <c r="Z13" s="182" t="s">
        <v>110</v>
      </c>
      <c r="AA13" s="182" t="s">
        <v>110</v>
      </c>
      <c r="AB13" s="182" t="s">
        <v>110</v>
      </c>
      <c r="AC13" s="182" t="s">
        <v>110</v>
      </c>
      <c r="AD13" s="182" t="s">
        <v>110</v>
      </c>
      <c r="AE13" s="182" t="s">
        <v>110</v>
      </c>
      <c r="AF13" s="183"/>
      <c r="AG13" s="149"/>
      <c r="AH13" s="149"/>
    </row>
    <row r="14" spans="1:35" ht="25.5">
      <c r="A14" s="150" t="s">
        <v>338</v>
      </c>
      <c r="B14" s="159" t="s">
        <v>339</v>
      </c>
      <c r="C14" s="182" t="s">
        <v>110</v>
      </c>
      <c r="D14" s="182" t="s">
        <v>110</v>
      </c>
      <c r="E14" s="182" t="s">
        <v>110</v>
      </c>
      <c r="F14" s="182" t="s">
        <v>110</v>
      </c>
      <c r="G14" s="182" t="s">
        <v>110</v>
      </c>
      <c r="H14" s="182" t="s">
        <v>110</v>
      </c>
      <c r="I14" s="182" t="s">
        <v>110</v>
      </c>
      <c r="J14" s="182" t="s">
        <v>110</v>
      </c>
      <c r="K14" s="182" t="s">
        <v>110</v>
      </c>
      <c r="L14" s="182" t="s">
        <v>110</v>
      </c>
      <c r="M14" s="182" t="s">
        <v>110</v>
      </c>
      <c r="N14" s="182" t="s">
        <v>110</v>
      </c>
      <c r="O14" s="182" t="s">
        <v>110</v>
      </c>
      <c r="P14" s="182" t="s">
        <v>110</v>
      </c>
      <c r="Q14" s="182" t="s">
        <v>110</v>
      </c>
      <c r="R14" s="182" t="s">
        <v>110</v>
      </c>
      <c r="S14" s="182" t="s">
        <v>110</v>
      </c>
      <c r="T14" s="182" t="s">
        <v>110</v>
      </c>
      <c r="U14" s="182" t="s">
        <v>110</v>
      </c>
      <c r="V14" s="182" t="s">
        <v>110</v>
      </c>
      <c r="W14" s="182" t="s">
        <v>110</v>
      </c>
      <c r="X14" s="182" t="s">
        <v>110</v>
      </c>
      <c r="Y14" s="182" t="s">
        <v>110</v>
      </c>
      <c r="Z14" s="182" t="s">
        <v>110</v>
      </c>
      <c r="AA14" s="182" t="s">
        <v>110</v>
      </c>
      <c r="AB14" s="182" t="s">
        <v>110</v>
      </c>
      <c r="AC14" s="182" t="s">
        <v>110</v>
      </c>
      <c r="AD14" s="182" t="s">
        <v>110</v>
      </c>
      <c r="AE14" s="182" t="s">
        <v>110</v>
      </c>
      <c r="AF14" s="183"/>
      <c r="AG14" s="149"/>
      <c r="AH14" s="149"/>
    </row>
    <row r="15" spans="1:35" ht="25.5">
      <c r="A15" s="150" t="s">
        <v>340</v>
      </c>
      <c r="B15" s="159" t="s">
        <v>341</v>
      </c>
      <c r="C15" s="182" t="s">
        <v>110</v>
      </c>
      <c r="D15" s="182" t="s">
        <v>112</v>
      </c>
      <c r="E15" s="182" t="s">
        <v>110</v>
      </c>
      <c r="F15" s="182" t="s">
        <v>110</v>
      </c>
      <c r="G15" s="182" t="s">
        <v>110</v>
      </c>
      <c r="H15" s="182" t="s">
        <v>112</v>
      </c>
      <c r="I15" s="182" t="s">
        <v>110</v>
      </c>
      <c r="J15" s="182" t="s">
        <v>110</v>
      </c>
      <c r="K15" s="182" t="s">
        <v>110</v>
      </c>
      <c r="L15" s="182" t="s">
        <v>112</v>
      </c>
      <c r="M15" s="182" t="s">
        <v>110</v>
      </c>
      <c r="N15" s="182" t="s">
        <v>110</v>
      </c>
      <c r="O15" s="182" t="s">
        <v>110</v>
      </c>
      <c r="P15" s="182" t="s">
        <v>110</v>
      </c>
      <c r="Q15" s="182" t="s">
        <v>110</v>
      </c>
      <c r="R15" s="182" t="s">
        <v>110</v>
      </c>
      <c r="S15" s="182" t="s">
        <v>110</v>
      </c>
      <c r="T15" s="182" t="s">
        <v>110</v>
      </c>
      <c r="U15" s="182" t="s">
        <v>110</v>
      </c>
      <c r="V15" s="182" t="s">
        <v>110</v>
      </c>
      <c r="W15" s="182" t="s">
        <v>110</v>
      </c>
      <c r="X15" s="182" t="s">
        <v>110</v>
      </c>
      <c r="Y15" s="182" t="s">
        <v>110</v>
      </c>
      <c r="Z15" s="182" t="s">
        <v>110</v>
      </c>
      <c r="AA15" s="182" t="s">
        <v>110</v>
      </c>
      <c r="AB15" s="182" t="s">
        <v>110</v>
      </c>
      <c r="AC15" s="182" t="s">
        <v>110</v>
      </c>
      <c r="AD15" s="182" t="s">
        <v>110</v>
      </c>
      <c r="AE15" s="182" t="s">
        <v>110</v>
      </c>
      <c r="AF15" s="191" t="s">
        <v>474</v>
      </c>
      <c r="AG15" s="149"/>
      <c r="AH15" s="149"/>
    </row>
    <row r="16" spans="1:35" ht="25.5">
      <c r="A16" s="150" t="s">
        <v>342</v>
      </c>
      <c r="B16" s="159" t="s">
        <v>343</v>
      </c>
      <c r="C16" s="182" t="s">
        <v>110</v>
      </c>
      <c r="D16" s="182" t="s">
        <v>110</v>
      </c>
      <c r="E16" s="182" t="s">
        <v>110</v>
      </c>
      <c r="F16" s="182" t="s">
        <v>110</v>
      </c>
      <c r="G16" s="182" t="s">
        <v>110</v>
      </c>
      <c r="H16" s="182" t="s">
        <v>110</v>
      </c>
      <c r="I16" s="182" t="s">
        <v>110</v>
      </c>
      <c r="J16" s="182" t="s">
        <v>110</v>
      </c>
      <c r="K16" s="182" t="s">
        <v>110</v>
      </c>
      <c r="L16" s="182" t="s">
        <v>110</v>
      </c>
      <c r="M16" s="182" t="s">
        <v>110</v>
      </c>
      <c r="N16" s="182" t="s">
        <v>110</v>
      </c>
      <c r="O16" s="182" t="s">
        <v>110</v>
      </c>
      <c r="P16" s="182" t="s">
        <v>110</v>
      </c>
      <c r="Q16" s="182" t="s">
        <v>110</v>
      </c>
      <c r="R16" s="182" t="s">
        <v>110</v>
      </c>
      <c r="S16" s="182" t="s">
        <v>110</v>
      </c>
      <c r="T16" s="182" t="s">
        <v>110</v>
      </c>
      <c r="U16" s="182" t="s">
        <v>110</v>
      </c>
      <c r="V16" s="182" t="s">
        <v>110</v>
      </c>
      <c r="W16" s="182" t="s">
        <v>110</v>
      </c>
      <c r="X16" s="182" t="s">
        <v>110</v>
      </c>
      <c r="Y16" s="182" t="s">
        <v>110</v>
      </c>
      <c r="Z16" s="182" t="s">
        <v>110</v>
      </c>
      <c r="AA16" s="182" t="s">
        <v>110</v>
      </c>
      <c r="AB16" s="182" t="s">
        <v>110</v>
      </c>
      <c r="AC16" s="182" t="s">
        <v>110</v>
      </c>
      <c r="AD16" s="182" t="s">
        <v>110</v>
      </c>
      <c r="AE16" s="182" t="s">
        <v>110</v>
      </c>
      <c r="AF16" s="183"/>
      <c r="AG16" s="149"/>
      <c r="AH16" s="149"/>
    </row>
    <row r="17" spans="1:34" ht="51">
      <c r="A17" s="150" t="s">
        <v>344</v>
      </c>
      <c r="B17" s="159" t="s">
        <v>345</v>
      </c>
      <c r="C17" s="182" t="s">
        <v>112</v>
      </c>
      <c r="D17" s="182" t="s">
        <v>112</v>
      </c>
      <c r="E17" s="182" t="s">
        <v>112</v>
      </c>
      <c r="F17" s="182" t="s">
        <v>112</v>
      </c>
      <c r="G17" s="182" t="s">
        <v>112</v>
      </c>
      <c r="H17" s="182" t="s">
        <v>112</v>
      </c>
      <c r="I17" s="182" t="s">
        <v>110</v>
      </c>
      <c r="J17" s="182" t="s">
        <v>110</v>
      </c>
      <c r="K17" s="182" t="s">
        <v>110</v>
      </c>
      <c r="L17" s="182" t="s">
        <v>110</v>
      </c>
      <c r="M17" s="182" t="s">
        <v>110</v>
      </c>
      <c r="N17" s="182" t="s">
        <v>110</v>
      </c>
      <c r="O17" s="182" t="s">
        <v>110</v>
      </c>
      <c r="P17" s="182" t="s">
        <v>110</v>
      </c>
      <c r="Q17" s="182" t="s">
        <v>110</v>
      </c>
      <c r="R17" s="182" t="s">
        <v>110</v>
      </c>
      <c r="S17" s="182" t="s">
        <v>110</v>
      </c>
      <c r="T17" s="182" t="s">
        <v>110</v>
      </c>
      <c r="U17" s="182" t="s">
        <v>110</v>
      </c>
      <c r="V17" s="182" t="s">
        <v>110</v>
      </c>
      <c r="W17" s="182" t="s">
        <v>110</v>
      </c>
      <c r="X17" s="182" t="s">
        <v>110</v>
      </c>
      <c r="Y17" s="182" t="s">
        <v>110</v>
      </c>
      <c r="Z17" s="182" t="s">
        <v>110</v>
      </c>
      <c r="AA17" s="182" t="s">
        <v>110</v>
      </c>
      <c r="AB17" s="182" t="s">
        <v>110</v>
      </c>
      <c r="AC17" s="182" t="s">
        <v>110</v>
      </c>
      <c r="AD17" s="182" t="s">
        <v>110</v>
      </c>
      <c r="AE17" s="182" t="s">
        <v>110</v>
      </c>
      <c r="AF17" s="183"/>
      <c r="AG17" s="149"/>
      <c r="AH17" s="149"/>
    </row>
    <row r="18" spans="1:34" ht="38.25">
      <c r="A18" s="150" t="s">
        <v>346</v>
      </c>
      <c r="B18" s="159" t="s">
        <v>347</v>
      </c>
      <c r="C18" s="182" t="s">
        <v>110</v>
      </c>
      <c r="D18" s="182" t="s">
        <v>110</v>
      </c>
      <c r="E18" s="182" t="s">
        <v>110</v>
      </c>
      <c r="F18" s="182" t="s">
        <v>110</v>
      </c>
      <c r="G18" s="182" t="s">
        <v>110</v>
      </c>
      <c r="H18" s="182" t="s">
        <v>110</v>
      </c>
      <c r="I18" s="182" t="s">
        <v>110</v>
      </c>
      <c r="J18" s="182" t="s">
        <v>110</v>
      </c>
      <c r="K18" s="182" t="s">
        <v>110</v>
      </c>
      <c r="L18" s="182" t="s">
        <v>110</v>
      </c>
      <c r="M18" s="182" t="s">
        <v>110</v>
      </c>
      <c r="N18" s="182" t="s">
        <v>110</v>
      </c>
      <c r="O18" s="182" t="s">
        <v>110</v>
      </c>
      <c r="P18" s="182" t="s">
        <v>110</v>
      </c>
      <c r="Q18" s="182" t="s">
        <v>110</v>
      </c>
      <c r="R18" s="182" t="s">
        <v>110</v>
      </c>
      <c r="S18" s="182" t="s">
        <v>110</v>
      </c>
      <c r="T18" s="182" t="s">
        <v>110</v>
      </c>
      <c r="U18" s="182" t="s">
        <v>110</v>
      </c>
      <c r="V18" s="182" t="s">
        <v>110</v>
      </c>
      <c r="W18" s="182" t="s">
        <v>110</v>
      </c>
      <c r="X18" s="182" t="s">
        <v>110</v>
      </c>
      <c r="Y18" s="182" t="s">
        <v>110</v>
      </c>
      <c r="Z18" s="182" t="s">
        <v>110</v>
      </c>
      <c r="AA18" s="182" t="s">
        <v>110</v>
      </c>
      <c r="AB18" s="182" t="s">
        <v>110</v>
      </c>
      <c r="AC18" s="182" t="s">
        <v>110</v>
      </c>
      <c r="AD18" s="182" t="s">
        <v>110</v>
      </c>
      <c r="AE18" s="182" t="s">
        <v>110</v>
      </c>
      <c r="AF18" s="183"/>
      <c r="AG18" s="149"/>
      <c r="AH18" s="149"/>
    </row>
    <row r="19" spans="1:34" ht="51">
      <c r="A19" s="150" t="s">
        <v>348</v>
      </c>
      <c r="B19" s="159" t="s">
        <v>349</v>
      </c>
      <c r="C19" s="182" t="s">
        <v>110</v>
      </c>
      <c r="D19" s="182" t="s">
        <v>110</v>
      </c>
      <c r="E19" s="182" t="s">
        <v>110</v>
      </c>
      <c r="F19" s="182" t="s">
        <v>110</v>
      </c>
      <c r="G19" s="182" t="s">
        <v>110</v>
      </c>
      <c r="H19" s="182" t="s">
        <v>110</v>
      </c>
      <c r="I19" s="182" t="s">
        <v>110</v>
      </c>
      <c r="J19" s="182" t="s">
        <v>110</v>
      </c>
      <c r="K19" s="182" t="s">
        <v>110</v>
      </c>
      <c r="L19" s="182" t="s">
        <v>110</v>
      </c>
      <c r="M19" s="182" t="s">
        <v>110</v>
      </c>
      <c r="N19" s="182" t="s">
        <v>110</v>
      </c>
      <c r="O19" s="182" t="s">
        <v>110</v>
      </c>
      <c r="P19" s="182" t="s">
        <v>110</v>
      </c>
      <c r="Q19" s="182" t="s">
        <v>110</v>
      </c>
      <c r="R19" s="182" t="s">
        <v>110</v>
      </c>
      <c r="S19" s="182" t="s">
        <v>110</v>
      </c>
      <c r="T19" s="182" t="s">
        <v>110</v>
      </c>
      <c r="U19" s="182" t="s">
        <v>110</v>
      </c>
      <c r="V19" s="182" t="s">
        <v>110</v>
      </c>
      <c r="W19" s="182" t="s">
        <v>110</v>
      </c>
      <c r="X19" s="182" t="s">
        <v>110</v>
      </c>
      <c r="Y19" s="182" t="s">
        <v>110</v>
      </c>
      <c r="Z19" s="182" t="s">
        <v>110</v>
      </c>
      <c r="AA19" s="182" t="s">
        <v>110</v>
      </c>
      <c r="AB19" s="182" t="s">
        <v>110</v>
      </c>
      <c r="AC19" s="182" t="s">
        <v>110</v>
      </c>
      <c r="AD19" s="182" t="s">
        <v>110</v>
      </c>
      <c r="AE19" s="182" t="s">
        <v>110</v>
      </c>
      <c r="AF19" s="183"/>
      <c r="AG19" s="149"/>
      <c r="AH19" s="149"/>
    </row>
    <row r="20" spans="1:34" ht="38.25">
      <c r="A20" s="150" t="s">
        <v>350</v>
      </c>
      <c r="B20" s="159" t="s">
        <v>351</v>
      </c>
      <c r="C20" s="182" t="s">
        <v>110</v>
      </c>
      <c r="D20" s="182" t="s">
        <v>110</v>
      </c>
      <c r="E20" s="182" t="s">
        <v>110</v>
      </c>
      <c r="F20" s="182" t="s">
        <v>110</v>
      </c>
      <c r="G20" s="182" t="s">
        <v>110</v>
      </c>
      <c r="H20" s="182" t="s">
        <v>112</v>
      </c>
      <c r="I20" s="182" t="s">
        <v>110</v>
      </c>
      <c r="J20" s="182" t="s">
        <v>110</v>
      </c>
      <c r="K20" s="182" t="s">
        <v>110</v>
      </c>
      <c r="L20" s="182" t="s">
        <v>110</v>
      </c>
      <c r="M20" s="182" t="s">
        <v>112</v>
      </c>
      <c r="N20" s="182" t="s">
        <v>110</v>
      </c>
      <c r="O20" s="182" t="s">
        <v>110</v>
      </c>
      <c r="P20" s="182" t="s">
        <v>110</v>
      </c>
      <c r="Q20" s="182" t="s">
        <v>110</v>
      </c>
      <c r="R20" s="182" t="s">
        <v>110</v>
      </c>
      <c r="S20" s="182" t="s">
        <v>110</v>
      </c>
      <c r="T20" s="182" t="s">
        <v>110</v>
      </c>
      <c r="U20" s="182" t="s">
        <v>110</v>
      </c>
      <c r="V20" s="182" t="s">
        <v>110</v>
      </c>
      <c r="W20" s="182" t="s">
        <v>110</v>
      </c>
      <c r="X20" s="182" t="s">
        <v>110</v>
      </c>
      <c r="Y20" s="182" t="s">
        <v>110</v>
      </c>
      <c r="Z20" s="182" t="s">
        <v>110</v>
      </c>
      <c r="AA20" s="182" t="s">
        <v>110</v>
      </c>
      <c r="AB20" s="182" t="s">
        <v>110</v>
      </c>
      <c r="AC20" s="182" t="s">
        <v>110</v>
      </c>
      <c r="AD20" s="182" t="s">
        <v>110</v>
      </c>
      <c r="AE20" s="182" t="s">
        <v>110</v>
      </c>
      <c r="AF20" s="191" t="s">
        <v>474</v>
      </c>
      <c r="AG20" s="149" t="s">
        <v>389</v>
      </c>
      <c r="AH20" s="149"/>
    </row>
    <row r="21" spans="1:34" ht="25.5">
      <c r="A21" s="150" t="s">
        <v>352</v>
      </c>
      <c r="B21" s="159" t="s">
        <v>353</v>
      </c>
      <c r="C21" s="182" t="s">
        <v>110</v>
      </c>
      <c r="D21" s="182" t="s">
        <v>110</v>
      </c>
      <c r="E21" s="182" t="s">
        <v>110</v>
      </c>
      <c r="F21" s="182" t="s">
        <v>110</v>
      </c>
      <c r="G21" s="182" t="s">
        <v>110</v>
      </c>
      <c r="H21" s="182" t="s">
        <v>110</v>
      </c>
      <c r="I21" s="182" t="s">
        <v>110</v>
      </c>
      <c r="J21" s="182" t="s">
        <v>110</v>
      </c>
      <c r="K21" s="182" t="s">
        <v>110</v>
      </c>
      <c r="L21" s="182" t="s">
        <v>110</v>
      </c>
      <c r="M21" s="182" t="s">
        <v>110</v>
      </c>
      <c r="N21" s="182" t="s">
        <v>110</v>
      </c>
      <c r="O21" s="182" t="s">
        <v>110</v>
      </c>
      <c r="P21" s="182" t="s">
        <v>110</v>
      </c>
      <c r="Q21" s="182" t="s">
        <v>110</v>
      </c>
      <c r="R21" s="182" t="s">
        <v>110</v>
      </c>
      <c r="S21" s="182" t="s">
        <v>110</v>
      </c>
      <c r="T21" s="182" t="s">
        <v>110</v>
      </c>
      <c r="U21" s="182" t="s">
        <v>110</v>
      </c>
      <c r="V21" s="182" t="s">
        <v>110</v>
      </c>
      <c r="W21" s="182" t="s">
        <v>110</v>
      </c>
      <c r="X21" s="182" t="s">
        <v>110</v>
      </c>
      <c r="Y21" s="182" t="s">
        <v>110</v>
      </c>
      <c r="Z21" s="182" t="s">
        <v>110</v>
      </c>
      <c r="AA21" s="182" t="s">
        <v>110</v>
      </c>
      <c r="AB21" s="182" t="s">
        <v>110</v>
      </c>
      <c r="AC21" s="182" t="s">
        <v>110</v>
      </c>
      <c r="AD21" s="182" t="s">
        <v>110</v>
      </c>
      <c r="AE21" s="182" t="s">
        <v>110</v>
      </c>
      <c r="AF21" s="183"/>
      <c r="AG21" s="149"/>
      <c r="AH21" s="149"/>
    </row>
    <row r="22" spans="1:34" ht="38.25">
      <c r="A22" s="150" t="s">
        <v>354</v>
      </c>
      <c r="B22" s="159" t="s">
        <v>355</v>
      </c>
      <c r="C22" s="182" t="s">
        <v>114</v>
      </c>
      <c r="D22" s="182" t="s">
        <v>114</v>
      </c>
      <c r="E22" s="182" t="s">
        <v>114</v>
      </c>
      <c r="F22" s="182" t="s">
        <v>114</v>
      </c>
      <c r="G22" s="182" t="s">
        <v>114</v>
      </c>
      <c r="H22" s="182" t="s">
        <v>114</v>
      </c>
      <c r="I22" s="182" t="s">
        <v>114</v>
      </c>
      <c r="J22" s="182" t="s">
        <v>114</v>
      </c>
      <c r="K22" s="182" t="s">
        <v>114</v>
      </c>
      <c r="L22" s="182" t="s">
        <v>114</v>
      </c>
      <c r="M22" s="182" t="s">
        <v>114</v>
      </c>
      <c r="N22" s="182" t="s">
        <v>114</v>
      </c>
      <c r="O22" s="182" t="s">
        <v>114</v>
      </c>
      <c r="P22" s="182" t="s">
        <v>114</v>
      </c>
      <c r="Q22" s="182" t="s">
        <v>114</v>
      </c>
      <c r="R22" s="182" t="s">
        <v>114</v>
      </c>
      <c r="S22" s="182" t="s">
        <v>114</v>
      </c>
      <c r="T22" s="182" t="s">
        <v>114</v>
      </c>
      <c r="U22" s="182" t="s">
        <v>114</v>
      </c>
      <c r="V22" s="182" t="s">
        <v>114</v>
      </c>
      <c r="W22" s="182" t="s">
        <v>114</v>
      </c>
      <c r="X22" s="182" t="s">
        <v>114</v>
      </c>
      <c r="Y22" s="182" t="s">
        <v>114</v>
      </c>
      <c r="Z22" s="182" t="s">
        <v>114</v>
      </c>
      <c r="AA22" s="182" t="s">
        <v>114</v>
      </c>
      <c r="AB22" s="182" t="s">
        <v>114</v>
      </c>
      <c r="AC22" s="182" t="s">
        <v>114</v>
      </c>
      <c r="AD22" s="182" t="s">
        <v>114</v>
      </c>
      <c r="AE22" s="182" t="s">
        <v>114</v>
      </c>
      <c r="AF22" s="25" t="s">
        <v>378</v>
      </c>
      <c r="AG22" s="149"/>
      <c r="AH22" s="149"/>
    </row>
    <row r="23" spans="1:34" ht="25.5">
      <c r="A23" s="150" t="s">
        <v>356</v>
      </c>
      <c r="B23" s="159" t="s">
        <v>357</v>
      </c>
      <c r="C23" s="182" t="s">
        <v>110</v>
      </c>
      <c r="D23" s="182" t="s">
        <v>110</v>
      </c>
      <c r="E23" s="182" t="s">
        <v>110</v>
      </c>
      <c r="F23" s="182" t="s">
        <v>110</v>
      </c>
      <c r="G23" s="182" t="s">
        <v>110</v>
      </c>
      <c r="H23" s="182" t="s">
        <v>110</v>
      </c>
      <c r="I23" s="182" t="s">
        <v>110</v>
      </c>
      <c r="J23" s="182" t="s">
        <v>110</v>
      </c>
      <c r="K23" s="182" t="s">
        <v>110</v>
      </c>
      <c r="L23" s="182" t="s">
        <v>110</v>
      </c>
      <c r="M23" s="182" t="s">
        <v>110</v>
      </c>
      <c r="N23" s="182" t="s">
        <v>110</v>
      </c>
      <c r="O23" s="182" t="s">
        <v>110</v>
      </c>
      <c r="P23" s="182" t="s">
        <v>110</v>
      </c>
      <c r="Q23" s="182" t="s">
        <v>110</v>
      </c>
      <c r="R23" s="182" t="s">
        <v>110</v>
      </c>
      <c r="S23" s="182" t="s">
        <v>110</v>
      </c>
      <c r="T23" s="182" t="s">
        <v>110</v>
      </c>
      <c r="U23" s="182" t="s">
        <v>110</v>
      </c>
      <c r="V23" s="182" t="s">
        <v>110</v>
      </c>
      <c r="W23" s="182" t="s">
        <v>110</v>
      </c>
      <c r="X23" s="182" t="s">
        <v>110</v>
      </c>
      <c r="Y23" s="182" t="s">
        <v>110</v>
      </c>
      <c r="Z23" s="182" t="s">
        <v>110</v>
      </c>
      <c r="AA23" s="182" t="s">
        <v>110</v>
      </c>
      <c r="AB23" s="182" t="s">
        <v>110</v>
      </c>
      <c r="AC23" s="182" t="s">
        <v>110</v>
      </c>
      <c r="AD23" s="182" t="s">
        <v>110</v>
      </c>
      <c r="AE23" s="182" t="s">
        <v>110</v>
      </c>
      <c r="AF23" s="183"/>
      <c r="AG23" s="149"/>
      <c r="AH23" s="149"/>
    </row>
    <row r="24" spans="1:34" ht="18.75">
      <c r="A24" s="147"/>
      <c r="B24" s="156" t="s">
        <v>268</v>
      </c>
      <c r="C24" s="148"/>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148"/>
      <c r="AB24" s="148"/>
      <c r="AC24" s="148"/>
      <c r="AD24" s="148"/>
      <c r="AE24" s="148"/>
      <c r="AF24" s="148"/>
      <c r="AG24" s="188"/>
      <c r="AH24" s="188"/>
    </row>
    <row r="25" spans="1:34" ht="38.25">
      <c r="A25" s="150" t="s">
        <v>269</v>
      </c>
      <c r="B25" s="159" t="s">
        <v>270</v>
      </c>
      <c r="C25" s="182" t="s">
        <v>112</v>
      </c>
      <c r="D25" s="182" t="s">
        <v>112</v>
      </c>
      <c r="E25" s="182" t="s">
        <v>112</v>
      </c>
      <c r="F25" s="182" t="s">
        <v>112</v>
      </c>
      <c r="G25" s="182" t="s">
        <v>112</v>
      </c>
      <c r="H25" s="182" t="s">
        <v>112</v>
      </c>
      <c r="I25" s="182" t="s">
        <v>112</v>
      </c>
      <c r="J25" s="182" t="s">
        <v>112</v>
      </c>
      <c r="K25" s="182" t="s">
        <v>112</v>
      </c>
      <c r="L25" s="182" t="s">
        <v>112</v>
      </c>
      <c r="M25" s="182" t="s">
        <v>112</v>
      </c>
      <c r="N25" s="182" t="s">
        <v>112</v>
      </c>
      <c r="O25" s="182" t="s">
        <v>112</v>
      </c>
      <c r="P25" s="182" t="s">
        <v>112</v>
      </c>
      <c r="Q25" s="182" t="s">
        <v>112</v>
      </c>
      <c r="R25" s="182" t="s">
        <v>112</v>
      </c>
      <c r="S25" s="182" t="s">
        <v>112</v>
      </c>
      <c r="T25" s="182" t="s">
        <v>110</v>
      </c>
      <c r="U25" s="182" t="s">
        <v>110</v>
      </c>
      <c r="V25" s="182" t="s">
        <v>110</v>
      </c>
      <c r="W25" s="182" t="s">
        <v>110</v>
      </c>
      <c r="X25" s="182" t="s">
        <v>110</v>
      </c>
      <c r="Y25" s="182" t="s">
        <v>110</v>
      </c>
      <c r="Z25" s="182" t="s">
        <v>110</v>
      </c>
      <c r="AA25" s="182" t="s">
        <v>110</v>
      </c>
      <c r="AB25" s="182" t="s">
        <v>110</v>
      </c>
      <c r="AC25" s="182" t="s">
        <v>110</v>
      </c>
      <c r="AD25" s="182" t="s">
        <v>110</v>
      </c>
      <c r="AE25" s="182" t="s">
        <v>110</v>
      </c>
      <c r="AF25" s="191" t="s">
        <v>474</v>
      </c>
      <c r="AG25" s="149"/>
      <c r="AH25" s="149"/>
    </row>
    <row r="26" spans="1:34" ht="25.5">
      <c r="A26" s="150" t="s">
        <v>271</v>
      </c>
      <c r="B26" s="159" t="s">
        <v>272</v>
      </c>
      <c r="C26" s="182" t="s">
        <v>110</v>
      </c>
      <c r="D26" s="182" t="s">
        <v>110</v>
      </c>
      <c r="E26" s="182" t="s">
        <v>110</v>
      </c>
      <c r="F26" s="182" t="s">
        <v>110</v>
      </c>
      <c r="G26" s="182" t="s">
        <v>110</v>
      </c>
      <c r="H26" s="182" t="s">
        <v>110</v>
      </c>
      <c r="I26" s="182" t="s">
        <v>110</v>
      </c>
      <c r="J26" s="182" t="s">
        <v>110</v>
      </c>
      <c r="K26" s="182" t="s">
        <v>110</v>
      </c>
      <c r="L26" s="182" t="s">
        <v>110</v>
      </c>
      <c r="M26" s="182" t="s">
        <v>110</v>
      </c>
      <c r="N26" s="182" t="s">
        <v>110</v>
      </c>
      <c r="O26" s="182" t="s">
        <v>110</v>
      </c>
      <c r="P26" s="182" t="s">
        <v>110</v>
      </c>
      <c r="Q26" s="182" t="s">
        <v>110</v>
      </c>
      <c r="R26" s="182" t="s">
        <v>110</v>
      </c>
      <c r="S26" s="182" t="s">
        <v>110</v>
      </c>
      <c r="T26" s="182" t="s">
        <v>110</v>
      </c>
      <c r="U26" s="182" t="s">
        <v>110</v>
      </c>
      <c r="V26" s="182" t="s">
        <v>110</v>
      </c>
      <c r="W26" s="182" t="s">
        <v>110</v>
      </c>
      <c r="X26" s="182" t="s">
        <v>110</v>
      </c>
      <c r="Y26" s="182" t="s">
        <v>110</v>
      </c>
      <c r="Z26" s="182" t="s">
        <v>110</v>
      </c>
      <c r="AA26" s="182" t="s">
        <v>110</v>
      </c>
      <c r="AB26" s="182" t="s">
        <v>110</v>
      </c>
      <c r="AC26" s="182" t="s">
        <v>110</v>
      </c>
      <c r="AD26" s="182" t="s">
        <v>110</v>
      </c>
      <c r="AE26" s="182" t="s">
        <v>110</v>
      </c>
      <c r="AF26" s="183"/>
      <c r="AG26" s="149"/>
      <c r="AH26" s="149"/>
    </row>
    <row r="27" spans="1:34" ht="38.25">
      <c r="A27" s="150" t="s">
        <v>273</v>
      </c>
      <c r="B27" s="159" t="s">
        <v>274</v>
      </c>
      <c r="C27" s="182" t="s">
        <v>110</v>
      </c>
      <c r="D27" s="182" t="s">
        <v>110</v>
      </c>
      <c r="E27" s="182" t="s">
        <v>110</v>
      </c>
      <c r="F27" s="182" t="s">
        <v>110</v>
      </c>
      <c r="G27" s="182" t="s">
        <v>110</v>
      </c>
      <c r="H27" s="182" t="s">
        <v>110</v>
      </c>
      <c r="I27" s="182" t="s">
        <v>110</v>
      </c>
      <c r="J27" s="182" t="s">
        <v>110</v>
      </c>
      <c r="K27" s="182" t="s">
        <v>110</v>
      </c>
      <c r="L27" s="182" t="s">
        <v>110</v>
      </c>
      <c r="M27" s="182" t="s">
        <v>110</v>
      </c>
      <c r="N27" s="182" t="s">
        <v>110</v>
      </c>
      <c r="O27" s="182" t="s">
        <v>110</v>
      </c>
      <c r="P27" s="182" t="s">
        <v>110</v>
      </c>
      <c r="Q27" s="182" t="s">
        <v>110</v>
      </c>
      <c r="R27" s="182" t="s">
        <v>110</v>
      </c>
      <c r="S27" s="182" t="s">
        <v>110</v>
      </c>
      <c r="T27" s="182" t="s">
        <v>110</v>
      </c>
      <c r="U27" s="182" t="s">
        <v>110</v>
      </c>
      <c r="V27" s="182" t="s">
        <v>110</v>
      </c>
      <c r="W27" s="182" t="s">
        <v>110</v>
      </c>
      <c r="X27" s="182" t="s">
        <v>110</v>
      </c>
      <c r="Y27" s="182" t="s">
        <v>110</v>
      </c>
      <c r="Z27" s="182" t="s">
        <v>110</v>
      </c>
      <c r="AA27" s="182" t="s">
        <v>110</v>
      </c>
      <c r="AB27" s="182" t="s">
        <v>110</v>
      </c>
      <c r="AC27" s="182" t="s">
        <v>110</v>
      </c>
      <c r="AD27" s="182" t="s">
        <v>110</v>
      </c>
      <c r="AE27" s="182" t="s">
        <v>110</v>
      </c>
      <c r="AF27" s="183"/>
      <c r="AG27" s="149"/>
      <c r="AH27" s="149"/>
    </row>
    <row r="28" spans="1:34" ht="38.25">
      <c r="A28" s="150" t="s">
        <v>275</v>
      </c>
      <c r="B28" s="159" t="s">
        <v>276</v>
      </c>
      <c r="C28" s="182" t="s">
        <v>110</v>
      </c>
      <c r="D28" s="182" t="s">
        <v>110</v>
      </c>
      <c r="E28" s="182" t="s">
        <v>110</v>
      </c>
      <c r="F28" s="182" t="s">
        <v>110</v>
      </c>
      <c r="G28" s="182" t="s">
        <v>110</v>
      </c>
      <c r="H28" s="182" t="s">
        <v>110</v>
      </c>
      <c r="I28" s="182" t="s">
        <v>110</v>
      </c>
      <c r="J28" s="182" t="s">
        <v>110</v>
      </c>
      <c r="K28" s="182" t="s">
        <v>110</v>
      </c>
      <c r="L28" s="182" t="s">
        <v>110</v>
      </c>
      <c r="M28" s="182" t="s">
        <v>110</v>
      </c>
      <c r="N28" s="182" t="s">
        <v>110</v>
      </c>
      <c r="O28" s="182" t="s">
        <v>110</v>
      </c>
      <c r="P28" s="182" t="s">
        <v>110</v>
      </c>
      <c r="Q28" s="182" t="s">
        <v>110</v>
      </c>
      <c r="R28" s="182" t="s">
        <v>110</v>
      </c>
      <c r="S28" s="182" t="s">
        <v>110</v>
      </c>
      <c r="T28" s="182" t="s">
        <v>110</v>
      </c>
      <c r="U28" s="182" t="s">
        <v>110</v>
      </c>
      <c r="V28" s="182" t="s">
        <v>110</v>
      </c>
      <c r="W28" s="182" t="s">
        <v>110</v>
      </c>
      <c r="X28" s="182" t="s">
        <v>110</v>
      </c>
      <c r="Y28" s="182" t="s">
        <v>110</v>
      </c>
      <c r="Z28" s="182" t="s">
        <v>110</v>
      </c>
      <c r="AA28" s="182" t="s">
        <v>110</v>
      </c>
      <c r="AB28" s="182" t="s">
        <v>110</v>
      </c>
      <c r="AC28" s="182" t="s">
        <v>110</v>
      </c>
      <c r="AD28" s="182" t="s">
        <v>110</v>
      </c>
      <c r="AE28" s="182" t="s">
        <v>110</v>
      </c>
      <c r="AF28" s="183"/>
      <c r="AG28" s="149"/>
      <c r="AH28" s="149"/>
    </row>
    <row r="29" spans="1:34" ht="18.75">
      <c r="A29" s="147"/>
      <c r="B29" s="156" t="s">
        <v>277</v>
      </c>
      <c r="C29" s="148"/>
      <c r="D29" s="148"/>
      <c r="E29" s="148"/>
      <c r="F29" s="14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88"/>
      <c r="AH29" s="188"/>
    </row>
    <row r="30" spans="1:34" ht="38.25">
      <c r="A30" s="150" t="s">
        <v>278</v>
      </c>
      <c r="B30" s="159" t="s">
        <v>279</v>
      </c>
      <c r="C30" s="182" t="s">
        <v>110</v>
      </c>
      <c r="D30" s="182" t="s">
        <v>110</v>
      </c>
      <c r="E30" s="182" t="s">
        <v>110</v>
      </c>
      <c r="F30" s="182" t="s">
        <v>110</v>
      </c>
      <c r="G30" s="182" t="s">
        <v>110</v>
      </c>
      <c r="H30" s="182" t="s">
        <v>110</v>
      </c>
      <c r="I30" s="182" t="s">
        <v>110</v>
      </c>
      <c r="J30" s="182" t="s">
        <v>110</v>
      </c>
      <c r="K30" s="182" t="s">
        <v>110</v>
      </c>
      <c r="L30" s="182" t="s">
        <v>110</v>
      </c>
      <c r="M30" s="182" t="s">
        <v>110</v>
      </c>
      <c r="N30" s="182" t="s">
        <v>110</v>
      </c>
      <c r="O30" s="182" t="s">
        <v>110</v>
      </c>
      <c r="P30" s="182" t="s">
        <v>110</v>
      </c>
      <c r="Q30" s="182" t="s">
        <v>110</v>
      </c>
      <c r="R30" s="182" t="s">
        <v>110</v>
      </c>
      <c r="S30" s="182" t="s">
        <v>110</v>
      </c>
      <c r="T30" s="182" t="s">
        <v>110</v>
      </c>
      <c r="U30" s="182" t="s">
        <v>110</v>
      </c>
      <c r="V30" s="182" t="s">
        <v>110</v>
      </c>
      <c r="W30" s="182" t="s">
        <v>110</v>
      </c>
      <c r="X30" s="182" t="s">
        <v>110</v>
      </c>
      <c r="Y30" s="182" t="s">
        <v>110</v>
      </c>
      <c r="Z30" s="182" t="s">
        <v>110</v>
      </c>
      <c r="AA30" s="182" t="s">
        <v>110</v>
      </c>
      <c r="AB30" s="182" t="s">
        <v>110</v>
      </c>
      <c r="AC30" s="182" t="s">
        <v>110</v>
      </c>
      <c r="AD30" s="182" t="s">
        <v>110</v>
      </c>
      <c r="AE30" s="182" t="s">
        <v>110</v>
      </c>
      <c r="AF30" s="183"/>
      <c r="AG30" s="149"/>
      <c r="AH30" s="149"/>
    </row>
    <row r="31" spans="1:34" ht="38.25">
      <c r="A31" s="150" t="s">
        <v>280</v>
      </c>
      <c r="B31" s="159" t="s">
        <v>281</v>
      </c>
      <c r="C31" s="182" t="s">
        <v>110</v>
      </c>
      <c r="D31" s="182" t="s">
        <v>110</v>
      </c>
      <c r="E31" s="182" t="s">
        <v>110</v>
      </c>
      <c r="F31" s="182" t="s">
        <v>110</v>
      </c>
      <c r="G31" s="182" t="s">
        <v>110</v>
      </c>
      <c r="H31" s="182" t="s">
        <v>110</v>
      </c>
      <c r="I31" s="182" t="s">
        <v>110</v>
      </c>
      <c r="J31" s="182" t="s">
        <v>110</v>
      </c>
      <c r="K31" s="182" t="s">
        <v>110</v>
      </c>
      <c r="L31" s="182" t="s">
        <v>110</v>
      </c>
      <c r="M31" s="182" t="s">
        <v>110</v>
      </c>
      <c r="N31" s="182" t="s">
        <v>110</v>
      </c>
      <c r="O31" s="182" t="s">
        <v>110</v>
      </c>
      <c r="P31" s="182" t="s">
        <v>110</v>
      </c>
      <c r="Q31" s="182" t="s">
        <v>110</v>
      </c>
      <c r="R31" s="182" t="s">
        <v>110</v>
      </c>
      <c r="S31" s="182" t="s">
        <v>110</v>
      </c>
      <c r="T31" s="182" t="s">
        <v>110</v>
      </c>
      <c r="U31" s="182" t="s">
        <v>110</v>
      </c>
      <c r="V31" s="182" t="s">
        <v>110</v>
      </c>
      <c r="W31" s="182" t="s">
        <v>110</v>
      </c>
      <c r="X31" s="182" t="s">
        <v>110</v>
      </c>
      <c r="Y31" s="182" t="s">
        <v>110</v>
      </c>
      <c r="Z31" s="182" t="s">
        <v>110</v>
      </c>
      <c r="AA31" s="182" t="s">
        <v>110</v>
      </c>
      <c r="AB31" s="182" t="s">
        <v>110</v>
      </c>
      <c r="AC31" s="182" t="s">
        <v>110</v>
      </c>
      <c r="AD31" s="182" t="s">
        <v>110</v>
      </c>
      <c r="AE31" s="182" t="s">
        <v>110</v>
      </c>
      <c r="AF31" s="183"/>
      <c r="AG31" s="149"/>
      <c r="AH31" s="149"/>
    </row>
    <row r="32" spans="1:34" ht="18.75">
      <c r="A32" s="147"/>
      <c r="B32" s="156" t="s">
        <v>282</v>
      </c>
      <c r="C32" s="148"/>
      <c r="D32" s="148"/>
      <c r="E32" s="148"/>
      <c r="F32" s="148"/>
      <c r="G32" s="148"/>
      <c r="H32" s="148"/>
      <c r="I32" s="148"/>
      <c r="J32" s="148"/>
      <c r="K32" s="148"/>
      <c r="L32" s="148"/>
      <c r="M32" s="148"/>
      <c r="N32" s="148"/>
      <c r="O32" s="148"/>
      <c r="P32" s="148"/>
      <c r="Q32" s="148"/>
      <c r="R32" s="148"/>
      <c r="S32" s="148"/>
      <c r="T32" s="148"/>
      <c r="U32" s="148"/>
      <c r="V32" s="148"/>
      <c r="W32" s="148"/>
      <c r="X32" s="148"/>
      <c r="Y32" s="148"/>
      <c r="Z32" s="148"/>
      <c r="AA32" s="148"/>
      <c r="AB32" s="148"/>
      <c r="AC32" s="148"/>
      <c r="AD32" s="148"/>
      <c r="AE32" s="148"/>
      <c r="AF32" s="148"/>
      <c r="AG32" s="188"/>
      <c r="AH32" s="188"/>
    </row>
    <row r="33" spans="1:34" ht="51">
      <c r="A33" s="150" t="s">
        <v>283</v>
      </c>
      <c r="B33" s="159" t="s">
        <v>284</v>
      </c>
      <c r="C33" s="182" t="s">
        <v>114</v>
      </c>
      <c r="D33" s="182" t="s">
        <v>114</v>
      </c>
      <c r="E33" s="182" t="s">
        <v>114</v>
      </c>
      <c r="F33" s="182" t="s">
        <v>114</v>
      </c>
      <c r="G33" s="182" t="s">
        <v>114</v>
      </c>
      <c r="H33" s="182" t="s">
        <v>112</v>
      </c>
      <c r="I33" s="182" t="s">
        <v>114</v>
      </c>
      <c r="J33" s="182" t="s">
        <v>114</v>
      </c>
      <c r="K33" s="182" t="s">
        <v>114</v>
      </c>
      <c r="L33" s="182" t="s">
        <v>114</v>
      </c>
      <c r="M33" s="182" t="s">
        <v>112</v>
      </c>
      <c r="N33" s="182" t="s">
        <v>114</v>
      </c>
      <c r="O33" s="182" t="s">
        <v>114</v>
      </c>
      <c r="P33" s="182" t="s">
        <v>114</v>
      </c>
      <c r="Q33" s="182" t="s">
        <v>114</v>
      </c>
      <c r="R33" s="182" t="s">
        <v>114</v>
      </c>
      <c r="S33" s="182" t="s">
        <v>114</v>
      </c>
      <c r="T33" s="182" t="s">
        <v>114</v>
      </c>
      <c r="U33" s="182" t="s">
        <v>114</v>
      </c>
      <c r="V33" s="182" t="s">
        <v>114</v>
      </c>
      <c r="W33" s="182" t="s">
        <v>114</v>
      </c>
      <c r="X33" s="182" t="s">
        <v>114</v>
      </c>
      <c r="Y33" s="182" t="s">
        <v>114</v>
      </c>
      <c r="Z33" s="182" t="s">
        <v>114</v>
      </c>
      <c r="AA33" s="182" t="s">
        <v>114</v>
      </c>
      <c r="AB33" s="182" t="s">
        <v>114</v>
      </c>
      <c r="AC33" s="182" t="s">
        <v>114</v>
      </c>
      <c r="AD33" s="182" t="s">
        <v>114</v>
      </c>
      <c r="AE33" s="182" t="s">
        <v>114</v>
      </c>
      <c r="AF33" s="25" t="s">
        <v>379</v>
      </c>
      <c r="AG33" s="151" t="s">
        <v>390</v>
      </c>
      <c r="AH33" s="149"/>
    </row>
    <row r="34" spans="1:34" ht="18">
      <c r="A34" s="184"/>
      <c r="B34" s="185" t="s">
        <v>285</v>
      </c>
      <c r="C34" s="184"/>
      <c r="D34" s="184"/>
      <c r="E34" s="184"/>
      <c r="F34" s="184"/>
      <c r="G34" s="184"/>
      <c r="H34" s="184"/>
      <c r="I34" s="184"/>
      <c r="J34" s="184"/>
      <c r="K34" s="184"/>
      <c r="L34" s="184"/>
      <c r="M34" s="184"/>
      <c r="N34" s="184"/>
      <c r="O34" s="184"/>
      <c r="P34" s="184"/>
      <c r="Q34" s="184"/>
      <c r="R34" s="184"/>
      <c r="S34" s="184"/>
      <c r="T34" s="184"/>
      <c r="U34" s="184"/>
      <c r="V34" s="184"/>
      <c r="W34" s="184"/>
      <c r="X34" s="184"/>
      <c r="Y34" s="184"/>
      <c r="Z34" s="184"/>
      <c r="AA34" s="184"/>
      <c r="AB34" s="184"/>
      <c r="AC34" s="184"/>
      <c r="AD34" s="184"/>
      <c r="AE34" s="184"/>
      <c r="AF34" s="184"/>
      <c r="AG34" s="184"/>
      <c r="AH34" s="184"/>
    </row>
    <row r="35" spans="1:34" ht="15">
      <c r="A35" s="152"/>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154"/>
      <c r="AE35" s="154"/>
      <c r="AF35" s="154"/>
      <c r="AG35" s="154"/>
      <c r="AH35" s="155"/>
    </row>
    <row r="36" spans="1:34" ht="15">
      <c r="A36" s="189"/>
      <c r="B36" s="190" t="s">
        <v>286</v>
      </c>
      <c r="C36" s="189"/>
      <c r="D36" s="189"/>
      <c r="E36" s="189"/>
      <c r="F36" s="189"/>
      <c r="G36" s="189"/>
      <c r="H36" s="189"/>
      <c r="I36" s="189"/>
      <c r="J36" s="189"/>
      <c r="K36" s="189"/>
      <c r="L36" s="189"/>
      <c r="M36" s="189"/>
      <c r="N36" s="189"/>
      <c r="O36" s="189"/>
      <c r="P36" s="189"/>
      <c r="Q36" s="189"/>
      <c r="R36" s="189"/>
      <c r="S36" s="189"/>
      <c r="T36" s="189"/>
      <c r="U36" s="189"/>
      <c r="V36" s="189"/>
      <c r="W36" s="189"/>
      <c r="X36" s="189"/>
      <c r="Y36" s="189"/>
      <c r="Z36" s="189"/>
      <c r="AA36" s="189"/>
      <c r="AB36" s="189"/>
      <c r="AC36" s="189"/>
      <c r="AD36" s="189"/>
      <c r="AE36" s="189"/>
      <c r="AF36" s="189"/>
      <c r="AG36" s="189"/>
      <c r="AH36" s="189"/>
    </row>
  </sheetData>
  <mergeCells count="1">
    <mergeCell ref="AG2:AH2"/>
  </mergeCells>
  <conditionalFormatting sqref="H10 I33 I6:I7 I25:I28 I30:I31 I9:I23">
    <cfRule type="cellIs" dxfId="1277" priority="2560" operator="equal">
      <formula>"No"</formula>
    </cfRule>
    <cfRule type="cellIs" dxfId="1276" priority="2561" operator="equal">
      <formula>"NA"</formula>
    </cfRule>
    <cfRule type="cellIs" dxfId="1275" priority="2562" operator="equal">
      <formula>"Yes"</formula>
    </cfRule>
  </conditionalFormatting>
  <conditionalFormatting sqref="H11">
    <cfRule type="cellIs" dxfId="1274" priority="2514" operator="equal">
      <formula>"No"</formula>
    </cfRule>
    <cfRule type="cellIs" dxfId="1273" priority="2515" operator="equal">
      <formula>"NA"</formula>
    </cfRule>
    <cfRule type="cellIs" dxfId="1272" priority="2516" operator="equal">
      <formula>"Yes"</formula>
    </cfRule>
  </conditionalFormatting>
  <conditionalFormatting sqref="H20">
    <cfRule type="cellIs" dxfId="1271" priority="2100" operator="equal">
      <formula>"No"</formula>
    </cfRule>
    <cfRule type="cellIs" dxfId="1270" priority="2101" operator="equal">
      <formula>"NA"</formula>
    </cfRule>
    <cfRule type="cellIs" dxfId="1269" priority="2102" operator="equal">
      <formula>"Yes"</formula>
    </cfRule>
  </conditionalFormatting>
  <conditionalFormatting sqref="H33">
    <cfRule type="cellIs" dxfId="1268" priority="1640" operator="equal">
      <formula>"No"</formula>
    </cfRule>
    <cfRule type="cellIs" dxfId="1267" priority="1641" operator="equal">
      <formula>"NA"</formula>
    </cfRule>
    <cfRule type="cellIs" dxfId="1266" priority="1642" operator="equal">
      <formula>"Yes"</formula>
    </cfRule>
  </conditionalFormatting>
  <conditionalFormatting sqref="C10">
    <cfRule type="cellIs" dxfId="1265" priority="1585" operator="equal">
      <formula>"No"</formula>
    </cfRule>
    <cfRule type="cellIs" dxfId="1264" priority="1586" operator="equal">
      <formula>"NA"</formula>
    </cfRule>
    <cfRule type="cellIs" dxfId="1263" priority="1587" operator="equal">
      <formula>"Yes"</formula>
    </cfRule>
  </conditionalFormatting>
  <conditionalFormatting sqref="C11">
    <cfRule type="cellIs" dxfId="1262" priority="1582" operator="equal">
      <formula>"No"</formula>
    </cfRule>
    <cfRule type="cellIs" dxfId="1261" priority="1583" operator="equal">
      <formula>"NA"</formula>
    </cfRule>
    <cfRule type="cellIs" dxfId="1260" priority="1584" operator="equal">
      <formula>"Yes"</formula>
    </cfRule>
  </conditionalFormatting>
  <conditionalFormatting sqref="C12">
    <cfRule type="cellIs" dxfId="1259" priority="1579" operator="equal">
      <formula>"No"</formula>
    </cfRule>
    <cfRule type="cellIs" dxfId="1258" priority="1580" operator="equal">
      <formula>"NA"</formula>
    </cfRule>
    <cfRule type="cellIs" dxfId="1257" priority="1581" operator="equal">
      <formula>"Yes"</formula>
    </cfRule>
  </conditionalFormatting>
  <conditionalFormatting sqref="C15">
    <cfRule type="cellIs" dxfId="1256" priority="1570" operator="equal">
      <formula>"No"</formula>
    </cfRule>
    <cfRule type="cellIs" dxfId="1255" priority="1571" operator="equal">
      <formula>"NA"</formula>
    </cfRule>
    <cfRule type="cellIs" dxfId="1254" priority="1572" operator="equal">
      <formula>"Yes"</formula>
    </cfRule>
  </conditionalFormatting>
  <conditionalFormatting sqref="C17">
    <cfRule type="cellIs" dxfId="1253" priority="1564" operator="equal">
      <formula>"No"</formula>
    </cfRule>
    <cfRule type="cellIs" dxfId="1252" priority="1565" operator="equal">
      <formula>"NA"</formula>
    </cfRule>
    <cfRule type="cellIs" dxfId="1251" priority="1566" operator="equal">
      <formula>"Yes"</formula>
    </cfRule>
  </conditionalFormatting>
  <conditionalFormatting sqref="C25">
    <cfRule type="cellIs" dxfId="1250" priority="1543" operator="equal">
      <formula>"No"</formula>
    </cfRule>
    <cfRule type="cellIs" dxfId="1249" priority="1544" operator="equal">
      <formula>"NA"</formula>
    </cfRule>
    <cfRule type="cellIs" dxfId="1248" priority="1545" operator="equal">
      <formula>"Yes"</formula>
    </cfRule>
  </conditionalFormatting>
  <conditionalFormatting sqref="C26">
    <cfRule type="cellIs" dxfId="1247" priority="1540" operator="equal">
      <formula>"No"</formula>
    </cfRule>
    <cfRule type="cellIs" dxfId="1246" priority="1541" operator="equal">
      <formula>"NA"</formula>
    </cfRule>
    <cfRule type="cellIs" dxfId="1245" priority="1542" operator="equal">
      <formula>"Yes"</formula>
    </cfRule>
  </conditionalFormatting>
  <conditionalFormatting sqref="C33">
    <cfRule type="cellIs" dxfId="1244" priority="1525" operator="equal">
      <formula>"No"</formula>
    </cfRule>
    <cfRule type="cellIs" dxfId="1243" priority="1526" operator="equal">
      <formula>"NA"</formula>
    </cfRule>
    <cfRule type="cellIs" dxfId="1242" priority="1527" operator="equal">
      <formula>"Yes"</formula>
    </cfRule>
  </conditionalFormatting>
  <conditionalFormatting sqref="E10">
    <cfRule type="cellIs" dxfId="1241" priority="1513" operator="equal">
      <formula>"No"</formula>
    </cfRule>
    <cfRule type="cellIs" dxfId="1240" priority="1514" operator="equal">
      <formula>"NA"</formula>
    </cfRule>
    <cfRule type="cellIs" dxfId="1239" priority="1515" operator="equal">
      <formula>"Yes"</formula>
    </cfRule>
  </conditionalFormatting>
  <conditionalFormatting sqref="E11">
    <cfRule type="cellIs" dxfId="1238" priority="1510" operator="equal">
      <formula>"No"</formula>
    </cfRule>
    <cfRule type="cellIs" dxfId="1237" priority="1511" operator="equal">
      <formula>"NA"</formula>
    </cfRule>
    <cfRule type="cellIs" dxfId="1236" priority="1512" operator="equal">
      <formula>"Yes"</formula>
    </cfRule>
  </conditionalFormatting>
  <conditionalFormatting sqref="E17">
    <cfRule type="cellIs" dxfId="1235" priority="1492" operator="equal">
      <formula>"No"</formula>
    </cfRule>
    <cfRule type="cellIs" dxfId="1234" priority="1493" operator="equal">
      <formula>"NA"</formula>
    </cfRule>
    <cfRule type="cellIs" dxfId="1233" priority="1494" operator="equal">
      <formula>"Yes"</formula>
    </cfRule>
  </conditionalFormatting>
  <conditionalFormatting sqref="F10">
    <cfRule type="cellIs" dxfId="1232" priority="1441" operator="equal">
      <formula>"No"</formula>
    </cfRule>
    <cfRule type="cellIs" dxfId="1231" priority="1442" operator="equal">
      <formula>"NA"</formula>
    </cfRule>
    <cfRule type="cellIs" dxfId="1230" priority="1443" operator="equal">
      <formula>"Yes"</formula>
    </cfRule>
  </conditionalFormatting>
  <conditionalFormatting sqref="F11">
    <cfRule type="cellIs" dxfId="1229" priority="1438" operator="equal">
      <formula>"No"</formula>
    </cfRule>
    <cfRule type="cellIs" dxfId="1228" priority="1439" operator="equal">
      <formula>"NA"</formula>
    </cfRule>
    <cfRule type="cellIs" dxfId="1227" priority="1440" operator="equal">
      <formula>"Yes"</formula>
    </cfRule>
  </conditionalFormatting>
  <conditionalFormatting sqref="F17">
    <cfRule type="cellIs" dxfId="1226" priority="1420" operator="equal">
      <formula>"No"</formula>
    </cfRule>
    <cfRule type="cellIs" dxfId="1225" priority="1421" operator="equal">
      <formula>"NA"</formula>
    </cfRule>
    <cfRule type="cellIs" dxfId="1224" priority="1422" operator="equal">
      <formula>"Yes"</formula>
    </cfRule>
  </conditionalFormatting>
  <conditionalFormatting sqref="D10">
    <cfRule type="cellIs" dxfId="1223" priority="1369" operator="equal">
      <formula>"No"</formula>
    </cfRule>
    <cfRule type="cellIs" dxfId="1222" priority="1370" operator="equal">
      <formula>"NA"</formula>
    </cfRule>
    <cfRule type="cellIs" dxfId="1221" priority="1371" operator="equal">
      <formula>"Yes"</formula>
    </cfRule>
  </conditionalFormatting>
  <conditionalFormatting sqref="D11">
    <cfRule type="cellIs" dxfId="1220" priority="1366" operator="equal">
      <formula>"No"</formula>
    </cfRule>
    <cfRule type="cellIs" dxfId="1219" priority="1367" operator="equal">
      <formula>"NA"</formula>
    </cfRule>
    <cfRule type="cellIs" dxfId="1218" priority="1368" operator="equal">
      <formula>"Yes"</formula>
    </cfRule>
  </conditionalFormatting>
  <conditionalFormatting sqref="D15">
    <cfRule type="cellIs" dxfId="1217" priority="1354" operator="equal">
      <formula>"No"</formula>
    </cfRule>
    <cfRule type="cellIs" dxfId="1216" priority="1355" operator="equal">
      <formula>"NA"</formula>
    </cfRule>
    <cfRule type="cellIs" dxfId="1215" priority="1356" operator="equal">
      <formula>"Yes"</formula>
    </cfRule>
  </conditionalFormatting>
  <conditionalFormatting sqref="D17">
    <cfRule type="cellIs" dxfId="1214" priority="1348" operator="equal">
      <formula>"No"</formula>
    </cfRule>
    <cfRule type="cellIs" dxfId="1213" priority="1349" operator="equal">
      <formula>"NA"</formula>
    </cfRule>
    <cfRule type="cellIs" dxfId="1212" priority="1350" operator="equal">
      <formula>"Yes"</formula>
    </cfRule>
  </conditionalFormatting>
  <conditionalFormatting sqref="G10">
    <cfRule type="cellIs" dxfId="1211" priority="1297" operator="equal">
      <formula>"No"</formula>
    </cfRule>
    <cfRule type="cellIs" dxfId="1210" priority="1298" operator="equal">
      <formula>"NA"</formula>
    </cfRule>
    <cfRule type="cellIs" dxfId="1209" priority="1299" operator="equal">
      <formula>"Yes"</formula>
    </cfRule>
  </conditionalFormatting>
  <conditionalFormatting sqref="G11">
    <cfRule type="cellIs" dxfId="1208" priority="1294" operator="equal">
      <formula>"No"</formula>
    </cfRule>
    <cfRule type="cellIs" dxfId="1207" priority="1295" operator="equal">
      <formula>"NA"</formula>
    </cfRule>
    <cfRule type="cellIs" dxfId="1206" priority="1296" operator="equal">
      <formula>"Yes"</formula>
    </cfRule>
  </conditionalFormatting>
  <conditionalFormatting sqref="G14">
    <cfRule type="cellIs" dxfId="1205" priority="1285" operator="equal">
      <formula>"No"</formula>
    </cfRule>
    <cfRule type="cellIs" dxfId="1204" priority="1286" operator="equal">
      <formula>"NA"</formula>
    </cfRule>
    <cfRule type="cellIs" dxfId="1203" priority="1287" operator="equal">
      <formula>"Yes"</formula>
    </cfRule>
  </conditionalFormatting>
  <conditionalFormatting sqref="G17">
    <cfRule type="cellIs" dxfId="1202" priority="1276" operator="equal">
      <formula>"No"</formula>
    </cfRule>
    <cfRule type="cellIs" dxfId="1201" priority="1277" operator="equal">
      <formula>"NA"</formula>
    </cfRule>
    <cfRule type="cellIs" dxfId="1200" priority="1278" operator="equal">
      <formula>"Yes"</formula>
    </cfRule>
  </conditionalFormatting>
  <conditionalFormatting sqref="E12">
    <cfRule type="cellIs" dxfId="1199" priority="1234" operator="equal">
      <formula>"No"</formula>
    </cfRule>
    <cfRule type="cellIs" dxfId="1198" priority="1235" operator="equal">
      <formula>"NA"</formula>
    </cfRule>
    <cfRule type="cellIs" dxfId="1197" priority="1236" operator="equal">
      <formula>"Yes"</formula>
    </cfRule>
  </conditionalFormatting>
  <conditionalFormatting sqref="F12">
    <cfRule type="cellIs" dxfId="1196" priority="1231" operator="equal">
      <formula>"No"</formula>
    </cfRule>
    <cfRule type="cellIs" dxfId="1195" priority="1232" operator="equal">
      <formula>"NA"</formula>
    </cfRule>
    <cfRule type="cellIs" dxfId="1194" priority="1233" operator="equal">
      <formula>"Yes"</formula>
    </cfRule>
  </conditionalFormatting>
  <conditionalFormatting sqref="D12">
    <cfRule type="cellIs" dxfId="1193" priority="1228" operator="equal">
      <formula>"No"</formula>
    </cfRule>
    <cfRule type="cellIs" dxfId="1192" priority="1229" operator="equal">
      <formula>"NA"</formula>
    </cfRule>
    <cfRule type="cellIs" dxfId="1191" priority="1230" operator="equal">
      <formula>"Yes"</formula>
    </cfRule>
  </conditionalFormatting>
  <conditionalFormatting sqref="G12">
    <cfRule type="cellIs" dxfId="1190" priority="1225" operator="equal">
      <formula>"No"</formula>
    </cfRule>
    <cfRule type="cellIs" dxfId="1189" priority="1226" operator="equal">
      <formula>"NA"</formula>
    </cfRule>
    <cfRule type="cellIs" dxfId="1188" priority="1227" operator="equal">
      <formula>"Yes"</formula>
    </cfRule>
  </conditionalFormatting>
  <conditionalFormatting sqref="C13">
    <cfRule type="cellIs" dxfId="1187" priority="1222" operator="equal">
      <formula>"No"</formula>
    </cfRule>
    <cfRule type="cellIs" dxfId="1186" priority="1223" operator="equal">
      <formula>"NA"</formula>
    </cfRule>
    <cfRule type="cellIs" dxfId="1185" priority="1224" operator="equal">
      <formula>"Yes"</formula>
    </cfRule>
  </conditionalFormatting>
  <conditionalFormatting sqref="D13">
    <cfRule type="cellIs" dxfId="1184" priority="1219" operator="equal">
      <formula>"No"</formula>
    </cfRule>
    <cfRule type="cellIs" dxfId="1183" priority="1220" operator="equal">
      <formula>"NA"</formula>
    </cfRule>
    <cfRule type="cellIs" dxfId="1182" priority="1221" operator="equal">
      <formula>"Yes"</formula>
    </cfRule>
  </conditionalFormatting>
  <conditionalFormatting sqref="E13">
    <cfRule type="cellIs" dxfId="1181" priority="1216" operator="equal">
      <formula>"No"</formula>
    </cfRule>
    <cfRule type="cellIs" dxfId="1180" priority="1217" operator="equal">
      <formula>"NA"</formula>
    </cfRule>
    <cfRule type="cellIs" dxfId="1179" priority="1218" operator="equal">
      <formula>"Yes"</formula>
    </cfRule>
  </conditionalFormatting>
  <conditionalFormatting sqref="F13">
    <cfRule type="cellIs" dxfId="1178" priority="1213" operator="equal">
      <formula>"No"</formula>
    </cfRule>
    <cfRule type="cellIs" dxfId="1177" priority="1214" operator="equal">
      <formula>"NA"</formula>
    </cfRule>
    <cfRule type="cellIs" dxfId="1176" priority="1215" operator="equal">
      <formula>"Yes"</formula>
    </cfRule>
  </conditionalFormatting>
  <conditionalFormatting sqref="G13">
    <cfRule type="cellIs" dxfId="1175" priority="1210" operator="equal">
      <formula>"No"</formula>
    </cfRule>
    <cfRule type="cellIs" dxfId="1174" priority="1211" operator="equal">
      <formula>"NA"</formula>
    </cfRule>
    <cfRule type="cellIs" dxfId="1173" priority="1212" operator="equal">
      <formula>"Yes"</formula>
    </cfRule>
  </conditionalFormatting>
  <conditionalFormatting sqref="C14">
    <cfRule type="cellIs" dxfId="1172" priority="1207" operator="equal">
      <formula>"No"</formula>
    </cfRule>
    <cfRule type="cellIs" dxfId="1171" priority="1208" operator="equal">
      <formula>"NA"</formula>
    </cfRule>
    <cfRule type="cellIs" dxfId="1170" priority="1209" operator="equal">
      <formula>"Yes"</formula>
    </cfRule>
  </conditionalFormatting>
  <conditionalFormatting sqref="D14">
    <cfRule type="cellIs" dxfId="1169" priority="1204" operator="equal">
      <formula>"No"</formula>
    </cfRule>
    <cfRule type="cellIs" dxfId="1168" priority="1205" operator="equal">
      <formula>"NA"</formula>
    </cfRule>
    <cfRule type="cellIs" dxfId="1167" priority="1206" operator="equal">
      <formula>"Yes"</formula>
    </cfRule>
  </conditionalFormatting>
  <conditionalFormatting sqref="E14">
    <cfRule type="cellIs" dxfId="1166" priority="1201" operator="equal">
      <formula>"No"</formula>
    </cfRule>
    <cfRule type="cellIs" dxfId="1165" priority="1202" operator="equal">
      <formula>"NA"</formula>
    </cfRule>
    <cfRule type="cellIs" dxfId="1164" priority="1203" operator="equal">
      <formula>"Yes"</formula>
    </cfRule>
  </conditionalFormatting>
  <conditionalFormatting sqref="F14">
    <cfRule type="cellIs" dxfId="1163" priority="1198" operator="equal">
      <formula>"No"</formula>
    </cfRule>
    <cfRule type="cellIs" dxfId="1162" priority="1199" operator="equal">
      <formula>"NA"</formula>
    </cfRule>
    <cfRule type="cellIs" dxfId="1161" priority="1200" operator="equal">
      <formula>"Yes"</formula>
    </cfRule>
  </conditionalFormatting>
  <conditionalFormatting sqref="E15">
    <cfRule type="cellIs" dxfId="1160" priority="1195" operator="equal">
      <formula>"No"</formula>
    </cfRule>
    <cfRule type="cellIs" dxfId="1159" priority="1196" operator="equal">
      <formula>"NA"</formula>
    </cfRule>
    <cfRule type="cellIs" dxfId="1158" priority="1197" operator="equal">
      <formula>"Yes"</formula>
    </cfRule>
  </conditionalFormatting>
  <conditionalFormatting sqref="F15">
    <cfRule type="cellIs" dxfId="1157" priority="1192" operator="equal">
      <formula>"No"</formula>
    </cfRule>
    <cfRule type="cellIs" dxfId="1156" priority="1193" operator="equal">
      <formula>"NA"</formula>
    </cfRule>
    <cfRule type="cellIs" dxfId="1155" priority="1194" operator="equal">
      <formula>"Yes"</formula>
    </cfRule>
  </conditionalFormatting>
  <conditionalFormatting sqref="G15">
    <cfRule type="cellIs" dxfId="1154" priority="1189" operator="equal">
      <formula>"No"</formula>
    </cfRule>
    <cfRule type="cellIs" dxfId="1153" priority="1190" operator="equal">
      <formula>"NA"</formula>
    </cfRule>
    <cfRule type="cellIs" dxfId="1152" priority="1191" operator="equal">
      <formula>"Yes"</formula>
    </cfRule>
  </conditionalFormatting>
  <conditionalFormatting sqref="C16">
    <cfRule type="cellIs" dxfId="1151" priority="1186" operator="equal">
      <formula>"No"</formula>
    </cfRule>
    <cfRule type="cellIs" dxfId="1150" priority="1187" operator="equal">
      <formula>"NA"</formula>
    </cfRule>
    <cfRule type="cellIs" dxfId="1149" priority="1188" operator="equal">
      <formula>"Yes"</formula>
    </cfRule>
  </conditionalFormatting>
  <conditionalFormatting sqref="D16">
    <cfRule type="cellIs" dxfId="1148" priority="1183" operator="equal">
      <formula>"No"</formula>
    </cfRule>
    <cfRule type="cellIs" dxfId="1147" priority="1184" operator="equal">
      <formula>"NA"</formula>
    </cfRule>
    <cfRule type="cellIs" dxfId="1146" priority="1185" operator="equal">
      <formula>"Yes"</formula>
    </cfRule>
  </conditionalFormatting>
  <conditionalFormatting sqref="E16">
    <cfRule type="cellIs" dxfId="1145" priority="1180" operator="equal">
      <formula>"No"</formula>
    </cfRule>
    <cfRule type="cellIs" dxfId="1144" priority="1181" operator="equal">
      <formula>"NA"</formula>
    </cfRule>
    <cfRule type="cellIs" dxfId="1143" priority="1182" operator="equal">
      <formula>"Yes"</formula>
    </cfRule>
  </conditionalFormatting>
  <conditionalFormatting sqref="F16">
    <cfRule type="cellIs" dxfId="1142" priority="1177" operator="equal">
      <formula>"No"</formula>
    </cfRule>
    <cfRule type="cellIs" dxfId="1141" priority="1178" operator="equal">
      <formula>"NA"</formula>
    </cfRule>
    <cfRule type="cellIs" dxfId="1140" priority="1179" operator="equal">
      <formula>"Yes"</formula>
    </cfRule>
  </conditionalFormatting>
  <conditionalFormatting sqref="G16">
    <cfRule type="cellIs" dxfId="1139" priority="1174" operator="equal">
      <formula>"No"</formula>
    </cfRule>
    <cfRule type="cellIs" dxfId="1138" priority="1175" operator="equal">
      <formula>"NA"</formula>
    </cfRule>
    <cfRule type="cellIs" dxfId="1137" priority="1176" operator="equal">
      <formula>"Yes"</formula>
    </cfRule>
  </conditionalFormatting>
  <conditionalFormatting sqref="C18">
    <cfRule type="cellIs" dxfId="1136" priority="1171" operator="equal">
      <formula>"No"</formula>
    </cfRule>
    <cfRule type="cellIs" dxfId="1135" priority="1172" operator="equal">
      <formula>"NA"</formula>
    </cfRule>
    <cfRule type="cellIs" dxfId="1134" priority="1173" operator="equal">
      <formula>"Yes"</formula>
    </cfRule>
  </conditionalFormatting>
  <conditionalFormatting sqref="D18">
    <cfRule type="cellIs" dxfId="1133" priority="1168" operator="equal">
      <formula>"No"</formula>
    </cfRule>
    <cfRule type="cellIs" dxfId="1132" priority="1169" operator="equal">
      <formula>"NA"</formula>
    </cfRule>
    <cfRule type="cellIs" dxfId="1131" priority="1170" operator="equal">
      <formula>"Yes"</formula>
    </cfRule>
  </conditionalFormatting>
  <conditionalFormatting sqref="E18">
    <cfRule type="cellIs" dxfId="1130" priority="1165" operator="equal">
      <formula>"No"</formula>
    </cfRule>
    <cfRule type="cellIs" dxfId="1129" priority="1166" operator="equal">
      <formula>"NA"</formula>
    </cfRule>
    <cfRule type="cellIs" dxfId="1128" priority="1167" operator="equal">
      <formula>"Yes"</formula>
    </cfRule>
  </conditionalFormatting>
  <conditionalFormatting sqref="F18">
    <cfRule type="cellIs" dxfId="1127" priority="1162" operator="equal">
      <formula>"No"</formula>
    </cfRule>
    <cfRule type="cellIs" dxfId="1126" priority="1163" operator="equal">
      <formula>"NA"</formula>
    </cfRule>
    <cfRule type="cellIs" dxfId="1125" priority="1164" operator="equal">
      <formula>"Yes"</formula>
    </cfRule>
  </conditionalFormatting>
  <conditionalFormatting sqref="G18">
    <cfRule type="cellIs" dxfId="1124" priority="1159" operator="equal">
      <formula>"No"</formula>
    </cfRule>
    <cfRule type="cellIs" dxfId="1123" priority="1160" operator="equal">
      <formula>"NA"</formula>
    </cfRule>
    <cfRule type="cellIs" dxfId="1122" priority="1161" operator="equal">
      <formula>"Yes"</formula>
    </cfRule>
  </conditionalFormatting>
  <conditionalFormatting sqref="C19">
    <cfRule type="cellIs" dxfId="1121" priority="1156" operator="equal">
      <formula>"No"</formula>
    </cfRule>
    <cfRule type="cellIs" dxfId="1120" priority="1157" operator="equal">
      <formula>"NA"</formula>
    </cfRule>
    <cfRule type="cellIs" dxfId="1119" priority="1158" operator="equal">
      <formula>"Yes"</formula>
    </cfRule>
  </conditionalFormatting>
  <conditionalFormatting sqref="D19">
    <cfRule type="cellIs" dxfId="1118" priority="1153" operator="equal">
      <formula>"No"</formula>
    </cfRule>
    <cfRule type="cellIs" dxfId="1117" priority="1154" operator="equal">
      <formula>"NA"</formula>
    </cfRule>
    <cfRule type="cellIs" dxfId="1116" priority="1155" operator="equal">
      <formula>"Yes"</formula>
    </cfRule>
  </conditionalFormatting>
  <conditionalFormatting sqref="E19">
    <cfRule type="cellIs" dxfId="1115" priority="1150" operator="equal">
      <formula>"No"</formula>
    </cfRule>
    <cfRule type="cellIs" dxfId="1114" priority="1151" operator="equal">
      <formula>"NA"</formula>
    </cfRule>
    <cfRule type="cellIs" dxfId="1113" priority="1152" operator="equal">
      <formula>"Yes"</formula>
    </cfRule>
  </conditionalFormatting>
  <conditionalFormatting sqref="F19">
    <cfRule type="cellIs" dxfId="1112" priority="1147" operator="equal">
      <formula>"No"</formula>
    </cfRule>
    <cfRule type="cellIs" dxfId="1111" priority="1148" operator="equal">
      <formula>"NA"</formula>
    </cfRule>
    <cfRule type="cellIs" dxfId="1110" priority="1149" operator="equal">
      <formula>"Yes"</formula>
    </cfRule>
  </conditionalFormatting>
  <conditionalFormatting sqref="G19">
    <cfRule type="cellIs" dxfId="1109" priority="1144" operator="equal">
      <formula>"No"</formula>
    </cfRule>
    <cfRule type="cellIs" dxfId="1108" priority="1145" operator="equal">
      <formula>"NA"</formula>
    </cfRule>
    <cfRule type="cellIs" dxfId="1107" priority="1146" operator="equal">
      <formula>"Yes"</formula>
    </cfRule>
  </conditionalFormatting>
  <conditionalFormatting sqref="C20">
    <cfRule type="cellIs" dxfId="1106" priority="1141" operator="equal">
      <formula>"No"</formula>
    </cfRule>
    <cfRule type="cellIs" dxfId="1105" priority="1142" operator="equal">
      <formula>"NA"</formula>
    </cfRule>
    <cfRule type="cellIs" dxfId="1104" priority="1143" operator="equal">
      <formula>"Yes"</formula>
    </cfRule>
  </conditionalFormatting>
  <conditionalFormatting sqref="D20">
    <cfRule type="cellIs" dxfId="1103" priority="1138" operator="equal">
      <formula>"No"</formula>
    </cfRule>
    <cfRule type="cellIs" dxfId="1102" priority="1139" operator="equal">
      <formula>"NA"</formula>
    </cfRule>
    <cfRule type="cellIs" dxfId="1101" priority="1140" operator="equal">
      <formula>"Yes"</formula>
    </cfRule>
  </conditionalFormatting>
  <conditionalFormatting sqref="E20">
    <cfRule type="cellIs" dxfId="1100" priority="1135" operator="equal">
      <formula>"No"</formula>
    </cfRule>
    <cfRule type="cellIs" dxfId="1099" priority="1136" operator="equal">
      <formula>"NA"</formula>
    </cfRule>
    <cfRule type="cellIs" dxfId="1098" priority="1137" operator="equal">
      <formula>"Yes"</formula>
    </cfRule>
  </conditionalFormatting>
  <conditionalFormatting sqref="F20">
    <cfRule type="cellIs" dxfId="1097" priority="1132" operator="equal">
      <formula>"No"</formula>
    </cfRule>
    <cfRule type="cellIs" dxfId="1096" priority="1133" operator="equal">
      <formula>"NA"</formula>
    </cfRule>
    <cfRule type="cellIs" dxfId="1095" priority="1134" operator="equal">
      <formula>"Yes"</formula>
    </cfRule>
  </conditionalFormatting>
  <conditionalFormatting sqref="G20">
    <cfRule type="cellIs" dxfId="1094" priority="1129" operator="equal">
      <formula>"No"</formula>
    </cfRule>
    <cfRule type="cellIs" dxfId="1093" priority="1130" operator="equal">
      <formula>"NA"</formula>
    </cfRule>
    <cfRule type="cellIs" dxfId="1092" priority="1131" operator="equal">
      <formula>"Yes"</formula>
    </cfRule>
  </conditionalFormatting>
  <conditionalFormatting sqref="C21">
    <cfRule type="cellIs" dxfId="1091" priority="1126" operator="equal">
      <formula>"No"</formula>
    </cfRule>
    <cfRule type="cellIs" dxfId="1090" priority="1127" operator="equal">
      <formula>"NA"</formula>
    </cfRule>
    <cfRule type="cellIs" dxfId="1089" priority="1128" operator="equal">
      <formula>"Yes"</formula>
    </cfRule>
  </conditionalFormatting>
  <conditionalFormatting sqref="D21">
    <cfRule type="cellIs" dxfId="1088" priority="1123" operator="equal">
      <formula>"No"</formula>
    </cfRule>
    <cfRule type="cellIs" dxfId="1087" priority="1124" operator="equal">
      <formula>"NA"</formula>
    </cfRule>
    <cfRule type="cellIs" dxfId="1086" priority="1125" operator="equal">
      <formula>"Yes"</formula>
    </cfRule>
  </conditionalFormatting>
  <conditionalFormatting sqref="E21">
    <cfRule type="cellIs" dxfId="1085" priority="1120" operator="equal">
      <formula>"No"</formula>
    </cfRule>
    <cfRule type="cellIs" dxfId="1084" priority="1121" operator="equal">
      <formula>"NA"</formula>
    </cfRule>
    <cfRule type="cellIs" dxfId="1083" priority="1122" operator="equal">
      <formula>"Yes"</formula>
    </cfRule>
  </conditionalFormatting>
  <conditionalFormatting sqref="F21">
    <cfRule type="cellIs" dxfId="1082" priority="1117" operator="equal">
      <formula>"No"</formula>
    </cfRule>
    <cfRule type="cellIs" dxfId="1081" priority="1118" operator="equal">
      <formula>"NA"</formula>
    </cfRule>
    <cfRule type="cellIs" dxfId="1080" priority="1119" operator="equal">
      <formula>"Yes"</formula>
    </cfRule>
  </conditionalFormatting>
  <conditionalFormatting sqref="G21">
    <cfRule type="cellIs" dxfId="1079" priority="1114" operator="equal">
      <formula>"No"</formula>
    </cfRule>
    <cfRule type="cellIs" dxfId="1078" priority="1115" operator="equal">
      <formula>"NA"</formula>
    </cfRule>
    <cfRule type="cellIs" dxfId="1077" priority="1116" operator="equal">
      <formula>"Yes"</formula>
    </cfRule>
  </conditionalFormatting>
  <conditionalFormatting sqref="C22">
    <cfRule type="cellIs" dxfId="1076" priority="1111" operator="equal">
      <formula>"No"</formula>
    </cfRule>
    <cfRule type="cellIs" dxfId="1075" priority="1112" operator="equal">
      <formula>"NA"</formula>
    </cfRule>
    <cfRule type="cellIs" dxfId="1074" priority="1113" operator="equal">
      <formula>"Yes"</formula>
    </cfRule>
  </conditionalFormatting>
  <conditionalFormatting sqref="D22">
    <cfRule type="cellIs" dxfId="1073" priority="1108" operator="equal">
      <formula>"No"</formula>
    </cfRule>
    <cfRule type="cellIs" dxfId="1072" priority="1109" operator="equal">
      <formula>"NA"</formula>
    </cfRule>
    <cfRule type="cellIs" dxfId="1071" priority="1110" operator="equal">
      <formula>"Yes"</formula>
    </cfRule>
  </conditionalFormatting>
  <conditionalFormatting sqref="E22">
    <cfRule type="cellIs" dxfId="1070" priority="1105" operator="equal">
      <formula>"No"</formula>
    </cfRule>
    <cfRule type="cellIs" dxfId="1069" priority="1106" operator="equal">
      <formula>"NA"</formula>
    </cfRule>
    <cfRule type="cellIs" dxfId="1068" priority="1107" operator="equal">
      <formula>"Yes"</formula>
    </cfRule>
  </conditionalFormatting>
  <conditionalFormatting sqref="F22">
    <cfRule type="cellIs" dxfId="1067" priority="1102" operator="equal">
      <formula>"No"</formula>
    </cfRule>
    <cfRule type="cellIs" dxfId="1066" priority="1103" operator="equal">
      <formula>"NA"</formula>
    </cfRule>
    <cfRule type="cellIs" dxfId="1065" priority="1104" operator="equal">
      <formula>"Yes"</formula>
    </cfRule>
  </conditionalFormatting>
  <conditionalFormatting sqref="G22">
    <cfRule type="cellIs" dxfId="1064" priority="1099" operator="equal">
      <formula>"No"</formula>
    </cfRule>
    <cfRule type="cellIs" dxfId="1063" priority="1100" operator="equal">
      <formula>"NA"</formula>
    </cfRule>
    <cfRule type="cellIs" dxfId="1062" priority="1101" operator="equal">
      <formula>"Yes"</formula>
    </cfRule>
  </conditionalFormatting>
  <conditionalFormatting sqref="C23:G23">
    <cfRule type="cellIs" dxfId="1061" priority="1096" operator="equal">
      <formula>"No"</formula>
    </cfRule>
    <cfRule type="cellIs" dxfId="1060" priority="1097" operator="equal">
      <formula>"NA"</formula>
    </cfRule>
    <cfRule type="cellIs" dxfId="1059" priority="1098" operator="equal">
      <formula>"Yes"</formula>
    </cfRule>
  </conditionalFormatting>
  <conditionalFormatting sqref="D25:G25">
    <cfRule type="cellIs" dxfId="1058" priority="1093" operator="equal">
      <formula>"No"</formula>
    </cfRule>
    <cfRule type="cellIs" dxfId="1057" priority="1094" operator="equal">
      <formula>"NA"</formula>
    </cfRule>
    <cfRule type="cellIs" dxfId="1056" priority="1095" operator="equal">
      <formula>"Yes"</formula>
    </cfRule>
  </conditionalFormatting>
  <conditionalFormatting sqref="D26:G26">
    <cfRule type="cellIs" dxfId="1055" priority="1090" operator="equal">
      <formula>"No"</formula>
    </cfRule>
    <cfRule type="cellIs" dxfId="1054" priority="1091" operator="equal">
      <formula>"NA"</formula>
    </cfRule>
    <cfRule type="cellIs" dxfId="1053" priority="1092" operator="equal">
      <formula>"Yes"</formula>
    </cfRule>
  </conditionalFormatting>
  <conditionalFormatting sqref="C27:G27">
    <cfRule type="cellIs" dxfId="1052" priority="1087" operator="equal">
      <formula>"No"</formula>
    </cfRule>
    <cfRule type="cellIs" dxfId="1051" priority="1088" operator="equal">
      <formula>"NA"</formula>
    </cfRule>
    <cfRule type="cellIs" dxfId="1050" priority="1089" operator="equal">
      <formula>"Yes"</formula>
    </cfRule>
  </conditionalFormatting>
  <conditionalFormatting sqref="C28:G28">
    <cfRule type="cellIs" dxfId="1049" priority="1084" operator="equal">
      <formula>"No"</formula>
    </cfRule>
    <cfRule type="cellIs" dxfId="1048" priority="1085" operator="equal">
      <formula>"NA"</formula>
    </cfRule>
    <cfRule type="cellIs" dxfId="1047" priority="1086" operator="equal">
      <formula>"Yes"</formula>
    </cfRule>
  </conditionalFormatting>
  <conditionalFormatting sqref="C30:G30">
    <cfRule type="cellIs" dxfId="1046" priority="1081" operator="equal">
      <formula>"No"</formula>
    </cfRule>
    <cfRule type="cellIs" dxfId="1045" priority="1082" operator="equal">
      <formula>"NA"</formula>
    </cfRule>
    <cfRule type="cellIs" dxfId="1044" priority="1083" operator="equal">
      <formula>"Yes"</formula>
    </cfRule>
  </conditionalFormatting>
  <conditionalFormatting sqref="C31:G31">
    <cfRule type="cellIs" dxfId="1043" priority="1078" operator="equal">
      <formula>"No"</formula>
    </cfRule>
    <cfRule type="cellIs" dxfId="1042" priority="1079" operator="equal">
      <formula>"NA"</formula>
    </cfRule>
    <cfRule type="cellIs" dxfId="1041" priority="1080" operator="equal">
      <formula>"Yes"</formula>
    </cfRule>
  </conditionalFormatting>
  <conditionalFormatting sqref="D33:G33">
    <cfRule type="cellIs" dxfId="1040" priority="1075" operator="equal">
      <formula>"No"</formula>
    </cfRule>
    <cfRule type="cellIs" dxfId="1039" priority="1076" operator="equal">
      <formula>"NA"</formula>
    </cfRule>
    <cfRule type="cellIs" dxfId="1038" priority="1077" operator="equal">
      <formula>"Yes"</formula>
    </cfRule>
  </conditionalFormatting>
  <conditionalFormatting sqref="C6:G6">
    <cfRule type="cellIs" dxfId="1037" priority="1072" operator="equal">
      <formula>"No"</formula>
    </cfRule>
    <cfRule type="cellIs" dxfId="1036" priority="1073" operator="equal">
      <formula>"NA"</formula>
    </cfRule>
    <cfRule type="cellIs" dxfId="1035" priority="1074" operator="equal">
      <formula>"Yes"</formula>
    </cfRule>
  </conditionalFormatting>
  <conditionalFormatting sqref="C7:G7">
    <cfRule type="cellIs" dxfId="1034" priority="1069" operator="equal">
      <formula>"No"</formula>
    </cfRule>
    <cfRule type="cellIs" dxfId="1033" priority="1070" operator="equal">
      <formula>"NA"</formula>
    </cfRule>
    <cfRule type="cellIs" dxfId="1032" priority="1071" operator="equal">
      <formula>"Yes"</formula>
    </cfRule>
  </conditionalFormatting>
  <conditionalFormatting sqref="C9:G9">
    <cfRule type="cellIs" dxfId="1031" priority="1066" operator="equal">
      <formula>"No"</formula>
    </cfRule>
    <cfRule type="cellIs" dxfId="1030" priority="1067" operator="equal">
      <formula>"NA"</formula>
    </cfRule>
    <cfRule type="cellIs" dxfId="1029" priority="1068" operator="equal">
      <formula>"Yes"</formula>
    </cfRule>
  </conditionalFormatting>
  <conditionalFormatting sqref="H6">
    <cfRule type="cellIs" dxfId="1028" priority="1063" operator="equal">
      <formula>"No"</formula>
    </cfRule>
    <cfRule type="cellIs" dxfId="1027" priority="1064" operator="equal">
      <formula>"NA"</formula>
    </cfRule>
    <cfRule type="cellIs" dxfId="1026" priority="1065" operator="equal">
      <formula>"Yes"</formula>
    </cfRule>
  </conditionalFormatting>
  <conditionalFormatting sqref="H7">
    <cfRule type="cellIs" dxfId="1025" priority="1060" operator="equal">
      <formula>"No"</formula>
    </cfRule>
    <cfRule type="cellIs" dxfId="1024" priority="1061" operator="equal">
      <formula>"NA"</formula>
    </cfRule>
    <cfRule type="cellIs" dxfId="1023" priority="1062" operator="equal">
      <formula>"Yes"</formula>
    </cfRule>
  </conditionalFormatting>
  <conditionalFormatting sqref="H9">
    <cfRule type="cellIs" dxfId="1022" priority="1057" operator="equal">
      <formula>"No"</formula>
    </cfRule>
    <cfRule type="cellIs" dxfId="1021" priority="1058" operator="equal">
      <formula>"NA"</formula>
    </cfRule>
    <cfRule type="cellIs" dxfId="1020" priority="1059" operator="equal">
      <formula>"Yes"</formula>
    </cfRule>
  </conditionalFormatting>
  <conditionalFormatting sqref="H12">
    <cfRule type="cellIs" dxfId="1019" priority="1051" operator="equal">
      <formula>"No"</formula>
    </cfRule>
    <cfRule type="cellIs" dxfId="1018" priority="1052" operator="equal">
      <formula>"NA"</formula>
    </cfRule>
    <cfRule type="cellIs" dxfId="1017" priority="1053" operator="equal">
      <formula>"Yes"</formula>
    </cfRule>
  </conditionalFormatting>
  <conditionalFormatting sqref="H13">
    <cfRule type="cellIs" dxfId="1016" priority="1048" operator="equal">
      <formula>"No"</formula>
    </cfRule>
    <cfRule type="cellIs" dxfId="1015" priority="1049" operator="equal">
      <formula>"NA"</formula>
    </cfRule>
    <cfRule type="cellIs" dxfId="1014" priority="1050" operator="equal">
      <formula>"Yes"</formula>
    </cfRule>
  </conditionalFormatting>
  <conditionalFormatting sqref="H14">
    <cfRule type="cellIs" dxfId="1013" priority="1045" operator="equal">
      <formula>"No"</formula>
    </cfRule>
    <cfRule type="cellIs" dxfId="1012" priority="1046" operator="equal">
      <formula>"NA"</formula>
    </cfRule>
    <cfRule type="cellIs" dxfId="1011" priority="1047" operator="equal">
      <formula>"Yes"</formula>
    </cfRule>
  </conditionalFormatting>
  <conditionalFormatting sqref="H15">
    <cfRule type="cellIs" dxfId="1010" priority="1042" operator="equal">
      <formula>"No"</formula>
    </cfRule>
    <cfRule type="cellIs" dxfId="1009" priority="1043" operator="equal">
      <formula>"NA"</formula>
    </cfRule>
    <cfRule type="cellIs" dxfId="1008" priority="1044" operator="equal">
      <formula>"Yes"</formula>
    </cfRule>
  </conditionalFormatting>
  <conditionalFormatting sqref="H16">
    <cfRule type="cellIs" dxfId="1007" priority="1039" operator="equal">
      <formula>"No"</formula>
    </cfRule>
    <cfRule type="cellIs" dxfId="1006" priority="1040" operator="equal">
      <formula>"NA"</formula>
    </cfRule>
    <cfRule type="cellIs" dxfId="1005" priority="1041" operator="equal">
      <formula>"Yes"</formula>
    </cfRule>
  </conditionalFormatting>
  <conditionalFormatting sqref="H17">
    <cfRule type="cellIs" dxfId="1004" priority="1036" operator="equal">
      <formula>"No"</formula>
    </cfRule>
    <cfRule type="cellIs" dxfId="1003" priority="1037" operator="equal">
      <formula>"NA"</formula>
    </cfRule>
    <cfRule type="cellIs" dxfId="1002" priority="1038" operator="equal">
      <formula>"Yes"</formula>
    </cfRule>
  </conditionalFormatting>
  <conditionalFormatting sqref="H18">
    <cfRule type="cellIs" dxfId="1001" priority="1033" operator="equal">
      <formula>"No"</formula>
    </cfRule>
    <cfRule type="cellIs" dxfId="1000" priority="1034" operator="equal">
      <formula>"NA"</formula>
    </cfRule>
    <cfRule type="cellIs" dxfId="999" priority="1035" operator="equal">
      <formula>"Yes"</formula>
    </cfRule>
  </conditionalFormatting>
  <conditionalFormatting sqref="H19">
    <cfRule type="cellIs" dxfId="998" priority="1030" operator="equal">
      <formula>"No"</formula>
    </cfRule>
    <cfRule type="cellIs" dxfId="997" priority="1031" operator="equal">
      <formula>"NA"</formula>
    </cfRule>
    <cfRule type="cellIs" dxfId="996" priority="1032" operator="equal">
      <formula>"Yes"</formula>
    </cfRule>
  </conditionalFormatting>
  <conditionalFormatting sqref="H21">
    <cfRule type="cellIs" dxfId="995" priority="1027" operator="equal">
      <formula>"No"</formula>
    </cfRule>
    <cfRule type="cellIs" dxfId="994" priority="1028" operator="equal">
      <formula>"NA"</formula>
    </cfRule>
    <cfRule type="cellIs" dxfId="993" priority="1029" operator="equal">
      <formula>"Yes"</formula>
    </cfRule>
  </conditionalFormatting>
  <conditionalFormatting sqref="H22">
    <cfRule type="cellIs" dxfId="992" priority="1024" operator="equal">
      <formula>"No"</formula>
    </cfRule>
    <cfRule type="cellIs" dxfId="991" priority="1025" operator="equal">
      <formula>"NA"</formula>
    </cfRule>
    <cfRule type="cellIs" dxfId="990" priority="1026" operator="equal">
      <formula>"Yes"</formula>
    </cfRule>
  </conditionalFormatting>
  <conditionalFormatting sqref="H23">
    <cfRule type="cellIs" dxfId="989" priority="1021" operator="equal">
      <formula>"No"</formula>
    </cfRule>
    <cfRule type="cellIs" dxfId="988" priority="1022" operator="equal">
      <formula>"NA"</formula>
    </cfRule>
    <cfRule type="cellIs" dxfId="987" priority="1023" operator="equal">
      <formula>"Yes"</formula>
    </cfRule>
  </conditionalFormatting>
  <conditionalFormatting sqref="H25">
    <cfRule type="cellIs" dxfId="986" priority="1018" operator="equal">
      <formula>"No"</formula>
    </cfRule>
    <cfRule type="cellIs" dxfId="985" priority="1019" operator="equal">
      <formula>"NA"</formula>
    </cfRule>
    <cfRule type="cellIs" dxfId="984" priority="1020" operator="equal">
      <formula>"Yes"</formula>
    </cfRule>
  </conditionalFormatting>
  <conditionalFormatting sqref="H26">
    <cfRule type="cellIs" dxfId="983" priority="1015" operator="equal">
      <formula>"No"</formula>
    </cfRule>
    <cfRule type="cellIs" dxfId="982" priority="1016" operator="equal">
      <formula>"NA"</formula>
    </cfRule>
    <cfRule type="cellIs" dxfId="981" priority="1017" operator="equal">
      <formula>"Yes"</formula>
    </cfRule>
  </conditionalFormatting>
  <conditionalFormatting sqref="H27">
    <cfRule type="cellIs" dxfId="980" priority="1012" operator="equal">
      <formula>"No"</formula>
    </cfRule>
    <cfRule type="cellIs" dxfId="979" priority="1013" operator="equal">
      <formula>"NA"</formula>
    </cfRule>
    <cfRule type="cellIs" dxfId="978" priority="1014" operator="equal">
      <formula>"Yes"</formula>
    </cfRule>
  </conditionalFormatting>
  <conditionalFormatting sqref="H28">
    <cfRule type="cellIs" dxfId="977" priority="1009" operator="equal">
      <formula>"No"</formula>
    </cfRule>
    <cfRule type="cellIs" dxfId="976" priority="1010" operator="equal">
      <formula>"NA"</formula>
    </cfRule>
    <cfRule type="cellIs" dxfId="975" priority="1011" operator="equal">
      <formula>"Yes"</formula>
    </cfRule>
  </conditionalFormatting>
  <conditionalFormatting sqref="H30">
    <cfRule type="cellIs" dxfId="974" priority="1006" operator="equal">
      <formula>"No"</formula>
    </cfRule>
    <cfRule type="cellIs" dxfId="973" priority="1007" operator="equal">
      <formula>"NA"</formula>
    </cfRule>
    <cfRule type="cellIs" dxfId="972" priority="1008" operator="equal">
      <formula>"Yes"</formula>
    </cfRule>
  </conditionalFormatting>
  <conditionalFormatting sqref="H31">
    <cfRule type="cellIs" dxfId="971" priority="1003" operator="equal">
      <formula>"No"</formula>
    </cfRule>
    <cfRule type="cellIs" dxfId="970" priority="1004" operator="equal">
      <formula>"NA"</formula>
    </cfRule>
    <cfRule type="cellIs" dxfId="969" priority="1005" operator="equal">
      <formula>"Yes"</formula>
    </cfRule>
  </conditionalFormatting>
  <conditionalFormatting sqref="K10">
    <cfRule type="cellIs" dxfId="968" priority="1000" operator="equal">
      <formula>"No"</formula>
    </cfRule>
    <cfRule type="cellIs" dxfId="967" priority="1001" operator="equal">
      <formula>"NA"</formula>
    </cfRule>
    <cfRule type="cellIs" dxfId="966" priority="1002" operator="equal">
      <formula>"Yes"</formula>
    </cfRule>
  </conditionalFormatting>
  <conditionalFormatting sqref="K11">
    <cfRule type="cellIs" dxfId="965" priority="997" operator="equal">
      <formula>"No"</formula>
    </cfRule>
    <cfRule type="cellIs" dxfId="964" priority="998" operator="equal">
      <formula>"NA"</formula>
    </cfRule>
    <cfRule type="cellIs" dxfId="963" priority="999" operator="equal">
      <formula>"Yes"</formula>
    </cfRule>
  </conditionalFormatting>
  <conditionalFormatting sqref="K20">
    <cfRule type="cellIs" dxfId="962" priority="994" operator="equal">
      <formula>"No"</formula>
    </cfRule>
    <cfRule type="cellIs" dxfId="961" priority="995" operator="equal">
      <formula>"NA"</formula>
    </cfRule>
    <cfRule type="cellIs" dxfId="960" priority="996" operator="equal">
      <formula>"Yes"</formula>
    </cfRule>
  </conditionalFormatting>
  <conditionalFormatting sqref="K33">
    <cfRule type="cellIs" dxfId="959" priority="991" operator="equal">
      <formula>"No"</formula>
    </cfRule>
    <cfRule type="cellIs" dxfId="958" priority="992" operator="equal">
      <formula>"NA"</formula>
    </cfRule>
    <cfRule type="cellIs" dxfId="957" priority="993" operator="equal">
      <formula>"Yes"</formula>
    </cfRule>
  </conditionalFormatting>
  <conditionalFormatting sqref="K9">
    <cfRule type="cellIs" dxfId="956" priority="982" operator="equal">
      <formula>"No"</formula>
    </cfRule>
    <cfRule type="cellIs" dxfId="955" priority="983" operator="equal">
      <formula>"NA"</formula>
    </cfRule>
    <cfRule type="cellIs" dxfId="954" priority="984" operator="equal">
      <formula>"Yes"</formula>
    </cfRule>
  </conditionalFormatting>
  <conditionalFormatting sqref="K12">
    <cfRule type="cellIs" dxfId="953" priority="979" operator="equal">
      <formula>"No"</formula>
    </cfRule>
    <cfRule type="cellIs" dxfId="952" priority="980" operator="equal">
      <formula>"NA"</formula>
    </cfRule>
    <cfRule type="cellIs" dxfId="951" priority="981" operator="equal">
      <formula>"Yes"</formula>
    </cfRule>
  </conditionalFormatting>
  <conditionalFormatting sqref="K13">
    <cfRule type="cellIs" dxfId="950" priority="976" operator="equal">
      <formula>"No"</formula>
    </cfRule>
    <cfRule type="cellIs" dxfId="949" priority="977" operator="equal">
      <formula>"NA"</formula>
    </cfRule>
    <cfRule type="cellIs" dxfId="948" priority="978" operator="equal">
      <formula>"Yes"</formula>
    </cfRule>
  </conditionalFormatting>
  <conditionalFormatting sqref="K14">
    <cfRule type="cellIs" dxfId="947" priority="973" operator="equal">
      <formula>"No"</formula>
    </cfRule>
    <cfRule type="cellIs" dxfId="946" priority="974" operator="equal">
      <formula>"NA"</formula>
    </cfRule>
    <cfRule type="cellIs" dxfId="945" priority="975" operator="equal">
      <formula>"Yes"</formula>
    </cfRule>
  </conditionalFormatting>
  <conditionalFormatting sqref="K16">
    <cfRule type="cellIs" dxfId="944" priority="967" operator="equal">
      <formula>"No"</formula>
    </cfRule>
    <cfRule type="cellIs" dxfId="943" priority="968" operator="equal">
      <formula>"NA"</formula>
    </cfRule>
    <cfRule type="cellIs" dxfId="942" priority="969" operator="equal">
      <formula>"Yes"</formula>
    </cfRule>
  </conditionalFormatting>
  <conditionalFormatting sqref="K18">
    <cfRule type="cellIs" dxfId="941" priority="961" operator="equal">
      <formula>"No"</formula>
    </cfRule>
    <cfRule type="cellIs" dxfId="940" priority="962" operator="equal">
      <formula>"NA"</formula>
    </cfRule>
    <cfRule type="cellIs" dxfId="939" priority="963" operator="equal">
      <formula>"Yes"</formula>
    </cfRule>
  </conditionalFormatting>
  <conditionalFormatting sqref="K19">
    <cfRule type="cellIs" dxfId="938" priority="958" operator="equal">
      <formula>"No"</formula>
    </cfRule>
    <cfRule type="cellIs" dxfId="937" priority="959" operator="equal">
      <formula>"NA"</formula>
    </cfRule>
    <cfRule type="cellIs" dxfId="936" priority="960" operator="equal">
      <formula>"Yes"</formula>
    </cfRule>
  </conditionalFormatting>
  <conditionalFormatting sqref="K21">
    <cfRule type="cellIs" dxfId="935" priority="955" operator="equal">
      <formula>"No"</formula>
    </cfRule>
    <cfRule type="cellIs" dxfId="934" priority="956" operator="equal">
      <formula>"NA"</formula>
    </cfRule>
    <cfRule type="cellIs" dxfId="933" priority="957" operator="equal">
      <formula>"Yes"</formula>
    </cfRule>
  </conditionalFormatting>
  <conditionalFormatting sqref="K22">
    <cfRule type="cellIs" dxfId="932" priority="952" operator="equal">
      <formula>"No"</formula>
    </cfRule>
    <cfRule type="cellIs" dxfId="931" priority="953" operator="equal">
      <formula>"NA"</formula>
    </cfRule>
    <cfRule type="cellIs" dxfId="930" priority="954" operator="equal">
      <formula>"Yes"</formula>
    </cfRule>
  </conditionalFormatting>
  <conditionalFormatting sqref="K23">
    <cfRule type="cellIs" dxfId="929" priority="949" operator="equal">
      <formula>"No"</formula>
    </cfRule>
    <cfRule type="cellIs" dxfId="928" priority="950" operator="equal">
      <formula>"NA"</formula>
    </cfRule>
    <cfRule type="cellIs" dxfId="927" priority="951" operator="equal">
      <formula>"Yes"</formula>
    </cfRule>
  </conditionalFormatting>
  <conditionalFormatting sqref="K25">
    <cfRule type="cellIs" dxfId="926" priority="946" operator="equal">
      <formula>"No"</formula>
    </cfRule>
    <cfRule type="cellIs" dxfId="925" priority="947" operator="equal">
      <formula>"NA"</formula>
    </cfRule>
    <cfRule type="cellIs" dxfId="924" priority="948" operator="equal">
      <formula>"Yes"</formula>
    </cfRule>
  </conditionalFormatting>
  <conditionalFormatting sqref="K26">
    <cfRule type="cellIs" dxfId="923" priority="943" operator="equal">
      <formula>"No"</formula>
    </cfRule>
    <cfRule type="cellIs" dxfId="922" priority="944" operator="equal">
      <formula>"NA"</formula>
    </cfRule>
    <cfRule type="cellIs" dxfId="921" priority="945" operator="equal">
      <formula>"Yes"</formula>
    </cfRule>
  </conditionalFormatting>
  <conditionalFormatting sqref="K27">
    <cfRule type="cellIs" dxfId="920" priority="940" operator="equal">
      <formula>"No"</formula>
    </cfRule>
    <cfRule type="cellIs" dxfId="919" priority="941" operator="equal">
      <formula>"NA"</formula>
    </cfRule>
    <cfRule type="cellIs" dxfId="918" priority="942" operator="equal">
      <formula>"Yes"</formula>
    </cfRule>
  </conditionalFormatting>
  <conditionalFormatting sqref="K28">
    <cfRule type="cellIs" dxfId="917" priority="937" operator="equal">
      <formula>"No"</formula>
    </cfRule>
    <cfRule type="cellIs" dxfId="916" priority="938" operator="equal">
      <formula>"NA"</formula>
    </cfRule>
    <cfRule type="cellIs" dxfId="915" priority="939" operator="equal">
      <formula>"Yes"</formula>
    </cfRule>
  </conditionalFormatting>
  <conditionalFormatting sqref="K30">
    <cfRule type="cellIs" dxfId="914" priority="934" operator="equal">
      <formula>"No"</formula>
    </cfRule>
    <cfRule type="cellIs" dxfId="913" priority="935" operator="equal">
      <formula>"NA"</formula>
    </cfRule>
    <cfRule type="cellIs" dxfId="912" priority="936" operator="equal">
      <formula>"Yes"</formula>
    </cfRule>
  </conditionalFormatting>
  <conditionalFormatting sqref="K31">
    <cfRule type="cellIs" dxfId="911" priority="931" operator="equal">
      <formula>"No"</formula>
    </cfRule>
    <cfRule type="cellIs" dxfId="910" priority="932" operator="equal">
      <formula>"NA"</formula>
    </cfRule>
    <cfRule type="cellIs" dxfId="909" priority="933" operator="equal">
      <formula>"Yes"</formula>
    </cfRule>
  </conditionalFormatting>
  <conditionalFormatting sqref="J10">
    <cfRule type="cellIs" dxfId="908" priority="928" operator="equal">
      <formula>"No"</formula>
    </cfRule>
    <cfRule type="cellIs" dxfId="907" priority="929" operator="equal">
      <formula>"NA"</formula>
    </cfRule>
    <cfRule type="cellIs" dxfId="906" priority="930" operator="equal">
      <formula>"Yes"</formula>
    </cfRule>
  </conditionalFormatting>
  <conditionalFormatting sqref="J11">
    <cfRule type="cellIs" dxfId="905" priority="925" operator="equal">
      <formula>"No"</formula>
    </cfRule>
    <cfRule type="cellIs" dxfId="904" priority="926" operator="equal">
      <formula>"NA"</formula>
    </cfRule>
    <cfRule type="cellIs" dxfId="903" priority="927" operator="equal">
      <formula>"Yes"</formula>
    </cfRule>
  </conditionalFormatting>
  <conditionalFormatting sqref="J20">
    <cfRule type="cellIs" dxfId="902" priority="922" operator="equal">
      <formula>"No"</formula>
    </cfRule>
    <cfRule type="cellIs" dxfId="901" priority="923" operator="equal">
      <formula>"NA"</formula>
    </cfRule>
    <cfRule type="cellIs" dxfId="900" priority="924" operator="equal">
      <formula>"Yes"</formula>
    </cfRule>
  </conditionalFormatting>
  <conditionalFormatting sqref="J33">
    <cfRule type="cellIs" dxfId="899" priority="919" operator="equal">
      <formula>"No"</formula>
    </cfRule>
    <cfRule type="cellIs" dxfId="898" priority="920" operator="equal">
      <formula>"NA"</formula>
    </cfRule>
    <cfRule type="cellIs" dxfId="897" priority="921" operator="equal">
      <formula>"Yes"</formula>
    </cfRule>
  </conditionalFormatting>
  <conditionalFormatting sqref="J9">
    <cfRule type="cellIs" dxfId="896" priority="910" operator="equal">
      <formula>"No"</formula>
    </cfRule>
    <cfRule type="cellIs" dxfId="895" priority="911" operator="equal">
      <formula>"NA"</formula>
    </cfRule>
    <cfRule type="cellIs" dxfId="894" priority="912" operator="equal">
      <formula>"Yes"</formula>
    </cfRule>
  </conditionalFormatting>
  <conditionalFormatting sqref="J12">
    <cfRule type="cellIs" dxfId="893" priority="907" operator="equal">
      <formula>"No"</formula>
    </cfRule>
    <cfRule type="cellIs" dxfId="892" priority="908" operator="equal">
      <formula>"NA"</formula>
    </cfRule>
    <cfRule type="cellIs" dxfId="891" priority="909" operator="equal">
      <formula>"Yes"</formula>
    </cfRule>
  </conditionalFormatting>
  <conditionalFormatting sqref="J13">
    <cfRule type="cellIs" dxfId="890" priority="904" operator="equal">
      <formula>"No"</formula>
    </cfRule>
    <cfRule type="cellIs" dxfId="889" priority="905" operator="equal">
      <formula>"NA"</formula>
    </cfRule>
    <cfRule type="cellIs" dxfId="888" priority="906" operator="equal">
      <formula>"Yes"</formula>
    </cfRule>
  </conditionalFormatting>
  <conditionalFormatting sqref="J14">
    <cfRule type="cellIs" dxfId="887" priority="901" operator="equal">
      <formula>"No"</formula>
    </cfRule>
    <cfRule type="cellIs" dxfId="886" priority="902" operator="equal">
      <formula>"NA"</formula>
    </cfRule>
    <cfRule type="cellIs" dxfId="885" priority="903" operator="equal">
      <formula>"Yes"</formula>
    </cfRule>
  </conditionalFormatting>
  <conditionalFormatting sqref="J15">
    <cfRule type="cellIs" dxfId="884" priority="898" operator="equal">
      <formula>"No"</formula>
    </cfRule>
    <cfRule type="cellIs" dxfId="883" priority="899" operator="equal">
      <formula>"NA"</formula>
    </cfRule>
    <cfRule type="cellIs" dxfId="882" priority="900" operator="equal">
      <formula>"Yes"</formula>
    </cfRule>
  </conditionalFormatting>
  <conditionalFormatting sqref="J16">
    <cfRule type="cellIs" dxfId="881" priority="895" operator="equal">
      <formula>"No"</formula>
    </cfRule>
    <cfRule type="cellIs" dxfId="880" priority="896" operator="equal">
      <formula>"NA"</formula>
    </cfRule>
    <cfRule type="cellIs" dxfId="879" priority="897" operator="equal">
      <formula>"Yes"</formula>
    </cfRule>
  </conditionalFormatting>
  <conditionalFormatting sqref="J18">
    <cfRule type="cellIs" dxfId="878" priority="889" operator="equal">
      <formula>"No"</formula>
    </cfRule>
    <cfRule type="cellIs" dxfId="877" priority="890" operator="equal">
      <formula>"NA"</formula>
    </cfRule>
    <cfRule type="cellIs" dxfId="876" priority="891" operator="equal">
      <formula>"Yes"</formula>
    </cfRule>
  </conditionalFormatting>
  <conditionalFormatting sqref="J19">
    <cfRule type="cellIs" dxfId="875" priority="886" operator="equal">
      <formula>"No"</formula>
    </cfRule>
    <cfRule type="cellIs" dxfId="874" priority="887" operator="equal">
      <formula>"NA"</formula>
    </cfRule>
    <cfRule type="cellIs" dxfId="873" priority="888" operator="equal">
      <formula>"Yes"</formula>
    </cfRule>
  </conditionalFormatting>
  <conditionalFormatting sqref="J21">
    <cfRule type="cellIs" dxfId="872" priority="883" operator="equal">
      <formula>"No"</formula>
    </cfRule>
    <cfRule type="cellIs" dxfId="871" priority="884" operator="equal">
      <formula>"NA"</formula>
    </cfRule>
    <cfRule type="cellIs" dxfId="870" priority="885" operator="equal">
      <formula>"Yes"</formula>
    </cfRule>
  </conditionalFormatting>
  <conditionalFormatting sqref="J22">
    <cfRule type="cellIs" dxfId="869" priority="880" operator="equal">
      <formula>"No"</formula>
    </cfRule>
    <cfRule type="cellIs" dxfId="868" priority="881" operator="equal">
      <formula>"NA"</formula>
    </cfRule>
    <cfRule type="cellIs" dxfId="867" priority="882" operator="equal">
      <formula>"Yes"</formula>
    </cfRule>
  </conditionalFormatting>
  <conditionalFormatting sqref="J23">
    <cfRule type="cellIs" dxfId="866" priority="877" operator="equal">
      <formula>"No"</formula>
    </cfRule>
    <cfRule type="cellIs" dxfId="865" priority="878" operator="equal">
      <formula>"NA"</formula>
    </cfRule>
    <cfRule type="cellIs" dxfId="864" priority="879" operator="equal">
      <formula>"Yes"</formula>
    </cfRule>
  </conditionalFormatting>
  <conditionalFormatting sqref="J25">
    <cfRule type="cellIs" dxfId="863" priority="874" operator="equal">
      <formula>"No"</formula>
    </cfRule>
    <cfRule type="cellIs" dxfId="862" priority="875" operator="equal">
      <formula>"NA"</formula>
    </cfRule>
    <cfRule type="cellIs" dxfId="861" priority="876" operator="equal">
      <formula>"Yes"</formula>
    </cfRule>
  </conditionalFormatting>
  <conditionalFormatting sqref="J26">
    <cfRule type="cellIs" dxfId="860" priority="871" operator="equal">
      <formula>"No"</formula>
    </cfRule>
    <cfRule type="cellIs" dxfId="859" priority="872" operator="equal">
      <formula>"NA"</formula>
    </cfRule>
    <cfRule type="cellIs" dxfId="858" priority="873" operator="equal">
      <formula>"Yes"</formula>
    </cfRule>
  </conditionalFormatting>
  <conditionalFormatting sqref="J27">
    <cfRule type="cellIs" dxfId="857" priority="868" operator="equal">
      <formula>"No"</formula>
    </cfRule>
    <cfRule type="cellIs" dxfId="856" priority="869" operator="equal">
      <formula>"NA"</formula>
    </cfRule>
    <cfRule type="cellIs" dxfId="855" priority="870" operator="equal">
      <formula>"Yes"</formula>
    </cfRule>
  </conditionalFormatting>
  <conditionalFormatting sqref="J28">
    <cfRule type="cellIs" dxfId="854" priority="865" operator="equal">
      <formula>"No"</formula>
    </cfRule>
    <cfRule type="cellIs" dxfId="853" priority="866" operator="equal">
      <formula>"NA"</formula>
    </cfRule>
    <cfRule type="cellIs" dxfId="852" priority="867" operator="equal">
      <formula>"Yes"</formula>
    </cfRule>
  </conditionalFormatting>
  <conditionalFormatting sqref="J30">
    <cfRule type="cellIs" dxfId="851" priority="862" operator="equal">
      <formula>"No"</formula>
    </cfRule>
    <cfRule type="cellIs" dxfId="850" priority="863" operator="equal">
      <formula>"NA"</formula>
    </cfRule>
    <cfRule type="cellIs" dxfId="849" priority="864" operator="equal">
      <formula>"Yes"</formula>
    </cfRule>
  </conditionalFormatting>
  <conditionalFormatting sqref="J31">
    <cfRule type="cellIs" dxfId="848" priority="859" operator="equal">
      <formula>"No"</formula>
    </cfRule>
    <cfRule type="cellIs" dxfId="847" priority="860" operator="equal">
      <formula>"NA"</formula>
    </cfRule>
    <cfRule type="cellIs" dxfId="846" priority="861" operator="equal">
      <formula>"Yes"</formula>
    </cfRule>
  </conditionalFormatting>
  <conditionalFormatting sqref="L10:M10">
    <cfRule type="cellIs" dxfId="845" priority="784" operator="equal">
      <formula>"No"</formula>
    </cfRule>
    <cfRule type="cellIs" dxfId="844" priority="785" operator="equal">
      <formula>"NA"</formula>
    </cfRule>
    <cfRule type="cellIs" dxfId="843" priority="786" operator="equal">
      <formula>"Yes"</formula>
    </cfRule>
  </conditionalFormatting>
  <conditionalFormatting sqref="L11">
    <cfRule type="cellIs" dxfId="842" priority="781" operator="equal">
      <formula>"No"</formula>
    </cfRule>
    <cfRule type="cellIs" dxfId="841" priority="782" operator="equal">
      <formula>"NA"</formula>
    </cfRule>
    <cfRule type="cellIs" dxfId="840" priority="783" operator="equal">
      <formula>"Yes"</formula>
    </cfRule>
  </conditionalFormatting>
  <conditionalFormatting sqref="L20">
    <cfRule type="cellIs" dxfId="839" priority="778" operator="equal">
      <formula>"No"</formula>
    </cfRule>
    <cfRule type="cellIs" dxfId="838" priority="779" operator="equal">
      <formula>"NA"</formula>
    </cfRule>
    <cfRule type="cellIs" dxfId="837" priority="780" operator="equal">
      <formula>"Yes"</formula>
    </cfRule>
  </conditionalFormatting>
  <conditionalFormatting sqref="L33:M33">
    <cfRule type="cellIs" dxfId="836" priority="775" operator="equal">
      <formula>"No"</formula>
    </cfRule>
    <cfRule type="cellIs" dxfId="835" priority="776" operator="equal">
      <formula>"NA"</formula>
    </cfRule>
    <cfRule type="cellIs" dxfId="834" priority="777" operator="equal">
      <formula>"Yes"</formula>
    </cfRule>
  </conditionalFormatting>
  <conditionalFormatting sqref="M6">
    <cfRule type="cellIs" dxfId="833" priority="772" operator="equal">
      <formula>"No"</formula>
    </cfRule>
    <cfRule type="cellIs" dxfId="832" priority="773" operator="equal">
      <formula>"NA"</formula>
    </cfRule>
    <cfRule type="cellIs" dxfId="831" priority="774" operator="equal">
      <formula>"Yes"</formula>
    </cfRule>
  </conditionalFormatting>
  <conditionalFormatting sqref="L9:M9">
    <cfRule type="cellIs" dxfId="830" priority="766" operator="equal">
      <formula>"No"</formula>
    </cfRule>
    <cfRule type="cellIs" dxfId="829" priority="767" operator="equal">
      <formula>"NA"</formula>
    </cfRule>
    <cfRule type="cellIs" dxfId="828" priority="768" operator="equal">
      <formula>"Yes"</formula>
    </cfRule>
  </conditionalFormatting>
  <conditionalFormatting sqref="L12">
    <cfRule type="cellIs" dxfId="827" priority="763" operator="equal">
      <formula>"No"</formula>
    </cfRule>
    <cfRule type="cellIs" dxfId="826" priority="764" operator="equal">
      <formula>"NA"</formula>
    </cfRule>
    <cfRule type="cellIs" dxfId="825" priority="765" operator="equal">
      <formula>"Yes"</formula>
    </cfRule>
  </conditionalFormatting>
  <conditionalFormatting sqref="L13">
    <cfRule type="cellIs" dxfId="824" priority="760" operator="equal">
      <formula>"No"</formula>
    </cfRule>
    <cfRule type="cellIs" dxfId="823" priority="761" operator="equal">
      <formula>"NA"</formula>
    </cfRule>
    <cfRule type="cellIs" dxfId="822" priority="762" operator="equal">
      <formula>"Yes"</formula>
    </cfRule>
  </conditionalFormatting>
  <conditionalFormatting sqref="L14">
    <cfRule type="cellIs" dxfId="821" priority="757" operator="equal">
      <formula>"No"</formula>
    </cfRule>
    <cfRule type="cellIs" dxfId="820" priority="758" operator="equal">
      <formula>"NA"</formula>
    </cfRule>
    <cfRule type="cellIs" dxfId="819" priority="759" operator="equal">
      <formula>"Yes"</formula>
    </cfRule>
  </conditionalFormatting>
  <conditionalFormatting sqref="L15">
    <cfRule type="cellIs" dxfId="818" priority="754" operator="equal">
      <formula>"No"</formula>
    </cfRule>
    <cfRule type="cellIs" dxfId="817" priority="755" operator="equal">
      <formula>"NA"</formula>
    </cfRule>
    <cfRule type="cellIs" dxfId="816" priority="756" operator="equal">
      <formula>"Yes"</formula>
    </cfRule>
  </conditionalFormatting>
  <conditionalFormatting sqref="L16">
    <cfRule type="cellIs" dxfId="815" priority="751" operator="equal">
      <formula>"No"</formula>
    </cfRule>
    <cfRule type="cellIs" dxfId="814" priority="752" operator="equal">
      <formula>"NA"</formula>
    </cfRule>
    <cfRule type="cellIs" dxfId="813" priority="753" operator="equal">
      <formula>"Yes"</formula>
    </cfRule>
  </conditionalFormatting>
  <conditionalFormatting sqref="L18">
    <cfRule type="cellIs" dxfId="812" priority="745" operator="equal">
      <formula>"No"</formula>
    </cfRule>
    <cfRule type="cellIs" dxfId="811" priority="746" operator="equal">
      <formula>"NA"</formula>
    </cfRule>
    <cfRule type="cellIs" dxfId="810" priority="747" operator="equal">
      <formula>"Yes"</formula>
    </cfRule>
  </conditionalFormatting>
  <conditionalFormatting sqref="L19:M19">
    <cfRule type="cellIs" dxfId="809" priority="742" operator="equal">
      <formula>"No"</formula>
    </cfRule>
    <cfRule type="cellIs" dxfId="808" priority="743" operator="equal">
      <formula>"NA"</formula>
    </cfRule>
    <cfRule type="cellIs" dxfId="807" priority="744" operator="equal">
      <formula>"Yes"</formula>
    </cfRule>
  </conditionalFormatting>
  <conditionalFormatting sqref="L21">
    <cfRule type="cellIs" dxfId="806" priority="739" operator="equal">
      <formula>"No"</formula>
    </cfRule>
    <cfRule type="cellIs" dxfId="805" priority="740" operator="equal">
      <formula>"NA"</formula>
    </cfRule>
    <cfRule type="cellIs" dxfId="804" priority="741" operator="equal">
      <formula>"Yes"</formula>
    </cfRule>
  </conditionalFormatting>
  <conditionalFormatting sqref="L22:M22">
    <cfRule type="cellIs" dxfId="803" priority="736" operator="equal">
      <formula>"No"</formula>
    </cfRule>
    <cfRule type="cellIs" dxfId="802" priority="737" operator="equal">
      <formula>"NA"</formula>
    </cfRule>
    <cfRule type="cellIs" dxfId="801" priority="738" operator="equal">
      <formula>"Yes"</formula>
    </cfRule>
  </conditionalFormatting>
  <conditionalFormatting sqref="L23:M23">
    <cfRule type="cellIs" dxfId="800" priority="733" operator="equal">
      <formula>"No"</formula>
    </cfRule>
    <cfRule type="cellIs" dxfId="799" priority="734" operator="equal">
      <formula>"NA"</formula>
    </cfRule>
    <cfRule type="cellIs" dxfId="798" priority="735" operator="equal">
      <formula>"Yes"</formula>
    </cfRule>
  </conditionalFormatting>
  <conditionalFormatting sqref="L25:M25">
    <cfRule type="cellIs" dxfId="797" priority="730" operator="equal">
      <formula>"No"</formula>
    </cfRule>
    <cfRule type="cellIs" dxfId="796" priority="731" operator="equal">
      <formula>"NA"</formula>
    </cfRule>
    <cfRule type="cellIs" dxfId="795" priority="732" operator="equal">
      <formula>"Yes"</formula>
    </cfRule>
  </conditionalFormatting>
  <conditionalFormatting sqref="L26:M26">
    <cfRule type="cellIs" dxfId="794" priority="727" operator="equal">
      <formula>"No"</formula>
    </cfRule>
    <cfRule type="cellIs" dxfId="793" priority="728" operator="equal">
      <formula>"NA"</formula>
    </cfRule>
    <cfRule type="cellIs" dxfId="792" priority="729" operator="equal">
      <formula>"Yes"</formula>
    </cfRule>
  </conditionalFormatting>
  <conditionalFormatting sqref="L27:M27">
    <cfRule type="cellIs" dxfId="791" priority="724" operator="equal">
      <formula>"No"</formula>
    </cfRule>
    <cfRule type="cellIs" dxfId="790" priority="725" operator="equal">
      <formula>"NA"</formula>
    </cfRule>
    <cfRule type="cellIs" dxfId="789" priority="726" operator="equal">
      <formula>"Yes"</formula>
    </cfRule>
  </conditionalFormatting>
  <conditionalFormatting sqref="L28">
    <cfRule type="cellIs" dxfId="788" priority="721" operator="equal">
      <formula>"No"</formula>
    </cfRule>
    <cfRule type="cellIs" dxfId="787" priority="722" operator="equal">
      <formula>"NA"</formula>
    </cfRule>
    <cfRule type="cellIs" dxfId="786" priority="723" operator="equal">
      <formula>"Yes"</formula>
    </cfRule>
  </conditionalFormatting>
  <conditionalFormatting sqref="L30">
    <cfRule type="cellIs" dxfId="785" priority="718" operator="equal">
      <formula>"No"</formula>
    </cfRule>
    <cfRule type="cellIs" dxfId="784" priority="719" operator="equal">
      <formula>"NA"</formula>
    </cfRule>
    <cfRule type="cellIs" dxfId="783" priority="720" operator="equal">
      <formula>"Yes"</formula>
    </cfRule>
  </conditionalFormatting>
  <conditionalFormatting sqref="L31:M31">
    <cfRule type="cellIs" dxfId="782" priority="715" operator="equal">
      <formula>"No"</formula>
    </cfRule>
    <cfRule type="cellIs" dxfId="781" priority="716" operator="equal">
      <formula>"NA"</formula>
    </cfRule>
    <cfRule type="cellIs" dxfId="780" priority="717" operator="equal">
      <formula>"Yes"</formula>
    </cfRule>
  </conditionalFormatting>
  <conditionalFormatting sqref="K15">
    <cfRule type="cellIs" dxfId="779" priority="712" operator="equal">
      <formula>"No"</formula>
    </cfRule>
    <cfRule type="cellIs" dxfId="778" priority="713" operator="equal">
      <formula>"NA"</formula>
    </cfRule>
    <cfRule type="cellIs" dxfId="777" priority="714" operator="equal">
      <formula>"Yes"</formula>
    </cfRule>
  </conditionalFormatting>
  <conditionalFormatting sqref="J17">
    <cfRule type="cellIs" dxfId="776" priority="706" operator="equal">
      <formula>"No"</formula>
    </cfRule>
    <cfRule type="cellIs" dxfId="775" priority="707" operator="equal">
      <formula>"NA"</formula>
    </cfRule>
    <cfRule type="cellIs" dxfId="774" priority="708" operator="equal">
      <formula>"Yes"</formula>
    </cfRule>
  </conditionalFormatting>
  <conditionalFormatting sqref="K17">
    <cfRule type="cellIs" dxfId="773" priority="703" operator="equal">
      <formula>"No"</formula>
    </cfRule>
    <cfRule type="cellIs" dxfId="772" priority="704" operator="equal">
      <formula>"NA"</formula>
    </cfRule>
    <cfRule type="cellIs" dxfId="771" priority="705" operator="equal">
      <formula>"Yes"</formula>
    </cfRule>
  </conditionalFormatting>
  <conditionalFormatting sqref="L17">
    <cfRule type="cellIs" dxfId="770" priority="700" operator="equal">
      <formula>"No"</formula>
    </cfRule>
    <cfRule type="cellIs" dxfId="769" priority="701" operator="equal">
      <formula>"NA"</formula>
    </cfRule>
    <cfRule type="cellIs" dxfId="768" priority="702" operator="equal">
      <formula>"Yes"</formula>
    </cfRule>
  </conditionalFormatting>
  <conditionalFormatting sqref="M17">
    <cfRule type="cellIs" dxfId="767" priority="697" operator="equal">
      <formula>"No"</formula>
    </cfRule>
    <cfRule type="cellIs" dxfId="766" priority="698" operator="equal">
      <formula>"NA"</formula>
    </cfRule>
    <cfRule type="cellIs" dxfId="765" priority="699" operator="equal">
      <formula>"Yes"</formula>
    </cfRule>
  </conditionalFormatting>
  <conditionalFormatting sqref="M18">
    <cfRule type="cellIs" dxfId="764" priority="694" operator="equal">
      <formula>"No"</formula>
    </cfRule>
    <cfRule type="cellIs" dxfId="763" priority="695" operator="equal">
      <formula>"NA"</formula>
    </cfRule>
    <cfRule type="cellIs" dxfId="762" priority="696" operator="equal">
      <formula>"Yes"</formula>
    </cfRule>
  </conditionalFormatting>
  <conditionalFormatting sqref="M16">
    <cfRule type="cellIs" dxfId="761" priority="691" operator="equal">
      <formula>"No"</formula>
    </cfRule>
    <cfRule type="cellIs" dxfId="760" priority="692" operator="equal">
      <formula>"NA"</formula>
    </cfRule>
    <cfRule type="cellIs" dxfId="759" priority="693" operator="equal">
      <formula>"Yes"</formula>
    </cfRule>
  </conditionalFormatting>
  <conditionalFormatting sqref="M21">
    <cfRule type="cellIs" dxfId="758" priority="688" operator="equal">
      <formula>"No"</formula>
    </cfRule>
    <cfRule type="cellIs" dxfId="757" priority="689" operator="equal">
      <formula>"NA"</formula>
    </cfRule>
    <cfRule type="cellIs" dxfId="756" priority="690" operator="equal">
      <formula>"Yes"</formula>
    </cfRule>
  </conditionalFormatting>
  <conditionalFormatting sqref="M28">
    <cfRule type="cellIs" dxfId="755" priority="685" operator="equal">
      <formula>"No"</formula>
    </cfRule>
    <cfRule type="cellIs" dxfId="754" priority="686" operator="equal">
      <formula>"NA"</formula>
    </cfRule>
    <cfRule type="cellIs" dxfId="753" priority="687" operator="equal">
      <formula>"Yes"</formula>
    </cfRule>
  </conditionalFormatting>
  <conditionalFormatting sqref="M30">
    <cfRule type="cellIs" dxfId="752" priority="682" operator="equal">
      <formula>"No"</formula>
    </cfRule>
    <cfRule type="cellIs" dxfId="751" priority="683" operator="equal">
      <formula>"NA"</formula>
    </cfRule>
    <cfRule type="cellIs" dxfId="750" priority="684" operator="equal">
      <formula>"Yes"</formula>
    </cfRule>
  </conditionalFormatting>
  <conditionalFormatting sqref="M20">
    <cfRule type="cellIs" dxfId="749" priority="679" operator="equal">
      <formula>"No"</formula>
    </cfRule>
    <cfRule type="cellIs" dxfId="748" priority="680" operator="equal">
      <formula>"NA"</formula>
    </cfRule>
    <cfRule type="cellIs" dxfId="747" priority="681" operator="equal">
      <formula>"Yes"</formula>
    </cfRule>
  </conditionalFormatting>
  <conditionalFormatting sqref="M15">
    <cfRule type="cellIs" dxfId="746" priority="676" operator="equal">
      <formula>"No"</formula>
    </cfRule>
    <cfRule type="cellIs" dxfId="745" priority="677" operator="equal">
      <formula>"NA"</formula>
    </cfRule>
    <cfRule type="cellIs" dxfId="744" priority="678" operator="equal">
      <formula>"Yes"</formula>
    </cfRule>
  </conditionalFormatting>
  <conditionalFormatting sqref="M14">
    <cfRule type="cellIs" dxfId="743" priority="673" operator="equal">
      <formula>"No"</formula>
    </cfRule>
    <cfRule type="cellIs" dxfId="742" priority="674" operator="equal">
      <formula>"NA"</formula>
    </cfRule>
    <cfRule type="cellIs" dxfId="741" priority="675" operator="equal">
      <formula>"Yes"</formula>
    </cfRule>
  </conditionalFormatting>
  <conditionalFormatting sqref="M11:M13">
    <cfRule type="cellIs" dxfId="740" priority="670" operator="equal">
      <formula>"No"</formula>
    </cfRule>
    <cfRule type="cellIs" dxfId="739" priority="671" operator="equal">
      <formula>"NA"</formula>
    </cfRule>
    <cfRule type="cellIs" dxfId="738" priority="672" operator="equal">
      <formula>"Yes"</formula>
    </cfRule>
  </conditionalFormatting>
  <conditionalFormatting sqref="J6:L7">
    <cfRule type="cellIs" dxfId="737" priority="667" operator="equal">
      <formula>"No"</formula>
    </cfRule>
    <cfRule type="cellIs" dxfId="736" priority="668" operator="equal">
      <formula>"NA"</formula>
    </cfRule>
    <cfRule type="cellIs" dxfId="735" priority="669" operator="equal">
      <formula>"Yes"</formula>
    </cfRule>
  </conditionalFormatting>
  <conditionalFormatting sqref="M7">
    <cfRule type="cellIs" dxfId="734" priority="664" operator="equal">
      <formula>"No"</formula>
    </cfRule>
    <cfRule type="cellIs" dxfId="733" priority="665" operator="equal">
      <formula>"NA"</formula>
    </cfRule>
    <cfRule type="cellIs" dxfId="732" priority="666" operator="equal">
      <formula>"Yes"</formula>
    </cfRule>
  </conditionalFormatting>
  <conditionalFormatting sqref="N10">
    <cfRule type="cellIs" dxfId="731" priority="661" operator="equal">
      <formula>"No"</formula>
    </cfRule>
    <cfRule type="cellIs" dxfId="730" priority="662" operator="equal">
      <formula>"NA"</formula>
    </cfRule>
    <cfRule type="cellIs" dxfId="729" priority="663" operator="equal">
      <formula>"Yes"</formula>
    </cfRule>
  </conditionalFormatting>
  <conditionalFormatting sqref="N33">
    <cfRule type="cellIs" dxfId="728" priority="658" operator="equal">
      <formula>"No"</formula>
    </cfRule>
    <cfRule type="cellIs" dxfId="727" priority="659" operator="equal">
      <formula>"NA"</formula>
    </cfRule>
    <cfRule type="cellIs" dxfId="726" priority="660" operator="equal">
      <formula>"Yes"</formula>
    </cfRule>
  </conditionalFormatting>
  <conditionalFormatting sqref="N6">
    <cfRule type="cellIs" dxfId="725" priority="655" operator="equal">
      <formula>"No"</formula>
    </cfRule>
    <cfRule type="cellIs" dxfId="724" priority="656" operator="equal">
      <formula>"NA"</formula>
    </cfRule>
    <cfRule type="cellIs" dxfId="723" priority="657" operator="equal">
      <formula>"Yes"</formula>
    </cfRule>
  </conditionalFormatting>
  <conditionalFormatting sqref="N9">
    <cfRule type="cellIs" dxfId="722" priority="652" operator="equal">
      <formula>"No"</formula>
    </cfRule>
    <cfRule type="cellIs" dxfId="721" priority="653" operator="equal">
      <formula>"NA"</formula>
    </cfRule>
    <cfRule type="cellIs" dxfId="720" priority="654" operator="equal">
      <formula>"Yes"</formula>
    </cfRule>
  </conditionalFormatting>
  <conditionalFormatting sqref="N19">
    <cfRule type="cellIs" dxfId="719" priority="649" operator="equal">
      <formula>"No"</formula>
    </cfRule>
    <cfRule type="cellIs" dxfId="718" priority="650" operator="equal">
      <formula>"NA"</formula>
    </cfRule>
    <cfRule type="cellIs" dxfId="717" priority="651" operator="equal">
      <formula>"Yes"</formula>
    </cfRule>
  </conditionalFormatting>
  <conditionalFormatting sqref="N22">
    <cfRule type="cellIs" dxfId="716" priority="646" operator="equal">
      <formula>"No"</formula>
    </cfRule>
    <cfRule type="cellIs" dxfId="715" priority="647" operator="equal">
      <formula>"NA"</formula>
    </cfRule>
    <cfRule type="cellIs" dxfId="714" priority="648" operator="equal">
      <formula>"Yes"</formula>
    </cfRule>
  </conditionalFormatting>
  <conditionalFormatting sqref="N23">
    <cfRule type="cellIs" dxfId="713" priority="643" operator="equal">
      <formula>"No"</formula>
    </cfRule>
    <cfRule type="cellIs" dxfId="712" priority="644" operator="equal">
      <formula>"NA"</formula>
    </cfRule>
    <cfRule type="cellIs" dxfId="711" priority="645" operator="equal">
      <formula>"Yes"</formula>
    </cfRule>
  </conditionalFormatting>
  <conditionalFormatting sqref="N25">
    <cfRule type="cellIs" dxfId="710" priority="640" operator="equal">
      <formula>"No"</formula>
    </cfRule>
    <cfRule type="cellIs" dxfId="709" priority="641" operator="equal">
      <formula>"NA"</formula>
    </cfRule>
    <cfRule type="cellIs" dxfId="708" priority="642" operator="equal">
      <formula>"Yes"</formula>
    </cfRule>
  </conditionalFormatting>
  <conditionalFormatting sqref="N26">
    <cfRule type="cellIs" dxfId="707" priority="637" operator="equal">
      <formula>"No"</formula>
    </cfRule>
    <cfRule type="cellIs" dxfId="706" priority="638" operator="equal">
      <formula>"NA"</formula>
    </cfRule>
    <cfRule type="cellIs" dxfId="705" priority="639" operator="equal">
      <formula>"Yes"</formula>
    </cfRule>
  </conditionalFormatting>
  <conditionalFormatting sqref="N27">
    <cfRule type="cellIs" dxfId="704" priority="634" operator="equal">
      <formula>"No"</formula>
    </cfRule>
    <cfRule type="cellIs" dxfId="703" priority="635" operator="equal">
      <formula>"NA"</formula>
    </cfRule>
    <cfRule type="cellIs" dxfId="702" priority="636" operator="equal">
      <formula>"Yes"</formula>
    </cfRule>
  </conditionalFormatting>
  <conditionalFormatting sqref="N31">
    <cfRule type="cellIs" dxfId="701" priority="631" operator="equal">
      <formula>"No"</formula>
    </cfRule>
    <cfRule type="cellIs" dxfId="700" priority="632" operator="equal">
      <formula>"NA"</formula>
    </cfRule>
    <cfRule type="cellIs" dxfId="699" priority="633" operator="equal">
      <formula>"Yes"</formula>
    </cfRule>
  </conditionalFormatting>
  <conditionalFormatting sqref="N17">
    <cfRule type="cellIs" dxfId="698" priority="628" operator="equal">
      <formula>"No"</formula>
    </cfRule>
    <cfRule type="cellIs" dxfId="697" priority="629" operator="equal">
      <formula>"NA"</formula>
    </cfRule>
    <cfRule type="cellIs" dxfId="696" priority="630" operator="equal">
      <formula>"Yes"</formula>
    </cfRule>
  </conditionalFormatting>
  <conditionalFormatting sqref="N18">
    <cfRule type="cellIs" dxfId="695" priority="625" operator="equal">
      <formula>"No"</formula>
    </cfRule>
    <cfRule type="cellIs" dxfId="694" priority="626" operator="equal">
      <formula>"NA"</formula>
    </cfRule>
    <cfRule type="cellIs" dxfId="693" priority="627" operator="equal">
      <formula>"Yes"</formula>
    </cfRule>
  </conditionalFormatting>
  <conditionalFormatting sqref="N16">
    <cfRule type="cellIs" dxfId="692" priority="622" operator="equal">
      <formula>"No"</formula>
    </cfRule>
    <cfRule type="cellIs" dxfId="691" priority="623" operator="equal">
      <formula>"NA"</formula>
    </cfRule>
    <cfRule type="cellIs" dxfId="690" priority="624" operator="equal">
      <formula>"Yes"</formula>
    </cfRule>
  </conditionalFormatting>
  <conditionalFormatting sqref="N21">
    <cfRule type="cellIs" dxfId="689" priority="619" operator="equal">
      <formula>"No"</formula>
    </cfRule>
    <cfRule type="cellIs" dxfId="688" priority="620" operator="equal">
      <formula>"NA"</formula>
    </cfRule>
    <cfRule type="cellIs" dxfId="687" priority="621" operator="equal">
      <formula>"Yes"</formula>
    </cfRule>
  </conditionalFormatting>
  <conditionalFormatting sqref="N28">
    <cfRule type="cellIs" dxfId="686" priority="616" operator="equal">
      <formula>"No"</formula>
    </cfRule>
    <cfRule type="cellIs" dxfId="685" priority="617" operator="equal">
      <formula>"NA"</formula>
    </cfRule>
    <cfRule type="cellIs" dxfId="684" priority="618" operator="equal">
      <formula>"Yes"</formula>
    </cfRule>
  </conditionalFormatting>
  <conditionalFormatting sqref="N30">
    <cfRule type="cellIs" dxfId="683" priority="613" operator="equal">
      <formula>"No"</formula>
    </cfRule>
    <cfRule type="cellIs" dxfId="682" priority="614" operator="equal">
      <formula>"NA"</formula>
    </cfRule>
    <cfRule type="cellIs" dxfId="681" priority="615" operator="equal">
      <formula>"Yes"</formula>
    </cfRule>
  </conditionalFormatting>
  <conditionalFormatting sqref="N20">
    <cfRule type="cellIs" dxfId="680" priority="610" operator="equal">
      <formula>"No"</formula>
    </cfRule>
    <cfRule type="cellIs" dxfId="679" priority="611" operator="equal">
      <formula>"NA"</formula>
    </cfRule>
    <cfRule type="cellIs" dxfId="678" priority="612" operator="equal">
      <formula>"Yes"</formula>
    </cfRule>
  </conditionalFormatting>
  <conditionalFormatting sqref="N15">
    <cfRule type="cellIs" dxfId="677" priority="607" operator="equal">
      <formula>"No"</formula>
    </cfRule>
    <cfRule type="cellIs" dxfId="676" priority="608" operator="equal">
      <formula>"NA"</formula>
    </cfRule>
    <cfRule type="cellIs" dxfId="675" priority="609" operator="equal">
      <formula>"Yes"</formula>
    </cfRule>
  </conditionalFormatting>
  <conditionalFormatting sqref="N14">
    <cfRule type="cellIs" dxfId="674" priority="604" operator="equal">
      <formula>"No"</formula>
    </cfRule>
    <cfRule type="cellIs" dxfId="673" priority="605" operator="equal">
      <formula>"NA"</formula>
    </cfRule>
    <cfRule type="cellIs" dxfId="672" priority="606" operator="equal">
      <formula>"Yes"</formula>
    </cfRule>
  </conditionalFormatting>
  <conditionalFormatting sqref="N11:N13">
    <cfRule type="cellIs" dxfId="671" priority="601" operator="equal">
      <formula>"No"</formula>
    </cfRule>
    <cfRule type="cellIs" dxfId="670" priority="602" operator="equal">
      <formula>"NA"</formula>
    </cfRule>
    <cfRule type="cellIs" dxfId="669" priority="603" operator="equal">
      <formula>"Yes"</formula>
    </cfRule>
  </conditionalFormatting>
  <conditionalFormatting sqref="N7">
    <cfRule type="cellIs" dxfId="668" priority="598" operator="equal">
      <formula>"No"</formula>
    </cfRule>
    <cfRule type="cellIs" dxfId="667" priority="599" operator="equal">
      <formula>"NA"</formula>
    </cfRule>
    <cfRule type="cellIs" dxfId="666" priority="600" operator="equal">
      <formula>"Yes"</formula>
    </cfRule>
  </conditionalFormatting>
  <conditionalFormatting sqref="O10:S10">
    <cfRule type="cellIs" dxfId="665" priority="595" operator="equal">
      <formula>"No"</formula>
    </cfRule>
    <cfRule type="cellIs" dxfId="664" priority="596" operator="equal">
      <formula>"NA"</formula>
    </cfRule>
    <cfRule type="cellIs" dxfId="663" priority="597" operator="equal">
      <formula>"Yes"</formula>
    </cfRule>
  </conditionalFormatting>
  <conditionalFormatting sqref="O33:S33">
    <cfRule type="cellIs" dxfId="662" priority="592" operator="equal">
      <formula>"No"</formula>
    </cfRule>
    <cfRule type="cellIs" dxfId="661" priority="593" operator="equal">
      <formula>"NA"</formula>
    </cfRule>
    <cfRule type="cellIs" dxfId="660" priority="594" operator="equal">
      <formula>"Yes"</formula>
    </cfRule>
  </conditionalFormatting>
  <conditionalFormatting sqref="O6:S6">
    <cfRule type="cellIs" dxfId="659" priority="589" operator="equal">
      <formula>"No"</formula>
    </cfRule>
    <cfRule type="cellIs" dxfId="658" priority="590" operator="equal">
      <formula>"NA"</formula>
    </cfRule>
    <cfRule type="cellIs" dxfId="657" priority="591" operator="equal">
      <formula>"Yes"</formula>
    </cfRule>
  </conditionalFormatting>
  <conditionalFormatting sqref="O9:S9">
    <cfRule type="cellIs" dxfId="656" priority="586" operator="equal">
      <formula>"No"</formula>
    </cfRule>
    <cfRule type="cellIs" dxfId="655" priority="587" operator="equal">
      <formula>"NA"</formula>
    </cfRule>
    <cfRule type="cellIs" dxfId="654" priority="588" operator="equal">
      <formula>"Yes"</formula>
    </cfRule>
  </conditionalFormatting>
  <conditionalFormatting sqref="O19:S19">
    <cfRule type="cellIs" dxfId="653" priority="583" operator="equal">
      <formula>"No"</formula>
    </cfRule>
    <cfRule type="cellIs" dxfId="652" priority="584" operator="equal">
      <formula>"NA"</formula>
    </cfRule>
    <cfRule type="cellIs" dxfId="651" priority="585" operator="equal">
      <formula>"Yes"</formula>
    </cfRule>
  </conditionalFormatting>
  <conditionalFormatting sqref="O22:S22">
    <cfRule type="cellIs" dxfId="650" priority="580" operator="equal">
      <formula>"No"</formula>
    </cfRule>
    <cfRule type="cellIs" dxfId="649" priority="581" operator="equal">
      <formula>"NA"</formula>
    </cfRule>
    <cfRule type="cellIs" dxfId="648" priority="582" operator="equal">
      <formula>"Yes"</formula>
    </cfRule>
  </conditionalFormatting>
  <conditionalFormatting sqref="O23:S23">
    <cfRule type="cellIs" dxfId="647" priority="577" operator="equal">
      <formula>"No"</formula>
    </cfRule>
    <cfRule type="cellIs" dxfId="646" priority="578" operator="equal">
      <formula>"NA"</formula>
    </cfRule>
    <cfRule type="cellIs" dxfId="645" priority="579" operator="equal">
      <formula>"Yes"</formula>
    </cfRule>
  </conditionalFormatting>
  <conditionalFormatting sqref="O25:S25">
    <cfRule type="cellIs" dxfId="644" priority="574" operator="equal">
      <formula>"No"</formula>
    </cfRule>
    <cfRule type="cellIs" dxfId="643" priority="575" operator="equal">
      <formula>"NA"</formula>
    </cfRule>
    <cfRule type="cellIs" dxfId="642" priority="576" operator="equal">
      <formula>"Yes"</formula>
    </cfRule>
  </conditionalFormatting>
  <conditionalFormatting sqref="O26:S26">
    <cfRule type="cellIs" dxfId="641" priority="571" operator="equal">
      <formula>"No"</formula>
    </cfRule>
    <cfRule type="cellIs" dxfId="640" priority="572" operator="equal">
      <formula>"NA"</formula>
    </cfRule>
    <cfRule type="cellIs" dxfId="639" priority="573" operator="equal">
      <formula>"Yes"</formula>
    </cfRule>
  </conditionalFormatting>
  <conditionalFormatting sqref="O27:S27">
    <cfRule type="cellIs" dxfId="638" priority="568" operator="equal">
      <formula>"No"</formula>
    </cfRule>
    <cfRule type="cellIs" dxfId="637" priority="569" operator="equal">
      <formula>"NA"</formula>
    </cfRule>
    <cfRule type="cellIs" dxfId="636" priority="570" operator="equal">
      <formula>"Yes"</formula>
    </cfRule>
  </conditionalFormatting>
  <conditionalFormatting sqref="O31:S31">
    <cfRule type="cellIs" dxfId="635" priority="565" operator="equal">
      <formula>"No"</formula>
    </cfRule>
    <cfRule type="cellIs" dxfId="634" priority="566" operator="equal">
      <formula>"NA"</formula>
    </cfRule>
    <cfRule type="cellIs" dxfId="633" priority="567" operator="equal">
      <formula>"Yes"</formula>
    </cfRule>
  </conditionalFormatting>
  <conditionalFormatting sqref="O17:S17">
    <cfRule type="cellIs" dxfId="632" priority="562" operator="equal">
      <formula>"No"</formula>
    </cfRule>
    <cfRule type="cellIs" dxfId="631" priority="563" operator="equal">
      <formula>"NA"</formula>
    </cfRule>
    <cfRule type="cellIs" dxfId="630" priority="564" operator="equal">
      <formula>"Yes"</formula>
    </cfRule>
  </conditionalFormatting>
  <conditionalFormatting sqref="O18:S18">
    <cfRule type="cellIs" dxfId="629" priority="559" operator="equal">
      <formula>"No"</formula>
    </cfRule>
    <cfRule type="cellIs" dxfId="628" priority="560" operator="equal">
      <formula>"NA"</formula>
    </cfRule>
    <cfRule type="cellIs" dxfId="627" priority="561" operator="equal">
      <formula>"Yes"</formula>
    </cfRule>
  </conditionalFormatting>
  <conditionalFormatting sqref="O16:S16">
    <cfRule type="cellIs" dxfId="626" priority="556" operator="equal">
      <formula>"No"</formula>
    </cfRule>
    <cfRule type="cellIs" dxfId="625" priority="557" operator="equal">
      <formula>"NA"</formula>
    </cfRule>
    <cfRule type="cellIs" dxfId="624" priority="558" operator="equal">
      <formula>"Yes"</formula>
    </cfRule>
  </conditionalFormatting>
  <conditionalFormatting sqref="O21:S21">
    <cfRule type="cellIs" dxfId="623" priority="553" operator="equal">
      <formula>"No"</formula>
    </cfRule>
    <cfRule type="cellIs" dxfId="622" priority="554" operator="equal">
      <formula>"NA"</formula>
    </cfRule>
    <cfRule type="cellIs" dxfId="621" priority="555" operator="equal">
      <formula>"Yes"</formula>
    </cfRule>
  </conditionalFormatting>
  <conditionalFormatting sqref="O28:S28">
    <cfRule type="cellIs" dxfId="620" priority="550" operator="equal">
      <formula>"No"</formula>
    </cfRule>
    <cfRule type="cellIs" dxfId="619" priority="551" operator="equal">
      <formula>"NA"</formula>
    </cfRule>
    <cfRule type="cellIs" dxfId="618" priority="552" operator="equal">
      <formula>"Yes"</formula>
    </cfRule>
  </conditionalFormatting>
  <conditionalFormatting sqref="O30:S30">
    <cfRule type="cellIs" dxfId="617" priority="547" operator="equal">
      <formula>"No"</formula>
    </cfRule>
    <cfRule type="cellIs" dxfId="616" priority="548" operator="equal">
      <formula>"NA"</formula>
    </cfRule>
    <cfRule type="cellIs" dxfId="615" priority="549" operator="equal">
      <formula>"Yes"</formula>
    </cfRule>
  </conditionalFormatting>
  <conditionalFormatting sqref="O20:S20">
    <cfRule type="cellIs" dxfId="614" priority="544" operator="equal">
      <formula>"No"</formula>
    </cfRule>
    <cfRule type="cellIs" dxfId="613" priority="545" operator="equal">
      <formula>"NA"</formula>
    </cfRule>
    <cfRule type="cellIs" dxfId="612" priority="546" operator="equal">
      <formula>"Yes"</formula>
    </cfRule>
  </conditionalFormatting>
  <conditionalFormatting sqref="O15:S15">
    <cfRule type="cellIs" dxfId="611" priority="541" operator="equal">
      <formula>"No"</formula>
    </cfRule>
    <cfRule type="cellIs" dxfId="610" priority="542" operator="equal">
      <formula>"NA"</formula>
    </cfRule>
    <cfRule type="cellIs" dxfId="609" priority="543" operator="equal">
      <formula>"Yes"</formula>
    </cfRule>
  </conditionalFormatting>
  <conditionalFormatting sqref="O14:S14">
    <cfRule type="cellIs" dxfId="608" priority="538" operator="equal">
      <formula>"No"</formula>
    </cfRule>
    <cfRule type="cellIs" dxfId="607" priority="539" operator="equal">
      <formula>"NA"</formula>
    </cfRule>
    <cfRule type="cellIs" dxfId="606" priority="540" operator="equal">
      <formula>"Yes"</formula>
    </cfRule>
  </conditionalFormatting>
  <conditionalFormatting sqref="O11:S13">
    <cfRule type="cellIs" dxfId="605" priority="535" operator="equal">
      <formula>"No"</formula>
    </cfRule>
    <cfRule type="cellIs" dxfId="604" priority="536" operator="equal">
      <formula>"NA"</formula>
    </cfRule>
    <cfRule type="cellIs" dxfId="603" priority="537" operator="equal">
      <formula>"Yes"</formula>
    </cfRule>
  </conditionalFormatting>
  <conditionalFormatting sqref="O7:S7">
    <cfRule type="cellIs" dxfId="602" priority="532" operator="equal">
      <formula>"No"</formula>
    </cfRule>
    <cfRule type="cellIs" dxfId="601" priority="533" operator="equal">
      <formula>"NA"</formula>
    </cfRule>
    <cfRule type="cellIs" dxfId="600" priority="534" operator="equal">
      <formula>"Yes"</formula>
    </cfRule>
  </conditionalFormatting>
  <conditionalFormatting sqref="T10">
    <cfRule type="cellIs" dxfId="599" priority="529" operator="equal">
      <formula>"No"</formula>
    </cfRule>
    <cfRule type="cellIs" dxfId="598" priority="530" operator="equal">
      <formula>"NA"</formula>
    </cfRule>
    <cfRule type="cellIs" dxfId="597" priority="531" operator="equal">
      <formula>"Yes"</formula>
    </cfRule>
  </conditionalFormatting>
  <conditionalFormatting sqref="T11">
    <cfRule type="cellIs" dxfId="596" priority="526" operator="equal">
      <formula>"No"</formula>
    </cfRule>
    <cfRule type="cellIs" dxfId="595" priority="527" operator="equal">
      <formula>"NA"</formula>
    </cfRule>
    <cfRule type="cellIs" dxfId="594" priority="528" operator="equal">
      <formula>"Yes"</formula>
    </cfRule>
  </conditionalFormatting>
  <conditionalFormatting sqref="T20">
    <cfRule type="cellIs" dxfId="593" priority="523" operator="equal">
      <formula>"No"</formula>
    </cfRule>
    <cfRule type="cellIs" dxfId="592" priority="524" operator="equal">
      <formula>"NA"</formula>
    </cfRule>
    <cfRule type="cellIs" dxfId="591" priority="525" operator="equal">
      <formula>"Yes"</formula>
    </cfRule>
  </conditionalFormatting>
  <conditionalFormatting sqref="T33">
    <cfRule type="cellIs" dxfId="590" priority="520" operator="equal">
      <formula>"No"</formula>
    </cfRule>
    <cfRule type="cellIs" dxfId="589" priority="521" operator="equal">
      <formula>"NA"</formula>
    </cfRule>
    <cfRule type="cellIs" dxfId="588" priority="522" operator="equal">
      <formula>"Yes"</formula>
    </cfRule>
  </conditionalFormatting>
  <conditionalFormatting sqref="T9">
    <cfRule type="cellIs" dxfId="587" priority="517" operator="equal">
      <formula>"No"</formula>
    </cfRule>
    <cfRule type="cellIs" dxfId="586" priority="518" operator="equal">
      <formula>"NA"</formula>
    </cfRule>
    <cfRule type="cellIs" dxfId="585" priority="519" operator="equal">
      <formula>"Yes"</formula>
    </cfRule>
  </conditionalFormatting>
  <conditionalFormatting sqref="T12">
    <cfRule type="cellIs" dxfId="584" priority="514" operator="equal">
      <formula>"No"</formula>
    </cfRule>
    <cfRule type="cellIs" dxfId="583" priority="515" operator="equal">
      <formula>"NA"</formula>
    </cfRule>
    <cfRule type="cellIs" dxfId="582" priority="516" operator="equal">
      <formula>"Yes"</formula>
    </cfRule>
  </conditionalFormatting>
  <conditionalFormatting sqref="T13">
    <cfRule type="cellIs" dxfId="581" priority="511" operator="equal">
      <formula>"No"</formula>
    </cfRule>
    <cfRule type="cellIs" dxfId="580" priority="512" operator="equal">
      <formula>"NA"</formula>
    </cfRule>
    <cfRule type="cellIs" dxfId="579" priority="513" operator="equal">
      <formula>"Yes"</formula>
    </cfRule>
  </conditionalFormatting>
  <conditionalFormatting sqref="T14">
    <cfRule type="cellIs" dxfId="578" priority="508" operator="equal">
      <formula>"No"</formula>
    </cfRule>
    <cfRule type="cellIs" dxfId="577" priority="509" operator="equal">
      <formula>"NA"</formula>
    </cfRule>
    <cfRule type="cellIs" dxfId="576" priority="510" operator="equal">
      <formula>"Yes"</formula>
    </cfRule>
  </conditionalFormatting>
  <conditionalFormatting sqref="T15">
    <cfRule type="cellIs" dxfId="575" priority="505" operator="equal">
      <formula>"No"</formula>
    </cfRule>
    <cfRule type="cellIs" dxfId="574" priority="506" operator="equal">
      <formula>"NA"</formula>
    </cfRule>
    <cfRule type="cellIs" dxfId="573" priority="507" operator="equal">
      <formula>"Yes"</formula>
    </cfRule>
  </conditionalFormatting>
  <conditionalFormatting sqref="T16">
    <cfRule type="cellIs" dxfId="572" priority="502" operator="equal">
      <formula>"No"</formula>
    </cfRule>
    <cfRule type="cellIs" dxfId="571" priority="503" operator="equal">
      <formula>"NA"</formula>
    </cfRule>
    <cfRule type="cellIs" dxfId="570" priority="504" operator="equal">
      <formula>"Yes"</formula>
    </cfRule>
  </conditionalFormatting>
  <conditionalFormatting sqref="T18">
    <cfRule type="cellIs" dxfId="569" priority="499" operator="equal">
      <formula>"No"</formula>
    </cfRule>
    <cfRule type="cellIs" dxfId="568" priority="500" operator="equal">
      <formula>"NA"</formula>
    </cfRule>
    <cfRule type="cellIs" dxfId="567" priority="501" operator="equal">
      <formula>"Yes"</formula>
    </cfRule>
  </conditionalFormatting>
  <conditionalFormatting sqref="T19">
    <cfRule type="cellIs" dxfId="566" priority="496" operator="equal">
      <formula>"No"</formula>
    </cfRule>
    <cfRule type="cellIs" dxfId="565" priority="497" operator="equal">
      <formula>"NA"</formula>
    </cfRule>
    <cfRule type="cellIs" dxfId="564" priority="498" operator="equal">
      <formula>"Yes"</formula>
    </cfRule>
  </conditionalFormatting>
  <conditionalFormatting sqref="T21">
    <cfRule type="cellIs" dxfId="563" priority="493" operator="equal">
      <formula>"No"</formula>
    </cfRule>
    <cfRule type="cellIs" dxfId="562" priority="494" operator="equal">
      <formula>"NA"</formula>
    </cfRule>
    <cfRule type="cellIs" dxfId="561" priority="495" operator="equal">
      <formula>"Yes"</formula>
    </cfRule>
  </conditionalFormatting>
  <conditionalFormatting sqref="T22">
    <cfRule type="cellIs" dxfId="560" priority="490" operator="equal">
      <formula>"No"</formula>
    </cfRule>
    <cfRule type="cellIs" dxfId="559" priority="491" operator="equal">
      <formula>"NA"</formula>
    </cfRule>
    <cfRule type="cellIs" dxfId="558" priority="492" operator="equal">
      <formula>"Yes"</formula>
    </cfRule>
  </conditionalFormatting>
  <conditionalFormatting sqref="T23">
    <cfRule type="cellIs" dxfId="557" priority="487" operator="equal">
      <formula>"No"</formula>
    </cfRule>
    <cfRule type="cellIs" dxfId="556" priority="488" operator="equal">
      <formula>"NA"</formula>
    </cfRule>
    <cfRule type="cellIs" dxfId="555" priority="489" operator="equal">
      <formula>"Yes"</formula>
    </cfRule>
  </conditionalFormatting>
  <conditionalFormatting sqref="T25:Y25">
    <cfRule type="cellIs" dxfId="554" priority="484" operator="equal">
      <formula>"No"</formula>
    </cfRule>
    <cfRule type="cellIs" dxfId="553" priority="485" operator="equal">
      <formula>"NA"</formula>
    </cfRule>
    <cfRule type="cellIs" dxfId="552" priority="486" operator="equal">
      <formula>"Yes"</formula>
    </cfRule>
  </conditionalFormatting>
  <conditionalFormatting sqref="T26">
    <cfRule type="cellIs" dxfId="551" priority="481" operator="equal">
      <formula>"No"</formula>
    </cfRule>
    <cfRule type="cellIs" dxfId="550" priority="482" operator="equal">
      <formula>"NA"</formula>
    </cfRule>
    <cfRule type="cellIs" dxfId="549" priority="483" operator="equal">
      <formula>"Yes"</formula>
    </cfRule>
  </conditionalFormatting>
  <conditionalFormatting sqref="T27">
    <cfRule type="cellIs" dxfId="548" priority="478" operator="equal">
      <formula>"No"</formula>
    </cfRule>
    <cfRule type="cellIs" dxfId="547" priority="479" operator="equal">
      <formula>"NA"</formula>
    </cfRule>
    <cfRule type="cellIs" dxfId="546" priority="480" operator="equal">
      <formula>"Yes"</formula>
    </cfRule>
  </conditionalFormatting>
  <conditionalFormatting sqref="T28">
    <cfRule type="cellIs" dxfId="545" priority="475" operator="equal">
      <formula>"No"</formula>
    </cfRule>
    <cfRule type="cellIs" dxfId="544" priority="476" operator="equal">
      <formula>"NA"</formula>
    </cfRule>
    <cfRule type="cellIs" dxfId="543" priority="477" operator="equal">
      <formula>"Yes"</formula>
    </cfRule>
  </conditionalFormatting>
  <conditionalFormatting sqref="T30">
    <cfRule type="cellIs" dxfId="542" priority="472" operator="equal">
      <formula>"No"</formula>
    </cfRule>
    <cfRule type="cellIs" dxfId="541" priority="473" operator="equal">
      <formula>"NA"</formula>
    </cfRule>
    <cfRule type="cellIs" dxfId="540" priority="474" operator="equal">
      <formula>"Yes"</formula>
    </cfRule>
  </conditionalFormatting>
  <conditionalFormatting sqref="T31">
    <cfRule type="cellIs" dxfId="539" priority="469" operator="equal">
      <formula>"No"</formula>
    </cfRule>
    <cfRule type="cellIs" dxfId="538" priority="470" operator="equal">
      <formula>"NA"</formula>
    </cfRule>
    <cfRule type="cellIs" dxfId="537" priority="471" operator="equal">
      <formula>"Yes"</formula>
    </cfRule>
  </conditionalFormatting>
  <conditionalFormatting sqref="T17">
    <cfRule type="cellIs" dxfId="536" priority="466" operator="equal">
      <formula>"No"</formula>
    </cfRule>
    <cfRule type="cellIs" dxfId="535" priority="467" operator="equal">
      <formula>"NA"</formula>
    </cfRule>
    <cfRule type="cellIs" dxfId="534" priority="468" operator="equal">
      <formula>"Yes"</formula>
    </cfRule>
  </conditionalFormatting>
  <conditionalFormatting sqref="T6:T7">
    <cfRule type="cellIs" dxfId="533" priority="463" operator="equal">
      <formula>"No"</formula>
    </cfRule>
    <cfRule type="cellIs" dxfId="532" priority="464" operator="equal">
      <formula>"NA"</formula>
    </cfRule>
    <cfRule type="cellIs" dxfId="531" priority="465" operator="equal">
      <formula>"Yes"</formula>
    </cfRule>
  </conditionalFormatting>
  <conditionalFormatting sqref="U10:Y10">
    <cfRule type="cellIs" dxfId="530" priority="460" operator="equal">
      <formula>"No"</formula>
    </cfRule>
    <cfRule type="cellIs" dxfId="529" priority="461" operator="equal">
      <formula>"NA"</formula>
    </cfRule>
    <cfRule type="cellIs" dxfId="528" priority="462" operator="equal">
      <formula>"Yes"</formula>
    </cfRule>
  </conditionalFormatting>
  <conditionalFormatting sqref="U33:Y33">
    <cfRule type="cellIs" dxfId="527" priority="457" operator="equal">
      <formula>"No"</formula>
    </cfRule>
    <cfRule type="cellIs" dxfId="526" priority="458" operator="equal">
      <formula>"NA"</formula>
    </cfRule>
    <cfRule type="cellIs" dxfId="525" priority="459" operator="equal">
      <formula>"Yes"</formula>
    </cfRule>
  </conditionalFormatting>
  <conditionalFormatting sqref="U6:Y6">
    <cfRule type="cellIs" dxfId="524" priority="454" operator="equal">
      <formula>"No"</formula>
    </cfRule>
    <cfRule type="cellIs" dxfId="523" priority="455" operator="equal">
      <formula>"NA"</formula>
    </cfRule>
    <cfRule type="cellIs" dxfId="522" priority="456" operator="equal">
      <formula>"Yes"</formula>
    </cfRule>
  </conditionalFormatting>
  <conditionalFormatting sqref="U9:Y9">
    <cfRule type="cellIs" dxfId="521" priority="451" operator="equal">
      <formula>"No"</formula>
    </cfRule>
    <cfRule type="cellIs" dxfId="520" priority="452" operator="equal">
      <formula>"NA"</formula>
    </cfRule>
    <cfRule type="cellIs" dxfId="519" priority="453" operator="equal">
      <formula>"Yes"</formula>
    </cfRule>
  </conditionalFormatting>
  <conditionalFormatting sqref="U19:Y19">
    <cfRule type="cellIs" dxfId="518" priority="448" operator="equal">
      <formula>"No"</formula>
    </cfRule>
    <cfRule type="cellIs" dxfId="517" priority="449" operator="equal">
      <formula>"NA"</formula>
    </cfRule>
    <cfRule type="cellIs" dxfId="516" priority="450" operator="equal">
      <formula>"Yes"</formula>
    </cfRule>
  </conditionalFormatting>
  <conditionalFormatting sqref="U22:Y22">
    <cfRule type="cellIs" dxfId="515" priority="445" operator="equal">
      <formula>"No"</formula>
    </cfRule>
    <cfRule type="cellIs" dxfId="514" priority="446" operator="equal">
      <formula>"NA"</formula>
    </cfRule>
    <cfRule type="cellIs" dxfId="513" priority="447" operator="equal">
      <formula>"Yes"</formula>
    </cfRule>
  </conditionalFormatting>
  <conditionalFormatting sqref="U23:Y23">
    <cfRule type="cellIs" dxfId="512" priority="442" operator="equal">
      <formula>"No"</formula>
    </cfRule>
    <cfRule type="cellIs" dxfId="511" priority="443" operator="equal">
      <formula>"NA"</formula>
    </cfRule>
    <cfRule type="cellIs" dxfId="510" priority="444" operator="equal">
      <formula>"Yes"</formula>
    </cfRule>
  </conditionalFormatting>
  <conditionalFormatting sqref="U26:Y26">
    <cfRule type="cellIs" dxfId="509" priority="436" operator="equal">
      <formula>"No"</formula>
    </cfRule>
    <cfRule type="cellIs" dxfId="508" priority="437" operator="equal">
      <formula>"NA"</formula>
    </cfRule>
    <cfRule type="cellIs" dxfId="507" priority="438" operator="equal">
      <formula>"Yes"</formula>
    </cfRule>
  </conditionalFormatting>
  <conditionalFormatting sqref="U27:Y27">
    <cfRule type="cellIs" dxfId="506" priority="433" operator="equal">
      <formula>"No"</formula>
    </cfRule>
    <cfRule type="cellIs" dxfId="505" priority="434" operator="equal">
      <formula>"NA"</formula>
    </cfRule>
    <cfRule type="cellIs" dxfId="504" priority="435" operator="equal">
      <formula>"Yes"</formula>
    </cfRule>
  </conditionalFormatting>
  <conditionalFormatting sqref="U31:Y31">
    <cfRule type="cellIs" dxfId="503" priority="430" operator="equal">
      <formula>"No"</formula>
    </cfRule>
    <cfRule type="cellIs" dxfId="502" priority="431" operator="equal">
      <formula>"NA"</formula>
    </cfRule>
    <cfRule type="cellIs" dxfId="501" priority="432" operator="equal">
      <formula>"Yes"</formula>
    </cfRule>
  </conditionalFormatting>
  <conditionalFormatting sqref="U17:Y17">
    <cfRule type="cellIs" dxfId="500" priority="427" operator="equal">
      <formula>"No"</formula>
    </cfRule>
    <cfRule type="cellIs" dxfId="499" priority="428" operator="equal">
      <formula>"NA"</formula>
    </cfRule>
    <cfRule type="cellIs" dxfId="498" priority="429" operator="equal">
      <formula>"Yes"</formula>
    </cfRule>
  </conditionalFormatting>
  <conditionalFormatting sqref="U18:Y18">
    <cfRule type="cellIs" dxfId="497" priority="424" operator="equal">
      <formula>"No"</formula>
    </cfRule>
    <cfRule type="cellIs" dxfId="496" priority="425" operator="equal">
      <formula>"NA"</formula>
    </cfRule>
    <cfRule type="cellIs" dxfId="495" priority="426" operator="equal">
      <formula>"Yes"</formula>
    </cfRule>
  </conditionalFormatting>
  <conditionalFormatting sqref="U16:Y16">
    <cfRule type="cellIs" dxfId="494" priority="421" operator="equal">
      <formula>"No"</formula>
    </cfRule>
    <cfRule type="cellIs" dxfId="493" priority="422" operator="equal">
      <formula>"NA"</formula>
    </cfRule>
    <cfRule type="cellIs" dxfId="492" priority="423" operator="equal">
      <formula>"Yes"</formula>
    </cfRule>
  </conditionalFormatting>
  <conditionalFormatting sqref="U21:Y21">
    <cfRule type="cellIs" dxfId="491" priority="418" operator="equal">
      <formula>"No"</formula>
    </cfRule>
    <cfRule type="cellIs" dxfId="490" priority="419" operator="equal">
      <formula>"NA"</formula>
    </cfRule>
    <cfRule type="cellIs" dxfId="489" priority="420" operator="equal">
      <formula>"Yes"</formula>
    </cfRule>
  </conditionalFormatting>
  <conditionalFormatting sqref="U28:Y28">
    <cfRule type="cellIs" dxfId="488" priority="415" operator="equal">
      <formula>"No"</formula>
    </cfRule>
    <cfRule type="cellIs" dxfId="487" priority="416" operator="equal">
      <formula>"NA"</formula>
    </cfRule>
    <cfRule type="cellIs" dxfId="486" priority="417" operator="equal">
      <formula>"Yes"</formula>
    </cfRule>
  </conditionalFormatting>
  <conditionalFormatting sqref="U30:Y30">
    <cfRule type="cellIs" dxfId="485" priority="412" operator="equal">
      <formula>"No"</formula>
    </cfRule>
    <cfRule type="cellIs" dxfId="484" priority="413" operator="equal">
      <formula>"NA"</formula>
    </cfRule>
    <cfRule type="cellIs" dxfId="483" priority="414" operator="equal">
      <formula>"Yes"</formula>
    </cfRule>
  </conditionalFormatting>
  <conditionalFormatting sqref="U20:Y20">
    <cfRule type="cellIs" dxfId="482" priority="409" operator="equal">
      <formula>"No"</formula>
    </cfRule>
    <cfRule type="cellIs" dxfId="481" priority="410" operator="equal">
      <formula>"NA"</formula>
    </cfRule>
    <cfRule type="cellIs" dxfId="480" priority="411" operator="equal">
      <formula>"Yes"</formula>
    </cfRule>
  </conditionalFormatting>
  <conditionalFormatting sqref="U15:Y15">
    <cfRule type="cellIs" dxfId="479" priority="406" operator="equal">
      <formula>"No"</formula>
    </cfRule>
    <cfRule type="cellIs" dxfId="478" priority="407" operator="equal">
      <formula>"NA"</formula>
    </cfRule>
    <cfRule type="cellIs" dxfId="477" priority="408" operator="equal">
      <formula>"Yes"</formula>
    </cfRule>
  </conditionalFormatting>
  <conditionalFormatting sqref="U14:Y14">
    <cfRule type="cellIs" dxfId="476" priority="403" operator="equal">
      <formula>"No"</formula>
    </cfRule>
    <cfRule type="cellIs" dxfId="475" priority="404" operator="equal">
      <formula>"NA"</formula>
    </cfRule>
    <cfRule type="cellIs" dxfId="474" priority="405" operator="equal">
      <formula>"Yes"</formula>
    </cfRule>
  </conditionalFormatting>
  <conditionalFormatting sqref="U11:Y13">
    <cfRule type="cellIs" dxfId="473" priority="400" operator="equal">
      <formula>"No"</formula>
    </cfRule>
    <cfRule type="cellIs" dxfId="472" priority="401" operator="equal">
      <formula>"NA"</formula>
    </cfRule>
    <cfRule type="cellIs" dxfId="471" priority="402" operator="equal">
      <formula>"Yes"</formula>
    </cfRule>
  </conditionalFormatting>
  <conditionalFormatting sqref="U7:Y7">
    <cfRule type="cellIs" dxfId="470" priority="397" operator="equal">
      <formula>"No"</formula>
    </cfRule>
    <cfRule type="cellIs" dxfId="469" priority="398" operator="equal">
      <formula>"NA"</formula>
    </cfRule>
    <cfRule type="cellIs" dxfId="468" priority="399" operator="equal">
      <formula>"Yes"</formula>
    </cfRule>
  </conditionalFormatting>
  <conditionalFormatting sqref="Z10">
    <cfRule type="cellIs" dxfId="467" priority="394" operator="equal">
      <formula>"No"</formula>
    </cfRule>
    <cfRule type="cellIs" dxfId="466" priority="395" operator="equal">
      <formula>"NA"</formula>
    </cfRule>
    <cfRule type="cellIs" dxfId="465" priority="396" operator="equal">
      <formula>"Yes"</formula>
    </cfRule>
  </conditionalFormatting>
  <conditionalFormatting sqref="Z33">
    <cfRule type="cellIs" dxfId="464" priority="391" operator="equal">
      <formula>"No"</formula>
    </cfRule>
    <cfRule type="cellIs" dxfId="463" priority="392" operator="equal">
      <formula>"NA"</formula>
    </cfRule>
    <cfRule type="cellIs" dxfId="462" priority="393" operator="equal">
      <formula>"Yes"</formula>
    </cfRule>
  </conditionalFormatting>
  <conditionalFormatting sqref="Z6">
    <cfRule type="cellIs" dxfId="461" priority="388" operator="equal">
      <formula>"No"</formula>
    </cfRule>
    <cfRule type="cellIs" dxfId="460" priority="389" operator="equal">
      <formula>"NA"</formula>
    </cfRule>
    <cfRule type="cellIs" dxfId="459" priority="390" operator="equal">
      <formula>"Yes"</formula>
    </cfRule>
  </conditionalFormatting>
  <conditionalFormatting sqref="Z9">
    <cfRule type="cellIs" dxfId="458" priority="385" operator="equal">
      <formula>"No"</formula>
    </cfRule>
    <cfRule type="cellIs" dxfId="457" priority="386" operator="equal">
      <formula>"NA"</formula>
    </cfRule>
    <cfRule type="cellIs" dxfId="456" priority="387" operator="equal">
      <formula>"Yes"</formula>
    </cfRule>
  </conditionalFormatting>
  <conditionalFormatting sqref="Z19">
    <cfRule type="cellIs" dxfId="455" priority="382" operator="equal">
      <formula>"No"</formula>
    </cfRule>
    <cfRule type="cellIs" dxfId="454" priority="383" operator="equal">
      <formula>"NA"</formula>
    </cfRule>
    <cfRule type="cellIs" dxfId="453" priority="384" operator="equal">
      <formula>"Yes"</formula>
    </cfRule>
  </conditionalFormatting>
  <conditionalFormatting sqref="Z22">
    <cfRule type="cellIs" dxfId="452" priority="379" operator="equal">
      <formula>"No"</formula>
    </cfRule>
    <cfRule type="cellIs" dxfId="451" priority="380" operator="equal">
      <formula>"NA"</formula>
    </cfRule>
    <cfRule type="cellIs" dxfId="450" priority="381" operator="equal">
      <formula>"Yes"</formula>
    </cfRule>
  </conditionalFormatting>
  <conditionalFormatting sqref="Z23">
    <cfRule type="cellIs" dxfId="449" priority="376" operator="equal">
      <formula>"No"</formula>
    </cfRule>
    <cfRule type="cellIs" dxfId="448" priority="377" operator="equal">
      <formula>"NA"</formula>
    </cfRule>
    <cfRule type="cellIs" dxfId="447" priority="378" operator="equal">
      <formula>"Yes"</formula>
    </cfRule>
  </conditionalFormatting>
  <conditionalFormatting sqref="Z25">
    <cfRule type="cellIs" dxfId="446" priority="373" operator="equal">
      <formula>"No"</formula>
    </cfRule>
    <cfRule type="cellIs" dxfId="445" priority="374" operator="equal">
      <formula>"NA"</formula>
    </cfRule>
    <cfRule type="cellIs" dxfId="444" priority="375" operator="equal">
      <formula>"Yes"</formula>
    </cfRule>
  </conditionalFormatting>
  <conditionalFormatting sqref="Z26">
    <cfRule type="cellIs" dxfId="443" priority="370" operator="equal">
      <formula>"No"</formula>
    </cfRule>
    <cfRule type="cellIs" dxfId="442" priority="371" operator="equal">
      <formula>"NA"</formula>
    </cfRule>
    <cfRule type="cellIs" dxfId="441" priority="372" operator="equal">
      <formula>"Yes"</formula>
    </cfRule>
  </conditionalFormatting>
  <conditionalFormatting sqref="Z27">
    <cfRule type="cellIs" dxfId="440" priority="367" operator="equal">
      <formula>"No"</formula>
    </cfRule>
    <cfRule type="cellIs" dxfId="439" priority="368" operator="equal">
      <formula>"NA"</formula>
    </cfRule>
    <cfRule type="cellIs" dxfId="438" priority="369" operator="equal">
      <formula>"Yes"</formula>
    </cfRule>
  </conditionalFormatting>
  <conditionalFormatting sqref="Z31">
    <cfRule type="cellIs" dxfId="437" priority="364" operator="equal">
      <formula>"No"</formula>
    </cfRule>
    <cfRule type="cellIs" dxfId="436" priority="365" operator="equal">
      <formula>"NA"</formula>
    </cfRule>
    <cfRule type="cellIs" dxfId="435" priority="366" operator="equal">
      <formula>"Yes"</formula>
    </cfRule>
  </conditionalFormatting>
  <conditionalFormatting sqref="Z17">
    <cfRule type="cellIs" dxfId="434" priority="361" operator="equal">
      <formula>"No"</formula>
    </cfRule>
    <cfRule type="cellIs" dxfId="433" priority="362" operator="equal">
      <formula>"NA"</formula>
    </cfRule>
    <cfRule type="cellIs" dxfId="432" priority="363" operator="equal">
      <formula>"Yes"</formula>
    </cfRule>
  </conditionalFormatting>
  <conditionalFormatting sqref="Z18">
    <cfRule type="cellIs" dxfId="431" priority="358" operator="equal">
      <formula>"No"</formula>
    </cfRule>
    <cfRule type="cellIs" dxfId="430" priority="359" operator="equal">
      <formula>"NA"</formula>
    </cfRule>
    <cfRule type="cellIs" dxfId="429" priority="360" operator="equal">
      <formula>"Yes"</formula>
    </cfRule>
  </conditionalFormatting>
  <conditionalFormatting sqref="Z16">
    <cfRule type="cellIs" dxfId="428" priority="355" operator="equal">
      <formula>"No"</formula>
    </cfRule>
    <cfRule type="cellIs" dxfId="427" priority="356" operator="equal">
      <formula>"NA"</formula>
    </cfRule>
    <cfRule type="cellIs" dxfId="426" priority="357" operator="equal">
      <formula>"Yes"</formula>
    </cfRule>
  </conditionalFormatting>
  <conditionalFormatting sqref="Z21">
    <cfRule type="cellIs" dxfId="425" priority="352" operator="equal">
      <formula>"No"</formula>
    </cfRule>
    <cfRule type="cellIs" dxfId="424" priority="353" operator="equal">
      <formula>"NA"</formula>
    </cfRule>
    <cfRule type="cellIs" dxfId="423" priority="354" operator="equal">
      <formula>"Yes"</formula>
    </cfRule>
  </conditionalFormatting>
  <conditionalFormatting sqref="Z28">
    <cfRule type="cellIs" dxfId="422" priority="349" operator="equal">
      <formula>"No"</formula>
    </cfRule>
    <cfRule type="cellIs" dxfId="421" priority="350" operator="equal">
      <formula>"NA"</formula>
    </cfRule>
    <cfRule type="cellIs" dxfId="420" priority="351" operator="equal">
      <formula>"Yes"</formula>
    </cfRule>
  </conditionalFormatting>
  <conditionalFormatting sqref="Z30">
    <cfRule type="cellIs" dxfId="419" priority="346" operator="equal">
      <formula>"No"</formula>
    </cfRule>
    <cfRule type="cellIs" dxfId="418" priority="347" operator="equal">
      <formula>"NA"</formula>
    </cfRule>
    <cfRule type="cellIs" dxfId="417" priority="348" operator="equal">
      <formula>"Yes"</formula>
    </cfRule>
  </conditionalFormatting>
  <conditionalFormatting sqref="Z20">
    <cfRule type="cellIs" dxfId="416" priority="343" operator="equal">
      <formula>"No"</formula>
    </cfRule>
    <cfRule type="cellIs" dxfId="415" priority="344" operator="equal">
      <formula>"NA"</formula>
    </cfRule>
    <cfRule type="cellIs" dxfId="414" priority="345" operator="equal">
      <formula>"Yes"</formula>
    </cfRule>
  </conditionalFormatting>
  <conditionalFormatting sqref="Z15">
    <cfRule type="cellIs" dxfId="413" priority="340" operator="equal">
      <formula>"No"</formula>
    </cfRule>
    <cfRule type="cellIs" dxfId="412" priority="341" operator="equal">
      <formula>"NA"</formula>
    </cfRule>
    <cfRule type="cellIs" dxfId="411" priority="342" operator="equal">
      <formula>"Yes"</formula>
    </cfRule>
  </conditionalFormatting>
  <conditionalFormatting sqref="Z14">
    <cfRule type="cellIs" dxfId="410" priority="337" operator="equal">
      <formula>"No"</formula>
    </cfRule>
    <cfRule type="cellIs" dxfId="409" priority="338" operator="equal">
      <formula>"NA"</formula>
    </cfRule>
    <cfRule type="cellIs" dxfId="408" priority="339" operator="equal">
      <formula>"Yes"</formula>
    </cfRule>
  </conditionalFormatting>
  <conditionalFormatting sqref="Z11:Z13">
    <cfRule type="cellIs" dxfId="407" priority="334" operator="equal">
      <formula>"No"</formula>
    </cfRule>
    <cfRule type="cellIs" dxfId="406" priority="335" operator="equal">
      <formula>"NA"</formula>
    </cfRule>
    <cfRule type="cellIs" dxfId="405" priority="336" operator="equal">
      <formula>"Yes"</formula>
    </cfRule>
  </conditionalFormatting>
  <conditionalFormatting sqref="Z7">
    <cfRule type="cellIs" dxfId="404" priority="331" operator="equal">
      <formula>"No"</formula>
    </cfRule>
    <cfRule type="cellIs" dxfId="403" priority="332" operator="equal">
      <formula>"NA"</formula>
    </cfRule>
    <cfRule type="cellIs" dxfId="402" priority="333" operator="equal">
      <formula>"Yes"</formula>
    </cfRule>
  </conditionalFormatting>
  <conditionalFormatting sqref="AA10">
    <cfRule type="cellIs" dxfId="401" priority="328" operator="equal">
      <formula>"No"</formula>
    </cfRule>
    <cfRule type="cellIs" dxfId="400" priority="329" operator="equal">
      <formula>"NA"</formula>
    </cfRule>
    <cfRule type="cellIs" dxfId="399" priority="330" operator="equal">
      <formula>"Yes"</formula>
    </cfRule>
  </conditionalFormatting>
  <conditionalFormatting sqref="AA33">
    <cfRule type="cellIs" dxfId="398" priority="325" operator="equal">
      <formula>"No"</formula>
    </cfRule>
    <cfRule type="cellIs" dxfId="397" priority="326" operator="equal">
      <formula>"NA"</formula>
    </cfRule>
    <cfRule type="cellIs" dxfId="396" priority="327" operator="equal">
      <formula>"Yes"</formula>
    </cfRule>
  </conditionalFormatting>
  <conditionalFormatting sqref="AA6">
    <cfRule type="cellIs" dxfId="395" priority="322" operator="equal">
      <formula>"No"</formula>
    </cfRule>
    <cfRule type="cellIs" dxfId="394" priority="323" operator="equal">
      <formula>"NA"</formula>
    </cfRule>
    <cfRule type="cellIs" dxfId="393" priority="324" operator="equal">
      <formula>"Yes"</formula>
    </cfRule>
  </conditionalFormatting>
  <conditionalFormatting sqref="AA9">
    <cfRule type="cellIs" dxfId="392" priority="319" operator="equal">
      <formula>"No"</formula>
    </cfRule>
    <cfRule type="cellIs" dxfId="391" priority="320" operator="equal">
      <formula>"NA"</formula>
    </cfRule>
    <cfRule type="cellIs" dxfId="390" priority="321" operator="equal">
      <formula>"Yes"</formula>
    </cfRule>
  </conditionalFormatting>
  <conditionalFormatting sqref="AA19">
    <cfRule type="cellIs" dxfId="389" priority="316" operator="equal">
      <formula>"No"</formula>
    </cfRule>
    <cfRule type="cellIs" dxfId="388" priority="317" operator="equal">
      <formula>"NA"</formula>
    </cfRule>
    <cfRule type="cellIs" dxfId="387" priority="318" operator="equal">
      <formula>"Yes"</formula>
    </cfRule>
  </conditionalFormatting>
  <conditionalFormatting sqref="AA22">
    <cfRule type="cellIs" dxfId="386" priority="313" operator="equal">
      <formula>"No"</formula>
    </cfRule>
    <cfRule type="cellIs" dxfId="385" priority="314" operator="equal">
      <formula>"NA"</formula>
    </cfRule>
    <cfRule type="cellIs" dxfId="384" priority="315" operator="equal">
      <formula>"Yes"</formula>
    </cfRule>
  </conditionalFormatting>
  <conditionalFormatting sqref="AA23">
    <cfRule type="cellIs" dxfId="383" priority="310" operator="equal">
      <formula>"No"</formula>
    </cfRule>
    <cfRule type="cellIs" dxfId="382" priority="311" operator="equal">
      <formula>"NA"</formula>
    </cfRule>
    <cfRule type="cellIs" dxfId="381" priority="312" operator="equal">
      <formula>"Yes"</formula>
    </cfRule>
  </conditionalFormatting>
  <conditionalFormatting sqref="AA25">
    <cfRule type="cellIs" dxfId="380" priority="307" operator="equal">
      <formula>"No"</formula>
    </cfRule>
    <cfRule type="cellIs" dxfId="379" priority="308" operator="equal">
      <formula>"NA"</formula>
    </cfRule>
    <cfRule type="cellIs" dxfId="378" priority="309" operator="equal">
      <formula>"Yes"</formula>
    </cfRule>
  </conditionalFormatting>
  <conditionalFormatting sqref="AA26">
    <cfRule type="cellIs" dxfId="377" priority="304" operator="equal">
      <formula>"No"</formula>
    </cfRule>
    <cfRule type="cellIs" dxfId="376" priority="305" operator="equal">
      <formula>"NA"</formula>
    </cfRule>
    <cfRule type="cellIs" dxfId="375" priority="306" operator="equal">
      <formula>"Yes"</formula>
    </cfRule>
  </conditionalFormatting>
  <conditionalFormatting sqref="AA27">
    <cfRule type="cellIs" dxfId="374" priority="301" operator="equal">
      <formula>"No"</formula>
    </cfRule>
    <cfRule type="cellIs" dxfId="373" priority="302" operator="equal">
      <formula>"NA"</formula>
    </cfRule>
    <cfRule type="cellIs" dxfId="372" priority="303" operator="equal">
      <formula>"Yes"</formula>
    </cfRule>
  </conditionalFormatting>
  <conditionalFormatting sqref="AA31">
    <cfRule type="cellIs" dxfId="371" priority="298" operator="equal">
      <formula>"No"</formula>
    </cfRule>
    <cfRule type="cellIs" dxfId="370" priority="299" operator="equal">
      <formula>"NA"</formula>
    </cfRule>
    <cfRule type="cellIs" dxfId="369" priority="300" operator="equal">
      <formula>"Yes"</formula>
    </cfRule>
  </conditionalFormatting>
  <conditionalFormatting sqref="AA17">
    <cfRule type="cellIs" dxfId="368" priority="295" operator="equal">
      <formula>"No"</formula>
    </cfRule>
    <cfRule type="cellIs" dxfId="367" priority="296" operator="equal">
      <formula>"NA"</formula>
    </cfRule>
    <cfRule type="cellIs" dxfId="366" priority="297" operator="equal">
      <formula>"Yes"</formula>
    </cfRule>
  </conditionalFormatting>
  <conditionalFormatting sqref="AA18">
    <cfRule type="cellIs" dxfId="365" priority="292" operator="equal">
      <formula>"No"</formula>
    </cfRule>
    <cfRule type="cellIs" dxfId="364" priority="293" operator="equal">
      <formula>"NA"</formula>
    </cfRule>
    <cfRule type="cellIs" dxfId="363" priority="294" operator="equal">
      <formula>"Yes"</formula>
    </cfRule>
  </conditionalFormatting>
  <conditionalFormatting sqref="AA16">
    <cfRule type="cellIs" dxfId="362" priority="289" operator="equal">
      <formula>"No"</formula>
    </cfRule>
    <cfRule type="cellIs" dxfId="361" priority="290" operator="equal">
      <formula>"NA"</formula>
    </cfRule>
    <cfRule type="cellIs" dxfId="360" priority="291" operator="equal">
      <formula>"Yes"</formula>
    </cfRule>
  </conditionalFormatting>
  <conditionalFormatting sqref="AA21">
    <cfRule type="cellIs" dxfId="359" priority="286" operator="equal">
      <formula>"No"</formula>
    </cfRule>
    <cfRule type="cellIs" dxfId="358" priority="287" operator="equal">
      <formula>"NA"</formula>
    </cfRule>
    <cfRule type="cellIs" dxfId="357" priority="288" operator="equal">
      <formula>"Yes"</formula>
    </cfRule>
  </conditionalFormatting>
  <conditionalFormatting sqref="AA28">
    <cfRule type="cellIs" dxfId="356" priority="283" operator="equal">
      <formula>"No"</formula>
    </cfRule>
    <cfRule type="cellIs" dxfId="355" priority="284" operator="equal">
      <formula>"NA"</formula>
    </cfRule>
    <cfRule type="cellIs" dxfId="354" priority="285" operator="equal">
      <formula>"Yes"</formula>
    </cfRule>
  </conditionalFormatting>
  <conditionalFormatting sqref="AA30">
    <cfRule type="cellIs" dxfId="353" priority="280" operator="equal">
      <formula>"No"</formula>
    </cfRule>
    <cfRule type="cellIs" dxfId="352" priority="281" operator="equal">
      <formula>"NA"</formula>
    </cfRule>
    <cfRule type="cellIs" dxfId="351" priority="282" operator="equal">
      <formula>"Yes"</formula>
    </cfRule>
  </conditionalFormatting>
  <conditionalFormatting sqref="AA20">
    <cfRule type="cellIs" dxfId="350" priority="277" operator="equal">
      <formula>"No"</formula>
    </cfRule>
    <cfRule type="cellIs" dxfId="349" priority="278" operator="equal">
      <formula>"NA"</formula>
    </cfRule>
    <cfRule type="cellIs" dxfId="348" priority="279" operator="equal">
      <formula>"Yes"</formula>
    </cfRule>
  </conditionalFormatting>
  <conditionalFormatting sqref="AA15">
    <cfRule type="cellIs" dxfId="347" priority="274" operator="equal">
      <formula>"No"</formula>
    </cfRule>
    <cfRule type="cellIs" dxfId="346" priority="275" operator="equal">
      <formula>"NA"</formula>
    </cfRule>
    <cfRule type="cellIs" dxfId="345" priority="276" operator="equal">
      <formula>"Yes"</formula>
    </cfRule>
  </conditionalFormatting>
  <conditionalFormatting sqref="AA14">
    <cfRule type="cellIs" dxfId="344" priority="271" operator="equal">
      <formula>"No"</formula>
    </cfRule>
    <cfRule type="cellIs" dxfId="343" priority="272" operator="equal">
      <formula>"NA"</formula>
    </cfRule>
    <cfRule type="cellIs" dxfId="342" priority="273" operator="equal">
      <formula>"Yes"</formula>
    </cfRule>
  </conditionalFormatting>
  <conditionalFormatting sqref="AA11:AA13">
    <cfRule type="cellIs" dxfId="341" priority="268" operator="equal">
      <formula>"No"</formula>
    </cfRule>
    <cfRule type="cellIs" dxfId="340" priority="269" operator="equal">
      <formula>"NA"</formula>
    </cfRule>
    <cfRule type="cellIs" dxfId="339" priority="270" operator="equal">
      <formula>"Yes"</formula>
    </cfRule>
  </conditionalFormatting>
  <conditionalFormatting sqref="AA7">
    <cfRule type="cellIs" dxfId="338" priority="265" operator="equal">
      <formula>"No"</formula>
    </cfRule>
    <cfRule type="cellIs" dxfId="337" priority="266" operator="equal">
      <formula>"NA"</formula>
    </cfRule>
    <cfRule type="cellIs" dxfId="336" priority="267" operator="equal">
      <formula>"Yes"</formula>
    </cfRule>
  </conditionalFormatting>
  <conditionalFormatting sqref="AB25">
    <cfRule type="cellIs" dxfId="335" priority="262" operator="equal">
      <formula>"No"</formula>
    </cfRule>
    <cfRule type="cellIs" dxfId="334" priority="263" operator="equal">
      <formula>"NA"</formula>
    </cfRule>
    <cfRule type="cellIs" dxfId="333" priority="264" operator="equal">
      <formula>"Yes"</formula>
    </cfRule>
  </conditionalFormatting>
  <conditionalFormatting sqref="AB10">
    <cfRule type="cellIs" dxfId="332" priority="259" operator="equal">
      <formula>"No"</formula>
    </cfRule>
    <cfRule type="cellIs" dxfId="331" priority="260" operator="equal">
      <formula>"NA"</formula>
    </cfRule>
    <cfRule type="cellIs" dxfId="330" priority="261" operator="equal">
      <formula>"Yes"</formula>
    </cfRule>
  </conditionalFormatting>
  <conditionalFormatting sqref="AB33">
    <cfRule type="cellIs" dxfId="329" priority="256" operator="equal">
      <formula>"No"</formula>
    </cfRule>
    <cfRule type="cellIs" dxfId="328" priority="257" operator="equal">
      <formula>"NA"</formula>
    </cfRule>
    <cfRule type="cellIs" dxfId="327" priority="258" operator="equal">
      <formula>"Yes"</formula>
    </cfRule>
  </conditionalFormatting>
  <conditionalFormatting sqref="AB6">
    <cfRule type="cellIs" dxfId="326" priority="253" operator="equal">
      <formula>"No"</formula>
    </cfRule>
    <cfRule type="cellIs" dxfId="325" priority="254" operator="equal">
      <formula>"NA"</formula>
    </cfRule>
    <cfRule type="cellIs" dxfId="324" priority="255" operator="equal">
      <formula>"Yes"</formula>
    </cfRule>
  </conditionalFormatting>
  <conditionalFormatting sqref="AB9">
    <cfRule type="cellIs" dxfId="323" priority="250" operator="equal">
      <formula>"No"</formula>
    </cfRule>
    <cfRule type="cellIs" dxfId="322" priority="251" operator="equal">
      <formula>"NA"</formula>
    </cfRule>
    <cfRule type="cellIs" dxfId="321" priority="252" operator="equal">
      <formula>"Yes"</formula>
    </cfRule>
  </conditionalFormatting>
  <conditionalFormatting sqref="AB19">
    <cfRule type="cellIs" dxfId="320" priority="247" operator="equal">
      <formula>"No"</formula>
    </cfRule>
    <cfRule type="cellIs" dxfId="319" priority="248" operator="equal">
      <formula>"NA"</formula>
    </cfRule>
    <cfRule type="cellIs" dxfId="318" priority="249" operator="equal">
      <formula>"Yes"</formula>
    </cfRule>
  </conditionalFormatting>
  <conditionalFormatting sqref="AB22">
    <cfRule type="cellIs" dxfId="317" priority="244" operator="equal">
      <formula>"No"</formula>
    </cfRule>
    <cfRule type="cellIs" dxfId="316" priority="245" operator="equal">
      <formula>"NA"</formula>
    </cfRule>
    <cfRule type="cellIs" dxfId="315" priority="246" operator="equal">
      <formula>"Yes"</formula>
    </cfRule>
  </conditionalFormatting>
  <conditionalFormatting sqref="AB23">
    <cfRule type="cellIs" dxfId="314" priority="241" operator="equal">
      <formula>"No"</formula>
    </cfRule>
    <cfRule type="cellIs" dxfId="313" priority="242" operator="equal">
      <formula>"NA"</formula>
    </cfRule>
    <cfRule type="cellIs" dxfId="312" priority="243" operator="equal">
      <formula>"Yes"</formula>
    </cfRule>
  </conditionalFormatting>
  <conditionalFormatting sqref="AB26">
    <cfRule type="cellIs" dxfId="311" priority="238" operator="equal">
      <formula>"No"</formula>
    </cfRule>
    <cfRule type="cellIs" dxfId="310" priority="239" operator="equal">
      <formula>"NA"</formula>
    </cfRule>
    <cfRule type="cellIs" dxfId="309" priority="240" operator="equal">
      <formula>"Yes"</formula>
    </cfRule>
  </conditionalFormatting>
  <conditionalFormatting sqref="AB27">
    <cfRule type="cellIs" dxfId="308" priority="235" operator="equal">
      <formula>"No"</formula>
    </cfRule>
    <cfRule type="cellIs" dxfId="307" priority="236" operator="equal">
      <formula>"NA"</formula>
    </cfRule>
    <cfRule type="cellIs" dxfId="306" priority="237" operator="equal">
      <formula>"Yes"</formula>
    </cfRule>
  </conditionalFormatting>
  <conditionalFormatting sqref="AB31">
    <cfRule type="cellIs" dxfId="305" priority="232" operator="equal">
      <formula>"No"</formula>
    </cfRule>
    <cfRule type="cellIs" dxfId="304" priority="233" operator="equal">
      <formula>"NA"</formula>
    </cfRule>
    <cfRule type="cellIs" dxfId="303" priority="234" operator="equal">
      <formula>"Yes"</formula>
    </cfRule>
  </conditionalFormatting>
  <conditionalFormatting sqref="AB17">
    <cfRule type="cellIs" dxfId="302" priority="229" operator="equal">
      <formula>"No"</formula>
    </cfRule>
    <cfRule type="cellIs" dxfId="301" priority="230" operator="equal">
      <formula>"NA"</formula>
    </cfRule>
    <cfRule type="cellIs" dxfId="300" priority="231" operator="equal">
      <formula>"Yes"</formula>
    </cfRule>
  </conditionalFormatting>
  <conditionalFormatting sqref="AB18">
    <cfRule type="cellIs" dxfId="299" priority="226" operator="equal">
      <formula>"No"</formula>
    </cfRule>
    <cfRule type="cellIs" dxfId="298" priority="227" operator="equal">
      <formula>"NA"</formula>
    </cfRule>
    <cfRule type="cellIs" dxfId="297" priority="228" operator="equal">
      <formula>"Yes"</formula>
    </cfRule>
  </conditionalFormatting>
  <conditionalFormatting sqref="AB16">
    <cfRule type="cellIs" dxfId="296" priority="223" operator="equal">
      <formula>"No"</formula>
    </cfRule>
    <cfRule type="cellIs" dxfId="295" priority="224" operator="equal">
      <formula>"NA"</formula>
    </cfRule>
    <cfRule type="cellIs" dxfId="294" priority="225" operator="equal">
      <formula>"Yes"</formula>
    </cfRule>
  </conditionalFormatting>
  <conditionalFormatting sqref="AB21">
    <cfRule type="cellIs" dxfId="293" priority="220" operator="equal">
      <formula>"No"</formula>
    </cfRule>
    <cfRule type="cellIs" dxfId="292" priority="221" operator="equal">
      <formula>"NA"</formula>
    </cfRule>
    <cfRule type="cellIs" dxfId="291" priority="222" operator="equal">
      <formula>"Yes"</formula>
    </cfRule>
  </conditionalFormatting>
  <conditionalFormatting sqref="AB28">
    <cfRule type="cellIs" dxfId="290" priority="217" operator="equal">
      <formula>"No"</formula>
    </cfRule>
    <cfRule type="cellIs" dxfId="289" priority="218" operator="equal">
      <formula>"NA"</formula>
    </cfRule>
    <cfRule type="cellIs" dxfId="288" priority="219" operator="equal">
      <formula>"Yes"</formula>
    </cfRule>
  </conditionalFormatting>
  <conditionalFormatting sqref="AB30">
    <cfRule type="cellIs" dxfId="287" priority="214" operator="equal">
      <formula>"No"</formula>
    </cfRule>
    <cfRule type="cellIs" dxfId="286" priority="215" operator="equal">
      <formula>"NA"</formula>
    </cfRule>
    <cfRule type="cellIs" dxfId="285" priority="216" operator="equal">
      <formula>"Yes"</formula>
    </cfRule>
  </conditionalFormatting>
  <conditionalFormatting sqref="AB20">
    <cfRule type="cellIs" dxfId="284" priority="211" operator="equal">
      <formula>"No"</formula>
    </cfRule>
    <cfRule type="cellIs" dxfId="283" priority="212" operator="equal">
      <formula>"NA"</formula>
    </cfRule>
    <cfRule type="cellIs" dxfId="282" priority="213" operator="equal">
      <formula>"Yes"</formula>
    </cfRule>
  </conditionalFormatting>
  <conditionalFormatting sqref="AB15">
    <cfRule type="cellIs" dxfId="281" priority="208" operator="equal">
      <formula>"No"</formula>
    </cfRule>
    <cfRule type="cellIs" dxfId="280" priority="209" operator="equal">
      <formula>"NA"</formula>
    </cfRule>
    <cfRule type="cellIs" dxfId="279" priority="210" operator="equal">
      <formula>"Yes"</formula>
    </cfRule>
  </conditionalFormatting>
  <conditionalFormatting sqref="AB14">
    <cfRule type="cellIs" dxfId="278" priority="205" operator="equal">
      <formula>"No"</formula>
    </cfRule>
    <cfRule type="cellIs" dxfId="277" priority="206" operator="equal">
      <formula>"NA"</formula>
    </cfRule>
    <cfRule type="cellIs" dxfId="276" priority="207" operator="equal">
      <formula>"Yes"</formula>
    </cfRule>
  </conditionalFormatting>
  <conditionalFormatting sqref="AB11:AB13">
    <cfRule type="cellIs" dxfId="275" priority="202" operator="equal">
      <formula>"No"</formula>
    </cfRule>
    <cfRule type="cellIs" dxfId="274" priority="203" operator="equal">
      <formula>"NA"</formula>
    </cfRule>
    <cfRule type="cellIs" dxfId="273" priority="204" operator="equal">
      <formula>"Yes"</formula>
    </cfRule>
  </conditionalFormatting>
  <conditionalFormatting sqref="AB7">
    <cfRule type="cellIs" dxfId="272" priority="199" operator="equal">
      <formula>"No"</formula>
    </cfRule>
    <cfRule type="cellIs" dxfId="271" priority="200" operator="equal">
      <formula>"NA"</formula>
    </cfRule>
    <cfRule type="cellIs" dxfId="270" priority="201" operator="equal">
      <formula>"Yes"</formula>
    </cfRule>
  </conditionalFormatting>
  <conditionalFormatting sqref="AC10">
    <cfRule type="cellIs" dxfId="269" priority="196" operator="equal">
      <formula>"No"</formula>
    </cfRule>
    <cfRule type="cellIs" dxfId="268" priority="197" operator="equal">
      <formula>"NA"</formula>
    </cfRule>
    <cfRule type="cellIs" dxfId="267" priority="198" operator="equal">
      <formula>"Yes"</formula>
    </cfRule>
  </conditionalFormatting>
  <conditionalFormatting sqref="AC33">
    <cfRule type="cellIs" dxfId="266" priority="193" operator="equal">
      <formula>"No"</formula>
    </cfRule>
    <cfRule type="cellIs" dxfId="265" priority="194" operator="equal">
      <formula>"NA"</formula>
    </cfRule>
    <cfRule type="cellIs" dxfId="264" priority="195" operator="equal">
      <formula>"Yes"</formula>
    </cfRule>
  </conditionalFormatting>
  <conditionalFormatting sqref="AC6">
    <cfRule type="cellIs" dxfId="263" priority="190" operator="equal">
      <formula>"No"</formula>
    </cfRule>
    <cfRule type="cellIs" dxfId="262" priority="191" operator="equal">
      <formula>"NA"</formula>
    </cfRule>
    <cfRule type="cellIs" dxfId="261" priority="192" operator="equal">
      <formula>"Yes"</formula>
    </cfRule>
  </conditionalFormatting>
  <conditionalFormatting sqref="AC9">
    <cfRule type="cellIs" dxfId="260" priority="187" operator="equal">
      <formula>"No"</formula>
    </cfRule>
    <cfRule type="cellIs" dxfId="259" priority="188" operator="equal">
      <formula>"NA"</formula>
    </cfRule>
    <cfRule type="cellIs" dxfId="258" priority="189" operator="equal">
      <formula>"Yes"</formula>
    </cfRule>
  </conditionalFormatting>
  <conditionalFormatting sqref="AC19">
    <cfRule type="cellIs" dxfId="257" priority="184" operator="equal">
      <formula>"No"</formula>
    </cfRule>
    <cfRule type="cellIs" dxfId="256" priority="185" operator="equal">
      <formula>"NA"</formula>
    </cfRule>
    <cfRule type="cellIs" dxfId="255" priority="186" operator="equal">
      <formula>"Yes"</formula>
    </cfRule>
  </conditionalFormatting>
  <conditionalFormatting sqref="AC22">
    <cfRule type="cellIs" dxfId="254" priority="181" operator="equal">
      <formula>"No"</formula>
    </cfRule>
    <cfRule type="cellIs" dxfId="253" priority="182" operator="equal">
      <formula>"NA"</formula>
    </cfRule>
    <cfRule type="cellIs" dxfId="252" priority="183" operator="equal">
      <formula>"Yes"</formula>
    </cfRule>
  </conditionalFormatting>
  <conditionalFormatting sqref="AC23">
    <cfRule type="cellIs" dxfId="251" priority="178" operator="equal">
      <formula>"No"</formula>
    </cfRule>
    <cfRule type="cellIs" dxfId="250" priority="179" operator="equal">
      <formula>"NA"</formula>
    </cfRule>
    <cfRule type="cellIs" dxfId="249" priority="180" operator="equal">
      <formula>"Yes"</formula>
    </cfRule>
  </conditionalFormatting>
  <conditionalFormatting sqref="AC25">
    <cfRule type="cellIs" dxfId="248" priority="175" operator="equal">
      <formula>"No"</formula>
    </cfRule>
    <cfRule type="cellIs" dxfId="247" priority="176" operator="equal">
      <formula>"NA"</formula>
    </cfRule>
    <cfRule type="cellIs" dxfId="246" priority="177" operator="equal">
      <formula>"Yes"</formula>
    </cfRule>
  </conditionalFormatting>
  <conditionalFormatting sqref="AC26">
    <cfRule type="cellIs" dxfId="245" priority="172" operator="equal">
      <formula>"No"</formula>
    </cfRule>
    <cfRule type="cellIs" dxfId="244" priority="173" operator="equal">
      <formula>"NA"</formula>
    </cfRule>
    <cfRule type="cellIs" dxfId="243" priority="174" operator="equal">
      <formula>"Yes"</formula>
    </cfRule>
  </conditionalFormatting>
  <conditionalFormatting sqref="AC27">
    <cfRule type="cellIs" dxfId="242" priority="169" operator="equal">
      <formula>"No"</formula>
    </cfRule>
    <cfRule type="cellIs" dxfId="241" priority="170" operator="equal">
      <formula>"NA"</formula>
    </cfRule>
    <cfRule type="cellIs" dxfId="240" priority="171" operator="equal">
      <formula>"Yes"</formula>
    </cfRule>
  </conditionalFormatting>
  <conditionalFormatting sqref="AC31">
    <cfRule type="cellIs" dxfId="239" priority="166" operator="equal">
      <formula>"No"</formula>
    </cfRule>
    <cfRule type="cellIs" dxfId="238" priority="167" operator="equal">
      <formula>"NA"</formula>
    </cfRule>
    <cfRule type="cellIs" dxfId="237" priority="168" operator="equal">
      <formula>"Yes"</formula>
    </cfRule>
  </conditionalFormatting>
  <conditionalFormatting sqref="AC17">
    <cfRule type="cellIs" dxfId="236" priority="163" operator="equal">
      <formula>"No"</formula>
    </cfRule>
    <cfRule type="cellIs" dxfId="235" priority="164" operator="equal">
      <formula>"NA"</formula>
    </cfRule>
    <cfRule type="cellIs" dxfId="234" priority="165" operator="equal">
      <formula>"Yes"</formula>
    </cfRule>
  </conditionalFormatting>
  <conditionalFormatting sqref="AC18">
    <cfRule type="cellIs" dxfId="233" priority="160" operator="equal">
      <formula>"No"</formula>
    </cfRule>
    <cfRule type="cellIs" dxfId="232" priority="161" operator="equal">
      <formula>"NA"</formula>
    </cfRule>
    <cfRule type="cellIs" dxfId="231" priority="162" operator="equal">
      <formula>"Yes"</formula>
    </cfRule>
  </conditionalFormatting>
  <conditionalFormatting sqref="AC16">
    <cfRule type="cellIs" dxfId="230" priority="157" operator="equal">
      <formula>"No"</formula>
    </cfRule>
    <cfRule type="cellIs" dxfId="229" priority="158" operator="equal">
      <formula>"NA"</formula>
    </cfRule>
    <cfRule type="cellIs" dxfId="228" priority="159" operator="equal">
      <formula>"Yes"</formula>
    </cfRule>
  </conditionalFormatting>
  <conditionalFormatting sqref="AC21">
    <cfRule type="cellIs" dxfId="227" priority="154" operator="equal">
      <formula>"No"</formula>
    </cfRule>
    <cfRule type="cellIs" dxfId="226" priority="155" operator="equal">
      <formula>"NA"</formula>
    </cfRule>
    <cfRule type="cellIs" dxfId="225" priority="156" operator="equal">
      <formula>"Yes"</formula>
    </cfRule>
  </conditionalFormatting>
  <conditionalFormatting sqref="AC28">
    <cfRule type="cellIs" dxfId="224" priority="151" operator="equal">
      <formula>"No"</formula>
    </cfRule>
    <cfRule type="cellIs" dxfId="223" priority="152" operator="equal">
      <formula>"NA"</formula>
    </cfRule>
    <cfRule type="cellIs" dxfId="222" priority="153" operator="equal">
      <formula>"Yes"</formula>
    </cfRule>
  </conditionalFormatting>
  <conditionalFormatting sqref="AC30">
    <cfRule type="cellIs" dxfId="221" priority="148" operator="equal">
      <formula>"No"</formula>
    </cfRule>
    <cfRule type="cellIs" dxfId="220" priority="149" operator="equal">
      <formula>"NA"</formula>
    </cfRule>
    <cfRule type="cellIs" dxfId="219" priority="150" operator="equal">
      <formula>"Yes"</formula>
    </cfRule>
  </conditionalFormatting>
  <conditionalFormatting sqref="AC20">
    <cfRule type="cellIs" dxfId="218" priority="145" operator="equal">
      <formula>"No"</formula>
    </cfRule>
    <cfRule type="cellIs" dxfId="217" priority="146" operator="equal">
      <formula>"NA"</formula>
    </cfRule>
    <cfRule type="cellIs" dxfId="216" priority="147" operator="equal">
      <formula>"Yes"</formula>
    </cfRule>
  </conditionalFormatting>
  <conditionalFormatting sqref="AC15">
    <cfRule type="cellIs" dxfId="215" priority="142" operator="equal">
      <formula>"No"</formula>
    </cfRule>
    <cfRule type="cellIs" dxfId="214" priority="143" operator="equal">
      <formula>"NA"</formula>
    </cfRule>
    <cfRule type="cellIs" dxfId="213" priority="144" operator="equal">
      <formula>"Yes"</formula>
    </cfRule>
  </conditionalFormatting>
  <conditionalFormatting sqref="AC14">
    <cfRule type="cellIs" dxfId="212" priority="139" operator="equal">
      <formula>"No"</formula>
    </cfRule>
    <cfRule type="cellIs" dxfId="211" priority="140" operator="equal">
      <formula>"NA"</formula>
    </cfRule>
    <cfRule type="cellIs" dxfId="210" priority="141" operator="equal">
      <formula>"Yes"</formula>
    </cfRule>
  </conditionalFormatting>
  <conditionalFormatting sqref="AC11:AC13">
    <cfRule type="cellIs" dxfId="209" priority="136" operator="equal">
      <formula>"No"</formula>
    </cfRule>
    <cfRule type="cellIs" dxfId="208" priority="137" operator="equal">
      <formula>"NA"</formula>
    </cfRule>
    <cfRule type="cellIs" dxfId="207" priority="138" operator="equal">
      <formula>"Yes"</formula>
    </cfRule>
  </conditionalFormatting>
  <conditionalFormatting sqref="AC7">
    <cfRule type="cellIs" dxfId="206" priority="133" operator="equal">
      <formula>"No"</formula>
    </cfRule>
    <cfRule type="cellIs" dxfId="205" priority="134" operator="equal">
      <formula>"NA"</formula>
    </cfRule>
    <cfRule type="cellIs" dxfId="204" priority="135" operator="equal">
      <formula>"Yes"</formula>
    </cfRule>
  </conditionalFormatting>
  <conditionalFormatting sqref="AD25">
    <cfRule type="cellIs" dxfId="203" priority="130" operator="equal">
      <formula>"No"</formula>
    </cfRule>
    <cfRule type="cellIs" dxfId="202" priority="131" operator="equal">
      <formula>"NA"</formula>
    </cfRule>
    <cfRule type="cellIs" dxfId="201" priority="132" operator="equal">
      <formula>"Yes"</formula>
    </cfRule>
  </conditionalFormatting>
  <conditionalFormatting sqref="AD10">
    <cfRule type="cellIs" dxfId="200" priority="127" operator="equal">
      <formula>"No"</formula>
    </cfRule>
    <cfRule type="cellIs" dxfId="199" priority="128" operator="equal">
      <formula>"NA"</formula>
    </cfRule>
    <cfRule type="cellIs" dxfId="198" priority="129" operator="equal">
      <formula>"Yes"</formula>
    </cfRule>
  </conditionalFormatting>
  <conditionalFormatting sqref="AD33">
    <cfRule type="cellIs" dxfId="197" priority="124" operator="equal">
      <formula>"No"</formula>
    </cfRule>
    <cfRule type="cellIs" dxfId="196" priority="125" operator="equal">
      <formula>"NA"</formula>
    </cfRule>
    <cfRule type="cellIs" dxfId="195" priority="126" operator="equal">
      <formula>"Yes"</formula>
    </cfRule>
  </conditionalFormatting>
  <conditionalFormatting sqref="AD6">
    <cfRule type="cellIs" dxfId="194" priority="121" operator="equal">
      <formula>"No"</formula>
    </cfRule>
    <cfRule type="cellIs" dxfId="193" priority="122" operator="equal">
      <formula>"NA"</formula>
    </cfRule>
    <cfRule type="cellIs" dxfId="192" priority="123" operator="equal">
      <formula>"Yes"</formula>
    </cfRule>
  </conditionalFormatting>
  <conditionalFormatting sqref="AD9">
    <cfRule type="cellIs" dxfId="191" priority="118" operator="equal">
      <formula>"No"</formula>
    </cfRule>
    <cfRule type="cellIs" dxfId="190" priority="119" operator="equal">
      <formula>"NA"</formula>
    </cfRule>
    <cfRule type="cellIs" dxfId="189" priority="120" operator="equal">
      <formula>"Yes"</formula>
    </cfRule>
  </conditionalFormatting>
  <conditionalFormatting sqref="AD19">
    <cfRule type="cellIs" dxfId="188" priority="115" operator="equal">
      <formula>"No"</formula>
    </cfRule>
    <cfRule type="cellIs" dxfId="187" priority="116" operator="equal">
      <formula>"NA"</formula>
    </cfRule>
    <cfRule type="cellIs" dxfId="186" priority="117" operator="equal">
      <formula>"Yes"</formula>
    </cfRule>
  </conditionalFormatting>
  <conditionalFormatting sqref="AD22">
    <cfRule type="cellIs" dxfId="185" priority="112" operator="equal">
      <formula>"No"</formula>
    </cfRule>
    <cfRule type="cellIs" dxfId="184" priority="113" operator="equal">
      <formula>"NA"</formula>
    </cfRule>
    <cfRule type="cellIs" dxfId="183" priority="114" operator="equal">
      <formula>"Yes"</formula>
    </cfRule>
  </conditionalFormatting>
  <conditionalFormatting sqref="AD23">
    <cfRule type="cellIs" dxfId="182" priority="109" operator="equal">
      <formula>"No"</formula>
    </cfRule>
    <cfRule type="cellIs" dxfId="181" priority="110" operator="equal">
      <formula>"NA"</formula>
    </cfRule>
    <cfRule type="cellIs" dxfId="180" priority="111" operator="equal">
      <formula>"Yes"</formula>
    </cfRule>
  </conditionalFormatting>
  <conditionalFormatting sqref="AD26">
    <cfRule type="cellIs" dxfId="179" priority="106" operator="equal">
      <formula>"No"</formula>
    </cfRule>
    <cfRule type="cellIs" dxfId="178" priority="107" operator="equal">
      <formula>"NA"</formula>
    </cfRule>
    <cfRule type="cellIs" dxfId="177" priority="108" operator="equal">
      <formula>"Yes"</formula>
    </cfRule>
  </conditionalFormatting>
  <conditionalFormatting sqref="AD27">
    <cfRule type="cellIs" dxfId="176" priority="103" operator="equal">
      <formula>"No"</formula>
    </cfRule>
    <cfRule type="cellIs" dxfId="175" priority="104" operator="equal">
      <formula>"NA"</formula>
    </cfRule>
    <cfRule type="cellIs" dxfId="174" priority="105" operator="equal">
      <formula>"Yes"</formula>
    </cfRule>
  </conditionalFormatting>
  <conditionalFormatting sqref="AD31">
    <cfRule type="cellIs" dxfId="173" priority="100" operator="equal">
      <formula>"No"</formula>
    </cfRule>
    <cfRule type="cellIs" dxfId="172" priority="101" operator="equal">
      <formula>"NA"</formula>
    </cfRule>
    <cfRule type="cellIs" dxfId="171" priority="102" operator="equal">
      <formula>"Yes"</formula>
    </cfRule>
  </conditionalFormatting>
  <conditionalFormatting sqref="AD17">
    <cfRule type="cellIs" dxfId="170" priority="97" operator="equal">
      <formula>"No"</formula>
    </cfRule>
    <cfRule type="cellIs" dxfId="169" priority="98" operator="equal">
      <formula>"NA"</formula>
    </cfRule>
    <cfRule type="cellIs" dxfId="168" priority="99" operator="equal">
      <formula>"Yes"</formula>
    </cfRule>
  </conditionalFormatting>
  <conditionalFormatting sqref="AD18">
    <cfRule type="cellIs" dxfId="167" priority="94" operator="equal">
      <formula>"No"</formula>
    </cfRule>
    <cfRule type="cellIs" dxfId="166" priority="95" operator="equal">
      <formula>"NA"</formula>
    </cfRule>
    <cfRule type="cellIs" dxfId="165" priority="96" operator="equal">
      <formula>"Yes"</formula>
    </cfRule>
  </conditionalFormatting>
  <conditionalFormatting sqref="AD16">
    <cfRule type="cellIs" dxfId="164" priority="91" operator="equal">
      <formula>"No"</formula>
    </cfRule>
    <cfRule type="cellIs" dxfId="163" priority="92" operator="equal">
      <formula>"NA"</formula>
    </cfRule>
    <cfRule type="cellIs" dxfId="162" priority="93" operator="equal">
      <formula>"Yes"</formula>
    </cfRule>
  </conditionalFormatting>
  <conditionalFormatting sqref="AD21">
    <cfRule type="cellIs" dxfId="161" priority="88" operator="equal">
      <formula>"No"</formula>
    </cfRule>
    <cfRule type="cellIs" dxfId="160" priority="89" operator="equal">
      <formula>"NA"</formula>
    </cfRule>
    <cfRule type="cellIs" dxfId="159" priority="90" operator="equal">
      <formula>"Yes"</formula>
    </cfRule>
  </conditionalFormatting>
  <conditionalFormatting sqref="AD28">
    <cfRule type="cellIs" dxfId="158" priority="85" operator="equal">
      <formula>"No"</formula>
    </cfRule>
    <cfRule type="cellIs" dxfId="157" priority="86" operator="equal">
      <formula>"NA"</formula>
    </cfRule>
    <cfRule type="cellIs" dxfId="156" priority="87" operator="equal">
      <formula>"Yes"</formula>
    </cfRule>
  </conditionalFormatting>
  <conditionalFormatting sqref="AD30">
    <cfRule type="cellIs" dxfId="155" priority="82" operator="equal">
      <formula>"No"</formula>
    </cfRule>
    <cfRule type="cellIs" dxfId="154" priority="83" operator="equal">
      <formula>"NA"</formula>
    </cfRule>
    <cfRule type="cellIs" dxfId="153" priority="84" operator="equal">
      <formula>"Yes"</formula>
    </cfRule>
  </conditionalFormatting>
  <conditionalFormatting sqref="AD20">
    <cfRule type="cellIs" dxfId="152" priority="79" operator="equal">
      <formula>"No"</formula>
    </cfRule>
    <cfRule type="cellIs" dxfId="151" priority="80" operator="equal">
      <formula>"NA"</formula>
    </cfRule>
    <cfRule type="cellIs" dxfId="150" priority="81" operator="equal">
      <formula>"Yes"</formula>
    </cfRule>
  </conditionalFormatting>
  <conditionalFormatting sqref="AD15">
    <cfRule type="cellIs" dxfId="149" priority="76" operator="equal">
      <formula>"No"</formula>
    </cfRule>
    <cfRule type="cellIs" dxfId="148" priority="77" operator="equal">
      <formula>"NA"</formula>
    </cfRule>
    <cfRule type="cellIs" dxfId="147" priority="78" operator="equal">
      <formula>"Yes"</formula>
    </cfRule>
  </conditionalFormatting>
  <conditionalFormatting sqref="AD14">
    <cfRule type="cellIs" dxfId="146" priority="73" operator="equal">
      <formula>"No"</formula>
    </cfRule>
    <cfRule type="cellIs" dxfId="145" priority="74" operator="equal">
      <formula>"NA"</formula>
    </cfRule>
    <cfRule type="cellIs" dxfId="144" priority="75" operator="equal">
      <formula>"Yes"</formula>
    </cfRule>
  </conditionalFormatting>
  <conditionalFormatting sqref="AD11:AD13">
    <cfRule type="cellIs" dxfId="143" priority="70" operator="equal">
      <formula>"No"</formula>
    </cfRule>
    <cfRule type="cellIs" dxfId="142" priority="71" operator="equal">
      <formula>"NA"</formula>
    </cfRule>
    <cfRule type="cellIs" dxfId="141" priority="72" operator="equal">
      <formula>"Yes"</formula>
    </cfRule>
  </conditionalFormatting>
  <conditionalFormatting sqref="AD7">
    <cfRule type="cellIs" dxfId="140" priority="67" operator="equal">
      <formula>"No"</formula>
    </cfRule>
    <cfRule type="cellIs" dxfId="139" priority="68" operator="equal">
      <formula>"NA"</formula>
    </cfRule>
    <cfRule type="cellIs" dxfId="138" priority="69" operator="equal">
      <formula>"Yes"</formula>
    </cfRule>
  </conditionalFormatting>
  <conditionalFormatting sqref="AE25">
    <cfRule type="cellIs" dxfId="137" priority="64" operator="equal">
      <formula>"No"</formula>
    </cfRule>
    <cfRule type="cellIs" dxfId="136" priority="65" operator="equal">
      <formula>"NA"</formula>
    </cfRule>
    <cfRule type="cellIs" dxfId="135" priority="66" operator="equal">
      <formula>"Yes"</formula>
    </cfRule>
  </conditionalFormatting>
  <conditionalFormatting sqref="AE10">
    <cfRule type="cellIs" dxfId="134" priority="61" operator="equal">
      <formula>"No"</formula>
    </cfRule>
    <cfRule type="cellIs" dxfId="133" priority="62" operator="equal">
      <formula>"NA"</formula>
    </cfRule>
    <cfRule type="cellIs" dxfId="132" priority="63" operator="equal">
      <formula>"Yes"</formula>
    </cfRule>
  </conditionalFormatting>
  <conditionalFormatting sqref="AE33">
    <cfRule type="cellIs" dxfId="131" priority="58" operator="equal">
      <formula>"No"</formula>
    </cfRule>
    <cfRule type="cellIs" dxfId="130" priority="59" operator="equal">
      <formula>"NA"</formula>
    </cfRule>
    <cfRule type="cellIs" dxfId="129" priority="60" operator="equal">
      <formula>"Yes"</formula>
    </cfRule>
  </conditionalFormatting>
  <conditionalFormatting sqref="AE6">
    <cfRule type="cellIs" dxfId="128" priority="55" operator="equal">
      <formula>"No"</formula>
    </cfRule>
    <cfRule type="cellIs" dxfId="127" priority="56" operator="equal">
      <formula>"NA"</formula>
    </cfRule>
    <cfRule type="cellIs" dxfId="126" priority="57" operator="equal">
      <formula>"Yes"</formula>
    </cfRule>
  </conditionalFormatting>
  <conditionalFormatting sqref="AE9">
    <cfRule type="cellIs" dxfId="125" priority="52" operator="equal">
      <formula>"No"</formula>
    </cfRule>
    <cfRule type="cellIs" dxfId="124" priority="53" operator="equal">
      <formula>"NA"</formula>
    </cfRule>
    <cfRule type="cellIs" dxfId="123" priority="54" operator="equal">
      <formula>"Yes"</formula>
    </cfRule>
  </conditionalFormatting>
  <conditionalFormatting sqref="AE19">
    <cfRule type="cellIs" dxfId="122" priority="49" operator="equal">
      <formula>"No"</formula>
    </cfRule>
    <cfRule type="cellIs" dxfId="121" priority="50" operator="equal">
      <formula>"NA"</formula>
    </cfRule>
    <cfRule type="cellIs" dxfId="120" priority="51" operator="equal">
      <formula>"Yes"</formula>
    </cfRule>
  </conditionalFormatting>
  <conditionalFormatting sqref="AE22">
    <cfRule type="cellIs" dxfId="119" priority="46" operator="equal">
      <formula>"No"</formula>
    </cfRule>
    <cfRule type="cellIs" dxfId="118" priority="47" operator="equal">
      <formula>"NA"</formula>
    </cfRule>
    <cfRule type="cellIs" dxfId="117" priority="48" operator="equal">
      <formula>"Yes"</formula>
    </cfRule>
  </conditionalFormatting>
  <conditionalFormatting sqref="AE23">
    <cfRule type="cellIs" dxfId="116" priority="43" operator="equal">
      <formula>"No"</formula>
    </cfRule>
    <cfRule type="cellIs" dxfId="115" priority="44" operator="equal">
      <formula>"NA"</formula>
    </cfRule>
    <cfRule type="cellIs" dxfId="114" priority="45" operator="equal">
      <formula>"Yes"</formula>
    </cfRule>
  </conditionalFormatting>
  <conditionalFormatting sqref="AE26">
    <cfRule type="cellIs" dxfId="113" priority="40" operator="equal">
      <formula>"No"</formula>
    </cfRule>
    <cfRule type="cellIs" dxfId="112" priority="41" operator="equal">
      <formula>"NA"</formula>
    </cfRule>
    <cfRule type="cellIs" dxfId="111" priority="42" operator="equal">
      <formula>"Yes"</formula>
    </cfRule>
  </conditionalFormatting>
  <conditionalFormatting sqref="AE27">
    <cfRule type="cellIs" dxfId="110" priority="37" operator="equal">
      <formula>"No"</formula>
    </cfRule>
    <cfRule type="cellIs" dxfId="109" priority="38" operator="equal">
      <formula>"NA"</formula>
    </cfRule>
    <cfRule type="cellIs" dxfId="108" priority="39" operator="equal">
      <formula>"Yes"</formula>
    </cfRule>
  </conditionalFormatting>
  <conditionalFormatting sqref="AE31">
    <cfRule type="cellIs" dxfId="107" priority="34" operator="equal">
      <formula>"No"</formula>
    </cfRule>
    <cfRule type="cellIs" dxfId="106" priority="35" operator="equal">
      <formula>"NA"</formula>
    </cfRule>
    <cfRule type="cellIs" dxfId="105" priority="36" operator="equal">
      <formula>"Yes"</formula>
    </cfRule>
  </conditionalFormatting>
  <conditionalFormatting sqref="AE17">
    <cfRule type="cellIs" dxfId="104" priority="31" operator="equal">
      <formula>"No"</formula>
    </cfRule>
    <cfRule type="cellIs" dxfId="103" priority="32" operator="equal">
      <formula>"NA"</formula>
    </cfRule>
    <cfRule type="cellIs" dxfId="102" priority="33" operator="equal">
      <formula>"Yes"</formula>
    </cfRule>
  </conditionalFormatting>
  <conditionalFormatting sqref="AE18">
    <cfRule type="cellIs" dxfId="101" priority="28" operator="equal">
      <formula>"No"</formula>
    </cfRule>
    <cfRule type="cellIs" dxfId="100" priority="29" operator="equal">
      <formula>"NA"</formula>
    </cfRule>
    <cfRule type="cellIs" dxfId="99" priority="30" operator="equal">
      <formula>"Yes"</formula>
    </cfRule>
  </conditionalFormatting>
  <conditionalFormatting sqref="AE16">
    <cfRule type="cellIs" dxfId="98" priority="25" operator="equal">
      <formula>"No"</formula>
    </cfRule>
    <cfRule type="cellIs" dxfId="97" priority="26" operator="equal">
      <formula>"NA"</formula>
    </cfRule>
    <cfRule type="cellIs" dxfId="96" priority="27" operator="equal">
      <formula>"Yes"</formula>
    </cfRule>
  </conditionalFormatting>
  <conditionalFormatting sqref="AE21">
    <cfRule type="cellIs" dxfId="95" priority="22" operator="equal">
      <formula>"No"</formula>
    </cfRule>
    <cfRule type="cellIs" dxfId="94" priority="23" operator="equal">
      <formula>"NA"</formula>
    </cfRule>
    <cfRule type="cellIs" dxfId="93" priority="24" operator="equal">
      <formula>"Yes"</formula>
    </cfRule>
  </conditionalFormatting>
  <conditionalFormatting sqref="AE28">
    <cfRule type="cellIs" dxfId="92" priority="19" operator="equal">
      <formula>"No"</formula>
    </cfRule>
    <cfRule type="cellIs" dxfId="91" priority="20" operator="equal">
      <formula>"NA"</formula>
    </cfRule>
    <cfRule type="cellIs" dxfId="90" priority="21" operator="equal">
      <formula>"Yes"</formula>
    </cfRule>
  </conditionalFormatting>
  <conditionalFormatting sqref="AE30">
    <cfRule type="cellIs" dxfId="89" priority="16" operator="equal">
      <formula>"No"</formula>
    </cfRule>
    <cfRule type="cellIs" dxfId="88" priority="17" operator="equal">
      <formula>"NA"</formula>
    </cfRule>
    <cfRule type="cellIs" dxfId="87" priority="18" operator="equal">
      <formula>"Yes"</formula>
    </cfRule>
  </conditionalFormatting>
  <conditionalFormatting sqref="AE20">
    <cfRule type="cellIs" dxfId="86" priority="13" operator="equal">
      <formula>"No"</formula>
    </cfRule>
    <cfRule type="cellIs" dxfId="85" priority="14" operator="equal">
      <formula>"NA"</formula>
    </cfRule>
    <cfRule type="cellIs" dxfId="84" priority="15" operator="equal">
      <formula>"Yes"</formula>
    </cfRule>
  </conditionalFormatting>
  <conditionalFormatting sqref="AE15">
    <cfRule type="cellIs" dxfId="83" priority="10" operator="equal">
      <formula>"No"</formula>
    </cfRule>
    <cfRule type="cellIs" dxfId="82" priority="11" operator="equal">
      <formula>"NA"</formula>
    </cfRule>
    <cfRule type="cellIs" dxfId="81" priority="12" operator="equal">
      <formula>"Yes"</formula>
    </cfRule>
  </conditionalFormatting>
  <conditionalFormatting sqref="AE14">
    <cfRule type="cellIs" dxfId="80" priority="7" operator="equal">
      <formula>"No"</formula>
    </cfRule>
    <cfRule type="cellIs" dxfId="79" priority="8" operator="equal">
      <formula>"NA"</formula>
    </cfRule>
    <cfRule type="cellIs" dxfId="78" priority="9" operator="equal">
      <formula>"Yes"</formula>
    </cfRule>
  </conditionalFormatting>
  <conditionalFormatting sqref="AE11:AE13">
    <cfRule type="cellIs" dxfId="77" priority="4" operator="equal">
      <formula>"No"</formula>
    </cfRule>
    <cfRule type="cellIs" dxfId="76" priority="5" operator="equal">
      <formula>"NA"</formula>
    </cfRule>
    <cfRule type="cellIs" dxfId="75" priority="6" operator="equal">
      <formula>"Yes"</formula>
    </cfRule>
  </conditionalFormatting>
  <conditionalFormatting sqref="AE7">
    <cfRule type="cellIs" dxfId="74" priority="1" operator="equal">
      <formula>"No"</formula>
    </cfRule>
    <cfRule type="cellIs" dxfId="73" priority="2" operator="equal">
      <formula>"NA"</formula>
    </cfRule>
    <cfRule type="cellIs" dxfId="72" priority="3" operator="equal">
      <formula>"Yes"</formula>
    </cfRule>
  </conditionalFormatting>
  <dataValidations count="1">
    <dataValidation type="list" allowBlank="1" showInputMessage="1" showErrorMessage="1" sqref="C33:AE33 C30:AE31 C9:AE23 C6:AE7 C25:AE28"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9F62C-D37E-4A45-828A-BC3C7C0EB8EC}">
  <sheetPr>
    <tabColor theme="7" tint="0.39997558519241921"/>
  </sheetPr>
  <dimension ref="A2:F38"/>
  <sheetViews>
    <sheetView workbookViewId="0">
      <selection activeCell="C3" sqref="C3"/>
    </sheetView>
  </sheetViews>
  <sheetFormatPr defaultRowHeight="12.75" outlineLevelCol="1"/>
  <cols>
    <col min="1" max="1" width="12.5703125" style="146" bestFit="1" customWidth="1"/>
    <col min="2" max="2" width="61" style="145" customWidth="1"/>
    <col min="3" max="3" width="6.28515625" style="144" bestFit="1" customWidth="1"/>
    <col min="4" max="4" width="33.7109375" style="144" customWidth="1"/>
    <col min="5" max="6" width="30.7109375" style="144" customWidth="1" outlineLevel="1"/>
  </cols>
  <sheetData>
    <row r="2" spans="1:6" ht="69.75">
      <c r="A2" s="169" t="s">
        <v>263</v>
      </c>
      <c r="B2" s="170" t="s">
        <v>394</v>
      </c>
      <c r="C2" s="171" t="s">
        <v>435</v>
      </c>
      <c r="D2" s="172" t="s">
        <v>264</v>
      </c>
      <c r="E2" s="325" t="s">
        <v>165</v>
      </c>
      <c r="F2" s="326"/>
    </row>
    <row r="3" spans="1:6" ht="18.75">
      <c r="A3" s="173"/>
      <c r="B3" s="174"/>
      <c r="C3" s="175">
        <f>COUNTIF(Review.ratings,"Yes") / ( COUNTA(Review.QuestionIds) - COUNTIF(Review.ratings,"NA"))</f>
        <v>0.88888888888888884</v>
      </c>
      <c r="D3" s="180"/>
      <c r="E3" s="188" t="s">
        <v>265</v>
      </c>
      <c r="F3" s="188" t="s">
        <v>266</v>
      </c>
    </row>
    <row r="4" spans="1:6" ht="36">
      <c r="A4" s="176"/>
      <c r="B4" s="177" t="s">
        <v>267</v>
      </c>
      <c r="C4" s="178"/>
      <c r="D4" s="178"/>
      <c r="E4" s="178"/>
      <c r="F4" s="179"/>
    </row>
    <row r="5" spans="1:6" ht="18.75">
      <c r="A5" s="147"/>
      <c r="B5" s="156" t="s">
        <v>395</v>
      </c>
      <c r="C5" s="148"/>
      <c r="D5" s="148"/>
      <c r="E5" s="188"/>
      <c r="F5" s="188"/>
    </row>
    <row r="6" spans="1:6" ht="25.5">
      <c r="A6" s="150" t="s">
        <v>396</v>
      </c>
      <c r="B6" s="159" t="s">
        <v>397</v>
      </c>
      <c r="C6" s="182" t="s">
        <v>110</v>
      </c>
      <c r="D6" s="183"/>
      <c r="E6" s="149"/>
      <c r="F6" s="149"/>
    </row>
    <row r="7" spans="1:6" ht="38.25">
      <c r="A7" s="150" t="s">
        <v>398</v>
      </c>
      <c r="B7" s="159" t="s">
        <v>399</v>
      </c>
      <c r="C7" s="182" t="s">
        <v>110</v>
      </c>
      <c r="D7" s="183"/>
      <c r="E7" s="151" t="s">
        <v>400</v>
      </c>
      <c r="F7" s="149"/>
    </row>
    <row r="8" spans="1:6" ht="25.5">
      <c r="A8" s="150" t="s">
        <v>401</v>
      </c>
      <c r="B8" s="159" t="s">
        <v>402</v>
      </c>
      <c r="C8" s="182" t="s">
        <v>110</v>
      </c>
      <c r="D8" s="183"/>
      <c r="E8" s="149"/>
      <c r="F8" s="149"/>
    </row>
    <row r="9" spans="1:6" ht="25.5">
      <c r="A9" s="150" t="s">
        <v>403</v>
      </c>
      <c r="B9" s="159" t="s">
        <v>404</v>
      </c>
      <c r="C9" s="182" t="s">
        <v>110</v>
      </c>
      <c r="D9" s="183"/>
      <c r="E9" s="149"/>
      <c r="F9" s="149"/>
    </row>
    <row r="10" spans="1:6" ht="38.25">
      <c r="A10" s="150" t="s">
        <v>405</v>
      </c>
      <c r="B10" s="159" t="s">
        <v>406</v>
      </c>
      <c r="C10" s="182" t="s">
        <v>110</v>
      </c>
      <c r="D10" s="183"/>
      <c r="E10" s="149"/>
      <c r="F10" s="149"/>
    </row>
    <row r="11" spans="1:6" ht="18.75">
      <c r="A11" s="147"/>
      <c r="B11" s="156" t="s">
        <v>407</v>
      </c>
      <c r="C11" s="148"/>
      <c r="D11" s="148"/>
      <c r="E11" s="188"/>
      <c r="F11" s="188"/>
    </row>
    <row r="12" spans="1:6" ht="63.75">
      <c r="A12" s="150" t="s">
        <v>408</v>
      </c>
      <c r="B12" s="159" t="s">
        <v>409</v>
      </c>
      <c r="C12" s="182" t="s">
        <v>114</v>
      </c>
      <c r="D12" s="191" t="s">
        <v>410</v>
      </c>
      <c r="E12" s="149"/>
      <c r="F12" s="149"/>
    </row>
    <row r="13" spans="1:6" ht="63.75">
      <c r="A13" s="150" t="s">
        <v>411</v>
      </c>
      <c r="B13" s="159" t="s">
        <v>412</v>
      </c>
      <c r="C13" s="182" t="s">
        <v>110</v>
      </c>
      <c r="D13" s="183"/>
      <c r="E13" s="149"/>
      <c r="F13" s="149"/>
    </row>
    <row r="14" spans="1:6" ht="51">
      <c r="A14" s="150" t="s">
        <v>413</v>
      </c>
      <c r="B14" s="159" t="s">
        <v>414</v>
      </c>
      <c r="C14" s="182" t="s">
        <v>110</v>
      </c>
      <c r="D14" s="183"/>
      <c r="E14" s="149"/>
      <c r="F14" s="149"/>
    </row>
    <row r="15" spans="1:6" ht="25.5">
      <c r="A15" s="150" t="s">
        <v>415</v>
      </c>
      <c r="B15" s="159" t="s">
        <v>416</v>
      </c>
      <c r="C15" s="182" t="s">
        <v>110</v>
      </c>
      <c r="D15" s="183"/>
      <c r="E15" s="149"/>
      <c r="F15" s="149"/>
    </row>
    <row r="16" spans="1:6" ht="18.75">
      <c r="A16" s="147"/>
      <c r="B16" s="156" t="s">
        <v>417</v>
      </c>
      <c r="C16" s="148"/>
      <c r="D16" s="148"/>
      <c r="E16" s="188"/>
      <c r="F16" s="188"/>
    </row>
    <row r="17" spans="1:6" ht="38.25">
      <c r="A17" s="150" t="s">
        <v>418</v>
      </c>
      <c r="B17" s="159" t="s">
        <v>419</v>
      </c>
      <c r="C17" s="182" t="s">
        <v>112</v>
      </c>
      <c r="D17" s="183"/>
      <c r="E17" s="149"/>
      <c r="F17" s="149"/>
    </row>
    <row r="18" spans="1:6" ht="76.5">
      <c r="A18" s="150" t="s">
        <v>420</v>
      </c>
      <c r="B18" s="159" t="s">
        <v>421</v>
      </c>
      <c r="C18" s="182" t="s">
        <v>112</v>
      </c>
      <c r="D18" s="183"/>
      <c r="E18" s="149"/>
      <c r="F18" s="149"/>
    </row>
    <row r="19" spans="1:6" ht="18.75">
      <c r="A19" s="147"/>
      <c r="B19" s="156" t="s">
        <v>293</v>
      </c>
      <c r="C19" s="148"/>
      <c r="D19" s="148"/>
      <c r="E19" s="188"/>
      <c r="F19" s="188"/>
    </row>
    <row r="20" spans="1:6" ht="51">
      <c r="A20" s="150" t="s">
        <v>422</v>
      </c>
      <c r="B20" s="159" t="s">
        <v>423</v>
      </c>
      <c r="C20" s="182" t="s">
        <v>114</v>
      </c>
      <c r="D20" s="191" t="s">
        <v>424</v>
      </c>
      <c r="E20" s="149"/>
      <c r="F20" s="149"/>
    </row>
    <row r="21" spans="1:6" ht="51">
      <c r="A21" s="150" t="s">
        <v>425</v>
      </c>
      <c r="B21" s="159" t="s">
        <v>426</v>
      </c>
      <c r="C21" s="182" t="s">
        <v>114</v>
      </c>
      <c r="D21" s="191" t="s">
        <v>424</v>
      </c>
      <c r="E21" s="149"/>
      <c r="F21" s="149"/>
    </row>
    <row r="22" spans="1:6" ht="51">
      <c r="A22" s="150" t="s">
        <v>427</v>
      </c>
      <c r="B22" s="159" t="s">
        <v>428</v>
      </c>
      <c r="C22" s="182" t="s">
        <v>114</v>
      </c>
      <c r="D22" s="191" t="s">
        <v>424</v>
      </c>
      <c r="E22" s="149"/>
      <c r="F22" s="149"/>
    </row>
    <row r="23" spans="1:6" ht="25.5">
      <c r="A23" s="150" t="s">
        <v>429</v>
      </c>
      <c r="B23" s="159" t="s">
        <v>430</v>
      </c>
      <c r="C23" s="182" t="s">
        <v>110</v>
      </c>
      <c r="D23" s="183"/>
      <c r="E23" s="149"/>
      <c r="F23" s="149"/>
    </row>
    <row r="24" spans="1:6" ht="51">
      <c r="A24" s="150" t="s">
        <v>431</v>
      </c>
      <c r="B24" s="159" t="s">
        <v>432</v>
      </c>
      <c r="C24" s="182" t="s">
        <v>114</v>
      </c>
      <c r="D24" s="191" t="s">
        <v>424</v>
      </c>
      <c r="E24" s="149"/>
      <c r="F24" s="149"/>
    </row>
    <row r="25" spans="1:6" ht="25.5">
      <c r="A25" s="150" t="s">
        <v>433</v>
      </c>
      <c r="B25" s="159" t="s">
        <v>434</v>
      </c>
      <c r="C25" s="182" t="s">
        <v>110</v>
      </c>
      <c r="D25" s="183"/>
      <c r="E25" s="149"/>
      <c r="F25" s="149"/>
    </row>
    <row r="26" spans="1:6" ht="18.75">
      <c r="A26" s="147"/>
      <c r="B26" s="156" t="s">
        <v>268</v>
      </c>
      <c r="C26" s="148"/>
      <c r="D26" s="148"/>
      <c r="E26" s="188"/>
      <c r="F26" s="188"/>
    </row>
    <row r="27" spans="1:6" ht="38.25">
      <c r="A27" s="150" t="s">
        <v>269</v>
      </c>
      <c r="B27" s="159" t="s">
        <v>270</v>
      </c>
      <c r="C27" s="182" t="s">
        <v>110</v>
      </c>
      <c r="D27" s="183"/>
      <c r="E27" s="149"/>
      <c r="F27" s="149"/>
    </row>
    <row r="28" spans="1:6" ht="25.5">
      <c r="A28" s="150" t="s">
        <v>271</v>
      </c>
      <c r="B28" s="159" t="s">
        <v>272</v>
      </c>
      <c r="C28" s="182" t="s">
        <v>110</v>
      </c>
      <c r="D28" s="183"/>
      <c r="E28" s="149"/>
      <c r="F28" s="149"/>
    </row>
    <row r="29" spans="1:6" ht="38.25">
      <c r="A29" s="150" t="s">
        <v>273</v>
      </c>
      <c r="B29" s="159" t="s">
        <v>274</v>
      </c>
      <c r="C29" s="182" t="s">
        <v>110</v>
      </c>
      <c r="D29" s="183"/>
      <c r="E29" s="149"/>
      <c r="F29" s="149"/>
    </row>
    <row r="30" spans="1:6" ht="38.25">
      <c r="A30" s="150" t="s">
        <v>275</v>
      </c>
      <c r="B30" s="159" t="s">
        <v>276</v>
      </c>
      <c r="C30" s="182" t="s">
        <v>110</v>
      </c>
      <c r="D30" s="183"/>
      <c r="E30" s="149"/>
      <c r="F30" s="149"/>
    </row>
    <row r="31" spans="1:6" ht="18.75">
      <c r="A31" s="147"/>
      <c r="B31" s="156" t="s">
        <v>277</v>
      </c>
      <c r="C31" s="148"/>
      <c r="D31" s="148"/>
      <c r="E31" s="188"/>
      <c r="F31" s="188"/>
    </row>
    <row r="32" spans="1:6" ht="38.25">
      <c r="A32" s="150" t="s">
        <v>278</v>
      </c>
      <c r="B32" s="159" t="s">
        <v>279</v>
      </c>
      <c r="C32" s="182" t="s">
        <v>110</v>
      </c>
      <c r="D32" s="183"/>
      <c r="E32" s="149"/>
      <c r="F32" s="149"/>
    </row>
    <row r="33" spans="1:6" ht="38.25">
      <c r="A33" s="150" t="s">
        <v>280</v>
      </c>
      <c r="B33" s="159" t="s">
        <v>281</v>
      </c>
      <c r="C33" s="182" t="s">
        <v>110</v>
      </c>
      <c r="D33" s="183"/>
      <c r="E33" s="149"/>
      <c r="F33" s="149"/>
    </row>
    <row r="34" spans="1:6" ht="18.75">
      <c r="A34" s="147"/>
      <c r="B34" s="156" t="s">
        <v>282</v>
      </c>
      <c r="C34" s="148"/>
      <c r="D34" s="148"/>
      <c r="E34" s="188"/>
      <c r="F34" s="188"/>
    </row>
    <row r="35" spans="1:6" ht="51">
      <c r="A35" s="150" t="s">
        <v>283</v>
      </c>
      <c r="B35" s="159" t="s">
        <v>284</v>
      </c>
      <c r="C35" s="182" t="s">
        <v>114</v>
      </c>
      <c r="D35" s="183"/>
      <c r="E35" s="149"/>
      <c r="F35" s="149"/>
    </row>
    <row r="36" spans="1:6" ht="18">
      <c r="A36" s="184"/>
      <c r="B36" s="185" t="s">
        <v>285</v>
      </c>
      <c r="C36" s="184"/>
      <c r="D36" s="184"/>
      <c r="E36" s="184"/>
      <c r="F36" s="184"/>
    </row>
    <row r="37" spans="1:6">
      <c r="A37" s="150"/>
      <c r="B37" s="159"/>
    </row>
    <row r="38" spans="1:6" ht="15">
      <c r="A38" s="186"/>
      <c r="B38" s="187" t="s">
        <v>286</v>
      </c>
      <c r="C38" s="186"/>
      <c r="D38" s="186"/>
      <c r="E38" s="186"/>
      <c r="F38" s="186"/>
    </row>
  </sheetData>
  <mergeCells count="1">
    <mergeCell ref="E2:F2"/>
  </mergeCells>
  <conditionalFormatting sqref="C6">
    <cfRule type="cellIs" dxfId="71" priority="70" operator="equal">
      <formula>"No"</formula>
    </cfRule>
    <cfRule type="cellIs" dxfId="70" priority="71" operator="equal">
      <formula>"NA"</formula>
    </cfRule>
    <cfRule type="cellIs" dxfId="69" priority="72" operator="equal">
      <formula>"Yes"</formula>
    </cfRule>
  </conditionalFormatting>
  <conditionalFormatting sqref="C7">
    <cfRule type="cellIs" dxfId="68" priority="67" operator="equal">
      <formula>"No"</formula>
    </cfRule>
    <cfRule type="cellIs" dxfId="67" priority="68" operator="equal">
      <formula>"NA"</formula>
    </cfRule>
    <cfRule type="cellIs" dxfId="66" priority="69" operator="equal">
      <formula>"Yes"</formula>
    </cfRule>
  </conditionalFormatting>
  <conditionalFormatting sqref="C8">
    <cfRule type="cellIs" dxfId="65" priority="64" operator="equal">
      <formula>"No"</formula>
    </cfRule>
    <cfRule type="cellIs" dxfId="64" priority="65" operator="equal">
      <formula>"NA"</formula>
    </cfRule>
    <cfRule type="cellIs" dxfId="63" priority="66" operator="equal">
      <formula>"Yes"</formula>
    </cfRule>
  </conditionalFormatting>
  <conditionalFormatting sqref="C9">
    <cfRule type="cellIs" dxfId="62" priority="61" operator="equal">
      <formula>"No"</formula>
    </cfRule>
    <cfRule type="cellIs" dxfId="61" priority="62" operator="equal">
      <formula>"NA"</formula>
    </cfRule>
    <cfRule type="cellIs" dxfId="60" priority="63" operator="equal">
      <formula>"Yes"</formula>
    </cfRule>
  </conditionalFormatting>
  <conditionalFormatting sqref="C10">
    <cfRule type="cellIs" dxfId="59" priority="58" operator="equal">
      <formula>"No"</formula>
    </cfRule>
    <cfRule type="cellIs" dxfId="58" priority="59" operator="equal">
      <formula>"NA"</formula>
    </cfRule>
    <cfRule type="cellIs" dxfId="57" priority="60" operator="equal">
      <formula>"Yes"</formula>
    </cfRule>
  </conditionalFormatting>
  <conditionalFormatting sqref="C12">
    <cfRule type="cellIs" dxfId="56" priority="55" operator="equal">
      <formula>"No"</formula>
    </cfRule>
    <cfRule type="cellIs" dxfId="55" priority="56" operator="equal">
      <formula>"NA"</formula>
    </cfRule>
    <cfRule type="cellIs" dxfId="54" priority="57" operator="equal">
      <formula>"Yes"</formula>
    </cfRule>
  </conditionalFormatting>
  <conditionalFormatting sqref="C13">
    <cfRule type="cellIs" dxfId="53" priority="52" operator="equal">
      <formula>"No"</formula>
    </cfRule>
    <cfRule type="cellIs" dxfId="52" priority="53" operator="equal">
      <formula>"NA"</formula>
    </cfRule>
    <cfRule type="cellIs" dxfId="51" priority="54" operator="equal">
      <formula>"Yes"</formula>
    </cfRule>
  </conditionalFormatting>
  <conditionalFormatting sqref="C14">
    <cfRule type="cellIs" dxfId="50" priority="49" operator="equal">
      <formula>"No"</formula>
    </cfRule>
    <cfRule type="cellIs" dxfId="49" priority="50" operator="equal">
      <formula>"NA"</formula>
    </cfRule>
    <cfRule type="cellIs" dxfId="48" priority="51" operator="equal">
      <formula>"Yes"</formula>
    </cfRule>
  </conditionalFormatting>
  <conditionalFormatting sqref="C15">
    <cfRule type="cellIs" dxfId="47" priority="46" operator="equal">
      <formula>"No"</formula>
    </cfRule>
    <cfRule type="cellIs" dxfId="46" priority="47" operator="equal">
      <formula>"NA"</formula>
    </cfRule>
    <cfRule type="cellIs" dxfId="45" priority="48" operator="equal">
      <formula>"Yes"</formula>
    </cfRule>
  </conditionalFormatting>
  <conditionalFormatting sqref="C17">
    <cfRule type="cellIs" dxfId="44" priority="43" operator="equal">
      <formula>"No"</formula>
    </cfRule>
    <cfRule type="cellIs" dxfId="43" priority="44" operator="equal">
      <formula>"NA"</formula>
    </cfRule>
    <cfRule type="cellIs" dxfId="42" priority="45" operator="equal">
      <formula>"Yes"</formula>
    </cfRule>
  </conditionalFormatting>
  <conditionalFormatting sqref="C18">
    <cfRule type="cellIs" dxfId="41" priority="40" operator="equal">
      <formula>"No"</formula>
    </cfRule>
    <cfRule type="cellIs" dxfId="40" priority="41" operator="equal">
      <formula>"NA"</formula>
    </cfRule>
    <cfRule type="cellIs" dxfId="39" priority="42" operator="equal">
      <formula>"Yes"</formula>
    </cfRule>
  </conditionalFormatting>
  <conditionalFormatting sqref="C20">
    <cfRule type="cellIs" dxfId="38" priority="37" operator="equal">
      <formula>"No"</formula>
    </cfRule>
    <cfRule type="cellIs" dxfId="37" priority="38" operator="equal">
      <formula>"NA"</formula>
    </cfRule>
    <cfRule type="cellIs" dxfId="36" priority="39" operator="equal">
      <formula>"Yes"</formula>
    </cfRule>
  </conditionalFormatting>
  <conditionalFormatting sqref="C21">
    <cfRule type="cellIs" dxfId="35" priority="34" operator="equal">
      <formula>"No"</formula>
    </cfRule>
    <cfRule type="cellIs" dxfId="34" priority="35" operator="equal">
      <formula>"NA"</formula>
    </cfRule>
    <cfRule type="cellIs" dxfId="33" priority="36" operator="equal">
      <formula>"Yes"</formula>
    </cfRule>
  </conditionalFormatting>
  <conditionalFormatting sqref="C22">
    <cfRule type="cellIs" dxfId="32" priority="31" operator="equal">
      <formula>"No"</formula>
    </cfRule>
    <cfRule type="cellIs" dxfId="31" priority="32" operator="equal">
      <formula>"NA"</formula>
    </cfRule>
    <cfRule type="cellIs" dxfId="30" priority="33" operator="equal">
      <formula>"Yes"</formula>
    </cfRule>
  </conditionalFormatting>
  <conditionalFormatting sqref="C23">
    <cfRule type="cellIs" dxfId="29" priority="28" operator="equal">
      <formula>"No"</formula>
    </cfRule>
    <cfRule type="cellIs" dxfId="28" priority="29" operator="equal">
      <formula>"NA"</formula>
    </cfRule>
    <cfRule type="cellIs" dxfId="27" priority="30" operator="equal">
      <formula>"Yes"</formula>
    </cfRule>
  </conditionalFormatting>
  <conditionalFormatting sqref="C24">
    <cfRule type="cellIs" dxfId="26" priority="25" operator="equal">
      <formula>"No"</formula>
    </cfRule>
    <cfRule type="cellIs" dxfId="25" priority="26" operator="equal">
      <formula>"NA"</formula>
    </cfRule>
    <cfRule type="cellIs" dxfId="24" priority="27" operator="equal">
      <formula>"Yes"</formula>
    </cfRule>
  </conditionalFormatting>
  <conditionalFormatting sqref="C25">
    <cfRule type="cellIs" dxfId="23" priority="22" operator="equal">
      <formula>"No"</formula>
    </cfRule>
    <cfRule type="cellIs" dxfId="22" priority="23" operator="equal">
      <formula>"NA"</formula>
    </cfRule>
    <cfRule type="cellIs" dxfId="21" priority="24" operator="equal">
      <formula>"Yes"</formula>
    </cfRule>
  </conditionalFormatting>
  <conditionalFormatting sqref="C27">
    <cfRule type="cellIs" dxfId="20" priority="19" operator="equal">
      <formula>"No"</formula>
    </cfRule>
    <cfRule type="cellIs" dxfId="19" priority="20" operator="equal">
      <formula>"NA"</formula>
    </cfRule>
    <cfRule type="cellIs" dxfId="18" priority="21" operator="equal">
      <formula>"Yes"</formula>
    </cfRule>
  </conditionalFormatting>
  <conditionalFormatting sqref="C28">
    <cfRule type="cellIs" dxfId="17" priority="16" operator="equal">
      <formula>"No"</formula>
    </cfRule>
    <cfRule type="cellIs" dxfId="16" priority="17" operator="equal">
      <formula>"NA"</formula>
    </cfRule>
    <cfRule type="cellIs" dxfId="15" priority="18" operator="equal">
      <formula>"Yes"</formula>
    </cfRule>
  </conditionalFormatting>
  <conditionalFormatting sqref="C29">
    <cfRule type="cellIs" dxfId="14" priority="13" operator="equal">
      <formula>"No"</formula>
    </cfRule>
    <cfRule type="cellIs" dxfId="13" priority="14" operator="equal">
      <formula>"NA"</formula>
    </cfRule>
    <cfRule type="cellIs" dxfId="12" priority="15" operator="equal">
      <formula>"Yes"</formula>
    </cfRule>
  </conditionalFormatting>
  <conditionalFormatting sqref="C30">
    <cfRule type="cellIs" dxfId="11" priority="10" operator="equal">
      <formula>"No"</formula>
    </cfRule>
    <cfRule type="cellIs" dxfId="10" priority="11" operator="equal">
      <formula>"NA"</formula>
    </cfRule>
    <cfRule type="cellIs" dxfId="9" priority="12" operator="equal">
      <formula>"Yes"</formula>
    </cfRule>
  </conditionalFormatting>
  <conditionalFormatting sqref="C32">
    <cfRule type="cellIs" dxfId="8" priority="7" operator="equal">
      <formula>"No"</formula>
    </cfRule>
    <cfRule type="cellIs" dxfId="7" priority="8" operator="equal">
      <formula>"NA"</formula>
    </cfRule>
    <cfRule type="cellIs" dxfId="6" priority="9" operator="equal">
      <formula>"Yes"</formula>
    </cfRule>
  </conditionalFormatting>
  <conditionalFormatting sqref="C33">
    <cfRule type="cellIs" dxfId="5" priority="4" operator="equal">
      <formula>"No"</formula>
    </cfRule>
    <cfRule type="cellIs" dxfId="4" priority="5" operator="equal">
      <formula>"NA"</formula>
    </cfRule>
    <cfRule type="cellIs" dxfId="3" priority="6" operator="equal">
      <formula>"Yes"</formula>
    </cfRule>
  </conditionalFormatting>
  <conditionalFormatting sqref="C35">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6:C10 C12:C15 C17:C18 C20:C25 C27:C30 C32:C33 C35" xr:uid="{118FDF8D-3778-40EF-BF56-CD468B6CC8E6}">
      <formula1>Option_ReviewEvaluationScale</formula1>
    </dataValidation>
  </dataValidation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2.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E2965021-A51C-4AA2-B873-44DEF42FF54E}">
  <ds:schemaRefs>
    <ds:schemaRef ds:uri="http://schemas.microsoft.com/office/2006/metadata/properties"/>
    <ds:schemaRef ds:uri="http://schemas.microsoft.com/office/infopath/2007/PartnerControls"/>
    <ds:schemaRef ds:uri="http://schemas.microsoft.com/sharepoint/v3"/>
    <ds:schemaRef ds:uri="34c9bd9a-5a71-426a-ab93-6fe2caeb5e9e"/>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69</vt:i4>
      </vt:variant>
    </vt:vector>
  </HeadingPairs>
  <TitlesOfParts>
    <vt:vector size="78" baseType="lpstr">
      <vt:lpstr>FrontPage</vt:lpstr>
      <vt:lpstr>General info</vt:lpstr>
      <vt:lpstr>Help</vt:lpstr>
      <vt:lpstr>Metrics</vt:lpstr>
      <vt:lpstr>Overview</vt:lpstr>
      <vt:lpstr>Review</vt:lpstr>
      <vt:lpstr>SDD checklist</vt:lpstr>
      <vt:lpstr>CODE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'UTSR checklist'!Review.QuestionIds</vt:lpstr>
      <vt:lpstr>'CODE checklist'!Review.ratings</vt:lpstr>
      <vt:lpstr>'SDD checklist'!Review.ratings</vt:lpstr>
      <vt:lpstr>'UTSR checklist'!Review.ratings</vt:lpstr>
      <vt:lpstr>ReviewerStatus</vt:lpstr>
      <vt:lpstr>'CODE checklist'!Sheet.ReviewTempate</vt:lpstr>
      <vt:lpstr>'SDD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TemplateColumn</vt:lpstr>
      <vt:lpstr>TemplateRef</vt:lpstr>
      <vt:lpstr>Text_AllChecklists</vt:lpstr>
      <vt:lpstr>'CODE checklist'!Title.Checklist.Actions.Description</vt:lpstr>
      <vt:lpstr>'SDD checklist'!Title.Checklist.Actions.Description</vt:lpstr>
      <vt:lpstr>'CODE checklist'!Title.Checklist.Guide.HowToRate</vt:lpstr>
      <vt:lpstr>'SDD checklist'!Title.Checklist.Guide.HowToRate</vt:lpstr>
      <vt:lpstr>'CODE checklist'!Title.Checklist.Guide.WhatToCheck</vt:lpstr>
      <vt:lpstr>'SDD checklist'!Title.Checklist.Guide.WhatToCheck</vt:lpstr>
      <vt:lpstr>'CODE checklist'!Title.Checklist.ManualQuestion</vt:lpstr>
      <vt:lpstr>'SDD checklist'!Title.Checklist.ManualQuestion</vt:lpstr>
      <vt:lpstr>'CODE checklist'!Title.Checklist.NoteForAuditor</vt:lpstr>
      <vt:lpstr>'SDD checklist'!Title.Checklist.NoteForAuditor</vt:lpstr>
      <vt:lpstr>'CODE checklist'!Title.Checklist.Question</vt:lpstr>
      <vt:lpstr>'SDD checklist'!Title.Checklist.Question</vt:lpstr>
      <vt:lpstr>'CODE checklist'!Title.Checklist.QuestionReference</vt:lpstr>
      <vt:lpstr>'SDD checklist'!Title.Checklist.QuestionReference</vt:lpstr>
      <vt:lpstr>'CODE checklist'!Title.Checklist.Rate</vt:lpstr>
      <vt:lpstr>'SDD checklist'!Title.Checklist.Rate</vt:lpstr>
      <vt:lpstr>'CODE checklist'!TitleRow</vt:lpstr>
      <vt:lpstr>'SDD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Mihai Motoc</cp:lastModifiedBy>
  <cp:revision/>
  <dcterms:created xsi:type="dcterms:W3CDTF">1996-10-21T11:03:58Z</dcterms:created>
  <dcterms:modified xsi:type="dcterms:W3CDTF">2023-07-31T12:44:18Z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