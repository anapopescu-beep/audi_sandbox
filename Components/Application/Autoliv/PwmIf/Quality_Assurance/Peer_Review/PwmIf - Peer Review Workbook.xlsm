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PwmIf\Quality_Assurance\Peer_Review\"/>
    </mc:Choice>
  </mc:AlternateContent>
  <xr:revisionPtr revIDLastSave="0" documentId="13_ncr:1_{17923459-1C63-4584-A406-990306388451}" xr6:coauthVersionLast="47" xr6:coauthVersionMax="47" xr10:uidLastSave="{00000000-0000-0000-0000-000000000000}"/>
  <bookViews>
    <workbookView xWindow="-120" yWindow="-120" windowWidth="29040" windowHeight="15840" tabRatio="75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 r:id="rId13"/>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8">'[2]General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8">[2]FrontPage!$AD$3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8">[2]FrontPage!$E$7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8">[2]Review!$L$2</definedName>
    <definedName name="NbOfNotTreatedIssues">Review!$L$2</definedName>
    <definedName name="NbOfRejectedIssues" localSheetId="8">[2]Review!$M$2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8">'[2]General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checklist'!$A$5:$A$33</definedName>
    <definedName name="Review.ratings" localSheetId="7">'CODE checklist'!$C$5:$C$36</definedName>
    <definedName name="Review.ratings" localSheetId="6">'SDD checklist'!$E$5:$E$35</definedName>
    <definedName name="Review.ratings" localSheetId="8">'UTSR checklist'!$D$5:$D$33</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 localSheetId="8">'UTSR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Name" localSheetId="8">'UTSR checklist'!$B$2</definedName>
    <definedName name="Template.Question" localSheetId="7">'CODE checklist'!#REF!</definedName>
    <definedName name="Template.Question" localSheetId="6">'SDD checklist'!#REF!</definedName>
    <definedName name="Template.Question" localSheetId="8">'UTSR checklist'!#REF!</definedName>
    <definedName name="Template.Section" localSheetId="7">'CODE checklist'!#REF!</definedName>
    <definedName name="Template.Section" localSheetId="6">'SDD checklist'!#REF!</definedName>
    <definedName name="Template.Section" localSheetId="8">'UTSR checklist'!#REF!</definedName>
    <definedName name="TemplateColumn">Metrics!$B:$B</definedName>
    <definedName name="TemplateRef" localSheetId="8">[2]FrontPage!$W$7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Description" localSheetId="8">'UTSR checklist'!$B$2</definedName>
    <definedName name="Title.Checklist.Actions.Responsible" localSheetId="7">[1]!Table1[[#Headers],[Actions
(description)]]</definedName>
    <definedName name="Title.Checklist.Actions.Responsible" localSheetId="6">[1]!Table1[[#Headers],[Actions
(description)]]</definedName>
    <definedName name="Title.Checklist.Actions.Responsible" localSheetId="8">[1]!Table1[[#Headers],[Actions
(description)]]</definedName>
    <definedName name="Title.Checklist.Guide.HowToRate" localSheetId="7">'CODE checklist'!$S$3</definedName>
    <definedName name="Title.Checklist.Guide.HowToRate" localSheetId="6">'SDD checklist'!$H$3</definedName>
    <definedName name="Title.Checklist.Guide.HowToRate" localSheetId="8">'UTSR checklist'!$I$3</definedName>
    <definedName name="Title.Checklist.Guide.WhatToCheck" localSheetId="7">'CODE checklist'!$R$3</definedName>
    <definedName name="Title.Checklist.Guide.WhatToCheck" localSheetId="6">'SDD checklist'!$G$3</definedName>
    <definedName name="Title.Checklist.Guide.WhatToCheck" localSheetId="8">'UTSR checklist'!$H$3</definedName>
    <definedName name="Title.Checklist.ManualQuestion" localSheetId="7">'CODE checklist'!$B$34</definedName>
    <definedName name="Title.Checklist.ManualQuestion" localSheetId="6">'SDD checklist'!$B$33</definedName>
    <definedName name="Title.Checklist.ManualQuestion" localSheetId="8">'UTSR checklist'!$B$31</definedName>
    <definedName name="Title.Checklist.NoteForAuditor" localSheetId="7">'CODE checklist'!$R$2</definedName>
    <definedName name="Title.Checklist.NoteForAuditor" localSheetId="6">'SDD checklist'!$G$2</definedName>
    <definedName name="Title.Checklist.NoteForAuditor" localSheetId="8">'UTSR checklist'!$H$2</definedName>
    <definedName name="Title.Checklist.Question" localSheetId="7">'CODE checklist'!$B$4</definedName>
    <definedName name="Title.Checklist.Question" localSheetId="6">'SDD checklist'!$B$4</definedName>
    <definedName name="Title.Checklist.Question" localSheetId="8">'UTSR checklist'!$B$4</definedName>
    <definedName name="Title.Checklist.QuestionReference" localSheetId="7">'CODE checklist'!$A$2</definedName>
    <definedName name="Title.Checklist.QuestionReference" localSheetId="6">'SDD checklist'!$A$2</definedName>
    <definedName name="Title.Checklist.QuestionReference" localSheetId="8">'UTSR checklist'!$A$2</definedName>
    <definedName name="Title.Checklist.Rate" localSheetId="7">'CODE checklist'!$C$2</definedName>
    <definedName name="Title.Checklist.Rate" localSheetId="6">'SDD checklist'!$E$2</definedName>
    <definedName name="Title.Checklist.Rate" localSheetId="8">'UTSR checklist'!$D$2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 name="TitleRow" localSheetId="8">'UTSR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F3" i="247"/>
  <c r="E16" i="42"/>
  <c r="E15" i="42"/>
  <c r="C3" i="245"/>
  <c r="E14" i="42"/>
  <c r="P3" i="246"/>
  <c r="E13" i="42"/>
  <c r="E3" i="247"/>
  <c r="D3" i="247"/>
  <c r="C3" i="247"/>
  <c r="E12" i="42"/>
  <c r="E10" i="42"/>
  <c r="O3" i="246"/>
  <c r="E11" i="42"/>
  <c r="E9" i="42"/>
  <c r="AE7" i="38"/>
  <c r="W7" i="38"/>
  <c r="AB5" i="38"/>
  <c r="N3" i="246" l="1"/>
  <c r="E8" i="42"/>
  <c r="E7" i="42"/>
  <c r="M3" i="246"/>
  <c r="E6" i="42"/>
  <c r="E5" i="42"/>
  <c r="L3" i="246"/>
  <c r="K3" i="246"/>
  <c r="J3" i="246"/>
  <c r="I3" i="246"/>
  <c r="H3" i="246"/>
  <c r="G3" i="246"/>
  <c r="F3" i="246"/>
  <c r="E3" i="246"/>
  <c r="D3" i="246"/>
  <c r="E4" i="42"/>
  <c r="X27" i="16"/>
  <c r="W27" i="16"/>
  <c r="V27" i="16"/>
  <c r="U27" i="16"/>
  <c r="T27" i="16"/>
  <c r="S27" i="16"/>
  <c r="R27" i="16"/>
  <c r="Q27" i="16"/>
  <c r="P27" i="16"/>
  <c r="O27" i="16"/>
  <c r="N27" i="16"/>
  <c r="M27" i="16"/>
  <c r="L27" i="16"/>
  <c r="K27" i="16"/>
  <c r="J27" i="16"/>
  <c r="I27" i="16"/>
  <c r="H27" i="16"/>
  <c r="G27" i="16"/>
  <c r="F27" i="16"/>
  <c r="E27" i="16"/>
  <c r="E44" i="16"/>
  <c r="E37" i="16"/>
  <c r="C3" i="246"/>
  <c r="E3" i="245"/>
  <c r="A23" i="38" l="1"/>
  <c r="E3" i="42"/>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E1F186D-DBB3-4187-8062-753F18900EE3}">
      <text>
        <r>
          <rPr>
            <b/>
            <sz val="9"/>
            <color indexed="81"/>
            <rFont val="Tahoma"/>
            <family val="2"/>
          </rPr>
          <t>Overview :</t>
        </r>
        <r>
          <rPr>
            <sz val="9"/>
            <color indexed="81"/>
            <rFont val="Tahoma"/>
            <family val="2"/>
          </rPr>
          <t xml:space="preserve">
Pourcentage of "yes" answers out of applicable answers</t>
        </r>
      </text>
    </comment>
    <comment ref="D3" authorId="0" shapeId="0" xr:uid="{6CD77978-7B85-4138-82E7-29DE83FCE96D}">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46045819-DCAC-46CC-A2FD-734B9E768A23}">
      <text>
        <r>
          <rPr>
            <b/>
            <sz val="9"/>
            <color indexed="81"/>
            <rFont val="Tahoma"/>
            <family val="2"/>
          </rPr>
          <t>This cell must be blank</t>
        </r>
      </text>
    </comment>
    <comment ref="D35" authorId="0" shapeId="0" xr:uid="{8011A07A-4A4C-4061-AF47-991CBB411E2F}">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C6B36C98-8711-4051-A6A6-4AD22F9F9AFD}">
      <text>
        <r>
          <rPr>
            <b/>
            <sz val="9"/>
            <color indexed="81"/>
            <rFont val="Tahoma"/>
            <family val="2"/>
          </rPr>
          <t>Overview :</t>
        </r>
        <r>
          <rPr>
            <sz val="9"/>
            <color indexed="81"/>
            <rFont val="Tahoma"/>
            <family val="2"/>
          </rPr>
          <t xml:space="preserve">
Pourcentage of "yes" answers out of applicable answers</t>
        </r>
      </text>
    </comment>
    <comment ref="E3" authorId="0" shapeId="0" xr:uid="{F3C99FB1-A359-4A4B-8605-8B3BD6F1D764}">
      <text>
        <r>
          <rPr>
            <b/>
            <sz val="9"/>
            <color indexed="81"/>
            <rFont val="Tahoma"/>
            <family val="2"/>
          </rPr>
          <t>Overview :</t>
        </r>
        <r>
          <rPr>
            <sz val="9"/>
            <color indexed="81"/>
            <rFont val="Tahoma"/>
            <family val="2"/>
          </rPr>
          <t xml:space="preserve">
Pourcentage of "yes" answers out of applicable answers</t>
        </r>
      </text>
    </comment>
    <comment ref="F3" authorId="0" shapeId="0" xr:uid="{D1C57834-CB78-48D2-9827-6E4D02A001CC}">
      <text>
        <r>
          <rPr>
            <b/>
            <sz val="9"/>
            <color indexed="81"/>
            <rFont val="Tahoma"/>
            <family val="2"/>
          </rPr>
          <t>Overview :</t>
        </r>
        <r>
          <rPr>
            <sz val="9"/>
            <color indexed="81"/>
            <rFont val="Tahoma"/>
            <family val="2"/>
          </rPr>
          <t xml:space="preserve">
Pourcentage of "yes" answers out of applicable answers</t>
        </r>
      </text>
    </comment>
    <comment ref="G3" authorId="0" shapeId="0" xr:uid="{89537352-1519-4E20-A831-2806870A83AB}">
      <text>
        <r>
          <rPr>
            <b/>
            <sz val="9"/>
            <color indexed="81"/>
            <rFont val="Tahoma"/>
            <family val="2"/>
          </rPr>
          <t>Overview :</t>
        </r>
        <r>
          <rPr>
            <sz val="9"/>
            <color indexed="81"/>
            <rFont val="Tahoma"/>
            <family val="2"/>
          </rPr>
          <t xml:space="preserve">
Pourcentage of "yes" answers out of applicable answers</t>
        </r>
      </text>
    </comment>
    <comment ref="H3" authorId="0" shapeId="0" xr:uid="{AD31D153-6E22-4157-B0FA-FE6BBA209F82}">
      <text>
        <r>
          <rPr>
            <b/>
            <sz val="9"/>
            <color indexed="81"/>
            <rFont val="Tahoma"/>
            <family val="2"/>
          </rPr>
          <t>Overview :</t>
        </r>
        <r>
          <rPr>
            <sz val="9"/>
            <color indexed="81"/>
            <rFont val="Tahoma"/>
            <family val="2"/>
          </rPr>
          <t xml:space="preserve">
Pourcentage of "yes" answers out of applicable answers</t>
        </r>
      </text>
    </comment>
    <comment ref="I3" authorId="0" shapeId="0" xr:uid="{DC05B192-FF2A-4F64-9310-938E09536BCA}">
      <text>
        <r>
          <rPr>
            <b/>
            <sz val="9"/>
            <color indexed="81"/>
            <rFont val="Tahoma"/>
            <family val="2"/>
          </rPr>
          <t>Overview :</t>
        </r>
        <r>
          <rPr>
            <sz val="9"/>
            <color indexed="81"/>
            <rFont val="Tahoma"/>
            <family val="2"/>
          </rPr>
          <t xml:space="preserve">
Pourcentage of "yes" answers out of applicable answers</t>
        </r>
      </text>
    </comment>
    <comment ref="J3" authorId="0" shapeId="0" xr:uid="{80614030-E80F-463D-8FB1-EA52287EADA4}">
      <text>
        <r>
          <rPr>
            <b/>
            <sz val="9"/>
            <color indexed="81"/>
            <rFont val="Tahoma"/>
            <family val="2"/>
          </rPr>
          <t>Overview :</t>
        </r>
        <r>
          <rPr>
            <sz val="9"/>
            <color indexed="81"/>
            <rFont val="Tahoma"/>
            <family val="2"/>
          </rPr>
          <t xml:space="preserve">
Pourcentage of "yes" answers out of applicable answers</t>
        </r>
      </text>
    </comment>
    <comment ref="K3" authorId="0" shapeId="0" xr:uid="{1B2DC32F-1773-41DC-8B1E-9B1EC53DD4B7}">
      <text>
        <r>
          <rPr>
            <b/>
            <sz val="9"/>
            <color indexed="81"/>
            <rFont val="Tahoma"/>
            <family val="2"/>
          </rPr>
          <t>Overview :</t>
        </r>
        <r>
          <rPr>
            <sz val="9"/>
            <color indexed="81"/>
            <rFont val="Tahoma"/>
            <family val="2"/>
          </rPr>
          <t xml:space="preserve">
Pourcentage of "yes" answers out of applicable answers</t>
        </r>
      </text>
    </comment>
    <comment ref="L3" authorId="0" shapeId="0" xr:uid="{6BF3DC16-7F04-45FA-AE4D-8A6EEAD11CEB}">
      <text>
        <r>
          <rPr>
            <b/>
            <sz val="9"/>
            <color indexed="81"/>
            <rFont val="Tahoma"/>
            <family val="2"/>
          </rPr>
          <t>Overview :</t>
        </r>
        <r>
          <rPr>
            <sz val="9"/>
            <color indexed="81"/>
            <rFont val="Tahoma"/>
            <family val="2"/>
          </rPr>
          <t xml:space="preserve">
Pourcentage of "yes" answers out of applicable answers</t>
        </r>
      </text>
    </comment>
    <comment ref="M3" authorId="0" shapeId="0" xr:uid="{1124CEE6-196D-4926-B4DD-E12CECB22499}">
      <text>
        <r>
          <rPr>
            <b/>
            <sz val="9"/>
            <color indexed="81"/>
            <rFont val="Tahoma"/>
            <family val="2"/>
          </rPr>
          <t>Overview :</t>
        </r>
        <r>
          <rPr>
            <sz val="9"/>
            <color indexed="81"/>
            <rFont val="Tahoma"/>
            <family val="2"/>
          </rPr>
          <t xml:space="preserve">
Pourcentage of "yes" answers out of applicable answers</t>
        </r>
      </text>
    </comment>
    <comment ref="N3" authorId="0" shapeId="0" xr:uid="{02B8E3B0-6E1A-428C-9AE3-FA335B05C1E1}">
      <text>
        <r>
          <rPr>
            <b/>
            <sz val="9"/>
            <color indexed="81"/>
            <rFont val="Tahoma"/>
            <family val="2"/>
          </rPr>
          <t>Overview :</t>
        </r>
        <r>
          <rPr>
            <sz val="9"/>
            <color indexed="81"/>
            <rFont val="Tahoma"/>
            <family val="2"/>
          </rPr>
          <t xml:space="preserve">
Pourcentage of "yes" answers out of applicable answers</t>
        </r>
      </text>
    </comment>
    <comment ref="O3" authorId="0" shapeId="0" xr:uid="{E8818B56-53BE-4458-9FA8-15141BCD7DD3}">
      <text>
        <r>
          <rPr>
            <b/>
            <sz val="9"/>
            <color indexed="81"/>
            <rFont val="Tahoma"/>
            <family val="2"/>
          </rPr>
          <t>Overview :</t>
        </r>
        <r>
          <rPr>
            <sz val="9"/>
            <color indexed="81"/>
            <rFont val="Tahoma"/>
            <family val="2"/>
          </rPr>
          <t xml:space="preserve">
Pourcentage of "yes" answers out of applicable answers</t>
        </r>
      </text>
    </comment>
    <comment ref="P3" authorId="0" shapeId="0" xr:uid="{705CAEC9-0D3D-4F92-AE4C-4AD166EC0759}">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D0A0E1F3-3241-4D5B-84A3-497FBDCC0F89}">
      <text>
        <r>
          <rPr>
            <b/>
            <sz val="9"/>
            <color indexed="81"/>
            <rFont val="Tahoma"/>
            <family val="2"/>
          </rPr>
          <t>This cell must be blank</t>
        </r>
      </text>
    </comment>
    <comment ref="E36" authorId="0" shapeId="0" xr:uid="{B8206B53-5213-49B5-A481-C1FBEE928EA9}">
      <text>
        <r>
          <rPr>
            <b/>
            <sz val="9"/>
            <color indexed="81"/>
            <rFont val="Tahoma"/>
            <family val="2"/>
          </rPr>
          <t>This cell must be blank</t>
        </r>
      </text>
    </comment>
    <comment ref="F36" authorId="0" shapeId="0" xr:uid="{D42F5E30-F2A1-423D-9FD3-D3EBE2EF1231}">
      <text>
        <r>
          <rPr>
            <b/>
            <sz val="9"/>
            <color indexed="81"/>
            <rFont val="Tahoma"/>
            <family val="2"/>
          </rPr>
          <t>This cell must be blank</t>
        </r>
      </text>
    </comment>
    <comment ref="G36" authorId="0" shapeId="0" xr:uid="{43BB2A39-C260-45F1-ADC4-FD4CF0B81C35}">
      <text>
        <r>
          <rPr>
            <b/>
            <sz val="9"/>
            <color indexed="81"/>
            <rFont val="Tahoma"/>
            <family val="2"/>
          </rPr>
          <t>This cell must be blank</t>
        </r>
      </text>
    </comment>
    <comment ref="H36" authorId="0" shapeId="0" xr:uid="{465D1153-7595-4333-A42B-C38DE50BD3C1}">
      <text>
        <r>
          <rPr>
            <b/>
            <sz val="9"/>
            <color indexed="81"/>
            <rFont val="Tahoma"/>
            <family val="2"/>
          </rPr>
          <t>This cell must be blank</t>
        </r>
      </text>
    </comment>
    <comment ref="I36" authorId="0" shapeId="0" xr:uid="{A8D1B2E1-7C77-4455-B2BB-F2EB8577ED9D}">
      <text>
        <r>
          <rPr>
            <b/>
            <sz val="9"/>
            <color indexed="81"/>
            <rFont val="Tahoma"/>
            <family val="2"/>
          </rPr>
          <t>This cell must be blank</t>
        </r>
      </text>
    </comment>
    <comment ref="J36" authorId="0" shapeId="0" xr:uid="{4BAC5956-28FC-41DA-B462-35DA59ECC3F6}">
      <text>
        <r>
          <rPr>
            <b/>
            <sz val="9"/>
            <color indexed="81"/>
            <rFont val="Tahoma"/>
            <family val="2"/>
          </rPr>
          <t>This cell must be blank</t>
        </r>
      </text>
    </comment>
    <comment ref="K36" authorId="0" shapeId="0" xr:uid="{3A04D5CB-8C4A-4CA0-A001-C8323BDAF234}">
      <text>
        <r>
          <rPr>
            <b/>
            <sz val="9"/>
            <color indexed="81"/>
            <rFont val="Tahoma"/>
            <family val="2"/>
          </rPr>
          <t>This cell must be blank</t>
        </r>
      </text>
    </comment>
    <comment ref="L36" authorId="0" shapeId="0" xr:uid="{5D13D44B-B8F1-4081-80AD-7069D9AFA306}">
      <text>
        <r>
          <rPr>
            <b/>
            <sz val="9"/>
            <color indexed="81"/>
            <rFont val="Tahoma"/>
            <family val="2"/>
          </rPr>
          <t>This cell must be blank</t>
        </r>
      </text>
    </comment>
    <comment ref="M36" authorId="0" shapeId="0" xr:uid="{F8AF6BD9-5B23-49A8-B361-4F7019DC6A4D}">
      <text>
        <r>
          <rPr>
            <b/>
            <sz val="9"/>
            <color indexed="81"/>
            <rFont val="Tahoma"/>
            <family val="2"/>
          </rPr>
          <t>This cell must be blank</t>
        </r>
      </text>
    </comment>
    <comment ref="N36" authorId="0" shapeId="0" xr:uid="{D61FD540-28D0-4FED-BD1A-5EF8000DB0BD}">
      <text>
        <r>
          <rPr>
            <b/>
            <sz val="9"/>
            <color indexed="81"/>
            <rFont val="Tahoma"/>
            <family val="2"/>
          </rPr>
          <t>This cell must be blank</t>
        </r>
      </text>
    </comment>
    <comment ref="O36" authorId="0" shapeId="0" xr:uid="{22B47D4C-3F4F-42B5-AD2C-E36659BA45D8}">
      <text>
        <r>
          <rPr>
            <b/>
            <sz val="9"/>
            <color indexed="81"/>
            <rFont val="Tahoma"/>
            <family val="2"/>
          </rPr>
          <t>This cell must be blank</t>
        </r>
      </text>
    </comment>
    <comment ref="P36" authorId="0" shapeId="0" xr:uid="{3741FEAE-AF71-48C3-A26D-7358DD7F4680}">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3698F0AA-6F38-4AD8-B43A-C0F0554C8B9F}">
      <text>
        <r>
          <rPr>
            <b/>
            <sz val="9"/>
            <color indexed="81"/>
            <rFont val="Tahoma"/>
            <family val="2"/>
          </rPr>
          <t>Overview :</t>
        </r>
        <r>
          <rPr>
            <sz val="9"/>
            <color indexed="81"/>
            <rFont val="Tahoma"/>
            <family val="2"/>
          </rPr>
          <t xml:space="preserve">
Pourcentage of "yes" answers out of applicable answers</t>
        </r>
      </text>
    </comment>
    <comment ref="D3" authorId="0" shapeId="0" xr:uid="{6007F312-498D-466E-BE5E-9C08A6F87D6D}">
      <text>
        <r>
          <rPr>
            <b/>
            <sz val="9"/>
            <color indexed="81"/>
            <rFont val="Tahoma"/>
            <family val="2"/>
          </rPr>
          <t>Overview :</t>
        </r>
        <r>
          <rPr>
            <sz val="9"/>
            <color indexed="81"/>
            <rFont val="Tahoma"/>
            <family val="2"/>
          </rPr>
          <t xml:space="preserve">
Pourcentage of "yes" answers out of applicable answers</t>
        </r>
      </text>
    </comment>
    <comment ref="E3" authorId="0" shapeId="0" xr:uid="{D1B6FB2B-AD3F-42DC-AFCE-082CF288A0D9}">
      <text>
        <r>
          <rPr>
            <b/>
            <sz val="9"/>
            <color indexed="81"/>
            <rFont val="Tahoma"/>
            <family val="2"/>
          </rPr>
          <t>Overview :</t>
        </r>
        <r>
          <rPr>
            <sz val="9"/>
            <color indexed="81"/>
            <rFont val="Tahoma"/>
            <family val="2"/>
          </rPr>
          <t xml:space="preserve">
Pourcentage of "yes" answers out of applicable answers</t>
        </r>
      </text>
    </comment>
    <comment ref="F3" authorId="0" shapeId="0" xr:uid="{CADD4C2D-B976-4D87-89B9-3797562B1C2F}">
      <text>
        <r>
          <rPr>
            <b/>
            <sz val="9"/>
            <color indexed="81"/>
            <rFont val="Tahoma"/>
            <family val="2"/>
          </rPr>
          <t>Overview :</t>
        </r>
        <r>
          <rPr>
            <sz val="9"/>
            <color indexed="81"/>
            <rFont val="Tahoma"/>
            <family val="2"/>
          </rPr>
          <t xml:space="preserve">
Pourcentage of "yes" answers out of applicable answers</t>
        </r>
      </text>
    </comment>
    <comment ref="B31" authorId="0" shapeId="0" xr:uid="{3002CA98-CD55-4D3A-9721-9EA722AB6532}">
      <text>
        <r>
          <rPr>
            <b/>
            <sz val="9"/>
            <color indexed="81"/>
            <rFont val="Tahoma"/>
            <family val="2"/>
          </rPr>
          <t xml:space="preserve">Everything above this row is generated by Question Library (TEM486 - Master questions library.xlsm) </t>
        </r>
      </text>
    </comment>
    <comment ref="A33" authorId="0" shapeId="0" xr:uid="{D821674F-8117-450E-B5D1-FBAECCB13590}">
      <text>
        <r>
          <rPr>
            <b/>
            <sz val="9"/>
            <color indexed="81"/>
            <rFont val="Tahoma"/>
            <family val="2"/>
          </rPr>
          <t>This cell must be blank</t>
        </r>
      </text>
    </comment>
    <comment ref="C33" authorId="0" shapeId="0" xr:uid="{F8638363-125E-4E3B-9067-C87146C97E97}">
      <text>
        <r>
          <rPr>
            <b/>
            <sz val="9"/>
            <color indexed="81"/>
            <rFont val="Tahoma"/>
            <family val="2"/>
          </rPr>
          <t>This cell must be blank</t>
        </r>
      </text>
    </comment>
    <comment ref="D33" authorId="0" shapeId="0" xr:uid="{FBF0A2FA-D185-49E6-9124-15CFC30CE9FD}">
      <text>
        <r>
          <rPr>
            <b/>
            <sz val="9"/>
            <color indexed="81"/>
            <rFont val="Tahoma"/>
            <family val="2"/>
          </rPr>
          <t>This cell must be blank</t>
        </r>
      </text>
    </comment>
    <comment ref="E33" authorId="0" shapeId="0" xr:uid="{B552034D-AA81-43C1-A4F2-2D8879AF1148}">
      <text>
        <r>
          <rPr>
            <b/>
            <sz val="9"/>
            <color indexed="81"/>
            <rFont val="Tahoma"/>
            <family val="2"/>
          </rPr>
          <t>This cell must be blank</t>
        </r>
      </text>
    </comment>
    <comment ref="F33" authorId="0" shapeId="0" xr:uid="{3DE10F0F-6A51-4F14-A439-443D7F4826DF}">
      <text>
        <r>
          <rPr>
            <b/>
            <sz val="9"/>
            <color indexed="81"/>
            <rFont val="Tahoma"/>
            <family val="2"/>
          </rPr>
          <t>This cell must be blank</t>
        </r>
      </text>
    </comment>
  </commentList>
</comments>
</file>

<file path=xl/sharedStrings.xml><?xml version="1.0" encoding="utf-8"?>
<sst xmlns="http://schemas.openxmlformats.org/spreadsheetml/2006/main" count="1453" uniqueCount="490">
  <si>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</si>
  <si>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</si>
  <si>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</si>
  <si>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</si>
  <si>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</si>
  <si>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</si>
  <si>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</si>
  <si>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</si>
  <si>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</si>
  <si>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</si>
  <si>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</si>
  <si>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</si>
  <si>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</si>
  <si>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</si>
  <si>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</si>
  <si>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</si>
  <si>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</si>
  <si>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</si>
  <si>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</si>
  <si>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</si>
  <si>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</si>
  <si>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</si>
  <si>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</si>
  <si>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</si>
  <si>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</si>
  <si>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</si>
  <si>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</si>
  <si>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</si>
  <si>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</si>
  <si>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</si>
  <si>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</si>
  <si>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</si>
  <si>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</si>
  <si>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</si>
  <si>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</si>
  <si>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</si>
  <si>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</si>
  <si>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</si>
  <si>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</si>
  <si>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</si>
  <si>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</si>
  <si>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</si>
  <si>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</si>
  <si>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</si>
  <si>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</si>
  <si>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</si>
  <si>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</si>
  <si>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</si>
  <si>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</si>
  <si>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</si>
  <si>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</si>
  <si>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</si>
  <si>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</si>
  <si>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</si>
  <si>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</si>
  <si>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</si>
  <si>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</si>
  <si>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</si>
  <si>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</si>
  <si>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</si>
  <si>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</si>
  <si>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</si>
  <si>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</si>
  <si>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</si>
  <si>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</si>
  <si>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</si>
  <si>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</si>
  <si>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</si>
  <si>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</si>
  <si>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</si>
  <si>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</si>
  <si>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</si>
  <si>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</si>
  <si>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</si>
  <si>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</si>
  <si>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</si>
  <si>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</si>
  <si>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</si>
  <si>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</si>
  <si>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</si>
  <si>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</si>
  <si>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</si>
  <si>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</si>
  <si>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</si>
  <si>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</si>
  <si>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</si>
  <si>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</si>
  <si>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</si>
  <si>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</si>
  <si>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</si>
  <si>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</si>
  <si>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</si>
  <si>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</si>
  <si>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</si>
  <si>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</si>
  <si>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</si>
  <si>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</si>
  <si>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</si>
  <si>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</si>
  <si>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</si>
  <si>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</si>
  <si>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</si>
  <si>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</si>
  <si>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</si>
  <si>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</si>
  <si>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</si>
  <si>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</si>
  <si>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</si>
  <si>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</si>
  <si>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</si>
  <si>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</si>
  <si>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</si>
  <si>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</si>
  <si>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</si>
  <si>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</si>
  <si>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</si>
  <si>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</si>
  <si>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</si>
  <si>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</si>
  <si>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</si>
  <si>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</si>
  <si>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</si>
  <si>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</si>
  <si>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</si>
  <si>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</si>
  <si>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</si>
  <si>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</si>
  <si>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</si>
  <si>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</si>
  <si>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</si>
  <si>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</si>
  <si>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</si>
  <si>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</si>
  <si>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</si>
  <si>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</si>
  <si>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</si>
  <si>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</si>
  <si>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</si>
  <si>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</si>
  <si>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</si>
  <si>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</si>
  <si>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</si>
  <si>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</si>
  <si>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</si>
  <si>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</si>
  <si>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</si>
  <si>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</si>
  <si>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</si>
  <si>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</si>
  <si>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</si>
  <si>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</si>
  <si>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</si>
  <si>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</si>
  <si>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</si>
  <si>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</si>
  <si>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</si>
  <si>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</si>
  <si>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</si>
  <si>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</si>
  <si>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</si>
  <si>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</si>
  <si>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</si>
  <si>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</si>
  <si>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</si>
  <si>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</si>
  <si>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</si>
  <si>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</si>
  <si>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</si>
  <si>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</si>
  <si>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</si>
  <si>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</si>
  <si>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</si>
  <si>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</si>
  <si>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</si>
  <si>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</si>
  <si>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</si>
  <si>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</si>
  <si>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</si>
  <si>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</si>
  <si>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</si>
  <si>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</si>
  <si>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</si>
  <si>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</si>
  <si>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</si>
  <si>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</si>
  <si>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</si>
  <si>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</si>
  <si>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</si>
  <si>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</si>
  <si>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</si>
  <si>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</si>
  <si>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</si>
  <si>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</si>
  <si>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</si>
  <si>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</si>
  <si>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</si>
  <si>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</si>
  <si>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</si>
  <si>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</si>
  <si>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</si>
  <si>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</si>
  <si>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</si>
  <si>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</si>
  <si>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</si>
  <si>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</si>
  <si>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</si>
  <si>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</si>
  <si>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</si>
  <si>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</si>
  <si>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</si>
  <si>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</si>
  <si>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</si>
  <si>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</si>
  <si>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</si>
  <si>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</si>
  <si>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</si>
  <si>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</si>
  <si>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</si>
  <si>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</si>
  <si>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</si>
  <si>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</si>
  <si>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</si>
  <si>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</si>
  <si>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</si>
  <si>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</si>
  <si>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</si>
  <si>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</si>
  <si>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</si>
  <si>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</si>
  <si>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</si>
  <si>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</si>
  <si>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</si>
  <si>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</si>
  <si>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</si>
  <si>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</si>
  <si>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</si>
  <si>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</si>
  <si>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</si>
  <si>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</si>
  <si>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</si>
  <si>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</si>
  <si>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</si>
  <si>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</si>
  <si>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</si>
  <si>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</si>
  <si>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</si>
  <si>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</si>
  <si>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</si>
  <si>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</si>
  <si>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</si>
  <si>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</si>
  <si>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</si>
  <si>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</si>
  <si>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</si>
  <si>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</si>
  <si>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</si>
  <si>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</si>
  <si>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</si>
  <si>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</si>
  <si>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</si>
  <si>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</si>
  <si>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</si>
  <si>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</si>
  <si>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</si>
  <si>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</si>
  <si>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</si>
  <si>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</si>
  <si>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</si>
  <si>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</si>
  <si>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</si>
  <si>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</si>
  <si>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</si>
  <si>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</si>
  <si>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</si>
  <si>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</si>
  <si>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</si>
  <si>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</si>
  <si>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</si>
  <si>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</si>
  <si>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</si>
  <si>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</si>
  <si>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</si>
  <si>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</si>
  <si>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</si>
  <si>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</si>
  <si>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</si>
  <si>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</si>
  <si>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</si>
  <si>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</si>
  <si>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</si>
  <si>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</si>
  <si>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</si>
  <si>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</si>
  <si>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</si>
  <si>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</si>
  <si>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</si>
  <si>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</si>
  <si>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</si>
  <si>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</si>
  <si>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</si>
  <si>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</si>
  <si>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</si>
  <si>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</si>
  <si>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</si>
  <si>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</si>
  <si>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</si>
  <si>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</si>
  <si>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</si>
  <si>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</si>
  <si>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</si>
  <si>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</si>
  <si>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</si>
  <si>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</si>
  <si>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</si>
  <si>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</si>
  <si>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</si>
  <si>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</si>
  <si>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</si>
  <si>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</si>
  <si>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</si>
  <si>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</si>
  <si>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</si>
  <si>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</si>
  <si>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</si>
  <si>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</si>
  <si>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</si>
  <si>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</si>
  <si>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</si>
  <si>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</si>
  <si>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</si>
  <si>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</si>
  <si>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</si>
  <si>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</si>
  <si>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</si>
  <si>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</si>
  <si>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</si>
  <si>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</si>
  <si>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</si>
  <si>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</si>
  <si>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</si>
  <si>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</si>
  <si>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</si>
  <si>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</si>
  <si>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</si>
  <si>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</si>
  <si>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</si>
  <si>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</si>
  <si>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</si>
  <si>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</si>
  <si>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</si>
  <si>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</si>
  <si>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</si>
  <si>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</si>
  <si>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</si>
  <si>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</si>
  <si>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</si>
  <si>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</si>
  <si>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NA - no additional questions</t>
  </si>
  <si>
    <t>DDU</t>
  </si>
  <si>
    <t>272502 VW VWA VN 41S1_NAR EL SB</t>
  </si>
  <si>
    <t>PRWB</t>
  </si>
  <si>
    <t>AEF1007</t>
  </si>
  <si>
    <t>Gabriel Brasoveanu</t>
  </si>
  <si>
    <t>IRE</t>
  </si>
  <si>
    <t>1.16.2023</t>
  </si>
  <si>
    <t>PwmIf - Peer Review Workbook.xlsm</t>
  </si>
  <si>
    <t>PwmIf - Peer Review Workbook (PRWB)</t>
  </si>
  <si>
    <t>1.4.1.1</t>
  </si>
  <si>
    <t>PwmIf.h</t>
  </si>
  <si>
    <t>1.4.1.2</t>
  </si>
  <si>
    <t>1.4.1.3</t>
  </si>
  <si>
    <t>Code review is covered by 1.4.1.4 version</t>
  </si>
  <si>
    <t>1.4.1.4</t>
  </si>
  <si>
    <t>1.1.1.1</t>
  </si>
  <si>
    <t>1.1.1.2</t>
  </si>
  <si>
    <t>1.1.1.3</t>
  </si>
  <si>
    <t>1.1.1.4</t>
  </si>
  <si>
    <t>PwmIf.h - v1.1.1.1</t>
  </si>
  <si>
    <t>PwmIf.h - v1.1.1.2</t>
  </si>
  <si>
    <t>PwmIf.h - v1.1.1.3</t>
  </si>
  <si>
    <t>PwmIf.h - v1.1.1.4</t>
  </si>
  <si>
    <t>PwmIf.c</t>
  </si>
  <si>
    <t>Code review is covered by 1.1.1.4 version</t>
  </si>
  <si>
    <t>PwmIf.c - v1.4.1.1</t>
  </si>
  <si>
    <t>PwmIf.c - v1.4.1.2</t>
  </si>
  <si>
    <t>PwmIf.c - v1.4.1.3</t>
  </si>
  <si>
    <t>PwmIf.c - v1.4.1.4</t>
  </si>
  <si>
    <t>Template not according with template version.</t>
  </si>
  <si>
    <t>Remove unused includes</t>
  </si>
  <si>
    <t>Add memory sections</t>
  </si>
  <si>
    <t>Assure that all variables are named according with coding guideliness</t>
  </si>
  <si>
    <t>Assure that function parameters are named according with coding rules.</t>
  </si>
  <si>
    <t>Template changed according to process.</t>
  </si>
  <si>
    <t>Removed includes</t>
  </si>
  <si>
    <t>Added memory sections</t>
  </si>
  <si>
    <t>Variable name changed according to coding rules.</t>
  </si>
  <si>
    <t>Lucian Ardeleanu</t>
  </si>
  <si>
    <t>1.1.1.5</t>
  </si>
  <si>
    <t>No findings</t>
  </si>
  <si>
    <t>1.4.1.5</t>
  </si>
  <si>
    <t>PwmIf.c - v1.4.1.5</t>
  </si>
  <si>
    <t>PwmIf.h - v1.1.1.5</t>
  </si>
  <si>
    <t>1.4.1.4.1.2</t>
  </si>
  <si>
    <t>No findings between 1.4.1.5 and 1.4.1.4.1.2</t>
  </si>
  <si>
    <t>PwmIf.c - v1.4.1.4.1.2</t>
  </si>
  <si>
    <t>2.17.2023</t>
  </si>
  <si>
    <t>1.4.1.4.1.2.1.1</t>
  </si>
  <si>
    <t>PwmIf.c - v1.4.1.4.1.2.1.1</t>
  </si>
  <si>
    <t>2.23.2023</t>
  </si>
  <si>
    <t>PwmIf_SW_DetailedDesign.docx</t>
  </si>
  <si>
    <t>Template not updated according with process</t>
  </si>
  <si>
    <t>The document was full scope checked</t>
  </si>
  <si>
    <t>No additional questions</t>
  </si>
  <si>
    <t>work-product
PwmIf_SW_DetailedDesign.docx - v1.3</t>
  </si>
  <si>
    <t>PwmIf_SW_DetailedDesign.docx - v1.3</t>
  </si>
  <si>
    <t>Author name not completed</t>
  </si>
  <si>
    <t>Project number and name and the other fields from header not completed</t>
  </si>
  <si>
    <t>Open project no.1047503</t>
  </si>
  <si>
    <t>Table of contents not updated</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</si>
  <si>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</si>
  <si>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</si>
  <si>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</si>
  <si>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</si>
  <si>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</si>
  <si>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</si>
  <si>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</si>
  <si>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</si>
  <si>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</si>
  <si>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</si>
  <si>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</si>
  <si>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</si>
  <si>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</si>
  <si>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</si>
  <si>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</si>
  <si>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</si>
  <si>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</si>
  <si>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</si>
  <si>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</si>
  <si>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</si>
  <si>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</si>
  <si>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</si>
  <si>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</si>
  <si>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</si>
  <si>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</si>
  <si>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</si>
  <si>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</si>
  <si>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</si>
  <si>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</si>
  <si>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VPO</t>
  </si>
  <si>
    <t>CAB</t>
  </si>
  <si>
    <t>no traceability</t>
  </si>
  <si>
    <t>Popina Victor</t>
  </si>
  <si>
    <t>no 100% C0 and C1 coverage</t>
  </si>
  <si>
    <t>eCS_MCC.PwmIf.tmb</t>
  </si>
  <si>
    <t>medium</t>
  </si>
  <si>
    <t>Vlad Chioveanu</t>
  </si>
  <si>
    <t>Ecs_MCC.PwmIf.tmb 1.1</t>
  </si>
  <si>
    <t>1.4.1.4.1.2.1.3</t>
  </si>
  <si>
    <t>PwmIf.c - v1.4.1.4.1.2.1.3</t>
  </si>
  <si>
    <t>03.02.2023</t>
  </si>
  <si>
    <t>Robert Hadadea</t>
  </si>
  <si>
    <t>eCS_MCC.DIA.tmb - v1.2</t>
  </si>
  <si>
    <t>eCS_MCC.DIA.tmb - v1.1</t>
  </si>
  <si>
    <t>21.03.2023</t>
  </si>
  <si>
    <t>CAL</t>
  </si>
  <si>
    <t>Ecs_MCC.PwmIf.tmb 1.2</t>
  </si>
  <si>
    <t>No:Issue OpenProject: 1048949
NA: Only specification review</t>
  </si>
  <si>
    <t>Fixed on 1.2</t>
  </si>
  <si>
    <t>Ecs_MCC.PwmIf.tmb 1.3</t>
  </si>
  <si>
    <t>eCS_MCC.DIA.tmb - v1.3</t>
  </si>
  <si>
    <t>14.04.2023</t>
  </si>
  <si>
    <t>1.4.1.4.1.2.1.4</t>
  </si>
  <si>
    <t>PwmIf.c - v1.4.1.4.1.2.1.4</t>
  </si>
  <si>
    <t>27.06.2023</t>
  </si>
  <si>
    <t>eCS_SW_Arhitecture.eapx - v1.3.1.1.1.24</t>
  </si>
  <si>
    <t>25.07.2023</t>
  </si>
  <si>
    <t>LAR</t>
  </si>
  <si>
    <t>1.3.1.1.1.24</t>
  </si>
  <si>
    <t>eCS_SW_Arhitecture.eapx</t>
  </si>
  <si>
    <t>Mihai Motoc</t>
  </si>
  <si>
    <t>eCS_MCC.PwmIf.tmb - v1.4</t>
  </si>
  <si>
    <t>26.07.2024</t>
  </si>
  <si>
    <t>NAA</t>
  </si>
  <si>
    <t>Nastase Alexandru</t>
  </si>
  <si>
    <t>Adina Macaveiu</t>
  </si>
  <si>
    <t>Ecs_MCC.PwmIf.tmb 1.4</t>
  </si>
  <si>
    <t>eCS_SW_Arhitecture.eapx - v1.3.1.1.1.26</t>
  </si>
  <si>
    <t>1.3.1.1.1.26</t>
  </si>
  <si>
    <t>No findings between 1.3.1.1.1.25 and 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</si>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</sst>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rgb="FF7F7F7F"/>
      </left>
      <right style="thin">
        <color rgb="FF7F7F7F"/>
      </right>
      <top style="thin">
        <color rgb="FF7F7F7F"/>
      </top>
      <bottom/>
      <diagonal/>
    </border>
  </borders>
  <cellStyleXfs count="36">
    <xf numFmtId="0" fontId="0" fillId="0" borderId="0"/>
    <xf numFmtId="0" fontId="63" fillId="6" borderId="14" applyNumberFormat="0" applyAlignment="0" applyProtection="0"/>
    <xf numFmtId="0" fontId="64" fillId="0" borderId="0" applyNumberFormat="0" applyFill="0" applyBorder="0" applyAlignment="0" applyProtection="0"/>
    <xf numFmtId="0" fontId="33" fillId="0" borderId="0"/>
    <xf numFmtId="0" fontId="58" fillId="0" borderId="0"/>
    <xf numFmtId="0" fontId="62" fillId="0" borderId="0"/>
    <xf numFmtId="0" fontId="33" fillId="0" borderId="0"/>
    <xf numFmtId="0" fontId="40" fillId="0" borderId="0"/>
    <xf numFmtId="0" fontId="65" fillId="6" borderId="15" applyNumberFormat="0" applyAlignment="0" applyProtection="0"/>
    <xf numFmtId="0" fontId="32" fillId="0" borderId="0"/>
    <xf numFmtId="0" fontId="31" fillId="0" borderId="0"/>
    <xf numFmtId="0" fontId="30" fillId="0" borderId="0"/>
    <xf numFmtId="0" fontId="90" fillId="25" borderId="14" applyNumberFormat="0" applyAlignment="0" applyProtection="0"/>
    <xf numFmtId="0" fontId="91" fillId="26" borderId="0" applyNumberFormat="0" applyBorder="0" applyAlignment="0" applyProtection="0"/>
    <xf numFmtId="0" fontId="29" fillId="27" borderId="0" applyNumberFormat="0" applyBorder="0" applyAlignment="0" applyProtection="0"/>
    <xf numFmtId="0" fontId="33" fillId="0" borderId="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0" borderId="0"/>
    <xf numFmtId="0" fontId="16" fillId="27" borderId="0" applyNumberFormat="0" applyBorder="0" applyAlignment="0" applyProtection="0"/>
    <xf numFmtId="0" fontId="15" fillId="27" borderId="0" applyNumberFormat="0" applyBorder="0" applyAlignment="0" applyProtection="0"/>
    <xf numFmtId="0" fontId="110" fillId="0" borderId="0" applyNumberFormat="0" applyFill="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6" fillId="27" borderId="0" applyNumberFormat="0" applyBorder="0" applyAlignment="0" applyProtection="0"/>
  </cellStyleXfs>
  <cellXfs count="347">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4" fillId="3" borderId="12" xfId="0" applyFont="1" applyFill="1" applyBorder="1" applyAlignment="1">
      <alignment horizontal="center" wrapText="1"/>
    </xf>
    <xf numFmtId="0" fontId="0" fillId="2" borderId="0" xfId="0" applyFill="1" applyAlignment="1">
      <alignment horizontal="center"/>
    </xf>
    <xf numFmtId="0" fontId="3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3" fillId="0" borderId="1" xfId="0" applyFont="1" applyBorder="1" applyAlignment="1">
      <alignment vertical="center" wrapText="1"/>
    </xf>
    <xf numFmtId="0" fontId="33" fillId="3" borderId="1" xfId="0" applyFont="1" applyFill="1" applyBorder="1" applyAlignment="1">
      <alignment horizontal="center" vertical="center" wrapText="1"/>
    </xf>
    <xf numFmtId="0" fontId="33" fillId="2" borderId="0" xfId="0" applyFont="1" applyFill="1" applyBorder="1" applyAlignment="1">
      <alignment wrapText="1"/>
    </xf>
    <xf numFmtId="0" fontId="66" fillId="7" borderId="0" xfId="0" applyFont="1" applyFill="1" applyBorder="1" applyAlignment="1">
      <alignment horizontal="center" vertical="center" wrapText="1"/>
    </xf>
    <xf numFmtId="0" fontId="66" fillId="0" borderId="0" xfId="0" applyFont="1" applyFill="1" applyBorder="1" applyAlignment="1">
      <alignment horizontal="center" vertical="center" wrapText="1"/>
    </xf>
    <xf numFmtId="0" fontId="66" fillId="0" borderId="0" xfId="0" applyFont="1" applyFill="1" applyAlignment="1">
      <alignment vertical="center"/>
    </xf>
    <xf numFmtId="0" fontId="66" fillId="0" borderId="0" xfId="0" applyFont="1" applyFill="1" applyBorder="1" applyAlignment="1">
      <alignment vertical="center" wrapText="1"/>
    </xf>
    <xf numFmtId="0" fontId="55" fillId="2" borderId="2" xfId="0" applyFont="1" applyFill="1" applyBorder="1"/>
    <xf numFmtId="0" fontId="33" fillId="2" borderId="0" xfId="0" applyFont="1" applyFill="1" applyAlignment="1">
      <alignment horizontal="center"/>
    </xf>
    <xf numFmtId="0" fontId="0" fillId="8" borderId="0" xfId="0" applyFill="1" applyAlignment="1">
      <alignment horizontal="center"/>
    </xf>
    <xf numFmtId="0" fontId="33" fillId="2" borderId="1" xfId="0" applyFont="1" applyFill="1" applyBorder="1" applyAlignment="1">
      <alignment horizontal="center" wrapText="1"/>
    </xf>
    <xf numFmtId="0" fontId="33" fillId="2" borderId="1" xfId="0" applyFont="1" applyFill="1" applyBorder="1" applyAlignment="1">
      <alignment horizontal="center" vertical="center" wrapText="1"/>
    </xf>
    <xf numFmtId="0" fontId="0" fillId="2" borderId="5" xfId="0" applyFill="1" applyBorder="1" applyAlignment="1">
      <alignment wrapText="1"/>
    </xf>
    <xf numFmtId="0" fontId="33" fillId="2" borderId="0" xfId="0" applyFont="1" applyFill="1" applyBorder="1"/>
    <xf numFmtId="0" fontId="34" fillId="9" borderId="1" xfId="0" applyFont="1" applyFill="1" applyBorder="1" applyAlignment="1">
      <alignment horizontal="center" vertical="center" wrapText="1"/>
    </xf>
    <xf numFmtId="0" fontId="33" fillId="2" borderId="10" xfId="0" applyFont="1" applyFill="1" applyBorder="1"/>
    <xf numFmtId="0" fontId="66"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3" fillId="8" borderId="0" xfId="0" applyFont="1" applyFill="1" applyBorder="1" applyAlignment="1">
      <alignment horizontal="center" vertical="center"/>
    </xf>
    <xf numFmtId="0" fontId="33" fillId="8" borderId="1" xfId="0" applyFont="1" applyFill="1" applyBorder="1" applyAlignment="1">
      <alignment horizontal="center" vertical="center"/>
    </xf>
    <xf numFmtId="0" fontId="33" fillId="13" borderId="1" xfId="0" applyFont="1" applyFill="1" applyBorder="1" applyAlignment="1">
      <alignment horizontal="center" vertical="center" wrapText="1"/>
    </xf>
    <xf numFmtId="0" fontId="33"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6" fillId="8" borderId="0" xfId="0" applyFont="1" applyFill="1" applyBorder="1" applyAlignment="1">
      <alignment horizontal="center" vertical="center" wrapText="1"/>
    </xf>
    <xf numFmtId="0" fontId="66" fillId="8" borderId="0" xfId="0" applyFont="1" applyFill="1" applyAlignment="1">
      <alignment horizontal="center" vertical="center" wrapText="1"/>
    </xf>
    <xf numFmtId="0" fontId="66"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6" fillId="14" borderId="1" xfId="0" applyFont="1" applyFill="1" applyBorder="1" applyAlignment="1">
      <alignment horizontal="center" vertical="center" wrapText="1"/>
    </xf>
    <xf numFmtId="0" fontId="66"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9" fillId="13" borderId="1" xfId="0" applyFont="1" applyFill="1" applyBorder="1" applyAlignment="1">
      <alignment horizontal="center" vertical="center" wrapText="1"/>
    </xf>
    <xf numFmtId="0" fontId="0" fillId="0" borderId="0" xfId="0" applyFill="1" applyBorder="1" applyAlignment="1">
      <alignment horizontal="center"/>
    </xf>
    <xf numFmtId="0" fontId="33" fillId="13" borderId="1" xfId="0" applyFont="1" applyFill="1" applyBorder="1" applyAlignment="1">
      <alignment horizontal="center" vertical="center"/>
    </xf>
    <xf numFmtId="0" fontId="0" fillId="13" borderId="1" xfId="0" applyFill="1" applyBorder="1" applyAlignment="1">
      <alignment horizontal="center" vertical="center"/>
    </xf>
    <xf numFmtId="0" fontId="33" fillId="2" borderId="5" xfId="0" applyFont="1" applyFill="1" applyBorder="1" applyAlignment="1">
      <alignment wrapText="1"/>
    </xf>
    <xf numFmtId="0" fontId="33" fillId="10" borderId="0" xfId="0" applyFont="1" applyFill="1" applyBorder="1" applyAlignment="1">
      <alignment horizontal="left" vertical="center"/>
    </xf>
    <xf numFmtId="0" fontId="33" fillId="12" borderId="0" xfId="0" applyFont="1" applyFill="1" applyBorder="1" applyAlignment="1">
      <alignment horizontal="left" vertical="center"/>
    </xf>
    <xf numFmtId="0" fontId="33" fillId="15" borderId="0" xfId="0" applyFont="1" applyFill="1" applyBorder="1" applyAlignment="1">
      <alignment horizontal="left" vertical="center"/>
    </xf>
    <xf numFmtId="0" fontId="33" fillId="13" borderId="0" xfId="0" applyFont="1" applyFill="1" applyBorder="1" applyAlignment="1">
      <alignment horizontal="left" vertical="center"/>
    </xf>
    <xf numFmtId="0" fontId="33" fillId="2" borderId="1" xfId="0" applyFont="1" applyFill="1" applyBorder="1"/>
    <xf numFmtId="0" fontId="33" fillId="0" borderId="1" xfId="0" applyFont="1" applyBorder="1" applyAlignment="1">
      <alignment horizontal="center" vertical="center"/>
    </xf>
    <xf numFmtId="14" fontId="33"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3" fillId="3" borderId="12" xfId="0" applyFont="1" applyFill="1" applyBorder="1" applyAlignment="1">
      <alignment horizontal="center" vertical="center" wrapText="1"/>
    </xf>
    <xf numFmtId="0" fontId="63" fillId="6" borderId="1" xfId="1" applyFont="1" applyBorder="1" applyAlignment="1">
      <alignment horizontal="center"/>
    </xf>
    <xf numFmtId="0" fontId="67" fillId="6" borderId="15" xfId="8" applyFont="1" applyAlignment="1">
      <alignment horizontal="center"/>
    </xf>
    <xf numFmtId="0" fontId="67" fillId="6" borderId="17" xfId="8" applyFont="1" applyBorder="1" applyAlignment="1">
      <alignment horizontal="center"/>
    </xf>
    <xf numFmtId="0" fontId="63" fillId="6" borderId="1" xfId="1" applyBorder="1" applyAlignment="1">
      <alignment horizontal="center" vertical="center"/>
    </xf>
    <xf numFmtId="0" fontId="33" fillId="2" borderId="1" xfId="0" applyFont="1" applyFill="1" applyBorder="1" applyAlignment="1">
      <alignment horizontal="center"/>
    </xf>
    <xf numFmtId="0" fontId="33"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3" fillId="2" borderId="8" xfId="0" applyFont="1" applyFill="1" applyBorder="1" applyAlignment="1">
      <alignment wrapText="1" shrinkToFit="1"/>
    </xf>
    <xf numFmtId="0" fontId="33" fillId="2" borderId="0" xfId="0" applyFont="1" applyFill="1"/>
    <xf numFmtId="0" fontId="33" fillId="2" borderId="0" xfId="0" applyFont="1" applyFill="1" applyAlignment="1">
      <alignment vertical="top"/>
    </xf>
    <xf numFmtId="0" fontId="33" fillId="0" borderId="0" xfId="3" applyAlignment="1">
      <alignment vertical="center"/>
    </xf>
    <xf numFmtId="0" fontId="37" fillId="0" borderId="0" xfId="3" applyFont="1" applyAlignment="1">
      <alignment vertical="center" wrapText="1"/>
    </xf>
    <xf numFmtId="164" fontId="37" fillId="0" borderId="0" xfId="3" applyNumberFormat="1" applyFont="1" applyAlignment="1">
      <alignment horizontal="center" vertical="center" wrapText="1"/>
    </xf>
    <xf numFmtId="20" fontId="37" fillId="0" borderId="0" xfId="3" applyNumberFormat="1" applyFont="1" applyAlignment="1">
      <alignment vertical="center" wrapText="1"/>
    </xf>
    <xf numFmtId="0" fontId="37" fillId="0" borderId="0" xfId="3" applyFont="1" applyAlignment="1">
      <alignment horizontal="left" vertical="center" wrapText="1"/>
    </xf>
    <xf numFmtId="0" fontId="68" fillId="0" borderId="0" xfId="3" quotePrefix="1" applyFont="1" applyAlignment="1">
      <alignment horizontal="right" vertical="center"/>
    </xf>
    <xf numFmtId="0" fontId="38" fillId="0" borderId="0" xfId="3" applyFont="1" applyAlignment="1">
      <alignment horizontal="left" vertical="center" wrapText="1"/>
    </xf>
    <xf numFmtId="0" fontId="33" fillId="0" borderId="0" xfId="3" applyAlignment="1">
      <alignment vertical="center" shrinkToFit="1"/>
    </xf>
    <xf numFmtId="0" fontId="70" fillId="0" borderId="0" xfId="3" applyFont="1" applyAlignment="1">
      <alignment horizontal="left" vertical="center" shrinkToFit="1"/>
    </xf>
    <xf numFmtId="0" fontId="34" fillId="0" borderId="0" xfId="3" applyFont="1" applyAlignment="1">
      <alignment horizontal="left" vertical="center" shrinkToFit="1"/>
    </xf>
    <xf numFmtId="0" fontId="33" fillId="0" borderId="0" xfId="3" applyAlignment="1" applyProtection="1">
      <alignment vertical="center"/>
      <protection locked="0"/>
    </xf>
    <xf numFmtId="0" fontId="33" fillId="0" borderId="0" xfId="3" applyAlignment="1" applyProtection="1">
      <alignment vertical="center" shrinkToFit="1"/>
      <protection locked="0"/>
    </xf>
    <xf numFmtId="0" fontId="75" fillId="0" borderId="2" xfId="3" applyFont="1" applyBorder="1" applyAlignment="1" applyProtection="1">
      <alignment horizontal="left" vertical="center" wrapText="1" shrinkToFit="1"/>
      <protection locked="0"/>
    </xf>
    <xf numFmtId="0" fontId="76" fillId="0" borderId="0" xfId="3" applyFont="1" applyAlignment="1" applyProtection="1">
      <alignment horizontal="left" vertical="center" shrinkToFit="1"/>
      <protection locked="0"/>
    </xf>
    <xf numFmtId="0" fontId="75" fillId="0" borderId="0" xfId="3" applyFont="1" applyAlignment="1" applyProtection="1">
      <alignment horizontal="left" vertical="center" wrapText="1" shrinkToFit="1"/>
      <protection locked="0"/>
    </xf>
    <xf numFmtId="0" fontId="76" fillId="0" borderId="3" xfId="3" applyFont="1" applyBorder="1" applyAlignment="1" applyProtection="1">
      <alignment horizontal="left" vertical="center" shrinkToFit="1"/>
      <protection locked="0"/>
    </xf>
    <xf numFmtId="0" fontId="79" fillId="0" borderId="0" xfId="3" applyFont="1" applyAlignment="1" applyProtection="1">
      <alignment vertical="center"/>
      <protection locked="0"/>
    </xf>
    <xf numFmtId="0" fontId="80" fillId="0" borderId="0" xfId="3" applyFont="1" applyAlignment="1" applyProtection="1">
      <alignment horizontal="center" vertical="center"/>
      <protection locked="0"/>
    </xf>
    <xf numFmtId="0" fontId="32" fillId="8" borderId="0" xfId="9" applyFill="1"/>
    <xf numFmtId="0" fontId="81" fillId="0" borderId="0" xfId="3" applyFont="1" applyAlignment="1">
      <alignment horizontal="right" vertical="center"/>
    </xf>
    <xf numFmtId="0" fontId="82" fillId="0" borderId="18" xfId="3" applyFont="1" applyBorder="1" applyAlignment="1" applyProtection="1">
      <alignment vertical="center"/>
      <protection locked="0"/>
    </xf>
    <xf numFmtId="0" fontId="33" fillId="0" borderId="18" xfId="3" applyBorder="1" applyAlignment="1" applyProtection="1">
      <alignment vertical="center"/>
      <protection locked="0"/>
    </xf>
    <xf numFmtId="0" fontId="83" fillId="0" borderId="0" xfId="3" applyFont="1" applyAlignment="1" applyProtection="1">
      <alignment horizontal="left" vertical="center"/>
      <protection locked="0"/>
    </xf>
    <xf numFmtId="0" fontId="42" fillId="0" borderId="0" xfId="3" applyFont="1" applyAlignment="1" applyProtection="1">
      <alignment horizontal="left" vertical="center"/>
      <protection locked="0"/>
    </xf>
    <xf numFmtId="0" fontId="61" fillId="0" borderId="0" xfId="3" applyFont="1" applyAlignment="1" applyProtection="1">
      <alignment vertical="center"/>
      <protection locked="0"/>
    </xf>
    <xf numFmtId="0" fontId="34" fillId="0" borderId="0" xfId="3" applyFont="1" applyAlignment="1" applyProtection="1">
      <alignment vertical="center"/>
      <protection locked="0"/>
    </xf>
    <xf numFmtId="49" fontId="84" fillId="0" borderId="0" xfId="3" applyNumberFormat="1" applyFont="1" applyAlignment="1" applyProtection="1">
      <alignment horizontal="left" vertical="center"/>
      <protection locked="0"/>
    </xf>
    <xf numFmtId="49" fontId="33" fillId="0" borderId="0" xfId="3" applyNumberFormat="1" applyAlignment="1">
      <alignment horizontal="center" vertical="center" wrapText="1"/>
    </xf>
    <xf numFmtId="49" fontId="33" fillId="0" borderId="0" xfId="3" applyNumberFormat="1" applyAlignment="1" applyProtection="1">
      <alignment horizontal="left" vertical="center" wrapText="1"/>
      <protection locked="0"/>
    </xf>
    <xf numFmtId="49" fontId="33" fillId="0" borderId="0" xfId="3" applyNumberFormat="1" applyAlignment="1">
      <alignment horizontal="left" vertical="center" wrapText="1"/>
    </xf>
    <xf numFmtId="14" fontId="33" fillId="0" borderId="0" xfId="3" applyNumberFormat="1" applyAlignment="1" applyProtection="1">
      <alignment vertical="center"/>
      <protection locked="0"/>
    </xf>
    <xf numFmtId="0" fontId="85" fillId="0" borderId="0" xfId="3" applyFont="1" applyAlignment="1" applyProtection="1">
      <alignment horizontal="left" vertical="center"/>
      <protection locked="0"/>
    </xf>
    <xf numFmtId="0" fontId="33" fillId="0" borderId="0" xfId="3" applyAlignment="1">
      <alignment horizontal="left" vertical="center" wrapText="1"/>
    </xf>
    <xf numFmtId="0" fontId="82" fillId="0" borderId="5" xfId="3" applyFont="1" applyBorder="1" applyAlignment="1" applyProtection="1">
      <alignment vertical="center"/>
      <protection locked="0"/>
    </xf>
    <xf numFmtId="49" fontId="33" fillId="0" borderId="5" xfId="3" applyNumberFormat="1" applyBorder="1" applyAlignment="1" applyProtection="1">
      <alignment horizontal="left" vertical="center" wrapText="1"/>
      <protection locked="0"/>
    </xf>
    <xf numFmtId="0" fontId="33" fillId="0" borderId="5" xfId="3" applyBorder="1" applyAlignment="1">
      <alignment horizontal="left" vertical="center" wrapText="1"/>
    </xf>
    <xf numFmtId="0" fontId="82" fillId="0" borderId="0" xfId="3" applyFont="1" applyAlignment="1" applyProtection="1">
      <alignment vertical="center"/>
      <protection locked="0"/>
    </xf>
    <xf numFmtId="49" fontId="33" fillId="0" borderId="0" xfId="3" applyNumberFormat="1" applyAlignment="1" applyProtection="1">
      <alignment horizontal="left" vertical="center"/>
      <protection locked="0"/>
    </xf>
    <xf numFmtId="0" fontId="33" fillId="0" borderId="0" xfId="3" applyAlignment="1">
      <alignment horizontal="left" vertical="center"/>
    </xf>
    <xf numFmtId="0" fontId="34" fillId="2" borderId="1" xfId="0" applyNumberFormat="1" applyFont="1" applyFill="1" applyBorder="1" applyAlignment="1">
      <alignment horizontal="center" vertical="center"/>
    </xf>
    <xf numFmtId="0" fontId="33" fillId="21" borderId="0" xfId="0" applyFont="1" applyFill="1" applyBorder="1" applyAlignment="1">
      <alignment horizontal="left" vertical="top" wrapText="1"/>
    </xf>
    <xf numFmtId="0" fontId="33" fillId="21" borderId="0" xfId="0" applyFont="1" applyFill="1" applyBorder="1" applyAlignment="1">
      <alignment wrapText="1"/>
    </xf>
    <xf numFmtId="0" fontId="0" fillId="21" borderId="0" xfId="0" applyFill="1" applyBorder="1" applyAlignment="1">
      <alignment wrapText="1"/>
    </xf>
    <xf numFmtId="0" fontId="33" fillId="9" borderId="0" xfId="0" applyFont="1" applyFill="1" applyBorder="1" applyAlignment="1">
      <alignment wrapText="1"/>
    </xf>
    <xf numFmtId="0" fontId="0" fillId="9" borderId="0" xfId="0" applyFill="1" applyBorder="1" applyAlignment="1">
      <alignment wrapText="1"/>
    </xf>
    <xf numFmtId="0" fontId="33" fillId="2" borderId="2" xfId="0" applyFont="1" applyFill="1" applyBorder="1" applyAlignment="1">
      <alignment horizontal="right"/>
    </xf>
    <xf numFmtId="0" fontId="0" fillId="2" borderId="4" xfId="0" applyFill="1" applyBorder="1" applyAlignment="1">
      <alignment horizontal="right"/>
    </xf>
    <xf numFmtId="0" fontId="30" fillId="0" borderId="0" xfId="11"/>
    <xf numFmtId="0" fontId="36" fillId="10" borderId="1" xfId="0" applyFont="1" applyFill="1" applyBorder="1" applyAlignment="1">
      <alignment horizontal="center" vertical="center" wrapText="1"/>
    </xf>
    <xf numFmtId="0" fontId="92" fillId="12" borderId="1" xfId="0" applyFont="1" applyFill="1" applyBorder="1" applyAlignment="1">
      <alignment horizontal="center" vertical="center" wrapText="1"/>
    </xf>
    <xf numFmtId="0" fontId="36" fillId="11" borderId="1" xfId="0" applyFont="1" applyFill="1" applyBorder="1" applyAlignment="1">
      <alignment horizontal="center" vertical="center" wrapText="1"/>
    </xf>
    <xf numFmtId="14" fontId="36" fillId="11" borderId="1" xfId="0" applyNumberFormat="1" applyFont="1" applyFill="1" applyBorder="1" applyAlignment="1">
      <alignment horizontal="center" vertical="center" wrapText="1"/>
    </xf>
    <xf numFmtId="0" fontId="57" fillId="8" borderId="0" xfId="0" applyFont="1" applyFill="1" applyAlignment="1">
      <alignment horizontal="center" vertical="center"/>
    </xf>
    <xf numFmtId="0" fontId="57" fillId="8" borderId="0" xfId="0" applyFont="1" applyFill="1" applyAlignment="1">
      <alignment vertical="center"/>
    </xf>
    <xf numFmtId="0" fontId="57" fillId="0" borderId="0" xfId="0" applyFont="1" applyAlignment="1">
      <alignment vertical="center"/>
    </xf>
    <xf numFmtId="0" fontId="36" fillId="0" borderId="0" xfId="0" applyFont="1" applyFill="1" applyAlignment="1">
      <alignment vertical="center"/>
    </xf>
    <xf numFmtId="0" fontId="63" fillId="6" borderId="14" xfId="1"/>
    <xf numFmtId="0" fontId="94" fillId="29" borderId="20" xfId="14" applyFont="1" applyFill="1" applyBorder="1" applyAlignment="1" applyProtection="1">
      <alignment horizontal="center" vertical="center" wrapText="1"/>
      <protection locked="0"/>
    </xf>
    <xf numFmtId="0" fontId="95" fillId="13" borderId="20" xfId="14" applyFont="1" applyFill="1" applyBorder="1" applyAlignment="1" applyProtection="1">
      <alignment horizontal="center" vertical="center" wrapText="1"/>
    </xf>
    <xf numFmtId="0" fontId="94" fillId="7" borderId="1" xfId="14" applyFont="1" applyFill="1" applyBorder="1" applyAlignment="1">
      <alignment horizontal="left" vertical="center"/>
    </xf>
    <xf numFmtId="0" fontId="90" fillId="25" borderId="14" xfId="12" applyAlignment="1">
      <alignment horizontal="center" vertical="center"/>
    </xf>
    <xf numFmtId="0" fontId="94" fillId="7" borderId="1" xfId="14" applyFont="1" applyFill="1" applyBorder="1" applyAlignment="1">
      <alignment horizontal="center" vertical="center"/>
    </xf>
    <xf numFmtId="0" fontId="33" fillId="5" borderId="0" xfId="15" applyFill="1" applyAlignment="1">
      <alignment vertical="center"/>
    </xf>
    <xf numFmtId="0" fontId="33" fillId="5" borderId="0" xfId="15" applyFill="1" applyAlignment="1">
      <alignment vertical="center" wrapText="1"/>
    </xf>
    <xf numFmtId="0" fontId="35" fillId="5" borderId="0" xfId="15" applyFont="1" applyFill="1" applyAlignment="1">
      <alignment vertical="center"/>
    </xf>
    <xf numFmtId="0" fontId="71" fillId="30" borderId="10" xfId="15" applyFont="1" applyFill="1" applyBorder="1" applyAlignment="1">
      <alignment vertical="center"/>
    </xf>
    <xf numFmtId="0" fontId="100" fillId="30" borderId="19" xfId="15" applyFont="1" applyFill="1" applyBorder="1" applyAlignment="1">
      <alignment vertical="center" wrapText="1"/>
    </xf>
    <xf numFmtId="0" fontId="33" fillId="5" borderId="1" xfId="15" applyFill="1" applyBorder="1" applyAlignment="1">
      <alignment vertical="center"/>
    </xf>
    <xf numFmtId="0" fontId="101" fillId="5" borderId="1" xfId="15" applyFont="1" applyFill="1" applyBorder="1" applyAlignment="1">
      <alignment horizontal="center" vertical="center"/>
    </xf>
    <xf numFmtId="0" fontId="71" fillId="31" borderId="10" xfId="15" applyFont="1" applyFill="1" applyBorder="1" applyAlignment="1">
      <alignment vertical="center"/>
    </xf>
    <xf numFmtId="0" fontId="43" fillId="31" borderId="8" xfId="15" applyFont="1" applyFill="1" applyBorder="1" applyAlignment="1">
      <alignment horizontal="center" vertical="center" wrapText="1"/>
    </xf>
    <xf numFmtId="0" fontId="100" fillId="31" borderId="19" xfId="15" applyFont="1" applyFill="1" applyBorder="1" applyAlignment="1">
      <alignment vertical="center" wrapText="1"/>
    </xf>
    <xf numFmtId="0" fontId="100" fillId="31" borderId="11" xfId="15" applyFont="1" applyFill="1" applyBorder="1" applyAlignment="1">
      <alignment vertical="center" wrapText="1"/>
    </xf>
    <xf numFmtId="0" fontId="43" fillId="30" borderId="19" xfId="15" applyFont="1" applyFill="1" applyBorder="1" applyAlignment="1">
      <alignment vertical="center" wrapText="1"/>
    </xf>
    <xf numFmtId="0" fontId="0" fillId="0" borderId="0" xfId="0" applyAlignment="1" applyProtection="1">
      <alignment vertical="center"/>
      <protection locked="0"/>
    </xf>
    <xf numFmtId="0" fontId="83" fillId="0" borderId="0" xfId="0" applyFont="1" applyAlignment="1" applyProtection="1">
      <alignment horizontal="left" vertical="center"/>
      <protection locked="0"/>
    </xf>
    <xf numFmtId="0" fontId="33" fillId="0" borderId="1" xfId="15" applyBorder="1" applyAlignment="1">
      <alignment vertical="center" wrapText="1"/>
    </xf>
    <xf numFmtId="0" fontId="107" fillId="0" borderId="2" xfId="0" applyFont="1" applyBorder="1" applyAlignment="1">
      <alignment horizontal="right" vertical="center"/>
    </xf>
    <xf numFmtId="0" fontId="109" fillId="0" borderId="0" xfId="0" applyFont="1" applyBorder="1" applyAlignment="1">
      <alignment wrapText="1"/>
    </xf>
    <xf numFmtId="0" fontId="91" fillId="7" borderId="1" xfId="14" applyFont="1" applyFill="1" applyBorder="1" applyAlignment="1">
      <alignment horizontal="center" vertical="center"/>
    </xf>
    <xf numFmtId="0" fontId="110" fillId="8" borderId="0" xfId="30" applyFill="1" applyAlignment="1">
      <alignment horizontal="center" wrapText="1"/>
    </xf>
    <xf numFmtId="0" fontId="36" fillId="3" borderId="1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1" xfId="0" applyFont="1" applyFill="1" applyBorder="1" applyAlignment="1">
      <alignment horizontal="center" vertical="center" wrapText="1"/>
    </xf>
    <xf numFmtId="0" fontId="63" fillId="6" borderId="16" xfId="1" applyFont="1" applyBorder="1" applyAlignment="1">
      <alignment horizontal="center" vertical="center"/>
    </xf>
    <xf numFmtId="0" fontId="63" fillId="6" borderId="1" xfId="1" applyFont="1" applyBorder="1" applyAlignment="1">
      <alignment horizontal="center" vertical="center"/>
    </xf>
    <xf numFmtId="0" fontId="34" fillId="2" borderId="1" xfId="0" applyFont="1" applyFill="1" applyBorder="1" applyAlignment="1">
      <alignment horizontal="center"/>
    </xf>
    <xf numFmtId="0" fontId="71" fillId="33" borderId="12" xfId="15" applyFont="1" applyFill="1" applyBorder="1" applyAlignment="1">
      <alignment horizontal="center" vertical="center" textRotation="45" wrapText="1"/>
    </xf>
    <xf numFmtId="0" fontId="98" fillId="33" borderId="12" xfId="15" applyFont="1" applyFill="1" applyBorder="1" applyAlignment="1">
      <alignment horizontal="center" vertical="center" wrapText="1"/>
    </xf>
    <xf numFmtId="0" fontId="86" fillId="33" borderId="1" xfId="15" applyFont="1" applyFill="1" applyBorder="1" applyAlignment="1">
      <alignment horizontal="center" vertical="center" textRotation="45" wrapText="1"/>
    </xf>
    <xf numFmtId="0" fontId="86" fillId="33" borderId="1" xfId="15" applyFont="1" applyFill="1" applyBorder="1" applyAlignment="1">
      <alignment horizontal="center" vertical="center" wrapText="1"/>
    </xf>
    <xf numFmtId="0" fontId="71" fillId="33" borderId="13" xfId="15" applyFont="1" applyFill="1" applyBorder="1" applyAlignment="1">
      <alignment horizontal="center" vertical="center"/>
    </xf>
    <xf numFmtId="0" fontId="99" fillId="33" borderId="13" xfId="15" applyFont="1" applyFill="1" applyBorder="1" applyAlignment="1">
      <alignment horizontal="center" vertical="center" wrapText="1"/>
    </xf>
    <xf numFmtId="9" fontId="111" fillId="6" borderId="14" xfId="1" applyNumberFormat="1" applyFont="1" applyAlignment="1">
      <alignment horizontal="center" vertical="center" wrapText="1"/>
    </xf>
    <xf numFmtId="0" fontId="71" fillId="33" borderId="7" xfId="15" applyFont="1" applyFill="1" applyBorder="1" applyAlignment="1">
      <alignment horizontal="center" vertical="center"/>
    </xf>
    <xf numFmtId="0" fontId="102" fillId="33" borderId="8" xfId="15" applyFont="1" applyFill="1" applyBorder="1" applyAlignment="1">
      <alignment horizontal="center" vertical="center" wrapText="1"/>
    </xf>
    <xf numFmtId="0" fontId="99" fillId="33" borderId="8" xfId="15" applyFont="1" applyFill="1" applyBorder="1" applyAlignment="1">
      <alignment horizontal="center" vertical="center" wrapText="1"/>
    </xf>
    <xf numFmtId="0" fontId="99"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3" fillId="15" borderId="0" xfId="0" applyFont="1" applyFill="1" applyAlignment="1">
      <alignment horizontal="center" wrapText="1"/>
    </xf>
    <xf numFmtId="0" fontId="55" fillId="15" borderId="0" xfId="0" applyFont="1" applyFill="1" applyAlignment="1">
      <alignment horizontal="center" wrapText="1"/>
    </xf>
    <xf numFmtId="0" fontId="43" fillId="7" borderId="0" xfId="0" applyFont="1" applyFill="1" applyAlignment="1">
      <alignment horizontal="center" wrapText="1"/>
    </xf>
    <xf numFmtId="0" fontId="112" fillId="7" borderId="0" xfId="0" applyFont="1" applyFill="1" applyAlignment="1">
      <alignment horizontal="center" vertical="center" wrapText="1"/>
    </xf>
    <xf numFmtId="0" fontId="94" fillId="29" borderId="12" xfId="34" applyFont="1" applyFill="1" applyBorder="1" applyAlignment="1">
      <alignment horizontal="center" vertical="center" wrapText="1"/>
    </xf>
    <xf numFmtId="0" fontId="43" fillId="7" borderId="0" xfId="3" applyFont="1" applyFill="1" applyAlignment="1">
      <alignment horizontal="center" wrapText="1"/>
    </xf>
    <xf numFmtId="0" fontId="112" fillId="7" borderId="0" xfId="3" applyFont="1" applyFill="1" applyAlignment="1">
      <alignment horizontal="center" vertical="center" wrapText="1"/>
    </xf>
    <xf numFmtId="0" fontId="33" fillId="0" borderId="1" xfId="0" applyFont="1" applyFill="1" applyBorder="1" applyAlignment="1">
      <alignment horizontal="center" vertical="center" wrapText="1"/>
    </xf>
    <xf numFmtId="0" fontId="10" fillId="0" borderId="0" xfId="11" applyFont="1"/>
    <xf numFmtId="0" fontId="10" fillId="0" borderId="22" xfId="11" applyNumberFormat="1" applyFont="1" applyBorder="1" applyAlignment="1"/>
    <xf numFmtId="0" fontId="9" fillId="0" borderId="21" xfId="11" applyNumberFormat="1" applyFont="1" applyBorder="1" applyAlignment="1"/>
    <xf numFmtId="0" fontId="9" fillId="0" borderId="0" xfId="11" applyFont="1"/>
    <xf numFmtId="0" fontId="8" fillId="0" borderId="0" xfId="11" applyFont="1"/>
    <xf numFmtId="0" fontId="7" fillId="0" borderId="0" xfId="11" applyFont="1"/>
    <xf numFmtId="14" fontId="0" fillId="0" borderId="1" xfId="0" applyNumberFormat="1" applyBorder="1" applyAlignment="1">
      <alignment horizontal="center" vertical="center" wrapText="1"/>
    </xf>
    <xf numFmtId="0" fontId="33" fillId="0" borderId="1" xfId="0" applyFont="1" applyBorder="1" applyAlignment="1">
      <alignment vertical="center"/>
    </xf>
    <xf numFmtId="0" fontId="33" fillId="0" borderId="12" xfId="3" applyBorder="1" applyAlignment="1">
      <alignment vertical="center"/>
    </xf>
    <xf numFmtId="0" fontId="94" fillId="29" borderId="12" xfId="35" applyFont="1" applyFill="1" applyBorder="1" applyAlignment="1">
      <alignment horizontal="center" vertical="center" wrapText="1"/>
    </xf>
    <xf numFmtId="0" fontId="33" fillId="0" borderId="7" xfId="3" applyBorder="1" applyAlignment="1">
      <alignment vertical="center"/>
    </xf>
    <xf numFmtId="0" fontId="33" fillId="34" borderId="1" xfId="3" applyFill="1" applyBorder="1" applyAlignment="1">
      <alignment horizontal="center" vertical="center"/>
    </xf>
    <xf numFmtId="0" fontId="33" fillId="0" borderId="1" xfId="3" applyBorder="1" applyAlignment="1">
      <alignment vertical="center"/>
    </xf>
    <xf numFmtId="0" fontId="33" fillId="5" borderId="1" xfId="15" applyFill="1" applyBorder="1" applyAlignment="1">
      <alignment vertical="center" wrapText="1"/>
    </xf>
    <xf numFmtId="0" fontId="43" fillId="15" borderId="0" xfId="3" applyFont="1" applyFill="1" applyAlignment="1">
      <alignment horizontal="center" wrapText="1"/>
    </xf>
    <xf numFmtId="0" fontId="55" fillId="15" borderId="0" xfId="3" applyFont="1" applyFill="1" applyAlignment="1">
      <alignment horizontal="center" wrapText="1"/>
    </xf>
    <xf numFmtId="0" fontId="30" fillId="0" borderId="1" xfId="11" applyBorder="1"/>
    <xf numFmtId="14" fontId="6" fillId="0" borderId="1" xfId="11" applyNumberFormat="1" applyFont="1" applyBorder="1" applyAlignment="1">
      <alignment horizontal="left"/>
    </xf>
    <xf numFmtId="0" fontId="33" fillId="0" borderId="1" xfId="0" applyFont="1" applyBorder="1" applyAlignment="1">
      <alignment horizontal="center" vertical="center" wrapText="1"/>
    </xf>
    <xf numFmtId="0" fontId="5" fillId="0" borderId="0" xfId="11" applyFont="1"/>
    <xf numFmtId="0" fontId="4" fillId="0" borderId="0" xfId="11" applyFont="1"/>
    <xf numFmtId="0" fontId="4" fillId="0" borderId="1" xfId="11" applyFont="1" applyBorder="1"/>
    <xf numFmtId="0" fontId="33" fillId="0" borderId="1" xfId="3" applyBorder="1" applyAlignment="1">
      <alignment vertical="center" wrapText="1"/>
    </xf>
    <xf numFmtId="0" fontId="3" fillId="0" borderId="0" xfId="11" applyFont="1"/>
    <xf numFmtId="0" fontId="2" fillId="0" borderId="0" xfId="11" applyFont="1"/>
    <xf numFmtId="0" fontId="30" fillId="0" borderId="21" xfId="11" applyBorder="1"/>
    <xf numFmtId="0" fontId="30" fillId="0" borderId="22" xfId="11" applyBorder="1"/>
    <xf numFmtId="0" fontId="30" fillId="0" borderId="22" xfId="11" applyBorder="1" applyAlignment="1">
      <alignment horizontal="left"/>
    </xf>
    <xf numFmtId="0" fontId="33" fillId="35" borderId="1" xfId="0" applyFont="1" applyFill="1" applyBorder="1" applyAlignment="1">
      <alignment horizontal="center" vertical="center" wrapText="1"/>
    </xf>
    <xf numFmtId="0" fontId="33" fillId="35" borderId="11" xfId="0" applyFont="1" applyFill="1" applyBorder="1" applyAlignment="1">
      <alignment horizontal="center" vertical="center" wrapText="1"/>
    </xf>
    <xf numFmtId="0" fontId="33" fillId="35" borderId="11" xfId="0" applyFont="1" applyFill="1" applyBorder="1" applyAlignment="1">
      <alignment vertical="center" wrapText="1"/>
    </xf>
    <xf numFmtId="14" fontId="33" fillId="35" borderId="11" xfId="0" applyNumberFormat="1" applyFont="1" applyFill="1" applyBorder="1" applyAlignment="1">
      <alignment horizontal="center" vertical="center" wrapText="1"/>
    </xf>
    <xf numFmtId="0" fontId="33" fillId="35" borderId="11" xfId="0" applyFont="1" applyFill="1" applyBorder="1" applyAlignment="1">
      <alignment horizontal="center" vertical="center"/>
    </xf>
    <xf numFmtId="0" fontId="33" fillId="0" borderId="11" xfId="0" applyFont="1" applyBorder="1" applyAlignment="1">
      <alignment horizontal="center" vertical="center"/>
    </xf>
    <xf numFmtId="0" fontId="33" fillId="36" borderId="11" xfId="0" applyFont="1" applyFill="1" applyBorder="1" applyAlignment="1">
      <alignment horizontal="center" vertical="center"/>
    </xf>
    <xf numFmtId="0" fontId="1" fillId="0" borderId="1" xfId="11" applyFont="1" applyBorder="1"/>
    <xf numFmtId="0" fontId="1" fillId="0" borderId="22" xfId="11" applyFont="1" applyBorder="1" applyAlignment="1">
      <alignment horizontal="left"/>
    </xf>
    <xf numFmtId="0" fontId="80" fillId="0" borderId="0" xfId="3" applyFont="1" applyAlignment="1" applyProtection="1">
      <alignment horizontal="center" vertical="center" wrapText="1"/>
      <protection locked="0"/>
    </xf>
    <xf numFmtId="0" fontId="33" fillId="0" borderId="0" xfId="3" applyAlignment="1">
      <alignment vertical="center" wrapText="1"/>
    </xf>
    <xf numFmtId="0" fontId="71" fillId="16" borderId="2" xfId="3" applyFont="1" applyFill="1" applyBorder="1" applyAlignment="1" applyProtection="1">
      <alignment horizontal="center" vertical="center" shrinkToFit="1"/>
      <protection locked="0"/>
    </xf>
    <xf numFmtId="0" fontId="71" fillId="16" borderId="0" xfId="3" applyFont="1" applyFill="1" applyAlignment="1" applyProtection="1">
      <alignment horizontal="center" vertical="center" shrinkToFit="1"/>
      <protection locked="0"/>
    </xf>
    <xf numFmtId="0" fontId="71" fillId="16" borderId="3" xfId="3" applyFont="1" applyFill="1" applyBorder="1" applyAlignment="1" applyProtection="1">
      <alignment horizontal="center" vertical="center" shrinkToFit="1"/>
      <protection locked="0"/>
    </xf>
    <xf numFmtId="0" fontId="33" fillId="0" borderId="4" xfId="3" applyBorder="1" applyAlignment="1" applyProtection="1">
      <alignment horizontal="right" vertical="top" wrapText="1" shrinkToFit="1"/>
      <protection locked="0"/>
    </xf>
    <xf numFmtId="0" fontId="33" fillId="0" borderId="5" xfId="3" applyBorder="1" applyAlignment="1" applyProtection="1">
      <alignment horizontal="right" vertical="top" wrapText="1" shrinkToFit="1"/>
      <protection locked="0"/>
    </xf>
    <xf numFmtId="0" fontId="72" fillId="0" borderId="5" xfId="0" applyFont="1" applyBorder="1" applyAlignment="1" applyProtection="1">
      <alignment horizontal="left" vertical="top" wrapText="1" shrinkToFit="1"/>
      <protection locked="0"/>
    </xf>
    <xf numFmtId="0" fontId="72" fillId="0" borderId="6" xfId="0" applyFont="1" applyBorder="1" applyAlignment="1" applyProtection="1">
      <alignment horizontal="left" vertical="top" wrapText="1" shrinkToFit="1"/>
      <protection locked="0"/>
    </xf>
    <xf numFmtId="0" fontId="35" fillId="0" borderId="5" xfId="3" applyFont="1" applyBorder="1" applyAlignment="1" applyProtection="1">
      <alignment horizontal="left" vertical="top" wrapText="1" shrinkToFit="1"/>
      <protection locked="0"/>
    </xf>
    <xf numFmtId="0" fontId="74" fillId="0" borderId="5" xfId="3" applyFont="1" applyBorder="1" applyAlignment="1" applyProtection="1">
      <alignment horizontal="left" vertical="top" shrinkToFit="1"/>
      <protection locked="0"/>
    </xf>
    <xf numFmtId="0" fontId="74" fillId="0" borderId="6" xfId="3" applyFont="1" applyBorder="1" applyAlignment="1" applyProtection="1">
      <alignment horizontal="left" vertical="top" shrinkToFit="1"/>
      <protection locked="0"/>
    </xf>
    <xf numFmtId="0" fontId="71" fillId="16" borderId="7" xfId="3" applyFont="1" applyFill="1" applyBorder="1" applyAlignment="1" applyProtection="1">
      <alignment horizontal="center" vertical="center" shrinkToFit="1"/>
      <protection locked="0"/>
    </xf>
    <xf numFmtId="0" fontId="71" fillId="16" borderId="8" xfId="3" applyFont="1" applyFill="1" applyBorder="1" applyAlignment="1" applyProtection="1">
      <alignment horizontal="center" vertical="center" shrinkToFit="1"/>
      <protection locked="0"/>
    </xf>
    <xf numFmtId="0" fontId="71" fillId="16" borderId="9" xfId="3" applyFont="1" applyFill="1" applyBorder="1" applyAlignment="1" applyProtection="1">
      <alignment horizontal="center" vertical="center" shrinkToFit="1"/>
      <protection locked="0"/>
    </xf>
    <xf numFmtId="0" fontId="33" fillId="0" borderId="4" xfId="3" applyBorder="1" applyAlignment="1" applyProtection="1">
      <alignment horizontal="center" vertical="top" wrapText="1" shrinkToFit="1"/>
      <protection locked="0"/>
    </xf>
    <xf numFmtId="0" fontId="33" fillId="0" borderId="5" xfId="3" applyBorder="1" applyAlignment="1" applyProtection="1">
      <alignment horizontal="center" vertical="top" wrapText="1" shrinkToFit="1"/>
      <protection locked="0"/>
    </xf>
    <xf numFmtId="0" fontId="33" fillId="0" borderId="6" xfId="3" applyBorder="1" applyAlignment="1" applyProtection="1">
      <alignment horizontal="center" vertical="top" wrapText="1" shrinkToFit="1"/>
      <protection locked="0"/>
    </xf>
    <xf numFmtId="0" fontId="71" fillId="16" borderId="8" xfId="3" applyFont="1" applyFill="1" applyBorder="1" applyAlignment="1" applyProtection="1">
      <alignment horizontal="center" vertical="center" wrapText="1"/>
      <protection locked="0"/>
    </xf>
    <xf numFmtId="0" fontId="71" fillId="16" borderId="0" xfId="3" applyFont="1" applyFill="1" applyAlignment="1" applyProtection="1">
      <alignment horizontal="center" vertical="center" wrapText="1"/>
      <protection locked="0"/>
    </xf>
    <xf numFmtId="0" fontId="33" fillId="0" borderId="7" xfId="3" applyBorder="1" applyAlignment="1" applyProtection="1">
      <alignment horizontal="left" vertical="top"/>
      <protection locked="0"/>
    </xf>
    <xf numFmtId="0" fontId="33" fillId="0" borderId="8" xfId="3" applyBorder="1" applyAlignment="1" applyProtection="1">
      <alignment horizontal="left" vertical="top"/>
      <protection locked="0"/>
    </xf>
    <xf numFmtId="0" fontId="33" fillId="0" borderId="9" xfId="3" applyBorder="1" applyAlignment="1" applyProtection="1">
      <alignment horizontal="left" vertical="top"/>
      <protection locked="0"/>
    </xf>
    <xf numFmtId="0" fontId="33" fillId="0" borderId="4" xfId="3" applyBorder="1" applyAlignment="1" applyProtection="1">
      <alignment horizontal="left" vertical="top"/>
      <protection locked="0"/>
    </xf>
    <xf numFmtId="0" fontId="33" fillId="0" borderId="5" xfId="3" applyBorder="1" applyAlignment="1" applyProtection="1">
      <alignment horizontal="left" vertical="top"/>
      <protection locked="0"/>
    </xf>
    <xf numFmtId="0" fontId="33" fillId="0" borderId="6" xfId="3" applyBorder="1" applyAlignment="1" applyProtection="1">
      <alignment horizontal="left" vertical="top"/>
      <protection locked="0"/>
    </xf>
    <xf numFmtId="0" fontId="71" fillId="16" borderId="2" xfId="3" applyFont="1" applyFill="1" applyBorder="1" applyAlignment="1" applyProtection="1">
      <alignment horizontal="center" vertical="center" wrapText="1" shrinkToFit="1"/>
      <protection locked="0"/>
    </xf>
    <xf numFmtId="0" fontId="71" fillId="16" borderId="0" xfId="3" applyFont="1" applyFill="1" applyAlignment="1" applyProtection="1">
      <alignment horizontal="center" vertical="center" wrapText="1" shrinkToFit="1"/>
      <protection locked="0"/>
    </xf>
    <xf numFmtId="0" fontId="90" fillId="25" borderId="14" xfId="12" applyAlignment="1" applyProtection="1">
      <alignment horizontal="center" vertical="center"/>
      <protection locked="0"/>
    </xf>
    <xf numFmtId="0" fontId="38" fillId="0" borderId="7" xfId="3" applyFont="1" applyBorder="1" applyAlignment="1">
      <alignment horizontal="left" vertical="center" wrapText="1"/>
    </xf>
    <xf numFmtId="0" fontId="38" fillId="0" borderId="8" xfId="3" applyFont="1" applyBorder="1" applyAlignment="1">
      <alignment horizontal="left" vertical="center" wrapText="1"/>
    </xf>
    <xf numFmtId="0" fontId="38" fillId="0" borderId="9" xfId="3" applyFont="1" applyBorder="1" applyAlignment="1">
      <alignment horizontal="left" vertical="center" wrapText="1"/>
    </xf>
    <xf numFmtId="0" fontId="38" fillId="0" borderId="7" xfId="3" applyFont="1" applyBorder="1" applyAlignment="1">
      <alignment horizontal="left" vertical="center" shrinkToFit="1"/>
    </xf>
    <xf numFmtId="0" fontId="38" fillId="0" borderId="8" xfId="3" applyFont="1" applyBorder="1" applyAlignment="1">
      <alignment horizontal="left" vertical="center" shrinkToFit="1"/>
    </xf>
    <xf numFmtId="0" fontId="38" fillId="0" borderId="9" xfId="3" applyFont="1" applyBorder="1" applyAlignment="1">
      <alignment horizontal="left" vertical="center" shrinkToFit="1"/>
    </xf>
    <xf numFmtId="0" fontId="69" fillId="0" borderId="4" xfId="0" applyFont="1" applyBorder="1" applyAlignment="1">
      <alignment horizontal="left" vertical="center" shrinkToFit="1"/>
    </xf>
    <xf numFmtId="0" fontId="69" fillId="0" borderId="5" xfId="0" applyFont="1" applyBorder="1" applyAlignment="1">
      <alignment horizontal="left" vertical="center" shrinkToFit="1"/>
    </xf>
    <xf numFmtId="0" fontId="69" fillId="0" borderId="6" xfId="0" applyFont="1" applyBorder="1" applyAlignment="1">
      <alignment horizontal="left" vertical="center" shrinkToFit="1"/>
    </xf>
    <xf numFmtId="0" fontId="69" fillId="0" borderId="4" xfId="3" applyFont="1" applyBorder="1" applyAlignment="1">
      <alignment horizontal="left" vertical="center" shrinkToFit="1"/>
    </xf>
    <xf numFmtId="0" fontId="69" fillId="0" borderId="5" xfId="3" applyFont="1" applyBorder="1" applyAlignment="1">
      <alignment horizontal="left" vertical="center" shrinkToFit="1"/>
    </xf>
    <xf numFmtId="0" fontId="69" fillId="0" borderId="6" xfId="3" applyFont="1" applyBorder="1" applyAlignment="1">
      <alignment horizontal="left" vertical="center" shrinkToFit="1"/>
    </xf>
    <xf numFmtId="49" fontId="33" fillId="0" borderId="10" xfId="3" applyNumberFormat="1" applyBorder="1" applyAlignment="1" applyProtection="1">
      <alignment horizontal="center" vertical="center" wrapText="1"/>
      <protection locked="0"/>
    </xf>
    <xf numFmtId="49" fontId="33" fillId="0" borderId="19" xfId="3" applyNumberFormat="1" applyBorder="1" applyAlignment="1" applyProtection="1">
      <alignment horizontal="center" vertical="center" wrapText="1"/>
      <protection locked="0"/>
    </xf>
    <xf numFmtId="49" fontId="33" fillId="0" borderId="11" xfId="3" applyNumberFormat="1" applyBorder="1" applyAlignment="1" applyProtection="1">
      <alignment horizontal="center" vertical="center" wrapText="1"/>
      <protection locked="0"/>
    </xf>
    <xf numFmtId="0" fontId="33" fillId="0" borderId="10" xfId="3" applyBorder="1" applyAlignment="1">
      <alignment horizontal="left" vertical="center" wrapText="1"/>
    </xf>
    <xf numFmtId="0" fontId="33" fillId="0" borderId="19" xfId="3" applyBorder="1" applyAlignment="1">
      <alignment horizontal="left" vertical="center" wrapText="1"/>
    </xf>
    <xf numFmtId="0" fontId="33" fillId="0" borderId="11" xfId="3" applyBorder="1" applyAlignment="1">
      <alignment horizontal="left" vertical="center" wrapText="1"/>
    </xf>
    <xf numFmtId="0" fontId="64" fillId="0" borderId="10" xfId="2" applyBorder="1" applyAlignment="1">
      <alignment horizontal="left" vertical="center" wrapText="1"/>
    </xf>
    <xf numFmtId="49" fontId="33" fillId="0" borderId="1" xfId="3" applyNumberFormat="1" applyBorder="1" applyAlignment="1" applyProtection="1">
      <alignment horizontal="left" vertical="center" wrapText="1"/>
      <protection locked="0"/>
    </xf>
    <xf numFmtId="0" fontId="33" fillId="0" borderId="1" xfId="3" applyBorder="1" applyAlignment="1">
      <alignment horizontal="left" vertical="center" wrapText="1"/>
    </xf>
    <xf numFmtId="49" fontId="33" fillId="0" borderId="1" xfId="3" applyNumberFormat="1" applyBorder="1" applyAlignment="1" applyProtection="1">
      <alignment vertical="center" wrapText="1"/>
      <protection locked="0"/>
    </xf>
    <xf numFmtId="0" fontId="52" fillId="18" borderId="1" xfId="3" applyFont="1" applyFill="1" applyBorder="1" applyAlignment="1" applyProtection="1">
      <alignment horizontal="center" vertical="center" wrapText="1"/>
      <protection locked="0"/>
    </xf>
    <xf numFmtId="0" fontId="86" fillId="20" borderId="1" xfId="3" applyFont="1" applyFill="1" applyBorder="1" applyAlignment="1">
      <alignment horizontal="center" vertical="center" wrapText="1"/>
    </xf>
    <xf numFmtId="0" fontId="33" fillId="0" borderId="1" xfId="3" applyBorder="1" applyAlignment="1">
      <alignment horizontal="center" vertical="center" wrapText="1"/>
    </xf>
    <xf numFmtId="14" fontId="33" fillId="0" borderId="10" xfId="3" applyNumberFormat="1" applyBorder="1" applyAlignment="1" applyProtection="1">
      <alignment horizontal="left" vertical="center" wrapText="1"/>
      <protection locked="0"/>
    </xf>
    <xf numFmtId="14" fontId="33" fillId="0" borderId="19" xfId="3" applyNumberFormat="1" applyBorder="1" applyAlignment="1" applyProtection="1">
      <alignment horizontal="left" vertical="center" wrapText="1"/>
      <protection locked="0"/>
    </xf>
    <xf numFmtId="14" fontId="33" fillId="0" borderId="11" xfId="3" applyNumberFormat="1" applyBorder="1" applyAlignment="1" applyProtection="1">
      <alignment horizontal="left" vertical="center" wrapText="1"/>
      <protection locked="0"/>
    </xf>
    <xf numFmtId="49" fontId="33" fillId="0" borderId="1" xfId="3" applyNumberFormat="1" applyBorder="1" applyAlignment="1">
      <alignment horizontal="left" vertical="center" wrapText="1"/>
    </xf>
    <xf numFmtId="49" fontId="33" fillId="0" borderId="1" xfId="3" applyNumberFormat="1" applyBorder="1" applyAlignment="1" applyProtection="1">
      <alignment horizontal="center" vertical="center" wrapText="1"/>
      <protection locked="0"/>
    </xf>
    <xf numFmtId="49" fontId="33" fillId="0" borderId="1" xfId="3" applyNumberFormat="1" applyBorder="1" applyAlignment="1">
      <alignment horizontal="center" vertical="center" wrapText="1"/>
    </xf>
    <xf numFmtId="49" fontId="33" fillId="22" borderId="1" xfId="3" applyNumberFormat="1" applyFill="1" applyBorder="1" applyAlignment="1" applyProtection="1">
      <alignment horizontal="center" vertical="center" wrapText="1"/>
      <protection locked="0"/>
    </xf>
    <xf numFmtId="49" fontId="33" fillId="32" borderId="1" xfId="3" applyNumberFormat="1" applyFont="1" applyFill="1" applyBorder="1" applyAlignment="1" applyProtection="1">
      <alignment horizontal="center" vertical="center" wrapText="1"/>
      <protection locked="0"/>
    </xf>
    <xf numFmtId="49" fontId="66" fillId="24" borderId="1" xfId="3" applyNumberFormat="1" applyFont="1" applyFill="1" applyBorder="1" applyAlignment="1" applyProtection="1">
      <alignment horizontal="center" vertical="center" wrapText="1"/>
      <protection locked="0"/>
    </xf>
    <xf numFmtId="0" fontId="38" fillId="17" borderId="7" xfId="3" applyFont="1" applyFill="1" applyBorder="1" applyAlignment="1">
      <alignment horizontal="left" vertical="center" shrinkToFit="1"/>
    </xf>
    <xf numFmtId="0" fontId="38" fillId="17" borderId="8" xfId="3" applyFont="1" applyFill="1" applyBorder="1" applyAlignment="1">
      <alignment horizontal="left" vertical="center" shrinkToFit="1"/>
    </xf>
    <xf numFmtId="0" fontId="38" fillId="17" borderId="9" xfId="3" applyFont="1" applyFill="1" applyBorder="1" applyAlignment="1">
      <alignment horizontal="left" vertical="center" shrinkToFi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0" fontId="33" fillId="18" borderId="1" xfId="3" applyFill="1" applyBorder="1" applyAlignment="1" applyProtection="1">
      <alignment horizontal="center" vertical="center" wrapText="1"/>
      <protection locked="0"/>
    </xf>
    <xf numFmtId="49" fontId="33" fillId="19" borderId="1" xfId="3" applyNumberFormat="1" applyFill="1" applyBorder="1" applyAlignment="1" applyProtection="1">
      <alignment horizontal="center" vertical="center" wrapText="1"/>
      <protection locked="0"/>
    </xf>
    <xf numFmtId="0" fontId="38" fillId="17" borderId="7" xfId="3" applyFont="1" applyFill="1" applyBorder="1" applyAlignment="1">
      <alignment horizontal="left" vertical="center" wrapText="1"/>
    </xf>
    <xf numFmtId="0" fontId="38" fillId="17" borderId="8" xfId="3" applyFont="1" applyFill="1" applyBorder="1" applyAlignment="1">
      <alignment horizontal="left" vertical="center" wrapText="1"/>
    </xf>
    <xf numFmtId="0" fontId="38" fillId="17" borderId="9" xfId="3" applyFont="1" applyFill="1" applyBorder="1" applyAlignment="1">
      <alignment horizontal="left" vertical="center" wrapTex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49" fontId="33" fillId="23" borderId="1" xfId="3" applyNumberFormat="1" applyFill="1" applyBorder="1" applyAlignment="1" applyProtection="1">
      <alignment horizontal="center" vertical="center" wrapText="1"/>
      <protection locked="0"/>
    </xf>
    <xf numFmtId="0" fontId="104" fillId="2" borderId="10" xfId="7" applyFont="1" applyFill="1" applyBorder="1" applyAlignment="1">
      <alignment horizontal="center" vertical="center"/>
    </xf>
    <xf numFmtId="0" fontId="104" fillId="2" borderId="19" xfId="7" applyFont="1" applyFill="1" applyBorder="1" applyAlignment="1">
      <alignment horizontal="center" vertical="center"/>
    </xf>
    <xf numFmtId="0" fontId="104" fillId="2" borderId="11" xfId="7" applyFont="1" applyFill="1" applyBorder="1" applyAlignment="1">
      <alignment horizontal="center" vertical="center"/>
    </xf>
    <xf numFmtId="0" fontId="40" fillId="2" borderId="10" xfId="7" applyFill="1" applyBorder="1" applyAlignment="1">
      <alignment horizontal="justify" vertical="center" wrapText="1"/>
    </xf>
    <xf numFmtId="0" fontId="40" fillId="2" borderId="19" xfId="7" applyFill="1" applyBorder="1" applyAlignment="1">
      <alignment horizontal="justify" vertical="center" wrapText="1"/>
    </xf>
    <xf numFmtId="0" fontId="40" fillId="2" borderId="11" xfId="7" applyFill="1" applyBorder="1" applyAlignment="1">
      <alignment horizontal="justify" vertical="center" wrapText="1"/>
    </xf>
    <xf numFmtId="0" fontId="34" fillId="21" borderId="2" xfId="0" applyFont="1" applyFill="1" applyBorder="1" applyAlignment="1">
      <alignment horizontal="center" vertical="top" textRotation="45"/>
    </xf>
    <xf numFmtId="0" fontId="34" fillId="9" borderId="2" xfId="0" applyFont="1" applyFill="1" applyBorder="1" applyAlignment="1">
      <alignment horizontal="center" vertical="center" textRotation="45"/>
    </xf>
    <xf numFmtId="0" fontId="41" fillId="3" borderId="7" xfId="7" applyFont="1" applyFill="1" applyBorder="1" applyAlignment="1">
      <alignment horizontal="center" vertical="distributed"/>
    </xf>
    <xf numFmtId="0" fontId="41" fillId="3" borderId="8" xfId="7" applyFont="1" applyFill="1" applyBorder="1" applyAlignment="1">
      <alignment horizontal="center" vertical="distributed"/>
    </xf>
    <xf numFmtId="0" fontId="41" fillId="3" borderId="9" xfId="7" applyFont="1" applyFill="1" applyBorder="1" applyAlignment="1">
      <alignment horizontal="center" vertical="distributed"/>
    </xf>
    <xf numFmtId="0" fontId="34" fillId="3" borderId="7" xfId="0" applyFont="1" applyFill="1" applyBorder="1" applyAlignment="1">
      <alignment horizontal="center" wrapText="1"/>
    </xf>
    <xf numFmtId="0" fontId="34" fillId="3" borderId="8" xfId="0" applyFont="1" applyFill="1" applyBorder="1" applyAlignment="1">
      <alignment horizontal="center" wrapText="1"/>
    </xf>
    <xf numFmtId="0" fontId="34" fillId="3" borderId="9" xfId="0" applyFont="1" applyFill="1" applyBorder="1" applyAlignment="1">
      <alignment horizontal="center" wrapText="1"/>
    </xf>
    <xf numFmtId="0" fontId="33" fillId="2" borderId="10" xfId="0" applyFont="1" applyFill="1" applyBorder="1" applyAlignment="1">
      <alignment horizontal="left" vertical="center" wrapText="1" shrinkToFit="1"/>
    </xf>
    <xf numFmtId="0" fontId="33" fillId="2" borderId="11" xfId="0" applyFont="1" applyFill="1" applyBorder="1" applyAlignment="1">
      <alignment horizontal="left" vertical="center" wrapText="1" shrinkToFit="1"/>
    </xf>
    <xf numFmtId="0" fontId="93" fillId="28" borderId="4" xfId="13" applyFont="1" applyFill="1" applyBorder="1" applyAlignment="1" applyProtection="1">
      <alignment horizontal="center" vertical="center" wrapText="1"/>
      <protection locked="0"/>
    </xf>
    <xf numFmtId="0" fontId="93" fillId="28" borderId="5" xfId="13" applyFont="1" applyFill="1" applyBorder="1" applyAlignment="1" applyProtection="1">
      <alignment horizontal="center" vertical="center" wrapText="1"/>
      <protection locked="0"/>
    </xf>
    <xf numFmtId="0" fontId="93" fillId="28" borderId="6" xfId="13" applyFont="1" applyFill="1" applyBorder="1" applyAlignment="1" applyProtection="1">
      <alignment horizontal="center" vertical="center" wrapText="1"/>
      <protection locked="0"/>
    </xf>
    <xf numFmtId="0" fontId="93" fillId="16" borderId="4" xfId="13" applyFont="1" applyFill="1" applyBorder="1" applyAlignment="1" applyProtection="1">
      <alignment horizontal="center" vertical="center" wrapText="1"/>
    </xf>
    <xf numFmtId="0" fontId="93" fillId="16" borderId="5" xfId="13" applyFont="1" applyFill="1" applyBorder="1" applyAlignment="1" applyProtection="1">
      <alignment horizontal="center" vertical="center" wrapText="1"/>
    </xf>
    <xf numFmtId="0" fontId="90" fillId="25" borderId="14" xfId="12" applyAlignment="1">
      <alignment horizontal="left" vertical="center"/>
    </xf>
    <xf numFmtId="0" fontId="43" fillId="8" borderId="5" xfId="0" applyFont="1" applyFill="1" applyBorder="1" applyAlignment="1">
      <alignment horizontal="center" vertical="center"/>
    </xf>
    <xf numFmtId="0" fontId="43" fillId="8" borderId="6" xfId="0" applyFont="1" applyFill="1" applyBorder="1" applyAlignment="1">
      <alignment horizontal="center" vertical="center"/>
    </xf>
    <xf numFmtId="0" fontId="98" fillId="28" borderId="10" xfId="2" applyFont="1" applyFill="1" applyBorder="1" applyAlignment="1" applyProtection="1">
      <alignment horizontal="center" vertical="center" wrapText="1"/>
      <protection locked="0"/>
    </xf>
    <xf numFmtId="0" fontId="98" fillId="28" borderId="11" xfId="2" applyFont="1" applyFill="1" applyBorder="1" applyAlignment="1" applyProtection="1">
      <alignment horizontal="center" vertical="center" wrapText="1"/>
      <protection locked="0"/>
    </xf>
    <xf numFmtId="0" fontId="63" fillId="6" borderId="23" xfId="1" applyBorder="1"/>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18 2" xfId="35" xr:uid="{3CB9B13D-7BCF-45B3-9CA2-8CC7EEA55DA3}"/>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247">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ictor.popina/Downloads/AEF1007%20-%20Peer%20Review%20Workbook%20(PRW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s>
    <sheetDataSet>
      <sheetData sheetId="0">
        <row r="3">
          <cell r="AD3" t="str">
            <v>AEF1007 - Peer Review Workbook (PRWB).xlsm</v>
          </cell>
        </row>
        <row r="7">
          <cell r="E7" t="str">
            <v>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sheetData sheetId="3"/>
      <sheetData sheetId="4"/>
      <sheetData sheetId="5">
        <row r="2">
          <cell r="L2">
            <v>12</v>
          </cell>
          <cell r="M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1246" headerRowBorderDxfId="1245" tableBorderDxfId="1244"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1243" dataCellStyle="Normal 4"/>
    <tableColumn id="5" xr3:uid="{A7E8DB5D-2E5B-4D50-802A-7373C2649DB9}" name="Effort (in mn)" dataCellStyle="Calculation">
      <calculatedColumnFormula>SUM(F3:O3)</calculatedColumnFormula>
    </tableColumn>
    <tableColumn id="6" xr3:uid="{DD9655BE-E53F-4CA5-885B-7FC10F8D2395}" name="VCH" dataCellStyle="Normal 4"/>
    <tableColumn id="7" xr3:uid="{525D8884-0C8A-4478-BF05-7E1372CD45F9}" name="GBR" dataCellStyle="Normal 4"/>
    <tableColumn id="8" xr3:uid="{967B83B5-4BDD-455D-9479-4517937966AE}" name="DDU" dataCellStyle="Normal 4"/>
    <tableColumn id="9" xr3:uid="{B1B837F4-0787-4CAA-BD5D-A6B2F7E9368A}" name="IRE" dataCellStyle="Normal 4"/>
    <tableColumn id="10" xr3:uid="{4B029EAF-CE65-4128-A016-A786C51E5D01}" name="VPO" dataCellStyle="Normal 4"/>
    <tableColumn id="11" xr3:uid="{5B3D026C-0D6F-4D5D-949A-921EED9750D8}" name="CAB" dataCellStyle="Normal 4"/>
    <tableColumn id="12" xr3:uid="{F47E4945-FC46-4596-99F8-6868803682F5}" name="CAL" dataCellStyle="Normal 4"/>
    <tableColumn id="13" xr3:uid="{5139BD5E-7132-4168-905C-F6084CD7F3D0}" name="LAR" dataCellStyle="Normal 4"/>
    <tableColumn id="14" xr3:uid="{209C6056-7295-438E-8AAC-53D245A1A566}" name="NAA"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1" sqref="F11"/>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365</v>
      </c>
    </row>
    <row r="4" spans="1:37" s="95" customFormat="1" ht="11.1" customHeight="1">
      <c r="A4" s="274" t="s">
        <v>5</v>
      </c>
      <c r="B4" s="275"/>
      <c r="C4" s="275"/>
      <c r="D4" s="275"/>
      <c r="E4" s="275"/>
      <c r="F4" s="275"/>
      <c r="G4" s="275"/>
      <c r="H4" s="275"/>
      <c r="I4" s="275"/>
      <c r="J4" s="275"/>
      <c r="K4" s="275"/>
      <c r="L4" s="275"/>
      <c r="M4" s="275"/>
      <c r="N4" s="275"/>
      <c r="O4" s="275"/>
      <c r="P4" s="275"/>
      <c r="Q4" s="276"/>
      <c r="R4" s="271" t="s">
        <v>12</v>
      </c>
      <c r="S4" s="272"/>
      <c r="T4" s="272"/>
      <c r="U4" s="272"/>
      <c r="V4" s="273"/>
      <c r="W4" s="271" t="s">
        <v>6</v>
      </c>
      <c r="X4" s="272"/>
      <c r="Y4" s="272"/>
      <c r="Z4" s="272"/>
      <c r="AA4" s="273"/>
      <c r="AB4" s="274" t="s">
        <v>136</v>
      </c>
      <c r="AC4" s="275"/>
      <c r="AD4" s="275"/>
      <c r="AE4" s="275"/>
      <c r="AF4" s="275"/>
      <c r="AG4" s="276"/>
      <c r="AH4" s="101"/>
      <c r="AI4" s="101"/>
      <c r="AJ4" s="101"/>
    </row>
    <row r="5" spans="1:37" s="102" customFormat="1" ht="12.75" customHeight="1">
      <c r="A5" s="277" t="s">
        <v>359</v>
      </c>
      <c r="B5" s="278"/>
      <c r="C5" s="278"/>
      <c r="D5" s="278"/>
      <c r="E5" s="278"/>
      <c r="F5" s="278"/>
      <c r="G5" s="278"/>
      <c r="H5" s="278"/>
      <c r="I5" s="278"/>
      <c r="J5" s="278"/>
      <c r="K5" s="278"/>
      <c r="L5" s="278"/>
      <c r="M5" s="278"/>
      <c r="N5" s="278"/>
      <c r="O5" s="278"/>
      <c r="P5" s="278"/>
      <c r="Q5" s="279"/>
      <c r="R5" s="277" t="s">
        <v>360</v>
      </c>
      <c r="S5" s="278"/>
      <c r="T5" s="278"/>
      <c r="U5" s="278"/>
      <c r="V5" s="279"/>
      <c r="W5" s="277" t="s">
        <v>200</v>
      </c>
      <c r="X5" s="278"/>
      <c r="Y5" s="278"/>
      <c r="Z5" s="278"/>
      <c r="AA5" s="279"/>
      <c r="AB5" s="277" t="str">
        <f ca="1" xml:space="preserve"> IFERROR(IF([4]!alvDocProperty("MXActual_state_Released")="","2022-09",[4]!alvDocProperty("MXActual_state_Released")),"2022-11")</f>
        <v>2022-11</v>
      </c>
      <c r="AC5" s="278"/>
      <c r="AD5" s="278"/>
      <c r="AE5" s="278"/>
      <c r="AF5" s="278"/>
      <c r="AG5" s="279"/>
    </row>
    <row r="6" spans="1:37" s="95" customFormat="1" ht="11.1" customHeight="1">
      <c r="A6" s="271" t="s">
        <v>7</v>
      </c>
      <c r="B6" s="272"/>
      <c r="C6" s="272"/>
      <c r="D6" s="273"/>
      <c r="E6" s="271" t="s">
        <v>8</v>
      </c>
      <c r="F6" s="272"/>
      <c r="G6" s="272"/>
      <c r="H6" s="272"/>
      <c r="I6" s="272"/>
      <c r="J6" s="272"/>
      <c r="K6" s="272"/>
      <c r="L6" s="272"/>
      <c r="M6" s="272"/>
      <c r="N6" s="272"/>
      <c r="O6" s="272"/>
      <c r="P6" s="272"/>
      <c r="Q6" s="272"/>
      <c r="R6" s="272"/>
      <c r="S6" s="272"/>
      <c r="T6" s="272"/>
      <c r="U6" s="272"/>
      <c r="V6" s="273"/>
      <c r="W6" s="274" t="s">
        <v>10</v>
      </c>
      <c r="X6" s="275"/>
      <c r="Y6" s="275"/>
      <c r="Z6" s="275"/>
      <c r="AA6" s="276"/>
      <c r="AB6" s="271" t="s">
        <v>34</v>
      </c>
      <c r="AC6" s="272"/>
      <c r="AD6" s="273"/>
      <c r="AE6" s="271" t="s">
        <v>9</v>
      </c>
      <c r="AF6" s="272"/>
      <c r="AG6" s="273"/>
    </row>
    <row r="7" spans="1:37" s="102" customFormat="1" ht="12.75" customHeight="1">
      <c r="A7" s="277" t="s">
        <v>361</v>
      </c>
      <c r="B7" s="278"/>
      <c r="C7" s="278"/>
      <c r="D7" s="279"/>
      <c r="E7" s="277" t="s">
        <v>366</v>
      </c>
      <c r="F7" s="278"/>
      <c r="G7" s="278"/>
      <c r="H7" s="278"/>
      <c r="I7" s="278"/>
      <c r="J7" s="278"/>
      <c r="K7" s="278"/>
      <c r="L7" s="278"/>
      <c r="M7" s="278"/>
      <c r="N7" s="278"/>
      <c r="O7" s="278"/>
      <c r="P7" s="278"/>
      <c r="Q7" s="278"/>
      <c r="R7" s="278"/>
      <c r="S7" s="278"/>
      <c r="T7" s="278"/>
      <c r="U7" s="278"/>
      <c r="V7" s="279"/>
      <c r="W7" s="280" t="str">
        <f ca="1" xml:space="preserve"> IFERROR(IF([4]!alvDocProperty("MXDocTemplate_Name")="","AEF1007",[4]!alvDocProperty("MXDocTemplate_Name")),"AEF1007")</f>
        <v>AEF1007</v>
      </c>
      <c r="X7" s="281"/>
      <c r="Y7" s="281"/>
      <c r="Z7" s="281"/>
      <c r="AA7" s="282"/>
      <c r="AB7" s="277">
        <v>1.1000000000000001</v>
      </c>
      <c r="AC7" s="278"/>
      <c r="AD7" s="279"/>
      <c r="AE7" s="277" t="str">
        <f ca="1" xml:space="preserve"> IFERROR(IF([4]!alvDocProperty("MXVersion")="","TBD",[4]!alvDocProperty("MXVersion")),"TBD")</f>
        <v>TBD</v>
      </c>
      <c r="AF7" s="278"/>
      <c r="AG7" s="279"/>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44" t="s">
        <v>60</v>
      </c>
      <c r="B9" s="245"/>
      <c r="C9" s="245"/>
      <c r="D9" s="245"/>
      <c r="E9" s="245"/>
      <c r="F9" s="245"/>
      <c r="G9" s="245"/>
      <c r="H9" s="245"/>
      <c r="I9" s="245"/>
      <c r="J9" s="245"/>
      <c r="K9" s="246"/>
      <c r="L9" s="244" t="s">
        <v>12</v>
      </c>
      <c r="M9" s="245"/>
      <c r="N9" s="245"/>
      <c r="O9" s="245"/>
      <c r="P9" s="245"/>
      <c r="Q9" s="245"/>
      <c r="R9" s="245"/>
      <c r="S9" s="245"/>
      <c r="T9" s="245"/>
      <c r="U9" s="245"/>
      <c r="V9" s="246"/>
      <c r="W9" s="244" t="s">
        <v>17</v>
      </c>
      <c r="X9" s="245"/>
      <c r="Y9" s="245"/>
      <c r="Z9" s="245"/>
      <c r="AA9" s="245"/>
      <c r="AB9" s="245"/>
      <c r="AC9" s="245"/>
      <c r="AD9" s="245"/>
      <c r="AE9" s="245"/>
      <c r="AF9" s="245"/>
      <c r="AG9" s="246"/>
    </row>
    <row r="10" spans="1:37" s="106" customFormat="1" ht="39" customHeight="1">
      <c r="A10" s="247" t="s">
        <v>137</v>
      </c>
      <c r="B10" s="248"/>
      <c r="C10" s="248"/>
      <c r="D10" s="248"/>
      <c r="E10" s="248"/>
      <c r="F10" s="249" t="s">
        <v>362</v>
      </c>
      <c r="G10" s="249"/>
      <c r="H10" s="249"/>
      <c r="I10" s="249"/>
      <c r="J10" s="249"/>
      <c r="K10" s="250"/>
      <c r="L10" s="251" t="s">
        <v>138</v>
      </c>
      <c r="M10" s="252"/>
      <c r="N10" s="252"/>
      <c r="O10" s="252"/>
      <c r="P10" s="252"/>
      <c r="Q10" s="252"/>
      <c r="R10" s="252"/>
      <c r="S10" s="252"/>
      <c r="T10" s="252"/>
      <c r="U10" s="252"/>
      <c r="V10" s="253"/>
      <c r="W10" s="251" t="s">
        <v>138</v>
      </c>
      <c r="X10" s="252"/>
      <c r="Y10" s="252"/>
      <c r="Z10" s="252"/>
      <c r="AA10" s="252"/>
      <c r="AB10" s="252"/>
      <c r="AC10" s="252"/>
      <c r="AD10" s="252"/>
      <c r="AE10" s="252"/>
      <c r="AF10" s="252"/>
      <c r="AG10" s="253"/>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54" t="s">
        <v>139</v>
      </c>
      <c r="B12" s="255"/>
      <c r="C12" s="255"/>
      <c r="D12" s="255"/>
      <c r="E12" s="255"/>
      <c r="F12" s="255"/>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6"/>
    </row>
    <row r="13" spans="1:37" s="106" customFormat="1" ht="28.5" customHeight="1">
      <c r="A13" s="257" t="s">
        <v>140</v>
      </c>
      <c r="B13" s="258"/>
      <c r="C13" s="258"/>
      <c r="D13" s="258"/>
      <c r="E13" s="258"/>
      <c r="F13" s="258"/>
      <c r="G13" s="258"/>
      <c r="H13" s="258"/>
      <c r="I13" s="258"/>
      <c r="J13" s="258"/>
      <c r="K13" s="258"/>
      <c r="L13" s="258"/>
      <c r="M13" s="258"/>
      <c r="N13" s="258"/>
      <c r="O13" s="258"/>
      <c r="P13" s="258"/>
      <c r="Q13" s="258"/>
      <c r="R13" s="258"/>
      <c r="S13" s="258"/>
      <c r="T13" s="258"/>
      <c r="U13" s="258"/>
      <c r="V13" s="258"/>
      <c r="W13" s="258"/>
      <c r="X13" s="258"/>
      <c r="Y13" s="258"/>
      <c r="Z13" s="258"/>
      <c r="AA13" s="258"/>
      <c r="AB13" s="258"/>
      <c r="AC13" s="258"/>
      <c r="AD13" s="258"/>
      <c r="AE13" s="258"/>
      <c r="AF13" s="258"/>
      <c r="AG13" s="259"/>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60" t="s">
        <v>141</v>
      </c>
      <c r="B15" s="260"/>
      <c r="C15" s="260"/>
      <c r="D15" s="260"/>
      <c r="E15" s="262"/>
      <c r="F15" s="263"/>
      <c r="G15" s="263"/>
      <c r="H15" s="263"/>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4"/>
    </row>
    <row r="16" spans="1:37" ht="37.5" customHeight="1">
      <c r="A16" s="261"/>
      <c r="B16" s="261"/>
      <c r="C16" s="261"/>
      <c r="D16" s="261"/>
      <c r="E16" s="265"/>
      <c r="F16" s="266"/>
      <c r="G16" s="266"/>
      <c r="H16" s="266"/>
      <c r="I16" s="266"/>
      <c r="J16" s="266"/>
      <c r="K16" s="266"/>
      <c r="L16" s="266"/>
      <c r="M16" s="266"/>
      <c r="N16" s="266"/>
      <c r="O16" s="266"/>
      <c r="P16" s="266"/>
      <c r="Q16" s="266"/>
      <c r="R16" s="266"/>
      <c r="S16" s="266"/>
      <c r="T16" s="266"/>
      <c r="U16" s="266"/>
      <c r="V16" s="266"/>
      <c r="W16" s="266"/>
      <c r="X16" s="266"/>
      <c r="Y16" s="266"/>
      <c r="Z16" s="266"/>
      <c r="AA16" s="266"/>
      <c r="AB16" s="266"/>
      <c r="AC16" s="266"/>
      <c r="AD16" s="266"/>
      <c r="AE16" s="266"/>
      <c r="AF16" s="266"/>
      <c r="AG16" s="267"/>
    </row>
    <row r="17" spans="1:33">
      <c r="A17" s="111"/>
    </row>
    <row r="18" spans="1:33" ht="26.25" customHeight="1">
      <c r="A18" s="268" t="s">
        <v>289</v>
      </c>
      <c r="B18" s="269"/>
      <c r="C18" s="269"/>
      <c r="D18" s="269"/>
      <c r="E18" s="270" t="s">
        <v>288</v>
      </c>
      <c r="F18" s="270"/>
      <c r="G18" s="270"/>
      <c r="H18" s="270"/>
      <c r="I18" s="270"/>
      <c r="J18" s="270"/>
      <c r="K18" s="270"/>
      <c r="L18" s="270"/>
      <c r="M18" s="270"/>
      <c r="N18" s="270"/>
      <c r="O18" s="270"/>
      <c r="P18" s="270"/>
    </row>
    <row r="19" spans="1:33"/>
    <row r="20" spans="1:33"/>
    <row r="21" spans="1:33" ht="15.75" customHeight="1">
      <c r="Q21" s="112"/>
    </row>
    <row r="22" spans="1:33" ht="12" customHeight="1">
      <c r="Q22" s="112"/>
    </row>
    <row r="23" spans="1:33" ht="60" customHeight="1">
      <c r="A23" s="242" t="str">
        <f>MXTitle</f>
        <v>PwmIf - Peer Review Workbook (PRWB)</v>
      </c>
      <c r="B23" s="243"/>
      <c r="C23" s="24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7" type="noConversion"/>
  <conditionalFormatting sqref="W5">
    <cfRule type="cellIs" dxfId="1242" priority="23" operator="equal">
      <formula>"draft"</formula>
    </cfRule>
  </conditionalFormatting>
  <conditionalFormatting sqref="W5:AA5">
    <cfRule type="cellIs" dxfId="1241" priority="1" operator="equal">
      <formula>"In-Work"</formula>
    </cfRule>
    <cfRule type="cellIs" dxfId="1240" priority="2" stopIfTrue="1" operator="equal">
      <formula>"draft"</formula>
    </cfRule>
    <cfRule type="cellIs" dxfId="1239" priority="3" operator="equal">
      <formula>"In-Work"</formula>
    </cfRule>
    <cfRule type="cellIs" dxfId="1238" priority="4" stopIfTrue="1" operator="equal">
      <formula>"draft"</formula>
    </cfRule>
    <cfRule type="cellIs" dxfId="1237" priority="5" operator="equal">
      <formula>"In-Work"</formula>
    </cfRule>
    <cfRule type="cellIs" dxfId="1236" priority="6" stopIfTrue="1" operator="equal">
      <formula>"draft"</formula>
    </cfRule>
    <cfRule type="cellIs" dxfId="1235" priority="7" operator="equal">
      <formula>"In-Work"</formula>
    </cfRule>
    <cfRule type="cellIs" dxfId="1234" priority="8" stopIfTrue="1" operator="equal">
      <formula>"draft"</formula>
    </cfRule>
    <cfRule type="cellIs" dxfId="1233" priority="9" operator="equal">
      <formula>"In-Work"</formula>
    </cfRule>
    <cfRule type="cellIs" dxfId="1232" priority="10" stopIfTrue="1" operator="equal">
      <formula>"draft"</formula>
    </cfRule>
    <cfRule type="cellIs" dxfId="1231" priority="11" operator="equal">
      <formula>"In-Work"</formula>
    </cfRule>
    <cfRule type="cellIs" dxfId="1230" priority="12" stopIfTrue="1" operator="equal">
      <formula>"draft"</formula>
    </cfRule>
    <cfRule type="cellIs" dxfId="1229" priority="13" operator="equal">
      <formula>"In-Work"</formula>
    </cfRule>
    <cfRule type="cellIs" dxfId="1228" priority="14" stopIfTrue="1" operator="equal">
      <formula>"draft"</formula>
    </cfRule>
    <cfRule type="cellIs" dxfId="1227" priority="15" operator="equal">
      <formula>"In-Work"</formula>
    </cfRule>
    <cfRule type="cellIs" dxfId="1226" priority="16" stopIfTrue="1" operator="equal">
      <formula>"draft"</formula>
    </cfRule>
    <cfRule type="cellIs" dxfId="1225" priority="17" operator="equal">
      <formula>"In-Work"</formula>
    </cfRule>
    <cfRule type="cellIs" dxfId="1224" priority="18" stopIfTrue="1" operator="equal">
      <formula>"draft"</formula>
    </cfRule>
    <cfRule type="cellIs" dxfId="1223" priority="19" operator="equal">
      <formula>"In-Work"</formula>
    </cfRule>
    <cfRule type="cellIs" dxfId="1222" priority="20" stopIfTrue="1" operator="equal">
      <formula>"draft"</formula>
    </cfRule>
    <cfRule type="cellIs" dxfId="1221" priority="21" operator="equal">
      <formula>"In-Work"</formula>
    </cfRule>
    <cfRule type="cellIs" dxfId="1220"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election activeCell="A9" sqref="A9:AG9"/>
    </sheetView>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PwmIf - Peer Review Workbook.xlsm</v>
      </c>
      <c r="AE3" s="95"/>
      <c r="AF3" s="95"/>
      <c r="AG3" s="95"/>
      <c r="AH3" s="95"/>
    </row>
    <row r="4" spans="1:34">
      <c r="A4" s="274" t="s">
        <v>5</v>
      </c>
      <c r="B4" s="275"/>
      <c r="C4" s="275"/>
      <c r="D4" s="275"/>
      <c r="E4" s="275"/>
      <c r="F4" s="275"/>
      <c r="G4" s="275"/>
      <c r="H4" s="275"/>
      <c r="I4" s="275"/>
      <c r="J4" s="275"/>
      <c r="K4" s="275"/>
      <c r="L4" s="275"/>
      <c r="M4" s="275"/>
      <c r="N4" s="275"/>
      <c r="O4" s="275"/>
      <c r="P4" s="275"/>
      <c r="Q4" s="275"/>
      <c r="R4" s="275"/>
      <c r="S4" s="275"/>
      <c r="T4" s="275"/>
      <c r="U4" s="275"/>
      <c r="V4" s="276"/>
      <c r="W4" s="313" t="s">
        <v>6</v>
      </c>
      <c r="X4" s="314"/>
      <c r="Y4" s="314"/>
      <c r="Z4" s="314"/>
      <c r="AA4" s="315"/>
      <c r="AB4" s="274" t="s">
        <v>136</v>
      </c>
      <c r="AC4" s="275"/>
      <c r="AD4" s="275"/>
      <c r="AE4" s="275"/>
      <c r="AF4" s="275"/>
      <c r="AG4" s="276"/>
      <c r="AH4" s="101"/>
    </row>
    <row r="5" spans="1:34">
      <c r="A5" s="280" t="s">
        <v>359</v>
      </c>
      <c r="B5" s="281"/>
      <c r="C5" s="281"/>
      <c r="D5" s="281"/>
      <c r="E5" s="281"/>
      <c r="F5" s="281"/>
      <c r="G5" s="281"/>
      <c r="H5" s="281"/>
      <c r="I5" s="281"/>
      <c r="J5" s="281"/>
      <c r="K5" s="281"/>
      <c r="L5" s="281"/>
      <c r="M5" s="281"/>
      <c r="N5" s="281"/>
      <c r="O5" s="281"/>
      <c r="P5" s="281"/>
      <c r="Q5" s="281"/>
      <c r="R5" s="281"/>
      <c r="S5" s="281"/>
      <c r="T5" s="281"/>
      <c r="U5" s="281"/>
      <c r="V5" s="282"/>
      <c r="W5" s="316" t="s">
        <v>200</v>
      </c>
      <c r="X5" s="317"/>
      <c r="Y5" s="317"/>
      <c r="Z5" s="317"/>
      <c r="AA5" s="318"/>
      <c r="AB5" s="280" t="s">
        <v>199</v>
      </c>
      <c r="AC5" s="281"/>
      <c r="AD5" s="281"/>
      <c r="AE5" s="281"/>
      <c r="AF5" s="281"/>
      <c r="AG5" s="282"/>
      <c r="AH5" s="102"/>
    </row>
    <row r="6" spans="1:34">
      <c r="A6" s="305" t="s">
        <v>7</v>
      </c>
      <c r="B6" s="306"/>
      <c r="C6" s="306"/>
      <c r="D6" s="307"/>
      <c r="E6" s="305" t="s">
        <v>8</v>
      </c>
      <c r="F6" s="306"/>
      <c r="G6" s="306"/>
      <c r="H6" s="306"/>
      <c r="I6" s="306"/>
      <c r="J6" s="306"/>
      <c r="K6" s="306"/>
      <c r="L6" s="306"/>
      <c r="M6" s="306"/>
      <c r="N6" s="306"/>
      <c r="O6" s="306"/>
      <c r="P6" s="306"/>
      <c r="Q6" s="306"/>
      <c r="R6" s="306"/>
      <c r="S6" s="306"/>
      <c r="T6" s="306"/>
      <c r="U6" s="306"/>
      <c r="V6" s="307"/>
      <c r="W6" s="274" t="s">
        <v>10</v>
      </c>
      <c r="X6" s="275"/>
      <c r="Y6" s="275"/>
      <c r="Z6" s="275"/>
      <c r="AA6" s="276"/>
      <c r="AB6" s="313" t="s">
        <v>34</v>
      </c>
      <c r="AC6" s="314"/>
      <c r="AD6" s="315"/>
      <c r="AE6" s="313" t="s">
        <v>9</v>
      </c>
      <c r="AF6" s="314"/>
      <c r="AG6" s="315"/>
      <c r="AH6" s="95"/>
    </row>
    <row r="7" spans="1:34">
      <c r="A7" s="316" t="s">
        <v>198</v>
      </c>
      <c r="B7" s="317"/>
      <c r="C7" s="317"/>
      <c r="D7" s="318"/>
      <c r="E7" s="316" t="s">
        <v>202</v>
      </c>
      <c r="F7" s="317"/>
      <c r="G7" s="317"/>
      <c r="H7" s="317"/>
      <c r="I7" s="317"/>
      <c r="J7" s="317"/>
      <c r="K7" s="317"/>
      <c r="L7" s="317"/>
      <c r="M7" s="317"/>
      <c r="N7" s="317"/>
      <c r="O7" s="317"/>
      <c r="P7" s="317"/>
      <c r="Q7" s="317"/>
      <c r="R7" s="317"/>
      <c r="S7" s="317"/>
      <c r="T7" s="317"/>
      <c r="U7" s="317"/>
      <c r="V7" s="318"/>
      <c r="W7" s="316" t="str">
        <f ca="1">TemplateRef</f>
        <v>AEF1007</v>
      </c>
      <c r="X7" s="317"/>
      <c r="Y7" s="317"/>
      <c r="Z7" s="317"/>
      <c r="AA7" s="318"/>
      <c r="AB7" s="316" t="s">
        <v>201</v>
      </c>
      <c r="AC7" s="317"/>
      <c r="AD7" s="318"/>
      <c r="AE7" s="316" t="s">
        <v>201</v>
      </c>
      <c r="AF7" s="317"/>
      <c r="AG7" s="318"/>
      <c r="AH7" s="102"/>
    </row>
    <row r="8" spans="1:34">
      <c r="A8" s="305" t="s">
        <v>142</v>
      </c>
      <c r="B8" s="306"/>
      <c r="C8" s="306"/>
      <c r="D8" s="306"/>
      <c r="E8" s="306"/>
      <c r="F8" s="306"/>
      <c r="G8" s="306"/>
      <c r="H8" s="306"/>
      <c r="I8" s="306"/>
      <c r="J8" s="306"/>
      <c r="K8" s="306"/>
      <c r="L8" s="306"/>
      <c r="M8" s="306"/>
      <c r="N8" s="306"/>
      <c r="O8" s="306"/>
      <c r="P8" s="306"/>
      <c r="Q8" s="306"/>
      <c r="R8" s="306"/>
      <c r="S8" s="306"/>
      <c r="T8" s="306"/>
      <c r="U8" s="306"/>
      <c r="V8" s="306"/>
      <c r="W8" s="306"/>
      <c r="X8" s="306"/>
      <c r="Y8" s="306"/>
      <c r="Z8" s="306"/>
      <c r="AA8" s="306"/>
      <c r="AB8" s="306"/>
      <c r="AC8" s="306"/>
      <c r="AD8" s="306"/>
      <c r="AE8" s="306"/>
      <c r="AF8" s="306"/>
      <c r="AG8" s="307"/>
      <c r="AH8" s="105"/>
    </row>
    <row r="9" spans="1:34">
      <c r="A9" s="308" t="s">
        <v>143</v>
      </c>
      <c r="B9" s="309"/>
      <c r="C9" s="309"/>
      <c r="D9" s="309"/>
      <c r="E9" s="309"/>
      <c r="F9" s="309"/>
      <c r="G9" s="309"/>
      <c r="H9" s="309"/>
      <c r="I9" s="309"/>
      <c r="J9" s="309"/>
      <c r="K9" s="309"/>
      <c r="L9" s="309"/>
      <c r="M9" s="309"/>
      <c r="N9" s="309"/>
      <c r="O9" s="309"/>
      <c r="P9" s="309"/>
      <c r="Q9" s="309"/>
      <c r="R9" s="309"/>
      <c r="S9" s="309"/>
      <c r="T9" s="309"/>
      <c r="U9" s="309"/>
      <c r="V9" s="309"/>
      <c r="W9" s="309"/>
      <c r="X9" s="309"/>
      <c r="Y9" s="309"/>
      <c r="Z9" s="309"/>
      <c r="AA9" s="309"/>
      <c r="AB9" s="309"/>
      <c r="AC9" s="309"/>
      <c r="AD9" s="309"/>
      <c r="AE9" s="309"/>
      <c r="AF9" s="309"/>
      <c r="AG9" s="310"/>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93" t="s">
        <v>146</v>
      </c>
      <c r="C15" s="311"/>
      <c r="D15" s="311"/>
      <c r="E15" s="311"/>
      <c r="F15" s="311"/>
      <c r="G15" s="293" t="s">
        <v>147</v>
      </c>
      <c r="H15" s="293"/>
      <c r="I15" s="293"/>
      <c r="J15" s="293"/>
      <c r="K15" s="293"/>
      <c r="L15" s="293"/>
      <c r="M15" s="293"/>
      <c r="N15" s="293"/>
      <c r="O15" s="293"/>
      <c r="P15" s="293"/>
      <c r="Q15" s="293"/>
      <c r="R15" s="293"/>
      <c r="S15" s="293"/>
      <c r="T15" s="293"/>
      <c r="U15" s="293"/>
      <c r="V15" s="293"/>
      <c r="W15" s="293"/>
      <c r="X15" s="293"/>
      <c r="Y15" s="293"/>
      <c r="Z15" s="293"/>
      <c r="AA15" s="293"/>
      <c r="AB15" s="293"/>
      <c r="AC15" s="293"/>
      <c r="AD15" s="293"/>
      <c r="AE15" s="293"/>
      <c r="AF15" s="293"/>
      <c r="AG15" s="105"/>
      <c r="AH15" s="105"/>
    </row>
    <row r="16" spans="1:34" ht="55.5" customHeight="1">
      <c r="A16" s="105"/>
      <c r="B16" s="312" t="s">
        <v>148</v>
      </c>
      <c r="C16" s="312"/>
      <c r="D16" s="312"/>
      <c r="E16" s="312"/>
      <c r="F16" s="312"/>
      <c r="G16" s="290" t="s">
        <v>149</v>
      </c>
      <c r="H16" s="290"/>
      <c r="I16" s="290"/>
      <c r="J16" s="290"/>
      <c r="K16" s="290"/>
      <c r="L16" s="290"/>
      <c r="M16" s="290"/>
      <c r="N16" s="290"/>
      <c r="O16" s="290"/>
      <c r="P16" s="290"/>
      <c r="Q16" s="290"/>
      <c r="R16" s="290"/>
      <c r="S16" s="290"/>
      <c r="T16" s="290"/>
      <c r="U16" s="290"/>
      <c r="V16" s="290"/>
      <c r="W16" s="290"/>
      <c r="X16" s="290"/>
      <c r="Y16" s="290"/>
      <c r="Z16" s="290"/>
      <c r="AA16" s="290"/>
      <c r="AB16" s="290"/>
      <c r="AC16" s="290"/>
      <c r="AD16" s="290"/>
      <c r="AE16" s="290"/>
      <c r="AF16" s="290"/>
      <c r="AG16" s="105"/>
      <c r="AH16" s="105"/>
    </row>
    <row r="17" spans="1:34">
      <c r="A17" s="105"/>
      <c r="B17" s="312" t="s">
        <v>150</v>
      </c>
      <c r="C17" s="312"/>
      <c r="D17" s="312"/>
      <c r="E17" s="312"/>
      <c r="F17" s="312"/>
      <c r="G17" s="290" t="s">
        <v>151</v>
      </c>
      <c r="H17" s="290"/>
      <c r="I17" s="290"/>
      <c r="J17" s="290"/>
      <c r="K17" s="290"/>
      <c r="L17" s="290"/>
      <c r="M17" s="290"/>
      <c r="N17" s="290"/>
      <c r="O17" s="290"/>
      <c r="P17" s="290"/>
      <c r="Q17" s="290"/>
      <c r="R17" s="290"/>
      <c r="S17" s="290"/>
      <c r="T17" s="290"/>
      <c r="U17" s="290"/>
      <c r="V17" s="290"/>
      <c r="W17" s="290"/>
      <c r="X17" s="290"/>
      <c r="Y17" s="290"/>
      <c r="Z17" s="290"/>
      <c r="AA17" s="290"/>
      <c r="AB17" s="290"/>
      <c r="AC17" s="290"/>
      <c r="AD17" s="290"/>
      <c r="AE17" s="290"/>
      <c r="AF17" s="290"/>
      <c r="AG17" s="105"/>
      <c r="AH17" s="105"/>
    </row>
    <row r="18" spans="1:34" ht="15" customHeight="1">
      <c r="A18" s="105"/>
      <c r="B18" s="312" t="s">
        <v>15</v>
      </c>
      <c r="C18" s="312"/>
      <c r="D18" s="312"/>
      <c r="E18" s="312"/>
      <c r="F18" s="312"/>
      <c r="G18" s="290" t="s">
        <v>152</v>
      </c>
      <c r="H18" s="290"/>
      <c r="I18" s="290"/>
      <c r="J18" s="290"/>
      <c r="K18" s="290"/>
      <c r="L18" s="290"/>
      <c r="M18" s="290"/>
      <c r="N18" s="290"/>
      <c r="O18" s="290"/>
      <c r="P18" s="290"/>
      <c r="Q18" s="290"/>
      <c r="R18" s="290"/>
      <c r="S18" s="290"/>
      <c r="T18" s="290"/>
      <c r="U18" s="290"/>
      <c r="V18" s="290"/>
      <c r="W18" s="290"/>
      <c r="X18" s="290"/>
      <c r="Y18" s="290"/>
      <c r="Z18" s="290"/>
      <c r="AA18" s="290"/>
      <c r="AB18" s="290"/>
      <c r="AC18" s="290"/>
      <c r="AD18" s="290"/>
      <c r="AE18" s="290"/>
      <c r="AF18" s="290"/>
      <c r="AG18" s="105"/>
      <c r="AH18" s="105"/>
    </row>
    <row r="19" spans="1:34" ht="24" customHeight="1">
      <c r="A19" s="105"/>
      <c r="B19" s="302" t="s">
        <v>187</v>
      </c>
      <c r="C19" s="302"/>
      <c r="D19" s="302"/>
      <c r="E19" s="302"/>
      <c r="F19" s="302"/>
      <c r="G19" s="290" t="s">
        <v>152</v>
      </c>
      <c r="H19" s="290"/>
      <c r="I19" s="290"/>
      <c r="J19" s="290"/>
      <c r="K19" s="290"/>
      <c r="L19" s="290"/>
      <c r="M19" s="290"/>
      <c r="N19" s="290"/>
      <c r="O19" s="290"/>
      <c r="P19" s="290"/>
      <c r="Q19" s="290"/>
      <c r="R19" s="290"/>
      <c r="S19" s="290"/>
      <c r="T19" s="290"/>
      <c r="U19" s="290"/>
      <c r="V19" s="290"/>
      <c r="W19" s="290"/>
      <c r="X19" s="290"/>
      <c r="Y19" s="290"/>
      <c r="Z19" s="290"/>
      <c r="AA19" s="290"/>
      <c r="AB19" s="290"/>
      <c r="AC19" s="290"/>
      <c r="AD19" s="290"/>
      <c r="AE19" s="290"/>
      <c r="AF19" s="290"/>
      <c r="AG19" s="105"/>
      <c r="AH19" s="105"/>
    </row>
    <row r="20" spans="1:34">
      <c r="A20" s="105"/>
      <c r="B20" s="319" t="s">
        <v>188</v>
      </c>
      <c r="C20" s="319"/>
      <c r="D20" s="319"/>
      <c r="E20" s="319"/>
      <c r="F20" s="319"/>
      <c r="G20" s="290" t="s">
        <v>152</v>
      </c>
      <c r="H20" s="290"/>
      <c r="I20" s="290"/>
      <c r="J20" s="290"/>
      <c r="K20" s="290"/>
      <c r="L20" s="290"/>
      <c r="M20" s="290"/>
      <c r="N20" s="290"/>
      <c r="O20" s="290"/>
      <c r="P20" s="290"/>
      <c r="Q20" s="290"/>
      <c r="R20" s="290"/>
      <c r="S20" s="290"/>
      <c r="T20" s="290"/>
      <c r="U20" s="290"/>
      <c r="V20" s="290"/>
      <c r="W20" s="290"/>
      <c r="X20" s="290"/>
      <c r="Y20" s="290"/>
      <c r="Z20" s="290"/>
      <c r="AA20" s="290"/>
      <c r="AB20" s="290"/>
      <c r="AC20" s="290"/>
      <c r="AD20" s="290"/>
      <c r="AE20" s="290"/>
      <c r="AF20" s="290"/>
      <c r="AG20" s="105"/>
      <c r="AH20" s="105"/>
    </row>
    <row r="21" spans="1:34" ht="35.25" customHeight="1">
      <c r="A21" s="105"/>
      <c r="B21" s="303" t="s">
        <v>254</v>
      </c>
      <c r="C21" s="303"/>
      <c r="D21" s="303"/>
      <c r="E21" s="303"/>
      <c r="F21" s="303"/>
      <c r="G21" s="290" t="s">
        <v>255</v>
      </c>
      <c r="H21" s="290"/>
      <c r="I21" s="290"/>
      <c r="J21" s="290"/>
      <c r="K21" s="290"/>
      <c r="L21" s="290"/>
      <c r="M21" s="290"/>
      <c r="N21" s="290"/>
      <c r="O21" s="290"/>
      <c r="P21" s="290"/>
      <c r="Q21" s="290"/>
      <c r="R21" s="290"/>
      <c r="S21" s="290"/>
      <c r="T21" s="290"/>
      <c r="U21" s="290"/>
      <c r="V21" s="290"/>
      <c r="W21" s="290"/>
      <c r="X21" s="290"/>
      <c r="Y21" s="290"/>
      <c r="Z21" s="290"/>
      <c r="AA21" s="290"/>
      <c r="AB21" s="290"/>
      <c r="AC21" s="290"/>
      <c r="AD21" s="290"/>
      <c r="AE21" s="290"/>
      <c r="AF21" s="290"/>
      <c r="AG21" s="105"/>
      <c r="AH21" s="105"/>
    </row>
    <row r="22" spans="1:34" ht="28.5" customHeight="1">
      <c r="A22" s="105"/>
      <c r="B22" s="303" t="s">
        <v>256</v>
      </c>
      <c r="C22" s="303"/>
      <c r="D22" s="303"/>
      <c r="E22" s="303"/>
      <c r="F22" s="303"/>
      <c r="G22" s="290" t="s">
        <v>257</v>
      </c>
      <c r="H22" s="290"/>
      <c r="I22" s="290"/>
      <c r="J22" s="290"/>
      <c r="K22" s="290"/>
      <c r="L22" s="290"/>
      <c r="M22" s="290"/>
      <c r="N22" s="290"/>
      <c r="O22" s="290"/>
      <c r="P22" s="290"/>
      <c r="Q22" s="290"/>
      <c r="R22" s="290"/>
      <c r="S22" s="290"/>
      <c r="T22" s="290"/>
      <c r="U22" s="290"/>
      <c r="V22" s="290"/>
      <c r="W22" s="290"/>
      <c r="X22" s="290"/>
      <c r="Y22" s="290"/>
      <c r="Z22" s="290"/>
      <c r="AA22" s="290"/>
      <c r="AB22" s="290"/>
      <c r="AC22" s="290"/>
      <c r="AD22" s="290"/>
      <c r="AE22" s="290"/>
      <c r="AF22" s="290"/>
      <c r="AG22" s="105"/>
      <c r="AH22" s="105"/>
    </row>
    <row r="23" spans="1:34" ht="22.5" customHeight="1">
      <c r="A23" s="105"/>
      <c r="B23" s="303" t="s">
        <v>258</v>
      </c>
      <c r="C23" s="303"/>
      <c r="D23" s="303"/>
      <c r="E23" s="303"/>
      <c r="F23" s="303"/>
      <c r="G23" s="290" t="s">
        <v>259</v>
      </c>
      <c r="H23" s="290"/>
      <c r="I23" s="290"/>
      <c r="J23" s="290"/>
      <c r="K23" s="290"/>
      <c r="L23" s="290"/>
      <c r="M23" s="290"/>
      <c r="N23" s="290"/>
      <c r="O23" s="290"/>
      <c r="P23" s="290"/>
      <c r="Q23" s="290"/>
      <c r="R23" s="290"/>
      <c r="S23" s="290"/>
      <c r="T23" s="290"/>
      <c r="U23" s="290"/>
      <c r="V23" s="290"/>
      <c r="W23" s="290"/>
      <c r="X23" s="290"/>
      <c r="Y23" s="290"/>
      <c r="Z23" s="290"/>
      <c r="AA23" s="290"/>
      <c r="AB23" s="290"/>
      <c r="AC23" s="290"/>
      <c r="AD23" s="290"/>
      <c r="AE23" s="290"/>
      <c r="AF23" s="290"/>
      <c r="AG23" s="105"/>
      <c r="AH23" s="105"/>
    </row>
    <row r="24" spans="1:34" ht="45" customHeight="1">
      <c r="A24" s="105"/>
      <c r="B24" s="304" t="s">
        <v>189</v>
      </c>
      <c r="C24" s="304"/>
      <c r="D24" s="304"/>
      <c r="E24" s="304"/>
      <c r="F24" s="304"/>
      <c r="G24" s="290" t="s">
        <v>286</v>
      </c>
      <c r="H24" s="290"/>
      <c r="I24" s="290"/>
      <c r="J24" s="290"/>
      <c r="K24" s="290"/>
      <c r="L24" s="290"/>
      <c r="M24" s="290"/>
      <c r="N24" s="290"/>
      <c r="O24" s="290"/>
      <c r="P24" s="290"/>
      <c r="Q24" s="290"/>
      <c r="R24" s="290"/>
      <c r="S24" s="290"/>
      <c r="T24" s="290"/>
      <c r="U24" s="290"/>
      <c r="V24" s="290"/>
      <c r="W24" s="290"/>
      <c r="X24" s="290"/>
      <c r="Y24" s="290"/>
      <c r="Z24" s="290"/>
      <c r="AA24" s="290"/>
      <c r="AB24" s="290"/>
      <c r="AC24" s="290"/>
      <c r="AD24" s="290"/>
      <c r="AE24" s="290"/>
      <c r="AF24" s="290"/>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93" t="s">
        <v>34</v>
      </c>
      <c r="C27" s="295"/>
      <c r="D27" s="295"/>
      <c r="E27" s="293" t="s">
        <v>92</v>
      </c>
      <c r="F27" s="293"/>
      <c r="G27" s="293"/>
      <c r="H27" s="293"/>
      <c r="I27" s="293" t="s">
        <v>154</v>
      </c>
      <c r="J27" s="295"/>
      <c r="K27" s="295"/>
      <c r="L27" s="295"/>
      <c r="M27" s="295"/>
      <c r="N27" s="295"/>
      <c r="O27" s="295"/>
      <c r="P27" s="295"/>
      <c r="Q27" s="295"/>
      <c r="R27" s="293" t="s">
        <v>155</v>
      </c>
      <c r="S27" s="293"/>
      <c r="T27" s="293"/>
      <c r="U27" s="293"/>
      <c r="V27" s="293"/>
      <c r="W27" s="293"/>
      <c r="X27" s="293"/>
      <c r="Y27" s="293"/>
      <c r="Z27" s="293"/>
      <c r="AA27" s="293"/>
      <c r="AB27" s="293"/>
      <c r="AC27" s="293"/>
      <c r="AD27" s="293"/>
      <c r="AE27" s="293"/>
      <c r="AF27" s="293"/>
      <c r="AG27" s="105"/>
      <c r="AH27" s="105"/>
    </row>
    <row r="28" spans="1:34" ht="40.5" customHeight="1">
      <c r="A28" s="105"/>
      <c r="B28" s="283" t="s">
        <v>332</v>
      </c>
      <c r="C28" s="284" t="s">
        <v>3</v>
      </c>
      <c r="D28" s="285" t="s">
        <v>3</v>
      </c>
      <c r="E28" s="296"/>
      <c r="F28" s="297"/>
      <c r="G28" s="297"/>
      <c r="H28" s="298"/>
      <c r="I28" s="290"/>
      <c r="J28" s="299"/>
      <c r="K28" s="299"/>
      <c r="L28" s="299"/>
      <c r="M28" s="299"/>
      <c r="N28" s="299"/>
      <c r="O28" s="299"/>
      <c r="P28" s="299"/>
      <c r="Q28" s="299"/>
      <c r="R28" s="290" t="s">
        <v>14</v>
      </c>
      <c r="S28" s="290" t="s">
        <v>14</v>
      </c>
      <c r="T28" s="290" t="s">
        <v>14</v>
      </c>
      <c r="U28" s="290" t="s">
        <v>14</v>
      </c>
      <c r="V28" s="290" t="s">
        <v>14</v>
      </c>
      <c r="W28" s="290" t="s">
        <v>14</v>
      </c>
      <c r="X28" s="290" t="s">
        <v>14</v>
      </c>
      <c r="Y28" s="290" t="s">
        <v>14</v>
      </c>
      <c r="Z28" s="290" t="s">
        <v>14</v>
      </c>
      <c r="AA28" s="290" t="s">
        <v>14</v>
      </c>
      <c r="AB28" s="290" t="s">
        <v>14</v>
      </c>
      <c r="AC28" s="290" t="s">
        <v>14</v>
      </c>
      <c r="AD28" s="290" t="s">
        <v>14</v>
      </c>
      <c r="AE28" s="290" t="s">
        <v>14</v>
      </c>
      <c r="AF28" s="290" t="s">
        <v>14</v>
      </c>
      <c r="AG28" s="105"/>
      <c r="AH28" s="105"/>
    </row>
    <row r="29" spans="1:34" ht="60" customHeight="1">
      <c r="A29" s="105"/>
      <c r="B29" s="283" t="s">
        <v>18</v>
      </c>
      <c r="C29" s="284" t="s">
        <v>18</v>
      </c>
      <c r="D29" s="285" t="s">
        <v>18</v>
      </c>
      <c r="E29" s="296">
        <v>40591.490486111114</v>
      </c>
      <c r="F29" s="297">
        <v>40591.490486111114</v>
      </c>
      <c r="G29" s="297">
        <v>40591.490486111114</v>
      </c>
      <c r="H29" s="298">
        <v>40591.490486111114</v>
      </c>
      <c r="I29" s="290" t="s">
        <v>4</v>
      </c>
      <c r="J29" s="299" t="s">
        <v>4</v>
      </c>
      <c r="K29" s="299" t="s">
        <v>4</v>
      </c>
      <c r="L29" s="299" t="s">
        <v>4</v>
      </c>
      <c r="M29" s="299" t="s">
        <v>4</v>
      </c>
      <c r="N29" s="299" t="s">
        <v>4</v>
      </c>
      <c r="O29" s="299" t="s">
        <v>4</v>
      </c>
      <c r="P29" s="299" t="s">
        <v>4</v>
      </c>
      <c r="Q29" s="299" t="s">
        <v>4</v>
      </c>
      <c r="R29" s="290" t="s">
        <v>35</v>
      </c>
      <c r="S29" s="290" t="s">
        <v>35</v>
      </c>
      <c r="T29" s="290" t="s">
        <v>35</v>
      </c>
      <c r="U29" s="290" t="s">
        <v>35</v>
      </c>
      <c r="V29" s="290" t="s">
        <v>35</v>
      </c>
      <c r="W29" s="290" t="s">
        <v>35</v>
      </c>
      <c r="X29" s="290" t="s">
        <v>35</v>
      </c>
      <c r="Y29" s="290" t="s">
        <v>35</v>
      </c>
      <c r="Z29" s="290" t="s">
        <v>35</v>
      </c>
      <c r="AA29" s="290" t="s">
        <v>35</v>
      </c>
      <c r="AB29" s="290" t="s">
        <v>35</v>
      </c>
      <c r="AC29" s="290" t="s">
        <v>35</v>
      </c>
      <c r="AD29" s="290" t="s">
        <v>35</v>
      </c>
      <c r="AE29" s="290" t="s">
        <v>35</v>
      </c>
      <c r="AF29" s="290" t="s">
        <v>35</v>
      </c>
      <c r="AG29" s="105"/>
      <c r="AH29" s="105"/>
    </row>
    <row r="30" spans="1:34" ht="291" customHeight="1">
      <c r="A30" s="105"/>
      <c r="B30" s="283" t="s">
        <v>98</v>
      </c>
      <c r="C30" s="284" t="s">
        <v>98</v>
      </c>
      <c r="D30" s="285" t="s">
        <v>98</v>
      </c>
      <c r="E30" s="296">
        <v>41071.656145833331</v>
      </c>
      <c r="F30" s="297">
        <v>41071.656145833331</v>
      </c>
      <c r="G30" s="297">
        <v>41071.656145833331</v>
      </c>
      <c r="H30" s="298">
        <v>41071.656145833331</v>
      </c>
      <c r="I30" s="290" t="s">
        <v>4</v>
      </c>
      <c r="J30" s="299" t="s">
        <v>4</v>
      </c>
      <c r="K30" s="299" t="s">
        <v>4</v>
      </c>
      <c r="L30" s="299" t="s">
        <v>4</v>
      </c>
      <c r="M30" s="299" t="s">
        <v>4</v>
      </c>
      <c r="N30" s="299" t="s">
        <v>4</v>
      </c>
      <c r="O30" s="299" t="s">
        <v>4</v>
      </c>
      <c r="P30" s="299" t="s">
        <v>4</v>
      </c>
      <c r="Q30" s="299" t="s">
        <v>4</v>
      </c>
      <c r="R30" s="290" t="s">
        <v>129</v>
      </c>
      <c r="S30" s="290" t="s">
        <v>129</v>
      </c>
      <c r="T30" s="290" t="s">
        <v>129</v>
      </c>
      <c r="U30" s="290" t="s">
        <v>129</v>
      </c>
      <c r="V30" s="290" t="s">
        <v>129</v>
      </c>
      <c r="W30" s="290" t="s">
        <v>129</v>
      </c>
      <c r="X30" s="290" t="s">
        <v>129</v>
      </c>
      <c r="Y30" s="290" t="s">
        <v>129</v>
      </c>
      <c r="Z30" s="290" t="s">
        <v>129</v>
      </c>
      <c r="AA30" s="290" t="s">
        <v>129</v>
      </c>
      <c r="AB30" s="290" t="s">
        <v>129</v>
      </c>
      <c r="AC30" s="290" t="s">
        <v>129</v>
      </c>
      <c r="AD30" s="290" t="s">
        <v>129</v>
      </c>
      <c r="AE30" s="290" t="s">
        <v>129</v>
      </c>
      <c r="AF30" s="290" t="s">
        <v>129</v>
      </c>
      <c r="AG30" s="105"/>
      <c r="AH30" s="105"/>
    </row>
    <row r="31" spans="1:34" ht="40.5" customHeight="1">
      <c r="A31" s="105"/>
      <c r="B31" s="283" t="s">
        <v>86</v>
      </c>
      <c r="C31" s="284" t="s">
        <v>86</v>
      </c>
      <c r="D31" s="285" t="s">
        <v>86</v>
      </c>
      <c r="E31" s="296">
        <v>41071.656145833331</v>
      </c>
      <c r="F31" s="297">
        <v>41071.656145833331</v>
      </c>
      <c r="G31" s="297">
        <v>41071.656145833331</v>
      </c>
      <c r="H31" s="298">
        <v>41071.656145833331</v>
      </c>
      <c r="I31" s="290" t="s">
        <v>87</v>
      </c>
      <c r="J31" s="299" t="s">
        <v>87</v>
      </c>
      <c r="K31" s="299" t="s">
        <v>87</v>
      </c>
      <c r="L31" s="299" t="s">
        <v>87</v>
      </c>
      <c r="M31" s="299" t="s">
        <v>87</v>
      </c>
      <c r="N31" s="299" t="s">
        <v>87</v>
      </c>
      <c r="O31" s="299" t="s">
        <v>87</v>
      </c>
      <c r="P31" s="299" t="s">
        <v>87</v>
      </c>
      <c r="Q31" s="299" t="s">
        <v>87</v>
      </c>
      <c r="R31" s="290" t="s">
        <v>100</v>
      </c>
      <c r="S31" s="290" t="s">
        <v>100</v>
      </c>
      <c r="T31" s="290" t="s">
        <v>100</v>
      </c>
      <c r="U31" s="290" t="s">
        <v>100</v>
      </c>
      <c r="V31" s="290" t="s">
        <v>100</v>
      </c>
      <c r="W31" s="290" t="s">
        <v>100</v>
      </c>
      <c r="X31" s="290" t="s">
        <v>100</v>
      </c>
      <c r="Y31" s="290" t="s">
        <v>100</v>
      </c>
      <c r="Z31" s="290" t="s">
        <v>100</v>
      </c>
      <c r="AA31" s="290" t="s">
        <v>100</v>
      </c>
      <c r="AB31" s="290" t="s">
        <v>100</v>
      </c>
      <c r="AC31" s="290" t="s">
        <v>100</v>
      </c>
      <c r="AD31" s="290" t="s">
        <v>100</v>
      </c>
      <c r="AE31" s="290" t="s">
        <v>100</v>
      </c>
      <c r="AF31" s="290" t="s">
        <v>100</v>
      </c>
      <c r="AG31" s="105"/>
      <c r="AH31" s="105"/>
    </row>
    <row r="32" spans="1:34" ht="121.5" customHeight="1">
      <c r="A32" s="105"/>
      <c r="B32" s="283"/>
      <c r="C32" s="284"/>
      <c r="D32" s="285"/>
      <c r="E32" s="296">
        <v>42195</v>
      </c>
      <c r="F32" s="297">
        <v>42195</v>
      </c>
      <c r="G32" s="297">
        <v>42195</v>
      </c>
      <c r="H32" s="298">
        <v>42195</v>
      </c>
      <c r="I32" s="290" t="s">
        <v>99</v>
      </c>
      <c r="J32" s="299" t="s">
        <v>99</v>
      </c>
      <c r="K32" s="299" t="s">
        <v>99</v>
      </c>
      <c r="L32" s="299" t="s">
        <v>99</v>
      </c>
      <c r="M32" s="299" t="s">
        <v>99</v>
      </c>
      <c r="N32" s="299" t="s">
        <v>99</v>
      </c>
      <c r="O32" s="299" t="s">
        <v>99</v>
      </c>
      <c r="P32" s="299" t="s">
        <v>99</v>
      </c>
      <c r="Q32" s="299" t="s">
        <v>99</v>
      </c>
      <c r="R32" s="290" t="s">
        <v>102</v>
      </c>
      <c r="S32" s="290" t="s">
        <v>102</v>
      </c>
      <c r="T32" s="290" t="s">
        <v>102</v>
      </c>
      <c r="U32" s="290" t="s">
        <v>102</v>
      </c>
      <c r="V32" s="290" t="s">
        <v>102</v>
      </c>
      <c r="W32" s="290" t="s">
        <v>102</v>
      </c>
      <c r="X32" s="290" t="s">
        <v>102</v>
      </c>
      <c r="Y32" s="290" t="s">
        <v>102</v>
      </c>
      <c r="Z32" s="290" t="s">
        <v>102</v>
      </c>
      <c r="AA32" s="290" t="s">
        <v>102</v>
      </c>
      <c r="AB32" s="290" t="s">
        <v>102</v>
      </c>
      <c r="AC32" s="290" t="s">
        <v>102</v>
      </c>
      <c r="AD32" s="290" t="s">
        <v>102</v>
      </c>
      <c r="AE32" s="290" t="s">
        <v>102</v>
      </c>
      <c r="AF32" s="290" t="s">
        <v>102</v>
      </c>
      <c r="AG32" s="105"/>
      <c r="AH32" s="105"/>
    </row>
    <row r="33" spans="1:34" ht="114" customHeight="1">
      <c r="A33" s="105"/>
      <c r="B33" s="283" t="s">
        <v>103</v>
      </c>
      <c r="C33" s="284" t="s">
        <v>103</v>
      </c>
      <c r="D33" s="285" t="s">
        <v>103</v>
      </c>
      <c r="E33" s="296">
        <v>42391.634837962964</v>
      </c>
      <c r="F33" s="297">
        <v>42391.634837962964</v>
      </c>
      <c r="G33" s="297">
        <v>42391.634837962964</v>
      </c>
      <c r="H33" s="298">
        <v>42391.634837962964</v>
      </c>
      <c r="I33" s="290" t="s">
        <v>104</v>
      </c>
      <c r="J33" s="299" t="s">
        <v>104</v>
      </c>
      <c r="K33" s="299" t="s">
        <v>104</v>
      </c>
      <c r="L33" s="299" t="s">
        <v>104</v>
      </c>
      <c r="M33" s="299" t="s">
        <v>104</v>
      </c>
      <c r="N33" s="299" t="s">
        <v>104</v>
      </c>
      <c r="O33" s="299" t="s">
        <v>104</v>
      </c>
      <c r="P33" s="299" t="s">
        <v>104</v>
      </c>
      <c r="Q33" s="299" t="s">
        <v>104</v>
      </c>
      <c r="R33" s="290" t="s">
        <v>128</v>
      </c>
      <c r="S33" s="290" t="s">
        <v>128</v>
      </c>
      <c r="T33" s="290" t="s">
        <v>128</v>
      </c>
      <c r="U33" s="290" t="s">
        <v>128</v>
      </c>
      <c r="V33" s="290" t="s">
        <v>128</v>
      </c>
      <c r="W33" s="290" t="s">
        <v>128</v>
      </c>
      <c r="X33" s="290" t="s">
        <v>128</v>
      </c>
      <c r="Y33" s="290" t="s">
        <v>128</v>
      </c>
      <c r="Z33" s="290" t="s">
        <v>128</v>
      </c>
      <c r="AA33" s="290" t="s">
        <v>128</v>
      </c>
      <c r="AB33" s="290" t="s">
        <v>128</v>
      </c>
      <c r="AC33" s="290" t="s">
        <v>128</v>
      </c>
      <c r="AD33" s="290" t="s">
        <v>128</v>
      </c>
      <c r="AE33" s="290" t="s">
        <v>128</v>
      </c>
      <c r="AF33" s="290" t="s">
        <v>128</v>
      </c>
      <c r="AG33" s="105"/>
      <c r="AH33" s="105"/>
    </row>
    <row r="34" spans="1:34" ht="40.5" customHeight="1">
      <c r="A34" s="105"/>
      <c r="B34" s="300" t="s">
        <v>326</v>
      </c>
      <c r="C34" s="301"/>
      <c r="D34" s="301"/>
      <c r="E34" s="296"/>
      <c r="F34" s="297"/>
      <c r="G34" s="297"/>
      <c r="H34" s="298"/>
      <c r="I34" s="290" t="s">
        <v>317</v>
      </c>
      <c r="J34" s="299"/>
      <c r="K34" s="299"/>
      <c r="L34" s="299"/>
      <c r="M34" s="299"/>
      <c r="N34" s="299"/>
      <c r="O34" s="299"/>
      <c r="P34" s="299"/>
      <c r="Q34" s="299"/>
      <c r="R34" s="290" t="s">
        <v>318</v>
      </c>
      <c r="S34" s="290"/>
      <c r="T34" s="290"/>
      <c r="U34" s="290"/>
      <c r="V34" s="290"/>
      <c r="W34" s="290"/>
      <c r="X34" s="290"/>
      <c r="Y34" s="290"/>
      <c r="Z34" s="290"/>
      <c r="AA34" s="290"/>
      <c r="AB34" s="290"/>
      <c r="AC34" s="290"/>
      <c r="AD34" s="290"/>
      <c r="AE34" s="290"/>
      <c r="AF34" s="290"/>
      <c r="AG34" s="105"/>
      <c r="AH34" s="105"/>
    </row>
    <row r="35" spans="1:34" ht="40.5" customHeight="1">
      <c r="A35" s="105"/>
      <c r="B35" s="300" t="s">
        <v>327</v>
      </c>
      <c r="C35" s="301"/>
      <c r="D35" s="301"/>
      <c r="E35" s="296"/>
      <c r="F35" s="297"/>
      <c r="G35" s="297"/>
      <c r="H35" s="298"/>
      <c r="I35" s="290" t="s">
        <v>317</v>
      </c>
      <c r="J35" s="299"/>
      <c r="K35" s="299"/>
      <c r="L35" s="299"/>
      <c r="M35" s="299"/>
      <c r="N35" s="299"/>
      <c r="O35" s="299"/>
      <c r="P35" s="299"/>
      <c r="Q35" s="299"/>
      <c r="R35" s="290" t="s">
        <v>319</v>
      </c>
      <c r="S35" s="290"/>
      <c r="T35" s="290"/>
      <c r="U35" s="290"/>
      <c r="V35" s="290"/>
      <c r="W35" s="290"/>
      <c r="X35" s="290"/>
      <c r="Y35" s="290"/>
      <c r="Z35" s="290"/>
      <c r="AA35" s="290"/>
      <c r="AB35" s="290"/>
      <c r="AC35" s="290"/>
      <c r="AD35" s="290"/>
      <c r="AE35" s="290"/>
      <c r="AF35" s="290"/>
      <c r="AG35" s="105"/>
      <c r="AH35" s="105"/>
    </row>
    <row r="36" spans="1:34" ht="40.5" customHeight="1">
      <c r="A36" s="105"/>
      <c r="B36" s="300" t="s">
        <v>328</v>
      </c>
      <c r="C36" s="301"/>
      <c r="D36" s="301"/>
      <c r="E36" s="296"/>
      <c r="F36" s="297"/>
      <c r="G36" s="297"/>
      <c r="H36" s="298"/>
      <c r="I36" s="290" t="s">
        <v>317</v>
      </c>
      <c r="J36" s="299"/>
      <c r="K36" s="299"/>
      <c r="L36" s="299"/>
      <c r="M36" s="299"/>
      <c r="N36" s="299"/>
      <c r="O36" s="299"/>
      <c r="P36" s="299"/>
      <c r="Q36" s="299"/>
      <c r="R36" s="290" t="s">
        <v>320</v>
      </c>
      <c r="S36" s="290"/>
      <c r="T36" s="290"/>
      <c r="U36" s="290"/>
      <c r="V36" s="290"/>
      <c r="W36" s="290"/>
      <c r="X36" s="290"/>
      <c r="Y36" s="290"/>
      <c r="Z36" s="290"/>
      <c r="AA36" s="290"/>
      <c r="AB36" s="290"/>
      <c r="AC36" s="290"/>
      <c r="AD36" s="290"/>
      <c r="AE36" s="290"/>
      <c r="AF36" s="290"/>
      <c r="AG36" s="105"/>
      <c r="AH36" s="105"/>
    </row>
    <row r="37" spans="1:34" ht="102" customHeight="1">
      <c r="A37" s="105"/>
      <c r="B37" s="300" t="s">
        <v>329</v>
      </c>
      <c r="C37" s="301"/>
      <c r="D37" s="301"/>
      <c r="E37" s="296"/>
      <c r="F37" s="297"/>
      <c r="G37" s="297"/>
      <c r="H37" s="298"/>
      <c r="I37" s="290" t="s">
        <v>317</v>
      </c>
      <c r="J37" s="299"/>
      <c r="K37" s="299"/>
      <c r="L37" s="299"/>
      <c r="M37" s="299"/>
      <c r="N37" s="299"/>
      <c r="O37" s="299"/>
      <c r="P37" s="299"/>
      <c r="Q37" s="299"/>
      <c r="R37" s="290" t="s">
        <v>321</v>
      </c>
      <c r="S37" s="290"/>
      <c r="T37" s="290"/>
      <c r="U37" s="290"/>
      <c r="V37" s="290"/>
      <c r="W37" s="290"/>
      <c r="X37" s="290"/>
      <c r="Y37" s="290"/>
      <c r="Z37" s="290"/>
      <c r="AA37" s="290"/>
      <c r="AB37" s="290"/>
      <c r="AC37" s="290"/>
      <c r="AD37" s="290"/>
      <c r="AE37" s="290"/>
      <c r="AF37" s="290"/>
      <c r="AG37" s="105"/>
      <c r="AH37" s="105"/>
    </row>
    <row r="38" spans="1:34" ht="217.5" customHeight="1">
      <c r="A38" s="105"/>
      <c r="B38" s="300" t="s">
        <v>330</v>
      </c>
      <c r="C38" s="301"/>
      <c r="D38" s="301"/>
      <c r="E38" s="296"/>
      <c r="F38" s="297"/>
      <c r="G38" s="297"/>
      <c r="H38" s="298"/>
      <c r="I38" s="290" t="s">
        <v>317</v>
      </c>
      <c r="J38" s="299"/>
      <c r="K38" s="299"/>
      <c r="L38" s="299"/>
      <c r="M38" s="299"/>
      <c r="N38" s="299"/>
      <c r="O38" s="299"/>
      <c r="P38" s="299"/>
      <c r="Q38" s="299"/>
      <c r="R38" s="290" t="s">
        <v>322</v>
      </c>
      <c r="S38" s="290"/>
      <c r="T38" s="290"/>
      <c r="U38" s="290"/>
      <c r="V38" s="290"/>
      <c r="W38" s="290"/>
      <c r="X38" s="290"/>
      <c r="Y38" s="290"/>
      <c r="Z38" s="290"/>
      <c r="AA38" s="290"/>
      <c r="AB38" s="290"/>
      <c r="AC38" s="290"/>
      <c r="AD38" s="290"/>
      <c r="AE38" s="290"/>
      <c r="AF38" s="290"/>
      <c r="AG38" s="105"/>
      <c r="AH38" s="105"/>
    </row>
    <row r="39" spans="1:34" ht="40.5" customHeight="1">
      <c r="A39" s="105"/>
      <c r="B39" s="300" t="s">
        <v>331</v>
      </c>
      <c r="C39" s="301"/>
      <c r="D39" s="301"/>
      <c r="E39" s="296"/>
      <c r="F39" s="297"/>
      <c r="G39" s="297"/>
      <c r="H39" s="298"/>
      <c r="I39" s="290" t="s">
        <v>317</v>
      </c>
      <c r="J39" s="299"/>
      <c r="K39" s="299"/>
      <c r="L39" s="299"/>
      <c r="M39" s="299"/>
      <c r="N39" s="299"/>
      <c r="O39" s="299"/>
      <c r="P39" s="299"/>
      <c r="Q39" s="299"/>
      <c r="R39" s="290" t="s">
        <v>323</v>
      </c>
      <c r="S39" s="290"/>
      <c r="T39" s="290"/>
      <c r="U39" s="290"/>
      <c r="V39" s="290"/>
      <c r="W39" s="290"/>
      <c r="X39" s="290"/>
      <c r="Y39" s="290"/>
      <c r="Z39" s="290"/>
      <c r="AA39" s="290"/>
      <c r="AB39" s="290"/>
      <c r="AC39" s="290"/>
      <c r="AD39" s="290"/>
      <c r="AE39" s="290"/>
      <c r="AF39" s="290"/>
      <c r="AG39" s="105"/>
      <c r="AH39" s="105"/>
    </row>
    <row r="40" spans="1:34" ht="69" customHeight="1">
      <c r="A40" s="105"/>
      <c r="B40" s="300" t="s">
        <v>325</v>
      </c>
      <c r="C40" s="301"/>
      <c r="D40" s="301"/>
      <c r="E40" s="296">
        <v>44562</v>
      </c>
      <c r="F40" s="297"/>
      <c r="G40" s="297"/>
      <c r="H40" s="298"/>
      <c r="I40" s="290" t="s">
        <v>317</v>
      </c>
      <c r="J40" s="299"/>
      <c r="K40" s="299"/>
      <c r="L40" s="299"/>
      <c r="M40" s="299"/>
      <c r="N40" s="299"/>
      <c r="O40" s="299"/>
      <c r="P40" s="299"/>
      <c r="Q40" s="299"/>
      <c r="R40" s="290" t="s">
        <v>324</v>
      </c>
      <c r="S40" s="290"/>
      <c r="T40" s="290"/>
      <c r="U40" s="290"/>
      <c r="V40" s="290"/>
      <c r="W40" s="290"/>
      <c r="X40" s="290"/>
      <c r="Y40" s="290"/>
      <c r="Z40" s="290"/>
      <c r="AA40" s="290"/>
      <c r="AB40" s="290"/>
      <c r="AC40" s="290"/>
      <c r="AD40" s="290"/>
      <c r="AE40" s="290"/>
      <c r="AF40" s="290"/>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93" t="s">
        <v>159</v>
      </c>
      <c r="C46" s="293"/>
      <c r="D46" s="293"/>
      <c r="E46" s="293" t="s">
        <v>160</v>
      </c>
      <c r="F46" s="295"/>
      <c r="G46" s="295"/>
      <c r="H46" s="295"/>
      <c r="I46" s="295"/>
      <c r="J46" s="295"/>
      <c r="K46" s="295"/>
      <c r="L46" s="295"/>
      <c r="M46" s="295"/>
      <c r="N46" s="295"/>
      <c r="O46" s="295"/>
      <c r="P46" s="295"/>
      <c r="Q46" s="295"/>
      <c r="R46" s="295"/>
      <c r="S46" s="295"/>
      <c r="T46" s="295"/>
      <c r="U46" s="295"/>
      <c r="V46" s="295"/>
      <c r="W46" s="295"/>
      <c r="X46" s="295"/>
      <c r="Y46" s="293" t="s">
        <v>161</v>
      </c>
      <c r="Z46" s="293"/>
      <c r="AA46" s="293"/>
      <c r="AB46" s="293"/>
      <c r="AC46" s="293"/>
      <c r="AD46" s="293"/>
      <c r="AE46" s="293"/>
      <c r="AF46" s="293"/>
      <c r="AG46" s="105"/>
      <c r="AH46" s="105"/>
    </row>
    <row r="47" spans="1:34">
      <c r="A47" s="105"/>
      <c r="B47" s="292"/>
      <c r="C47" s="292"/>
      <c r="D47" s="292"/>
      <c r="E47" s="290"/>
      <c r="F47" s="291"/>
      <c r="G47" s="291"/>
      <c r="H47" s="291"/>
      <c r="I47" s="291"/>
      <c r="J47" s="291"/>
      <c r="K47" s="291"/>
      <c r="L47" s="291"/>
      <c r="M47" s="291"/>
      <c r="N47" s="291"/>
      <c r="O47" s="291"/>
      <c r="P47" s="291"/>
      <c r="Q47" s="291"/>
      <c r="R47" s="291"/>
      <c r="S47" s="291"/>
      <c r="T47" s="291"/>
      <c r="U47" s="291"/>
      <c r="V47" s="291"/>
      <c r="W47" s="291"/>
      <c r="X47" s="291"/>
      <c r="Y47" s="290"/>
      <c r="Z47" s="291"/>
      <c r="AA47" s="291"/>
      <c r="AB47" s="291"/>
      <c r="AC47" s="291"/>
      <c r="AD47" s="291"/>
      <c r="AE47" s="291"/>
      <c r="AF47" s="291"/>
      <c r="AG47" s="105"/>
      <c r="AH47" s="105"/>
    </row>
    <row r="48" spans="1:34">
      <c r="A48" s="105"/>
      <c r="B48" s="292"/>
      <c r="C48" s="292"/>
      <c r="D48" s="292"/>
      <c r="E48" s="290"/>
      <c r="F48" s="291"/>
      <c r="G48" s="291"/>
      <c r="H48" s="291"/>
      <c r="I48" s="291"/>
      <c r="J48" s="291"/>
      <c r="K48" s="291"/>
      <c r="L48" s="291"/>
      <c r="M48" s="291"/>
      <c r="N48" s="291"/>
      <c r="O48" s="291"/>
      <c r="P48" s="291"/>
      <c r="Q48" s="291"/>
      <c r="R48" s="291"/>
      <c r="S48" s="291"/>
      <c r="T48" s="291"/>
      <c r="U48" s="291"/>
      <c r="V48" s="291"/>
      <c r="W48" s="291"/>
      <c r="X48" s="291"/>
      <c r="Y48" s="290"/>
      <c r="Z48" s="291"/>
      <c r="AA48" s="291"/>
      <c r="AB48" s="291"/>
      <c r="AC48" s="291"/>
      <c r="AD48" s="291"/>
      <c r="AE48" s="291"/>
      <c r="AF48" s="291"/>
      <c r="AG48" s="105"/>
      <c r="AH48" s="105"/>
    </row>
    <row r="49" spans="1:34">
      <c r="A49" s="105"/>
      <c r="B49" s="292"/>
      <c r="C49" s="292"/>
      <c r="D49" s="292"/>
      <c r="E49" s="290"/>
      <c r="F49" s="291"/>
      <c r="G49" s="291"/>
      <c r="H49" s="291"/>
      <c r="I49" s="291"/>
      <c r="J49" s="291"/>
      <c r="K49" s="291"/>
      <c r="L49" s="291"/>
      <c r="M49" s="291"/>
      <c r="N49" s="291"/>
      <c r="O49" s="291"/>
      <c r="P49" s="291"/>
      <c r="Q49" s="291"/>
      <c r="R49" s="291"/>
      <c r="S49" s="291"/>
      <c r="T49" s="291"/>
      <c r="U49" s="291"/>
      <c r="V49" s="291"/>
      <c r="W49" s="291"/>
      <c r="X49" s="291"/>
      <c r="Y49" s="290"/>
      <c r="Z49" s="291"/>
      <c r="AA49" s="291"/>
      <c r="AB49" s="291"/>
      <c r="AC49" s="291"/>
      <c r="AD49" s="291"/>
      <c r="AE49" s="291"/>
      <c r="AF49" s="291"/>
      <c r="AG49" s="105"/>
      <c r="AH49" s="105"/>
    </row>
    <row r="50" spans="1:34">
      <c r="A50" s="105"/>
      <c r="B50" s="292"/>
      <c r="C50" s="292"/>
      <c r="D50" s="292"/>
      <c r="E50" s="290"/>
      <c r="F50" s="291"/>
      <c r="G50" s="291"/>
      <c r="H50" s="291"/>
      <c r="I50" s="291"/>
      <c r="J50" s="291"/>
      <c r="K50" s="291"/>
      <c r="L50" s="291"/>
      <c r="M50" s="291"/>
      <c r="N50" s="291"/>
      <c r="O50" s="291"/>
      <c r="P50" s="291"/>
      <c r="Q50" s="291"/>
      <c r="R50" s="291"/>
      <c r="S50" s="291"/>
      <c r="T50" s="291"/>
      <c r="U50" s="291"/>
      <c r="V50" s="291"/>
      <c r="W50" s="291"/>
      <c r="X50" s="291"/>
      <c r="Y50" s="290"/>
      <c r="Z50" s="291"/>
      <c r="AA50" s="291"/>
      <c r="AB50" s="291"/>
      <c r="AC50" s="291"/>
      <c r="AD50" s="291"/>
      <c r="AE50" s="291"/>
      <c r="AF50" s="291"/>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93" t="s">
        <v>159</v>
      </c>
      <c r="C52" s="293"/>
      <c r="D52" s="293"/>
      <c r="E52" s="293" t="s">
        <v>160</v>
      </c>
      <c r="F52" s="295"/>
      <c r="G52" s="295"/>
      <c r="H52" s="295"/>
      <c r="I52" s="295"/>
      <c r="J52" s="295"/>
      <c r="K52" s="295"/>
      <c r="L52" s="295"/>
      <c r="M52" s="295"/>
      <c r="N52" s="295"/>
      <c r="O52" s="295"/>
      <c r="P52" s="295"/>
      <c r="Q52" s="295"/>
      <c r="R52" s="295"/>
      <c r="S52" s="295"/>
      <c r="T52" s="295"/>
      <c r="U52" s="295"/>
      <c r="V52" s="295"/>
      <c r="W52" s="295"/>
      <c r="X52" s="295"/>
      <c r="Y52" s="293" t="s">
        <v>161</v>
      </c>
      <c r="Z52" s="293"/>
      <c r="AA52" s="293"/>
      <c r="AB52" s="293"/>
      <c r="AC52" s="293"/>
      <c r="AD52" s="293"/>
      <c r="AE52" s="293"/>
      <c r="AF52" s="293"/>
      <c r="AG52" s="105"/>
      <c r="AH52" s="105"/>
    </row>
    <row r="53" spans="1:34">
      <c r="A53" s="105"/>
      <c r="B53" s="292"/>
      <c r="C53" s="292"/>
      <c r="D53" s="292"/>
      <c r="E53" s="290"/>
      <c r="F53" s="291"/>
      <c r="G53" s="291"/>
      <c r="H53" s="291"/>
      <c r="I53" s="291"/>
      <c r="J53" s="291"/>
      <c r="K53" s="291"/>
      <c r="L53" s="291"/>
      <c r="M53" s="291"/>
      <c r="N53" s="291"/>
      <c r="O53" s="291"/>
      <c r="P53" s="291"/>
      <c r="Q53" s="291"/>
      <c r="R53" s="291"/>
      <c r="S53" s="291"/>
      <c r="T53" s="291"/>
      <c r="U53" s="291"/>
      <c r="V53" s="291"/>
      <c r="W53" s="291"/>
      <c r="X53" s="291"/>
      <c r="Y53" s="290"/>
      <c r="Z53" s="291"/>
      <c r="AA53" s="291"/>
      <c r="AB53" s="291"/>
      <c r="AC53" s="291"/>
      <c r="AD53" s="291"/>
      <c r="AE53" s="291"/>
      <c r="AF53" s="291"/>
      <c r="AG53" s="105"/>
      <c r="AH53" s="105"/>
    </row>
    <row r="54" spans="1:34">
      <c r="A54" s="105"/>
      <c r="B54" s="292"/>
      <c r="C54" s="292"/>
      <c r="D54" s="292"/>
      <c r="E54" s="290"/>
      <c r="F54" s="291"/>
      <c r="G54" s="291"/>
      <c r="H54" s="291"/>
      <c r="I54" s="291"/>
      <c r="J54" s="291"/>
      <c r="K54" s="291"/>
      <c r="L54" s="291"/>
      <c r="M54" s="291"/>
      <c r="N54" s="291"/>
      <c r="O54" s="291"/>
      <c r="P54" s="291"/>
      <c r="Q54" s="291"/>
      <c r="R54" s="291"/>
      <c r="S54" s="291"/>
      <c r="T54" s="291"/>
      <c r="U54" s="291"/>
      <c r="V54" s="291"/>
      <c r="W54" s="291"/>
      <c r="X54" s="291"/>
      <c r="Y54" s="290"/>
      <c r="Z54" s="291"/>
      <c r="AA54" s="291"/>
      <c r="AB54" s="291"/>
      <c r="AC54" s="291"/>
      <c r="AD54" s="291"/>
      <c r="AE54" s="291"/>
      <c r="AF54" s="291"/>
      <c r="AG54" s="105"/>
      <c r="AH54" s="105"/>
    </row>
    <row r="55" spans="1:34">
      <c r="A55" s="105"/>
      <c r="B55" s="292"/>
      <c r="C55" s="292"/>
      <c r="D55" s="292"/>
      <c r="E55" s="290"/>
      <c r="F55" s="291"/>
      <c r="G55" s="291"/>
      <c r="H55" s="291"/>
      <c r="I55" s="291"/>
      <c r="J55" s="291"/>
      <c r="K55" s="291"/>
      <c r="L55" s="291"/>
      <c r="M55" s="291"/>
      <c r="N55" s="291"/>
      <c r="O55" s="291"/>
      <c r="P55" s="291"/>
      <c r="Q55" s="291"/>
      <c r="R55" s="291"/>
      <c r="S55" s="291"/>
      <c r="T55" s="291"/>
      <c r="U55" s="291"/>
      <c r="V55" s="291"/>
      <c r="W55" s="291"/>
      <c r="X55" s="291"/>
      <c r="Y55" s="290"/>
      <c r="Z55" s="291"/>
      <c r="AA55" s="291"/>
      <c r="AB55" s="291"/>
      <c r="AC55" s="291"/>
      <c r="AD55" s="291"/>
      <c r="AE55" s="291"/>
      <c r="AF55" s="291"/>
      <c r="AG55" s="105"/>
      <c r="AH55" s="105"/>
    </row>
    <row r="56" spans="1:34">
      <c r="A56" s="105"/>
      <c r="B56" s="292"/>
      <c r="C56" s="292"/>
      <c r="D56" s="292"/>
      <c r="E56" s="290"/>
      <c r="F56" s="291"/>
      <c r="G56" s="291"/>
      <c r="H56" s="291"/>
      <c r="I56" s="291"/>
      <c r="J56" s="291"/>
      <c r="K56" s="291"/>
      <c r="L56" s="291"/>
      <c r="M56" s="291"/>
      <c r="N56" s="291"/>
      <c r="O56" s="291"/>
      <c r="P56" s="291"/>
      <c r="Q56" s="291"/>
      <c r="R56" s="291"/>
      <c r="S56" s="291"/>
      <c r="T56" s="291"/>
      <c r="U56" s="291"/>
      <c r="V56" s="291"/>
      <c r="W56" s="291"/>
      <c r="X56" s="291"/>
      <c r="Y56" s="290"/>
      <c r="Z56" s="291"/>
      <c r="AA56" s="291"/>
      <c r="AB56" s="291"/>
      <c r="AC56" s="291"/>
      <c r="AD56" s="291"/>
      <c r="AE56" s="291"/>
      <c r="AF56" s="291"/>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93" t="s">
        <v>164</v>
      </c>
      <c r="C59" s="293"/>
      <c r="D59" s="293"/>
      <c r="E59" s="293"/>
      <c r="F59" s="293"/>
      <c r="G59" s="293"/>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105"/>
      <c r="AH59" s="105"/>
    </row>
    <row r="60" spans="1:34" ht="27.75" customHeight="1">
      <c r="A60" s="105"/>
      <c r="B60" s="283" t="s">
        <v>165</v>
      </c>
      <c r="C60" s="284"/>
      <c r="D60" s="284"/>
      <c r="E60" s="284"/>
      <c r="F60" s="284"/>
      <c r="G60" s="285"/>
      <c r="H60" s="289" t="s">
        <v>166</v>
      </c>
      <c r="I60" s="287"/>
      <c r="J60" s="287"/>
      <c r="K60" s="287"/>
      <c r="L60" s="287"/>
      <c r="M60" s="287"/>
      <c r="N60" s="287"/>
      <c r="O60" s="287"/>
      <c r="P60" s="287"/>
      <c r="Q60" s="287"/>
      <c r="R60" s="287"/>
      <c r="S60" s="287"/>
      <c r="T60" s="287"/>
      <c r="U60" s="287"/>
      <c r="V60" s="287"/>
      <c r="W60" s="287"/>
      <c r="X60" s="287"/>
      <c r="Y60" s="287"/>
      <c r="Z60" s="287"/>
      <c r="AA60" s="287"/>
      <c r="AB60" s="287"/>
      <c r="AC60" s="287"/>
      <c r="AD60" s="287"/>
      <c r="AE60" s="287"/>
      <c r="AF60" s="288"/>
      <c r="AG60" s="105"/>
      <c r="AH60" s="105"/>
    </row>
    <row r="61" spans="1:34">
      <c r="A61" s="105"/>
      <c r="B61" s="283"/>
      <c r="C61" s="284"/>
      <c r="D61" s="284"/>
      <c r="E61" s="284"/>
      <c r="F61" s="284"/>
      <c r="G61" s="285"/>
      <c r="H61" s="286"/>
      <c r="I61" s="287"/>
      <c r="J61" s="287"/>
      <c r="K61" s="287"/>
      <c r="L61" s="287"/>
      <c r="M61" s="287"/>
      <c r="N61" s="287"/>
      <c r="O61" s="287"/>
      <c r="P61" s="287"/>
      <c r="Q61" s="287"/>
      <c r="R61" s="287"/>
      <c r="S61" s="287"/>
      <c r="T61" s="287"/>
      <c r="U61" s="287"/>
      <c r="V61" s="287"/>
      <c r="W61" s="287"/>
      <c r="X61" s="287"/>
      <c r="Y61" s="287"/>
      <c r="Z61" s="287"/>
      <c r="AA61" s="287"/>
      <c r="AB61" s="287"/>
      <c r="AC61" s="287"/>
      <c r="AD61" s="287"/>
      <c r="AE61" s="287"/>
      <c r="AF61" s="288"/>
      <c r="AG61" s="105"/>
      <c r="AH61" s="105"/>
    </row>
    <row r="62" spans="1:34">
      <c r="A62" s="105"/>
      <c r="B62" s="283"/>
      <c r="C62" s="284"/>
      <c r="D62" s="284"/>
      <c r="E62" s="284"/>
      <c r="F62" s="284"/>
      <c r="G62" s="285"/>
      <c r="H62" s="286"/>
      <c r="I62" s="287"/>
      <c r="J62" s="287"/>
      <c r="K62" s="287"/>
      <c r="L62" s="287"/>
      <c r="M62" s="287"/>
      <c r="N62" s="287"/>
      <c r="O62" s="287"/>
      <c r="P62" s="287"/>
      <c r="Q62" s="287"/>
      <c r="R62" s="287"/>
      <c r="S62" s="287"/>
      <c r="T62" s="287"/>
      <c r="U62" s="287"/>
      <c r="V62" s="287"/>
      <c r="W62" s="287"/>
      <c r="X62" s="287"/>
      <c r="Y62" s="287"/>
      <c r="Z62" s="287"/>
      <c r="AA62" s="287"/>
      <c r="AB62" s="287"/>
      <c r="AC62" s="287"/>
      <c r="AD62" s="287"/>
      <c r="AE62" s="287"/>
      <c r="AF62" s="288"/>
      <c r="AG62" s="105"/>
      <c r="AH62" s="105"/>
    </row>
    <row r="63" spans="1:34">
      <c r="A63" s="105"/>
      <c r="B63" s="283"/>
      <c r="C63" s="284"/>
      <c r="D63" s="284"/>
      <c r="E63" s="284"/>
      <c r="F63" s="284"/>
      <c r="G63" s="285"/>
      <c r="H63" s="286"/>
      <c r="I63" s="287"/>
      <c r="J63" s="287"/>
      <c r="K63" s="287"/>
      <c r="L63" s="287"/>
      <c r="M63" s="287"/>
      <c r="N63" s="287"/>
      <c r="O63" s="287"/>
      <c r="P63" s="287"/>
      <c r="Q63" s="287"/>
      <c r="R63" s="287"/>
      <c r="S63" s="287"/>
      <c r="T63" s="287"/>
      <c r="U63" s="287"/>
      <c r="V63" s="287"/>
      <c r="W63" s="287"/>
      <c r="X63" s="287"/>
      <c r="Y63" s="287"/>
      <c r="Z63" s="287"/>
      <c r="AA63" s="287"/>
      <c r="AB63" s="287"/>
      <c r="AC63" s="287"/>
      <c r="AD63" s="287"/>
      <c r="AE63" s="287"/>
      <c r="AF63" s="288"/>
      <c r="AG63" s="105"/>
      <c r="AH63" s="105"/>
    </row>
    <row r="64" spans="1:34">
      <c r="A64" s="105"/>
      <c r="B64" s="283"/>
      <c r="C64" s="284"/>
      <c r="D64" s="284"/>
      <c r="E64" s="284"/>
      <c r="F64" s="284"/>
      <c r="G64" s="285"/>
      <c r="H64" s="286"/>
      <c r="I64" s="287"/>
      <c r="J64" s="287"/>
      <c r="K64" s="287"/>
      <c r="L64" s="287"/>
      <c r="M64" s="287"/>
      <c r="N64" s="287"/>
      <c r="O64" s="287"/>
      <c r="P64" s="287"/>
      <c r="Q64" s="287"/>
      <c r="R64" s="287"/>
      <c r="S64" s="287"/>
      <c r="T64" s="287"/>
      <c r="U64" s="287"/>
      <c r="V64" s="287"/>
      <c r="W64" s="287"/>
      <c r="X64" s="287"/>
      <c r="Y64" s="287"/>
      <c r="Z64" s="287"/>
      <c r="AA64" s="287"/>
      <c r="AB64" s="287"/>
      <c r="AC64" s="287"/>
      <c r="AD64" s="287"/>
      <c r="AE64" s="287"/>
      <c r="AF64" s="288"/>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9" customFormat="1" ht="20.25">
      <c r="B69" s="170" t="s">
        <v>239</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20" t="s">
        <v>235</v>
      </c>
      <c r="C71" s="321"/>
      <c r="D71" s="321"/>
      <c r="E71" s="321"/>
      <c r="F71" s="321"/>
      <c r="G71" s="322"/>
      <c r="H71" s="323" t="s">
        <v>230</v>
      </c>
      <c r="I71" s="324"/>
      <c r="J71" s="324"/>
      <c r="K71" s="324"/>
      <c r="L71" s="324"/>
      <c r="M71" s="324"/>
      <c r="N71" s="324"/>
      <c r="O71" s="324"/>
      <c r="P71" s="324"/>
      <c r="Q71" s="324"/>
      <c r="R71" s="324"/>
      <c r="S71" s="324"/>
      <c r="T71" s="324"/>
      <c r="U71" s="324"/>
      <c r="V71" s="324"/>
      <c r="W71" s="324"/>
      <c r="X71" s="324"/>
      <c r="Y71" s="324"/>
      <c r="Z71" s="324"/>
      <c r="AA71" s="324"/>
      <c r="AB71" s="324"/>
      <c r="AC71" s="324"/>
      <c r="AD71" s="324"/>
      <c r="AE71" s="324"/>
      <c r="AF71" s="325"/>
      <c r="AG71" s="105"/>
      <c r="AH71" s="105"/>
    </row>
    <row r="72" spans="1:34" ht="111" customHeight="1">
      <c r="A72" s="105"/>
      <c r="B72" s="320" t="s">
        <v>236</v>
      </c>
      <c r="C72" s="321"/>
      <c r="D72" s="321"/>
      <c r="E72" s="321"/>
      <c r="F72" s="321"/>
      <c r="G72" s="322"/>
      <c r="H72" s="323" t="s">
        <v>232</v>
      </c>
      <c r="I72" s="324"/>
      <c r="J72" s="324"/>
      <c r="K72" s="324"/>
      <c r="L72" s="324"/>
      <c r="M72" s="324"/>
      <c r="N72" s="324"/>
      <c r="O72" s="324"/>
      <c r="P72" s="324"/>
      <c r="Q72" s="324"/>
      <c r="R72" s="324"/>
      <c r="S72" s="324"/>
      <c r="T72" s="324"/>
      <c r="U72" s="324"/>
      <c r="V72" s="324"/>
      <c r="W72" s="324"/>
      <c r="X72" s="324"/>
      <c r="Y72" s="324"/>
      <c r="Z72" s="324"/>
      <c r="AA72" s="324"/>
      <c r="AB72" s="324"/>
      <c r="AC72" s="324"/>
      <c r="AD72" s="324"/>
      <c r="AE72" s="324"/>
      <c r="AF72" s="325"/>
      <c r="AG72" s="105"/>
      <c r="AH72" s="105"/>
    </row>
    <row r="73" spans="1:34" ht="52.5" customHeight="1">
      <c r="A73" s="105"/>
      <c r="B73" s="320" t="s">
        <v>237</v>
      </c>
      <c r="C73" s="321"/>
      <c r="D73" s="321"/>
      <c r="E73" s="321"/>
      <c r="F73" s="321"/>
      <c r="G73" s="322"/>
      <c r="H73" s="323" t="s">
        <v>240</v>
      </c>
      <c r="I73" s="324"/>
      <c r="J73" s="324"/>
      <c r="K73" s="324"/>
      <c r="L73" s="324"/>
      <c r="M73" s="324"/>
      <c r="N73" s="324"/>
      <c r="O73" s="324"/>
      <c r="P73" s="324"/>
      <c r="Q73" s="324"/>
      <c r="R73" s="324"/>
      <c r="S73" s="324"/>
      <c r="T73" s="324"/>
      <c r="U73" s="324"/>
      <c r="V73" s="324"/>
      <c r="W73" s="324"/>
      <c r="X73" s="324"/>
      <c r="Y73" s="324"/>
      <c r="Z73" s="324"/>
      <c r="AA73" s="324"/>
      <c r="AB73" s="324"/>
      <c r="AC73" s="324"/>
      <c r="AD73" s="324"/>
      <c r="AE73" s="324"/>
      <c r="AF73" s="325"/>
      <c r="AG73" s="105"/>
      <c r="AH73" s="105"/>
    </row>
    <row r="74" spans="1:34" ht="52.5" customHeight="1">
      <c r="A74" s="105"/>
      <c r="B74" s="320" t="s">
        <v>229</v>
      </c>
      <c r="C74" s="321"/>
      <c r="D74" s="321"/>
      <c r="E74" s="321"/>
      <c r="F74" s="321"/>
      <c r="G74" s="322"/>
      <c r="H74" s="323" t="s">
        <v>233</v>
      </c>
      <c r="I74" s="324"/>
      <c r="J74" s="324"/>
      <c r="K74" s="324"/>
      <c r="L74" s="324"/>
      <c r="M74" s="324"/>
      <c r="N74" s="324"/>
      <c r="O74" s="324"/>
      <c r="P74" s="324"/>
      <c r="Q74" s="324"/>
      <c r="R74" s="324"/>
      <c r="S74" s="324"/>
      <c r="T74" s="324"/>
      <c r="U74" s="324"/>
      <c r="V74" s="324"/>
      <c r="W74" s="324"/>
      <c r="X74" s="324"/>
      <c r="Y74" s="324"/>
      <c r="Z74" s="324"/>
      <c r="AA74" s="324"/>
      <c r="AB74" s="324"/>
      <c r="AC74" s="324"/>
      <c r="AD74" s="324"/>
      <c r="AE74" s="324"/>
      <c r="AF74" s="325"/>
      <c r="AG74" s="105"/>
      <c r="AH74" s="105"/>
    </row>
    <row r="75" spans="1:34" ht="81" customHeight="1">
      <c r="A75" s="105"/>
      <c r="B75" s="320" t="s">
        <v>238</v>
      </c>
      <c r="C75" s="321"/>
      <c r="D75" s="321"/>
      <c r="E75" s="321"/>
      <c r="F75" s="321"/>
      <c r="G75" s="322"/>
      <c r="H75" s="323" t="s">
        <v>241</v>
      </c>
      <c r="I75" s="324"/>
      <c r="J75" s="324"/>
      <c r="K75" s="324"/>
      <c r="L75" s="324"/>
      <c r="M75" s="324"/>
      <c r="N75" s="324"/>
      <c r="O75" s="324"/>
      <c r="P75" s="324"/>
      <c r="Q75" s="324"/>
      <c r="R75" s="324"/>
      <c r="S75" s="324"/>
      <c r="T75" s="324"/>
      <c r="U75" s="324"/>
      <c r="V75" s="324"/>
      <c r="W75" s="324"/>
      <c r="X75" s="324"/>
      <c r="Y75" s="324"/>
      <c r="Z75" s="324"/>
      <c r="AA75" s="324"/>
      <c r="AB75" s="324"/>
      <c r="AC75" s="324"/>
      <c r="AD75" s="324"/>
      <c r="AE75" s="324"/>
      <c r="AF75" s="325"/>
      <c r="AG75" s="105"/>
      <c r="AH75" s="105"/>
    </row>
    <row r="76" spans="1:34" ht="97.5" customHeight="1">
      <c r="A76" s="105"/>
      <c r="B76" s="320" t="s">
        <v>231</v>
      </c>
      <c r="C76" s="321"/>
      <c r="D76" s="321"/>
      <c r="E76" s="321"/>
      <c r="F76" s="321"/>
      <c r="G76" s="322"/>
      <c r="H76" s="323" t="s">
        <v>234</v>
      </c>
      <c r="I76" s="324"/>
      <c r="J76" s="324"/>
      <c r="K76" s="324"/>
      <c r="L76" s="324"/>
      <c r="M76" s="324"/>
      <c r="N76" s="324"/>
      <c r="O76" s="324"/>
      <c r="P76" s="324"/>
      <c r="Q76" s="324"/>
      <c r="R76" s="324"/>
      <c r="S76" s="324"/>
      <c r="T76" s="324"/>
      <c r="U76" s="324"/>
      <c r="V76" s="324"/>
      <c r="W76" s="324"/>
      <c r="X76" s="324"/>
      <c r="Y76" s="324"/>
      <c r="Z76" s="324"/>
      <c r="AA76" s="324"/>
      <c r="AB76" s="324"/>
      <c r="AC76" s="324"/>
      <c r="AD76" s="324"/>
      <c r="AE76" s="324"/>
      <c r="AF76" s="325"/>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5" t="s">
        <v>287</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4"/>
      <c r="AJ84" s="174" t="s">
        <v>288</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5" t="s">
        <v>211</v>
      </c>
      <c r="AJ85" s="155"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5" t="s">
        <v>23</v>
      </c>
      <c r="AJ86" s="155"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5" t="s">
        <v>11</v>
      </c>
      <c r="AJ87" s="155" t="s">
        <v>213</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6"/>
      <c r="AJ88" s="155"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5" t="s">
        <v>242</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5" t="s">
        <v>171</v>
      </c>
    </row>
    <row r="91" spans="1:36">
      <c r="AJ91" s="155" t="s">
        <v>217</v>
      </c>
    </row>
    <row r="92" spans="1:36">
      <c r="AJ92" s="155" t="s">
        <v>243</v>
      </c>
    </row>
    <row r="93" spans="1:36">
      <c r="AJ93" s="155" t="s">
        <v>244</v>
      </c>
    </row>
    <row r="94" spans="1:36">
      <c r="AJ94" s="155" t="s">
        <v>245</v>
      </c>
    </row>
    <row r="95" spans="1:36">
      <c r="AJ95" s="155" t="s">
        <v>246</v>
      </c>
    </row>
    <row r="96" spans="1:36">
      <c r="AJ96" s="155" t="s">
        <v>252</v>
      </c>
    </row>
    <row r="97" spans="36:36">
      <c r="AJ97" s="155" t="s">
        <v>174</v>
      </c>
    </row>
    <row r="98" spans="36:36">
      <c r="AJ98" s="155" t="s">
        <v>247</v>
      </c>
    </row>
    <row r="99" spans="36:36">
      <c r="AJ99" s="155" t="s">
        <v>248</v>
      </c>
    </row>
    <row r="100" spans="36:36">
      <c r="AJ100" s="155" t="s">
        <v>249</v>
      </c>
    </row>
    <row r="101" spans="36:36">
      <c r="AJ101" s="155" t="s">
        <v>250</v>
      </c>
    </row>
    <row r="102" spans="36:36">
      <c r="AJ102" s="155" t="s">
        <v>251</v>
      </c>
    </row>
    <row r="103" spans="36:36">
      <c r="AJ103" s="155" t="s">
        <v>175</v>
      </c>
    </row>
    <row r="104" spans="36:36">
      <c r="AJ104" s="155" t="s">
        <v>253</v>
      </c>
    </row>
    <row r="105" spans="36:36" ht="18.75">
      <c r="AJ105" s="156" t="s">
        <v>248</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7"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28" t="s">
        <v>15</v>
      </c>
      <c r="B1" s="329"/>
      <c r="C1" s="329"/>
      <c r="D1" s="330"/>
    </row>
    <row r="3" spans="1:8">
      <c r="B3" s="331" t="s">
        <v>16</v>
      </c>
      <c r="C3" s="332"/>
      <c r="D3" s="333"/>
    </row>
    <row r="4" spans="1:8">
      <c r="B4" s="88" t="s">
        <v>96</v>
      </c>
      <c r="C4" s="44"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4" t="s">
        <v>84</v>
      </c>
      <c r="D9" s="13"/>
    </row>
    <row r="10" spans="1:8">
      <c r="B10" s="78" t="s">
        <v>57</v>
      </c>
      <c r="C10" s="44" t="s">
        <v>58</v>
      </c>
      <c r="D10" s="13"/>
    </row>
    <row r="11" spans="1:8">
      <c r="B11" s="3"/>
      <c r="C11" s="3"/>
      <c r="D11" s="3"/>
    </row>
    <row r="12" spans="1:8">
      <c r="B12" s="331" t="s">
        <v>183</v>
      </c>
      <c r="C12" s="332"/>
      <c r="D12" s="333"/>
    </row>
    <row r="13" spans="1:8" ht="24.75" customHeight="1">
      <c r="B13" s="134" t="s">
        <v>178</v>
      </c>
      <c r="C13" s="334" t="s">
        <v>180</v>
      </c>
      <c r="D13" s="335"/>
    </row>
    <row r="14" spans="1:8" ht="25.5" customHeight="1">
      <c r="B14" s="134" t="s">
        <v>106</v>
      </c>
      <c r="C14" s="334" t="s">
        <v>181</v>
      </c>
      <c r="D14" s="335"/>
      <c r="E14" s="89"/>
      <c r="F14" s="89"/>
      <c r="G14" s="89"/>
      <c r="H14" s="89"/>
    </row>
    <row r="15" spans="1:8" ht="49.5" customHeight="1">
      <c r="B15" s="134" t="s">
        <v>179</v>
      </c>
      <c r="C15" s="334" t="s">
        <v>182</v>
      </c>
      <c r="D15" s="335"/>
      <c r="F15" s="93" t="s">
        <v>135</v>
      </c>
    </row>
    <row r="17" spans="2:6">
      <c r="B17" s="331" t="s">
        <v>13</v>
      </c>
      <c r="C17" s="332"/>
      <c r="D17" s="333"/>
    </row>
    <row r="18" spans="2:6">
      <c r="B18" s="2"/>
      <c r="C18" s="3"/>
      <c r="D18" s="4"/>
      <c r="F18" s="93" t="s">
        <v>132</v>
      </c>
    </row>
    <row r="19" spans="2:6" s="90" customFormat="1" ht="38.25">
      <c r="B19" s="326" t="s">
        <v>184</v>
      </c>
      <c r="C19" s="135" t="s">
        <v>107</v>
      </c>
      <c r="D19" s="91"/>
      <c r="F19" s="94" t="s">
        <v>133</v>
      </c>
    </row>
    <row r="20" spans="2:6">
      <c r="B20" s="326"/>
      <c r="C20" s="136"/>
      <c r="D20" s="4"/>
      <c r="F20" s="93" t="s">
        <v>134</v>
      </c>
    </row>
    <row r="21" spans="2:6" ht="25.5">
      <c r="B21" s="326"/>
      <c r="C21" s="137" t="s">
        <v>108</v>
      </c>
      <c r="D21" s="4"/>
    </row>
    <row r="22" spans="2:6" ht="25.5">
      <c r="B22" s="326"/>
      <c r="C22" s="137" t="s">
        <v>0</v>
      </c>
      <c r="D22" s="4"/>
    </row>
    <row r="23" spans="2:6">
      <c r="B23" s="326"/>
      <c r="C23" s="137" t="s">
        <v>1</v>
      </c>
      <c r="D23" s="4"/>
    </row>
    <row r="24" spans="2:6">
      <c r="B24" s="2"/>
      <c r="C24" s="27"/>
      <c r="D24" s="4"/>
    </row>
    <row r="25" spans="2:6">
      <c r="B25" s="327" t="s">
        <v>185</v>
      </c>
      <c r="C25" s="138" t="s">
        <v>333</v>
      </c>
      <c r="D25" s="4"/>
    </row>
    <row r="26" spans="2:6" ht="25.5">
      <c r="B26" s="327"/>
      <c r="C26" s="139" t="s">
        <v>2</v>
      </c>
      <c r="D26" s="4"/>
    </row>
    <row r="27" spans="2:6">
      <c r="B27" s="327"/>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2" t="s">
        <v>284</v>
      </c>
      <c r="C50" s="173" t="s">
        <v>285</v>
      </c>
      <c r="D50" s="4"/>
    </row>
    <row r="51" spans="2:4">
      <c r="B51" s="5"/>
      <c r="C51" s="41"/>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1"/>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1"/>
      <c r="D108" s="7"/>
    </row>
    <row r="111" spans="2:4" ht="25.5">
      <c r="B111" s="15" t="s">
        <v>56</v>
      </c>
    </row>
    <row r="112" spans="2:4">
      <c r="B112" s="8"/>
      <c r="C112" s="9"/>
      <c r="D112" s="10"/>
    </row>
    <row r="113" spans="2:4">
      <c r="B113" s="2"/>
      <c r="C113" s="3"/>
      <c r="D113" s="4"/>
    </row>
    <row r="114" spans="2:4">
      <c r="B114" s="2"/>
      <c r="C114" s="3"/>
      <c r="D114" s="4"/>
    </row>
    <row r="115" spans="2:4">
      <c r="B115" s="2"/>
      <c r="C115" s="42" t="s">
        <v>85</v>
      </c>
      <c r="D115" s="4"/>
    </row>
    <row r="116" spans="2:4">
      <c r="B116" s="2"/>
      <c r="C116" s="3"/>
      <c r="D116" s="4"/>
    </row>
    <row r="117" spans="2:4" ht="12.75" customHeight="1">
      <c r="B117" s="2"/>
      <c r="C117" s="42"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6" t="s">
        <v>51</v>
      </c>
      <c r="D24" s="177" t="s">
        <v>68</v>
      </c>
      <c r="E24" s="82" t="s">
        <v>170</v>
      </c>
      <c r="F24" s="82" t="s">
        <v>172</v>
      </c>
      <c r="G24" s="82" t="s">
        <v>213</v>
      </c>
      <c r="H24" s="82" t="s">
        <v>173</v>
      </c>
      <c r="I24" s="82" t="s">
        <v>242</v>
      </c>
      <c r="J24" s="82" t="s">
        <v>171</v>
      </c>
      <c r="K24" s="82" t="s">
        <v>217</v>
      </c>
      <c r="L24" s="82" t="s">
        <v>243</v>
      </c>
      <c r="M24" s="82" t="s">
        <v>244</v>
      </c>
      <c r="N24" s="82" t="s">
        <v>245</v>
      </c>
      <c r="O24" s="82" t="s">
        <v>246</v>
      </c>
      <c r="P24" s="82" t="s">
        <v>252</v>
      </c>
      <c r="Q24" s="82" t="s">
        <v>174</v>
      </c>
      <c r="R24" s="82" t="s">
        <v>247</v>
      </c>
      <c r="S24" s="82" t="s">
        <v>248</v>
      </c>
      <c r="T24" s="82" t="s">
        <v>249</v>
      </c>
      <c r="U24" s="82" t="s">
        <v>250</v>
      </c>
      <c r="V24" s="82" t="s">
        <v>251</v>
      </c>
      <c r="W24" s="82" t="s">
        <v>175</v>
      </c>
      <c r="X24" s="82" t="s">
        <v>253</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9">
        <f>SUM(E25:AA25)</f>
        <v>0</v>
      </c>
      <c r="E25" s="84">
        <v>0</v>
      </c>
      <c r="F25" s="84">
        <v>0</v>
      </c>
      <c r="G25" s="84">
        <v>0</v>
      </c>
      <c r="H25" s="84">
        <v>0</v>
      </c>
      <c r="I25" s="84">
        <v>0</v>
      </c>
      <c r="J25" s="84">
        <v>0</v>
      </c>
      <c r="K25" s="84">
        <v>0</v>
      </c>
      <c r="L25" s="84">
        <v>0</v>
      </c>
      <c r="M25" s="84">
        <v>0</v>
      </c>
      <c r="N25" s="84">
        <v>0</v>
      </c>
      <c r="O25" s="84">
        <v>0</v>
      </c>
      <c r="P25" s="84">
        <v>0</v>
      </c>
      <c r="Q25" s="84">
        <v>0</v>
      </c>
      <c r="R25" s="84">
        <v>0</v>
      </c>
      <c r="S25" s="84">
        <v>0</v>
      </c>
      <c r="T25" s="84">
        <v>0</v>
      </c>
      <c r="U25" s="84">
        <v>0</v>
      </c>
      <c r="V25" s="84">
        <v>0</v>
      </c>
      <c r="W25" s="84">
        <v>0</v>
      </c>
      <c r="X25" s="84">
        <v>0</v>
      </c>
    </row>
    <row r="26" spans="2:52" ht="15">
      <c r="B26" s="85"/>
      <c r="C26" s="40" t="s">
        <v>77</v>
      </c>
      <c r="D26" s="179">
        <f>SUM(E26:AA26)</f>
        <v>0</v>
      </c>
      <c r="E26" s="85">
        <v>0</v>
      </c>
      <c r="F26" s="85">
        <v>0</v>
      </c>
      <c r="G26" s="85">
        <v>0</v>
      </c>
      <c r="H26" s="85">
        <v>0</v>
      </c>
      <c r="I26" s="85">
        <v>0</v>
      </c>
      <c r="J26" s="85">
        <v>0</v>
      </c>
      <c r="K26" s="85">
        <v>0</v>
      </c>
      <c r="L26" s="85">
        <v>0</v>
      </c>
      <c r="M26" s="85">
        <v>0</v>
      </c>
      <c r="N26" s="85">
        <v>0</v>
      </c>
      <c r="O26" s="85">
        <v>0</v>
      </c>
      <c r="P26" s="85">
        <v>0</v>
      </c>
      <c r="Q26" s="85">
        <v>0</v>
      </c>
      <c r="R26" s="85">
        <v>0</v>
      </c>
      <c r="S26" s="85">
        <v>0</v>
      </c>
      <c r="T26" s="85">
        <v>0</v>
      </c>
      <c r="U26" s="85">
        <v>0</v>
      </c>
      <c r="V26" s="85">
        <v>0</v>
      </c>
      <c r="W26" s="85">
        <v>0</v>
      </c>
      <c r="X26" s="85">
        <v>0</v>
      </c>
    </row>
    <row r="27" spans="2:52" ht="15">
      <c r="B27" s="83">
        <f>B25+B26</f>
        <v>0</v>
      </c>
      <c r="C27" s="43" t="s">
        <v>22</v>
      </c>
      <c r="D27" s="83">
        <f t="shared" ref="D27" si="0">D25+D26</f>
        <v>0</v>
      </c>
      <c r="E27" s="83">
        <f t="shared" ref="E27:X27" si="1">E25+E26</f>
        <v>0</v>
      </c>
      <c r="F27" s="83">
        <f t="shared" si="1"/>
        <v>0</v>
      </c>
      <c r="G27" s="83">
        <f t="shared" si="1"/>
        <v>0</v>
      </c>
      <c r="H27" s="83">
        <f t="shared" si="1"/>
        <v>0</v>
      </c>
      <c r="I27" s="83">
        <f t="shared" si="1"/>
        <v>0</v>
      </c>
      <c r="J27" s="83">
        <f t="shared" si="1"/>
        <v>0</v>
      </c>
      <c r="K27" s="83">
        <f t="shared" si="1"/>
        <v>0</v>
      </c>
      <c r="L27" s="83">
        <f t="shared" si="1"/>
        <v>0</v>
      </c>
      <c r="M27" s="83">
        <f t="shared" si="1"/>
        <v>0</v>
      </c>
      <c r="N27" s="83">
        <f t="shared" si="1"/>
        <v>0</v>
      </c>
      <c r="O27" s="83">
        <f t="shared" si="1"/>
        <v>0</v>
      </c>
      <c r="P27" s="83">
        <f t="shared" si="1"/>
        <v>0</v>
      </c>
      <c r="Q27" s="83">
        <f t="shared" si="1"/>
        <v>0</v>
      </c>
      <c r="R27" s="83">
        <f t="shared" si="1"/>
        <v>0</v>
      </c>
      <c r="S27" s="83">
        <f t="shared" si="1"/>
        <v>0</v>
      </c>
      <c r="T27" s="83">
        <f t="shared" si="1"/>
        <v>0</v>
      </c>
      <c r="U27" s="83">
        <f t="shared" si="1"/>
        <v>0</v>
      </c>
      <c r="V27" s="83">
        <f t="shared" si="1"/>
        <v>0</v>
      </c>
      <c r="W27" s="83">
        <f t="shared" si="1"/>
        <v>0</v>
      </c>
      <c r="X27" s="83">
        <f t="shared" si="1"/>
        <v>0</v>
      </c>
    </row>
    <row r="28" spans="2:52">
      <c r="D28" s="17"/>
      <c r="H28" s="37"/>
    </row>
    <row r="29" spans="2:52">
      <c r="D29" s="17"/>
      <c r="H29" s="37"/>
    </row>
    <row r="30" spans="2:52">
      <c r="D30" s="17"/>
      <c r="H30" s="37"/>
    </row>
    <row r="31" spans="2:52" s="81" customFormat="1" ht="60" customHeight="1">
      <c r="B31" s="82" t="s">
        <v>90</v>
      </c>
      <c r="C31" s="176" t="s">
        <v>47</v>
      </c>
      <c r="D31" s="177"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9">
        <f>SUM(E32:AA32)</f>
        <v>0</v>
      </c>
      <c r="E32" s="84">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9">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9">
        <f>SUM(E34:AA34)</f>
        <v>0</v>
      </c>
      <c r="E34" s="85">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9">
        <f>SUM(E35:AA35)</f>
        <v>0</v>
      </c>
      <c r="E35" s="85">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9">
        <f>SUM(E36:AA36)</f>
        <v>0</v>
      </c>
      <c r="E36" s="85">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3" t="s">
        <v>22</v>
      </c>
      <c r="D37" s="180">
        <f>SUM(D32:D36)</f>
        <v>0</v>
      </c>
      <c r="E37" s="86">
        <f>SUM(E32:E36)</f>
        <v>0</v>
      </c>
    </row>
    <row r="38" spans="2:52">
      <c r="D38" s="17"/>
      <c r="H38" s="37"/>
    </row>
    <row r="39" spans="2:52">
      <c r="D39" s="17"/>
      <c r="H39" s="37"/>
    </row>
    <row r="40" spans="2:52" s="81" customFormat="1" ht="63.75">
      <c r="B40" s="82" t="s">
        <v>90</v>
      </c>
      <c r="C40" s="176" t="s">
        <v>67</v>
      </c>
      <c r="D40" s="177"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9">
        <f>SUM(E41:AA41)</f>
        <v>0</v>
      </c>
      <c r="E41" s="85">
        <v>0</v>
      </c>
    </row>
    <row r="42" spans="2:52" ht="15">
      <c r="B42" s="85"/>
      <c r="C42" s="40" t="s">
        <v>74</v>
      </c>
      <c r="D42" s="179">
        <f>SUM(E42:AA42)</f>
        <v>0</v>
      </c>
      <c r="E42" s="85">
        <v>0</v>
      </c>
    </row>
    <row r="43" spans="2:52" s="17" customFormat="1" ht="15">
      <c r="B43" s="85"/>
      <c r="C43" s="40" t="s">
        <v>101</v>
      </c>
      <c r="D43" s="179">
        <f>SUM(E43:AA43)</f>
        <v>0</v>
      </c>
      <c r="E43" s="85">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3" t="s">
        <v>22</v>
      </c>
      <c r="D44" s="180">
        <f>SUM(D41:D43)</f>
        <v>0</v>
      </c>
      <c r="E44" s="86">
        <f>SUM(E41:E43)</f>
        <v>0</v>
      </c>
    </row>
    <row r="45" spans="2:52">
      <c r="D45" s="17"/>
    </row>
    <row r="46" spans="2:52">
      <c r="D46" s="17"/>
    </row>
    <row r="47" spans="2:52" ht="25.5">
      <c r="C47" s="178" t="s">
        <v>59</v>
      </c>
      <c r="D47" s="178" t="s">
        <v>92</v>
      </c>
      <c r="E47" s="30" t="s">
        <v>91</v>
      </c>
    </row>
    <row r="48" spans="2:52">
      <c r="C48" s="87" t="s">
        <v>93</v>
      </c>
      <c r="D48" s="181" t="s">
        <v>94</v>
      </c>
      <c r="E48" s="87" t="s">
        <v>95</v>
      </c>
    </row>
  </sheetData>
  <phoneticPr fontId="3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7"/>
  <sheetViews>
    <sheetView showGridLines="0" zoomScaleNormal="100" workbookViewId="0">
      <selection activeCell="A17" sqref="A17"/>
    </sheetView>
  </sheetViews>
  <sheetFormatPr defaultColWidth="8.85546875" defaultRowHeight="15" outlineLevelCol="1"/>
  <cols>
    <col min="1"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36" t="s">
        <v>191</v>
      </c>
      <c r="B1" s="337"/>
      <c r="C1" s="337"/>
      <c r="D1" s="337"/>
      <c r="E1" s="338"/>
      <c r="F1" s="339" t="s">
        <v>197</v>
      </c>
      <c r="G1" s="340"/>
      <c r="H1" s="340"/>
      <c r="I1" s="340"/>
      <c r="J1" s="340"/>
      <c r="K1" s="340"/>
      <c r="L1" s="340"/>
      <c r="M1" s="340"/>
      <c r="N1" s="340"/>
      <c r="O1" s="340"/>
    </row>
    <row r="2" spans="1:15" ht="18.75">
      <c r="A2" s="152" t="s">
        <v>194</v>
      </c>
      <c r="B2" s="152" t="s">
        <v>190</v>
      </c>
      <c r="C2" s="152" t="s">
        <v>192</v>
      </c>
      <c r="D2" s="152" t="s">
        <v>193</v>
      </c>
      <c r="E2" s="152" t="s">
        <v>195</v>
      </c>
      <c r="F2" s="153" t="s">
        <v>355</v>
      </c>
      <c r="G2" s="153" t="s">
        <v>356</v>
      </c>
      <c r="H2" s="153" t="s">
        <v>358</v>
      </c>
      <c r="I2" s="153" t="s">
        <v>363</v>
      </c>
      <c r="J2" s="153" t="s">
        <v>448</v>
      </c>
      <c r="K2" s="153" t="s">
        <v>449</v>
      </c>
      <c r="L2" s="153" t="s">
        <v>464</v>
      </c>
      <c r="M2" s="153" t="s">
        <v>476</v>
      </c>
      <c r="N2" s="153" t="s">
        <v>482</v>
      </c>
      <c r="O2" s="153" t="s">
        <v>196</v>
      </c>
    </row>
    <row r="3" spans="1:15">
      <c r="A3" s="205" t="s">
        <v>380</v>
      </c>
      <c r="B3" s="142" t="s">
        <v>106</v>
      </c>
      <c r="C3" s="205" t="s">
        <v>364</v>
      </c>
      <c r="D3" s="205" t="s">
        <v>364</v>
      </c>
      <c r="E3" s="151">
        <f t="shared" ref="E3:E10" si="0">SUM(F3:O3)</f>
        <v>10</v>
      </c>
      <c r="G3" s="142">
        <v>5</v>
      </c>
      <c r="I3" s="142">
        <v>5</v>
      </c>
    </row>
    <row r="4" spans="1:15">
      <c r="A4" s="207" t="s">
        <v>386</v>
      </c>
      <c r="B4" s="142" t="s">
        <v>106</v>
      </c>
      <c r="C4" s="206" t="s">
        <v>364</v>
      </c>
      <c r="D4" s="206" t="s">
        <v>364</v>
      </c>
      <c r="E4" s="151">
        <f t="shared" si="0"/>
        <v>40</v>
      </c>
      <c r="G4" s="142">
        <v>20</v>
      </c>
      <c r="I4" s="142">
        <v>20</v>
      </c>
    </row>
    <row r="5" spans="1:15">
      <c r="A5" s="208" t="s">
        <v>401</v>
      </c>
      <c r="B5" s="142" t="s">
        <v>106</v>
      </c>
      <c r="C5" s="205" t="s">
        <v>364</v>
      </c>
      <c r="D5" s="205" t="s">
        <v>364</v>
      </c>
      <c r="E5" s="151">
        <f t="shared" si="0"/>
        <v>10</v>
      </c>
      <c r="G5" s="142">
        <v>5</v>
      </c>
      <c r="I5" s="142">
        <v>5</v>
      </c>
    </row>
    <row r="6" spans="1:15">
      <c r="A6" s="207" t="s">
        <v>400</v>
      </c>
      <c r="B6" s="142" t="s">
        <v>106</v>
      </c>
      <c r="C6" s="206" t="s">
        <v>364</v>
      </c>
      <c r="D6" s="206" t="s">
        <v>364</v>
      </c>
      <c r="E6" s="151">
        <f t="shared" si="0"/>
        <v>30</v>
      </c>
      <c r="G6" s="142">
        <v>15</v>
      </c>
      <c r="I6" s="142">
        <v>15</v>
      </c>
    </row>
    <row r="7" spans="1:15">
      <c r="A7" s="209" t="s">
        <v>404</v>
      </c>
      <c r="B7" s="142" t="s">
        <v>106</v>
      </c>
      <c r="C7" s="209" t="s">
        <v>405</v>
      </c>
      <c r="D7" s="209" t="s">
        <v>405</v>
      </c>
      <c r="E7" s="151">
        <f t="shared" si="0"/>
        <v>20</v>
      </c>
      <c r="F7" s="142">
        <v>10</v>
      </c>
      <c r="G7" s="142">
        <v>10</v>
      </c>
    </row>
    <row r="8" spans="1:15">
      <c r="A8" s="210" t="s">
        <v>407</v>
      </c>
      <c r="B8" s="142" t="s">
        <v>106</v>
      </c>
      <c r="C8" s="210" t="s">
        <v>408</v>
      </c>
      <c r="D8" s="210" t="s">
        <v>408</v>
      </c>
      <c r="E8" s="151">
        <f t="shared" si="0"/>
        <v>20</v>
      </c>
      <c r="G8" s="142">
        <v>10</v>
      </c>
      <c r="I8" s="142">
        <v>10</v>
      </c>
    </row>
    <row r="9" spans="1:15">
      <c r="A9" s="210" t="s">
        <v>414</v>
      </c>
      <c r="B9" s="142" t="s">
        <v>106</v>
      </c>
      <c r="C9" s="210" t="s">
        <v>408</v>
      </c>
      <c r="D9" s="210" t="s">
        <v>408</v>
      </c>
      <c r="E9" s="151">
        <f t="shared" si="0"/>
        <v>30</v>
      </c>
      <c r="G9" s="142">
        <v>15</v>
      </c>
      <c r="I9" s="142">
        <v>15</v>
      </c>
    </row>
    <row r="10" spans="1:15">
      <c r="A10" s="226" t="s">
        <v>462</v>
      </c>
      <c r="B10" s="221" t="s">
        <v>106</v>
      </c>
      <c r="C10" s="222">
        <v>44984</v>
      </c>
      <c r="D10" s="222">
        <v>44984</v>
      </c>
      <c r="E10" s="151">
        <f t="shared" si="0"/>
        <v>30</v>
      </c>
      <c r="J10" s="142">
        <v>15</v>
      </c>
      <c r="K10" s="142">
        <v>15</v>
      </c>
    </row>
    <row r="11" spans="1:15">
      <c r="A11" s="224" t="s">
        <v>458</v>
      </c>
      <c r="B11" s="142" t="s">
        <v>106</v>
      </c>
      <c r="C11" s="224" t="s">
        <v>459</v>
      </c>
      <c r="D11" s="224" t="s">
        <v>459</v>
      </c>
      <c r="E11" s="151">
        <f t="shared" ref="E11:E13" si="1">SUM(F11:O11)</f>
        <v>20</v>
      </c>
      <c r="G11" s="142">
        <v>10</v>
      </c>
      <c r="I11" s="142">
        <v>10</v>
      </c>
    </row>
    <row r="12" spans="1:15">
      <c r="A12" s="225" t="s">
        <v>461</v>
      </c>
      <c r="B12" s="225" t="s">
        <v>106</v>
      </c>
      <c r="C12" s="225" t="s">
        <v>463</v>
      </c>
      <c r="D12" s="225" t="s">
        <v>463</v>
      </c>
      <c r="E12" s="151">
        <f t="shared" si="1"/>
        <v>30</v>
      </c>
      <c r="F12" s="142">
        <v>15</v>
      </c>
      <c r="L12" s="142">
        <v>15</v>
      </c>
    </row>
    <row r="13" spans="1:15">
      <c r="A13" s="228" t="s">
        <v>469</v>
      </c>
      <c r="B13" s="228" t="s">
        <v>106</v>
      </c>
      <c r="C13" s="228" t="s">
        <v>470</v>
      </c>
      <c r="D13" s="228" t="s">
        <v>470</v>
      </c>
      <c r="E13" s="151">
        <f t="shared" si="1"/>
        <v>30</v>
      </c>
      <c r="F13" s="142">
        <v>15</v>
      </c>
      <c r="L13" s="142">
        <v>15</v>
      </c>
    </row>
    <row r="14" spans="1:15">
      <c r="A14" s="229" t="s">
        <v>472</v>
      </c>
      <c r="B14" s="142" t="s">
        <v>106</v>
      </c>
      <c r="C14" s="229" t="s">
        <v>473</v>
      </c>
      <c r="D14" s="229" t="s">
        <v>473</v>
      </c>
      <c r="E14" s="151">
        <f t="shared" ref="E14:E16" si="2">SUM(F14:O14)</f>
        <v>20</v>
      </c>
      <c r="G14" s="142">
        <v>10</v>
      </c>
      <c r="I14" s="142">
        <v>10</v>
      </c>
    </row>
    <row r="15" spans="1:15">
      <c r="A15" s="230" t="s">
        <v>474</v>
      </c>
      <c r="B15" s="231" t="s">
        <v>106</v>
      </c>
      <c r="C15" s="232" t="s">
        <v>475</v>
      </c>
      <c r="D15" s="232" t="s">
        <v>475</v>
      </c>
      <c r="E15" s="151">
        <f t="shared" si="2"/>
        <v>20</v>
      </c>
      <c r="H15" s="142">
        <v>10</v>
      </c>
      <c r="M15" s="142">
        <v>10</v>
      </c>
    </row>
    <row r="16" spans="1:15">
      <c r="A16" s="240" t="s">
        <v>480</v>
      </c>
      <c r="B16" s="221" t="s">
        <v>106</v>
      </c>
      <c r="C16" s="241" t="s">
        <v>481</v>
      </c>
      <c r="D16" s="241" t="s">
        <v>481</v>
      </c>
      <c r="E16" s="151">
        <f t="shared" si="2"/>
        <v>30</v>
      </c>
      <c r="J16" s="142">
        <v>15</v>
      </c>
      <c r="N16" s="142">
        <v>15</v>
      </c>
    </row>
    <row r="17" spans="1:13">
      <c r="A17" s="230" t="s">
        <v>486</v>
      </c>
      <c r="B17" s="231" t="s">
        <v>106</v>
      </c>
      <c r="C17" s="232" t="s">
        <v>489</v>
      </c>
      <c r="D17" s="232" t="s">
        <v>489</v>
      </c>
      <c r="E17" s="346">
        <v>20</v>
      </c>
      <c r="H17" s="142">
        <v>10</v>
      </c>
      <c r="M17" s="142">
        <v>10</v>
      </c>
    </row>
  </sheetData>
  <mergeCells count="2">
    <mergeCell ref="A1:E1"/>
    <mergeCell ref="F1:O1"/>
  </mergeCells>
  <phoneticPr fontId="35"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B3:B9 B11 B14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23" activePane="bottomRight" state="frozenSplit"/>
      <selection activeCell="K17" sqref="K17"/>
      <selection pane="topRight" activeCell="K17" sqref="K17"/>
      <selection pane="bottomLeft" activeCell="K17" sqref="K17"/>
      <selection pane="bottomRight" activeCell="F36" sqref="F36"/>
    </sheetView>
  </sheetViews>
  <sheetFormatPr defaultRowHeight="12.75" outlineLevelRow="1" outlineLevelCol="1"/>
  <cols>
    <col min="1" max="1" width="5.28515625" style="70" customWidth="1"/>
    <col min="2" max="2" width="9.85546875" style="46" customWidth="1"/>
    <col min="3" max="3" width="12.140625" style="46" customWidth="1"/>
    <col min="4" max="4" width="42.140625" style="47" customWidth="1"/>
    <col min="5" max="5" width="11" style="66" customWidth="1" outlineLevel="1"/>
    <col min="6" max="6" width="14.5703125" style="67" customWidth="1" outlineLevel="1"/>
    <col min="7" max="7" width="33.7109375" style="47" customWidth="1"/>
    <col min="8" max="9" width="11.28515625" style="46" customWidth="1" outlineLevel="1"/>
    <col min="10" max="10" width="18.28515625" style="46" customWidth="1" outlineLevel="1"/>
    <col min="11" max="11" width="12.5703125" style="48" customWidth="1"/>
    <col min="12" max="12" width="13.7109375" style="49" customWidth="1"/>
    <col min="13" max="13" width="13.140625" style="49" customWidth="1"/>
    <col min="14" max="14" width="12" style="38" bestFit="1" customWidth="1"/>
    <col min="15" max="15" width="20.85546875" style="38" bestFit="1" customWidth="1"/>
    <col min="16" max="16" width="13.28515625" style="38" bestFit="1" customWidth="1"/>
    <col min="17" max="22" width="11.42578125" style="61" customWidth="1"/>
    <col min="23" max="23" width="11.85546875" style="61" bestFit="1" customWidth="1"/>
    <col min="24" max="24" width="15.5703125" bestFit="1" customWidth="1"/>
    <col min="25" max="25" width="15" bestFit="1" customWidth="1"/>
    <col min="26" max="26" width="9.7109375" bestFit="1" customWidth="1"/>
  </cols>
  <sheetData>
    <row r="1" spans="1:46" s="24" customFormat="1" ht="51" hidden="1">
      <c r="A1" s="65"/>
      <c r="B1" s="45"/>
      <c r="C1" s="45"/>
      <c r="D1" s="45" t="s">
        <v>50</v>
      </c>
      <c r="E1" s="65"/>
      <c r="F1" s="65"/>
      <c r="G1" s="45"/>
      <c r="H1" s="45" t="s">
        <v>50</v>
      </c>
      <c r="I1" s="45"/>
      <c r="J1" s="45"/>
      <c r="K1" s="45"/>
      <c r="L1" s="30" t="s">
        <v>64</v>
      </c>
      <c r="M1" s="30" t="s">
        <v>79</v>
      </c>
      <c r="N1" s="30" t="s">
        <v>65</v>
      </c>
      <c r="O1" s="30" t="s">
        <v>66</v>
      </c>
      <c r="P1" s="54"/>
      <c r="Q1" s="30" t="s">
        <v>44</v>
      </c>
      <c r="R1" s="30" t="s">
        <v>20</v>
      </c>
      <c r="S1" s="30" t="s">
        <v>21</v>
      </c>
      <c r="T1" s="30" t="s">
        <v>27</v>
      </c>
      <c r="U1" s="30" t="s">
        <v>19</v>
      </c>
      <c r="V1" s="55"/>
      <c r="W1" s="56"/>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5"/>
      <c r="B2" s="45"/>
      <c r="C2" s="32"/>
      <c r="D2" s="45" t="s">
        <v>45</v>
      </c>
      <c r="E2" s="65"/>
      <c r="F2" s="65"/>
      <c r="G2" s="32"/>
      <c r="H2" s="45" t="s">
        <v>45</v>
      </c>
      <c r="I2" s="45"/>
      <c r="J2" s="32"/>
      <c r="K2" s="32"/>
      <c r="L2" s="52">
        <f>COUNTA(D5:D500)+COUNTIF(L5:L500,"=Open")+COUNTIF(L5:L500,"=To be fixed")-COUNTA(L5:L500)</f>
        <v>0</v>
      </c>
      <c r="M2" s="52">
        <f>COUNTIF(M5:M500,"=Rejected")</f>
        <v>0</v>
      </c>
      <c r="N2" s="52">
        <f>COUNTA(D5:D500)-COUNTIF(M5:M500,"=Approved")</f>
        <v>0</v>
      </c>
      <c r="O2" s="52">
        <f>COUNTIFS(L5:L500,"=Postponed",M5:M500,"=Approved")</f>
        <v>6</v>
      </c>
      <c r="P2" s="57"/>
      <c r="Q2" s="52">
        <f>COUNTIF($L5:$L500,"=" &amp; Q1)</f>
        <v>0</v>
      </c>
      <c r="R2" s="52">
        <f>COUNTIF($L5:$L500,"=" &amp; R1)</f>
        <v>6</v>
      </c>
      <c r="S2" s="52">
        <f>COUNTIF($L5:$L500,"=" &amp; S1)</f>
        <v>6</v>
      </c>
      <c r="T2" s="52">
        <f>COUNTIF($L5:$L500,"=" &amp; T1)</f>
        <v>18</v>
      </c>
      <c r="U2" s="52">
        <f>COUNTIF($L5:$L500,"=" &amp; U1)+COUNTIFS($L5:$L500,"",$D5:$D500,"&lt;&gt;")</f>
        <v>0</v>
      </c>
      <c r="V2" s="58"/>
      <c r="W2" s="59"/>
      <c r="X2" s="52">
        <f>IF(OR(NbOfNotTreatedIssues&gt;0,NbOfRejectedIssues&gt;0),1,0)</f>
        <v>0</v>
      </c>
      <c r="Y2" s="52">
        <f>IF(AND(Issue_to_treat=0,NbOfNotApprovedIssues&gt;0),1,0)</f>
        <v>0</v>
      </c>
      <c r="Z2" s="52">
        <f>IF(AND(Issues_to_approve=0,NbOfNotApprovedAndPostponedIssues&gt;0),1,0)</f>
        <v>1</v>
      </c>
      <c r="AA2" s="52">
        <f>IF(AND(Issue_to_treat=0,Issues_to_approve=0,Issues_postponed=0),1,0)</f>
        <v>0</v>
      </c>
      <c r="AB2" s="33"/>
      <c r="AC2" s="33"/>
      <c r="AD2" s="33"/>
      <c r="AE2" s="33"/>
      <c r="AF2" s="33"/>
      <c r="AH2" s="52">
        <f>COUNTIF($M5:$M500,"=" &amp; AH1)</f>
        <v>30</v>
      </c>
      <c r="AI2" s="52">
        <f>COUNTIF($M5:$M500,"=" &amp; AI1)</f>
        <v>0</v>
      </c>
      <c r="AJ2" s="52">
        <f>COUNTIF($M5:$M500,"=" &amp; AJ1)</f>
        <v>0</v>
      </c>
      <c r="AM2" s="33"/>
      <c r="AN2" s="33"/>
      <c r="AO2" s="33"/>
      <c r="AP2" s="35"/>
      <c r="AQ2" s="35"/>
      <c r="AR2" s="33"/>
      <c r="AS2" s="35"/>
      <c r="AT2" s="35"/>
    </row>
    <row r="3" spans="1:46" s="51" customFormat="1" ht="25.5" customHeight="1" outlineLevel="1">
      <c r="A3" s="342" t="str">
        <f>IF(Issue_to_treat=1,NbOfNotTreatedIssues+NbOfRejectedIssues&amp;" issue(s) to treat",IF(Issues_to_approve=1,NbOfNotApprovedIssues&amp;" issue(s) to approve",IF(Issues_postponed=1,NbOfNotApprovedAndPostponedIssues&amp;" issue(s) postponed","Status OK")))</f>
        <v>6 issue(s) postponed</v>
      </c>
      <c r="B3" s="342"/>
      <c r="C3" s="343"/>
      <c r="D3" s="64" t="s">
        <v>63</v>
      </c>
      <c r="E3" s="341" t="s">
        <v>81</v>
      </c>
      <c r="F3" s="341"/>
      <c r="G3" s="341"/>
      <c r="H3" s="50"/>
      <c r="I3" s="50"/>
      <c r="J3" s="50"/>
      <c r="K3" s="50"/>
      <c r="L3" s="50"/>
      <c r="M3" s="50"/>
      <c r="N3" s="56"/>
      <c r="O3" s="56"/>
      <c r="P3" s="56"/>
      <c r="Q3" s="60"/>
      <c r="R3" s="60"/>
      <c r="S3" s="60"/>
      <c r="T3" s="60"/>
      <c r="U3" s="60"/>
      <c r="V3" s="60"/>
      <c r="W3" s="60"/>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ht="25.5">
      <c r="A5" s="71">
        <v>1</v>
      </c>
      <c r="B5" s="204" t="s">
        <v>373</v>
      </c>
      <c r="C5" s="204" t="s">
        <v>368</v>
      </c>
      <c r="D5" s="29" t="s">
        <v>382</v>
      </c>
      <c r="E5" s="68">
        <v>44942.57775462963</v>
      </c>
      <c r="F5" s="69" t="s">
        <v>362</v>
      </c>
      <c r="G5" s="29"/>
      <c r="H5" s="22"/>
      <c r="I5" s="22"/>
      <c r="J5" s="79" t="s">
        <v>362</v>
      </c>
      <c r="K5" s="23">
        <v>44942.578136574077</v>
      </c>
      <c r="L5" s="22" t="s">
        <v>27</v>
      </c>
      <c r="M5" s="79" t="s">
        <v>28</v>
      </c>
      <c r="N5" s="56"/>
      <c r="O5" s="56"/>
      <c r="P5" s="56"/>
      <c r="Q5" s="60"/>
      <c r="R5" s="60"/>
      <c r="S5" s="60"/>
      <c r="T5" s="60"/>
      <c r="U5" s="60"/>
      <c r="V5" s="60"/>
      <c r="W5" s="60"/>
    </row>
    <row r="6" spans="1:46" s="25" customFormat="1" ht="25.5">
      <c r="A6" s="72">
        <v>2</v>
      </c>
      <c r="B6" s="204" t="s">
        <v>374</v>
      </c>
      <c r="C6" s="204" t="s">
        <v>368</v>
      </c>
      <c r="D6" s="29" t="s">
        <v>382</v>
      </c>
      <c r="E6" s="68">
        <v>44942.578449074077</v>
      </c>
      <c r="F6" s="69" t="s">
        <v>362</v>
      </c>
      <c r="G6" s="29"/>
      <c r="H6" s="22"/>
      <c r="I6" s="22"/>
      <c r="J6" s="79" t="s">
        <v>362</v>
      </c>
      <c r="K6" s="23">
        <v>44942.578773148147</v>
      </c>
      <c r="L6" s="22" t="s">
        <v>27</v>
      </c>
      <c r="M6" s="22" t="s">
        <v>28</v>
      </c>
      <c r="N6" s="56"/>
      <c r="O6" s="56"/>
      <c r="P6" s="56"/>
      <c r="Q6" s="60"/>
      <c r="R6" s="60"/>
      <c r="S6" s="60"/>
      <c r="T6" s="60"/>
      <c r="U6" s="60"/>
      <c r="V6" s="60"/>
      <c r="W6" s="60"/>
    </row>
    <row r="7" spans="1:46" s="25" customFormat="1" ht="25.5">
      <c r="A7" s="72">
        <v>3</v>
      </c>
      <c r="B7" s="204" t="s">
        <v>375</v>
      </c>
      <c r="C7" s="204" t="s">
        <v>368</v>
      </c>
      <c r="D7" s="29" t="s">
        <v>382</v>
      </c>
      <c r="E7" s="68">
        <v>44942.578460648147</v>
      </c>
      <c r="F7" s="69" t="s">
        <v>362</v>
      </c>
      <c r="G7" s="29"/>
      <c r="H7" s="22"/>
      <c r="I7" s="22"/>
      <c r="J7" s="79" t="s">
        <v>362</v>
      </c>
      <c r="K7" s="23">
        <v>44942.578819444447</v>
      </c>
      <c r="L7" s="22" t="s">
        <v>27</v>
      </c>
      <c r="M7" s="22" t="s">
        <v>28</v>
      </c>
      <c r="N7" s="56"/>
      <c r="O7" s="56"/>
      <c r="P7" s="56"/>
      <c r="Q7" s="60"/>
      <c r="R7" s="60"/>
      <c r="S7" s="60"/>
      <c r="T7" s="60"/>
      <c r="U7" s="60"/>
      <c r="V7" s="60"/>
      <c r="W7" s="60"/>
    </row>
    <row r="8" spans="1:46" s="25" customFormat="1" ht="25.5">
      <c r="A8" s="72">
        <v>4</v>
      </c>
      <c r="B8" s="204" t="s">
        <v>376</v>
      </c>
      <c r="C8" s="204" t="s">
        <v>368</v>
      </c>
      <c r="D8" s="29" t="s">
        <v>387</v>
      </c>
      <c r="E8" s="68">
        <v>44942.580289351848</v>
      </c>
      <c r="F8" s="69" t="s">
        <v>362</v>
      </c>
      <c r="G8" s="29" t="s">
        <v>392</v>
      </c>
      <c r="H8" s="22"/>
      <c r="I8" s="22"/>
      <c r="J8" s="79" t="s">
        <v>396</v>
      </c>
      <c r="K8" s="80">
        <v>44942.582083333335</v>
      </c>
      <c r="L8" s="22" t="s">
        <v>20</v>
      </c>
      <c r="M8" s="22" t="s">
        <v>28</v>
      </c>
      <c r="N8" s="56"/>
      <c r="O8" s="56"/>
      <c r="P8" s="56"/>
      <c r="Q8" s="60"/>
      <c r="R8" s="60"/>
      <c r="S8" s="60"/>
      <c r="T8" s="60"/>
      <c r="U8" s="60"/>
      <c r="V8" s="60"/>
      <c r="W8" s="60"/>
    </row>
    <row r="9" spans="1:46" s="25" customFormat="1" ht="25.5">
      <c r="A9" s="72">
        <v>5</v>
      </c>
      <c r="B9" s="204" t="s">
        <v>367</v>
      </c>
      <c r="C9" s="204" t="s">
        <v>381</v>
      </c>
      <c r="D9" s="29" t="s">
        <v>371</v>
      </c>
      <c r="E9" s="68">
        <v>44942.581817129627</v>
      </c>
      <c r="F9" s="69" t="s">
        <v>362</v>
      </c>
      <c r="G9" s="29"/>
      <c r="H9" s="22"/>
      <c r="I9" s="22"/>
      <c r="J9" s="79" t="s">
        <v>362</v>
      </c>
      <c r="K9" s="23">
        <v>44942.582013888888</v>
      </c>
      <c r="L9" s="22" t="s">
        <v>27</v>
      </c>
      <c r="M9" s="22" t="s">
        <v>28</v>
      </c>
      <c r="N9" s="56"/>
      <c r="O9" s="56"/>
      <c r="P9" s="56"/>
      <c r="Q9" s="60"/>
      <c r="R9" s="60"/>
      <c r="S9" s="60"/>
      <c r="T9" s="60"/>
      <c r="U9" s="60"/>
      <c r="V9" s="60"/>
      <c r="W9" s="60"/>
    </row>
    <row r="10" spans="1:46" s="25" customFormat="1" ht="25.5">
      <c r="A10" s="72">
        <v>6</v>
      </c>
      <c r="B10" s="204" t="s">
        <v>369</v>
      </c>
      <c r="C10" s="204" t="s">
        <v>381</v>
      </c>
      <c r="D10" s="29" t="s">
        <v>371</v>
      </c>
      <c r="E10" s="68">
        <v>44942.58184027778</v>
      </c>
      <c r="F10" s="69" t="s">
        <v>362</v>
      </c>
      <c r="G10" s="29"/>
      <c r="H10" s="22"/>
      <c r="I10" s="22"/>
      <c r="J10" s="22" t="s">
        <v>362</v>
      </c>
      <c r="K10" s="23">
        <v>44942.582037037035</v>
      </c>
      <c r="L10" s="22" t="s">
        <v>27</v>
      </c>
      <c r="M10" s="22" t="s">
        <v>28</v>
      </c>
      <c r="N10" s="56"/>
      <c r="O10" s="56"/>
      <c r="P10" s="56"/>
      <c r="Q10" s="60"/>
      <c r="R10" s="60"/>
      <c r="S10" s="60"/>
      <c r="T10" s="60"/>
      <c r="U10" s="60"/>
      <c r="V10" s="60"/>
      <c r="W10" s="60"/>
    </row>
    <row r="11" spans="1:46" s="25" customFormat="1" ht="25.5">
      <c r="A11" s="72">
        <v>7</v>
      </c>
      <c r="B11" s="204" t="s">
        <v>370</v>
      </c>
      <c r="C11" s="204" t="s">
        <v>381</v>
      </c>
      <c r="D11" s="29" t="s">
        <v>371</v>
      </c>
      <c r="E11" s="68">
        <v>44942.581863425927</v>
      </c>
      <c r="F11" s="69" t="s">
        <v>362</v>
      </c>
      <c r="G11" s="29"/>
      <c r="H11" s="22"/>
      <c r="I11" s="22"/>
      <c r="J11" s="22" t="s">
        <v>362</v>
      </c>
      <c r="K11" s="80">
        <v>44942.582083333335</v>
      </c>
      <c r="L11" s="22" t="s">
        <v>27</v>
      </c>
      <c r="M11" s="22" t="s">
        <v>28</v>
      </c>
      <c r="N11" s="56"/>
      <c r="O11" s="56"/>
      <c r="P11" s="56"/>
      <c r="Q11" s="60"/>
      <c r="R11" s="60"/>
      <c r="S11" s="60"/>
      <c r="T11" s="60"/>
      <c r="U11" s="60"/>
      <c r="V11" s="60"/>
      <c r="W11" s="60"/>
    </row>
    <row r="12" spans="1:46" s="25" customFormat="1" ht="25.5">
      <c r="A12" s="72">
        <v>8</v>
      </c>
      <c r="B12" s="204" t="s">
        <v>372</v>
      </c>
      <c r="C12" s="204" t="s">
        <v>381</v>
      </c>
      <c r="D12" s="29" t="s">
        <v>387</v>
      </c>
      <c r="E12" s="68">
        <v>44942.582303240742</v>
      </c>
      <c r="F12" s="69" t="s">
        <v>362</v>
      </c>
      <c r="G12" s="29" t="s">
        <v>392</v>
      </c>
      <c r="H12" s="22"/>
      <c r="I12" s="22"/>
      <c r="J12" s="79" t="s">
        <v>396</v>
      </c>
      <c r="K12" s="80">
        <v>44942.582083333335</v>
      </c>
      <c r="L12" s="22" t="s">
        <v>20</v>
      </c>
      <c r="M12" s="22" t="s">
        <v>28</v>
      </c>
      <c r="N12" s="56"/>
      <c r="O12" s="56"/>
      <c r="P12" s="56"/>
      <c r="Q12" s="60"/>
      <c r="R12" s="60"/>
      <c r="S12" s="60"/>
      <c r="T12" s="60"/>
      <c r="U12" s="60"/>
      <c r="V12" s="60"/>
      <c r="W12" s="60"/>
    </row>
    <row r="13" spans="1:46" s="25" customFormat="1" ht="25.5">
      <c r="A13" s="72">
        <v>9</v>
      </c>
      <c r="B13" s="204" t="s">
        <v>372</v>
      </c>
      <c r="C13" s="204" t="s">
        <v>381</v>
      </c>
      <c r="D13" s="29" t="s">
        <v>388</v>
      </c>
      <c r="E13" s="68">
        <v>44942.589074074072</v>
      </c>
      <c r="F13" s="69" t="s">
        <v>362</v>
      </c>
      <c r="G13" s="29" t="s">
        <v>393</v>
      </c>
      <c r="H13" s="22"/>
      <c r="I13" s="22"/>
      <c r="J13" s="79" t="s">
        <v>396</v>
      </c>
      <c r="K13" s="80">
        <v>44942.582083333335</v>
      </c>
      <c r="L13" s="22" t="s">
        <v>20</v>
      </c>
      <c r="M13" s="22" t="s">
        <v>28</v>
      </c>
      <c r="N13" s="56"/>
      <c r="O13" s="56"/>
      <c r="P13" s="56"/>
      <c r="Q13" s="60"/>
      <c r="R13" s="60"/>
      <c r="S13" s="60"/>
      <c r="T13" s="60"/>
      <c r="U13" s="60"/>
      <c r="V13" s="60"/>
      <c r="W13" s="60"/>
    </row>
    <row r="14" spans="1:46" s="25" customFormat="1" ht="25.5">
      <c r="A14" s="72">
        <v>10</v>
      </c>
      <c r="B14" s="204" t="s">
        <v>372</v>
      </c>
      <c r="C14" s="204" t="s">
        <v>381</v>
      </c>
      <c r="D14" s="29" t="s">
        <v>389</v>
      </c>
      <c r="E14" s="68">
        <v>44942.589930555558</v>
      </c>
      <c r="F14" s="69" t="s">
        <v>362</v>
      </c>
      <c r="G14" s="29" t="s">
        <v>394</v>
      </c>
      <c r="H14" s="22"/>
      <c r="I14" s="22"/>
      <c r="J14" s="79" t="s">
        <v>396</v>
      </c>
      <c r="K14" s="80">
        <v>44942.582083333335</v>
      </c>
      <c r="L14" s="22" t="s">
        <v>20</v>
      </c>
      <c r="M14" s="22" t="s">
        <v>28</v>
      </c>
      <c r="N14" s="56"/>
      <c r="O14" s="56"/>
      <c r="P14" s="56"/>
      <c r="Q14" s="60"/>
      <c r="R14" s="60"/>
      <c r="S14" s="60"/>
      <c r="T14" s="60"/>
      <c r="U14" s="60"/>
      <c r="V14" s="60"/>
      <c r="W14" s="60"/>
    </row>
    <row r="15" spans="1:46" s="25" customFormat="1" ht="25.5">
      <c r="A15" s="72">
        <v>11</v>
      </c>
      <c r="B15" s="204" t="s">
        <v>372</v>
      </c>
      <c r="C15" s="204" t="s">
        <v>381</v>
      </c>
      <c r="D15" s="29" t="s">
        <v>390</v>
      </c>
      <c r="E15" s="68">
        <v>44942.592083333337</v>
      </c>
      <c r="F15" s="69" t="s">
        <v>362</v>
      </c>
      <c r="G15" s="29" t="s">
        <v>395</v>
      </c>
      <c r="H15" s="22"/>
      <c r="I15" s="22"/>
      <c r="J15" s="79" t="s">
        <v>396</v>
      </c>
      <c r="K15" s="80">
        <v>44942.582083333335</v>
      </c>
      <c r="L15" s="22" t="s">
        <v>20</v>
      </c>
      <c r="M15" s="22" t="s">
        <v>28</v>
      </c>
      <c r="N15" s="56"/>
      <c r="O15" s="56"/>
      <c r="P15" s="56"/>
      <c r="Q15" s="60"/>
      <c r="R15" s="60"/>
      <c r="S15" s="60"/>
      <c r="T15" s="60"/>
      <c r="U15" s="60"/>
      <c r="V15" s="60"/>
      <c r="W15" s="60"/>
    </row>
    <row r="16" spans="1:46" s="25" customFormat="1" ht="25.5">
      <c r="A16" s="72">
        <v>12</v>
      </c>
      <c r="B16" s="204" t="s">
        <v>372</v>
      </c>
      <c r="C16" s="204" t="s">
        <v>381</v>
      </c>
      <c r="D16" s="29" t="s">
        <v>391</v>
      </c>
      <c r="E16" s="68">
        <v>44942.595231481479</v>
      </c>
      <c r="F16" s="69" t="s">
        <v>362</v>
      </c>
      <c r="G16" s="29" t="s">
        <v>395</v>
      </c>
      <c r="H16" s="22"/>
      <c r="I16" s="22"/>
      <c r="J16" s="79" t="s">
        <v>396</v>
      </c>
      <c r="K16" s="80">
        <v>44942.582083333335</v>
      </c>
      <c r="L16" s="22" t="s">
        <v>20</v>
      </c>
      <c r="M16" s="22" t="s">
        <v>28</v>
      </c>
      <c r="N16" s="56"/>
      <c r="O16" s="56"/>
      <c r="P16" s="56"/>
      <c r="Q16" s="60"/>
      <c r="R16" s="60"/>
      <c r="S16" s="60"/>
      <c r="T16" s="60"/>
      <c r="U16" s="60"/>
      <c r="V16" s="60"/>
      <c r="W16" s="60"/>
    </row>
    <row r="17" spans="1:23" s="25" customFormat="1" ht="25.5">
      <c r="A17" s="72">
        <v>13</v>
      </c>
      <c r="B17" s="204" t="s">
        <v>397</v>
      </c>
      <c r="C17" s="204" t="s">
        <v>368</v>
      </c>
      <c r="D17" s="29" t="s">
        <v>398</v>
      </c>
      <c r="E17" s="68">
        <v>44942.613888888889</v>
      </c>
      <c r="F17" s="69" t="s">
        <v>362</v>
      </c>
      <c r="G17" s="18"/>
      <c r="H17" s="22"/>
      <c r="I17" s="22"/>
      <c r="J17" s="22" t="s">
        <v>362</v>
      </c>
      <c r="K17" s="23">
        <v>44942.613923611112</v>
      </c>
      <c r="L17" s="22" t="s">
        <v>27</v>
      </c>
      <c r="M17" s="22" t="s">
        <v>28</v>
      </c>
      <c r="N17" s="56"/>
      <c r="O17" s="56"/>
      <c r="P17" s="56"/>
      <c r="Q17" s="60"/>
      <c r="R17" s="60"/>
      <c r="S17" s="60"/>
      <c r="T17" s="60"/>
      <c r="U17" s="60"/>
      <c r="V17" s="60"/>
      <c r="W17" s="60"/>
    </row>
    <row r="18" spans="1:23" s="25" customFormat="1" ht="25.5">
      <c r="A18" s="72">
        <v>14</v>
      </c>
      <c r="B18" s="204" t="s">
        <v>399</v>
      </c>
      <c r="C18" s="204" t="s">
        <v>381</v>
      </c>
      <c r="D18" s="29" t="s">
        <v>398</v>
      </c>
      <c r="E18" s="68">
        <v>44942.614074074074</v>
      </c>
      <c r="F18" s="69" t="s">
        <v>362</v>
      </c>
      <c r="G18" s="18"/>
      <c r="H18" s="22"/>
      <c r="I18" s="22"/>
      <c r="J18" s="22" t="s">
        <v>362</v>
      </c>
      <c r="K18" s="23">
        <v>44942.614120370374</v>
      </c>
      <c r="L18" s="22" t="s">
        <v>27</v>
      </c>
      <c r="M18" s="22" t="s">
        <v>28</v>
      </c>
      <c r="N18" s="56"/>
      <c r="O18" s="56"/>
      <c r="P18" s="56"/>
      <c r="Q18" s="60"/>
      <c r="R18" s="60"/>
      <c r="S18" s="60"/>
      <c r="T18" s="60"/>
      <c r="U18" s="60"/>
      <c r="V18" s="60"/>
      <c r="W18" s="60"/>
    </row>
    <row r="19" spans="1:23" s="25" customFormat="1" ht="25.5">
      <c r="A19" s="72">
        <v>15</v>
      </c>
      <c r="B19" s="204" t="s">
        <v>402</v>
      </c>
      <c r="C19" s="204" t="s">
        <v>381</v>
      </c>
      <c r="D19" s="29" t="s">
        <v>403</v>
      </c>
      <c r="E19" s="68">
        <v>44974.609074074076</v>
      </c>
      <c r="F19" s="69" t="s">
        <v>362</v>
      </c>
      <c r="G19" s="18"/>
      <c r="H19" s="22"/>
      <c r="I19" s="22"/>
      <c r="J19" s="22" t="s">
        <v>362</v>
      </c>
      <c r="K19" s="23">
        <v>44974.609120370369</v>
      </c>
      <c r="L19" s="22" t="s">
        <v>27</v>
      </c>
      <c r="M19" s="22" t="s">
        <v>28</v>
      </c>
      <c r="N19" s="56"/>
      <c r="O19" s="56"/>
      <c r="P19" s="56"/>
      <c r="Q19" s="60"/>
      <c r="R19" s="60"/>
      <c r="S19" s="60"/>
      <c r="T19" s="60"/>
      <c r="U19" s="60"/>
      <c r="V19" s="60"/>
      <c r="W19" s="60"/>
    </row>
    <row r="20" spans="1:23" s="25" customFormat="1" ht="25.5">
      <c r="A20" s="72">
        <v>16</v>
      </c>
      <c r="B20" s="204" t="s">
        <v>406</v>
      </c>
      <c r="C20" s="204" t="s">
        <v>381</v>
      </c>
      <c r="D20" s="29" t="s">
        <v>398</v>
      </c>
      <c r="E20" s="68">
        <v>44980.448657407411</v>
      </c>
      <c r="F20" s="69" t="s">
        <v>362</v>
      </c>
      <c r="G20" s="18"/>
      <c r="H20" s="22"/>
      <c r="I20" s="22"/>
      <c r="J20" s="22" t="s">
        <v>362</v>
      </c>
      <c r="K20" s="23">
        <v>44980.448703703703</v>
      </c>
      <c r="L20" s="22" t="s">
        <v>27</v>
      </c>
      <c r="M20" s="22" t="s">
        <v>28</v>
      </c>
      <c r="N20" s="56"/>
      <c r="O20" s="56"/>
      <c r="P20" s="56"/>
      <c r="Q20" s="60"/>
      <c r="R20" s="60"/>
      <c r="S20" s="60"/>
      <c r="T20" s="60"/>
      <c r="U20" s="60"/>
      <c r="V20" s="60"/>
      <c r="W20" s="60"/>
    </row>
    <row r="21" spans="1:23" s="25" customFormat="1" ht="38.25">
      <c r="A21" s="72">
        <v>17</v>
      </c>
      <c r="B21" s="28">
        <v>1.3</v>
      </c>
      <c r="C21" s="204" t="s">
        <v>409</v>
      </c>
      <c r="D21" s="29" t="s">
        <v>410</v>
      </c>
      <c r="E21" s="68">
        <v>44980.451307870368</v>
      </c>
      <c r="F21" s="69" t="s">
        <v>362</v>
      </c>
      <c r="G21" s="18"/>
      <c r="H21" s="22">
        <v>1047503</v>
      </c>
      <c r="I21" s="79" t="s">
        <v>26</v>
      </c>
      <c r="J21" s="79" t="s">
        <v>396</v>
      </c>
      <c r="K21" s="211">
        <v>45005.406087962961</v>
      </c>
      <c r="L21" s="22" t="s">
        <v>21</v>
      </c>
      <c r="M21" s="22" t="s">
        <v>28</v>
      </c>
      <c r="N21" s="56"/>
      <c r="O21" s="56"/>
      <c r="P21" s="56"/>
      <c r="Q21" s="60"/>
      <c r="R21" s="60"/>
      <c r="S21" s="60"/>
      <c r="T21" s="60"/>
      <c r="U21" s="60"/>
      <c r="V21" s="60"/>
      <c r="W21" s="60"/>
    </row>
    <row r="22" spans="1:23" s="25" customFormat="1" ht="38.25">
      <c r="A22" s="72">
        <v>18</v>
      </c>
      <c r="B22" s="28">
        <v>1.3</v>
      </c>
      <c r="C22" s="204" t="s">
        <v>409</v>
      </c>
      <c r="D22" s="29" t="s">
        <v>411</v>
      </c>
      <c r="E22" s="68">
        <v>44980.451608796298</v>
      </c>
      <c r="F22" s="69" t="s">
        <v>362</v>
      </c>
      <c r="G22" s="18"/>
      <c r="H22" s="22"/>
      <c r="I22" s="22"/>
      <c r="J22" s="22" t="s">
        <v>362</v>
      </c>
      <c r="K22" s="23">
        <v>44980.451793981483</v>
      </c>
      <c r="L22" s="22" t="s">
        <v>27</v>
      </c>
      <c r="M22" s="22" t="s">
        <v>28</v>
      </c>
      <c r="N22" s="56"/>
      <c r="O22" s="56"/>
      <c r="P22" s="56"/>
      <c r="Q22" s="60"/>
      <c r="R22" s="60"/>
      <c r="S22" s="60"/>
      <c r="T22" s="60"/>
      <c r="U22" s="60"/>
      <c r="V22" s="60"/>
      <c r="W22" s="60"/>
    </row>
    <row r="23" spans="1:23" s="25" customFormat="1" ht="38.25">
      <c r="A23" s="72">
        <v>19</v>
      </c>
      <c r="B23" s="28">
        <v>1.3</v>
      </c>
      <c r="C23" s="204" t="s">
        <v>409</v>
      </c>
      <c r="D23" s="29" t="s">
        <v>415</v>
      </c>
      <c r="E23" s="68">
        <v>44980.526805555557</v>
      </c>
      <c r="F23" s="69" t="s">
        <v>362</v>
      </c>
      <c r="G23" s="18"/>
      <c r="H23" s="22">
        <v>1047503</v>
      </c>
      <c r="I23" s="79" t="s">
        <v>26</v>
      </c>
      <c r="J23" s="79" t="s">
        <v>396</v>
      </c>
      <c r="K23" s="211">
        <v>45005.406087962961</v>
      </c>
      <c r="L23" s="22" t="s">
        <v>21</v>
      </c>
      <c r="M23" s="22" t="s">
        <v>28</v>
      </c>
      <c r="N23" s="56"/>
      <c r="O23" s="56"/>
      <c r="P23" s="56"/>
      <c r="Q23" s="60"/>
      <c r="R23" s="60"/>
      <c r="S23" s="60"/>
      <c r="T23" s="60"/>
      <c r="U23" s="60"/>
      <c r="V23" s="60"/>
      <c r="W23" s="60"/>
    </row>
    <row r="24" spans="1:23" s="25" customFormat="1" ht="38.25">
      <c r="A24" s="72">
        <v>20</v>
      </c>
      <c r="B24" s="28">
        <v>1.3</v>
      </c>
      <c r="C24" s="204" t="s">
        <v>409</v>
      </c>
      <c r="D24" s="29" t="s">
        <v>416</v>
      </c>
      <c r="E24" s="68">
        <v>44980.526863425926</v>
      </c>
      <c r="F24" s="69" t="s">
        <v>362</v>
      </c>
      <c r="G24" s="18"/>
      <c r="H24" s="22">
        <v>1047503</v>
      </c>
      <c r="I24" s="79" t="s">
        <v>26</v>
      </c>
      <c r="J24" s="79" t="s">
        <v>396</v>
      </c>
      <c r="K24" s="211">
        <v>45005.406087962961</v>
      </c>
      <c r="L24" s="22" t="s">
        <v>21</v>
      </c>
      <c r="M24" s="22" t="s">
        <v>28</v>
      </c>
      <c r="N24" s="56"/>
      <c r="O24" s="56"/>
      <c r="P24" s="56"/>
      <c r="Q24" s="60"/>
      <c r="R24" s="60"/>
      <c r="S24" s="60"/>
      <c r="T24" s="60"/>
      <c r="U24" s="60"/>
      <c r="V24" s="60"/>
      <c r="W24" s="60"/>
    </row>
    <row r="25" spans="1:23" s="25" customFormat="1" ht="38.25">
      <c r="A25" s="72">
        <v>21</v>
      </c>
      <c r="B25" s="28">
        <v>1.3</v>
      </c>
      <c r="C25" s="204" t="s">
        <v>409</v>
      </c>
      <c r="D25" s="29" t="s">
        <v>418</v>
      </c>
      <c r="E25" s="68">
        <v>44980.542905092596</v>
      </c>
      <c r="F25" s="69" t="s">
        <v>362</v>
      </c>
      <c r="G25" s="18"/>
      <c r="H25" s="22">
        <v>1047503</v>
      </c>
      <c r="I25" s="79" t="s">
        <v>26</v>
      </c>
      <c r="J25" s="79" t="s">
        <v>396</v>
      </c>
      <c r="K25" s="211">
        <v>45005.406087962961</v>
      </c>
      <c r="L25" s="22" t="s">
        <v>21</v>
      </c>
      <c r="M25" s="22" t="s">
        <v>28</v>
      </c>
      <c r="N25" s="56"/>
      <c r="O25" s="56"/>
      <c r="P25" s="56"/>
      <c r="Q25" s="60"/>
      <c r="R25" s="60"/>
      <c r="S25" s="60"/>
      <c r="T25" s="60"/>
      <c r="U25" s="60"/>
      <c r="V25" s="60"/>
      <c r="W25" s="60"/>
    </row>
    <row r="26" spans="1:23" s="25" customFormat="1" ht="25.5">
      <c r="A26" s="72">
        <v>22</v>
      </c>
      <c r="B26" s="21">
        <v>1.1000000000000001</v>
      </c>
      <c r="C26" s="223" t="s">
        <v>453</v>
      </c>
      <c r="D26" s="29" t="s">
        <v>450</v>
      </c>
      <c r="E26" s="68">
        <v>44984</v>
      </c>
      <c r="F26" s="52" t="s">
        <v>451</v>
      </c>
      <c r="G26" s="29" t="s">
        <v>467</v>
      </c>
      <c r="H26" s="22">
        <v>1048949</v>
      </c>
      <c r="I26" s="79" t="s">
        <v>454</v>
      </c>
      <c r="J26" s="79" t="s">
        <v>455</v>
      </c>
      <c r="K26" s="68">
        <v>44984</v>
      </c>
      <c r="L26" s="79" t="s">
        <v>21</v>
      </c>
      <c r="M26" s="22" t="s">
        <v>28</v>
      </c>
      <c r="N26" s="56"/>
      <c r="O26" s="56"/>
      <c r="P26" s="56"/>
      <c r="Q26" s="60"/>
      <c r="R26" s="60"/>
      <c r="S26" s="60"/>
      <c r="T26" s="60"/>
      <c r="U26" s="60"/>
      <c r="V26" s="60"/>
      <c r="W26" s="60"/>
    </row>
    <row r="27" spans="1:23" s="25" customFormat="1" ht="25.5">
      <c r="A27" s="72">
        <v>23</v>
      </c>
      <c r="B27" s="21">
        <v>1.1000000000000001</v>
      </c>
      <c r="C27" s="223" t="s">
        <v>453</v>
      </c>
      <c r="D27" s="29" t="s">
        <v>452</v>
      </c>
      <c r="E27" s="68">
        <v>44984</v>
      </c>
      <c r="F27" s="52" t="s">
        <v>451</v>
      </c>
      <c r="G27" s="29" t="s">
        <v>467</v>
      </c>
      <c r="H27" s="22">
        <v>1048949</v>
      </c>
      <c r="I27" s="79" t="s">
        <v>454</v>
      </c>
      <c r="J27" s="79" t="s">
        <v>455</v>
      </c>
      <c r="K27" s="68">
        <v>44984</v>
      </c>
      <c r="L27" s="79" t="s">
        <v>21</v>
      </c>
      <c r="M27" s="22" t="s">
        <v>28</v>
      </c>
      <c r="N27" s="56"/>
      <c r="O27" s="56"/>
      <c r="P27" s="56"/>
      <c r="Q27" s="60"/>
      <c r="R27" s="60"/>
      <c r="S27" s="60"/>
      <c r="T27" s="60"/>
      <c r="U27" s="60"/>
      <c r="V27" s="60"/>
      <c r="W27" s="60"/>
    </row>
    <row r="28" spans="1:23" s="25" customFormat="1" ht="25.5">
      <c r="A28" s="72">
        <v>24</v>
      </c>
      <c r="B28" s="204" t="s">
        <v>457</v>
      </c>
      <c r="C28" s="204" t="s">
        <v>381</v>
      </c>
      <c r="D28" s="18" t="s">
        <v>398</v>
      </c>
      <c r="E28" s="68">
        <v>44987.463437500002</v>
      </c>
      <c r="F28" s="69" t="s">
        <v>362</v>
      </c>
      <c r="G28" s="18"/>
      <c r="H28" s="22"/>
      <c r="I28" s="22"/>
      <c r="J28" s="79" t="s">
        <v>396</v>
      </c>
      <c r="K28" s="23">
        <v>44987.463506944441</v>
      </c>
      <c r="L28" s="22" t="s">
        <v>27</v>
      </c>
      <c r="M28" s="22" t="s">
        <v>28</v>
      </c>
      <c r="N28" s="56"/>
      <c r="O28" s="56"/>
      <c r="P28" s="56"/>
      <c r="Q28" s="60"/>
      <c r="R28" s="60"/>
      <c r="S28" s="60"/>
      <c r="T28" s="60"/>
      <c r="U28" s="60"/>
      <c r="V28" s="60"/>
      <c r="W28" s="60"/>
    </row>
    <row r="29" spans="1:23" s="25" customFormat="1" ht="25.5">
      <c r="A29" s="72">
        <v>25</v>
      </c>
      <c r="B29" s="28">
        <v>1.2</v>
      </c>
      <c r="C29" s="204" t="s">
        <v>453</v>
      </c>
      <c r="D29" s="29" t="s">
        <v>398</v>
      </c>
      <c r="E29" s="68">
        <v>45006.460497685184</v>
      </c>
      <c r="F29" s="69" t="s">
        <v>455</v>
      </c>
      <c r="G29" s="18"/>
      <c r="H29" s="22"/>
      <c r="I29" s="22"/>
      <c r="J29" s="79" t="s">
        <v>460</v>
      </c>
      <c r="K29" s="23">
        <v>45006.460648148146</v>
      </c>
      <c r="L29" s="22" t="s">
        <v>27</v>
      </c>
      <c r="M29" s="22" t="s">
        <v>28</v>
      </c>
      <c r="N29" s="56"/>
      <c r="O29" s="56"/>
      <c r="P29" s="56"/>
      <c r="Q29" s="60"/>
      <c r="R29" s="60"/>
      <c r="S29" s="60"/>
      <c r="T29" s="60"/>
      <c r="U29" s="60"/>
      <c r="V29" s="60"/>
      <c r="W29" s="60"/>
    </row>
    <row r="30" spans="1:23" s="25" customFormat="1" ht="25.5">
      <c r="A30" s="72">
        <v>26</v>
      </c>
      <c r="B30" s="28">
        <v>1.3</v>
      </c>
      <c r="C30" s="204" t="s">
        <v>453</v>
      </c>
      <c r="D30" s="29" t="s">
        <v>398</v>
      </c>
      <c r="E30" s="68">
        <v>45029.454467592594</v>
      </c>
      <c r="F30" s="69" t="s">
        <v>455</v>
      </c>
      <c r="G30" s="18"/>
      <c r="H30" s="22"/>
      <c r="I30" s="22"/>
      <c r="J30" s="79" t="s">
        <v>460</v>
      </c>
      <c r="K30" s="23">
        <v>45029.454560185186</v>
      </c>
      <c r="L30" s="22" t="s">
        <v>27</v>
      </c>
      <c r="M30" s="22" t="s">
        <v>28</v>
      </c>
      <c r="N30" s="56"/>
      <c r="O30" s="56"/>
      <c r="P30" s="56"/>
      <c r="Q30" s="60"/>
      <c r="R30" s="60"/>
      <c r="S30" s="60"/>
      <c r="T30" s="60"/>
      <c r="U30" s="60"/>
      <c r="V30" s="60"/>
      <c r="W30" s="60"/>
    </row>
    <row r="31" spans="1:23" s="25" customFormat="1" ht="25.5">
      <c r="A31" s="72">
        <v>27</v>
      </c>
      <c r="B31" s="204" t="s">
        <v>471</v>
      </c>
      <c r="C31" s="204" t="s">
        <v>381</v>
      </c>
      <c r="D31" s="29" t="s">
        <v>398</v>
      </c>
      <c r="E31" s="68">
        <v>45104.512349537035</v>
      </c>
      <c r="F31" s="69" t="s">
        <v>362</v>
      </c>
      <c r="G31" s="18"/>
      <c r="H31" s="22"/>
      <c r="I31" s="22"/>
      <c r="J31" s="79" t="s">
        <v>396</v>
      </c>
      <c r="K31" s="23">
        <v>45104.512384259258</v>
      </c>
      <c r="L31" s="22" t="s">
        <v>27</v>
      </c>
      <c r="M31" s="22" t="s">
        <v>28</v>
      </c>
      <c r="N31" s="56"/>
      <c r="O31" s="56"/>
      <c r="P31" s="56"/>
      <c r="Q31" s="60"/>
      <c r="R31" s="60"/>
      <c r="S31" s="60"/>
      <c r="T31" s="60"/>
      <c r="U31" s="60"/>
      <c r="V31" s="60"/>
      <c r="W31" s="60"/>
    </row>
    <row r="32" spans="1:23" s="25" customFormat="1" ht="38.25">
      <c r="A32" s="72">
        <v>28</v>
      </c>
      <c r="B32" s="233" t="s">
        <v>477</v>
      </c>
      <c r="C32" s="234" t="s">
        <v>478</v>
      </c>
      <c r="D32" s="235" t="s">
        <v>398</v>
      </c>
      <c r="E32" s="236">
        <v>45132</v>
      </c>
      <c r="F32" s="234" t="s">
        <v>396</v>
      </c>
      <c r="G32" s="235"/>
      <c r="H32" s="237"/>
      <c r="I32" s="237"/>
      <c r="J32" s="237" t="s">
        <v>479</v>
      </c>
      <c r="K32" s="236">
        <v>45132</v>
      </c>
      <c r="L32" s="238" t="s">
        <v>27</v>
      </c>
      <c r="M32" s="239" t="s">
        <v>28</v>
      </c>
      <c r="N32" s="56"/>
      <c r="O32" s="56"/>
      <c r="P32" s="56"/>
      <c r="Q32" s="60"/>
      <c r="R32" s="60"/>
      <c r="S32" s="60"/>
      <c r="T32" s="60"/>
      <c r="U32" s="60"/>
      <c r="V32" s="60"/>
      <c r="W32" s="60"/>
    </row>
    <row r="33" spans="1:23" s="25" customFormat="1" ht="25.5">
      <c r="A33" s="72">
        <v>25</v>
      </c>
      <c r="B33" s="28">
        <v>1.4</v>
      </c>
      <c r="C33" s="204" t="s">
        <v>453</v>
      </c>
      <c r="D33" s="29" t="s">
        <v>398</v>
      </c>
      <c r="E33" s="236">
        <v>45133</v>
      </c>
      <c r="F33" s="52" t="s">
        <v>483</v>
      </c>
      <c r="G33" s="18"/>
      <c r="H33" s="22"/>
      <c r="I33" s="22"/>
      <c r="J33" s="79" t="s">
        <v>484</v>
      </c>
      <c r="K33" s="236">
        <v>45133</v>
      </c>
      <c r="L33" s="22" t="s">
        <v>27</v>
      </c>
      <c r="M33" s="22" t="s">
        <v>28</v>
      </c>
      <c r="N33" s="56"/>
      <c r="O33" s="56"/>
      <c r="P33" s="56"/>
      <c r="Q33" s="60"/>
      <c r="R33" s="60"/>
      <c r="S33" s="60"/>
      <c r="T33" s="60"/>
      <c r="U33" s="60"/>
      <c r="V33" s="60"/>
      <c r="W33" s="60"/>
    </row>
    <row r="34" spans="1:23" s="25" customFormat="1" ht="38.25">
      <c r="A34" s="72">
        <v>30</v>
      </c>
      <c r="B34" s="233" t="s">
        <v>487</v>
      </c>
      <c r="C34" s="234" t="s">
        <v>478</v>
      </c>
      <c r="D34" s="235" t="s">
        <v>488</v>
      </c>
      <c r="E34" s="236">
        <v>45138</v>
      </c>
      <c r="F34" s="234" t="s">
        <v>396</v>
      </c>
      <c r="G34" s="235"/>
      <c r="H34" s="237"/>
      <c r="I34" s="237"/>
      <c r="J34" s="237" t="s">
        <v>479</v>
      </c>
      <c r="K34" s="236">
        <v>45138</v>
      </c>
      <c r="L34" s="238" t="s">
        <v>27</v>
      </c>
      <c r="M34" s="239" t="s">
        <v>28</v>
      </c>
      <c r="N34" s="56"/>
      <c r="O34" s="56"/>
      <c r="P34" s="56"/>
      <c r="Q34" s="60"/>
      <c r="R34" s="60"/>
      <c r="S34" s="60"/>
      <c r="T34" s="60"/>
      <c r="U34" s="60"/>
      <c r="V34" s="60"/>
      <c r="W34" s="60"/>
    </row>
    <row r="35" spans="1:23" s="25" customFormat="1">
      <c r="A35" s="72">
        <v>31</v>
      </c>
      <c r="B35" s="28"/>
      <c r="C35" s="28"/>
      <c r="D35" s="18"/>
      <c r="E35" s="68"/>
      <c r="F35" s="69"/>
      <c r="G35" s="18"/>
      <c r="H35" s="22"/>
      <c r="I35" s="22"/>
      <c r="J35" s="22"/>
      <c r="K35" s="23"/>
      <c r="L35" s="22"/>
      <c r="M35" s="22"/>
      <c r="N35" s="56"/>
      <c r="O35" s="56"/>
      <c r="P35" s="56"/>
      <c r="Q35" s="60"/>
      <c r="R35" s="60"/>
      <c r="S35" s="60"/>
      <c r="T35" s="60"/>
      <c r="U35" s="60"/>
      <c r="V35" s="60"/>
      <c r="W35" s="60"/>
    </row>
    <row r="36" spans="1:23" s="25" customFormat="1">
      <c r="A36" s="72">
        <v>32</v>
      </c>
      <c r="B36" s="28"/>
      <c r="C36" s="28"/>
      <c r="D36" s="18"/>
      <c r="E36" s="68"/>
      <c r="F36" s="69"/>
      <c r="G36" s="18"/>
      <c r="H36" s="22"/>
      <c r="I36" s="22"/>
      <c r="J36" s="22"/>
      <c r="K36" s="23"/>
      <c r="L36" s="22"/>
      <c r="M36" s="22"/>
      <c r="N36" s="56"/>
      <c r="O36" s="56"/>
      <c r="P36" s="56"/>
      <c r="Q36" s="60"/>
      <c r="R36" s="60"/>
      <c r="S36" s="60"/>
      <c r="T36" s="60"/>
      <c r="U36" s="60"/>
      <c r="V36" s="60"/>
      <c r="W36" s="60"/>
    </row>
    <row r="37" spans="1:23" s="25" customFormat="1">
      <c r="A37" s="72">
        <v>33</v>
      </c>
      <c r="B37" s="28"/>
      <c r="C37" s="28"/>
      <c r="D37" s="18"/>
      <c r="E37" s="68"/>
      <c r="F37" s="69"/>
      <c r="G37" s="18"/>
      <c r="H37" s="22"/>
      <c r="I37" s="22"/>
      <c r="J37" s="22"/>
      <c r="K37" s="23"/>
      <c r="L37" s="22"/>
      <c r="M37" s="22"/>
      <c r="N37" s="56"/>
      <c r="O37" s="56"/>
      <c r="P37" s="56"/>
      <c r="Q37" s="60"/>
      <c r="R37" s="60"/>
      <c r="S37" s="60"/>
      <c r="T37" s="60"/>
      <c r="U37" s="60"/>
      <c r="V37" s="60"/>
      <c r="W37" s="60"/>
    </row>
    <row r="38" spans="1:23" s="25" customFormat="1">
      <c r="A38" s="72">
        <v>34</v>
      </c>
      <c r="B38" s="28"/>
      <c r="C38" s="28"/>
      <c r="D38" s="18"/>
      <c r="E38" s="68"/>
      <c r="F38" s="69"/>
      <c r="G38" s="18"/>
      <c r="H38" s="22"/>
      <c r="I38" s="22"/>
      <c r="J38" s="22"/>
      <c r="K38" s="23"/>
      <c r="L38" s="22"/>
      <c r="M38" s="22"/>
      <c r="N38" s="56"/>
      <c r="O38" s="56"/>
      <c r="P38" s="56"/>
      <c r="Q38" s="60"/>
      <c r="R38" s="60"/>
      <c r="S38" s="60"/>
      <c r="T38" s="60"/>
      <c r="U38" s="60"/>
      <c r="V38" s="60"/>
      <c r="W38" s="60"/>
    </row>
    <row r="39" spans="1:23" s="25" customFormat="1">
      <c r="A39" s="72">
        <v>35</v>
      </c>
      <c r="B39" s="28"/>
      <c r="C39" s="28"/>
      <c r="D39" s="18"/>
      <c r="E39" s="68"/>
      <c r="F39" s="69"/>
      <c r="G39" s="18"/>
      <c r="H39" s="22"/>
      <c r="I39" s="22"/>
      <c r="J39" s="22"/>
      <c r="K39" s="23"/>
      <c r="L39" s="22"/>
      <c r="M39" s="22"/>
      <c r="N39" s="56"/>
      <c r="O39" s="56"/>
      <c r="P39" s="56"/>
      <c r="Q39" s="60"/>
      <c r="R39" s="60"/>
      <c r="S39" s="60"/>
      <c r="T39" s="60"/>
      <c r="U39" s="60"/>
      <c r="V39" s="60"/>
      <c r="W39" s="60"/>
    </row>
    <row r="40" spans="1:23" s="25" customFormat="1">
      <c r="A40" s="72">
        <v>36</v>
      </c>
      <c r="B40" s="28"/>
      <c r="C40" s="28"/>
      <c r="D40" s="18"/>
      <c r="E40" s="68"/>
      <c r="F40" s="69"/>
      <c r="G40" s="18"/>
      <c r="H40" s="22"/>
      <c r="I40" s="22"/>
      <c r="J40" s="22"/>
      <c r="K40" s="23"/>
      <c r="L40" s="22"/>
      <c r="M40" s="22"/>
      <c r="N40" s="56"/>
      <c r="O40" s="56"/>
      <c r="P40" s="56"/>
      <c r="Q40" s="60"/>
      <c r="R40" s="60"/>
      <c r="S40" s="60"/>
      <c r="T40" s="60"/>
      <c r="U40" s="60"/>
      <c r="V40" s="60"/>
      <c r="W40" s="60"/>
    </row>
    <row r="41" spans="1:23" s="25" customFormat="1">
      <c r="A41" s="72">
        <v>37</v>
      </c>
      <c r="B41" s="28"/>
      <c r="C41" s="28"/>
      <c r="D41" s="18"/>
      <c r="E41" s="68"/>
      <c r="F41" s="69"/>
      <c r="G41" s="18"/>
      <c r="H41" s="22"/>
      <c r="I41" s="22"/>
      <c r="J41" s="22"/>
      <c r="K41" s="23"/>
      <c r="L41" s="22"/>
      <c r="M41" s="22"/>
      <c r="N41" s="56"/>
      <c r="O41" s="56"/>
      <c r="P41" s="56"/>
      <c r="Q41" s="60"/>
      <c r="R41" s="60"/>
      <c r="S41" s="60"/>
      <c r="T41" s="60"/>
      <c r="U41" s="60"/>
      <c r="V41" s="60"/>
      <c r="W41" s="60"/>
    </row>
    <row r="42" spans="1:23" s="25" customFormat="1">
      <c r="A42" s="72">
        <v>38</v>
      </c>
      <c r="B42" s="28"/>
      <c r="C42" s="28"/>
      <c r="D42" s="18"/>
      <c r="E42" s="68"/>
      <c r="F42" s="69"/>
      <c r="G42" s="18"/>
      <c r="H42" s="22"/>
      <c r="I42" s="22"/>
      <c r="J42" s="22"/>
      <c r="K42" s="23"/>
      <c r="L42" s="22"/>
      <c r="M42" s="22"/>
      <c r="N42" s="56"/>
      <c r="O42" s="56"/>
      <c r="P42" s="56"/>
      <c r="Q42" s="60"/>
      <c r="R42" s="60"/>
      <c r="S42" s="60"/>
      <c r="T42" s="60"/>
      <c r="U42" s="60"/>
      <c r="V42" s="60"/>
      <c r="W42" s="60"/>
    </row>
    <row r="43" spans="1:23" s="25" customFormat="1">
      <c r="A43" s="72">
        <v>39</v>
      </c>
      <c r="B43" s="28"/>
      <c r="C43" s="28"/>
      <c r="D43" s="18"/>
      <c r="E43" s="68"/>
      <c r="F43" s="69"/>
      <c r="G43" s="18"/>
      <c r="H43" s="22"/>
      <c r="I43" s="22"/>
      <c r="J43" s="22"/>
      <c r="K43" s="23"/>
      <c r="L43" s="22"/>
      <c r="M43" s="22"/>
      <c r="N43" s="56"/>
      <c r="O43" s="56"/>
      <c r="P43" s="56"/>
      <c r="Q43" s="60"/>
      <c r="R43" s="60"/>
      <c r="S43" s="60"/>
      <c r="T43" s="60"/>
      <c r="U43" s="60"/>
      <c r="V43" s="60"/>
      <c r="W43" s="60"/>
    </row>
    <row r="44" spans="1:23" s="25" customFormat="1">
      <c r="A44" s="72">
        <v>40</v>
      </c>
      <c r="B44" s="28"/>
      <c r="C44" s="28"/>
      <c r="D44" s="18"/>
      <c r="E44" s="68"/>
      <c r="F44" s="69"/>
      <c r="G44" s="18"/>
      <c r="H44" s="22"/>
      <c r="I44" s="22"/>
      <c r="J44" s="22"/>
      <c r="K44" s="23"/>
      <c r="L44" s="22"/>
      <c r="M44" s="22"/>
      <c r="N44" s="56"/>
      <c r="O44" s="56"/>
      <c r="P44" s="56"/>
      <c r="Q44" s="60"/>
      <c r="R44" s="60"/>
      <c r="S44" s="60"/>
      <c r="T44" s="60"/>
      <c r="U44" s="60"/>
      <c r="V44" s="60"/>
      <c r="W44" s="60"/>
    </row>
    <row r="45" spans="1:23" s="25" customFormat="1">
      <c r="A45" s="72">
        <v>41</v>
      </c>
      <c r="B45" s="28"/>
      <c r="C45" s="28"/>
      <c r="D45" s="18"/>
      <c r="E45" s="68"/>
      <c r="F45" s="69"/>
      <c r="G45" s="18"/>
      <c r="H45" s="22"/>
      <c r="I45" s="22"/>
      <c r="J45" s="22"/>
      <c r="K45" s="23"/>
      <c r="L45" s="22"/>
      <c r="M45" s="22"/>
      <c r="N45" s="56"/>
      <c r="O45" s="56"/>
      <c r="P45" s="56"/>
      <c r="Q45" s="60"/>
      <c r="R45" s="60"/>
      <c r="S45" s="60"/>
      <c r="T45" s="60"/>
      <c r="U45" s="60"/>
      <c r="V45" s="60"/>
      <c r="W45" s="60"/>
    </row>
    <row r="46" spans="1:23" s="25" customFormat="1">
      <c r="A46" s="72">
        <v>42</v>
      </c>
      <c r="B46" s="28"/>
      <c r="C46" s="28"/>
      <c r="D46" s="18"/>
      <c r="E46" s="68"/>
      <c r="F46" s="69"/>
      <c r="G46" s="18"/>
      <c r="H46" s="22"/>
      <c r="I46" s="22"/>
      <c r="J46" s="22"/>
      <c r="K46" s="23"/>
      <c r="L46" s="22"/>
      <c r="M46" s="22"/>
      <c r="N46" s="56"/>
      <c r="O46" s="56"/>
      <c r="P46" s="56"/>
      <c r="Q46" s="60"/>
      <c r="R46" s="60"/>
      <c r="S46" s="60"/>
      <c r="T46" s="60"/>
      <c r="U46" s="60"/>
      <c r="V46" s="60"/>
      <c r="W46" s="60"/>
    </row>
    <row r="47" spans="1:23" s="25" customFormat="1">
      <c r="A47" s="72">
        <v>43</v>
      </c>
      <c r="B47" s="28"/>
      <c r="C47" s="28"/>
      <c r="D47" s="18"/>
      <c r="E47" s="68"/>
      <c r="F47" s="69"/>
      <c r="G47" s="18"/>
      <c r="H47" s="22"/>
      <c r="I47" s="22"/>
      <c r="J47" s="22"/>
      <c r="K47" s="23"/>
      <c r="L47" s="22"/>
      <c r="M47" s="22"/>
      <c r="N47" s="56"/>
      <c r="O47" s="56"/>
      <c r="P47" s="56"/>
      <c r="Q47" s="60"/>
      <c r="R47" s="60"/>
      <c r="S47" s="60"/>
      <c r="T47" s="60"/>
      <c r="U47" s="60"/>
      <c r="V47" s="60"/>
      <c r="W47" s="60"/>
    </row>
    <row r="48" spans="1:23" s="25" customFormat="1">
      <c r="A48" s="72">
        <v>44</v>
      </c>
      <c r="B48" s="28"/>
      <c r="C48" s="28"/>
      <c r="D48" s="18"/>
      <c r="E48" s="68"/>
      <c r="F48" s="69"/>
      <c r="G48" s="18"/>
      <c r="H48" s="22"/>
      <c r="I48" s="22"/>
      <c r="J48" s="22"/>
      <c r="K48" s="23"/>
      <c r="L48" s="22"/>
      <c r="M48" s="22"/>
      <c r="N48" s="56"/>
      <c r="O48" s="56"/>
      <c r="P48" s="56"/>
      <c r="Q48" s="60"/>
      <c r="R48" s="60"/>
      <c r="S48" s="60"/>
      <c r="T48" s="60"/>
      <c r="U48" s="60"/>
      <c r="V48" s="60"/>
      <c r="W48" s="60"/>
    </row>
    <row r="49" spans="1:23" s="25" customFormat="1">
      <c r="A49" s="72">
        <v>45</v>
      </c>
      <c r="B49" s="28"/>
      <c r="C49" s="28"/>
      <c r="D49" s="18"/>
      <c r="E49" s="68"/>
      <c r="F49" s="69"/>
      <c r="G49" s="18"/>
      <c r="H49" s="22"/>
      <c r="I49" s="22"/>
      <c r="J49" s="22"/>
      <c r="K49" s="23"/>
      <c r="L49" s="22"/>
      <c r="M49" s="22"/>
      <c r="N49" s="56"/>
      <c r="O49" s="56"/>
      <c r="P49" s="56"/>
      <c r="Q49" s="60"/>
      <c r="R49" s="60"/>
      <c r="S49" s="60"/>
      <c r="T49" s="60"/>
      <c r="U49" s="60"/>
      <c r="V49" s="60"/>
      <c r="W49" s="60"/>
    </row>
    <row r="50" spans="1:23" s="25" customFormat="1">
      <c r="A50" s="72">
        <v>46</v>
      </c>
      <c r="B50" s="28"/>
      <c r="C50" s="28"/>
      <c r="D50" s="18"/>
      <c r="E50" s="68"/>
      <c r="F50" s="69"/>
      <c r="G50" s="18"/>
      <c r="H50" s="22"/>
      <c r="I50" s="22"/>
      <c r="J50" s="22"/>
      <c r="K50" s="23"/>
      <c r="L50" s="22"/>
      <c r="M50" s="22"/>
      <c r="N50" s="56"/>
      <c r="O50" s="56"/>
      <c r="P50" s="56"/>
      <c r="Q50" s="60"/>
      <c r="R50" s="60"/>
      <c r="S50" s="60"/>
      <c r="T50" s="60"/>
      <c r="U50" s="60"/>
      <c r="V50" s="60"/>
      <c r="W50" s="60"/>
    </row>
    <row r="51" spans="1:23" s="25" customFormat="1">
      <c r="A51" s="72">
        <v>47</v>
      </c>
      <c r="B51" s="28"/>
      <c r="C51" s="28"/>
      <c r="D51" s="18"/>
      <c r="E51" s="68"/>
      <c r="F51" s="69"/>
      <c r="G51" s="18"/>
      <c r="H51" s="22"/>
      <c r="I51" s="22"/>
      <c r="J51" s="22"/>
      <c r="K51" s="23"/>
      <c r="L51" s="22"/>
      <c r="M51" s="22"/>
      <c r="N51" s="56"/>
      <c r="O51" s="56"/>
      <c r="P51" s="56"/>
      <c r="Q51" s="60"/>
      <c r="R51" s="60"/>
      <c r="S51" s="60"/>
      <c r="T51" s="60"/>
      <c r="U51" s="60"/>
      <c r="V51" s="60"/>
      <c r="W51" s="60"/>
    </row>
    <row r="52" spans="1:23" s="25" customFormat="1">
      <c r="A52" s="72">
        <v>48</v>
      </c>
      <c r="B52" s="28"/>
      <c r="C52" s="28"/>
      <c r="D52" s="18"/>
      <c r="E52" s="68"/>
      <c r="F52" s="69"/>
      <c r="G52" s="18"/>
      <c r="H52" s="22"/>
      <c r="I52" s="22"/>
      <c r="J52" s="22"/>
      <c r="K52" s="23"/>
      <c r="L52" s="22"/>
      <c r="M52" s="22"/>
      <c r="N52" s="56"/>
      <c r="O52" s="56"/>
      <c r="P52" s="56"/>
      <c r="Q52" s="60"/>
      <c r="R52" s="60"/>
      <c r="S52" s="60"/>
      <c r="T52" s="60"/>
      <c r="U52" s="60"/>
      <c r="V52" s="60"/>
      <c r="W52" s="60"/>
    </row>
    <row r="53" spans="1:23" s="25" customFormat="1">
      <c r="A53" s="72">
        <v>49</v>
      </c>
      <c r="B53" s="28"/>
      <c r="C53" s="28"/>
      <c r="D53" s="18"/>
      <c r="E53" s="68"/>
      <c r="F53" s="69"/>
      <c r="G53" s="18"/>
      <c r="H53" s="22"/>
      <c r="I53" s="22"/>
      <c r="J53" s="22"/>
      <c r="K53" s="23"/>
      <c r="L53" s="22"/>
      <c r="M53" s="22"/>
      <c r="N53" s="56"/>
      <c r="O53" s="56"/>
      <c r="P53" s="56"/>
      <c r="Q53" s="60"/>
      <c r="R53" s="60"/>
      <c r="S53" s="60"/>
      <c r="T53" s="60"/>
      <c r="U53" s="60"/>
      <c r="V53" s="60"/>
      <c r="W53" s="60"/>
    </row>
    <row r="54" spans="1:23" s="25" customFormat="1">
      <c r="A54" s="72">
        <v>50</v>
      </c>
      <c r="B54" s="28"/>
      <c r="C54" s="28"/>
      <c r="D54" s="18"/>
      <c r="E54" s="68"/>
      <c r="F54" s="69"/>
      <c r="G54" s="18"/>
      <c r="H54" s="22"/>
      <c r="I54" s="22"/>
      <c r="J54" s="22"/>
      <c r="K54" s="23"/>
      <c r="L54" s="22"/>
      <c r="M54" s="22"/>
      <c r="N54" s="56"/>
      <c r="O54" s="56"/>
      <c r="P54" s="56"/>
      <c r="Q54" s="60"/>
      <c r="R54" s="60"/>
      <c r="S54" s="60"/>
      <c r="T54" s="60"/>
      <c r="U54" s="60"/>
      <c r="V54" s="60"/>
      <c r="W54" s="60"/>
    </row>
    <row r="55" spans="1:23" s="25" customFormat="1">
      <c r="A55" s="72">
        <v>51</v>
      </c>
      <c r="B55" s="28"/>
      <c r="C55" s="28"/>
      <c r="D55" s="18"/>
      <c r="E55" s="68"/>
      <c r="F55" s="69"/>
      <c r="G55" s="18"/>
      <c r="H55" s="22"/>
      <c r="I55" s="22"/>
      <c r="J55" s="22"/>
      <c r="K55" s="23"/>
      <c r="L55" s="22"/>
      <c r="M55" s="22"/>
      <c r="N55" s="56"/>
      <c r="O55" s="56"/>
      <c r="P55" s="56"/>
      <c r="Q55" s="60"/>
      <c r="R55" s="60"/>
      <c r="S55" s="60"/>
      <c r="T55" s="60"/>
      <c r="U55" s="60"/>
      <c r="V55" s="60"/>
      <c r="W55" s="60"/>
    </row>
    <row r="56" spans="1:23" s="25" customFormat="1">
      <c r="A56" s="72">
        <v>52</v>
      </c>
      <c r="B56" s="28"/>
      <c r="C56" s="28"/>
      <c r="D56" s="29"/>
      <c r="E56" s="68"/>
      <c r="F56" s="69"/>
      <c r="G56" s="18"/>
      <c r="H56" s="22"/>
      <c r="I56" s="22"/>
      <c r="J56" s="22"/>
      <c r="K56" s="23"/>
      <c r="L56" s="22"/>
      <c r="M56" s="22"/>
      <c r="N56" s="56"/>
      <c r="O56" s="56"/>
      <c r="P56" s="56"/>
      <c r="Q56" s="60"/>
      <c r="R56" s="60"/>
      <c r="S56" s="60"/>
      <c r="T56" s="60"/>
      <c r="U56" s="60"/>
      <c r="V56" s="60"/>
      <c r="W56" s="60"/>
    </row>
    <row r="57" spans="1:23" s="25" customFormat="1">
      <c r="A57" s="72">
        <v>53</v>
      </c>
      <c r="B57" s="28"/>
      <c r="C57" s="28"/>
      <c r="D57" s="18"/>
      <c r="E57" s="68"/>
      <c r="F57" s="69"/>
      <c r="G57" s="18"/>
      <c r="H57" s="22"/>
      <c r="I57" s="22"/>
      <c r="J57" s="22"/>
      <c r="K57" s="23"/>
      <c r="L57" s="22"/>
      <c r="M57" s="22"/>
      <c r="N57" s="56"/>
      <c r="O57" s="56"/>
      <c r="P57" s="56"/>
      <c r="Q57" s="60"/>
      <c r="R57" s="60"/>
      <c r="S57" s="60"/>
      <c r="T57" s="60"/>
      <c r="U57" s="60"/>
      <c r="V57" s="60"/>
      <c r="W57" s="60"/>
    </row>
    <row r="58" spans="1:23" s="25" customFormat="1">
      <c r="A58" s="72">
        <v>54</v>
      </c>
      <c r="B58" s="28"/>
      <c r="C58" s="28"/>
      <c r="D58" s="29"/>
      <c r="E58" s="68"/>
      <c r="F58" s="69"/>
      <c r="G58" s="18"/>
      <c r="H58" s="22"/>
      <c r="I58" s="22"/>
      <c r="J58" s="22"/>
      <c r="K58" s="23"/>
      <c r="L58" s="22"/>
      <c r="M58" s="22"/>
      <c r="N58" s="56"/>
      <c r="O58" s="56"/>
      <c r="P58" s="56"/>
      <c r="Q58" s="60"/>
      <c r="R58" s="60"/>
      <c r="S58" s="60"/>
      <c r="T58" s="60"/>
      <c r="U58" s="60"/>
      <c r="V58" s="60"/>
      <c r="W58" s="60"/>
    </row>
    <row r="59" spans="1:23" s="25" customFormat="1">
      <c r="A59" s="72">
        <v>55</v>
      </c>
      <c r="B59" s="28"/>
      <c r="C59" s="28"/>
      <c r="D59" s="18"/>
      <c r="E59" s="68"/>
      <c r="F59" s="69"/>
      <c r="G59" s="18"/>
      <c r="H59" s="22"/>
      <c r="I59" s="22"/>
      <c r="J59" s="22"/>
      <c r="K59" s="23"/>
      <c r="L59" s="22"/>
      <c r="M59" s="22"/>
      <c r="N59" s="56"/>
      <c r="O59" s="56"/>
      <c r="P59" s="56"/>
      <c r="Q59" s="60"/>
      <c r="R59" s="60"/>
      <c r="S59" s="60"/>
      <c r="T59" s="60"/>
      <c r="U59" s="60"/>
      <c r="V59" s="60"/>
      <c r="W59" s="60"/>
    </row>
    <row r="60" spans="1:23" s="25" customFormat="1">
      <c r="A60" s="72">
        <v>56</v>
      </c>
      <c r="B60" s="28"/>
      <c r="C60" s="28"/>
      <c r="D60" s="18"/>
      <c r="E60" s="68"/>
      <c r="F60" s="69"/>
      <c r="G60" s="18"/>
      <c r="H60" s="22"/>
      <c r="I60" s="22"/>
      <c r="J60" s="22"/>
      <c r="K60" s="23"/>
      <c r="L60" s="22"/>
      <c r="M60" s="22"/>
      <c r="N60" s="56"/>
      <c r="O60" s="56"/>
      <c r="P60" s="56"/>
      <c r="Q60" s="60"/>
      <c r="R60" s="60"/>
      <c r="S60" s="60"/>
      <c r="T60" s="60"/>
      <c r="U60" s="60"/>
      <c r="V60" s="60"/>
      <c r="W60" s="60"/>
    </row>
    <row r="61" spans="1:23" s="25" customFormat="1">
      <c r="A61" s="72">
        <v>57</v>
      </c>
      <c r="B61" s="28"/>
      <c r="C61" s="28"/>
      <c r="D61" s="18"/>
      <c r="E61" s="68"/>
      <c r="F61" s="69"/>
      <c r="G61" s="18"/>
      <c r="H61" s="22"/>
      <c r="I61" s="22"/>
      <c r="J61" s="22"/>
      <c r="K61" s="23"/>
      <c r="L61" s="22"/>
      <c r="M61" s="22"/>
      <c r="N61" s="56"/>
      <c r="O61" s="56"/>
      <c r="P61" s="56"/>
      <c r="Q61" s="60"/>
      <c r="R61" s="60"/>
      <c r="S61" s="60"/>
      <c r="T61" s="60"/>
      <c r="U61" s="60"/>
      <c r="V61" s="60"/>
      <c r="W61" s="60"/>
    </row>
    <row r="62" spans="1:23" s="25" customFormat="1">
      <c r="A62" s="72">
        <v>58</v>
      </c>
      <c r="B62" s="28"/>
      <c r="C62" s="28"/>
      <c r="D62" s="18"/>
      <c r="E62" s="68"/>
      <c r="F62" s="69"/>
      <c r="G62" s="18"/>
      <c r="H62" s="22"/>
      <c r="I62" s="22"/>
      <c r="J62" s="22"/>
      <c r="K62" s="23"/>
      <c r="L62" s="22"/>
      <c r="M62" s="22"/>
      <c r="N62" s="56"/>
      <c r="O62" s="56"/>
      <c r="P62" s="56"/>
      <c r="Q62" s="60"/>
      <c r="R62" s="60"/>
      <c r="S62" s="60"/>
      <c r="T62" s="60"/>
      <c r="U62" s="60"/>
      <c r="V62" s="60"/>
      <c r="W62" s="60"/>
    </row>
    <row r="63" spans="1:23" s="25" customFormat="1">
      <c r="A63" s="72">
        <v>59</v>
      </c>
      <c r="B63" s="28"/>
      <c r="C63" s="28"/>
      <c r="D63" s="18"/>
      <c r="E63" s="68"/>
      <c r="F63" s="69"/>
      <c r="G63" s="18"/>
      <c r="H63" s="22"/>
      <c r="I63" s="22"/>
      <c r="J63" s="22"/>
      <c r="K63" s="23"/>
      <c r="L63" s="22"/>
      <c r="M63" s="22"/>
      <c r="N63" s="56"/>
      <c r="O63" s="56"/>
      <c r="P63" s="56"/>
      <c r="Q63" s="60"/>
      <c r="R63" s="60"/>
      <c r="S63" s="60"/>
      <c r="T63" s="60"/>
      <c r="U63" s="60"/>
      <c r="V63" s="60"/>
      <c r="W63" s="60"/>
    </row>
    <row r="64" spans="1:23" s="25" customFormat="1">
      <c r="A64" s="72">
        <v>60</v>
      </c>
      <c r="B64" s="28"/>
      <c r="C64" s="28"/>
      <c r="D64" s="18"/>
      <c r="E64" s="68"/>
      <c r="F64" s="69"/>
      <c r="G64" s="18"/>
      <c r="H64" s="22"/>
      <c r="I64" s="22"/>
      <c r="J64" s="22"/>
      <c r="K64" s="23"/>
      <c r="L64" s="22"/>
      <c r="M64" s="22"/>
      <c r="N64" s="56"/>
      <c r="O64" s="56"/>
      <c r="P64" s="56"/>
      <c r="Q64" s="60"/>
      <c r="R64" s="60"/>
      <c r="S64" s="60"/>
      <c r="T64" s="60"/>
      <c r="U64" s="60"/>
      <c r="V64" s="60"/>
      <c r="W64" s="60"/>
    </row>
    <row r="65" spans="1:23" s="25" customFormat="1">
      <c r="A65" s="72">
        <v>61</v>
      </c>
      <c r="B65" s="28"/>
      <c r="C65" s="28"/>
      <c r="D65" s="18"/>
      <c r="E65" s="68"/>
      <c r="F65" s="69"/>
      <c r="G65" s="18"/>
      <c r="H65" s="22"/>
      <c r="I65" s="22"/>
      <c r="J65" s="22"/>
      <c r="K65" s="23"/>
      <c r="L65" s="22"/>
      <c r="M65" s="22"/>
      <c r="N65" s="56"/>
      <c r="O65" s="56"/>
      <c r="P65" s="56"/>
      <c r="Q65" s="60"/>
      <c r="R65" s="60"/>
      <c r="S65" s="60"/>
      <c r="T65" s="60"/>
      <c r="U65" s="60"/>
      <c r="V65" s="60"/>
      <c r="W65" s="60"/>
    </row>
    <row r="66" spans="1:23" s="25" customFormat="1">
      <c r="A66" s="72">
        <v>62</v>
      </c>
      <c r="B66" s="28"/>
      <c r="C66" s="28"/>
      <c r="D66" s="18"/>
      <c r="E66" s="68"/>
      <c r="F66" s="69"/>
      <c r="G66" s="18"/>
      <c r="H66" s="22"/>
      <c r="I66" s="22"/>
      <c r="J66" s="22"/>
      <c r="K66" s="23"/>
      <c r="L66" s="22"/>
      <c r="M66" s="22"/>
      <c r="N66" s="56"/>
      <c r="O66" s="56"/>
      <c r="P66" s="56"/>
      <c r="Q66" s="60"/>
      <c r="R66" s="60"/>
      <c r="S66" s="60"/>
      <c r="T66" s="60"/>
      <c r="U66" s="60"/>
      <c r="V66" s="60"/>
      <c r="W66" s="60"/>
    </row>
    <row r="67" spans="1:23" s="25" customFormat="1">
      <c r="A67" s="72">
        <v>63</v>
      </c>
      <c r="B67" s="28"/>
      <c r="C67" s="28"/>
      <c r="D67" s="18"/>
      <c r="E67" s="68"/>
      <c r="F67" s="69"/>
      <c r="G67" s="18"/>
      <c r="H67" s="22"/>
      <c r="I67" s="22"/>
      <c r="J67" s="22"/>
      <c r="K67" s="23"/>
      <c r="L67" s="22"/>
      <c r="M67" s="22"/>
      <c r="N67" s="56"/>
      <c r="O67" s="56"/>
      <c r="P67" s="56"/>
      <c r="Q67" s="60"/>
      <c r="R67" s="60"/>
      <c r="S67" s="60"/>
      <c r="T67" s="60"/>
      <c r="U67" s="60"/>
      <c r="V67" s="60"/>
      <c r="W67" s="60"/>
    </row>
    <row r="68" spans="1:23" s="25" customFormat="1">
      <c r="A68" s="72">
        <v>64</v>
      </c>
      <c r="B68" s="28"/>
      <c r="C68" s="28"/>
      <c r="D68" s="18"/>
      <c r="E68" s="68"/>
      <c r="F68" s="69"/>
      <c r="G68" s="18"/>
      <c r="H68" s="22"/>
      <c r="I68" s="22"/>
      <c r="J68" s="22"/>
      <c r="K68" s="23"/>
      <c r="L68" s="22"/>
      <c r="M68" s="22"/>
      <c r="N68" s="56"/>
      <c r="O68" s="56"/>
      <c r="P68" s="56"/>
      <c r="Q68" s="60"/>
      <c r="R68" s="60"/>
      <c r="S68" s="60"/>
      <c r="T68" s="60"/>
      <c r="U68" s="60"/>
      <c r="V68" s="60"/>
      <c r="W68" s="60"/>
    </row>
    <row r="69" spans="1:23" s="25" customFormat="1">
      <c r="A69" s="72">
        <v>65</v>
      </c>
      <c r="B69" s="28"/>
      <c r="C69" s="28"/>
      <c r="D69" s="18"/>
      <c r="E69" s="68"/>
      <c r="F69" s="69"/>
      <c r="G69" s="18"/>
      <c r="H69" s="22"/>
      <c r="I69" s="22"/>
      <c r="J69" s="22"/>
      <c r="K69" s="23"/>
      <c r="L69" s="22"/>
      <c r="M69" s="22"/>
      <c r="N69" s="56"/>
      <c r="O69" s="56"/>
      <c r="P69" s="56"/>
      <c r="Q69" s="60"/>
      <c r="R69" s="60"/>
      <c r="S69" s="60"/>
      <c r="T69" s="60"/>
      <c r="U69" s="60"/>
      <c r="V69" s="60"/>
      <c r="W69" s="60"/>
    </row>
    <row r="70" spans="1:23" s="25" customFormat="1">
      <c r="A70" s="72">
        <v>66</v>
      </c>
      <c r="B70" s="28"/>
      <c r="C70" s="28"/>
      <c r="D70" s="18"/>
      <c r="E70" s="68"/>
      <c r="F70" s="69"/>
      <c r="G70" s="18"/>
      <c r="H70" s="22"/>
      <c r="I70" s="22"/>
      <c r="J70" s="22"/>
      <c r="K70" s="23"/>
      <c r="L70" s="22"/>
      <c r="M70" s="22"/>
      <c r="N70" s="56"/>
      <c r="O70" s="56"/>
      <c r="P70" s="56"/>
      <c r="Q70" s="60"/>
      <c r="R70" s="60"/>
      <c r="S70" s="60"/>
      <c r="T70" s="60"/>
      <c r="U70" s="60"/>
      <c r="V70" s="60"/>
      <c r="W70" s="60"/>
    </row>
    <row r="71" spans="1:23" s="25" customFormat="1">
      <c r="A71" s="72">
        <v>67</v>
      </c>
      <c r="B71" s="28"/>
      <c r="C71" s="28"/>
      <c r="D71" s="18"/>
      <c r="E71" s="68"/>
      <c r="F71" s="69"/>
      <c r="G71" s="18"/>
      <c r="H71" s="22"/>
      <c r="I71" s="22"/>
      <c r="J71" s="22"/>
      <c r="K71" s="23"/>
      <c r="L71" s="22"/>
      <c r="M71" s="22"/>
      <c r="N71" s="56"/>
      <c r="O71" s="56"/>
      <c r="P71" s="56"/>
      <c r="Q71" s="60"/>
      <c r="R71" s="60"/>
      <c r="S71" s="60"/>
      <c r="T71" s="60"/>
      <c r="U71" s="60"/>
      <c r="V71" s="60"/>
      <c r="W71" s="60"/>
    </row>
    <row r="72" spans="1:23" s="25" customFormat="1">
      <c r="A72" s="72">
        <v>68</v>
      </c>
      <c r="B72" s="28"/>
      <c r="C72" s="28"/>
      <c r="D72" s="18"/>
      <c r="E72" s="68"/>
      <c r="F72" s="69"/>
      <c r="G72" s="18"/>
      <c r="H72" s="22"/>
      <c r="I72" s="22"/>
      <c r="J72" s="22"/>
      <c r="K72" s="23"/>
      <c r="L72" s="22"/>
      <c r="M72" s="22"/>
      <c r="N72" s="56"/>
      <c r="O72" s="56"/>
      <c r="P72" s="56"/>
      <c r="Q72" s="60"/>
      <c r="R72" s="60"/>
      <c r="S72" s="60"/>
      <c r="T72" s="60"/>
      <c r="U72" s="60"/>
      <c r="V72" s="60"/>
      <c r="W72" s="60"/>
    </row>
    <row r="73" spans="1:23" s="25" customFormat="1">
      <c r="A73" s="72">
        <v>69</v>
      </c>
      <c r="B73" s="28"/>
      <c r="C73" s="28"/>
      <c r="D73" s="18"/>
      <c r="E73" s="68"/>
      <c r="F73" s="69"/>
      <c r="G73" s="18"/>
      <c r="H73" s="22"/>
      <c r="I73" s="22"/>
      <c r="J73" s="22"/>
      <c r="K73" s="23"/>
      <c r="L73" s="22"/>
      <c r="M73" s="22"/>
      <c r="N73" s="56"/>
      <c r="O73" s="56"/>
      <c r="P73" s="56"/>
      <c r="Q73" s="60"/>
      <c r="R73" s="60"/>
      <c r="S73" s="60"/>
      <c r="T73" s="60"/>
      <c r="U73" s="60"/>
      <c r="V73" s="60"/>
      <c r="W73" s="60"/>
    </row>
    <row r="74" spans="1:23" s="25" customFormat="1">
      <c r="A74" s="72">
        <v>70</v>
      </c>
      <c r="B74" s="28"/>
      <c r="C74" s="28"/>
      <c r="D74" s="18"/>
      <c r="E74" s="68"/>
      <c r="F74" s="69"/>
      <c r="G74" s="18"/>
      <c r="H74" s="22"/>
      <c r="I74" s="22"/>
      <c r="J74" s="22"/>
      <c r="K74" s="23"/>
      <c r="L74" s="22"/>
      <c r="M74" s="22"/>
      <c r="N74" s="56"/>
      <c r="O74" s="56"/>
      <c r="P74" s="56"/>
      <c r="Q74" s="60"/>
      <c r="R74" s="60"/>
      <c r="S74" s="60"/>
      <c r="T74" s="60"/>
      <c r="U74" s="60"/>
      <c r="V74" s="60"/>
      <c r="W74" s="60"/>
    </row>
    <row r="75" spans="1:23" s="25" customFormat="1">
      <c r="A75" s="72">
        <v>71</v>
      </c>
      <c r="B75" s="28"/>
      <c r="C75" s="28"/>
      <c r="D75" s="18"/>
      <c r="E75" s="68"/>
      <c r="F75" s="69"/>
      <c r="G75" s="18"/>
      <c r="H75" s="22"/>
      <c r="I75" s="22"/>
      <c r="J75" s="22"/>
      <c r="K75" s="23"/>
      <c r="L75" s="22"/>
      <c r="M75" s="22"/>
      <c r="N75" s="56"/>
      <c r="O75" s="56"/>
      <c r="P75" s="56"/>
      <c r="Q75" s="60"/>
      <c r="R75" s="60"/>
      <c r="S75" s="60"/>
      <c r="T75" s="60"/>
      <c r="U75" s="60"/>
      <c r="V75" s="60"/>
      <c r="W75" s="60"/>
    </row>
    <row r="76" spans="1:23" s="25" customFormat="1">
      <c r="A76" s="72">
        <v>72</v>
      </c>
      <c r="B76" s="28"/>
      <c r="C76" s="28"/>
      <c r="D76" s="18"/>
      <c r="E76" s="68"/>
      <c r="F76" s="69"/>
      <c r="G76" s="18"/>
      <c r="H76" s="22"/>
      <c r="I76" s="22"/>
      <c r="J76" s="22"/>
      <c r="K76" s="23"/>
      <c r="L76" s="22"/>
      <c r="M76" s="22"/>
      <c r="N76" s="56"/>
      <c r="O76" s="56"/>
      <c r="P76" s="56"/>
      <c r="Q76" s="60"/>
      <c r="R76" s="60"/>
      <c r="S76" s="60"/>
      <c r="T76" s="60"/>
      <c r="U76" s="60"/>
      <c r="V76" s="60"/>
      <c r="W76" s="60"/>
    </row>
    <row r="77" spans="1:23" s="25" customFormat="1">
      <c r="A77" s="72">
        <v>73</v>
      </c>
      <c r="B77" s="28"/>
      <c r="C77" s="28"/>
      <c r="D77" s="18"/>
      <c r="E77" s="68"/>
      <c r="F77" s="69"/>
      <c r="G77" s="18"/>
      <c r="H77" s="22"/>
      <c r="I77" s="22"/>
      <c r="J77" s="22"/>
      <c r="K77" s="23"/>
      <c r="L77" s="22"/>
      <c r="M77" s="22"/>
      <c r="N77" s="56"/>
      <c r="O77" s="56"/>
      <c r="P77" s="56"/>
      <c r="Q77" s="60"/>
      <c r="R77" s="60"/>
      <c r="S77" s="60"/>
      <c r="T77" s="60"/>
      <c r="U77" s="60"/>
      <c r="V77" s="60"/>
      <c r="W77" s="60"/>
    </row>
    <row r="78" spans="1:23" s="25" customFormat="1">
      <c r="A78" s="72">
        <v>74</v>
      </c>
      <c r="B78" s="28"/>
      <c r="C78" s="28"/>
      <c r="D78" s="18"/>
      <c r="E78" s="68"/>
      <c r="F78" s="69"/>
      <c r="G78" s="18"/>
      <c r="H78" s="22"/>
      <c r="I78" s="22"/>
      <c r="J78" s="22"/>
      <c r="K78" s="23"/>
      <c r="L78" s="22"/>
      <c r="M78" s="22"/>
      <c r="N78" s="56"/>
      <c r="O78" s="56"/>
      <c r="P78" s="56"/>
      <c r="Q78" s="60"/>
      <c r="R78" s="60"/>
      <c r="S78" s="60"/>
      <c r="T78" s="60"/>
      <c r="U78" s="60"/>
      <c r="V78" s="60"/>
      <c r="W78" s="60"/>
    </row>
    <row r="79" spans="1:23" s="25" customFormat="1">
      <c r="A79" s="72">
        <v>75</v>
      </c>
      <c r="B79" s="28"/>
      <c r="C79" s="28"/>
      <c r="D79" s="18"/>
      <c r="E79" s="68"/>
      <c r="F79" s="69"/>
      <c r="G79" s="18"/>
      <c r="H79" s="22"/>
      <c r="I79" s="22"/>
      <c r="J79" s="22"/>
      <c r="K79" s="23"/>
      <c r="L79" s="22"/>
      <c r="M79" s="22"/>
      <c r="N79" s="56"/>
      <c r="O79" s="56"/>
      <c r="P79" s="56"/>
      <c r="Q79" s="60"/>
      <c r="R79" s="60"/>
      <c r="S79" s="60"/>
      <c r="T79" s="60"/>
      <c r="U79" s="60"/>
      <c r="V79" s="60"/>
      <c r="W79" s="60"/>
    </row>
    <row r="80" spans="1:23" s="25" customFormat="1">
      <c r="A80" s="72">
        <v>76</v>
      </c>
      <c r="B80" s="28"/>
      <c r="C80" s="28"/>
      <c r="D80" s="18"/>
      <c r="E80" s="68"/>
      <c r="F80" s="69"/>
      <c r="G80" s="18"/>
      <c r="H80" s="22"/>
      <c r="I80" s="22"/>
      <c r="J80" s="22"/>
      <c r="K80" s="23"/>
      <c r="L80" s="22"/>
      <c r="M80" s="22"/>
      <c r="N80" s="56"/>
      <c r="O80" s="56"/>
      <c r="P80" s="56"/>
      <c r="Q80" s="60"/>
      <c r="R80" s="60"/>
      <c r="S80" s="60"/>
      <c r="T80" s="60"/>
      <c r="U80" s="60"/>
      <c r="V80" s="60"/>
      <c r="W80" s="60"/>
    </row>
    <row r="81" spans="1:23" s="25" customFormat="1">
      <c r="A81" s="72">
        <v>77</v>
      </c>
      <c r="B81" s="28"/>
      <c r="C81" s="28"/>
      <c r="D81" s="18"/>
      <c r="E81" s="68"/>
      <c r="F81" s="69"/>
      <c r="G81" s="18"/>
      <c r="H81" s="22"/>
      <c r="I81" s="22"/>
      <c r="J81" s="22"/>
      <c r="K81" s="23"/>
      <c r="L81" s="22"/>
      <c r="M81" s="22"/>
      <c r="N81" s="56"/>
      <c r="O81" s="56"/>
      <c r="P81" s="56"/>
      <c r="Q81" s="60"/>
      <c r="R81" s="60"/>
      <c r="S81" s="60"/>
      <c r="T81" s="60"/>
      <c r="U81" s="60"/>
      <c r="V81" s="60"/>
      <c r="W81" s="60"/>
    </row>
    <row r="82" spans="1:23" s="25" customFormat="1">
      <c r="A82" s="72">
        <v>78</v>
      </c>
      <c r="B82" s="28"/>
      <c r="C82" s="28"/>
      <c r="D82" s="18"/>
      <c r="E82" s="68"/>
      <c r="F82" s="69"/>
      <c r="G82" s="18"/>
      <c r="H82" s="22"/>
      <c r="I82" s="22"/>
      <c r="J82" s="22"/>
      <c r="K82" s="23"/>
      <c r="L82" s="22"/>
      <c r="M82" s="22"/>
      <c r="N82" s="56"/>
      <c r="O82" s="56"/>
      <c r="P82" s="56"/>
      <c r="Q82" s="60"/>
      <c r="R82" s="60"/>
      <c r="S82" s="60"/>
      <c r="T82" s="60"/>
      <c r="U82" s="60"/>
      <c r="V82" s="60"/>
      <c r="W82" s="60"/>
    </row>
    <row r="83" spans="1:23" s="25" customFormat="1">
      <c r="A83" s="72">
        <v>79</v>
      </c>
      <c r="B83" s="28"/>
      <c r="C83" s="28"/>
      <c r="D83" s="18"/>
      <c r="E83" s="68"/>
      <c r="F83" s="69"/>
      <c r="G83" s="18"/>
      <c r="H83" s="22"/>
      <c r="I83" s="22"/>
      <c r="J83" s="22"/>
      <c r="K83" s="23"/>
      <c r="L83" s="22"/>
      <c r="M83" s="22"/>
      <c r="N83" s="56"/>
      <c r="O83" s="56"/>
      <c r="P83" s="56"/>
      <c r="Q83" s="60"/>
      <c r="R83" s="60"/>
      <c r="S83" s="60"/>
      <c r="T83" s="60"/>
      <c r="U83" s="60"/>
      <c r="V83" s="60"/>
      <c r="W83" s="60"/>
    </row>
    <row r="84" spans="1:23" s="25" customFormat="1">
      <c r="A84" s="72">
        <v>80</v>
      </c>
      <c r="B84" s="28"/>
      <c r="C84" s="28"/>
      <c r="D84" s="18"/>
      <c r="E84" s="68"/>
      <c r="F84" s="69"/>
      <c r="G84" s="18"/>
      <c r="H84" s="22"/>
      <c r="I84" s="22"/>
      <c r="J84" s="22"/>
      <c r="K84" s="23"/>
      <c r="L84" s="22"/>
      <c r="M84" s="22"/>
      <c r="N84" s="56"/>
      <c r="O84" s="56"/>
      <c r="P84" s="56"/>
      <c r="Q84" s="60"/>
      <c r="R84" s="60"/>
      <c r="S84" s="60"/>
      <c r="T84" s="60"/>
      <c r="U84" s="60"/>
      <c r="V84" s="60"/>
      <c r="W84" s="60"/>
    </row>
    <row r="85" spans="1:23" s="25" customFormat="1">
      <c r="A85" s="72">
        <v>81</v>
      </c>
      <c r="B85" s="28"/>
      <c r="C85" s="28"/>
      <c r="D85" s="18"/>
      <c r="E85" s="68"/>
      <c r="F85" s="69"/>
      <c r="G85" s="18"/>
      <c r="H85" s="22"/>
      <c r="I85" s="22"/>
      <c r="J85" s="22"/>
      <c r="K85" s="23"/>
      <c r="L85" s="22"/>
      <c r="M85" s="22"/>
      <c r="N85" s="56"/>
      <c r="O85" s="56"/>
      <c r="P85" s="56"/>
      <c r="Q85" s="60"/>
      <c r="R85" s="60"/>
      <c r="S85" s="60"/>
      <c r="T85" s="60"/>
      <c r="U85" s="60"/>
      <c r="V85" s="60"/>
      <c r="W85" s="60"/>
    </row>
    <row r="86" spans="1:23" s="25" customFormat="1">
      <c r="A86" s="72">
        <v>82</v>
      </c>
      <c r="B86" s="28"/>
      <c r="C86" s="28"/>
      <c r="D86" s="18"/>
      <c r="E86" s="68"/>
      <c r="F86" s="69"/>
      <c r="G86" s="18"/>
      <c r="H86" s="22"/>
      <c r="I86" s="22"/>
      <c r="J86" s="22"/>
      <c r="K86" s="23"/>
      <c r="L86" s="22"/>
      <c r="M86" s="22"/>
      <c r="N86" s="56"/>
      <c r="O86" s="56"/>
      <c r="P86" s="56"/>
      <c r="Q86" s="60"/>
      <c r="R86" s="60"/>
      <c r="S86" s="60"/>
      <c r="T86" s="60"/>
      <c r="U86" s="60"/>
      <c r="V86" s="60"/>
      <c r="W86" s="60"/>
    </row>
    <row r="87" spans="1:23" s="25" customFormat="1">
      <c r="A87" s="72">
        <v>83</v>
      </c>
      <c r="B87" s="28"/>
      <c r="C87" s="28"/>
      <c r="D87" s="18"/>
      <c r="E87" s="68"/>
      <c r="F87" s="69"/>
      <c r="G87" s="18"/>
      <c r="H87" s="22"/>
      <c r="I87" s="22"/>
      <c r="J87" s="22"/>
      <c r="K87" s="23"/>
      <c r="L87" s="22"/>
      <c r="M87" s="22"/>
      <c r="N87" s="56"/>
      <c r="O87" s="56"/>
      <c r="P87" s="56"/>
      <c r="Q87" s="60"/>
      <c r="R87" s="60"/>
      <c r="S87" s="60"/>
      <c r="T87" s="60"/>
      <c r="U87" s="60"/>
      <c r="V87" s="60"/>
      <c r="W87" s="60"/>
    </row>
    <row r="88" spans="1:23" s="25" customFormat="1">
      <c r="A88" s="72">
        <v>84</v>
      </c>
      <c r="B88" s="28"/>
      <c r="C88" s="28"/>
      <c r="D88" s="18"/>
      <c r="E88" s="68"/>
      <c r="F88" s="69"/>
      <c r="G88" s="18"/>
      <c r="H88" s="22"/>
      <c r="I88" s="22"/>
      <c r="J88" s="22"/>
      <c r="K88" s="23"/>
      <c r="L88" s="22"/>
      <c r="M88" s="22"/>
      <c r="N88" s="56"/>
      <c r="O88" s="56"/>
      <c r="P88" s="56"/>
      <c r="Q88" s="60"/>
      <c r="R88" s="60"/>
      <c r="S88" s="60"/>
      <c r="T88" s="60"/>
      <c r="U88" s="60"/>
      <c r="V88" s="60"/>
      <c r="W88" s="60"/>
    </row>
    <row r="89" spans="1:23" s="25" customFormat="1">
      <c r="A89" s="72">
        <v>85</v>
      </c>
      <c r="B89" s="28"/>
      <c r="C89" s="28"/>
      <c r="D89" s="18"/>
      <c r="E89" s="68"/>
      <c r="F89" s="69"/>
      <c r="G89" s="18"/>
      <c r="H89" s="22"/>
      <c r="I89" s="22"/>
      <c r="J89" s="22"/>
      <c r="K89" s="23"/>
      <c r="L89" s="22"/>
      <c r="M89" s="22"/>
      <c r="N89" s="56"/>
      <c r="O89" s="56"/>
      <c r="P89" s="56"/>
      <c r="Q89" s="60"/>
      <c r="R89" s="60"/>
      <c r="S89" s="60"/>
      <c r="T89" s="60"/>
      <c r="U89" s="60"/>
      <c r="V89" s="60"/>
      <c r="W89" s="60"/>
    </row>
    <row r="90" spans="1:23" s="25" customFormat="1">
      <c r="A90" s="72">
        <v>86</v>
      </c>
      <c r="B90" s="28"/>
      <c r="C90" s="28"/>
      <c r="D90" s="18"/>
      <c r="E90" s="68"/>
      <c r="F90" s="69"/>
      <c r="G90" s="18"/>
      <c r="H90" s="22"/>
      <c r="I90" s="22"/>
      <c r="J90" s="22"/>
      <c r="K90" s="23"/>
      <c r="L90" s="22"/>
      <c r="M90" s="22"/>
      <c r="N90" s="56"/>
      <c r="O90" s="56"/>
      <c r="P90" s="56"/>
      <c r="Q90" s="60"/>
      <c r="R90" s="60"/>
      <c r="S90" s="60"/>
      <c r="T90" s="60"/>
      <c r="U90" s="60"/>
      <c r="V90" s="60"/>
      <c r="W90" s="60"/>
    </row>
    <row r="91" spans="1:23" s="25" customFormat="1">
      <c r="A91" s="72">
        <v>87</v>
      </c>
      <c r="B91" s="28"/>
      <c r="C91" s="28"/>
      <c r="D91" s="18"/>
      <c r="E91" s="68"/>
      <c r="F91" s="69"/>
      <c r="G91" s="18"/>
      <c r="H91" s="22"/>
      <c r="I91" s="22"/>
      <c r="J91" s="22"/>
      <c r="K91" s="23"/>
      <c r="L91" s="22"/>
      <c r="M91" s="22"/>
      <c r="N91" s="56"/>
      <c r="O91" s="56"/>
      <c r="P91" s="56"/>
      <c r="Q91" s="60"/>
      <c r="R91" s="60"/>
      <c r="S91" s="60"/>
      <c r="T91" s="60"/>
      <c r="U91" s="60"/>
      <c r="V91" s="60"/>
      <c r="W91" s="60"/>
    </row>
    <row r="92" spans="1:23" s="25" customFormat="1">
      <c r="A92" s="72">
        <v>88</v>
      </c>
      <c r="B92" s="28"/>
      <c r="C92" s="28"/>
      <c r="D92" s="18"/>
      <c r="E92" s="68"/>
      <c r="F92" s="69"/>
      <c r="G92" s="18"/>
      <c r="H92" s="22"/>
      <c r="I92" s="22"/>
      <c r="J92" s="22"/>
      <c r="K92" s="23"/>
      <c r="L92" s="22"/>
      <c r="M92" s="22"/>
      <c r="N92" s="56"/>
      <c r="O92" s="56"/>
      <c r="P92" s="56"/>
      <c r="Q92" s="60"/>
      <c r="R92" s="60"/>
      <c r="S92" s="60"/>
      <c r="T92" s="60"/>
      <c r="U92" s="60"/>
      <c r="V92" s="60"/>
      <c r="W92" s="60"/>
    </row>
    <row r="93" spans="1:23" s="25" customFormat="1">
      <c r="A93" s="72">
        <v>89</v>
      </c>
      <c r="B93" s="28"/>
      <c r="C93" s="28"/>
      <c r="D93" s="18"/>
      <c r="E93" s="68"/>
      <c r="F93" s="69"/>
      <c r="G93" s="18"/>
      <c r="H93" s="22"/>
      <c r="I93" s="22"/>
      <c r="J93" s="22"/>
      <c r="K93" s="23"/>
      <c r="L93" s="22"/>
      <c r="M93" s="22"/>
      <c r="N93" s="56"/>
      <c r="O93" s="56"/>
      <c r="P93" s="56"/>
      <c r="Q93" s="60"/>
      <c r="R93" s="60"/>
      <c r="S93" s="60"/>
      <c r="T93" s="60"/>
      <c r="U93" s="60"/>
      <c r="V93" s="60"/>
      <c r="W93" s="60"/>
    </row>
    <row r="94" spans="1:23">
      <c r="A94" s="72">
        <v>90</v>
      </c>
      <c r="B94" s="28"/>
      <c r="C94" s="28"/>
      <c r="D94" s="18"/>
      <c r="E94" s="68"/>
      <c r="F94" s="69"/>
      <c r="G94" s="18"/>
      <c r="H94" s="22"/>
      <c r="I94" s="22"/>
      <c r="J94" s="22"/>
      <c r="K94" s="23"/>
      <c r="L94" s="22"/>
      <c r="M94" s="22"/>
      <c r="N94" s="56"/>
      <c r="O94" s="56"/>
      <c r="P94" s="56"/>
    </row>
    <row r="95" spans="1:23">
      <c r="A95" s="72">
        <v>91</v>
      </c>
      <c r="B95" s="28"/>
      <c r="C95" s="28"/>
      <c r="D95" s="18"/>
      <c r="E95" s="68"/>
      <c r="F95" s="69"/>
      <c r="G95" s="18"/>
      <c r="H95" s="22"/>
      <c r="I95" s="22"/>
      <c r="J95" s="22"/>
      <c r="K95" s="23"/>
      <c r="L95" s="22"/>
      <c r="M95" s="22"/>
      <c r="N95" s="56"/>
      <c r="O95" s="56"/>
      <c r="P95" s="56"/>
    </row>
    <row r="96" spans="1:23">
      <c r="A96" s="72">
        <v>92</v>
      </c>
      <c r="B96" s="28"/>
      <c r="C96" s="28"/>
      <c r="D96" s="18"/>
      <c r="E96" s="68"/>
      <c r="F96" s="69"/>
      <c r="G96" s="18"/>
      <c r="H96" s="22"/>
      <c r="I96" s="22"/>
      <c r="J96" s="22"/>
      <c r="K96" s="23"/>
      <c r="L96" s="22"/>
      <c r="M96" s="22"/>
      <c r="N96" s="56"/>
      <c r="O96" s="56"/>
      <c r="P96" s="56"/>
    </row>
    <row r="97" spans="1:23">
      <c r="A97" s="72">
        <v>93</v>
      </c>
      <c r="B97" s="28"/>
      <c r="C97" s="28"/>
      <c r="D97" s="18"/>
      <c r="E97" s="68"/>
      <c r="F97" s="69"/>
      <c r="G97" s="18"/>
      <c r="H97" s="22"/>
      <c r="I97" s="22"/>
      <c r="J97" s="22"/>
      <c r="K97" s="23"/>
      <c r="L97" s="22"/>
      <c r="M97" s="22"/>
      <c r="N97" s="56"/>
      <c r="O97" s="56"/>
      <c r="P97" s="56"/>
    </row>
    <row r="98" spans="1:23">
      <c r="A98" s="72">
        <v>94</v>
      </c>
      <c r="B98" s="28"/>
      <c r="C98" s="28"/>
      <c r="D98" s="18"/>
      <c r="E98" s="68"/>
      <c r="F98" s="69"/>
      <c r="G98" s="18"/>
      <c r="H98" s="22"/>
      <c r="I98" s="22"/>
      <c r="J98" s="22"/>
      <c r="K98" s="23"/>
      <c r="L98" s="22"/>
      <c r="M98" s="22"/>
      <c r="N98" s="56"/>
      <c r="O98" s="56"/>
      <c r="P98" s="56"/>
    </row>
    <row r="99" spans="1:23">
      <c r="A99" s="72">
        <v>95</v>
      </c>
      <c r="B99" s="28"/>
      <c r="C99" s="28"/>
      <c r="D99" s="18"/>
      <c r="E99" s="68"/>
      <c r="F99" s="69"/>
      <c r="G99" s="18"/>
      <c r="H99" s="22"/>
      <c r="I99" s="22"/>
      <c r="J99" s="22"/>
      <c r="K99" s="23"/>
      <c r="L99" s="22"/>
      <c r="M99" s="22"/>
      <c r="N99" s="56"/>
      <c r="O99" s="56"/>
      <c r="P99" s="56"/>
    </row>
    <row r="100" spans="1:23">
      <c r="A100" s="72">
        <v>96</v>
      </c>
      <c r="B100" s="28"/>
      <c r="C100" s="28"/>
      <c r="D100" s="18"/>
      <c r="E100" s="68"/>
      <c r="F100" s="69"/>
      <c r="G100" s="18"/>
      <c r="H100" s="22"/>
      <c r="I100" s="22"/>
      <c r="J100" s="22"/>
      <c r="K100" s="23"/>
      <c r="L100" s="22"/>
      <c r="M100" s="22"/>
      <c r="N100" s="56"/>
      <c r="O100" s="56"/>
      <c r="P100" s="56"/>
    </row>
    <row r="101" spans="1:23">
      <c r="A101" s="72">
        <v>97</v>
      </c>
      <c r="B101" s="28"/>
      <c r="C101" s="28"/>
      <c r="D101" s="18"/>
      <c r="E101" s="68"/>
      <c r="F101" s="69"/>
      <c r="G101" s="18"/>
      <c r="H101" s="22"/>
      <c r="I101" s="22"/>
      <c r="J101" s="22"/>
      <c r="K101" s="23"/>
      <c r="L101" s="22"/>
      <c r="M101" s="22"/>
      <c r="N101" s="56"/>
      <c r="O101" s="56"/>
      <c r="P101" s="56"/>
    </row>
    <row r="102" spans="1:23">
      <c r="A102" s="72">
        <v>98</v>
      </c>
      <c r="B102" s="28"/>
      <c r="C102" s="28"/>
      <c r="D102" s="18"/>
      <c r="E102" s="68"/>
      <c r="F102" s="69"/>
      <c r="G102" s="18"/>
      <c r="H102" s="22"/>
      <c r="I102" s="22"/>
      <c r="J102" s="22"/>
      <c r="K102" s="23"/>
      <c r="L102" s="22"/>
      <c r="M102" s="22"/>
      <c r="N102" s="56"/>
      <c r="O102" s="56"/>
      <c r="P102" s="56"/>
    </row>
    <row r="103" spans="1:23">
      <c r="A103" s="72">
        <v>99</v>
      </c>
      <c r="B103" s="28"/>
      <c r="C103" s="28"/>
      <c r="D103" s="18"/>
      <c r="E103" s="68"/>
      <c r="F103" s="69"/>
      <c r="G103" s="18"/>
      <c r="H103" s="22"/>
      <c r="I103" s="22"/>
      <c r="J103" s="22"/>
      <c r="K103" s="23"/>
      <c r="L103" s="22"/>
      <c r="M103" s="22"/>
      <c r="N103" s="56"/>
      <c r="O103" s="56"/>
      <c r="P103" s="56"/>
    </row>
    <row r="104" spans="1:23" s="26" customFormat="1">
      <c r="A104" s="72">
        <v>100</v>
      </c>
      <c r="B104" s="28"/>
      <c r="C104" s="28"/>
      <c r="D104" s="18"/>
      <c r="E104" s="68"/>
      <c r="F104" s="69"/>
      <c r="G104" s="18"/>
      <c r="H104" s="22"/>
      <c r="I104" s="22"/>
      <c r="J104" s="22"/>
      <c r="K104" s="23"/>
      <c r="L104" s="22"/>
      <c r="M104" s="22"/>
      <c r="N104" s="62"/>
      <c r="O104" s="62"/>
      <c r="P104" s="62"/>
      <c r="Q104" s="63"/>
      <c r="R104" s="63"/>
      <c r="S104" s="63"/>
      <c r="T104" s="63"/>
      <c r="U104" s="63"/>
      <c r="V104" s="63"/>
      <c r="W104" s="63"/>
    </row>
    <row r="105" spans="1:23">
      <c r="A105" s="72">
        <v>101</v>
      </c>
      <c r="B105" s="28"/>
      <c r="C105" s="28"/>
      <c r="D105" s="18"/>
      <c r="E105" s="68"/>
      <c r="F105" s="69"/>
      <c r="G105" s="18"/>
      <c r="H105" s="22"/>
      <c r="I105" s="22"/>
      <c r="J105" s="22"/>
      <c r="K105" s="23"/>
      <c r="L105" s="22"/>
      <c r="M105" s="22"/>
      <c r="N105" s="62"/>
      <c r="O105" s="62"/>
      <c r="P105" s="62"/>
    </row>
    <row r="106" spans="1:23">
      <c r="A106" s="72">
        <v>102</v>
      </c>
      <c r="B106" s="28"/>
      <c r="C106" s="28"/>
      <c r="D106" s="18"/>
      <c r="E106" s="68"/>
      <c r="F106" s="69"/>
      <c r="G106" s="18"/>
      <c r="H106" s="22"/>
      <c r="I106" s="22"/>
      <c r="J106" s="22"/>
      <c r="K106" s="23"/>
      <c r="L106" s="22"/>
      <c r="M106" s="22"/>
    </row>
    <row r="107" spans="1:23">
      <c r="A107" s="72">
        <v>103</v>
      </c>
      <c r="B107" s="28"/>
      <c r="C107" s="28"/>
      <c r="D107" s="18"/>
      <c r="E107" s="68"/>
      <c r="F107" s="69"/>
      <c r="G107" s="18"/>
      <c r="H107" s="22"/>
      <c r="I107" s="22"/>
      <c r="J107" s="22"/>
      <c r="K107" s="23"/>
      <c r="L107" s="22"/>
      <c r="M107" s="22"/>
    </row>
    <row r="108" spans="1:23">
      <c r="A108" s="72">
        <v>104</v>
      </c>
      <c r="B108" s="28"/>
      <c r="C108" s="28"/>
      <c r="D108" s="18"/>
      <c r="E108" s="68"/>
      <c r="F108" s="69"/>
      <c r="G108" s="18"/>
      <c r="H108" s="22"/>
      <c r="I108" s="22"/>
      <c r="J108" s="22"/>
      <c r="K108" s="23"/>
      <c r="L108" s="22"/>
      <c r="M108" s="22"/>
    </row>
    <row r="109" spans="1:23">
      <c r="A109" s="72">
        <v>105</v>
      </c>
      <c r="B109" s="28"/>
      <c r="C109" s="28"/>
      <c r="D109" s="18"/>
      <c r="E109" s="68"/>
      <c r="F109" s="69"/>
      <c r="G109" s="18"/>
      <c r="H109" s="22"/>
      <c r="I109" s="22"/>
      <c r="J109" s="22"/>
      <c r="K109" s="23"/>
      <c r="L109" s="22"/>
      <c r="M109" s="22"/>
    </row>
    <row r="110" spans="1:23">
      <c r="A110" s="72">
        <v>106</v>
      </c>
      <c r="B110" s="28"/>
      <c r="C110" s="28"/>
      <c r="D110" s="18"/>
      <c r="E110" s="68"/>
      <c r="F110" s="69"/>
      <c r="G110" s="18"/>
      <c r="H110" s="22"/>
      <c r="I110" s="22"/>
      <c r="J110" s="22"/>
      <c r="K110" s="23"/>
      <c r="L110" s="22"/>
      <c r="M110" s="22"/>
    </row>
    <row r="111" spans="1:23">
      <c r="A111" s="72">
        <v>107</v>
      </c>
      <c r="B111" s="28"/>
      <c r="C111" s="28"/>
      <c r="D111" s="18"/>
      <c r="E111" s="68"/>
      <c r="F111" s="69"/>
      <c r="G111" s="18"/>
      <c r="H111" s="22"/>
      <c r="I111" s="22"/>
      <c r="J111" s="22"/>
      <c r="K111" s="23"/>
      <c r="L111" s="22"/>
      <c r="M111" s="22"/>
    </row>
    <row r="112" spans="1:23">
      <c r="A112" s="72">
        <v>108</v>
      </c>
      <c r="B112" s="28"/>
      <c r="C112" s="28"/>
      <c r="D112" s="18"/>
      <c r="E112" s="68"/>
      <c r="F112" s="69"/>
      <c r="G112" s="18"/>
      <c r="H112" s="22"/>
      <c r="I112" s="22"/>
      <c r="J112" s="22"/>
      <c r="K112" s="23"/>
      <c r="L112" s="22"/>
      <c r="M112" s="22"/>
    </row>
    <row r="113" spans="1:13">
      <c r="A113" s="72">
        <v>109</v>
      </c>
      <c r="B113" s="28"/>
      <c r="C113" s="28"/>
      <c r="D113" s="18"/>
      <c r="E113" s="68"/>
      <c r="F113" s="69"/>
      <c r="G113" s="18"/>
      <c r="H113" s="22"/>
      <c r="I113" s="22"/>
      <c r="J113" s="22"/>
      <c r="K113" s="23"/>
      <c r="L113" s="22"/>
      <c r="M113" s="22"/>
    </row>
    <row r="114" spans="1:13">
      <c r="A114" s="72">
        <v>110</v>
      </c>
      <c r="B114" s="28"/>
      <c r="C114" s="28"/>
      <c r="D114" s="18"/>
      <c r="E114" s="68"/>
      <c r="F114" s="69"/>
      <c r="G114" s="18"/>
      <c r="H114" s="22"/>
      <c r="I114" s="22"/>
      <c r="J114" s="22"/>
      <c r="K114" s="23"/>
      <c r="L114" s="22"/>
      <c r="M114" s="22"/>
    </row>
    <row r="115" spans="1:13">
      <c r="A115" s="72">
        <v>111</v>
      </c>
      <c r="B115" s="28"/>
      <c r="C115" s="28"/>
      <c r="D115" s="18"/>
      <c r="E115" s="68"/>
      <c r="F115" s="69"/>
      <c r="G115" s="18"/>
      <c r="H115" s="22"/>
      <c r="I115" s="22"/>
      <c r="J115" s="22"/>
      <c r="K115" s="23"/>
      <c r="L115" s="22"/>
      <c r="M115" s="22"/>
    </row>
    <row r="116" spans="1:13">
      <c r="A116" s="72">
        <v>112</v>
      </c>
      <c r="B116" s="28"/>
      <c r="C116" s="28"/>
      <c r="D116" s="18"/>
      <c r="E116" s="68"/>
      <c r="F116" s="69"/>
      <c r="G116" s="18"/>
      <c r="H116" s="22"/>
      <c r="I116" s="22"/>
      <c r="J116" s="22"/>
      <c r="K116" s="23"/>
      <c r="L116" s="22"/>
      <c r="M116" s="22"/>
    </row>
    <row r="117" spans="1:13">
      <c r="A117" s="72">
        <v>113</v>
      </c>
      <c r="B117" s="28"/>
      <c r="C117" s="28"/>
      <c r="D117" s="18"/>
      <c r="E117" s="68"/>
      <c r="F117" s="69"/>
      <c r="G117" s="18"/>
      <c r="H117" s="22"/>
      <c r="I117" s="22"/>
      <c r="J117" s="22"/>
      <c r="K117" s="23"/>
      <c r="L117" s="22"/>
      <c r="M117" s="22"/>
    </row>
    <row r="118" spans="1:13">
      <c r="A118" s="72">
        <v>114</v>
      </c>
      <c r="B118" s="28"/>
      <c r="C118" s="28"/>
      <c r="D118" s="18"/>
      <c r="E118" s="68"/>
      <c r="F118" s="69"/>
      <c r="G118" s="18"/>
      <c r="H118" s="22"/>
      <c r="I118" s="22"/>
      <c r="J118" s="22"/>
      <c r="K118" s="23"/>
      <c r="L118" s="22"/>
      <c r="M118" s="22"/>
    </row>
    <row r="119" spans="1:13">
      <c r="A119" s="72">
        <v>115</v>
      </c>
      <c r="B119" s="28"/>
      <c r="C119" s="28"/>
      <c r="D119" s="18"/>
      <c r="E119" s="68"/>
      <c r="F119" s="69"/>
      <c r="G119" s="18"/>
      <c r="H119" s="22"/>
      <c r="I119" s="22"/>
      <c r="J119" s="22"/>
      <c r="K119" s="23"/>
      <c r="L119" s="22"/>
      <c r="M119" s="22"/>
    </row>
    <row r="120" spans="1:13">
      <c r="A120" s="72">
        <v>116</v>
      </c>
      <c r="B120" s="28"/>
      <c r="C120" s="28"/>
      <c r="D120" s="18"/>
      <c r="E120" s="68"/>
      <c r="F120" s="69"/>
      <c r="G120" s="18"/>
      <c r="H120" s="22"/>
      <c r="I120" s="22"/>
      <c r="J120" s="22"/>
      <c r="K120" s="23"/>
      <c r="L120" s="22"/>
      <c r="M120" s="22"/>
    </row>
    <row r="121" spans="1:13">
      <c r="A121" s="72">
        <v>117</v>
      </c>
      <c r="B121" s="28"/>
      <c r="C121" s="28"/>
      <c r="D121" s="18"/>
      <c r="E121" s="68"/>
      <c r="F121" s="69"/>
      <c r="G121" s="18"/>
      <c r="H121" s="22"/>
      <c r="I121" s="22"/>
      <c r="J121" s="22"/>
      <c r="K121" s="23"/>
      <c r="L121" s="22"/>
      <c r="M121" s="22"/>
    </row>
    <row r="122" spans="1:13">
      <c r="A122" s="72">
        <v>118</v>
      </c>
      <c r="B122" s="28"/>
      <c r="C122" s="28"/>
      <c r="D122" s="18"/>
      <c r="E122" s="68"/>
      <c r="F122" s="69"/>
      <c r="G122" s="18"/>
      <c r="H122" s="22"/>
      <c r="I122" s="22"/>
      <c r="J122" s="22"/>
      <c r="K122" s="23"/>
      <c r="L122" s="22"/>
      <c r="M122" s="22"/>
    </row>
    <row r="123" spans="1:13">
      <c r="A123" s="72">
        <v>119</v>
      </c>
      <c r="B123" s="28"/>
      <c r="C123" s="28"/>
      <c r="D123" s="18"/>
      <c r="E123" s="68"/>
      <c r="F123" s="69"/>
      <c r="G123" s="18"/>
      <c r="H123" s="22"/>
      <c r="I123" s="22"/>
      <c r="J123" s="22"/>
      <c r="K123" s="23"/>
      <c r="L123" s="22"/>
      <c r="M123" s="22"/>
    </row>
    <row r="124" spans="1:13">
      <c r="A124" s="72">
        <v>120</v>
      </c>
      <c r="B124" s="28"/>
      <c r="C124" s="28"/>
      <c r="D124" s="18"/>
      <c r="E124" s="68"/>
      <c r="F124" s="69"/>
      <c r="G124" s="18"/>
      <c r="H124" s="22"/>
      <c r="I124" s="22"/>
      <c r="J124" s="22"/>
      <c r="K124" s="23"/>
      <c r="L124" s="22"/>
      <c r="M124" s="22"/>
    </row>
    <row r="125" spans="1:13">
      <c r="A125" s="72">
        <v>121</v>
      </c>
      <c r="B125" s="28"/>
      <c r="C125" s="28"/>
      <c r="D125" s="18"/>
      <c r="E125" s="68"/>
      <c r="F125" s="69"/>
      <c r="G125" s="18"/>
      <c r="H125" s="22"/>
      <c r="I125" s="22"/>
      <c r="J125" s="22"/>
      <c r="K125" s="23"/>
      <c r="L125" s="22"/>
      <c r="M125" s="22"/>
    </row>
    <row r="126" spans="1:13">
      <c r="A126" s="72">
        <v>122</v>
      </c>
      <c r="B126" s="28"/>
      <c r="C126" s="28"/>
      <c r="D126" s="18"/>
      <c r="E126" s="68"/>
      <c r="F126" s="69"/>
      <c r="G126" s="18"/>
      <c r="H126" s="22"/>
      <c r="I126" s="22"/>
      <c r="J126" s="22"/>
      <c r="K126" s="23"/>
      <c r="L126" s="22"/>
      <c r="M126" s="22"/>
    </row>
    <row r="127" spans="1:13">
      <c r="A127" s="72">
        <v>123</v>
      </c>
      <c r="B127" s="28"/>
      <c r="C127" s="28"/>
      <c r="D127" s="18"/>
      <c r="E127" s="68"/>
      <c r="F127" s="69"/>
      <c r="G127" s="18"/>
      <c r="H127" s="22"/>
      <c r="I127" s="22"/>
      <c r="J127" s="22"/>
      <c r="K127" s="23"/>
      <c r="L127" s="22"/>
      <c r="M127" s="22"/>
    </row>
    <row r="128" spans="1:13">
      <c r="A128" s="72">
        <v>124</v>
      </c>
      <c r="B128" s="28"/>
      <c r="C128" s="28"/>
      <c r="D128" s="18"/>
      <c r="E128" s="68"/>
      <c r="F128" s="69"/>
      <c r="G128" s="18"/>
      <c r="H128" s="22"/>
      <c r="I128" s="22"/>
      <c r="J128" s="22"/>
      <c r="K128" s="23"/>
      <c r="L128" s="22"/>
      <c r="M128" s="22"/>
    </row>
    <row r="129" spans="1:13">
      <c r="A129" s="72">
        <v>125</v>
      </c>
      <c r="B129" s="28"/>
      <c r="C129" s="28"/>
      <c r="D129" s="18"/>
      <c r="E129" s="68"/>
      <c r="F129" s="69"/>
      <c r="G129" s="18"/>
      <c r="H129" s="22"/>
      <c r="I129" s="22"/>
      <c r="J129" s="22"/>
      <c r="K129" s="23"/>
      <c r="L129" s="22"/>
      <c r="M129" s="22"/>
    </row>
    <row r="130" spans="1:13">
      <c r="A130" s="72">
        <v>126</v>
      </c>
      <c r="B130" s="28"/>
      <c r="C130" s="28"/>
      <c r="D130" s="18"/>
      <c r="E130" s="68"/>
      <c r="F130" s="69"/>
      <c r="G130" s="18"/>
      <c r="H130" s="22"/>
      <c r="I130" s="22"/>
      <c r="J130" s="22"/>
      <c r="K130" s="23"/>
      <c r="L130" s="22"/>
      <c r="M130" s="22"/>
    </row>
    <row r="131" spans="1:13">
      <c r="A131" s="72">
        <v>127</v>
      </c>
      <c r="B131" s="28"/>
      <c r="C131" s="28"/>
      <c r="D131" s="18"/>
      <c r="E131" s="68"/>
      <c r="F131" s="69"/>
      <c r="G131" s="18"/>
      <c r="H131" s="22"/>
      <c r="I131" s="22"/>
      <c r="J131" s="22"/>
      <c r="K131" s="23"/>
      <c r="L131" s="22"/>
      <c r="M131" s="22"/>
    </row>
    <row r="132" spans="1:13">
      <c r="A132" s="72">
        <v>128</v>
      </c>
      <c r="B132" s="28"/>
      <c r="C132" s="28"/>
      <c r="D132" s="18"/>
      <c r="E132" s="68"/>
      <c r="F132" s="69"/>
      <c r="G132" s="18"/>
      <c r="H132" s="22"/>
      <c r="I132" s="22"/>
      <c r="J132" s="22"/>
      <c r="K132" s="23"/>
      <c r="L132" s="22"/>
      <c r="M132" s="22"/>
    </row>
    <row r="133" spans="1:13">
      <c r="A133" s="72">
        <v>129</v>
      </c>
      <c r="B133" s="28"/>
      <c r="C133" s="28"/>
      <c r="D133" s="18"/>
      <c r="E133" s="68"/>
      <c r="F133" s="69"/>
      <c r="G133" s="18"/>
      <c r="H133" s="22"/>
      <c r="I133" s="22"/>
      <c r="J133" s="22"/>
      <c r="K133" s="23"/>
      <c r="L133" s="22"/>
      <c r="M133" s="22"/>
    </row>
    <row r="134" spans="1:13">
      <c r="A134" s="72">
        <v>130</v>
      </c>
      <c r="B134" s="28"/>
      <c r="C134" s="28"/>
      <c r="D134" s="18"/>
      <c r="E134" s="68"/>
      <c r="F134" s="69"/>
      <c r="G134" s="18"/>
      <c r="H134" s="22"/>
      <c r="I134" s="22"/>
      <c r="J134" s="22"/>
      <c r="K134" s="23"/>
      <c r="L134" s="22"/>
      <c r="M134" s="22"/>
    </row>
    <row r="135" spans="1:13">
      <c r="A135" s="72">
        <v>131</v>
      </c>
      <c r="B135" s="28"/>
      <c r="C135" s="28"/>
      <c r="D135" s="18"/>
      <c r="E135" s="68"/>
      <c r="F135" s="69"/>
      <c r="G135" s="18"/>
      <c r="H135" s="22"/>
      <c r="I135" s="22"/>
      <c r="J135" s="22"/>
      <c r="K135" s="23"/>
      <c r="L135" s="22"/>
      <c r="M135" s="22"/>
    </row>
    <row r="136" spans="1:13">
      <c r="A136" s="72">
        <v>132</v>
      </c>
      <c r="B136" s="28"/>
      <c r="C136" s="28"/>
      <c r="D136" s="18"/>
      <c r="E136" s="68"/>
      <c r="F136" s="69"/>
      <c r="G136" s="18"/>
      <c r="H136" s="22"/>
      <c r="I136" s="22"/>
      <c r="J136" s="22"/>
      <c r="K136" s="23"/>
      <c r="L136" s="22"/>
      <c r="M136" s="22"/>
    </row>
    <row r="137" spans="1:13">
      <c r="A137" s="72">
        <v>133</v>
      </c>
      <c r="B137" s="28"/>
      <c r="C137" s="28"/>
      <c r="D137" s="18"/>
      <c r="E137" s="68"/>
      <c r="F137" s="69"/>
      <c r="G137" s="18"/>
      <c r="H137" s="22"/>
      <c r="I137" s="22"/>
      <c r="J137" s="22"/>
      <c r="K137" s="23"/>
      <c r="L137" s="22"/>
      <c r="M137" s="22"/>
    </row>
    <row r="138" spans="1:13">
      <c r="A138" s="72">
        <v>134</v>
      </c>
      <c r="B138" s="28"/>
      <c r="C138" s="28"/>
      <c r="D138" s="18"/>
      <c r="E138" s="68"/>
      <c r="F138" s="69"/>
      <c r="G138" s="18"/>
      <c r="H138" s="22"/>
      <c r="I138" s="22"/>
      <c r="J138" s="22"/>
      <c r="K138" s="23"/>
      <c r="L138" s="22"/>
      <c r="M138" s="22"/>
    </row>
    <row r="139" spans="1:13">
      <c r="A139" s="72">
        <v>135</v>
      </c>
      <c r="B139" s="28"/>
      <c r="C139" s="28"/>
      <c r="D139" s="18"/>
      <c r="E139" s="68"/>
      <c r="F139" s="69"/>
      <c r="G139" s="18"/>
      <c r="H139" s="22"/>
      <c r="I139" s="22"/>
      <c r="J139" s="22"/>
      <c r="K139" s="23"/>
      <c r="L139" s="22"/>
      <c r="M139" s="22"/>
    </row>
    <row r="140" spans="1:13">
      <c r="A140" s="72">
        <v>136</v>
      </c>
      <c r="B140" s="28"/>
      <c r="C140" s="28"/>
      <c r="D140" s="18"/>
      <c r="E140" s="68"/>
      <c r="F140" s="69"/>
      <c r="G140" s="18"/>
      <c r="H140" s="22"/>
      <c r="I140" s="22"/>
      <c r="J140" s="22"/>
      <c r="K140" s="23"/>
      <c r="L140" s="22"/>
      <c r="M140" s="22"/>
    </row>
    <row r="141" spans="1:13">
      <c r="A141" s="72">
        <v>137</v>
      </c>
      <c r="B141" s="28"/>
      <c r="C141" s="28"/>
      <c r="D141" s="18"/>
      <c r="E141" s="68"/>
      <c r="F141" s="69"/>
      <c r="G141" s="18"/>
      <c r="H141" s="22"/>
      <c r="I141" s="22"/>
      <c r="J141" s="22"/>
      <c r="K141" s="23"/>
      <c r="L141" s="22"/>
      <c r="M141" s="22"/>
    </row>
    <row r="142" spans="1:13">
      <c r="A142" s="72">
        <v>138</v>
      </c>
      <c r="B142" s="28"/>
      <c r="C142" s="28"/>
      <c r="D142" s="18"/>
      <c r="E142" s="68"/>
      <c r="F142" s="69"/>
      <c r="G142" s="18"/>
      <c r="H142" s="22"/>
      <c r="I142" s="22"/>
      <c r="J142" s="22"/>
      <c r="K142" s="23"/>
      <c r="L142" s="22"/>
      <c r="M142" s="22"/>
    </row>
    <row r="143" spans="1:13">
      <c r="A143" s="72">
        <v>139</v>
      </c>
      <c r="B143" s="28"/>
      <c r="C143" s="28"/>
      <c r="D143" s="18"/>
      <c r="E143" s="68"/>
      <c r="F143" s="69"/>
      <c r="G143" s="18"/>
      <c r="H143" s="22"/>
      <c r="I143" s="22"/>
      <c r="J143" s="22"/>
      <c r="K143" s="23"/>
      <c r="L143" s="22"/>
      <c r="M143" s="22"/>
    </row>
    <row r="144" spans="1:13">
      <c r="A144" s="72">
        <v>140</v>
      </c>
      <c r="B144" s="28"/>
      <c r="C144" s="28"/>
      <c r="D144" s="18"/>
      <c r="E144" s="68"/>
      <c r="F144" s="69"/>
      <c r="G144" s="18"/>
      <c r="H144" s="22"/>
      <c r="I144" s="22"/>
      <c r="J144" s="22"/>
      <c r="K144" s="23"/>
      <c r="L144" s="22"/>
      <c r="M144" s="22"/>
    </row>
    <row r="145" spans="1:13">
      <c r="A145" s="72">
        <v>141</v>
      </c>
      <c r="B145" s="28"/>
      <c r="C145" s="28"/>
      <c r="D145" s="18"/>
      <c r="E145" s="68"/>
      <c r="F145" s="69"/>
      <c r="G145" s="18"/>
      <c r="H145" s="22"/>
      <c r="I145" s="22"/>
      <c r="J145" s="22"/>
      <c r="K145" s="23"/>
      <c r="L145" s="22"/>
      <c r="M145" s="22"/>
    </row>
    <row r="146" spans="1:13">
      <c r="A146" s="72">
        <v>142</v>
      </c>
      <c r="B146" s="28"/>
      <c r="C146" s="28"/>
      <c r="D146" s="18"/>
      <c r="E146" s="68"/>
      <c r="F146" s="69"/>
      <c r="G146" s="18"/>
      <c r="H146" s="22"/>
      <c r="I146" s="22"/>
      <c r="J146" s="22"/>
      <c r="K146" s="23"/>
      <c r="L146" s="22"/>
      <c r="M146" s="22"/>
    </row>
    <row r="147" spans="1:13">
      <c r="A147" s="72">
        <v>143</v>
      </c>
      <c r="B147" s="28"/>
      <c r="C147" s="28"/>
      <c r="D147" s="18"/>
      <c r="E147" s="68"/>
      <c r="F147" s="69"/>
      <c r="G147" s="18"/>
      <c r="H147" s="22"/>
      <c r="I147" s="22"/>
      <c r="J147" s="22"/>
      <c r="K147" s="23"/>
      <c r="L147" s="22"/>
      <c r="M147" s="22"/>
    </row>
    <row r="148" spans="1:13">
      <c r="A148" s="72">
        <v>144</v>
      </c>
      <c r="B148" s="28"/>
      <c r="C148" s="28"/>
      <c r="D148" s="18"/>
      <c r="E148" s="68"/>
      <c r="F148" s="69"/>
      <c r="G148" s="18"/>
      <c r="H148" s="22"/>
      <c r="I148" s="22"/>
      <c r="J148" s="22"/>
      <c r="K148" s="23"/>
      <c r="L148" s="22"/>
      <c r="M148" s="22"/>
    </row>
    <row r="149" spans="1:13">
      <c r="A149" s="72">
        <v>145</v>
      </c>
      <c r="B149" s="28"/>
      <c r="C149" s="28"/>
      <c r="D149" s="18"/>
      <c r="E149" s="68"/>
      <c r="F149" s="69"/>
      <c r="G149" s="18"/>
      <c r="H149" s="22"/>
      <c r="I149" s="22"/>
      <c r="J149" s="22"/>
      <c r="K149" s="23"/>
      <c r="L149" s="22"/>
      <c r="M149" s="22"/>
    </row>
    <row r="150" spans="1:13">
      <c r="A150" s="72">
        <v>146</v>
      </c>
      <c r="B150" s="28"/>
      <c r="C150" s="28"/>
      <c r="D150" s="18"/>
      <c r="E150" s="68"/>
      <c r="F150" s="69"/>
      <c r="G150" s="18"/>
      <c r="H150" s="22"/>
      <c r="I150" s="22"/>
      <c r="J150" s="22"/>
      <c r="K150" s="23"/>
      <c r="L150" s="22"/>
      <c r="M150" s="22"/>
    </row>
    <row r="151" spans="1:13">
      <c r="A151" s="72">
        <v>147</v>
      </c>
      <c r="B151" s="28"/>
      <c r="C151" s="28"/>
      <c r="D151" s="18"/>
      <c r="E151" s="68"/>
      <c r="F151" s="69"/>
      <c r="G151" s="18"/>
      <c r="H151" s="22"/>
      <c r="I151" s="22"/>
      <c r="J151" s="22"/>
      <c r="K151" s="23"/>
      <c r="L151" s="22"/>
      <c r="M151" s="22"/>
    </row>
    <row r="152" spans="1:13">
      <c r="A152" s="72">
        <v>148</v>
      </c>
      <c r="B152" s="28"/>
      <c r="C152" s="28"/>
      <c r="D152" s="18"/>
      <c r="E152" s="68"/>
      <c r="F152" s="69"/>
      <c r="G152" s="18"/>
      <c r="H152" s="22"/>
      <c r="I152" s="22"/>
      <c r="J152" s="22"/>
      <c r="K152" s="23"/>
      <c r="L152" s="22"/>
      <c r="M152" s="22"/>
    </row>
    <row r="153" spans="1:13">
      <c r="A153" s="72">
        <v>149</v>
      </c>
      <c r="B153" s="28"/>
      <c r="C153" s="28"/>
      <c r="D153" s="18"/>
      <c r="E153" s="68"/>
      <c r="F153" s="69"/>
      <c r="G153" s="18"/>
      <c r="H153" s="22"/>
      <c r="I153" s="22"/>
      <c r="J153" s="22"/>
      <c r="K153" s="23"/>
      <c r="L153" s="22"/>
      <c r="M153" s="22"/>
    </row>
    <row r="154" spans="1:13">
      <c r="A154" s="72">
        <v>150</v>
      </c>
      <c r="B154" s="28"/>
      <c r="C154" s="28"/>
      <c r="D154" s="18"/>
      <c r="E154" s="68"/>
      <c r="F154" s="69"/>
      <c r="G154" s="18"/>
      <c r="H154" s="22"/>
      <c r="I154" s="22"/>
      <c r="J154" s="22"/>
      <c r="K154" s="23"/>
      <c r="L154" s="22"/>
      <c r="M154" s="22"/>
    </row>
    <row r="155" spans="1:13">
      <c r="A155" s="72">
        <v>151</v>
      </c>
      <c r="B155" s="28"/>
      <c r="C155" s="28"/>
      <c r="D155" s="18"/>
      <c r="E155" s="68"/>
      <c r="F155" s="69"/>
      <c r="G155" s="18"/>
      <c r="H155" s="22"/>
      <c r="I155" s="22"/>
      <c r="J155" s="22"/>
      <c r="K155" s="23"/>
      <c r="L155" s="22"/>
      <c r="M155" s="22"/>
    </row>
    <row r="156" spans="1:13">
      <c r="A156" s="72">
        <v>152</v>
      </c>
      <c r="B156" s="28"/>
      <c r="C156" s="28"/>
      <c r="D156" s="18"/>
      <c r="E156" s="68"/>
      <c r="F156" s="69"/>
      <c r="G156" s="18"/>
      <c r="H156" s="22"/>
      <c r="I156" s="22"/>
      <c r="J156" s="22"/>
      <c r="K156" s="23"/>
      <c r="L156" s="22"/>
      <c r="M156" s="22"/>
    </row>
    <row r="157" spans="1:13">
      <c r="A157" s="72">
        <v>153</v>
      </c>
      <c r="B157" s="28"/>
      <c r="C157" s="28"/>
      <c r="D157" s="18"/>
      <c r="E157" s="68"/>
      <c r="F157" s="69"/>
      <c r="G157" s="18"/>
      <c r="H157" s="22"/>
      <c r="I157" s="22"/>
      <c r="J157" s="22"/>
      <c r="K157" s="23"/>
      <c r="L157" s="22"/>
      <c r="M157" s="22"/>
    </row>
    <row r="158" spans="1:13">
      <c r="A158" s="72">
        <v>154</v>
      </c>
      <c r="B158" s="28"/>
      <c r="C158" s="28"/>
      <c r="D158" s="18"/>
      <c r="E158" s="68"/>
      <c r="F158" s="69"/>
      <c r="G158" s="18"/>
      <c r="H158" s="22"/>
      <c r="I158" s="22"/>
      <c r="J158" s="22"/>
      <c r="K158" s="23"/>
      <c r="L158" s="22"/>
      <c r="M158" s="22"/>
    </row>
    <row r="159" spans="1:13">
      <c r="A159" s="72">
        <v>155</v>
      </c>
      <c r="B159" s="28"/>
      <c r="C159" s="28"/>
      <c r="D159" s="18"/>
      <c r="E159" s="68"/>
      <c r="F159" s="69"/>
      <c r="G159" s="18"/>
      <c r="H159" s="22"/>
      <c r="I159" s="22"/>
      <c r="J159" s="22"/>
      <c r="K159" s="23"/>
      <c r="L159" s="22"/>
      <c r="M159" s="22"/>
    </row>
    <row r="160" spans="1:13">
      <c r="A160" s="72">
        <v>156</v>
      </c>
      <c r="B160" s="28"/>
      <c r="C160" s="28"/>
      <c r="D160" s="18"/>
      <c r="E160" s="68"/>
      <c r="F160" s="69"/>
      <c r="G160" s="18"/>
      <c r="H160" s="22"/>
      <c r="I160" s="22"/>
      <c r="J160" s="22"/>
      <c r="K160" s="23"/>
      <c r="L160" s="22"/>
      <c r="M160" s="22"/>
    </row>
    <row r="161" spans="1:13">
      <c r="A161" s="72">
        <v>157</v>
      </c>
      <c r="B161" s="28"/>
      <c r="C161" s="28"/>
      <c r="D161" s="18"/>
      <c r="E161" s="68"/>
      <c r="F161" s="69"/>
      <c r="G161" s="18"/>
      <c r="H161" s="22"/>
      <c r="I161" s="22"/>
      <c r="J161" s="22"/>
      <c r="K161" s="23"/>
      <c r="L161" s="22"/>
      <c r="M161" s="22"/>
    </row>
    <row r="162" spans="1:13">
      <c r="A162" s="72">
        <v>158</v>
      </c>
      <c r="B162" s="28"/>
      <c r="C162" s="28"/>
      <c r="D162" s="18"/>
      <c r="E162" s="68"/>
      <c r="F162" s="69"/>
      <c r="G162" s="18"/>
      <c r="H162" s="22"/>
      <c r="I162" s="22"/>
      <c r="J162" s="22"/>
      <c r="K162" s="23"/>
      <c r="L162" s="22"/>
      <c r="M162" s="22"/>
    </row>
    <row r="163" spans="1:13">
      <c r="A163" s="72">
        <v>159</v>
      </c>
      <c r="B163" s="28"/>
      <c r="C163" s="28"/>
      <c r="D163" s="18"/>
      <c r="E163" s="68"/>
      <c r="F163" s="69"/>
      <c r="G163" s="18"/>
      <c r="H163" s="22"/>
      <c r="I163" s="22"/>
      <c r="J163" s="22"/>
      <c r="K163" s="23"/>
      <c r="L163" s="22"/>
      <c r="M163" s="22"/>
    </row>
    <row r="164" spans="1:13">
      <c r="A164" s="72">
        <v>160</v>
      </c>
      <c r="B164" s="28"/>
      <c r="C164" s="28"/>
      <c r="D164" s="18"/>
      <c r="E164" s="68"/>
      <c r="F164" s="69"/>
      <c r="G164" s="18"/>
      <c r="H164" s="22"/>
      <c r="I164" s="22"/>
      <c r="J164" s="22"/>
      <c r="K164" s="23"/>
      <c r="L164" s="22"/>
      <c r="M164" s="22"/>
    </row>
    <row r="165" spans="1:13">
      <c r="A165" s="72">
        <v>161</v>
      </c>
      <c r="B165" s="28"/>
      <c r="C165" s="28"/>
      <c r="D165" s="18"/>
      <c r="E165" s="68"/>
      <c r="F165" s="69"/>
      <c r="G165" s="18"/>
      <c r="H165" s="22"/>
      <c r="I165" s="22"/>
      <c r="J165" s="22"/>
      <c r="K165" s="23"/>
      <c r="L165" s="22"/>
      <c r="M165" s="22"/>
    </row>
    <row r="166" spans="1:13">
      <c r="A166" s="72">
        <v>162</v>
      </c>
      <c r="B166" s="28"/>
      <c r="C166" s="28"/>
      <c r="D166" s="18"/>
      <c r="E166" s="68"/>
      <c r="F166" s="69"/>
      <c r="G166" s="18"/>
      <c r="H166" s="22"/>
      <c r="I166" s="22"/>
      <c r="J166" s="22"/>
      <c r="K166" s="23"/>
      <c r="L166" s="22"/>
      <c r="M166" s="22"/>
    </row>
    <row r="167" spans="1:13">
      <c r="A167" s="72">
        <v>163</v>
      </c>
      <c r="B167" s="28"/>
      <c r="C167" s="28"/>
      <c r="D167" s="18"/>
      <c r="E167" s="68"/>
      <c r="F167" s="69"/>
      <c r="G167" s="18"/>
      <c r="H167" s="22"/>
      <c r="I167" s="22"/>
      <c r="J167" s="22"/>
      <c r="K167" s="23"/>
      <c r="L167" s="22"/>
      <c r="M167" s="22"/>
    </row>
    <row r="168" spans="1:13">
      <c r="A168" s="72">
        <v>164</v>
      </c>
      <c r="B168" s="28"/>
      <c r="C168" s="28"/>
      <c r="D168" s="18"/>
      <c r="E168" s="68"/>
      <c r="F168" s="69"/>
      <c r="G168" s="18"/>
      <c r="H168" s="22"/>
      <c r="I168" s="22"/>
      <c r="J168" s="22"/>
      <c r="K168" s="23"/>
      <c r="L168" s="22"/>
      <c r="M168" s="22"/>
    </row>
    <row r="169" spans="1:13">
      <c r="A169" s="72">
        <v>165</v>
      </c>
      <c r="B169" s="28"/>
      <c r="C169" s="28"/>
      <c r="D169" s="18"/>
      <c r="E169" s="68"/>
      <c r="F169" s="69"/>
      <c r="G169" s="18"/>
      <c r="H169" s="22"/>
      <c r="I169" s="22"/>
      <c r="J169" s="22"/>
      <c r="K169" s="23"/>
      <c r="L169" s="22"/>
      <c r="M169" s="22"/>
    </row>
    <row r="170" spans="1:13">
      <c r="A170" s="72">
        <v>166</v>
      </c>
      <c r="B170" s="28"/>
      <c r="C170" s="28"/>
      <c r="D170" s="18"/>
      <c r="E170" s="68"/>
      <c r="F170" s="69"/>
      <c r="G170" s="18"/>
      <c r="H170" s="22"/>
      <c r="I170" s="22"/>
      <c r="J170" s="22"/>
      <c r="K170" s="23"/>
      <c r="L170" s="22"/>
      <c r="M170" s="22"/>
    </row>
    <row r="171" spans="1:13">
      <c r="A171" s="72">
        <v>167</v>
      </c>
      <c r="B171" s="28"/>
      <c r="C171" s="28"/>
      <c r="D171" s="18"/>
      <c r="E171" s="68"/>
      <c r="F171" s="69"/>
      <c r="G171" s="18"/>
      <c r="H171" s="22"/>
      <c r="I171" s="22"/>
      <c r="J171" s="22"/>
      <c r="K171" s="23"/>
      <c r="L171" s="22"/>
      <c r="M171" s="22"/>
    </row>
    <row r="172" spans="1:13">
      <c r="A172" s="72">
        <v>168</v>
      </c>
      <c r="B172" s="28"/>
      <c r="C172" s="28"/>
      <c r="D172" s="18"/>
      <c r="E172" s="68"/>
      <c r="F172" s="69"/>
      <c r="G172" s="18"/>
      <c r="H172" s="22"/>
      <c r="I172" s="22"/>
      <c r="J172" s="22"/>
      <c r="K172" s="23"/>
      <c r="L172" s="22"/>
      <c r="M172" s="22"/>
    </row>
    <row r="173" spans="1:13">
      <c r="A173" s="72">
        <v>169</v>
      </c>
      <c r="B173" s="28"/>
      <c r="C173" s="28"/>
      <c r="D173" s="18"/>
      <c r="E173" s="68"/>
      <c r="F173" s="69"/>
      <c r="G173" s="18"/>
      <c r="H173" s="22"/>
      <c r="I173" s="22"/>
      <c r="J173" s="22"/>
      <c r="K173" s="23"/>
      <c r="L173" s="22"/>
      <c r="M173" s="22"/>
    </row>
    <row r="174" spans="1:13">
      <c r="A174" s="72">
        <v>170</v>
      </c>
      <c r="B174" s="28"/>
      <c r="C174" s="28"/>
      <c r="D174" s="18"/>
      <c r="E174" s="68"/>
      <c r="F174" s="69"/>
      <c r="G174" s="18"/>
      <c r="H174" s="22"/>
      <c r="I174" s="22"/>
      <c r="J174" s="22"/>
      <c r="K174" s="23"/>
      <c r="L174" s="22"/>
      <c r="M174" s="22"/>
    </row>
    <row r="175" spans="1:13">
      <c r="A175" s="72">
        <v>171</v>
      </c>
      <c r="B175" s="28"/>
      <c r="C175" s="28"/>
      <c r="D175" s="18"/>
      <c r="E175" s="68"/>
      <c r="F175" s="69"/>
      <c r="G175" s="18"/>
      <c r="H175" s="22"/>
      <c r="I175" s="22"/>
      <c r="J175" s="22"/>
      <c r="K175" s="23"/>
      <c r="L175" s="22"/>
      <c r="M175" s="22"/>
    </row>
    <row r="176" spans="1:13">
      <c r="A176" s="72">
        <v>172</v>
      </c>
      <c r="B176" s="28"/>
      <c r="C176" s="28"/>
      <c r="D176" s="18"/>
      <c r="E176" s="68"/>
      <c r="F176" s="69"/>
      <c r="G176" s="18"/>
      <c r="H176" s="22"/>
      <c r="I176" s="22"/>
      <c r="J176" s="22"/>
      <c r="K176" s="23"/>
      <c r="L176" s="22"/>
      <c r="M176" s="22"/>
    </row>
    <row r="177" spans="1:13">
      <c r="A177" s="72">
        <v>173</v>
      </c>
      <c r="B177" s="28"/>
      <c r="C177" s="28"/>
      <c r="D177" s="18"/>
      <c r="E177" s="68"/>
      <c r="F177" s="69"/>
      <c r="G177" s="18"/>
      <c r="H177" s="22"/>
      <c r="I177" s="22"/>
      <c r="J177" s="22"/>
      <c r="K177" s="23"/>
      <c r="L177" s="22"/>
      <c r="M177" s="22"/>
    </row>
    <row r="178" spans="1:13">
      <c r="A178" s="72">
        <v>174</v>
      </c>
      <c r="B178" s="28"/>
      <c r="C178" s="28"/>
      <c r="D178" s="18"/>
      <c r="E178" s="68"/>
      <c r="F178" s="69"/>
      <c r="G178" s="18"/>
      <c r="H178" s="22"/>
      <c r="I178" s="22"/>
      <c r="J178" s="22"/>
      <c r="K178" s="23"/>
      <c r="L178" s="22"/>
      <c r="M178" s="22"/>
    </row>
    <row r="179" spans="1:13">
      <c r="A179" s="72">
        <v>175</v>
      </c>
      <c r="B179" s="28"/>
      <c r="C179" s="28"/>
      <c r="D179" s="18"/>
      <c r="E179" s="68"/>
      <c r="F179" s="69"/>
      <c r="G179" s="18"/>
      <c r="H179" s="22"/>
      <c r="I179" s="22"/>
      <c r="J179" s="22"/>
      <c r="K179" s="23"/>
      <c r="L179" s="22"/>
      <c r="M179" s="22"/>
    </row>
    <row r="180" spans="1:13">
      <c r="A180" s="72">
        <v>176</v>
      </c>
      <c r="B180" s="28"/>
      <c r="C180" s="28"/>
      <c r="D180" s="18"/>
      <c r="E180" s="68"/>
      <c r="F180" s="69"/>
      <c r="G180" s="18"/>
      <c r="H180" s="22"/>
      <c r="I180" s="22"/>
      <c r="J180" s="22"/>
      <c r="K180" s="23"/>
      <c r="L180" s="22"/>
      <c r="M180" s="22"/>
    </row>
    <row r="181" spans="1:13">
      <c r="A181" s="72">
        <v>177</v>
      </c>
      <c r="B181" s="28"/>
      <c r="C181" s="28"/>
      <c r="D181" s="18"/>
      <c r="E181" s="68"/>
      <c r="F181" s="69"/>
      <c r="G181" s="18"/>
      <c r="H181" s="22"/>
      <c r="I181" s="22"/>
      <c r="J181" s="22"/>
      <c r="K181" s="23"/>
      <c r="L181" s="22"/>
      <c r="M181" s="22"/>
    </row>
    <row r="182" spans="1:13">
      <c r="A182" s="72">
        <v>178</v>
      </c>
      <c r="B182" s="28"/>
      <c r="C182" s="28"/>
      <c r="D182" s="18"/>
      <c r="E182" s="68"/>
      <c r="F182" s="69"/>
      <c r="G182" s="18"/>
      <c r="H182" s="22"/>
      <c r="I182" s="22"/>
      <c r="J182" s="22"/>
      <c r="K182" s="23"/>
      <c r="L182" s="22"/>
      <c r="M182" s="22"/>
    </row>
    <row r="183" spans="1:13">
      <c r="A183" s="72">
        <v>179</v>
      </c>
      <c r="B183" s="28"/>
      <c r="C183" s="28"/>
      <c r="D183" s="18"/>
      <c r="E183" s="68"/>
      <c r="F183" s="69"/>
      <c r="G183" s="18"/>
      <c r="H183" s="22"/>
      <c r="I183" s="22"/>
      <c r="J183" s="22"/>
      <c r="K183" s="23"/>
      <c r="L183" s="22"/>
      <c r="M183" s="22"/>
    </row>
    <row r="184" spans="1:13">
      <c r="A184" s="72">
        <v>180</v>
      </c>
      <c r="B184" s="28"/>
      <c r="C184" s="28"/>
      <c r="D184" s="18"/>
      <c r="E184" s="68"/>
      <c r="F184" s="69"/>
      <c r="G184" s="18"/>
      <c r="H184" s="22"/>
      <c r="I184" s="22"/>
      <c r="J184" s="22"/>
      <c r="K184" s="23"/>
      <c r="L184" s="22"/>
      <c r="M184" s="22"/>
    </row>
    <row r="185" spans="1:13">
      <c r="A185" s="72">
        <v>181</v>
      </c>
      <c r="B185" s="28"/>
      <c r="C185" s="28"/>
      <c r="D185" s="18"/>
      <c r="E185" s="68"/>
      <c r="F185" s="69"/>
      <c r="G185" s="18"/>
      <c r="H185" s="22"/>
      <c r="I185" s="22"/>
      <c r="J185" s="22"/>
      <c r="K185" s="23"/>
      <c r="L185" s="22"/>
      <c r="M185" s="22"/>
    </row>
    <row r="186" spans="1:13">
      <c r="A186" s="72">
        <v>182</v>
      </c>
      <c r="B186" s="28"/>
      <c r="C186" s="28"/>
      <c r="D186" s="18"/>
      <c r="E186" s="68"/>
      <c r="F186" s="69"/>
      <c r="G186" s="18"/>
      <c r="H186" s="22"/>
      <c r="I186" s="22"/>
      <c r="J186" s="22"/>
      <c r="K186" s="23"/>
      <c r="L186" s="22"/>
      <c r="M186" s="22"/>
    </row>
    <row r="187" spans="1:13">
      <c r="A187" s="72">
        <v>183</v>
      </c>
      <c r="B187" s="28"/>
      <c r="C187" s="28"/>
      <c r="D187" s="18"/>
      <c r="E187" s="68"/>
      <c r="F187" s="69"/>
      <c r="G187" s="18"/>
      <c r="H187" s="22"/>
      <c r="I187" s="22"/>
      <c r="J187" s="22"/>
      <c r="K187" s="23"/>
      <c r="L187" s="22"/>
      <c r="M187" s="22"/>
    </row>
    <row r="188" spans="1:13">
      <c r="A188" s="72">
        <v>184</v>
      </c>
      <c r="B188" s="28"/>
      <c r="C188" s="28"/>
      <c r="D188" s="18"/>
      <c r="E188" s="68"/>
      <c r="F188" s="69"/>
      <c r="G188" s="18"/>
      <c r="H188" s="22"/>
      <c r="I188" s="22"/>
      <c r="J188" s="22"/>
      <c r="K188" s="23"/>
      <c r="L188" s="22"/>
      <c r="M188" s="22"/>
    </row>
    <row r="189" spans="1:13">
      <c r="A189" s="72">
        <v>185</v>
      </c>
      <c r="B189" s="28"/>
      <c r="C189" s="28"/>
      <c r="D189" s="18"/>
      <c r="E189" s="68"/>
      <c r="F189" s="69"/>
      <c r="G189" s="18"/>
      <c r="H189" s="22"/>
      <c r="I189" s="22"/>
      <c r="J189" s="22"/>
      <c r="K189" s="23"/>
      <c r="L189" s="22"/>
      <c r="M189" s="22"/>
    </row>
    <row r="190" spans="1:13">
      <c r="A190" s="72">
        <v>186</v>
      </c>
      <c r="B190" s="28"/>
      <c r="C190" s="28"/>
      <c r="D190" s="18"/>
      <c r="E190" s="68"/>
      <c r="F190" s="69"/>
      <c r="G190" s="18"/>
      <c r="H190" s="22"/>
      <c r="I190" s="22"/>
      <c r="J190" s="22"/>
      <c r="K190" s="23"/>
      <c r="L190" s="22"/>
      <c r="M190" s="22"/>
    </row>
    <row r="191" spans="1:13">
      <c r="A191" s="72">
        <v>187</v>
      </c>
      <c r="B191" s="28"/>
      <c r="C191" s="28"/>
      <c r="D191" s="18"/>
      <c r="E191" s="68"/>
      <c r="F191" s="69"/>
      <c r="G191" s="18"/>
      <c r="H191" s="22"/>
      <c r="I191" s="22"/>
      <c r="J191" s="22"/>
      <c r="K191" s="23"/>
      <c r="L191" s="22"/>
      <c r="M191" s="22"/>
    </row>
    <row r="192" spans="1:13">
      <c r="A192" s="72">
        <v>188</v>
      </c>
      <c r="B192" s="28"/>
      <c r="C192" s="28"/>
      <c r="D192" s="18"/>
      <c r="E192" s="68"/>
      <c r="F192" s="69"/>
      <c r="G192" s="18"/>
      <c r="H192" s="22"/>
      <c r="I192" s="22"/>
      <c r="J192" s="22"/>
      <c r="K192" s="23"/>
      <c r="L192" s="22"/>
      <c r="M192" s="22"/>
    </row>
    <row r="193" spans="1:13">
      <c r="A193" s="72">
        <v>189</v>
      </c>
      <c r="B193" s="28"/>
      <c r="C193" s="28"/>
      <c r="D193" s="18"/>
      <c r="E193" s="68"/>
      <c r="F193" s="69"/>
      <c r="G193" s="18"/>
      <c r="H193" s="22"/>
      <c r="I193" s="22"/>
      <c r="J193" s="22"/>
      <c r="K193" s="23"/>
      <c r="L193" s="22"/>
      <c r="M193" s="22"/>
    </row>
    <row r="194" spans="1:13">
      <c r="A194" s="72">
        <v>190</v>
      </c>
      <c r="B194" s="28"/>
      <c r="C194" s="28"/>
      <c r="D194" s="18"/>
      <c r="E194" s="68"/>
      <c r="F194" s="69"/>
      <c r="G194" s="18"/>
      <c r="H194" s="22"/>
      <c r="I194" s="22"/>
      <c r="J194" s="22"/>
      <c r="K194" s="23"/>
      <c r="L194" s="22"/>
      <c r="M194" s="22"/>
    </row>
    <row r="195" spans="1:13">
      <c r="A195" s="72">
        <v>191</v>
      </c>
      <c r="B195" s="28"/>
      <c r="C195" s="28"/>
      <c r="D195" s="18"/>
      <c r="E195" s="68"/>
      <c r="F195" s="69"/>
      <c r="G195" s="18"/>
      <c r="H195" s="22"/>
      <c r="I195" s="22"/>
      <c r="J195" s="22"/>
      <c r="K195" s="23"/>
      <c r="L195" s="22"/>
      <c r="M195" s="22"/>
    </row>
    <row r="196" spans="1:13">
      <c r="A196" s="72">
        <v>192</v>
      </c>
      <c r="B196" s="28"/>
      <c r="C196" s="28"/>
      <c r="D196" s="18"/>
      <c r="E196" s="68"/>
      <c r="F196" s="69"/>
      <c r="G196" s="18"/>
      <c r="H196" s="22"/>
      <c r="I196" s="22"/>
      <c r="J196" s="22"/>
      <c r="K196" s="23"/>
      <c r="L196" s="22"/>
      <c r="M196" s="22"/>
    </row>
    <row r="197" spans="1:13">
      <c r="A197" s="72">
        <v>193</v>
      </c>
      <c r="B197" s="28"/>
      <c r="C197" s="28"/>
      <c r="D197" s="18"/>
      <c r="E197" s="68"/>
      <c r="F197" s="69"/>
      <c r="G197" s="18"/>
      <c r="H197" s="22"/>
      <c r="I197" s="22"/>
      <c r="J197" s="22"/>
      <c r="K197" s="23"/>
      <c r="L197" s="22"/>
      <c r="M197" s="22"/>
    </row>
    <row r="198" spans="1:13">
      <c r="A198" s="72">
        <v>194</v>
      </c>
      <c r="B198" s="28"/>
      <c r="C198" s="28"/>
      <c r="D198" s="18"/>
      <c r="E198" s="68"/>
      <c r="F198" s="69"/>
      <c r="G198" s="18"/>
      <c r="H198" s="22"/>
      <c r="I198" s="22"/>
      <c r="J198" s="22"/>
      <c r="K198" s="23"/>
      <c r="L198" s="22"/>
      <c r="M198" s="22"/>
    </row>
    <row r="199" spans="1:13">
      <c r="A199" s="72">
        <v>195</v>
      </c>
      <c r="B199" s="28"/>
      <c r="C199" s="28"/>
      <c r="D199" s="18"/>
      <c r="E199" s="68"/>
      <c r="F199" s="69"/>
      <c r="G199" s="18"/>
      <c r="H199" s="22"/>
      <c r="I199" s="22"/>
      <c r="J199" s="22"/>
      <c r="K199" s="23"/>
      <c r="L199" s="22"/>
      <c r="M199" s="22"/>
    </row>
    <row r="200" spans="1:13">
      <c r="A200" s="72">
        <v>196</v>
      </c>
      <c r="B200" s="28"/>
      <c r="C200" s="28"/>
      <c r="D200" s="18"/>
      <c r="E200" s="68"/>
      <c r="F200" s="69"/>
      <c r="G200" s="18"/>
      <c r="H200" s="22"/>
      <c r="I200" s="22"/>
      <c r="J200" s="22"/>
      <c r="K200" s="23"/>
      <c r="L200" s="22"/>
      <c r="M200" s="22"/>
    </row>
    <row r="201" spans="1:13">
      <c r="A201" s="72">
        <v>197</v>
      </c>
      <c r="B201" s="28"/>
      <c r="C201" s="28"/>
      <c r="D201" s="18"/>
      <c r="E201" s="68"/>
      <c r="F201" s="69"/>
      <c r="G201" s="18"/>
      <c r="H201" s="22"/>
      <c r="I201" s="22"/>
      <c r="J201" s="22"/>
      <c r="K201" s="23"/>
      <c r="L201" s="22"/>
      <c r="M201" s="22"/>
    </row>
    <row r="202" spans="1:13">
      <c r="A202" s="72">
        <v>198</v>
      </c>
      <c r="B202" s="28"/>
      <c r="C202" s="28"/>
      <c r="D202" s="18"/>
      <c r="E202" s="68"/>
      <c r="F202" s="69"/>
      <c r="G202" s="18"/>
      <c r="H202" s="22"/>
      <c r="I202" s="22"/>
      <c r="J202" s="22"/>
      <c r="K202" s="23"/>
      <c r="L202" s="22"/>
      <c r="M202" s="22"/>
    </row>
    <row r="203" spans="1:13">
      <c r="A203" s="72">
        <v>199</v>
      </c>
      <c r="B203" s="28"/>
      <c r="C203" s="28"/>
      <c r="D203" s="18"/>
      <c r="E203" s="68"/>
      <c r="F203" s="69"/>
      <c r="G203" s="18"/>
      <c r="H203" s="22"/>
      <c r="I203" s="22"/>
      <c r="J203" s="22"/>
      <c r="K203" s="23"/>
      <c r="L203" s="22"/>
      <c r="M203" s="22"/>
    </row>
    <row r="204" spans="1:13">
      <c r="A204" s="72">
        <v>200</v>
      </c>
      <c r="B204" s="28"/>
      <c r="C204" s="28"/>
      <c r="D204" s="18"/>
      <c r="E204" s="68"/>
      <c r="F204" s="69"/>
      <c r="G204" s="18"/>
      <c r="H204" s="22"/>
      <c r="I204" s="22"/>
      <c r="J204" s="22"/>
      <c r="K204" s="23"/>
      <c r="L204" s="22"/>
      <c r="M204" s="22"/>
    </row>
    <row r="205" spans="1:13">
      <c r="D205" s="53"/>
    </row>
  </sheetData>
  <autoFilter ref="A4:M204" xr:uid="{00000000-0009-0000-0000-000003000000}"/>
  <dataConsolidate/>
  <mergeCells count="2">
    <mergeCell ref="E3:G3"/>
    <mergeCell ref="A3:C3"/>
  </mergeCells>
  <phoneticPr fontId="35" type="noConversion"/>
  <conditionalFormatting sqref="L205:L65536 P1:P2">
    <cfRule type="cellIs" dxfId="1219" priority="25" stopIfTrue="1" operator="equal">
      <formula>"Fixed"</formula>
    </cfRule>
    <cfRule type="cellIs" dxfId="1218" priority="26" stopIfTrue="1" operator="equal">
      <formula>"Open"</formula>
    </cfRule>
  </conditionalFormatting>
  <conditionalFormatting sqref="L4">
    <cfRule type="cellIs" dxfId="1217" priority="27" stopIfTrue="1" operator="equal">
      <formula>"Open"</formula>
    </cfRule>
    <cfRule type="cellIs" dxfId="1216" priority="28" stopIfTrue="1" operator="equal">
      <formula>"Fixed"</formula>
    </cfRule>
  </conditionalFormatting>
  <conditionalFormatting sqref="L5:L25 L28:L33 L35:L204">
    <cfRule type="expression" dxfId="1215" priority="29" stopIfTrue="1">
      <formula>AND($M5="Approved",$L5="Fixed")</formula>
    </cfRule>
    <cfRule type="cellIs" dxfId="1214" priority="30" stopIfTrue="1" operator="equal">
      <formula>"Fixed"</formula>
    </cfRule>
    <cfRule type="cellIs" dxfId="1213" priority="31" stopIfTrue="1" operator="equal">
      <formula>"Open"</formula>
    </cfRule>
  </conditionalFormatting>
  <conditionalFormatting sqref="M5:M25 M28:M33 M35:M204">
    <cfRule type="expression" dxfId="1212" priority="32" stopIfTrue="1">
      <formula>OR(M5="Fixed",M5="Approved")</formula>
    </cfRule>
    <cfRule type="cellIs" dxfId="1211" priority="33" stopIfTrue="1" operator="equal">
      <formula>"Rejected"</formula>
    </cfRule>
  </conditionalFormatting>
  <conditionalFormatting sqref="A3">
    <cfRule type="expression" dxfId="1210" priority="19" stopIfTrue="1">
      <formula>$X$2=1</formula>
    </cfRule>
    <cfRule type="expression" dxfId="1209" priority="20" stopIfTrue="1">
      <formula>$Y$2=1</formula>
    </cfRule>
    <cfRule type="expression" dxfId="1208" priority="22" stopIfTrue="1">
      <formula>$AA$2=1</formula>
    </cfRule>
  </conditionalFormatting>
  <conditionalFormatting sqref="A3:C3">
    <cfRule type="expression" dxfId="1207" priority="21" stopIfTrue="1">
      <formula>$Z$2=1</formula>
    </cfRule>
  </conditionalFormatting>
  <conditionalFormatting sqref="A5:K20 A21:G21 A22:K22 A23:G25 A26:A27 G26:G27 A29:K30 A28:I28 K28 A31:I31 K31 A32:K33 A35:K204 A34">
    <cfRule type="expression" dxfId="1206" priority="203" stopIfTrue="1">
      <formula>AND($M5="Approved",OR($L5=$R$1,$L5=$T$1))</formula>
    </cfRule>
  </conditionalFormatting>
  <conditionalFormatting sqref="H21:K21">
    <cfRule type="expression" dxfId="1205" priority="18" stopIfTrue="1">
      <formula>AND($M21="Approved",OR($L21=$R$1,$L21=$T$1))</formula>
    </cfRule>
  </conditionalFormatting>
  <conditionalFormatting sqref="H23:K24">
    <cfRule type="expression" dxfId="1204" priority="17" stopIfTrue="1">
      <formula>AND($M23="Approved",OR($L23=$R$1,$L23=$T$1))</formula>
    </cfRule>
  </conditionalFormatting>
  <conditionalFormatting sqref="H25:K25">
    <cfRule type="expression" dxfId="1203" priority="16" stopIfTrue="1">
      <formula>AND($M25="Approved",OR($L25=$R$1,$L25=$T$1))</formula>
    </cfRule>
  </conditionalFormatting>
  <conditionalFormatting sqref="B26:F27">
    <cfRule type="expression" dxfId="1202" priority="15" stopIfTrue="1">
      <formula>AND($M26="Approved",OR($L26=$R$1,$L26=$T$1))</formula>
    </cfRule>
  </conditionalFormatting>
  <conditionalFormatting sqref="L26:L27">
    <cfRule type="expression" dxfId="1201" priority="9" stopIfTrue="1">
      <formula>AND($M26="Approved",$L26="Fixed")</formula>
    </cfRule>
    <cfRule type="cellIs" dxfId="1200" priority="10" stopIfTrue="1" operator="equal">
      <formula>"Fixed"</formula>
    </cfRule>
    <cfRule type="cellIs" dxfId="1199" priority="11" stopIfTrue="1" operator="equal">
      <formula>"Open"</formula>
    </cfRule>
  </conditionalFormatting>
  <conditionalFormatting sqref="M26:M27">
    <cfRule type="expression" dxfId="1198" priority="12" stopIfTrue="1">
      <formula>OR(M26="Fixed",M26="Approved")</formula>
    </cfRule>
    <cfRule type="cellIs" dxfId="1197" priority="13" stopIfTrue="1" operator="equal">
      <formula>"Rejected"</formula>
    </cfRule>
  </conditionalFormatting>
  <conditionalFormatting sqref="H26:K27">
    <cfRule type="expression" dxfId="1196" priority="14" stopIfTrue="1">
      <formula>AND($M26="Approved",OR($L26=$R$1,$L26=$T$1))</formula>
    </cfRule>
  </conditionalFormatting>
  <conditionalFormatting sqref="J28">
    <cfRule type="expression" dxfId="1195" priority="8" stopIfTrue="1">
      <formula>AND($M28="Approved",OR($L28=$R$1,$L28=$T$1))</formula>
    </cfRule>
  </conditionalFormatting>
  <conditionalFormatting sqref="J31">
    <cfRule type="expression" dxfId="1194" priority="7" stopIfTrue="1">
      <formula>AND($M31="Approved",OR($L31=$R$1,$L31=$T$1))</formula>
    </cfRule>
  </conditionalFormatting>
  <conditionalFormatting sqref="L34">
    <cfRule type="expression" dxfId="5" priority="1" stopIfTrue="1">
      <formula>AND($M34="Approved",$L34="Fixed")</formula>
    </cfRule>
    <cfRule type="cellIs" dxfId="4" priority="2" stopIfTrue="1" operator="equal">
      <formula>"Fixed"</formula>
    </cfRule>
    <cfRule type="cellIs" dxfId="3" priority="3" stopIfTrue="1" operator="equal">
      <formula>"Open"</formula>
    </cfRule>
  </conditionalFormatting>
  <conditionalFormatting sqref="M34">
    <cfRule type="expression" dxfId="2" priority="4" stopIfTrue="1">
      <formula>OR(M34="Fixed",M34="Approved")</formula>
    </cfRule>
    <cfRule type="cellIs" dxfId="1" priority="5" stopIfTrue="1" operator="equal">
      <formula>"Rejected"</formula>
    </cfRule>
  </conditionalFormatting>
  <conditionalFormatting sqref="B34:K34">
    <cfRule type="expression" dxfId="0" priority="6" stopIfTrue="1">
      <formula>AND($M34="Approved",OR($L34=$R$1,$L34=$T$1))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5 I28: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zoomScale="130" zoomScaleNormal="130" workbookViewId="0">
      <pane xSplit="1" ySplit="3" topLeftCell="B6" activePane="bottomRight" state="frozen"/>
      <selection pane="topRight"/>
      <selection pane="bottomLeft"/>
      <selection pane="bottomRight" activeCell="F7" sqref="F7"/>
    </sheetView>
  </sheetViews>
  <sheetFormatPr defaultColWidth="9.28515625" defaultRowHeight="12.75" outlineLevelCol="1"/>
  <cols>
    <col min="1" max="1" width="12.85546875" style="159" bestFit="1" customWidth="1"/>
    <col min="2" max="2" width="61" style="158" customWidth="1"/>
    <col min="3" max="5" width="21.7109375" style="157" customWidth="1"/>
    <col min="6" max="6" width="33.7109375" style="157" customWidth="1"/>
    <col min="7" max="8" width="30.7109375" style="157" customWidth="1" outlineLevel="1"/>
    <col min="9" max="16384" width="9.28515625" style="157"/>
  </cols>
  <sheetData>
    <row r="2" spans="1:9" ht="54">
      <c r="A2" s="182" t="s">
        <v>212</v>
      </c>
      <c r="B2" s="183" t="s">
        <v>225</v>
      </c>
      <c r="C2" s="184" t="s">
        <v>413</v>
      </c>
      <c r="D2" s="184" t="s">
        <v>474</v>
      </c>
      <c r="E2" s="184" t="s">
        <v>486</v>
      </c>
      <c r="F2" s="185" t="s">
        <v>221</v>
      </c>
      <c r="G2" s="344" t="s">
        <v>185</v>
      </c>
      <c r="H2" s="345"/>
    </row>
    <row r="3" spans="1:9" ht="18.75">
      <c r="A3" s="186"/>
      <c r="B3" s="187"/>
      <c r="C3" s="188">
        <f>COUNTIF(Review.ratings,"Yes") / ( COUNTA(Review.QuestionIds) - COUNTIF(Review.ratings,"NA"))</f>
        <v>1</v>
      </c>
      <c r="D3" s="188">
        <f>COUNTIF(Review.ratings,"Yes") / ( COUNTA(Review.QuestionIds) - COUNTIF(Review.ratings,"NA"))</f>
        <v>1</v>
      </c>
      <c r="E3" s="188">
        <f>COUNTIF(Review.ratings,"Yes") / ( COUNTA(Review.QuestionIds) - COUNTIF(Review.ratings,"NA"))</f>
        <v>1</v>
      </c>
      <c r="F3" s="193"/>
      <c r="G3" s="201" t="s">
        <v>218</v>
      </c>
      <c r="H3" s="201" t="s">
        <v>219</v>
      </c>
      <c r="I3" s="194"/>
    </row>
    <row r="4" spans="1:9" ht="36">
      <c r="A4" s="189"/>
      <c r="B4" s="190" t="s">
        <v>223</v>
      </c>
      <c r="C4" s="191"/>
      <c r="D4" s="191"/>
      <c r="E4" s="191"/>
      <c r="F4" s="191"/>
      <c r="G4" s="191"/>
      <c r="H4" s="192"/>
      <c r="I4" s="25"/>
    </row>
    <row r="5" spans="1:9" ht="18.75">
      <c r="A5" s="160"/>
      <c r="B5" s="168" t="s">
        <v>222</v>
      </c>
      <c r="C5" s="161"/>
      <c r="D5" s="161"/>
      <c r="E5" s="161"/>
      <c r="F5" s="161"/>
      <c r="G5" s="201"/>
      <c r="H5" s="201"/>
    </row>
    <row r="6" spans="1:9" ht="38.25">
      <c r="A6" s="163" t="s">
        <v>335</v>
      </c>
      <c r="B6" s="171" t="s">
        <v>224</v>
      </c>
      <c r="C6" s="195" t="s">
        <v>211</v>
      </c>
      <c r="D6" s="195" t="s">
        <v>211</v>
      </c>
      <c r="E6" s="195" t="s">
        <v>211</v>
      </c>
      <c r="F6" s="196"/>
      <c r="G6" s="162"/>
      <c r="H6" s="162"/>
    </row>
    <row r="7" spans="1:9" ht="18.75">
      <c r="A7" s="160"/>
      <c r="B7" s="168" t="s">
        <v>260</v>
      </c>
      <c r="C7" s="161"/>
      <c r="D7" s="161"/>
      <c r="E7" s="161"/>
      <c r="F7" s="161"/>
      <c r="G7" s="201"/>
      <c r="H7" s="201"/>
    </row>
    <row r="8" spans="1:9" ht="38.25">
      <c r="A8" s="163" t="s">
        <v>337</v>
      </c>
      <c r="B8" s="171" t="s">
        <v>261</v>
      </c>
      <c r="C8" s="195" t="s">
        <v>211</v>
      </c>
      <c r="D8" s="195" t="s">
        <v>211</v>
      </c>
      <c r="E8" s="195" t="s">
        <v>211</v>
      </c>
      <c r="F8" s="196"/>
      <c r="G8" s="162"/>
      <c r="H8" s="162"/>
    </row>
    <row r="9" spans="1:9" ht="25.5">
      <c r="A9" s="163" t="s">
        <v>338</v>
      </c>
      <c r="B9" s="171" t="s">
        <v>262</v>
      </c>
      <c r="C9" s="195" t="s">
        <v>211</v>
      </c>
      <c r="D9" s="195" t="s">
        <v>211</v>
      </c>
      <c r="E9" s="195" t="s">
        <v>211</v>
      </c>
      <c r="F9" s="196"/>
      <c r="G9" s="162"/>
      <c r="H9" s="162"/>
    </row>
    <row r="10" spans="1:9" ht="38.25">
      <c r="A10" s="163" t="s">
        <v>339</v>
      </c>
      <c r="B10" s="171" t="s">
        <v>340</v>
      </c>
      <c r="C10" s="195" t="s">
        <v>211</v>
      </c>
      <c r="D10" s="195" t="s">
        <v>211</v>
      </c>
      <c r="E10" s="195" t="s">
        <v>211</v>
      </c>
      <c r="F10" s="196"/>
      <c r="G10" s="162"/>
      <c r="H10" s="162"/>
    </row>
    <row r="11" spans="1:9" ht="25.5">
      <c r="A11" s="163" t="s">
        <v>341</v>
      </c>
      <c r="B11" s="171" t="s">
        <v>263</v>
      </c>
      <c r="C11" s="195" t="s">
        <v>211</v>
      </c>
      <c r="D11" s="195" t="s">
        <v>211</v>
      </c>
      <c r="E11" s="195" t="s">
        <v>211</v>
      </c>
      <c r="F11" s="196"/>
      <c r="G11" s="162"/>
      <c r="H11" s="162"/>
    </row>
    <row r="12" spans="1:9" ht="51">
      <c r="A12" s="163" t="s">
        <v>342</v>
      </c>
      <c r="B12" s="171" t="s">
        <v>264</v>
      </c>
      <c r="C12" s="195" t="s">
        <v>211</v>
      </c>
      <c r="D12" s="195" t="s">
        <v>211</v>
      </c>
      <c r="E12" s="195" t="s">
        <v>211</v>
      </c>
      <c r="F12" s="196"/>
      <c r="G12" s="162"/>
      <c r="H12" s="162"/>
    </row>
    <row r="13" spans="1:9" ht="25.5">
      <c r="A13" s="163" t="s">
        <v>343</v>
      </c>
      <c r="B13" s="171" t="s">
        <v>265</v>
      </c>
      <c r="C13" s="195" t="s">
        <v>211</v>
      </c>
      <c r="D13" s="195" t="s">
        <v>211</v>
      </c>
      <c r="E13" s="195" t="s">
        <v>211</v>
      </c>
      <c r="F13" s="196"/>
      <c r="G13" s="162"/>
      <c r="H13" s="162"/>
    </row>
    <row r="14" spans="1:9" ht="25.5">
      <c r="A14" s="163" t="s">
        <v>344</v>
      </c>
      <c r="B14" s="171" t="s">
        <v>266</v>
      </c>
      <c r="C14" s="195" t="s">
        <v>211</v>
      </c>
      <c r="D14" s="195" t="s">
        <v>211</v>
      </c>
      <c r="E14" s="195" t="s">
        <v>211</v>
      </c>
      <c r="F14" s="196"/>
      <c r="G14" s="162"/>
      <c r="H14" s="162"/>
    </row>
    <row r="15" spans="1:9" ht="38.25">
      <c r="A15" s="163" t="s">
        <v>345</v>
      </c>
      <c r="B15" s="171" t="s">
        <v>267</v>
      </c>
      <c r="C15" s="195" t="s">
        <v>211</v>
      </c>
      <c r="D15" s="195" t="s">
        <v>211</v>
      </c>
      <c r="E15" s="195" t="s">
        <v>211</v>
      </c>
      <c r="F15" s="196"/>
      <c r="G15" s="162"/>
      <c r="H15" s="162"/>
    </row>
    <row r="16" spans="1:9" ht="25.5">
      <c r="A16" s="163" t="s">
        <v>346</v>
      </c>
      <c r="B16" s="171" t="s">
        <v>336</v>
      </c>
      <c r="C16" s="195" t="s">
        <v>211</v>
      </c>
      <c r="D16" s="195" t="s">
        <v>211</v>
      </c>
      <c r="E16" s="195" t="s">
        <v>211</v>
      </c>
      <c r="F16" s="196"/>
      <c r="G16" s="162"/>
      <c r="H16" s="162"/>
    </row>
    <row r="17" spans="1:8" ht="38.25">
      <c r="A17" s="163" t="s">
        <v>347</v>
      </c>
      <c r="B17" s="171" t="s">
        <v>348</v>
      </c>
      <c r="C17" s="195" t="s">
        <v>211</v>
      </c>
      <c r="D17" s="195" t="s">
        <v>211</v>
      </c>
      <c r="E17" s="195" t="s">
        <v>211</v>
      </c>
      <c r="F17" s="196"/>
      <c r="G17" s="162"/>
      <c r="H17" s="162"/>
    </row>
    <row r="18" spans="1:8" ht="38.25">
      <c r="A18" s="163" t="s">
        <v>349</v>
      </c>
      <c r="B18" s="171" t="s">
        <v>268</v>
      </c>
      <c r="C18" s="195" t="s">
        <v>211</v>
      </c>
      <c r="D18" s="195" t="s">
        <v>211</v>
      </c>
      <c r="E18" s="195" t="s">
        <v>211</v>
      </c>
      <c r="F18" s="196"/>
      <c r="G18" s="162"/>
      <c r="H18" s="162"/>
    </row>
    <row r="19" spans="1:8" ht="25.5">
      <c r="A19" s="163" t="s">
        <v>350</v>
      </c>
      <c r="B19" s="171" t="s">
        <v>269</v>
      </c>
      <c r="C19" s="195" t="s">
        <v>211</v>
      </c>
      <c r="D19" s="195" t="s">
        <v>211</v>
      </c>
      <c r="E19" s="195" t="s">
        <v>211</v>
      </c>
      <c r="F19" s="196"/>
      <c r="G19" s="162"/>
      <c r="H19" s="162"/>
    </row>
    <row r="20" spans="1:8" ht="25.5">
      <c r="A20" s="163" t="s">
        <v>351</v>
      </c>
      <c r="B20" s="171" t="s">
        <v>270</v>
      </c>
      <c r="C20" s="195" t="s">
        <v>211</v>
      </c>
      <c r="D20" s="195" t="s">
        <v>211</v>
      </c>
      <c r="E20" s="195" t="s">
        <v>211</v>
      </c>
      <c r="F20" s="196"/>
      <c r="G20" s="162"/>
      <c r="H20" s="162"/>
    </row>
    <row r="21" spans="1:8" ht="38.25">
      <c r="A21" s="163" t="s">
        <v>352</v>
      </c>
      <c r="B21" s="171" t="s">
        <v>271</v>
      </c>
      <c r="C21" s="195" t="s">
        <v>211</v>
      </c>
      <c r="D21" s="195" t="s">
        <v>211</v>
      </c>
      <c r="E21" s="195" t="s">
        <v>211</v>
      </c>
      <c r="F21" s="196"/>
      <c r="G21" s="162"/>
      <c r="H21" s="162"/>
    </row>
    <row r="22" spans="1:8" ht="38.25">
      <c r="A22" s="163" t="s">
        <v>353</v>
      </c>
      <c r="B22" s="171" t="s">
        <v>354</v>
      </c>
      <c r="C22" s="195" t="s">
        <v>211</v>
      </c>
      <c r="D22" s="195" t="s">
        <v>211</v>
      </c>
      <c r="E22" s="195" t="s">
        <v>211</v>
      </c>
      <c r="F22" s="196"/>
      <c r="G22" s="162"/>
      <c r="H22" s="162"/>
    </row>
    <row r="23" spans="1:8" ht="18.75">
      <c r="A23" s="160"/>
      <c r="B23" s="168" t="s">
        <v>215</v>
      </c>
      <c r="C23" s="161"/>
      <c r="D23" s="161"/>
      <c r="E23" s="161"/>
      <c r="F23" s="161"/>
      <c r="G23" s="201"/>
      <c r="H23" s="201"/>
    </row>
    <row r="24" spans="1:8" ht="38.25">
      <c r="A24" s="163" t="s">
        <v>310</v>
      </c>
      <c r="B24" s="171" t="s">
        <v>205</v>
      </c>
      <c r="C24" s="195" t="s">
        <v>23</v>
      </c>
      <c r="D24" s="195" t="s">
        <v>211</v>
      </c>
      <c r="E24" s="195" t="s">
        <v>211</v>
      </c>
      <c r="F24" s="212" t="s">
        <v>417</v>
      </c>
      <c r="G24" s="162"/>
      <c r="H24" s="162"/>
    </row>
    <row r="25" spans="1:8" ht="25.5">
      <c r="A25" s="163" t="s">
        <v>311</v>
      </c>
      <c r="B25" s="171" t="s">
        <v>206</v>
      </c>
      <c r="C25" s="195" t="s">
        <v>211</v>
      </c>
      <c r="D25" s="195" t="s">
        <v>211</v>
      </c>
      <c r="E25" s="195" t="s">
        <v>211</v>
      </c>
      <c r="F25" s="196"/>
      <c r="G25" s="162"/>
      <c r="H25" s="162"/>
    </row>
    <row r="26" spans="1:8" ht="38.25">
      <c r="A26" s="163" t="s">
        <v>312</v>
      </c>
      <c r="B26" s="171" t="s">
        <v>207</v>
      </c>
      <c r="C26" s="195" t="s">
        <v>23</v>
      </c>
      <c r="D26" s="195" t="s">
        <v>211</v>
      </c>
      <c r="E26" s="195" t="s">
        <v>211</v>
      </c>
      <c r="F26" s="212" t="s">
        <v>417</v>
      </c>
      <c r="G26" s="162"/>
      <c r="H26" s="162"/>
    </row>
    <row r="27" spans="1:8" ht="38.25">
      <c r="A27" s="163" t="s">
        <v>313</v>
      </c>
      <c r="B27" s="171" t="s">
        <v>208</v>
      </c>
      <c r="C27" s="195" t="s">
        <v>23</v>
      </c>
      <c r="D27" s="195" t="s">
        <v>211</v>
      </c>
      <c r="E27" s="195" t="s">
        <v>211</v>
      </c>
      <c r="F27" s="212" t="s">
        <v>417</v>
      </c>
      <c r="G27" s="162"/>
      <c r="H27" s="162"/>
    </row>
    <row r="28" spans="1:8" ht="18.75">
      <c r="A28" s="160"/>
      <c r="B28" s="168" t="s">
        <v>216</v>
      </c>
      <c r="C28" s="161"/>
      <c r="D28" s="161"/>
      <c r="E28" s="161"/>
      <c r="F28" s="161"/>
      <c r="G28" s="201"/>
      <c r="H28" s="201"/>
    </row>
    <row r="29" spans="1:8" ht="38.25">
      <c r="A29" s="163" t="s">
        <v>314</v>
      </c>
      <c r="B29" s="171" t="s">
        <v>209</v>
      </c>
      <c r="C29" s="195" t="s">
        <v>211</v>
      </c>
      <c r="D29" s="195" t="s">
        <v>211</v>
      </c>
      <c r="E29" s="195" t="s">
        <v>211</v>
      </c>
      <c r="F29" s="196"/>
      <c r="G29" s="162"/>
      <c r="H29" s="162"/>
    </row>
    <row r="30" spans="1:8" ht="38.25">
      <c r="A30" s="163" t="s">
        <v>315</v>
      </c>
      <c r="B30" s="171" t="s">
        <v>210</v>
      </c>
      <c r="C30" s="195" t="s">
        <v>211</v>
      </c>
      <c r="D30" s="195" t="s">
        <v>211</v>
      </c>
      <c r="E30" s="195" t="s">
        <v>211</v>
      </c>
      <c r="F30" s="196"/>
      <c r="G30" s="162"/>
      <c r="H30" s="162"/>
    </row>
    <row r="31" spans="1:8" ht="18.75">
      <c r="A31" s="160"/>
      <c r="B31" s="168" t="s">
        <v>203</v>
      </c>
      <c r="C31" s="161"/>
      <c r="D31" s="161"/>
      <c r="E31" s="161"/>
      <c r="F31" s="161"/>
      <c r="G31" s="201"/>
      <c r="H31" s="201"/>
    </row>
    <row r="32" spans="1:8" ht="51">
      <c r="A32" s="163" t="s">
        <v>316</v>
      </c>
      <c r="B32" s="171" t="s">
        <v>204</v>
      </c>
      <c r="C32" s="195" t="s">
        <v>11</v>
      </c>
      <c r="D32" s="195" t="s">
        <v>11</v>
      </c>
      <c r="E32" s="195" t="s">
        <v>11</v>
      </c>
      <c r="F32" s="212" t="s">
        <v>412</v>
      </c>
      <c r="G32" s="162"/>
      <c r="H32" s="162"/>
    </row>
    <row r="33" spans="1:8" ht="18">
      <c r="A33" s="197"/>
      <c r="B33" s="198" t="s">
        <v>220</v>
      </c>
      <c r="C33" s="197"/>
      <c r="D33" s="197"/>
      <c r="E33" s="197"/>
      <c r="F33" s="197"/>
      <c r="G33" s="197"/>
      <c r="H33" s="197"/>
    </row>
    <row r="34" spans="1:8">
      <c r="A34" s="163"/>
      <c r="B34" s="171"/>
    </row>
    <row r="35" spans="1:8" ht="15">
      <c r="A35" s="199"/>
      <c r="B35" s="200" t="s">
        <v>334</v>
      </c>
      <c r="C35" s="199"/>
      <c r="D35" s="199"/>
      <c r="E35" s="199"/>
      <c r="F35" s="199"/>
      <c r="G35" s="199"/>
      <c r="H35" s="199"/>
    </row>
  </sheetData>
  <mergeCells count="1">
    <mergeCell ref="G2:H2"/>
  </mergeCells>
  <conditionalFormatting sqref="C6:E6">
    <cfRule type="cellIs" dxfId="1193" priority="1101" operator="equal">
      <formula>"No"</formula>
    </cfRule>
    <cfRule type="cellIs" dxfId="1192" priority="1102" operator="equal">
      <formula>"NA"</formula>
    </cfRule>
    <cfRule type="cellIs" dxfId="1191" priority="1103" operator="equal">
      <formula>"Yes"</formula>
    </cfRule>
  </conditionalFormatting>
  <conditionalFormatting sqref="C24">
    <cfRule type="cellIs" dxfId="1190" priority="365" operator="equal">
      <formula>"No"</formula>
    </cfRule>
    <cfRule type="cellIs" dxfId="1189" priority="366" operator="equal">
      <formula>"NA"</formula>
    </cfRule>
    <cfRule type="cellIs" dxfId="1188" priority="367" operator="equal">
      <formula>"Yes"</formula>
    </cfRule>
  </conditionalFormatting>
  <conditionalFormatting sqref="C32:E32">
    <cfRule type="cellIs" dxfId="1187" priority="89" operator="equal">
      <formula>"No"</formula>
    </cfRule>
    <cfRule type="cellIs" dxfId="1186" priority="90" operator="equal">
      <formula>"NA"</formula>
    </cfRule>
    <cfRule type="cellIs" dxfId="1185" priority="91" operator="equal">
      <formula>"Yes"</formula>
    </cfRule>
  </conditionalFormatting>
  <conditionalFormatting sqref="E8:E14">
    <cfRule type="cellIs" dxfId="1184" priority="43" operator="equal">
      <formula>"No"</formula>
    </cfRule>
    <cfRule type="cellIs" dxfId="1183" priority="44" operator="equal">
      <formula>"NA"</formula>
    </cfRule>
    <cfRule type="cellIs" dxfId="1182" priority="45" operator="equal">
      <formula>"Yes"</formula>
    </cfRule>
  </conditionalFormatting>
  <conditionalFormatting sqref="E15:E22">
    <cfRule type="cellIs" dxfId="1181" priority="40" operator="equal">
      <formula>"No"</formula>
    </cfRule>
    <cfRule type="cellIs" dxfId="1180" priority="41" operator="equal">
      <formula>"NA"</formula>
    </cfRule>
    <cfRule type="cellIs" dxfId="1179" priority="42" operator="equal">
      <formula>"Yes"</formula>
    </cfRule>
  </conditionalFormatting>
  <conditionalFormatting sqref="E29:E30">
    <cfRule type="cellIs" dxfId="1178" priority="34" operator="equal">
      <formula>"No"</formula>
    </cfRule>
    <cfRule type="cellIs" dxfId="1177" priority="35" operator="equal">
      <formula>"NA"</formula>
    </cfRule>
    <cfRule type="cellIs" dxfId="1176" priority="36" operator="equal">
      <formula>"Yes"</formula>
    </cfRule>
  </conditionalFormatting>
  <conditionalFormatting sqref="C8:C14">
    <cfRule type="cellIs" dxfId="1175" priority="31" operator="equal">
      <formula>"No"</formula>
    </cfRule>
    <cfRule type="cellIs" dxfId="1174" priority="32" operator="equal">
      <formula>"NA"</formula>
    </cfRule>
    <cfRule type="cellIs" dxfId="1173" priority="33" operator="equal">
      <formula>"Yes"</formula>
    </cfRule>
  </conditionalFormatting>
  <conditionalFormatting sqref="C15:C22">
    <cfRule type="cellIs" dxfId="1172" priority="28" operator="equal">
      <formula>"No"</formula>
    </cfRule>
    <cfRule type="cellIs" dxfId="1171" priority="29" operator="equal">
      <formula>"NA"</formula>
    </cfRule>
    <cfRule type="cellIs" dxfId="1170" priority="30" operator="equal">
      <formula>"Yes"</formula>
    </cfRule>
  </conditionalFormatting>
  <conditionalFormatting sqref="C25:C27">
    <cfRule type="cellIs" dxfId="1169" priority="25" operator="equal">
      <formula>"No"</formula>
    </cfRule>
    <cfRule type="cellIs" dxfId="1168" priority="26" operator="equal">
      <formula>"NA"</formula>
    </cfRule>
    <cfRule type="cellIs" dxfId="1167" priority="27" operator="equal">
      <formula>"Yes"</formula>
    </cfRule>
  </conditionalFormatting>
  <conditionalFormatting sqref="C29:C30">
    <cfRule type="cellIs" dxfId="1166" priority="22" operator="equal">
      <formula>"No"</formula>
    </cfRule>
    <cfRule type="cellIs" dxfId="1165" priority="23" operator="equal">
      <formula>"NA"</formula>
    </cfRule>
    <cfRule type="cellIs" dxfId="1164" priority="24" operator="equal">
      <formula>"Yes"</formula>
    </cfRule>
  </conditionalFormatting>
  <conditionalFormatting sqref="D24:E24">
    <cfRule type="cellIs" dxfId="1163" priority="19" operator="equal">
      <formula>"No"</formula>
    </cfRule>
    <cfRule type="cellIs" dxfId="1162" priority="20" operator="equal">
      <formula>"NA"</formula>
    </cfRule>
    <cfRule type="cellIs" dxfId="1161" priority="21" operator="equal">
      <formula>"Yes"</formula>
    </cfRule>
  </conditionalFormatting>
  <conditionalFormatting sqref="D25:E25">
    <cfRule type="cellIs" dxfId="1160" priority="16" operator="equal">
      <formula>"No"</formula>
    </cfRule>
    <cfRule type="cellIs" dxfId="1159" priority="17" operator="equal">
      <formula>"NA"</formula>
    </cfRule>
    <cfRule type="cellIs" dxfId="1158" priority="18" operator="equal">
      <formula>"Yes"</formula>
    </cfRule>
  </conditionalFormatting>
  <conditionalFormatting sqref="D26:E26">
    <cfRule type="cellIs" dxfId="1157" priority="13" operator="equal">
      <formula>"No"</formula>
    </cfRule>
    <cfRule type="cellIs" dxfId="1156" priority="14" operator="equal">
      <formula>"NA"</formula>
    </cfRule>
    <cfRule type="cellIs" dxfId="1155" priority="15" operator="equal">
      <formula>"Yes"</formula>
    </cfRule>
  </conditionalFormatting>
  <conditionalFormatting sqref="D27:E27">
    <cfRule type="cellIs" dxfId="1154" priority="10" operator="equal">
      <formula>"No"</formula>
    </cfRule>
    <cfRule type="cellIs" dxfId="1153" priority="11" operator="equal">
      <formula>"NA"</formula>
    </cfRule>
    <cfRule type="cellIs" dxfId="1152" priority="12" operator="equal">
      <formula>"Yes"</formula>
    </cfRule>
  </conditionalFormatting>
  <conditionalFormatting sqref="D8:D14">
    <cfRule type="cellIs" dxfId="14" priority="7" operator="equal">
      <formula>"No"</formula>
    </cfRule>
    <cfRule type="cellIs" dxfId="13" priority="8" operator="equal">
      <formula>"NA"</formula>
    </cfRule>
    <cfRule type="cellIs" dxfId="12" priority="9" operator="equal">
      <formula>"Yes"</formula>
    </cfRule>
  </conditionalFormatting>
  <conditionalFormatting sqref="D15:D22">
    <cfRule type="cellIs" dxfId="11" priority="4" operator="equal">
      <formula>"No"</formula>
    </cfRule>
    <cfRule type="cellIs" dxfId="10" priority="5" operator="equal">
      <formula>"NA"</formula>
    </cfRule>
    <cfRule type="cellIs" dxfId="9" priority="6" operator="equal">
      <formula>"Yes"</formula>
    </cfRule>
  </conditionalFormatting>
  <conditionalFormatting sqref="D29:D30">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4:E27 C29:E30 C8:E22 C32:E32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T36"/>
  <sheetViews>
    <sheetView zoomScale="130" zoomScaleNormal="130" workbookViewId="0">
      <pane xSplit="1" ySplit="3" topLeftCell="B7" activePane="bottomRight" state="frozen"/>
      <selection pane="topRight"/>
      <selection pane="bottomLeft"/>
      <selection pane="bottomRight" activeCell="P11" sqref="P11"/>
    </sheetView>
  </sheetViews>
  <sheetFormatPr defaultColWidth="9.28515625" defaultRowHeight="12.75" outlineLevelCol="1"/>
  <cols>
    <col min="1" max="1" width="13" style="159" bestFit="1" customWidth="1"/>
    <col min="2" max="2" width="61" style="158" customWidth="1"/>
    <col min="3" max="6" width="6.28515625" style="157" bestFit="1" customWidth="1"/>
    <col min="7" max="7" width="7.140625" style="157" customWidth="1"/>
    <col min="8" max="16" width="6.28515625" style="157" bestFit="1" customWidth="1"/>
    <col min="17" max="17" width="33.7109375" style="157" customWidth="1"/>
    <col min="18" max="19" width="30.7109375" style="157" customWidth="1" outlineLevel="1"/>
    <col min="20" max="16384" width="9.28515625" style="157"/>
  </cols>
  <sheetData>
    <row r="2" spans="1:20" ht="63" customHeight="1">
      <c r="A2" s="182" t="s">
        <v>212</v>
      </c>
      <c r="B2" s="183" t="s">
        <v>226</v>
      </c>
      <c r="C2" s="184" t="s">
        <v>377</v>
      </c>
      <c r="D2" s="184" t="s">
        <v>378</v>
      </c>
      <c r="E2" s="184" t="s">
        <v>379</v>
      </c>
      <c r="F2" s="184" t="s">
        <v>380</v>
      </c>
      <c r="G2" s="184" t="s">
        <v>383</v>
      </c>
      <c r="H2" s="184" t="s">
        <v>384</v>
      </c>
      <c r="I2" s="184" t="s">
        <v>385</v>
      </c>
      <c r="J2" s="184" t="s">
        <v>386</v>
      </c>
      <c r="K2" s="184" t="s">
        <v>401</v>
      </c>
      <c r="L2" s="184" t="s">
        <v>400</v>
      </c>
      <c r="M2" s="184" t="s">
        <v>404</v>
      </c>
      <c r="N2" s="184" t="s">
        <v>407</v>
      </c>
      <c r="O2" s="184" t="s">
        <v>458</v>
      </c>
      <c r="P2" s="184" t="s">
        <v>472</v>
      </c>
      <c r="Q2" s="185" t="s">
        <v>221</v>
      </c>
      <c r="R2" s="344" t="s">
        <v>185</v>
      </c>
      <c r="S2" s="345"/>
    </row>
    <row r="3" spans="1:20" ht="21" customHeight="1">
      <c r="A3" s="186"/>
      <c r="B3" s="187"/>
      <c r="C3" s="188">
        <f>COUNTIF(Review.ratings,"Yes") / ( COUNTA(Review.QuestionIds) - COUNTIF(Review.ratings,"NA"))</f>
        <v>1</v>
      </c>
      <c r="D3" s="188">
        <f t="shared" ref="D3:I3" si="0">COUNTIF(D5:D36,"Yes") / ( COUNTA(D5:D36) - COUNTIF(D5:D36,"NA"))</f>
        <v>1</v>
      </c>
      <c r="E3" s="188">
        <f t="shared" si="0"/>
        <v>1</v>
      </c>
      <c r="F3" s="188">
        <f t="shared" si="0"/>
        <v>0.86956521739130432</v>
      </c>
      <c r="G3" s="188">
        <f t="shared" si="0"/>
        <v>1</v>
      </c>
      <c r="H3" s="188">
        <f t="shared" si="0"/>
        <v>1</v>
      </c>
      <c r="I3" s="188">
        <f t="shared" si="0"/>
        <v>1</v>
      </c>
      <c r="J3" s="188">
        <f t="shared" ref="J3:K3" si="1">COUNTIF(J5:J36,"Yes") / ( COUNTA(J5:J36) - COUNTIF(J5:J36,"NA"))</f>
        <v>0.78260869565217395</v>
      </c>
      <c r="K3" s="188">
        <f t="shared" si="1"/>
        <v>1</v>
      </c>
      <c r="L3" s="188">
        <f t="shared" ref="L3:M3" si="2">COUNTIF(L5:L36,"Yes") / ( COUNTA(L5:L36) - COUNTIF(L5:L36,"NA"))</f>
        <v>0.91304347826086951</v>
      </c>
      <c r="M3" s="188">
        <f t="shared" si="2"/>
        <v>1</v>
      </c>
      <c r="N3" s="188">
        <f t="shared" ref="N3:O3" si="3">COUNTIF(N5:N36,"Yes") / ( COUNTA(N5:N36) - COUNTIF(N5:N36,"NA"))</f>
        <v>1</v>
      </c>
      <c r="O3" s="188">
        <f t="shared" si="3"/>
        <v>1</v>
      </c>
      <c r="P3" s="188">
        <f t="shared" ref="P3" si="4">COUNTIF(P5:P36,"Yes") / ( COUNTA(P5:P36) - COUNTIF(P5:P36,"NA"))</f>
        <v>1</v>
      </c>
      <c r="Q3" s="193"/>
      <c r="R3" s="201" t="s">
        <v>218</v>
      </c>
      <c r="S3" s="201" t="s">
        <v>219</v>
      </c>
      <c r="T3" s="194"/>
    </row>
    <row r="4" spans="1:20" ht="36">
      <c r="A4" s="189"/>
      <c r="B4" s="190" t="s">
        <v>223</v>
      </c>
      <c r="C4" s="191"/>
      <c r="D4" s="191"/>
      <c r="E4" s="191"/>
      <c r="F4" s="191"/>
      <c r="G4" s="191"/>
      <c r="H4" s="191"/>
      <c r="I4" s="191"/>
      <c r="J4" s="191"/>
      <c r="K4" s="191"/>
      <c r="L4" s="191"/>
      <c r="M4" s="191"/>
      <c r="N4" s="191"/>
      <c r="O4" s="191"/>
      <c r="P4" s="191"/>
      <c r="Q4" s="191"/>
      <c r="R4" s="191"/>
      <c r="S4" s="192"/>
      <c r="T4" s="25"/>
    </row>
    <row r="5" spans="1:20" ht="18.75">
      <c r="A5" s="160"/>
      <c r="B5" s="168" t="s">
        <v>214</v>
      </c>
      <c r="C5" s="161"/>
      <c r="D5" s="161"/>
      <c r="E5" s="161"/>
      <c r="F5" s="161"/>
      <c r="G5" s="161"/>
      <c r="H5" s="161"/>
      <c r="I5" s="161"/>
      <c r="J5" s="161"/>
      <c r="K5" s="161"/>
      <c r="L5" s="161"/>
      <c r="M5" s="161"/>
      <c r="N5" s="161"/>
      <c r="O5" s="161"/>
      <c r="P5" s="161"/>
      <c r="Q5" s="161"/>
      <c r="R5" s="201"/>
      <c r="S5" s="201"/>
    </row>
    <row r="6" spans="1:20" ht="38.25">
      <c r="A6" s="163" t="s">
        <v>290</v>
      </c>
      <c r="B6" s="171" t="s">
        <v>227</v>
      </c>
      <c r="C6" s="195" t="s">
        <v>211</v>
      </c>
      <c r="D6" s="195" t="s">
        <v>211</v>
      </c>
      <c r="E6" s="195" t="s">
        <v>211</v>
      </c>
      <c r="F6" s="195" t="s">
        <v>211</v>
      </c>
      <c r="G6" s="195" t="s">
        <v>211</v>
      </c>
      <c r="H6" s="195" t="s">
        <v>211</v>
      </c>
      <c r="I6" s="195" t="s">
        <v>211</v>
      </c>
      <c r="J6" s="195" t="s">
        <v>211</v>
      </c>
      <c r="K6" s="195" t="s">
        <v>211</v>
      </c>
      <c r="L6" s="195" t="s">
        <v>211</v>
      </c>
      <c r="M6" s="195" t="s">
        <v>211</v>
      </c>
      <c r="N6" s="195" t="s">
        <v>211</v>
      </c>
      <c r="O6" s="195" t="s">
        <v>211</v>
      </c>
      <c r="P6" s="195" t="s">
        <v>211</v>
      </c>
      <c r="Q6" s="196"/>
      <c r="R6" s="162"/>
      <c r="S6" s="162"/>
    </row>
    <row r="7" spans="1:20" ht="38.25">
      <c r="A7" s="163" t="s">
        <v>291</v>
      </c>
      <c r="B7" s="171" t="s">
        <v>228</v>
      </c>
      <c r="C7" s="195" t="s">
        <v>211</v>
      </c>
      <c r="D7" s="195" t="s">
        <v>211</v>
      </c>
      <c r="E7" s="195" t="s">
        <v>211</v>
      </c>
      <c r="F7" s="195" t="s">
        <v>211</v>
      </c>
      <c r="G7" s="195" t="s">
        <v>211</v>
      </c>
      <c r="H7" s="195" t="s">
        <v>211</v>
      </c>
      <c r="I7" s="195" t="s">
        <v>211</v>
      </c>
      <c r="J7" s="195" t="s">
        <v>211</v>
      </c>
      <c r="K7" s="195" t="s">
        <v>211</v>
      </c>
      <c r="L7" s="195" t="s">
        <v>211</v>
      </c>
      <c r="M7" s="195" t="s">
        <v>211</v>
      </c>
      <c r="N7" s="195" t="s">
        <v>211</v>
      </c>
      <c r="O7" s="195" t="s">
        <v>211</v>
      </c>
      <c r="P7" s="195" t="s">
        <v>211</v>
      </c>
      <c r="Q7" s="196"/>
      <c r="R7" s="162"/>
      <c r="S7" s="162"/>
    </row>
    <row r="8" spans="1:20" ht="18.75">
      <c r="A8" s="160"/>
      <c r="B8" s="168" t="s">
        <v>260</v>
      </c>
      <c r="C8" s="161"/>
      <c r="D8" s="161"/>
      <c r="E8" s="161"/>
      <c r="F8" s="161"/>
      <c r="G8" s="161"/>
      <c r="H8" s="161"/>
      <c r="I8" s="161"/>
      <c r="J8" s="161"/>
      <c r="K8" s="161"/>
      <c r="L8" s="161"/>
      <c r="M8" s="161"/>
      <c r="N8" s="161"/>
      <c r="O8" s="161"/>
      <c r="P8" s="161"/>
      <c r="Q8" s="161"/>
      <c r="R8" s="201"/>
      <c r="S8" s="201"/>
    </row>
    <row r="9" spans="1:20" ht="25.5">
      <c r="A9" s="163" t="s">
        <v>292</v>
      </c>
      <c r="B9" s="171" t="s">
        <v>272</v>
      </c>
      <c r="C9" s="195" t="s">
        <v>211</v>
      </c>
      <c r="D9" s="195" t="s">
        <v>211</v>
      </c>
      <c r="E9" s="195" t="s">
        <v>211</v>
      </c>
      <c r="F9" s="195" t="s">
        <v>211</v>
      </c>
      <c r="G9" s="195" t="s">
        <v>211</v>
      </c>
      <c r="H9" s="195" t="s">
        <v>211</v>
      </c>
      <c r="I9" s="195" t="s">
        <v>211</v>
      </c>
      <c r="J9" s="195" t="s">
        <v>23</v>
      </c>
      <c r="K9" s="195" t="s">
        <v>211</v>
      </c>
      <c r="L9" s="195" t="s">
        <v>211</v>
      </c>
      <c r="M9" s="195" t="s">
        <v>211</v>
      </c>
      <c r="N9" s="195" t="s">
        <v>211</v>
      </c>
      <c r="O9" s="195" t="s">
        <v>211</v>
      </c>
      <c r="P9" s="195" t="s">
        <v>211</v>
      </c>
      <c r="Q9" s="196"/>
      <c r="R9" s="162"/>
      <c r="S9" s="162"/>
    </row>
    <row r="10" spans="1:20" ht="25.5">
      <c r="A10" s="163" t="s">
        <v>293</v>
      </c>
      <c r="B10" s="171" t="s">
        <v>273</v>
      </c>
      <c r="C10" s="195" t="s">
        <v>211</v>
      </c>
      <c r="D10" s="195" t="s">
        <v>211</v>
      </c>
      <c r="E10" s="195" t="s">
        <v>211</v>
      </c>
      <c r="F10" s="195" t="s">
        <v>211</v>
      </c>
      <c r="G10" s="195" t="s">
        <v>211</v>
      </c>
      <c r="H10" s="195" t="s">
        <v>211</v>
      </c>
      <c r="I10" s="195" t="s">
        <v>211</v>
      </c>
      <c r="J10" s="195" t="s">
        <v>23</v>
      </c>
      <c r="K10" s="195" t="s">
        <v>211</v>
      </c>
      <c r="L10" s="195" t="s">
        <v>23</v>
      </c>
      <c r="M10" s="195" t="s">
        <v>211</v>
      </c>
      <c r="N10" s="195" t="s">
        <v>211</v>
      </c>
      <c r="O10" s="195" t="s">
        <v>211</v>
      </c>
      <c r="P10" s="195" t="s">
        <v>211</v>
      </c>
      <c r="Q10" s="196"/>
      <c r="R10" s="162"/>
      <c r="S10" s="162"/>
    </row>
    <row r="11" spans="1:20" ht="38.25">
      <c r="A11" s="163" t="s">
        <v>294</v>
      </c>
      <c r="B11" s="171" t="s">
        <v>295</v>
      </c>
      <c r="C11" s="195" t="s">
        <v>211</v>
      </c>
      <c r="D11" s="195" t="s">
        <v>211</v>
      </c>
      <c r="E11" s="195" t="s">
        <v>211</v>
      </c>
      <c r="F11" s="195" t="s">
        <v>211</v>
      </c>
      <c r="G11" s="195" t="s">
        <v>211</v>
      </c>
      <c r="H11" s="195" t="s">
        <v>211</v>
      </c>
      <c r="I11" s="195" t="s">
        <v>211</v>
      </c>
      <c r="J11" s="195" t="s">
        <v>23</v>
      </c>
      <c r="K11" s="195" t="s">
        <v>211</v>
      </c>
      <c r="L11" s="195" t="s">
        <v>23</v>
      </c>
      <c r="M11" s="195" t="s">
        <v>211</v>
      </c>
      <c r="N11" s="195" t="s">
        <v>211</v>
      </c>
      <c r="O11" s="195" t="s">
        <v>211</v>
      </c>
      <c r="P11" s="195" t="s">
        <v>211</v>
      </c>
      <c r="Q11" s="196"/>
      <c r="R11" s="162"/>
      <c r="S11" s="162"/>
    </row>
    <row r="12" spans="1:20" ht="63.75">
      <c r="A12" s="163" t="s">
        <v>296</v>
      </c>
      <c r="B12" s="171" t="s">
        <v>297</v>
      </c>
      <c r="C12" s="195" t="s">
        <v>211</v>
      </c>
      <c r="D12" s="195" t="s">
        <v>211</v>
      </c>
      <c r="E12" s="195" t="s">
        <v>211</v>
      </c>
      <c r="F12" s="195" t="s">
        <v>211</v>
      </c>
      <c r="G12" s="195" t="s">
        <v>211</v>
      </c>
      <c r="H12" s="195" t="s">
        <v>211</v>
      </c>
      <c r="I12" s="195" t="s">
        <v>211</v>
      </c>
      <c r="J12" s="195" t="s">
        <v>211</v>
      </c>
      <c r="K12" s="195" t="s">
        <v>211</v>
      </c>
      <c r="L12" s="195" t="s">
        <v>211</v>
      </c>
      <c r="M12" s="195" t="s">
        <v>211</v>
      </c>
      <c r="N12" s="195" t="s">
        <v>211</v>
      </c>
      <c r="O12" s="195" t="s">
        <v>211</v>
      </c>
      <c r="P12" s="195" t="s">
        <v>211</v>
      </c>
      <c r="Q12" s="196"/>
      <c r="R12" s="162"/>
      <c r="S12" s="162"/>
    </row>
    <row r="13" spans="1:20" ht="63.75">
      <c r="A13" s="163" t="s">
        <v>298</v>
      </c>
      <c r="B13" s="171" t="s">
        <v>299</v>
      </c>
      <c r="C13" s="195" t="s">
        <v>211</v>
      </c>
      <c r="D13" s="195" t="s">
        <v>211</v>
      </c>
      <c r="E13" s="195" t="s">
        <v>211</v>
      </c>
      <c r="F13" s="195" t="s">
        <v>211</v>
      </c>
      <c r="G13" s="195" t="s">
        <v>211</v>
      </c>
      <c r="H13" s="195" t="s">
        <v>211</v>
      </c>
      <c r="I13" s="195" t="s">
        <v>211</v>
      </c>
      <c r="J13" s="195" t="s">
        <v>211</v>
      </c>
      <c r="K13" s="195" t="s">
        <v>211</v>
      </c>
      <c r="L13" s="195" t="s">
        <v>211</v>
      </c>
      <c r="M13" s="195" t="s">
        <v>211</v>
      </c>
      <c r="N13" s="195" t="s">
        <v>211</v>
      </c>
      <c r="O13" s="195" t="s">
        <v>211</v>
      </c>
      <c r="P13" s="195" t="s">
        <v>211</v>
      </c>
      <c r="Q13" s="196"/>
      <c r="R13" s="162"/>
      <c r="S13" s="162"/>
    </row>
    <row r="14" spans="1:20" ht="25.5">
      <c r="A14" s="163" t="s">
        <v>300</v>
      </c>
      <c r="B14" s="171" t="s">
        <v>274</v>
      </c>
      <c r="C14" s="195" t="s">
        <v>211</v>
      </c>
      <c r="D14" s="195" t="s">
        <v>211</v>
      </c>
      <c r="E14" s="195" t="s">
        <v>211</v>
      </c>
      <c r="F14" s="195" t="s">
        <v>211</v>
      </c>
      <c r="G14" s="195" t="s">
        <v>211</v>
      </c>
      <c r="H14" s="195" t="s">
        <v>211</v>
      </c>
      <c r="I14" s="195" t="s">
        <v>211</v>
      </c>
      <c r="J14" s="195" t="s">
        <v>23</v>
      </c>
      <c r="K14" s="195" t="s">
        <v>211</v>
      </c>
      <c r="L14" s="195" t="s">
        <v>211</v>
      </c>
      <c r="M14" s="195" t="s">
        <v>211</v>
      </c>
      <c r="N14" s="195" t="s">
        <v>211</v>
      </c>
      <c r="O14" s="195" t="s">
        <v>211</v>
      </c>
      <c r="P14" s="195" t="s">
        <v>211</v>
      </c>
      <c r="Q14" s="196"/>
      <c r="R14" s="162"/>
      <c r="S14" s="162"/>
    </row>
    <row r="15" spans="1:20" ht="25.5">
      <c r="A15" s="163" t="s">
        <v>301</v>
      </c>
      <c r="B15" s="171" t="s">
        <v>275</v>
      </c>
      <c r="C15" s="195" t="s">
        <v>211</v>
      </c>
      <c r="D15" s="195" t="s">
        <v>211</v>
      </c>
      <c r="E15" s="195" t="s">
        <v>211</v>
      </c>
      <c r="F15" s="195" t="s">
        <v>23</v>
      </c>
      <c r="G15" s="195" t="s">
        <v>211</v>
      </c>
      <c r="H15" s="195" t="s">
        <v>211</v>
      </c>
      <c r="I15" s="195" t="s">
        <v>211</v>
      </c>
      <c r="J15" s="195" t="s">
        <v>211</v>
      </c>
      <c r="K15" s="195" t="s">
        <v>211</v>
      </c>
      <c r="L15" s="195" t="s">
        <v>211</v>
      </c>
      <c r="M15" s="195" t="s">
        <v>211</v>
      </c>
      <c r="N15" s="195" t="s">
        <v>211</v>
      </c>
      <c r="O15" s="195" t="s">
        <v>211</v>
      </c>
      <c r="P15" s="195" t="s">
        <v>211</v>
      </c>
      <c r="Q15" s="196"/>
      <c r="R15" s="162"/>
      <c r="S15" s="162"/>
    </row>
    <row r="16" spans="1:20" ht="25.5">
      <c r="A16" s="163" t="s">
        <v>302</v>
      </c>
      <c r="B16" s="171" t="s">
        <v>276</v>
      </c>
      <c r="C16" s="195" t="s">
        <v>211</v>
      </c>
      <c r="D16" s="195" t="s">
        <v>211</v>
      </c>
      <c r="E16" s="195" t="s">
        <v>211</v>
      </c>
      <c r="F16" s="195" t="s">
        <v>211</v>
      </c>
      <c r="G16" s="195" t="s">
        <v>211</v>
      </c>
      <c r="H16" s="195" t="s">
        <v>211</v>
      </c>
      <c r="I16" s="195" t="s">
        <v>211</v>
      </c>
      <c r="J16" s="195" t="s">
        <v>211</v>
      </c>
      <c r="K16" s="195" t="s">
        <v>211</v>
      </c>
      <c r="L16" s="195" t="s">
        <v>211</v>
      </c>
      <c r="M16" s="195" t="s">
        <v>211</v>
      </c>
      <c r="N16" s="195" t="s">
        <v>211</v>
      </c>
      <c r="O16" s="195" t="s">
        <v>211</v>
      </c>
      <c r="P16" s="195" t="s">
        <v>211</v>
      </c>
      <c r="Q16" s="196"/>
      <c r="R16" s="162"/>
      <c r="S16" s="162"/>
    </row>
    <row r="17" spans="1:19" ht="51">
      <c r="A17" s="163" t="s">
        <v>303</v>
      </c>
      <c r="B17" s="171" t="s">
        <v>277</v>
      </c>
      <c r="C17" s="195" t="s">
        <v>211</v>
      </c>
      <c r="D17" s="195" t="s">
        <v>211</v>
      </c>
      <c r="E17" s="195" t="s">
        <v>211</v>
      </c>
      <c r="F17" s="195" t="s">
        <v>23</v>
      </c>
      <c r="G17" s="195" t="s">
        <v>211</v>
      </c>
      <c r="H17" s="195" t="s">
        <v>211</v>
      </c>
      <c r="I17" s="195" t="s">
        <v>211</v>
      </c>
      <c r="J17" s="195" t="s">
        <v>211</v>
      </c>
      <c r="K17" s="195" t="s">
        <v>211</v>
      </c>
      <c r="L17" s="195" t="s">
        <v>211</v>
      </c>
      <c r="M17" s="195" t="s">
        <v>211</v>
      </c>
      <c r="N17" s="195" t="s">
        <v>211</v>
      </c>
      <c r="O17" s="195" t="s">
        <v>211</v>
      </c>
      <c r="P17" s="195" t="s">
        <v>211</v>
      </c>
      <c r="Q17" s="196"/>
      <c r="R17" s="162"/>
      <c r="S17" s="162"/>
    </row>
    <row r="18" spans="1:19" ht="38.25">
      <c r="A18" s="163" t="s">
        <v>304</v>
      </c>
      <c r="B18" s="171" t="s">
        <v>278</v>
      </c>
      <c r="C18" s="195" t="s">
        <v>211</v>
      </c>
      <c r="D18" s="195" t="s">
        <v>211</v>
      </c>
      <c r="E18" s="195" t="s">
        <v>211</v>
      </c>
      <c r="F18" s="195" t="s">
        <v>211</v>
      </c>
      <c r="G18" s="195" t="s">
        <v>211</v>
      </c>
      <c r="H18" s="195" t="s">
        <v>211</v>
      </c>
      <c r="I18" s="195" t="s">
        <v>211</v>
      </c>
      <c r="J18" s="195" t="s">
        <v>211</v>
      </c>
      <c r="K18" s="195" t="s">
        <v>211</v>
      </c>
      <c r="L18" s="195" t="s">
        <v>211</v>
      </c>
      <c r="M18" s="195" t="s">
        <v>211</v>
      </c>
      <c r="N18" s="195" t="s">
        <v>211</v>
      </c>
      <c r="O18" s="195" t="s">
        <v>211</v>
      </c>
      <c r="P18" s="195" t="s">
        <v>211</v>
      </c>
      <c r="Q18" s="196"/>
      <c r="R18" s="162"/>
      <c r="S18" s="162"/>
    </row>
    <row r="19" spans="1:19" ht="51">
      <c r="A19" s="163" t="s">
        <v>305</v>
      </c>
      <c r="B19" s="171" t="s">
        <v>279</v>
      </c>
      <c r="C19" s="195" t="s">
        <v>211</v>
      </c>
      <c r="D19" s="195" t="s">
        <v>211</v>
      </c>
      <c r="E19" s="195" t="s">
        <v>211</v>
      </c>
      <c r="F19" s="195" t="s">
        <v>211</v>
      </c>
      <c r="G19" s="195" t="s">
        <v>211</v>
      </c>
      <c r="H19" s="195" t="s">
        <v>211</v>
      </c>
      <c r="I19" s="195" t="s">
        <v>211</v>
      </c>
      <c r="J19" s="195" t="s">
        <v>211</v>
      </c>
      <c r="K19" s="195" t="s">
        <v>211</v>
      </c>
      <c r="L19" s="195" t="s">
        <v>211</v>
      </c>
      <c r="M19" s="195" t="s">
        <v>211</v>
      </c>
      <c r="N19" s="195" t="s">
        <v>211</v>
      </c>
      <c r="O19" s="195" t="s">
        <v>211</v>
      </c>
      <c r="P19" s="195" t="s">
        <v>211</v>
      </c>
      <c r="Q19" s="196"/>
      <c r="R19" s="162"/>
      <c r="S19" s="162"/>
    </row>
    <row r="20" spans="1:19" ht="38.25">
      <c r="A20" s="163" t="s">
        <v>306</v>
      </c>
      <c r="B20" s="171" t="s">
        <v>280</v>
      </c>
      <c r="C20" s="195" t="s">
        <v>211</v>
      </c>
      <c r="D20" s="195" t="s">
        <v>211</v>
      </c>
      <c r="E20" s="195" t="s">
        <v>211</v>
      </c>
      <c r="F20" s="195" t="s">
        <v>211</v>
      </c>
      <c r="G20" s="195" t="s">
        <v>211</v>
      </c>
      <c r="H20" s="195" t="s">
        <v>211</v>
      </c>
      <c r="I20" s="195" t="s">
        <v>211</v>
      </c>
      <c r="J20" s="195" t="s">
        <v>211</v>
      </c>
      <c r="K20" s="195" t="s">
        <v>211</v>
      </c>
      <c r="L20" s="195" t="s">
        <v>211</v>
      </c>
      <c r="M20" s="195" t="s">
        <v>211</v>
      </c>
      <c r="N20" s="195" t="s">
        <v>211</v>
      </c>
      <c r="O20" s="195" t="s">
        <v>211</v>
      </c>
      <c r="P20" s="195" t="s">
        <v>211</v>
      </c>
      <c r="Q20" s="196"/>
      <c r="R20" s="162"/>
      <c r="S20" s="162"/>
    </row>
    <row r="21" spans="1:19" ht="25.5">
      <c r="A21" s="163" t="s">
        <v>307</v>
      </c>
      <c r="B21" s="171" t="s">
        <v>281</v>
      </c>
      <c r="C21" s="195" t="s">
        <v>211</v>
      </c>
      <c r="D21" s="195" t="s">
        <v>211</v>
      </c>
      <c r="E21" s="195" t="s">
        <v>211</v>
      </c>
      <c r="F21" s="195" t="s">
        <v>211</v>
      </c>
      <c r="G21" s="195" t="s">
        <v>211</v>
      </c>
      <c r="H21" s="195" t="s">
        <v>211</v>
      </c>
      <c r="I21" s="195" t="s">
        <v>211</v>
      </c>
      <c r="J21" s="195" t="s">
        <v>211</v>
      </c>
      <c r="K21" s="195" t="s">
        <v>211</v>
      </c>
      <c r="L21" s="195" t="s">
        <v>211</v>
      </c>
      <c r="M21" s="195" t="s">
        <v>211</v>
      </c>
      <c r="N21" s="195" t="s">
        <v>211</v>
      </c>
      <c r="O21" s="195" t="s">
        <v>211</v>
      </c>
      <c r="P21" s="195" t="s">
        <v>211</v>
      </c>
      <c r="Q21" s="196"/>
      <c r="R21" s="162"/>
      <c r="S21" s="162"/>
    </row>
    <row r="22" spans="1:19" ht="38.25">
      <c r="A22" s="163" t="s">
        <v>308</v>
      </c>
      <c r="B22" s="171" t="s">
        <v>282</v>
      </c>
      <c r="C22" s="195" t="s">
        <v>211</v>
      </c>
      <c r="D22" s="195" t="s">
        <v>211</v>
      </c>
      <c r="E22" s="195" t="s">
        <v>211</v>
      </c>
      <c r="F22" s="195" t="s">
        <v>211</v>
      </c>
      <c r="G22" s="195" t="s">
        <v>211</v>
      </c>
      <c r="H22" s="195" t="s">
        <v>211</v>
      </c>
      <c r="I22" s="195" t="s">
        <v>211</v>
      </c>
      <c r="J22" s="195" t="s">
        <v>211</v>
      </c>
      <c r="K22" s="195" t="s">
        <v>211</v>
      </c>
      <c r="L22" s="195" t="s">
        <v>211</v>
      </c>
      <c r="M22" s="195" t="s">
        <v>211</v>
      </c>
      <c r="N22" s="195" t="s">
        <v>211</v>
      </c>
      <c r="O22" s="195" t="s">
        <v>211</v>
      </c>
      <c r="P22" s="195" t="s">
        <v>211</v>
      </c>
      <c r="Q22" s="196"/>
      <c r="R22" s="162"/>
      <c r="S22" s="162"/>
    </row>
    <row r="23" spans="1:19" ht="25.5">
      <c r="A23" s="163" t="s">
        <v>309</v>
      </c>
      <c r="B23" s="171" t="s">
        <v>283</v>
      </c>
      <c r="C23" s="195" t="s">
        <v>211</v>
      </c>
      <c r="D23" s="195" t="s">
        <v>211</v>
      </c>
      <c r="E23" s="195" t="s">
        <v>211</v>
      </c>
      <c r="F23" s="195" t="s">
        <v>211</v>
      </c>
      <c r="G23" s="195" t="s">
        <v>211</v>
      </c>
      <c r="H23" s="195" t="s">
        <v>211</v>
      </c>
      <c r="I23" s="195" t="s">
        <v>211</v>
      </c>
      <c r="J23" s="195" t="s">
        <v>211</v>
      </c>
      <c r="K23" s="195" t="s">
        <v>211</v>
      </c>
      <c r="L23" s="195" t="s">
        <v>211</v>
      </c>
      <c r="M23" s="195" t="s">
        <v>211</v>
      </c>
      <c r="N23" s="195" t="s">
        <v>211</v>
      </c>
      <c r="O23" s="195" t="s">
        <v>211</v>
      </c>
      <c r="P23" s="195" t="s">
        <v>211</v>
      </c>
      <c r="Q23" s="196"/>
      <c r="R23" s="162"/>
      <c r="S23" s="162"/>
    </row>
    <row r="24" spans="1:19" ht="18.75">
      <c r="A24" s="160"/>
      <c r="B24" s="168" t="s">
        <v>215</v>
      </c>
      <c r="C24" s="161"/>
      <c r="D24" s="161"/>
      <c r="E24" s="161"/>
      <c r="F24" s="161"/>
      <c r="G24" s="161"/>
      <c r="H24" s="161"/>
      <c r="I24" s="161"/>
      <c r="J24" s="161"/>
      <c r="K24" s="161"/>
      <c r="L24" s="161"/>
      <c r="M24" s="161"/>
      <c r="N24" s="161"/>
      <c r="O24" s="161"/>
      <c r="P24" s="161"/>
      <c r="Q24" s="161"/>
      <c r="R24" s="201"/>
      <c r="S24" s="201"/>
    </row>
    <row r="25" spans="1:19" ht="38.25">
      <c r="A25" s="163" t="s">
        <v>310</v>
      </c>
      <c r="B25" s="171" t="s">
        <v>205</v>
      </c>
      <c r="C25" s="195" t="s">
        <v>211</v>
      </c>
      <c r="D25" s="195" t="s">
        <v>211</v>
      </c>
      <c r="E25" s="195" t="s">
        <v>211</v>
      </c>
      <c r="F25" s="195" t="s">
        <v>23</v>
      </c>
      <c r="G25" s="195" t="s">
        <v>211</v>
      </c>
      <c r="H25" s="195" t="s">
        <v>211</v>
      </c>
      <c r="I25" s="195" t="s">
        <v>211</v>
      </c>
      <c r="J25" s="195" t="s">
        <v>23</v>
      </c>
      <c r="K25" s="195" t="s">
        <v>211</v>
      </c>
      <c r="L25" s="195" t="s">
        <v>211</v>
      </c>
      <c r="M25" s="195" t="s">
        <v>211</v>
      </c>
      <c r="N25" s="195" t="s">
        <v>211</v>
      </c>
      <c r="O25" s="195" t="s">
        <v>211</v>
      </c>
      <c r="P25" s="195" t="s">
        <v>211</v>
      </c>
      <c r="Q25" s="196"/>
      <c r="R25" s="162"/>
      <c r="S25" s="162"/>
    </row>
    <row r="26" spans="1:19" ht="25.5">
      <c r="A26" s="163" t="s">
        <v>311</v>
      </c>
      <c r="B26" s="171" t="s">
        <v>206</v>
      </c>
      <c r="C26" s="195" t="s">
        <v>211</v>
      </c>
      <c r="D26" s="195" t="s">
        <v>211</v>
      </c>
      <c r="E26" s="195" t="s">
        <v>211</v>
      </c>
      <c r="F26" s="195" t="s">
        <v>211</v>
      </c>
      <c r="G26" s="195" t="s">
        <v>211</v>
      </c>
      <c r="H26" s="195" t="s">
        <v>211</v>
      </c>
      <c r="I26" s="195" t="s">
        <v>211</v>
      </c>
      <c r="J26" s="195" t="s">
        <v>211</v>
      </c>
      <c r="K26" s="195" t="s">
        <v>211</v>
      </c>
      <c r="L26" s="195" t="s">
        <v>211</v>
      </c>
      <c r="M26" s="195" t="s">
        <v>211</v>
      </c>
      <c r="N26" s="195" t="s">
        <v>211</v>
      </c>
      <c r="O26" s="195" t="s">
        <v>211</v>
      </c>
      <c r="P26" s="195" t="s">
        <v>211</v>
      </c>
      <c r="Q26" s="196"/>
      <c r="R26" s="162"/>
      <c r="S26" s="162"/>
    </row>
    <row r="27" spans="1:19" ht="38.25">
      <c r="A27" s="163" t="s">
        <v>312</v>
      </c>
      <c r="B27" s="171" t="s">
        <v>207</v>
      </c>
      <c r="C27" s="195" t="s">
        <v>211</v>
      </c>
      <c r="D27" s="195" t="s">
        <v>211</v>
      </c>
      <c r="E27" s="195" t="s">
        <v>211</v>
      </c>
      <c r="F27" s="195" t="s">
        <v>211</v>
      </c>
      <c r="G27" s="195" t="s">
        <v>211</v>
      </c>
      <c r="H27" s="195" t="s">
        <v>211</v>
      </c>
      <c r="I27" s="195" t="s">
        <v>211</v>
      </c>
      <c r="J27" s="195" t="s">
        <v>211</v>
      </c>
      <c r="K27" s="195" t="s">
        <v>211</v>
      </c>
      <c r="L27" s="195" t="s">
        <v>211</v>
      </c>
      <c r="M27" s="195" t="s">
        <v>211</v>
      </c>
      <c r="N27" s="195" t="s">
        <v>211</v>
      </c>
      <c r="O27" s="195" t="s">
        <v>211</v>
      </c>
      <c r="P27" s="195" t="s">
        <v>211</v>
      </c>
      <c r="Q27" s="196"/>
      <c r="R27" s="162"/>
      <c r="S27" s="162"/>
    </row>
    <row r="28" spans="1:19" ht="38.25">
      <c r="A28" s="163" t="s">
        <v>313</v>
      </c>
      <c r="B28" s="171" t="s">
        <v>208</v>
      </c>
      <c r="C28" s="195" t="s">
        <v>211</v>
      </c>
      <c r="D28" s="195" t="s">
        <v>211</v>
      </c>
      <c r="E28" s="195" t="s">
        <v>211</v>
      </c>
      <c r="F28" s="195" t="s">
        <v>211</v>
      </c>
      <c r="G28" s="195" t="s">
        <v>211</v>
      </c>
      <c r="H28" s="195" t="s">
        <v>211</v>
      </c>
      <c r="I28" s="195" t="s">
        <v>211</v>
      </c>
      <c r="J28" s="195" t="s">
        <v>211</v>
      </c>
      <c r="K28" s="195" t="s">
        <v>211</v>
      </c>
      <c r="L28" s="195" t="s">
        <v>211</v>
      </c>
      <c r="M28" s="195" t="s">
        <v>211</v>
      </c>
      <c r="N28" s="195" t="s">
        <v>211</v>
      </c>
      <c r="O28" s="195" t="s">
        <v>211</v>
      </c>
      <c r="P28" s="195" t="s">
        <v>211</v>
      </c>
      <c r="Q28" s="196"/>
      <c r="R28" s="162"/>
      <c r="S28" s="162"/>
    </row>
    <row r="29" spans="1:19" ht="18.75">
      <c r="A29" s="160"/>
      <c r="B29" s="168" t="s">
        <v>216</v>
      </c>
      <c r="C29" s="161"/>
      <c r="D29" s="161"/>
      <c r="E29" s="161"/>
      <c r="F29" s="161"/>
      <c r="G29" s="161"/>
      <c r="H29" s="161"/>
      <c r="I29" s="161"/>
      <c r="J29" s="161"/>
      <c r="K29" s="161"/>
      <c r="L29" s="161"/>
      <c r="M29" s="161"/>
      <c r="N29" s="161"/>
      <c r="O29" s="161"/>
      <c r="P29" s="161"/>
      <c r="Q29" s="161"/>
      <c r="R29" s="201"/>
      <c r="S29" s="201"/>
    </row>
    <row r="30" spans="1:19" ht="38.25">
      <c r="A30" s="163" t="s">
        <v>314</v>
      </c>
      <c r="B30" s="171" t="s">
        <v>209</v>
      </c>
      <c r="C30" s="195" t="s">
        <v>211</v>
      </c>
      <c r="D30" s="195" t="s">
        <v>211</v>
      </c>
      <c r="E30" s="195" t="s">
        <v>211</v>
      </c>
      <c r="F30" s="195" t="s">
        <v>211</v>
      </c>
      <c r="G30" s="195" t="s">
        <v>211</v>
      </c>
      <c r="H30" s="195" t="s">
        <v>211</v>
      </c>
      <c r="I30" s="195" t="s">
        <v>211</v>
      </c>
      <c r="J30" s="195" t="s">
        <v>211</v>
      </c>
      <c r="K30" s="195" t="s">
        <v>211</v>
      </c>
      <c r="L30" s="195" t="s">
        <v>211</v>
      </c>
      <c r="M30" s="195" t="s">
        <v>211</v>
      </c>
      <c r="N30" s="195" t="s">
        <v>211</v>
      </c>
      <c r="O30" s="195" t="s">
        <v>211</v>
      </c>
      <c r="P30" s="195" t="s">
        <v>211</v>
      </c>
      <c r="Q30" s="196"/>
      <c r="R30" s="162"/>
      <c r="S30" s="162"/>
    </row>
    <row r="31" spans="1:19" ht="38.25">
      <c r="A31" s="163" t="s">
        <v>315</v>
      </c>
      <c r="B31" s="171" t="s">
        <v>210</v>
      </c>
      <c r="C31" s="195" t="s">
        <v>211</v>
      </c>
      <c r="D31" s="195" t="s">
        <v>211</v>
      </c>
      <c r="E31" s="195" t="s">
        <v>211</v>
      </c>
      <c r="F31" s="195" t="s">
        <v>211</v>
      </c>
      <c r="G31" s="195" t="s">
        <v>211</v>
      </c>
      <c r="H31" s="195" t="s">
        <v>211</v>
      </c>
      <c r="I31" s="195" t="s">
        <v>211</v>
      </c>
      <c r="J31" s="195" t="s">
        <v>211</v>
      </c>
      <c r="K31" s="195" t="s">
        <v>211</v>
      </c>
      <c r="L31" s="195" t="s">
        <v>211</v>
      </c>
      <c r="M31" s="195" t="s">
        <v>211</v>
      </c>
      <c r="N31" s="195" t="s">
        <v>211</v>
      </c>
      <c r="O31" s="195" t="s">
        <v>211</v>
      </c>
      <c r="P31" s="195" t="s">
        <v>211</v>
      </c>
      <c r="Q31" s="196"/>
      <c r="R31" s="162"/>
      <c r="S31" s="162"/>
    </row>
    <row r="32" spans="1:19" ht="18.75">
      <c r="A32" s="160"/>
      <c r="B32" s="168" t="s">
        <v>203</v>
      </c>
      <c r="C32" s="161"/>
      <c r="D32" s="161"/>
      <c r="E32" s="161"/>
      <c r="F32" s="161"/>
      <c r="G32" s="161"/>
      <c r="H32" s="161"/>
      <c r="I32" s="161"/>
      <c r="J32" s="161"/>
      <c r="K32" s="161"/>
      <c r="L32" s="161"/>
      <c r="M32" s="161"/>
      <c r="N32" s="161"/>
      <c r="O32" s="161"/>
      <c r="P32" s="161"/>
      <c r="Q32" s="161"/>
      <c r="R32" s="201"/>
      <c r="S32" s="201"/>
    </row>
    <row r="33" spans="1:19" ht="51">
      <c r="A33" s="163" t="s">
        <v>316</v>
      </c>
      <c r="B33" s="171" t="s">
        <v>204</v>
      </c>
      <c r="C33" s="195" t="s">
        <v>11</v>
      </c>
      <c r="D33" s="195" t="s">
        <v>11</v>
      </c>
      <c r="E33" s="195" t="s">
        <v>11</v>
      </c>
      <c r="F33" s="195" t="s">
        <v>11</v>
      </c>
      <c r="G33" s="195" t="s">
        <v>11</v>
      </c>
      <c r="H33" s="195" t="s">
        <v>11</v>
      </c>
      <c r="I33" s="195" t="s">
        <v>11</v>
      </c>
      <c r="J33" s="195" t="s">
        <v>11</v>
      </c>
      <c r="K33" s="195" t="s">
        <v>11</v>
      </c>
      <c r="L33" s="195" t="s">
        <v>11</v>
      </c>
      <c r="M33" s="195" t="s">
        <v>11</v>
      </c>
      <c r="N33" s="195" t="s">
        <v>11</v>
      </c>
      <c r="O33" s="195" t="s">
        <v>11</v>
      </c>
      <c r="P33" s="195" t="s">
        <v>11</v>
      </c>
      <c r="Q33" s="196" t="s">
        <v>357</v>
      </c>
      <c r="R33" s="162"/>
      <c r="S33" s="162"/>
    </row>
    <row r="34" spans="1:19" ht="18">
      <c r="A34" s="197"/>
      <c r="B34" s="198" t="s">
        <v>220</v>
      </c>
      <c r="C34" s="197"/>
      <c r="D34" s="197"/>
      <c r="E34" s="197"/>
      <c r="F34" s="197"/>
      <c r="G34" s="197"/>
      <c r="H34" s="197"/>
      <c r="I34" s="197"/>
      <c r="J34" s="197"/>
      <c r="K34" s="197"/>
      <c r="L34" s="197"/>
      <c r="M34" s="197"/>
      <c r="N34" s="197"/>
      <c r="O34" s="197"/>
      <c r="P34" s="197"/>
      <c r="Q34" s="197"/>
      <c r="R34" s="197"/>
      <c r="S34" s="197"/>
    </row>
    <row r="35" spans="1:19" ht="15">
      <c r="A35" s="164"/>
      <c r="B35" s="165"/>
      <c r="C35" s="166"/>
      <c r="D35" s="166"/>
      <c r="E35" s="166"/>
      <c r="F35" s="166"/>
      <c r="G35" s="166"/>
      <c r="H35" s="166"/>
      <c r="I35" s="166"/>
      <c r="J35" s="166"/>
      <c r="K35" s="166"/>
      <c r="L35" s="166"/>
      <c r="M35" s="166"/>
      <c r="N35" s="166"/>
      <c r="O35" s="166"/>
      <c r="P35" s="166"/>
      <c r="Q35" s="166"/>
      <c r="R35" s="166"/>
      <c r="S35" s="167"/>
    </row>
    <row r="36" spans="1:19" ht="15">
      <c r="A36" s="202"/>
      <c r="B36" s="203" t="s">
        <v>334</v>
      </c>
      <c r="C36" s="202"/>
      <c r="D36" s="202"/>
      <c r="E36" s="202"/>
      <c r="F36" s="202"/>
      <c r="G36" s="202"/>
      <c r="H36" s="202"/>
      <c r="I36" s="202"/>
      <c r="J36" s="202"/>
      <c r="K36" s="202"/>
      <c r="L36" s="202"/>
      <c r="M36" s="202"/>
      <c r="N36" s="202"/>
      <c r="O36" s="202"/>
      <c r="P36" s="202"/>
      <c r="Q36" s="202"/>
      <c r="R36" s="202"/>
      <c r="S36" s="202"/>
    </row>
  </sheetData>
  <mergeCells count="1">
    <mergeCell ref="R2:S2"/>
  </mergeCells>
  <conditionalFormatting sqref="C6">
    <cfRule type="cellIs" dxfId="1151" priority="2074" operator="equal">
      <formula>"No"</formula>
    </cfRule>
    <cfRule type="cellIs" dxfId="1150" priority="2075" operator="equal">
      <formula>"NA"</formula>
    </cfRule>
    <cfRule type="cellIs" dxfId="1149" priority="2076" operator="equal">
      <formula>"Yes"</formula>
    </cfRule>
  </conditionalFormatting>
  <conditionalFormatting sqref="C9">
    <cfRule type="cellIs" dxfId="1148" priority="1982" operator="equal">
      <formula>"No"</formula>
    </cfRule>
    <cfRule type="cellIs" dxfId="1147" priority="1983" operator="equal">
      <formula>"NA"</formula>
    </cfRule>
    <cfRule type="cellIs" dxfId="1146" priority="1984" operator="equal">
      <formula>"Yes"</formula>
    </cfRule>
  </conditionalFormatting>
  <conditionalFormatting sqref="C10">
    <cfRule type="cellIs" dxfId="1145" priority="1936" operator="equal">
      <formula>"No"</formula>
    </cfRule>
    <cfRule type="cellIs" dxfId="1144" priority="1937" operator="equal">
      <formula>"NA"</formula>
    </cfRule>
    <cfRule type="cellIs" dxfId="1143" priority="1938" operator="equal">
      <formula>"Yes"</formula>
    </cfRule>
  </conditionalFormatting>
  <conditionalFormatting sqref="C11">
    <cfRule type="cellIs" dxfId="1142" priority="1890" operator="equal">
      <formula>"No"</formula>
    </cfRule>
    <cfRule type="cellIs" dxfId="1141" priority="1891" operator="equal">
      <formula>"NA"</formula>
    </cfRule>
    <cfRule type="cellIs" dxfId="1140" priority="1892" operator="equal">
      <formula>"Yes"</formula>
    </cfRule>
  </conditionalFormatting>
  <conditionalFormatting sqref="C12">
    <cfRule type="cellIs" dxfId="1139" priority="1844" operator="equal">
      <formula>"No"</formula>
    </cfRule>
    <cfRule type="cellIs" dxfId="1138" priority="1845" operator="equal">
      <formula>"NA"</formula>
    </cfRule>
    <cfRule type="cellIs" dxfId="1137" priority="1846" operator="equal">
      <formula>"Yes"</formula>
    </cfRule>
  </conditionalFormatting>
  <conditionalFormatting sqref="C13">
    <cfRule type="cellIs" dxfId="1136" priority="1798" operator="equal">
      <formula>"No"</formula>
    </cfRule>
    <cfRule type="cellIs" dxfId="1135" priority="1799" operator="equal">
      <formula>"NA"</formula>
    </cfRule>
    <cfRule type="cellIs" dxfId="1134" priority="1800" operator="equal">
      <formula>"Yes"</formula>
    </cfRule>
  </conditionalFormatting>
  <conditionalFormatting sqref="C14">
    <cfRule type="cellIs" dxfId="1133" priority="1752" operator="equal">
      <formula>"No"</formula>
    </cfRule>
    <cfRule type="cellIs" dxfId="1132" priority="1753" operator="equal">
      <formula>"NA"</formula>
    </cfRule>
    <cfRule type="cellIs" dxfId="1131" priority="1754" operator="equal">
      <formula>"Yes"</formula>
    </cfRule>
  </conditionalFormatting>
  <conditionalFormatting sqref="C18">
    <cfRule type="cellIs" dxfId="1130" priority="1568" operator="equal">
      <formula>"No"</formula>
    </cfRule>
    <cfRule type="cellIs" dxfId="1129" priority="1569" operator="equal">
      <formula>"NA"</formula>
    </cfRule>
    <cfRule type="cellIs" dxfId="1128" priority="1570" operator="equal">
      <formula>"Yes"</formula>
    </cfRule>
  </conditionalFormatting>
  <conditionalFormatting sqref="C19">
    <cfRule type="cellIs" dxfId="1127" priority="1522" operator="equal">
      <formula>"No"</formula>
    </cfRule>
    <cfRule type="cellIs" dxfId="1126" priority="1523" operator="equal">
      <formula>"NA"</formula>
    </cfRule>
    <cfRule type="cellIs" dxfId="1125" priority="1524" operator="equal">
      <formula>"Yes"</formula>
    </cfRule>
  </conditionalFormatting>
  <conditionalFormatting sqref="C20">
    <cfRule type="cellIs" dxfId="1124" priority="1476" operator="equal">
      <formula>"No"</formula>
    </cfRule>
    <cfRule type="cellIs" dxfId="1123" priority="1477" operator="equal">
      <formula>"NA"</formula>
    </cfRule>
    <cfRule type="cellIs" dxfId="1122" priority="1478" operator="equal">
      <formula>"Yes"</formula>
    </cfRule>
  </conditionalFormatting>
  <conditionalFormatting sqref="C21">
    <cfRule type="cellIs" dxfId="1121" priority="1430" operator="equal">
      <formula>"No"</formula>
    </cfRule>
    <cfRule type="cellIs" dxfId="1120" priority="1431" operator="equal">
      <formula>"NA"</formula>
    </cfRule>
    <cfRule type="cellIs" dxfId="1119" priority="1432" operator="equal">
      <formula>"Yes"</formula>
    </cfRule>
  </conditionalFormatting>
  <conditionalFormatting sqref="C22">
    <cfRule type="cellIs" dxfId="1118" priority="1384" operator="equal">
      <formula>"No"</formula>
    </cfRule>
    <cfRule type="cellIs" dxfId="1117" priority="1385" operator="equal">
      <formula>"NA"</formula>
    </cfRule>
    <cfRule type="cellIs" dxfId="1116" priority="1386" operator="equal">
      <formula>"Yes"</formula>
    </cfRule>
  </conditionalFormatting>
  <conditionalFormatting sqref="C23">
    <cfRule type="cellIs" dxfId="1115" priority="1338" operator="equal">
      <formula>"No"</formula>
    </cfRule>
    <cfRule type="cellIs" dxfId="1114" priority="1339" operator="equal">
      <formula>"NA"</formula>
    </cfRule>
    <cfRule type="cellIs" dxfId="1113" priority="1340" operator="equal">
      <formula>"Yes"</formula>
    </cfRule>
  </conditionalFormatting>
  <conditionalFormatting sqref="C25">
    <cfRule type="cellIs" dxfId="1112" priority="1292" operator="equal">
      <formula>"No"</formula>
    </cfRule>
    <cfRule type="cellIs" dxfId="1111" priority="1293" operator="equal">
      <formula>"NA"</formula>
    </cfRule>
    <cfRule type="cellIs" dxfId="1110" priority="1294" operator="equal">
      <formula>"Yes"</formula>
    </cfRule>
  </conditionalFormatting>
  <conditionalFormatting sqref="C26">
    <cfRule type="cellIs" dxfId="1109" priority="1246" operator="equal">
      <formula>"No"</formula>
    </cfRule>
    <cfRule type="cellIs" dxfId="1108" priority="1247" operator="equal">
      <formula>"NA"</formula>
    </cfRule>
    <cfRule type="cellIs" dxfId="1107" priority="1248" operator="equal">
      <formula>"Yes"</formula>
    </cfRule>
  </conditionalFormatting>
  <conditionalFormatting sqref="C27">
    <cfRule type="cellIs" dxfId="1106" priority="1200" operator="equal">
      <formula>"No"</formula>
    </cfRule>
    <cfRule type="cellIs" dxfId="1105" priority="1201" operator="equal">
      <formula>"NA"</formula>
    </cfRule>
    <cfRule type="cellIs" dxfId="1104" priority="1202" operator="equal">
      <formula>"Yes"</formula>
    </cfRule>
  </conditionalFormatting>
  <conditionalFormatting sqref="C28">
    <cfRule type="cellIs" dxfId="1103" priority="1154" operator="equal">
      <formula>"No"</formula>
    </cfRule>
    <cfRule type="cellIs" dxfId="1102" priority="1155" operator="equal">
      <formula>"NA"</formula>
    </cfRule>
    <cfRule type="cellIs" dxfId="1101" priority="1156" operator="equal">
      <formula>"Yes"</formula>
    </cfRule>
  </conditionalFormatting>
  <conditionalFormatting sqref="C30">
    <cfRule type="cellIs" dxfId="1100" priority="1108" operator="equal">
      <formula>"No"</formula>
    </cfRule>
    <cfRule type="cellIs" dxfId="1099" priority="1109" operator="equal">
      <formula>"NA"</formula>
    </cfRule>
    <cfRule type="cellIs" dxfId="1098" priority="1110" operator="equal">
      <formula>"Yes"</formula>
    </cfRule>
  </conditionalFormatting>
  <conditionalFormatting sqref="C31">
    <cfRule type="cellIs" dxfId="1097" priority="1062" operator="equal">
      <formula>"No"</formula>
    </cfRule>
    <cfRule type="cellIs" dxfId="1096" priority="1063" operator="equal">
      <formula>"NA"</formula>
    </cfRule>
    <cfRule type="cellIs" dxfId="1095" priority="1064" operator="equal">
      <formula>"Yes"</formula>
    </cfRule>
  </conditionalFormatting>
  <conditionalFormatting sqref="C33">
    <cfRule type="cellIs" dxfId="1094" priority="1016" operator="equal">
      <formula>"No"</formula>
    </cfRule>
    <cfRule type="cellIs" dxfId="1093" priority="1017" operator="equal">
      <formula>"NA"</formula>
    </cfRule>
    <cfRule type="cellIs" dxfId="1092" priority="1018" operator="equal">
      <formula>"Yes"</formula>
    </cfRule>
  </conditionalFormatting>
  <conditionalFormatting sqref="D6">
    <cfRule type="cellIs" dxfId="1091" priority="970" operator="equal">
      <formula>"No"</formula>
    </cfRule>
    <cfRule type="cellIs" dxfId="1090" priority="971" operator="equal">
      <formula>"NA"</formula>
    </cfRule>
    <cfRule type="cellIs" dxfId="1089" priority="972" operator="equal">
      <formula>"Yes"</formula>
    </cfRule>
  </conditionalFormatting>
  <conditionalFormatting sqref="D9">
    <cfRule type="cellIs" dxfId="1088" priority="964" operator="equal">
      <formula>"No"</formula>
    </cfRule>
    <cfRule type="cellIs" dxfId="1087" priority="965" operator="equal">
      <formula>"NA"</formula>
    </cfRule>
    <cfRule type="cellIs" dxfId="1086" priority="966" operator="equal">
      <formula>"Yes"</formula>
    </cfRule>
  </conditionalFormatting>
  <conditionalFormatting sqref="D10">
    <cfRule type="cellIs" dxfId="1085" priority="961" operator="equal">
      <formula>"No"</formula>
    </cfRule>
    <cfRule type="cellIs" dxfId="1084" priority="962" operator="equal">
      <formula>"NA"</formula>
    </cfRule>
    <cfRule type="cellIs" dxfId="1083" priority="963" operator="equal">
      <formula>"Yes"</formula>
    </cfRule>
  </conditionalFormatting>
  <conditionalFormatting sqref="D12">
    <cfRule type="cellIs" dxfId="1082" priority="955" operator="equal">
      <formula>"No"</formula>
    </cfRule>
    <cfRule type="cellIs" dxfId="1081" priority="956" operator="equal">
      <formula>"NA"</formula>
    </cfRule>
    <cfRule type="cellIs" dxfId="1080" priority="957" operator="equal">
      <formula>"Yes"</formula>
    </cfRule>
  </conditionalFormatting>
  <conditionalFormatting sqref="D13">
    <cfRule type="cellIs" dxfId="1079" priority="952" operator="equal">
      <formula>"No"</formula>
    </cfRule>
    <cfRule type="cellIs" dxfId="1078" priority="953" operator="equal">
      <formula>"NA"</formula>
    </cfRule>
    <cfRule type="cellIs" dxfId="1077" priority="954" operator="equal">
      <formula>"Yes"</formula>
    </cfRule>
  </conditionalFormatting>
  <conditionalFormatting sqref="D14">
    <cfRule type="cellIs" dxfId="1076" priority="949" operator="equal">
      <formula>"No"</formula>
    </cfRule>
    <cfRule type="cellIs" dxfId="1075" priority="950" operator="equal">
      <formula>"NA"</formula>
    </cfRule>
    <cfRule type="cellIs" dxfId="1074" priority="951" operator="equal">
      <formula>"Yes"</formula>
    </cfRule>
  </conditionalFormatting>
  <conditionalFormatting sqref="D16">
    <cfRule type="cellIs" dxfId="1073" priority="943" operator="equal">
      <formula>"No"</formula>
    </cfRule>
    <cfRule type="cellIs" dxfId="1072" priority="944" operator="equal">
      <formula>"NA"</formula>
    </cfRule>
    <cfRule type="cellIs" dxfId="1071" priority="945" operator="equal">
      <formula>"Yes"</formula>
    </cfRule>
  </conditionalFormatting>
  <conditionalFormatting sqref="D18">
    <cfRule type="cellIs" dxfId="1070" priority="937" operator="equal">
      <formula>"No"</formula>
    </cfRule>
    <cfRule type="cellIs" dxfId="1069" priority="938" operator="equal">
      <formula>"NA"</formula>
    </cfRule>
    <cfRule type="cellIs" dxfId="1068" priority="939" operator="equal">
      <formula>"Yes"</formula>
    </cfRule>
  </conditionalFormatting>
  <conditionalFormatting sqref="D19">
    <cfRule type="cellIs" dxfId="1067" priority="934" operator="equal">
      <formula>"No"</formula>
    </cfRule>
    <cfRule type="cellIs" dxfId="1066" priority="935" operator="equal">
      <formula>"NA"</formula>
    </cfRule>
    <cfRule type="cellIs" dxfId="1065" priority="936" operator="equal">
      <formula>"Yes"</formula>
    </cfRule>
  </conditionalFormatting>
  <conditionalFormatting sqref="D20">
    <cfRule type="cellIs" dxfId="1064" priority="931" operator="equal">
      <formula>"No"</formula>
    </cfRule>
    <cfRule type="cellIs" dxfId="1063" priority="932" operator="equal">
      <formula>"NA"</formula>
    </cfRule>
    <cfRule type="cellIs" dxfId="1062" priority="933" operator="equal">
      <formula>"Yes"</formula>
    </cfRule>
  </conditionalFormatting>
  <conditionalFormatting sqref="D21">
    <cfRule type="cellIs" dxfId="1061" priority="928" operator="equal">
      <formula>"No"</formula>
    </cfRule>
    <cfRule type="cellIs" dxfId="1060" priority="929" operator="equal">
      <formula>"NA"</formula>
    </cfRule>
    <cfRule type="cellIs" dxfId="1059" priority="930" operator="equal">
      <formula>"Yes"</formula>
    </cfRule>
  </conditionalFormatting>
  <conditionalFormatting sqref="D22">
    <cfRule type="cellIs" dxfId="1058" priority="925" operator="equal">
      <formula>"No"</formula>
    </cfRule>
    <cfRule type="cellIs" dxfId="1057" priority="926" operator="equal">
      <formula>"NA"</formula>
    </cfRule>
    <cfRule type="cellIs" dxfId="1056" priority="927" operator="equal">
      <formula>"Yes"</formula>
    </cfRule>
  </conditionalFormatting>
  <conditionalFormatting sqref="D23">
    <cfRule type="cellIs" dxfId="1055" priority="922" operator="equal">
      <formula>"No"</formula>
    </cfRule>
    <cfRule type="cellIs" dxfId="1054" priority="923" operator="equal">
      <formula>"NA"</formula>
    </cfRule>
    <cfRule type="cellIs" dxfId="1053" priority="924" operator="equal">
      <formula>"Yes"</formula>
    </cfRule>
  </conditionalFormatting>
  <conditionalFormatting sqref="D25">
    <cfRule type="cellIs" dxfId="1052" priority="919" operator="equal">
      <formula>"No"</formula>
    </cfRule>
    <cfRule type="cellIs" dxfId="1051" priority="920" operator="equal">
      <formula>"NA"</formula>
    </cfRule>
    <cfRule type="cellIs" dxfId="1050" priority="921" operator="equal">
      <formula>"Yes"</formula>
    </cfRule>
  </conditionalFormatting>
  <conditionalFormatting sqref="D26">
    <cfRule type="cellIs" dxfId="1049" priority="916" operator="equal">
      <formula>"No"</formula>
    </cfRule>
    <cfRule type="cellIs" dxfId="1048" priority="917" operator="equal">
      <formula>"NA"</formula>
    </cfRule>
    <cfRule type="cellIs" dxfId="1047" priority="918" operator="equal">
      <formula>"Yes"</formula>
    </cfRule>
  </conditionalFormatting>
  <conditionalFormatting sqref="D27">
    <cfRule type="cellIs" dxfId="1046" priority="913" operator="equal">
      <formula>"No"</formula>
    </cfRule>
    <cfRule type="cellIs" dxfId="1045" priority="914" operator="equal">
      <formula>"NA"</formula>
    </cfRule>
    <cfRule type="cellIs" dxfId="1044" priority="915" operator="equal">
      <formula>"Yes"</formula>
    </cfRule>
  </conditionalFormatting>
  <conditionalFormatting sqref="D28">
    <cfRule type="cellIs" dxfId="1043" priority="910" operator="equal">
      <formula>"No"</formula>
    </cfRule>
    <cfRule type="cellIs" dxfId="1042" priority="911" operator="equal">
      <formula>"NA"</formula>
    </cfRule>
    <cfRule type="cellIs" dxfId="1041" priority="912" operator="equal">
      <formula>"Yes"</formula>
    </cfRule>
  </conditionalFormatting>
  <conditionalFormatting sqref="D30">
    <cfRule type="cellIs" dxfId="1040" priority="907" operator="equal">
      <formula>"No"</formula>
    </cfRule>
    <cfRule type="cellIs" dxfId="1039" priority="908" operator="equal">
      <formula>"NA"</formula>
    </cfRule>
    <cfRule type="cellIs" dxfId="1038" priority="909" operator="equal">
      <formula>"Yes"</formula>
    </cfRule>
  </conditionalFormatting>
  <conditionalFormatting sqref="D31">
    <cfRule type="cellIs" dxfId="1037" priority="904" operator="equal">
      <formula>"No"</formula>
    </cfRule>
    <cfRule type="cellIs" dxfId="1036" priority="905" operator="equal">
      <formula>"NA"</formula>
    </cfRule>
    <cfRule type="cellIs" dxfId="1035" priority="906" operator="equal">
      <formula>"Yes"</formula>
    </cfRule>
  </conditionalFormatting>
  <conditionalFormatting sqref="D33">
    <cfRule type="cellIs" dxfId="1034" priority="901" operator="equal">
      <formula>"No"</formula>
    </cfRule>
    <cfRule type="cellIs" dxfId="1033" priority="902" operator="equal">
      <formula>"NA"</formula>
    </cfRule>
    <cfRule type="cellIs" dxfId="1032" priority="903" operator="equal">
      <formula>"Yes"</formula>
    </cfRule>
  </conditionalFormatting>
  <conditionalFormatting sqref="E6">
    <cfRule type="cellIs" dxfId="1031" priority="898" operator="equal">
      <formula>"No"</formula>
    </cfRule>
    <cfRule type="cellIs" dxfId="1030" priority="899" operator="equal">
      <formula>"NA"</formula>
    </cfRule>
    <cfRule type="cellIs" dxfId="1029" priority="900" operator="equal">
      <formula>"Yes"</formula>
    </cfRule>
  </conditionalFormatting>
  <conditionalFormatting sqref="E9">
    <cfRule type="cellIs" dxfId="1028" priority="892" operator="equal">
      <formula>"No"</formula>
    </cfRule>
    <cfRule type="cellIs" dxfId="1027" priority="893" operator="equal">
      <formula>"NA"</formula>
    </cfRule>
    <cfRule type="cellIs" dxfId="1026" priority="894" operator="equal">
      <formula>"Yes"</formula>
    </cfRule>
  </conditionalFormatting>
  <conditionalFormatting sqref="E10">
    <cfRule type="cellIs" dxfId="1025" priority="889" operator="equal">
      <formula>"No"</formula>
    </cfRule>
    <cfRule type="cellIs" dxfId="1024" priority="890" operator="equal">
      <formula>"NA"</formula>
    </cfRule>
    <cfRule type="cellIs" dxfId="1023" priority="891" operator="equal">
      <formula>"Yes"</formula>
    </cfRule>
  </conditionalFormatting>
  <conditionalFormatting sqref="E11">
    <cfRule type="cellIs" dxfId="1022" priority="886" operator="equal">
      <formula>"No"</formula>
    </cfRule>
    <cfRule type="cellIs" dxfId="1021" priority="887" operator="equal">
      <formula>"NA"</formula>
    </cfRule>
    <cfRule type="cellIs" dxfId="1020" priority="888" operator="equal">
      <formula>"Yes"</formula>
    </cfRule>
  </conditionalFormatting>
  <conditionalFormatting sqref="E12">
    <cfRule type="cellIs" dxfId="1019" priority="883" operator="equal">
      <formula>"No"</formula>
    </cfRule>
    <cfRule type="cellIs" dxfId="1018" priority="884" operator="equal">
      <formula>"NA"</formula>
    </cfRule>
    <cfRule type="cellIs" dxfId="1017" priority="885" operator="equal">
      <formula>"Yes"</formula>
    </cfRule>
  </conditionalFormatting>
  <conditionalFormatting sqref="E13">
    <cfRule type="cellIs" dxfId="1016" priority="880" operator="equal">
      <formula>"No"</formula>
    </cfRule>
    <cfRule type="cellIs" dxfId="1015" priority="881" operator="equal">
      <formula>"NA"</formula>
    </cfRule>
    <cfRule type="cellIs" dxfId="1014" priority="882" operator="equal">
      <formula>"Yes"</formula>
    </cfRule>
  </conditionalFormatting>
  <conditionalFormatting sqref="E14">
    <cfRule type="cellIs" dxfId="1013" priority="877" operator="equal">
      <formula>"No"</formula>
    </cfRule>
    <cfRule type="cellIs" dxfId="1012" priority="878" operator="equal">
      <formula>"NA"</formula>
    </cfRule>
    <cfRule type="cellIs" dxfId="1011" priority="879" operator="equal">
      <formula>"Yes"</formula>
    </cfRule>
  </conditionalFormatting>
  <conditionalFormatting sqref="E15">
    <cfRule type="cellIs" dxfId="1010" priority="874" operator="equal">
      <formula>"No"</formula>
    </cfRule>
    <cfRule type="cellIs" dxfId="1009" priority="875" operator="equal">
      <formula>"NA"</formula>
    </cfRule>
    <cfRule type="cellIs" dxfId="1008" priority="876" operator="equal">
      <formula>"Yes"</formula>
    </cfRule>
  </conditionalFormatting>
  <conditionalFormatting sqref="E16">
    <cfRule type="cellIs" dxfId="1007" priority="871" operator="equal">
      <formula>"No"</formula>
    </cfRule>
    <cfRule type="cellIs" dxfId="1006" priority="872" operator="equal">
      <formula>"NA"</formula>
    </cfRule>
    <cfRule type="cellIs" dxfId="1005" priority="873" operator="equal">
      <formula>"Yes"</formula>
    </cfRule>
  </conditionalFormatting>
  <conditionalFormatting sqref="E17">
    <cfRule type="cellIs" dxfId="1004" priority="868" operator="equal">
      <formula>"No"</formula>
    </cfRule>
    <cfRule type="cellIs" dxfId="1003" priority="869" operator="equal">
      <formula>"NA"</formula>
    </cfRule>
    <cfRule type="cellIs" dxfId="1002" priority="870" operator="equal">
      <formula>"Yes"</formula>
    </cfRule>
  </conditionalFormatting>
  <conditionalFormatting sqref="E18">
    <cfRule type="cellIs" dxfId="1001" priority="865" operator="equal">
      <formula>"No"</formula>
    </cfRule>
    <cfRule type="cellIs" dxfId="1000" priority="866" operator="equal">
      <formula>"NA"</formula>
    </cfRule>
    <cfRule type="cellIs" dxfId="999" priority="867" operator="equal">
      <formula>"Yes"</formula>
    </cfRule>
  </conditionalFormatting>
  <conditionalFormatting sqref="E19">
    <cfRule type="cellIs" dxfId="998" priority="862" operator="equal">
      <formula>"No"</formula>
    </cfRule>
    <cfRule type="cellIs" dxfId="997" priority="863" operator="equal">
      <formula>"NA"</formula>
    </cfRule>
    <cfRule type="cellIs" dxfId="996" priority="864" operator="equal">
      <formula>"Yes"</formula>
    </cfRule>
  </conditionalFormatting>
  <conditionalFormatting sqref="E20">
    <cfRule type="cellIs" dxfId="995" priority="859" operator="equal">
      <formula>"No"</formula>
    </cfRule>
    <cfRule type="cellIs" dxfId="994" priority="860" operator="equal">
      <formula>"NA"</formula>
    </cfRule>
    <cfRule type="cellIs" dxfId="993" priority="861" operator="equal">
      <formula>"Yes"</formula>
    </cfRule>
  </conditionalFormatting>
  <conditionalFormatting sqref="E21">
    <cfRule type="cellIs" dxfId="992" priority="856" operator="equal">
      <formula>"No"</formula>
    </cfRule>
    <cfRule type="cellIs" dxfId="991" priority="857" operator="equal">
      <formula>"NA"</formula>
    </cfRule>
    <cfRule type="cellIs" dxfId="990" priority="858" operator="equal">
      <formula>"Yes"</formula>
    </cfRule>
  </conditionalFormatting>
  <conditionalFormatting sqref="E22">
    <cfRule type="cellIs" dxfId="989" priority="853" operator="equal">
      <formula>"No"</formula>
    </cfRule>
    <cfRule type="cellIs" dxfId="988" priority="854" operator="equal">
      <formula>"NA"</formula>
    </cfRule>
    <cfRule type="cellIs" dxfId="987" priority="855" operator="equal">
      <formula>"Yes"</formula>
    </cfRule>
  </conditionalFormatting>
  <conditionalFormatting sqref="E23">
    <cfRule type="cellIs" dxfId="986" priority="850" operator="equal">
      <formula>"No"</formula>
    </cfRule>
    <cfRule type="cellIs" dxfId="985" priority="851" operator="equal">
      <formula>"NA"</formula>
    </cfRule>
    <cfRule type="cellIs" dxfId="984" priority="852" operator="equal">
      <formula>"Yes"</formula>
    </cfRule>
  </conditionalFormatting>
  <conditionalFormatting sqref="E25">
    <cfRule type="cellIs" dxfId="983" priority="847" operator="equal">
      <formula>"No"</formula>
    </cfRule>
    <cfRule type="cellIs" dxfId="982" priority="848" operator="equal">
      <formula>"NA"</formula>
    </cfRule>
    <cfRule type="cellIs" dxfId="981" priority="849" operator="equal">
      <formula>"Yes"</formula>
    </cfRule>
  </conditionalFormatting>
  <conditionalFormatting sqref="E26">
    <cfRule type="cellIs" dxfId="980" priority="844" operator="equal">
      <formula>"No"</formula>
    </cfRule>
    <cfRule type="cellIs" dxfId="979" priority="845" operator="equal">
      <formula>"NA"</formula>
    </cfRule>
    <cfRule type="cellIs" dxfId="978" priority="846" operator="equal">
      <formula>"Yes"</formula>
    </cfRule>
  </conditionalFormatting>
  <conditionalFormatting sqref="E27">
    <cfRule type="cellIs" dxfId="977" priority="841" operator="equal">
      <formula>"No"</formula>
    </cfRule>
    <cfRule type="cellIs" dxfId="976" priority="842" operator="equal">
      <formula>"NA"</formula>
    </cfRule>
    <cfRule type="cellIs" dxfId="975" priority="843" operator="equal">
      <formula>"Yes"</formula>
    </cfRule>
  </conditionalFormatting>
  <conditionalFormatting sqref="E28">
    <cfRule type="cellIs" dxfId="974" priority="838" operator="equal">
      <formula>"No"</formula>
    </cfRule>
    <cfRule type="cellIs" dxfId="973" priority="839" operator="equal">
      <formula>"NA"</formula>
    </cfRule>
    <cfRule type="cellIs" dxfId="972" priority="840" operator="equal">
      <formula>"Yes"</formula>
    </cfRule>
  </conditionalFormatting>
  <conditionalFormatting sqref="E30">
    <cfRule type="cellIs" dxfId="971" priority="835" operator="equal">
      <formula>"No"</formula>
    </cfRule>
    <cfRule type="cellIs" dxfId="970" priority="836" operator="equal">
      <formula>"NA"</formula>
    </cfRule>
    <cfRule type="cellIs" dxfId="969" priority="837" operator="equal">
      <formula>"Yes"</formula>
    </cfRule>
  </conditionalFormatting>
  <conditionalFormatting sqref="E31">
    <cfRule type="cellIs" dxfId="968" priority="832" operator="equal">
      <formula>"No"</formula>
    </cfRule>
    <cfRule type="cellIs" dxfId="967" priority="833" operator="equal">
      <formula>"NA"</formula>
    </cfRule>
    <cfRule type="cellIs" dxfId="966" priority="834" operator="equal">
      <formula>"Yes"</formula>
    </cfRule>
  </conditionalFormatting>
  <conditionalFormatting sqref="E33">
    <cfRule type="cellIs" dxfId="965" priority="829" operator="equal">
      <formula>"No"</formula>
    </cfRule>
    <cfRule type="cellIs" dxfId="964" priority="830" operator="equal">
      <formula>"NA"</formula>
    </cfRule>
    <cfRule type="cellIs" dxfId="963" priority="831" operator="equal">
      <formula>"Yes"</formula>
    </cfRule>
  </conditionalFormatting>
  <conditionalFormatting sqref="F6">
    <cfRule type="cellIs" dxfId="962" priority="826" operator="equal">
      <formula>"No"</formula>
    </cfRule>
    <cfRule type="cellIs" dxfId="961" priority="827" operator="equal">
      <formula>"NA"</formula>
    </cfRule>
    <cfRule type="cellIs" dxfId="960" priority="828" operator="equal">
      <formula>"Yes"</formula>
    </cfRule>
  </conditionalFormatting>
  <conditionalFormatting sqref="F7">
    <cfRule type="cellIs" dxfId="959" priority="823" operator="equal">
      <formula>"No"</formula>
    </cfRule>
    <cfRule type="cellIs" dxfId="958" priority="824" operator="equal">
      <formula>"NA"</formula>
    </cfRule>
    <cfRule type="cellIs" dxfId="957" priority="825" operator="equal">
      <formula>"Yes"</formula>
    </cfRule>
  </conditionalFormatting>
  <conditionalFormatting sqref="F9">
    <cfRule type="cellIs" dxfId="956" priority="820" operator="equal">
      <formula>"No"</formula>
    </cfRule>
    <cfRule type="cellIs" dxfId="955" priority="821" operator="equal">
      <formula>"NA"</formula>
    </cfRule>
    <cfRule type="cellIs" dxfId="954" priority="822" operator="equal">
      <formula>"Yes"</formula>
    </cfRule>
  </conditionalFormatting>
  <conditionalFormatting sqref="F10">
    <cfRule type="cellIs" dxfId="953" priority="817" operator="equal">
      <formula>"No"</formula>
    </cfRule>
    <cfRule type="cellIs" dxfId="952" priority="818" operator="equal">
      <formula>"NA"</formula>
    </cfRule>
    <cfRule type="cellIs" dxfId="951" priority="819" operator="equal">
      <formula>"Yes"</formula>
    </cfRule>
  </conditionalFormatting>
  <conditionalFormatting sqref="F11">
    <cfRule type="cellIs" dxfId="950" priority="814" operator="equal">
      <formula>"No"</formula>
    </cfRule>
    <cfRule type="cellIs" dxfId="949" priority="815" operator="equal">
      <formula>"NA"</formula>
    </cfRule>
    <cfRule type="cellIs" dxfId="948" priority="816" operator="equal">
      <formula>"Yes"</formula>
    </cfRule>
  </conditionalFormatting>
  <conditionalFormatting sqref="F12">
    <cfRule type="cellIs" dxfId="947" priority="811" operator="equal">
      <formula>"No"</formula>
    </cfRule>
    <cfRule type="cellIs" dxfId="946" priority="812" operator="equal">
      <formula>"NA"</formula>
    </cfRule>
    <cfRule type="cellIs" dxfId="945" priority="813" operator="equal">
      <formula>"Yes"</formula>
    </cfRule>
  </conditionalFormatting>
  <conditionalFormatting sqref="F13">
    <cfRule type="cellIs" dxfId="944" priority="808" operator="equal">
      <formula>"No"</formula>
    </cfRule>
    <cfRule type="cellIs" dxfId="943" priority="809" operator="equal">
      <formula>"NA"</formula>
    </cfRule>
    <cfRule type="cellIs" dxfId="942" priority="810" operator="equal">
      <formula>"Yes"</formula>
    </cfRule>
  </conditionalFormatting>
  <conditionalFormatting sqref="F14">
    <cfRule type="cellIs" dxfId="941" priority="805" operator="equal">
      <formula>"No"</formula>
    </cfRule>
    <cfRule type="cellIs" dxfId="940" priority="806" operator="equal">
      <formula>"NA"</formula>
    </cfRule>
    <cfRule type="cellIs" dxfId="939" priority="807" operator="equal">
      <formula>"Yes"</formula>
    </cfRule>
  </conditionalFormatting>
  <conditionalFormatting sqref="F15">
    <cfRule type="cellIs" dxfId="938" priority="802" operator="equal">
      <formula>"No"</formula>
    </cfRule>
    <cfRule type="cellIs" dxfId="937" priority="803" operator="equal">
      <formula>"NA"</formula>
    </cfRule>
    <cfRule type="cellIs" dxfId="936" priority="804" operator="equal">
      <formula>"Yes"</formula>
    </cfRule>
  </conditionalFormatting>
  <conditionalFormatting sqref="F16">
    <cfRule type="cellIs" dxfId="935" priority="799" operator="equal">
      <formula>"No"</formula>
    </cfRule>
    <cfRule type="cellIs" dxfId="934" priority="800" operator="equal">
      <formula>"NA"</formula>
    </cfRule>
    <cfRule type="cellIs" dxfId="933" priority="801" operator="equal">
      <formula>"Yes"</formula>
    </cfRule>
  </conditionalFormatting>
  <conditionalFormatting sqref="F17">
    <cfRule type="cellIs" dxfId="932" priority="796" operator="equal">
      <formula>"No"</formula>
    </cfRule>
    <cfRule type="cellIs" dxfId="931" priority="797" operator="equal">
      <formula>"NA"</formula>
    </cfRule>
    <cfRule type="cellIs" dxfId="930" priority="798" operator="equal">
      <formula>"Yes"</formula>
    </cfRule>
  </conditionalFormatting>
  <conditionalFormatting sqref="F18">
    <cfRule type="cellIs" dxfId="929" priority="793" operator="equal">
      <formula>"No"</formula>
    </cfRule>
    <cfRule type="cellIs" dxfId="928" priority="794" operator="equal">
      <formula>"NA"</formula>
    </cfRule>
    <cfRule type="cellIs" dxfId="927" priority="795" operator="equal">
      <formula>"Yes"</formula>
    </cfRule>
  </conditionalFormatting>
  <conditionalFormatting sqref="F19">
    <cfRule type="cellIs" dxfId="926" priority="790" operator="equal">
      <formula>"No"</formula>
    </cfRule>
    <cfRule type="cellIs" dxfId="925" priority="791" operator="equal">
      <formula>"NA"</formula>
    </cfRule>
    <cfRule type="cellIs" dxfId="924" priority="792" operator="equal">
      <formula>"Yes"</formula>
    </cfRule>
  </conditionalFormatting>
  <conditionalFormatting sqref="F20">
    <cfRule type="cellIs" dxfId="923" priority="787" operator="equal">
      <formula>"No"</formula>
    </cfRule>
    <cfRule type="cellIs" dxfId="922" priority="788" operator="equal">
      <formula>"NA"</formula>
    </cfRule>
    <cfRule type="cellIs" dxfId="921" priority="789" operator="equal">
      <formula>"Yes"</formula>
    </cfRule>
  </conditionalFormatting>
  <conditionalFormatting sqref="F21">
    <cfRule type="cellIs" dxfId="920" priority="784" operator="equal">
      <formula>"No"</formula>
    </cfRule>
    <cfRule type="cellIs" dxfId="919" priority="785" operator="equal">
      <formula>"NA"</formula>
    </cfRule>
    <cfRule type="cellIs" dxfId="918" priority="786" operator="equal">
      <formula>"Yes"</formula>
    </cfRule>
  </conditionalFormatting>
  <conditionalFormatting sqref="F22">
    <cfRule type="cellIs" dxfId="917" priority="781" operator="equal">
      <formula>"No"</formula>
    </cfRule>
    <cfRule type="cellIs" dxfId="916" priority="782" operator="equal">
      <formula>"NA"</formula>
    </cfRule>
    <cfRule type="cellIs" dxfId="915" priority="783" operator="equal">
      <formula>"Yes"</formula>
    </cfRule>
  </conditionalFormatting>
  <conditionalFormatting sqref="F23">
    <cfRule type="cellIs" dxfId="914" priority="778" operator="equal">
      <formula>"No"</formula>
    </cfRule>
    <cfRule type="cellIs" dxfId="913" priority="779" operator="equal">
      <formula>"NA"</formula>
    </cfRule>
    <cfRule type="cellIs" dxfId="912" priority="780" operator="equal">
      <formula>"Yes"</formula>
    </cfRule>
  </conditionalFormatting>
  <conditionalFormatting sqref="F25">
    <cfRule type="cellIs" dxfId="911" priority="775" operator="equal">
      <formula>"No"</formula>
    </cfRule>
    <cfRule type="cellIs" dxfId="910" priority="776" operator="equal">
      <formula>"NA"</formula>
    </cfRule>
    <cfRule type="cellIs" dxfId="909" priority="777" operator="equal">
      <formula>"Yes"</formula>
    </cfRule>
  </conditionalFormatting>
  <conditionalFormatting sqref="F26">
    <cfRule type="cellIs" dxfId="908" priority="772" operator="equal">
      <formula>"No"</formula>
    </cfRule>
    <cfRule type="cellIs" dxfId="907" priority="773" operator="equal">
      <formula>"NA"</formula>
    </cfRule>
    <cfRule type="cellIs" dxfId="906" priority="774" operator="equal">
      <formula>"Yes"</formula>
    </cfRule>
  </conditionalFormatting>
  <conditionalFormatting sqref="F27">
    <cfRule type="cellIs" dxfId="905" priority="769" operator="equal">
      <formula>"No"</formula>
    </cfRule>
    <cfRule type="cellIs" dxfId="904" priority="770" operator="equal">
      <formula>"NA"</formula>
    </cfRule>
    <cfRule type="cellIs" dxfId="903" priority="771" operator="equal">
      <formula>"Yes"</formula>
    </cfRule>
  </conditionalFormatting>
  <conditionalFormatting sqref="F28">
    <cfRule type="cellIs" dxfId="902" priority="766" operator="equal">
      <formula>"No"</formula>
    </cfRule>
    <cfRule type="cellIs" dxfId="901" priority="767" operator="equal">
      <formula>"NA"</formula>
    </cfRule>
    <cfRule type="cellIs" dxfId="900" priority="768" operator="equal">
      <formula>"Yes"</formula>
    </cfRule>
  </conditionalFormatting>
  <conditionalFormatting sqref="F30">
    <cfRule type="cellIs" dxfId="899" priority="763" operator="equal">
      <formula>"No"</formula>
    </cfRule>
    <cfRule type="cellIs" dxfId="898" priority="764" operator="equal">
      <formula>"NA"</formula>
    </cfRule>
    <cfRule type="cellIs" dxfId="897" priority="765" operator="equal">
      <formula>"Yes"</formula>
    </cfRule>
  </conditionalFormatting>
  <conditionalFormatting sqref="F31">
    <cfRule type="cellIs" dxfId="896" priority="760" operator="equal">
      <formula>"No"</formula>
    </cfRule>
    <cfRule type="cellIs" dxfId="895" priority="761" operator="equal">
      <formula>"NA"</formula>
    </cfRule>
    <cfRule type="cellIs" dxfId="894" priority="762" operator="equal">
      <formula>"Yes"</formula>
    </cfRule>
  </conditionalFormatting>
  <conditionalFormatting sqref="F33">
    <cfRule type="cellIs" dxfId="893" priority="757" operator="equal">
      <formula>"No"</formula>
    </cfRule>
    <cfRule type="cellIs" dxfId="892" priority="758" operator="equal">
      <formula>"NA"</formula>
    </cfRule>
    <cfRule type="cellIs" dxfId="891" priority="759" operator="equal">
      <formula>"Yes"</formula>
    </cfRule>
  </conditionalFormatting>
  <conditionalFormatting sqref="G6">
    <cfRule type="cellIs" dxfId="890" priority="754" operator="equal">
      <formula>"No"</formula>
    </cfRule>
    <cfRule type="cellIs" dxfId="889" priority="755" operator="equal">
      <formula>"NA"</formula>
    </cfRule>
    <cfRule type="cellIs" dxfId="888" priority="756" operator="equal">
      <formula>"Yes"</formula>
    </cfRule>
  </conditionalFormatting>
  <conditionalFormatting sqref="G9">
    <cfRule type="cellIs" dxfId="887" priority="748" operator="equal">
      <formula>"No"</formula>
    </cfRule>
    <cfRule type="cellIs" dxfId="886" priority="749" operator="equal">
      <formula>"NA"</formula>
    </cfRule>
    <cfRule type="cellIs" dxfId="885" priority="750" operator="equal">
      <formula>"Yes"</formula>
    </cfRule>
  </conditionalFormatting>
  <conditionalFormatting sqref="G10">
    <cfRule type="cellIs" dxfId="884" priority="745" operator="equal">
      <formula>"No"</formula>
    </cfRule>
    <cfRule type="cellIs" dxfId="883" priority="746" operator="equal">
      <formula>"NA"</formula>
    </cfRule>
    <cfRule type="cellIs" dxfId="882" priority="747" operator="equal">
      <formula>"Yes"</formula>
    </cfRule>
  </conditionalFormatting>
  <conditionalFormatting sqref="G12">
    <cfRule type="cellIs" dxfId="881" priority="739" operator="equal">
      <formula>"No"</formula>
    </cfRule>
    <cfRule type="cellIs" dxfId="880" priority="740" operator="equal">
      <formula>"NA"</formula>
    </cfRule>
    <cfRule type="cellIs" dxfId="879" priority="741" operator="equal">
      <formula>"Yes"</formula>
    </cfRule>
  </conditionalFormatting>
  <conditionalFormatting sqref="G13">
    <cfRule type="cellIs" dxfId="878" priority="736" operator="equal">
      <formula>"No"</formula>
    </cfRule>
    <cfRule type="cellIs" dxfId="877" priority="737" operator="equal">
      <formula>"NA"</formula>
    </cfRule>
    <cfRule type="cellIs" dxfId="876" priority="738" operator="equal">
      <formula>"Yes"</formula>
    </cfRule>
  </conditionalFormatting>
  <conditionalFormatting sqref="G18">
    <cfRule type="cellIs" dxfId="875" priority="721" operator="equal">
      <formula>"No"</formula>
    </cfRule>
    <cfRule type="cellIs" dxfId="874" priority="722" operator="equal">
      <formula>"NA"</formula>
    </cfRule>
    <cfRule type="cellIs" dxfId="873" priority="723" operator="equal">
      <formula>"Yes"</formula>
    </cfRule>
  </conditionalFormatting>
  <conditionalFormatting sqref="G19">
    <cfRule type="cellIs" dxfId="872" priority="718" operator="equal">
      <formula>"No"</formula>
    </cfRule>
    <cfRule type="cellIs" dxfId="871" priority="719" operator="equal">
      <formula>"NA"</formula>
    </cfRule>
    <cfRule type="cellIs" dxfId="870" priority="720" operator="equal">
      <formula>"Yes"</formula>
    </cfRule>
  </conditionalFormatting>
  <conditionalFormatting sqref="G20">
    <cfRule type="cellIs" dxfId="869" priority="715" operator="equal">
      <formula>"No"</formula>
    </cfRule>
    <cfRule type="cellIs" dxfId="868" priority="716" operator="equal">
      <formula>"NA"</formula>
    </cfRule>
    <cfRule type="cellIs" dxfId="867" priority="717" operator="equal">
      <formula>"Yes"</formula>
    </cfRule>
  </conditionalFormatting>
  <conditionalFormatting sqref="G21">
    <cfRule type="cellIs" dxfId="866" priority="712" operator="equal">
      <formula>"No"</formula>
    </cfRule>
    <cfRule type="cellIs" dxfId="865" priority="713" operator="equal">
      <formula>"NA"</formula>
    </cfRule>
    <cfRule type="cellIs" dxfId="864" priority="714" operator="equal">
      <formula>"Yes"</formula>
    </cfRule>
  </conditionalFormatting>
  <conditionalFormatting sqref="G22">
    <cfRule type="cellIs" dxfId="863" priority="709" operator="equal">
      <formula>"No"</formula>
    </cfRule>
    <cfRule type="cellIs" dxfId="862" priority="710" operator="equal">
      <formula>"NA"</formula>
    </cfRule>
    <cfRule type="cellIs" dxfId="861" priority="711" operator="equal">
      <formula>"Yes"</formula>
    </cfRule>
  </conditionalFormatting>
  <conditionalFormatting sqref="G23">
    <cfRule type="cellIs" dxfId="860" priority="706" operator="equal">
      <formula>"No"</formula>
    </cfRule>
    <cfRule type="cellIs" dxfId="859" priority="707" operator="equal">
      <formula>"NA"</formula>
    </cfRule>
    <cfRule type="cellIs" dxfId="858" priority="708" operator="equal">
      <formula>"Yes"</formula>
    </cfRule>
  </conditionalFormatting>
  <conditionalFormatting sqref="G25">
    <cfRule type="cellIs" dxfId="857" priority="703" operator="equal">
      <formula>"No"</formula>
    </cfRule>
    <cfRule type="cellIs" dxfId="856" priority="704" operator="equal">
      <formula>"NA"</formula>
    </cfRule>
    <cfRule type="cellIs" dxfId="855" priority="705" operator="equal">
      <formula>"Yes"</formula>
    </cfRule>
  </conditionalFormatting>
  <conditionalFormatting sqref="G26">
    <cfRule type="cellIs" dxfId="854" priority="700" operator="equal">
      <formula>"No"</formula>
    </cfRule>
    <cfRule type="cellIs" dxfId="853" priority="701" operator="equal">
      <formula>"NA"</formula>
    </cfRule>
    <cfRule type="cellIs" dxfId="852" priority="702" operator="equal">
      <formula>"Yes"</formula>
    </cfRule>
  </conditionalFormatting>
  <conditionalFormatting sqref="G27">
    <cfRule type="cellIs" dxfId="851" priority="697" operator="equal">
      <formula>"No"</formula>
    </cfRule>
    <cfRule type="cellIs" dxfId="850" priority="698" operator="equal">
      <formula>"NA"</formula>
    </cfRule>
    <cfRule type="cellIs" dxfId="849" priority="699" operator="equal">
      <formula>"Yes"</formula>
    </cfRule>
  </conditionalFormatting>
  <conditionalFormatting sqref="G28">
    <cfRule type="cellIs" dxfId="848" priority="694" operator="equal">
      <formula>"No"</formula>
    </cfRule>
    <cfRule type="cellIs" dxfId="847" priority="695" operator="equal">
      <formula>"NA"</formula>
    </cfRule>
    <cfRule type="cellIs" dxfId="846" priority="696" operator="equal">
      <formula>"Yes"</formula>
    </cfRule>
  </conditionalFormatting>
  <conditionalFormatting sqref="G30">
    <cfRule type="cellIs" dxfId="845" priority="691" operator="equal">
      <formula>"No"</formula>
    </cfRule>
    <cfRule type="cellIs" dxfId="844" priority="692" operator="equal">
      <formula>"NA"</formula>
    </cfRule>
    <cfRule type="cellIs" dxfId="843" priority="693" operator="equal">
      <formula>"Yes"</formula>
    </cfRule>
  </conditionalFormatting>
  <conditionalFormatting sqref="G31">
    <cfRule type="cellIs" dxfId="842" priority="688" operator="equal">
      <formula>"No"</formula>
    </cfRule>
    <cfRule type="cellIs" dxfId="841" priority="689" operator="equal">
      <formula>"NA"</formula>
    </cfRule>
    <cfRule type="cellIs" dxfId="840" priority="690" operator="equal">
      <formula>"Yes"</formula>
    </cfRule>
  </conditionalFormatting>
  <conditionalFormatting sqref="G33">
    <cfRule type="cellIs" dxfId="839" priority="685" operator="equal">
      <formula>"No"</formula>
    </cfRule>
    <cfRule type="cellIs" dxfId="838" priority="686" operator="equal">
      <formula>"NA"</formula>
    </cfRule>
    <cfRule type="cellIs" dxfId="837" priority="687" operator="equal">
      <formula>"Yes"</formula>
    </cfRule>
  </conditionalFormatting>
  <conditionalFormatting sqref="H6">
    <cfRule type="cellIs" dxfId="836" priority="682" operator="equal">
      <formula>"No"</formula>
    </cfRule>
    <cfRule type="cellIs" dxfId="835" priority="683" operator="equal">
      <formula>"NA"</formula>
    </cfRule>
    <cfRule type="cellIs" dxfId="834" priority="684" operator="equal">
      <formula>"Yes"</formula>
    </cfRule>
  </conditionalFormatting>
  <conditionalFormatting sqref="H9">
    <cfRule type="cellIs" dxfId="833" priority="676" operator="equal">
      <formula>"No"</formula>
    </cfRule>
    <cfRule type="cellIs" dxfId="832" priority="677" operator="equal">
      <formula>"NA"</formula>
    </cfRule>
    <cfRule type="cellIs" dxfId="831" priority="678" operator="equal">
      <formula>"Yes"</formula>
    </cfRule>
  </conditionalFormatting>
  <conditionalFormatting sqref="H10">
    <cfRule type="cellIs" dxfId="830" priority="673" operator="equal">
      <formula>"No"</formula>
    </cfRule>
    <cfRule type="cellIs" dxfId="829" priority="674" operator="equal">
      <formula>"NA"</formula>
    </cfRule>
    <cfRule type="cellIs" dxfId="828" priority="675" operator="equal">
      <formula>"Yes"</formula>
    </cfRule>
  </conditionalFormatting>
  <conditionalFormatting sqref="H12">
    <cfRule type="cellIs" dxfId="827" priority="667" operator="equal">
      <formula>"No"</formula>
    </cfRule>
    <cfRule type="cellIs" dxfId="826" priority="668" operator="equal">
      <formula>"NA"</formula>
    </cfRule>
    <cfRule type="cellIs" dxfId="825" priority="669" operator="equal">
      <formula>"Yes"</formula>
    </cfRule>
  </conditionalFormatting>
  <conditionalFormatting sqref="H13">
    <cfRule type="cellIs" dxfId="824" priority="664" operator="equal">
      <formula>"No"</formula>
    </cfRule>
    <cfRule type="cellIs" dxfId="823" priority="665" operator="equal">
      <formula>"NA"</formula>
    </cfRule>
    <cfRule type="cellIs" dxfId="822" priority="666" operator="equal">
      <formula>"Yes"</formula>
    </cfRule>
  </conditionalFormatting>
  <conditionalFormatting sqref="H18">
    <cfRule type="cellIs" dxfId="821" priority="649" operator="equal">
      <formula>"No"</formula>
    </cfRule>
    <cfRule type="cellIs" dxfId="820" priority="650" operator="equal">
      <formula>"NA"</formula>
    </cfRule>
    <cfRule type="cellIs" dxfId="819" priority="651" operator="equal">
      <formula>"Yes"</formula>
    </cfRule>
  </conditionalFormatting>
  <conditionalFormatting sqref="H19">
    <cfRule type="cellIs" dxfId="818" priority="646" operator="equal">
      <formula>"No"</formula>
    </cfRule>
    <cfRule type="cellIs" dxfId="817" priority="647" operator="equal">
      <formula>"NA"</formula>
    </cfRule>
    <cfRule type="cellIs" dxfId="816" priority="648" operator="equal">
      <formula>"Yes"</formula>
    </cfRule>
  </conditionalFormatting>
  <conditionalFormatting sqref="H20">
    <cfRule type="cellIs" dxfId="815" priority="643" operator="equal">
      <formula>"No"</formula>
    </cfRule>
    <cfRule type="cellIs" dxfId="814" priority="644" operator="equal">
      <formula>"NA"</formula>
    </cfRule>
    <cfRule type="cellIs" dxfId="813" priority="645" operator="equal">
      <formula>"Yes"</formula>
    </cfRule>
  </conditionalFormatting>
  <conditionalFormatting sqref="H21">
    <cfRule type="cellIs" dxfId="812" priority="640" operator="equal">
      <formula>"No"</formula>
    </cfRule>
    <cfRule type="cellIs" dxfId="811" priority="641" operator="equal">
      <formula>"NA"</formula>
    </cfRule>
    <cfRule type="cellIs" dxfId="810" priority="642" operator="equal">
      <formula>"Yes"</formula>
    </cfRule>
  </conditionalFormatting>
  <conditionalFormatting sqref="H22">
    <cfRule type="cellIs" dxfId="809" priority="637" operator="equal">
      <formula>"No"</formula>
    </cfRule>
    <cfRule type="cellIs" dxfId="808" priority="638" operator="equal">
      <formula>"NA"</formula>
    </cfRule>
    <cfRule type="cellIs" dxfId="807" priority="639" operator="equal">
      <formula>"Yes"</formula>
    </cfRule>
  </conditionalFormatting>
  <conditionalFormatting sqref="H23">
    <cfRule type="cellIs" dxfId="806" priority="634" operator="equal">
      <formula>"No"</formula>
    </cfRule>
    <cfRule type="cellIs" dxfId="805" priority="635" operator="equal">
      <formula>"NA"</formula>
    </cfRule>
    <cfRule type="cellIs" dxfId="804" priority="636" operator="equal">
      <formula>"Yes"</formula>
    </cfRule>
  </conditionalFormatting>
  <conditionalFormatting sqref="H25">
    <cfRule type="cellIs" dxfId="803" priority="631" operator="equal">
      <formula>"No"</formula>
    </cfRule>
    <cfRule type="cellIs" dxfId="802" priority="632" operator="equal">
      <formula>"NA"</formula>
    </cfRule>
    <cfRule type="cellIs" dxfId="801" priority="633" operator="equal">
      <formula>"Yes"</formula>
    </cfRule>
  </conditionalFormatting>
  <conditionalFormatting sqref="H26">
    <cfRule type="cellIs" dxfId="800" priority="628" operator="equal">
      <formula>"No"</formula>
    </cfRule>
    <cfRule type="cellIs" dxfId="799" priority="629" operator="equal">
      <formula>"NA"</formula>
    </cfRule>
    <cfRule type="cellIs" dxfId="798" priority="630" operator="equal">
      <formula>"Yes"</formula>
    </cfRule>
  </conditionalFormatting>
  <conditionalFormatting sqref="H27">
    <cfRule type="cellIs" dxfId="797" priority="625" operator="equal">
      <formula>"No"</formula>
    </cfRule>
    <cfRule type="cellIs" dxfId="796" priority="626" operator="equal">
      <formula>"NA"</formula>
    </cfRule>
    <cfRule type="cellIs" dxfId="795" priority="627" operator="equal">
      <formula>"Yes"</formula>
    </cfRule>
  </conditionalFormatting>
  <conditionalFormatting sqref="H28">
    <cfRule type="cellIs" dxfId="794" priority="622" operator="equal">
      <formula>"No"</formula>
    </cfRule>
    <cfRule type="cellIs" dxfId="793" priority="623" operator="equal">
      <formula>"NA"</formula>
    </cfRule>
    <cfRule type="cellIs" dxfId="792" priority="624" operator="equal">
      <formula>"Yes"</formula>
    </cfRule>
  </conditionalFormatting>
  <conditionalFormatting sqref="H30">
    <cfRule type="cellIs" dxfId="791" priority="619" operator="equal">
      <formula>"No"</formula>
    </cfRule>
    <cfRule type="cellIs" dxfId="790" priority="620" operator="equal">
      <formula>"NA"</formula>
    </cfRule>
    <cfRule type="cellIs" dxfId="789" priority="621" operator="equal">
      <formula>"Yes"</formula>
    </cfRule>
  </conditionalFormatting>
  <conditionalFormatting sqref="H31">
    <cfRule type="cellIs" dxfId="788" priority="616" operator="equal">
      <formula>"No"</formula>
    </cfRule>
    <cfRule type="cellIs" dxfId="787" priority="617" operator="equal">
      <formula>"NA"</formula>
    </cfRule>
    <cfRule type="cellIs" dxfId="786" priority="618" operator="equal">
      <formula>"Yes"</formula>
    </cfRule>
  </conditionalFormatting>
  <conditionalFormatting sqref="H33">
    <cfRule type="cellIs" dxfId="785" priority="613" operator="equal">
      <formula>"No"</formula>
    </cfRule>
    <cfRule type="cellIs" dxfId="784" priority="614" operator="equal">
      <formula>"NA"</formula>
    </cfRule>
    <cfRule type="cellIs" dxfId="783" priority="615" operator="equal">
      <formula>"Yes"</formula>
    </cfRule>
  </conditionalFormatting>
  <conditionalFormatting sqref="I6">
    <cfRule type="cellIs" dxfId="782" priority="610" operator="equal">
      <formula>"No"</formula>
    </cfRule>
    <cfRule type="cellIs" dxfId="781" priority="611" operator="equal">
      <formula>"NA"</formula>
    </cfRule>
    <cfRule type="cellIs" dxfId="780" priority="612" operator="equal">
      <formula>"Yes"</formula>
    </cfRule>
  </conditionalFormatting>
  <conditionalFormatting sqref="I9">
    <cfRule type="cellIs" dxfId="779" priority="604" operator="equal">
      <formula>"No"</formula>
    </cfRule>
    <cfRule type="cellIs" dxfId="778" priority="605" operator="equal">
      <formula>"NA"</formula>
    </cfRule>
    <cfRule type="cellIs" dxfId="777" priority="606" operator="equal">
      <formula>"Yes"</formula>
    </cfRule>
  </conditionalFormatting>
  <conditionalFormatting sqref="I10">
    <cfRule type="cellIs" dxfId="776" priority="601" operator="equal">
      <formula>"No"</formula>
    </cfRule>
    <cfRule type="cellIs" dxfId="775" priority="602" operator="equal">
      <formula>"NA"</formula>
    </cfRule>
    <cfRule type="cellIs" dxfId="774" priority="603" operator="equal">
      <formula>"Yes"</formula>
    </cfRule>
  </conditionalFormatting>
  <conditionalFormatting sqref="I12">
    <cfRule type="cellIs" dxfId="773" priority="595" operator="equal">
      <formula>"No"</formula>
    </cfRule>
    <cfRule type="cellIs" dxfId="772" priority="596" operator="equal">
      <formula>"NA"</formula>
    </cfRule>
    <cfRule type="cellIs" dxfId="771" priority="597" operator="equal">
      <formula>"Yes"</formula>
    </cfRule>
  </conditionalFormatting>
  <conditionalFormatting sqref="I13">
    <cfRule type="cellIs" dxfId="770" priority="592" operator="equal">
      <formula>"No"</formula>
    </cfRule>
    <cfRule type="cellIs" dxfId="769" priority="593" operator="equal">
      <formula>"NA"</formula>
    </cfRule>
    <cfRule type="cellIs" dxfId="768" priority="594" operator="equal">
      <formula>"Yes"</formula>
    </cfRule>
  </conditionalFormatting>
  <conditionalFormatting sqref="I18">
    <cfRule type="cellIs" dxfId="767" priority="577" operator="equal">
      <formula>"No"</formula>
    </cfRule>
    <cfRule type="cellIs" dxfId="766" priority="578" operator="equal">
      <formula>"NA"</formula>
    </cfRule>
    <cfRule type="cellIs" dxfId="765" priority="579" operator="equal">
      <formula>"Yes"</formula>
    </cfRule>
  </conditionalFormatting>
  <conditionalFormatting sqref="I19">
    <cfRule type="cellIs" dxfId="764" priority="574" operator="equal">
      <formula>"No"</formula>
    </cfRule>
    <cfRule type="cellIs" dxfId="763" priority="575" operator="equal">
      <formula>"NA"</formula>
    </cfRule>
    <cfRule type="cellIs" dxfId="762" priority="576" operator="equal">
      <formula>"Yes"</formula>
    </cfRule>
  </conditionalFormatting>
  <conditionalFormatting sqref="I20">
    <cfRule type="cellIs" dxfId="761" priority="571" operator="equal">
      <formula>"No"</formula>
    </cfRule>
    <cfRule type="cellIs" dxfId="760" priority="572" operator="equal">
      <formula>"NA"</formula>
    </cfRule>
    <cfRule type="cellIs" dxfId="759" priority="573" operator="equal">
      <formula>"Yes"</formula>
    </cfRule>
  </conditionalFormatting>
  <conditionalFormatting sqref="I21">
    <cfRule type="cellIs" dxfId="758" priority="568" operator="equal">
      <formula>"No"</formula>
    </cfRule>
    <cfRule type="cellIs" dxfId="757" priority="569" operator="equal">
      <formula>"NA"</formula>
    </cfRule>
    <cfRule type="cellIs" dxfId="756" priority="570" operator="equal">
      <formula>"Yes"</formula>
    </cfRule>
  </conditionalFormatting>
  <conditionalFormatting sqref="I22">
    <cfRule type="cellIs" dxfId="755" priority="565" operator="equal">
      <formula>"No"</formula>
    </cfRule>
    <cfRule type="cellIs" dxfId="754" priority="566" operator="equal">
      <formula>"NA"</formula>
    </cfRule>
    <cfRule type="cellIs" dxfId="753" priority="567" operator="equal">
      <formula>"Yes"</formula>
    </cfRule>
  </conditionalFormatting>
  <conditionalFormatting sqref="I23">
    <cfRule type="cellIs" dxfId="752" priority="562" operator="equal">
      <formula>"No"</formula>
    </cfRule>
    <cfRule type="cellIs" dxfId="751" priority="563" operator="equal">
      <formula>"NA"</formula>
    </cfRule>
    <cfRule type="cellIs" dxfId="750" priority="564" operator="equal">
      <formula>"Yes"</formula>
    </cfRule>
  </conditionalFormatting>
  <conditionalFormatting sqref="I25">
    <cfRule type="cellIs" dxfId="749" priority="559" operator="equal">
      <formula>"No"</formula>
    </cfRule>
    <cfRule type="cellIs" dxfId="748" priority="560" operator="equal">
      <formula>"NA"</formula>
    </cfRule>
    <cfRule type="cellIs" dxfId="747" priority="561" operator="equal">
      <formula>"Yes"</formula>
    </cfRule>
  </conditionalFormatting>
  <conditionalFormatting sqref="I26">
    <cfRule type="cellIs" dxfId="746" priority="556" operator="equal">
      <formula>"No"</formula>
    </cfRule>
    <cfRule type="cellIs" dxfId="745" priority="557" operator="equal">
      <formula>"NA"</formula>
    </cfRule>
    <cfRule type="cellIs" dxfId="744" priority="558" operator="equal">
      <formula>"Yes"</formula>
    </cfRule>
  </conditionalFormatting>
  <conditionalFormatting sqref="I27">
    <cfRule type="cellIs" dxfId="743" priority="553" operator="equal">
      <formula>"No"</formula>
    </cfRule>
    <cfRule type="cellIs" dxfId="742" priority="554" operator="equal">
      <formula>"NA"</formula>
    </cfRule>
    <cfRule type="cellIs" dxfId="741" priority="555" operator="equal">
      <formula>"Yes"</formula>
    </cfRule>
  </conditionalFormatting>
  <conditionalFormatting sqref="I28">
    <cfRule type="cellIs" dxfId="740" priority="550" operator="equal">
      <formula>"No"</formula>
    </cfRule>
    <cfRule type="cellIs" dxfId="739" priority="551" operator="equal">
      <formula>"NA"</formula>
    </cfRule>
    <cfRule type="cellIs" dxfId="738" priority="552" operator="equal">
      <formula>"Yes"</formula>
    </cfRule>
  </conditionalFormatting>
  <conditionalFormatting sqref="I30">
    <cfRule type="cellIs" dxfId="737" priority="547" operator="equal">
      <formula>"No"</formula>
    </cfRule>
    <cfRule type="cellIs" dxfId="736" priority="548" operator="equal">
      <formula>"NA"</formula>
    </cfRule>
    <cfRule type="cellIs" dxfId="735" priority="549" operator="equal">
      <formula>"Yes"</formula>
    </cfRule>
  </conditionalFormatting>
  <conditionalFormatting sqref="I31">
    <cfRule type="cellIs" dxfId="734" priority="544" operator="equal">
      <formula>"No"</formula>
    </cfRule>
    <cfRule type="cellIs" dxfId="733" priority="545" operator="equal">
      <formula>"NA"</formula>
    </cfRule>
    <cfRule type="cellIs" dxfId="732" priority="546" operator="equal">
      <formula>"Yes"</formula>
    </cfRule>
  </conditionalFormatting>
  <conditionalFormatting sqref="I33">
    <cfRule type="cellIs" dxfId="731" priority="541" operator="equal">
      <formula>"No"</formula>
    </cfRule>
    <cfRule type="cellIs" dxfId="730" priority="542" operator="equal">
      <formula>"NA"</formula>
    </cfRule>
    <cfRule type="cellIs" dxfId="729" priority="543" operator="equal">
      <formula>"Yes"</formula>
    </cfRule>
  </conditionalFormatting>
  <conditionalFormatting sqref="C7">
    <cfRule type="cellIs" dxfId="728" priority="538" operator="equal">
      <formula>"No"</formula>
    </cfRule>
    <cfRule type="cellIs" dxfId="727" priority="539" operator="equal">
      <formula>"NA"</formula>
    </cfRule>
    <cfRule type="cellIs" dxfId="726" priority="540" operator="equal">
      <formula>"Yes"</formula>
    </cfRule>
  </conditionalFormatting>
  <conditionalFormatting sqref="C15:C17">
    <cfRule type="cellIs" dxfId="725" priority="535" operator="equal">
      <formula>"No"</formula>
    </cfRule>
    <cfRule type="cellIs" dxfId="724" priority="536" operator="equal">
      <formula>"NA"</formula>
    </cfRule>
    <cfRule type="cellIs" dxfId="723" priority="537" operator="equal">
      <formula>"Yes"</formula>
    </cfRule>
  </conditionalFormatting>
  <conditionalFormatting sqref="D7">
    <cfRule type="cellIs" dxfId="722" priority="532" operator="equal">
      <formula>"No"</formula>
    </cfRule>
    <cfRule type="cellIs" dxfId="721" priority="533" operator="equal">
      <formula>"NA"</formula>
    </cfRule>
    <cfRule type="cellIs" dxfId="720" priority="534" operator="equal">
      <formula>"Yes"</formula>
    </cfRule>
  </conditionalFormatting>
  <conditionalFormatting sqref="D11">
    <cfRule type="cellIs" dxfId="719" priority="529" operator="equal">
      <formula>"No"</formula>
    </cfRule>
    <cfRule type="cellIs" dxfId="718" priority="530" operator="equal">
      <formula>"NA"</formula>
    </cfRule>
    <cfRule type="cellIs" dxfId="717" priority="531" operator="equal">
      <formula>"Yes"</formula>
    </cfRule>
  </conditionalFormatting>
  <conditionalFormatting sqref="E7">
    <cfRule type="cellIs" dxfId="716" priority="526" operator="equal">
      <formula>"No"</formula>
    </cfRule>
    <cfRule type="cellIs" dxfId="715" priority="527" operator="equal">
      <formula>"NA"</formula>
    </cfRule>
    <cfRule type="cellIs" dxfId="714" priority="528" operator="equal">
      <formula>"Yes"</formula>
    </cfRule>
  </conditionalFormatting>
  <conditionalFormatting sqref="D15">
    <cfRule type="cellIs" dxfId="713" priority="523" operator="equal">
      <formula>"No"</formula>
    </cfRule>
    <cfRule type="cellIs" dxfId="712" priority="524" operator="equal">
      <formula>"NA"</formula>
    </cfRule>
    <cfRule type="cellIs" dxfId="711" priority="525" operator="equal">
      <formula>"Yes"</formula>
    </cfRule>
  </conditionalFormatting>
  <conditionalFormatting sqref="D17">
    <cfRule type="cellIs" dxfId="710" priority="520" operator="equal">
      <formula>"No"</formula>
    </cfRule>
    <cfRule type="cellIs" dxfId="709" priority="521" operator="equal">
      <formula>"NA"</formula>
    </cfRule>
    <cfRule type="cellIs" dxfId="708" priority="522" operator="equal">
      <formula>"Yes"</formula>
    </cfRule>
  </conditionalFormatting>
  <conditionalFormatting sqref="J6">
    <cfRule type="cellIs" dxfId="707" priority="517" operator="equal">
      <formula>"No"</formula>
    </cfRule>
    <cfRule type="cellIs" dxfId="706" priority="518" operator="equal">
      <formula>"NA"</formula>
    </cfRule>
    <cfRule type="cellIs" dxfId="705" priority="519" operator="equal">
      <formula>"Yes"</formula>
    </cfRule>
  </conditionalFormatting>
  <conditionalFormatting sqref="J7">
    <cfRule type="cellIs" dxfId="704" priority="514" operator="equal">
      <formula>"No"</formula>
    </cfRule>
    <cfRule type="cellIs" dxfId="703" priority="515" operator="equal">
      <formula>"NA"</formula>
    </cfRule>
    <cfRule type="cellIs" dxfId="702" priority="516" operator="equal">
      <formula>"Yes"</formula>
    </cfRule>
  </conditionalFormatting>
  <conditionalFormatting sqref="J9">
    <cfRule type="cellIs" dxfId="701" priority="511" operator="equal">
      <formula>"No"</formula>
    </cfRule>
    <cfRule type="cellIs" dxfId="700" priority="512" operator="equal">
      <formula>"NA"</formula>
    </cfRule>
    <cfRule type="cellIs" dxfId="699" priority="513" operator="equal">
      <formula>"Yes"</formula>
    </cfRule>
  </conditionalFormatting>
  <conditionalFormatting sqref="J10">
    <cfRule type="cellIs" dxfId="698" priority="508" operator="equal">
      <formula>"No"</formula>
    </cfRule>
    <cfRule type="cellIs" dxfId="697" priority="509" operator="equal">
      <formula>"NA"</formula>
    </cfRule>
    <cfRule type="cellIs" dxfId="696" priority="510" operator="equal">
      <formula>"Yes"</formula>
    </cfRule>
  </conditionalFormatting>
  <conditionalFormatting sqref="J11">
    <cfRule type="cellIs" dxfId="695" priority="505" operator="equal">
      <formula>"No"</formula>
    </cfRule>
    <cfRule type="cellIs" dxfId="694" priority="506" operator="equal">
      <formula>"NA"</formula>
    </cfRule>
    <cfRule type="cellIs" dxfId="693" priority="507" operator="equal">
      <formula>"Yes"</formula>
    </cfRule>
  </conditionalFormatting>
  <conditionalFormatting sqref="J12">
    <cfRule type="cellIs" dxfId="692" priority="502" operator="equal">
      <formula>"No"</formula>
    </cfRule>
    <cfRule type="cellIs" dxfId="691" priority="503" operator="equal">
      <formula>"NA"</formula>
    </cfRule>
    <cfRule type="cellIs" dxfId="690" priority="504" operator="equal">
      <formula>"Yes"</formula>
    </cfRule>
  </conditionalFormatting>
  <conditionalFormatting sqref="J13">
    <cfRule type="cellIs" dxfId="689" priority="499" operator="equal">
      <formula>"No"</formula>
    </cfRule>
    <cfRule type="cellIs" dxfId="688" priority="500" operator="equal">
      <formula>"NA"</formula>
    </cfRule>
    <cfRule type="cellIs" dxfId="687" priority="501" operator="equal">
      <formula>"Yes"</formula>
    </cfRule>
  </conditionalFormatting>
  <conditionalFormatting sqref="J14">
    <cfRule type="cellIs" dxfId="686" priority="496" operator="equal">
      <formula>"No"</formula>
    </cfRule>
    <cfRule type="cellIs" dxfId="685" priority="497" operator="equal">
      <formula>"NA"</formula>
    </cfRule>
    <cfRule type="cellIs" dxfId="684" priority="498" operator="equal">
      <formula>"Yes"</formula>
    </cfRule>
  </conditionalFormatting>
  <conditionalFormatting sqref="J15">
    <cfRule type="cellIs" dxfId="683" priority="493" operator="equal">
      <formula>"No"</formula>
    </cfRule>
    <cfRule type="cellIs" dxfId="682" priority="494" operator="equal">
      <formula>"NA"</formula>
    </cfRule>
    <cfRule type="cellIs" dxfId="681" priority="495" operator="equal">
      <formula>"Yes"</formula>
    </cfRule>
  </conditionalFormatting>
  <conditionalFormatting sqref="J16">
    <cfRule type="cellIs" dxfId="680" priority="490" operator="equal">
      <formula>"No"</formula>
    </cfRule>
    <cfRule type="cellIs" dxfId="679" priority="491" operator="equal">
      <formula>"NA"</formula>
    </cfRule>
    <cfRule type="cellIs" dxfId="678" priority="492" operator="equal">
      <formula>"Yes"</formula>
    </cfRule>
  </conditionalFormatting>
  <conditionalFormatting sqref="J17">
    <cfRule type="cellIs" dxfId="677" priority="487" operator="equal">
      <formula>"No"</formula>
    </cfRule>
    <cfRule type="cellIs" dxfId="676" priority="488" operator="equal">
      <formula>"NA"</formula>
    </cfRule>
    <cfRule type="cellIs" dxfId="675" priority="489" operator="equal">
      <formula>"Yes"</formula>
    </cfRule>
  </conditionalFormatting>
  <conditionalFormatting sqref="J18">
    <cfRule type="cellIs" dxfId="674" priority="484" operator="equal">
      <formula>"No"</formula>
    </cfRule>
    <cfRule type="cellIs" dxfId="673" priority="485" operator="equal">
      <formula>"NA"</formula>
    </cfRule>
    <cfRule type="cellIs" dxfId="672" priority="486" operator="equal">
      <formula>"Yes"</formula>
    </cfRule>
  </conditionalFormatting>
  <conditionalFormatting sqref="J19">
    <cfRule type="cellIs" dxfId="671" priority="481" operator="equal">
      <formula>"No"</formula>
    </cfRule>
    <cfRule type="cellIs" dxfId="670" priority="482" operator="equal">
      <formula>"NA"</formula>
    </cfRule>
    <cfRule type="cellIs" dxfId="669" priority="483" operator="equal">
      <formula>"Yes"</formula>
    </cfRule>
  </conditionalFormatting>
  <conditionalFormatting sqref="J20">
    <cfRule type="cellIs" dxfId="668" priority="478" operator="equal">
      <formula>"No"</formula>
    </cfRule>
    <cfRule type="cellIs" dxfId="667" priority="479" operator="equal">
      <formula>"NA"</formula>
    </cfRule>
    <cfRule type="cellIs" dxfId="666" priority="480" operator="equal">
      <formula>"Yes"</formula>
    </cfRule>
  </conditionalFormatting>
  <conditionalFormatting sqref="J21">
    <cfRule type="cellIs" dxfId="665" priority="475" operator="equal">
      <formula>"No"</formula>
    </cfRule>
    <cfRule type="cellIs" dxfId="664" priority="476" operator="equal">
      <formula>"NA"</formula>
    </cfRule>
    <cfRule type="cellIs" dxfId="663" priority="477" operator="equal">
      <formula>"Yes"</formula>
    </cfRule>
  </conditionalFormatting>
  <conditionalFormatting sqref="J22">
    <cfRule type="cellIs" dxfId="662" priority="472" operator="equal">
      <formula>"No"</formula>
    </cfRule>
    <cfRule type="cellIs" dxfId="661" priority="473" operator="equal">
      <formula>"NA"</formula>
    </cfRule>
    <cfRule type="cellIs" dxfId="660" priority="474" operator="equal">
      <formula>"Yes"</formula>
    </cfRule>
  </conditionalFormatting>
  <conditionalFormatting sqref="J23">
    <cfRule type="cellIs" dxfId="659" priority="469" operator="equal">
      <formula>"No"</formula>
    </cfRule>
    <cfRule type="cellIs" dxfId="658" priority="470" operator="equal">
      <formula>"NA"</formula>
    </cfRule>
    <cfRule type="cellIs" dxfId="657" priority="471" operator="equal">
      <formula>"Yes"</formula>
    </cfRule>
  </conditionalFormatting>
  <conditionalFormatting sqref="J25">
    <cfRule type="cellIs" dxfId="656" priority="466" operator="equal">
      <formula>"No"</formula>
    </cfRule>
    <cfRule type="cellIs" dxfId="655" priority="467" operator="equal">
      <formula>"NA"</formula>
    </cfRule>
    <cfRule type="cellIs" dxfId="654" priority="468" operator="equal">
      <formula>"Yes"</formula>
    </cfRule>
  </conditionalFormatting>
  <conditionalFormatting sqref="J26">
    <cfRule type="cellIs" dxfId="653" priority="463" operator="equal">
      <formula>"No"</formula>
    </cfRule>
    <cfRule type="cellIs" dxfId="652" priority="464" operator="equal">
      <formula>"NA"</formula>
    </cfRule>
    <cfRule type="cellIs" dxfId="651" priority="465" operator="equal">
      <formula>"Yes"</formula>
    </cfRule>
  </conditionalFormatting>
  <conditionalFormatting sqref="J27">
    <cfRule type="cellIs" dxfId="650" priority="460" operator="equal">
      <formula>"No"</formula>
    </cfRule>
    <cfRule type="cellIs" dxfId="649" priority="461" operator="equal">
      <formula>"NA"</formula>
    </cfRule>
    <cfRule type="cellIs" dxfId="648" priority="462" operator="equal">
      <formula>"Yes"</formula>
    </cfRule>
  </conditionalFormatting>
  <conditionalFormatting sqref="J28">
    <cfRule type="cellIs" dxfId="647" priority="457" operator="equal">
      <formula>"No"</formula>
    </cfRule>
    <cfRule type="cellIs" dxfId="646" priority="458" operator="equal">
      <formula>"NA"</formula>
    </cfRule>
    <cfRule type="cellIs" dxfId="645" priority="459" operator="equal">
      <formula>"Yes"</formula>
    </cfRule>
  </conditionalFormatting>
  <conditionalFormatting sqref="J30">
    <cfRule type="cellIs" dxfId="644" priority="454" operator="equal">
      <formula>"No"</formula>
    </cfRule>
    <cfRule type="cellIs" dxfId="643" priority="455" operator="equal">
      <formula>"NA"</formula>
    </cfRule>
    <cfRule type="cellIs" dxfId="642" priority="456" operator="equal">
      <formula>"Yes"</formula>
    </cfRule>
  </conditionalFormatting>
  <conditionalFormatting sqref="J31">
    <cfRule type="cellIs" dxfId="641" priority="451" operator="equal">
      <formula>"No"</formula>
    </cfRule>
    <cfRule type="cellIs" dxfId="640" priority="452" operator="equal">
      <formula>"NA"</formula>
    </cfRule>
    <cfRule type="cellIs" dxfId="639" priority="453" operator="equal">
      <formula>"Yes"</formula>
    </cfRule>
  </conditionalFormatting>
  <conditionalFormatting sqref="J33">
    <cfRule type="cellIs" dxfId="638" priority="448" operator="equal">
      <formula>"No"</formula>
    </cfRule>
    <cfRule type="cellIs" dxfId="637" priority="449" operator="equal">
      <formula>"NA"</formula>
    </cfRule>
    <cfRule type="cellIs" dxfId="636" priority="450" operator="equal">
      <formula>"Yes"</formula>
    </cfRule>
  </conditionalFormatting>
  <conditionalFormatting sqref="G7:I7">
    <cfRule type="cellIs" dxfId="635" priority="445" operator="equal">
      <formula>"No"</formula>
    </cfRule>
    <cfRule type="cellIs" dxfId="634" priority="446" operator="equal">
      <formula>"NA"</formula>
    </cfRule>
    <cfRule type="cellIs" dxfId="633" priority="447" operator="equal">
      <formula>"Yes"</formula>
    </cfRule>
  </conditionalFormatting>
  <conditionalFormatting sqref="G11:I11">
    <cfRule type="cellIs" dxfId="632" priority="442" operator="equal">
      <formula>"No"</formula>
    </cfRule>
    <cfRule type="cellIs" dxfId="631" priority="443" operator="equal">
      <formula>"NA"</formula>
    </cfRule>
    <cfRule type="cellIs" dxfId="630" priority="444" operator="equal">
      <formula>"Yes"</formula>
    </cfRule>
  </conditionalFormatting>
  <conditionalFormatting sqref="G14:I17">
    <cfRule type="cellIs" dxfId="629" priority="439" operator="equal">
      <formula>"No"</formula>
    </cfRule>
    <cfRule type="cellIs" dxfId="628" priority="440" operator="equal">
      <formula>"NA"</formula>
    </cfRule>
    <cfRule type="cellIs" dxfId="627" priority="441" operator="equal">
      <formula>"Yes"</formula>
    </cfRule>
  </conditionalFormatting>
  <conditionalFormatting sqref="K6">
    <cfRule type="cellIs" dxfId="626" priority="436" operator="equal">
      <formula>"No"</formula>
    </cfRule>
    <cfRule type="cellIs" dxfId="625" priority="437" operator="equal">
      <formula>"NA"</formula>
    </cfRule>
    <cfRule type="cellIs" dxfId="624" priority="438" operator="equal">
      <formula>"Yes"</formula>
    </cfRule>
  </conditionalFormatting>
  <conditionalFormatting sqref="K7">
    <cfRule type="cellIs" dxfId="623" priority="433" operator="equal">
      <formula>"No"</formula>
    </cfRule>
    <cfRule type="cellIs" dxfId="622" priority="434" operator="equal">
      <formula>"NA"</formula>
    </cfRule>
    <cfRule type="cellIs" dxfId="621" priority="435" operator="equal">
      <formula>"Yes"</formula>
    </cfRule>
  </conditionalFormatting>
  <conditionalFormatting sqref="K9">
    <cfRule type="cellIs" dxfId="620" priority="430" operator="equal">
      <formula>"No"</formula>
    </cfRule>
    <cfRule type="cellIs" dxfId="619" priority="431" operator="equal">
      <formula>"NA"</formula>
    </cfRule>
    <cfRule type="cellIs" dxfId="618" priority="432" operator="equal">
      <formula>"Yes"</formula>
    </cfRule>
  </conditionalFormatting>
  <conditionalFormatting sqref="K12">
    <cfRule type="cellIs" dxfId="617" priority="421" operator="equal">
      <formula>"No"</formula>
    </cfRule>
    <cfRule type="cellIs" dxfId="616" priority="422" operator="equal">
      <formula>"NA"</formula>
    </cfRule>
    <cfRule type="cellIs" dxfId="615" priority="423" operator="equal">
      <formula>"Yes"</formula>
    </cfRule>
  </conditionalFormatting>
  <conditionalFormatting sqref="K13">
    <cfRule type="cellIs" dxfId="614" priority="418" operator="equal">
      <formula>"No"</formula>
    </cfRule>
    <cfRule type="cellIs" dxfId="613" priority="419" operator="equal">
      <formula>"NA"</formula>
    </cfRule>
    <cfRule type="cellIs" dxfId="612" priority="420" operator="equal">
      <formula>"Yes"</formula>
    </cfRule>
  </conditionalFormatting>
  <conditionalFormatting sqref="K14">
    <cfRule type="cellIs" dxfId="611" priority="415" operator="equal">
      <formula>"No"</formula>
    </cfRule>
    <cfRule type="cellIs" dxfId="610" priority="416" operator="equal">
      <formula>"NA"</formula>
    </cfRule>
    <cfRule type="cellIs" dxfId="609" priority="417" operator="equal">
      <formula>"Yes"</formula>
    </cfRule>
  </conditionalFormatting>
  <conditionalFormatting sqref="K15">
    <cfRule type="cellIs" dxfId="608" priority="412" operator="equal">
      <formula>"No"</formula>
    </cfRule>
    <cfRule type="cellIs" dxfId="607" priority="413" operator="equal">
      <formula>"NA"</formula>
    </cfRule>
    <cfRule type="cellIs" dxfId="606" priority="414" operator="equal">
      <formula>"Yes"</formula>
    </cfRule>
  </conditionalFormatting>
  <conditionalFormatting sqref="K16">
    <cfRule type="cellIs" dxfId="605" priority="409" operator="equal">
      <formula>"No"</formula>
    </cfRule>
    <cfRule type="cellIs" dxfId="604" priority="410" operator="equal">
      <formula>"NA"</formula>
    </cfRule>
    <cfRule type="cellIs" dxfId="603" priority="411" operator="equal">
      <formula>"Yes"</formula>
    </cfRule>
  </conditionalFormatting>
  <conditionalFormatting sqref="K17">
    <cfRule type="cellIs" dxfId="602" priority="406" operator="equal">
      <formula>"No"</formula>
    </cfRule>
    <cfRule type="cellIs" dxfId="601" priority="407" operator="equal">
      <formula>"NA"</formula>
    </cfRule>
    <cfRule type="cellIs" dxfId="600" priority="408" operator="equal">
      <formula>"Yes"</formula>
    </cfRule>
  </conditionalFormatting>
  <conditionalFormatting sqref="K18">
    <cfRule type="cellIs" dxfId="599" priority="403" operator="equal">
      <formula>"No"</formula>
    </cfRule>
    <cfRule type="cellIs" dxfId="598" priority="404" operator="equal">
      <formula>"NA"</formula>
    </cfRule>
    <cfRule type="cellIs" dxfId="597" priority="405" operator="equal">
      <formula>"Yes"</formula>
    </cfRule>
  </conditionalFormatting>
  <conditionalFormatting sqref="K19">
    <cfRule type="cellIs" dxfId="596" priority="400" operator="equal">
      <formula>"No"</formula>
    </cfRule>
    <cfRule type="cellIs" dxfId="595" priority="401" operator="equal">
      <formula>"NA"</formula>
    </cfRule>
    <cfRule type="cellIs" dxfId="594" priority="402" operator="equal">
      <formula>"Yes"</formula>
    </cfRule>
  </conditionalFormatting>
  <conditionalFormatting sqref="K20">
    <cfRule type="cellIs" dxfId="593" priority="397" operator="equal">
      <formula>"No"</formula>
    </cfRule>
    <cfRule type="cellIs" dxfId="592" priority="398" operator="equal">
      <formula>"NA"</formula>
    </cfRule>
    <cfRule type="cellIs" dxfId="591" priority="399" operator="equal">
      <formula>"Yes"</formula>
    </cfRule>
  </conditionalFormatting>
  <conditionalFormatting sqref="K21">
    <cfRule type="cellIs" dxfId="590" priority="394" operator="equal">
      <formula>"No"</formula>
    </cfRule>
    <cfRule type="cellIs" dxfId="589" priority="395" operator="equal">
      <formula>"NA"</formula>
    </cfRule>
    <cfRule type="cellIs" dxfId="588" priority="396" operator="equal">
      <formula>"Yes"</formula>
    </cfRule>
  </conditionalFormatting>
  <conditionalFormatting sqref="K22">
    <cfRule type="cellIs" dxfId="587" priority="391" operator="equal">
      <formula>"No"</formula>
    </cfRule>
    <cfRule type="cellIs" dxfId="586" priority="392" operator="equal">
      <formula>"NA"</formula>
    </cfRule>
    <cfRule type="cellIs" dxfId="585" priority="393" operator="equal">
      <formula>"Yes"</formula>
    </cfRule>
  </conditionalFormatting>
  <conditionalFormatting sqref="K23">
    <cfRule type="cellIs" dxfId="584" priority="388" operator="equal">
      <formula>"No"</formula>
    </cfRule>
    <cfRule type="cellIs" dxfId="583" priority="389" operator="equal">
      <formula>"NA"</formula>
    </cfRule>
    <cfRule type="cellIs" dxfId="582" priority="390" operator="equal">
      <formula>"Yes"</formula>
    </cfRule>
  </conditionalFormatting>
  <conditionalFormatting sqref="K25">
    <cfRule type="cellIs" dxfId="581" priority="385" operator="equal">
      <formula>"No"</formula>
    </cfRule>
    <cfRule type="cellIs" dxfId="580" priority="386" operator="equal">
      <formula>"NA"</formula>
    </cfRule>
    <cfRule type="cellIs" dxfId="579" priority="387" operator="equal">
      <formula>"Yes"</formula>
    </cfRule>
  </conditionalFormatting>
  <conditionalFormatting sqref="K26">
    <cfRule type="cellIs" dxfId="578" priority="382" operator="equal">
      <formula>"No"</formula>
    </cfRule>
    <cfRule type="cellIs" dxfId="577" priority="383" operator="equal">
      <formula>"NA"</formula>
    </cfRule>
    <cfRule type="cellIs" dxfId="576" priority="384" operator="equal">
      <formula>"Yes"</formula>
    </cfRule>
  </conditionalFormatting>
  <conditionalFormatting sqref="K27">
    <cfRule type="cellIs" dxfId="575" priority="379" operator="equal">
      <formula>"No"</formula>
    </cfRule>
    <cfRule type="cellIs" dxfId="574" priority="380" operator="equal">
      <formula>"NA"</formula>
    </cfRule>
    <cfRule type="cellIs" dxfId="573" priority="381" operator="equal">
      <formula>"Yes"</formula>
    </cfRule>
  </conditionalFormatting>
  <conditionalFormatting sqref="K28">
    <cfRule type="cellIs" dxfId="572" priority="376" operator="equal">
      <formula>"No"</formula>
    </cfRule>
    <cfRule type="cellIs" dxfId="571" priority="377" operator="equal">
      <formula>"NA"</formula>
    </cfRule>
    <cfRule type="cellIs" dxfId="570" priority="378" operator="equal">
      <formula>"Yes"</formula>
    </cfRule>
  </conditionalFormatting>
  <conditionalFormatting sqref="K30">
    <cfRule type="cellIs" dxfId="569" priority="373" operator="equal">
      <formula>"No"</formula>
    </cfRule>
    <cfRule type="cellIs" dxfId="568" priority="374" operator="equal">
      <formula>"NA"</formula>
    </cfRule>
    <cfRule type="cellIs" dxfId="567" priority="375" operator="equal">
      <formula>"Yes"</formula>
    </cfRule>
  </conditionalFormatting>
  <conditionalFormatting sqref="K31">
    <cfRule type="cellIs" dxfId="566" priority="370" operator="equal">
      <formula>"No"</formula>
    </cfRule>
    <cfRule type="cellIs" dxfId="565" priority="371" operator="equal">
      <formula>"NA"</formula>
    </cfRule>
    <cfRule type="cellIs" dxfId="564" priority="372" operator="equal">
      <formula>"Yes"</formula>
    </cfRule>
  </conditionalFormatting>
  <conditionalFormatting sqref="K33">
    <cfRule type="cellIs" dxfId="563" priority="367" operator="equal">
      <formula>"No"</formula>
    </cfRule>
    <cfRule type="cellIs" dxfId="562" priority="368" operator="equal">
      <formula>"NA"</formula>
    </cfRule>
    <cfRule type="cellIs" dxfId="561" priority="369" operator="equal">
      <formula>"Yes"</formula>
    </cfRule>
  </conditionalFormatting>
  <conditionalFormatting sqref="L6">
    <cfRule type="cellIs" dxfId="560" priority="364" operator="equal">
      <formula>"No"</formula>
    </cfRule>
    <cfRule type="cellIs" dxfId="559" priority="365" operator="equal">
      <formula>"NA"</formula>
    </cfRule>
    <cfRule type="cellIs" dxfId="558" priority="366" operator="equal">
      <formula>"Yes"</formula>
    </cfRule>
  </conditionalFormatting>
  <conditionalFormatting sqref="L7">
    <cfRule type="cellIs" dxfId="557" priority="361" operator="equal">
      <formula>"No"</formula>
    </cfRule>
    <cfRule type="cellIs" dxfId="556" priority="362" operator="equal">
      <formula>"NA"</formula>
    </cfRule>
    <cfRule type="cellIs" dxfId="555" priority="363" operator="equal">
      <formula>"Yes"</formula>
    </cfRule>
  </conditionalFormatting>
  <conditionalFormatting sqref="L9">
    <cfRule type="cellIs" dxfId="554" priority="358" operator="equal">
      <formula>"No"</formula>
    </cfRule>
    <cfRule type="cellIs" dxfId="553" priority="359" operator="equal">
      <formula>"NA"</formula>
    </cfRule>
    <cfRule type="cellIs" dxfId="552" priority="360" operator="equal">
      <formula>"Yes"</formula>
    </cfRule>
  </conditionalFormatting>
  <conditionalFormatting sqref="L10">
    <cfRule type="cellIs" dxfId="551" priority="355" operator="equal">
      <formula>"No"</formula>
    </cfRule>
    <cfRule type="cellIs" dxfId="550" priority="356" operator="equal">
      <formula>"NA"</formula>
    </cfRule>
    <cfRule type="cellIs" dxfId="549" priority="357" operator="equal">
      <formula>"Yes"</formula>
    </cfRule>
  </conditionalFormatting>
  <conditionalFormatting sqref="L11">
    <cfRule type="cellIs" dxfId="548" priority="352" operator="equal">
      <formula>"No"</formula>
    </cfRule>
    <cfRule type="cellIs" dxfId="547" priority="353" operator="equal">
      <formula>"NA"</formula>
    </cfRule>
    <cfRule type="cellIs" dxfId="546" priority="354" operator="equal">
      <formula>"Yes"</formula>
    </cfRule>
  </conditionalFormatting>
  <conditionalFormatting sqref="L12">
    <cfRule type="cellIs" dxfId="545" priority="349" operator="equal">
      <formula>"No"</formula>
    </cfRule>
    <cfRule type="cellIs" dxfId="544" priority="350" operator="equal">
      <formula>"NA"</formula>
    </cfRule>
    <cfRule type="cellIs" dxfId="543" priority="351" operator="equal">
      <formula>"Yes"</formula>
    </cfRule>
  </conditionalFormatting>
  <conditionalFormatting sqref="L13">
    <cfRule type="cellIs" dxfId="542" priority="346" operator="equal">
      <formula>"No"</formula>
    </cfRule>
    <cfRule type="cellIs" dxfId="541" priority="347" operator="equal">
      <formula>"NA"</formula>
    </cfRule>
    <cfRule type="cellIs" dxfId="540" priority="348" operator="equal">
      <formula>"Yes"</formula>
    </cfRule>
  </conditionalFormatting>
  <conditionalFormatting sqref="L14">
    <cfRule type="cellIs" dxfId="539" priority="343" operator="equal">
      <formula>"No"</formula>
    </cfRule>
    <cfRule type="cellIs" dxfId="538" priority="344" operator="equal">
      <formula>"NA"</formula>
    </cfRule>
    <cfRule type="cellIs" dxfId="537" priority="345" operator="equal">
      <formula>"Yes"</formula>
    </cfRule>
  </conditionalFormatting>
  <conditionalFormatting sqref="L15">
    <cfRule type="cellIs" dxfId="536" priority="340" operator="equal">
      <formula>"No"</formula>
    </cfRule>
    <cfRule type="cellIs" dxfId="535" priority="341" operator="equal">
      <formula>"NA"</formula>
    </cfRule>
    <cfRule type="cellIs" dxfId="534" priority="342" operator="equal">
      <formula>"Yes"</formula>
    </cfRule>
  </conditionalFormatting>
  <conditionalFormatting sqref="L16">
    <cfRule type="cellIs" dxfId="533" priority="337" operator="equal">
      <formula>"No"</formula>
    </cfRule>
    <cfRule type="cellIs" dxfId="532" priority="338" operator="equal">
      <formula>"NA"</formula>
    </cfRule>
    <cfRule type="cellIs" dxfId="531" priority="339" operator="equal">
      <formula>"Yes"</formula>
    </cfRule>
  </conditionalFormatting>
  <conditionalFormatting sqref="L17">
    <cfRule type="cellIs" dxfId="530" priority="334" operator="equal">
      <formula>"No"</formula>
    </cfRule>
    <cfRule type="cellIs" dxfId="529" priority="335" operator="equal">
      <formula>"NA"</formula>
    </cfRule>
    <cfRule type="cellIs" dxfId="528" priority="336" operator="equal">
      <formula>"Yes"</formula>
    </cfRule>
  </conditionalFormatting>
  <conditionalFormatting sqref="L18">
    <cfRule type="cellIs" dxfId="527" priority="331" operator="equal">
      <formula>"No"</formula>
    </cfRule>
    <cfRule type="cellIs" dxfId="526" priority="332" operator="equal">
      <formula>"NA"</formula>
    </cfRule>
    <cfRule type="cellIs" dxfId="525" priority="333" operator="equal">
      <formula>"Yes"</formula>
    </cfRule>
  </conditionalFormatting>
  <conditionalFormatting sqref="L19">
    <cfRule type="cellIs" dxfId="524" priority="328" operator="equal">
      <formula>"No"</formula>
    </cfRule>
    <cfRule type="cellIs" dxfId="523" priority="329" operator="equal">
      <formula>"NA"</formula>
    </cfRule>
    <cfRule type="cellIs" dxfId="522" priority="330" operator="equal">
      <formula>"Yes"</formula>
    </cfRule>
  </conditionalFormatting>
  <conditionalFormatting sqref="L20">
    <cfRule type="cellIs" dxfId="521" priority="325" operator="equal">
      <formula>"No"</formula>
    </cfRule>
    <cfRule type="cellIs" dxfId="520" priority="326" operator="equal">
      <formula>"NA"</formula>
    </cfRule>
    <cfRule type="cellIs" dxfId="519" priority="327" operator="equal">
      <formula>"Yes"</formula>
    </cfRule>
  </conditionalFormatting>
  <conditionalFormatting sqref="L21">
    <cfRule type="cellIs" dxfId="518" priority="322" operator="equal">
      <formula>"No"</formula>
    </cfRule>
    <cfRule type="cellIs" dxfId="517" priority="323" operator="equal">
      <formula>"NA"</formula>
    </cfRule>
    <cfRule type="cellIs" dxfId="516" priority="324" operator="equal">
      <formula>"Yes"</formula>
    </cfRule>
  </conditionalFormatting>
  <conditionalFormatting sqref="L22">
    <cfRule type="cellIs" dxfId="515" priority="319" operator="equal">
      <formula>"No"</formula>
    </cfRule>
    <cfRule type="cellIs" dxfId="514" priority="320" operator="equal">
      <formula>"NA"</formula>
    </cfRule>
    <cfRule type="cellIs" dxfId="513" priority="321" operator="equal">
      <formula>"Yes"</formula>
    </cfRule>
  </conditionalFormatting>
  <conditionalFormatting sqref="L23">
    <cfRule type="cellIs" dxfId="512" priority="316" operator="equal">
      <formula>"No"</formula>
    </cfRule>
    <cfRule type="cellIs" dxfId="511" priority="317" operator="equal">
      <formula>"NA"</formula>
    </cfRule>
    <cfRule type="cellIs" dxfId="510" priority="318" operator="equal">
      <formula>"Yes"</formula>
    </cfRule>
  </conditionalFormatting>
  <conditionalFormatting sqref="L25">
    <cfRule type="cellIs" dxfId="509" priority="313" operator="equal">
      <formula>"No"</formula>
    </cfRule>
    <cfRule type="cellIs" dxfId="508" priority="314" operator="equal">
      <formula>"NA"</formula>
    </cfRule>
    <cfRule type="cellIs" dxfId="507" priority="315" operator="equal">
      <formula>"Yes"</formula>
    </cfRule>
  </conditionalFormatting>
  <conditionalFormatting sqref="L26">
    <cfRule type="cellIs" dxfId="506" priority="310" operator="equal">
      <formula>"No"</formula>
    </cfRule>
    <cfRule type="cellIs" dxfId="505" priority="311" operator="equal">
      <formula>"NA"</formula>
    </cfRule>
    <cfRule type="cellIs" dxfId="504" priority="312" operator="equal">
      <formula>"Yes"</formula>
    </cfRule>
  </conditionalFormatting>
  <conditionalFormatting sqref="L27">
    <cfRule type="cellIs" dxfId="503" priority="307" operator="equal">
      <formula>"No"</formula>
    </cfRule>
    <cfRule type="cellIs" dxfId="502" priority="308" operator="equal">
      <formula>"NA"</formula>
    </cfRule>
    <cfRule type="cellIs" dxfId="501" priority="309" operator="equal">
      <formula>"Yes"</formula>
    </cfRule>
  </conditionalFormatting>
  <conditionalFormatting sqref="L28">
    <cfRule type="cellIs" dxfId="500" priority="304" operator="equal">
      <formula>"No"</formula>
    </cfRule>
    <cfRule type="cellIs" dxfId="499" priority="305" operator="equal">
      <formula>"NA"</formula>
    </cfRule>
    <cfRule type="cellIs" dxfId="498" priority="306" operator="equal">
      <formula>"Yes"</formula>
    </cfRule>
  </conditionalFormatting>
  <conditionalFormatting sqref="L30">
    <cfRule type="cellIs" dxfId="497" priority="301" operator="equal">
      <formula>"No"</formula>
    </cfRule>
    <cfRule type="cellIs" dxfId="496" priority="302" operator="equal">
      <formula>"NA"</formula>
    </cfRule>
    <cfRule type="cellIs" dxfId="495" priority="303" operator="equal">
      <formula>"Yes"</formula>
    </cfRule>
  </conditionalFormatting>
  <conditionalFormatting sqref="L31">
    <cfRule type="cellIs" dxfId="494" priority="298" operator="equal">
      <formula>"No"</formula>
    </cfRule>
    <cfRule type="cellIs" dxfId="493" priority="299" operator="equal">
      <formula>"NA"</formula>
    </cfRule>
    <cfRule type="cellIs" dxfId="492" priority="300" operator="equal">
      <formula>"Yes"</formula>
    </cfRule>
  </conditionalFormatting>
  <conditionalFormatting sqref="L33">
    <cfRule type="cellIs" dxfId="491" priority="295" operator="equal">
      <formula>"No"</formula>
    </cfRule>
    <cfRule type="cellIs" dxfId="490" priority="296" operator="equal">
      <formula>"NA"</formula>
    </cfRule>
    <cfRule type="cellIs" dxfId="489" priority="297" operator="equal">
      <formula>"Yes"</formula>
    </cfRule>
  </conditionalFormatting>
  <conditionalFormatting sqref="K10">
    <cfRule type="cellIs" dxfId="488" priority="292" operator="equal">
      <formula>"No"</formula>
    </cfRule>
    <cfRule type="cellIs" dxfId="487" priority="293" operator="equal">
      <formula>"NA"</formula>
    </cfRule>
    <cfRule type="cellIs" dxfId="486" priority="294" operator="equal">
      <formula>"Yes"</formula>
    </cfRule>
  </conditionalFormatting>
  <conditionalFormatting sqref="K11">
    <cfRule type="cellIs" dxfId="485" priority="289" operator="equal">
      <formula>"No"</formula>
    </cfRule>
    <cfRule type="cellIs" dxfId="484" priority="290" operator="equal">
      <formula>"NA"</formula>
    </cfRule>
    <cfRule type="cellIs" dxfId="483" priority="291" operator="equal">
      <formula>"Yes"</formula>
    </cfRule>
  </conditionalFormatting>
  <conditionalFormatting sqref="M6">
    <cfRule type="cellIs" dxfId="482" priority="286" operator="equal">
      <formula>"No"</formula>
    </cfRule>
    <cfRule type="cellIs" dxfId="481" priority="287" operator="equal">
      <formula>"NA"</formula>
    </cfRule>
    <cfRule type="cellIs" dxfId="480" priority="288" operator="equal">
      <formula>"Yes"</formula>
    </cfRule>
  </conditionalFormatting>
  <conditionalFormatting sqref="M7">
    <cfRule type="cellIs" dxfId="479" priority="283" operator="equal">
      <formula>"No"</formula>
    </cfRule>
    <cfRule type="cellIs" dxfId="478" priority="284" operator="equal">
      <formula>"NA"</formula>
    </cfRule>
    <cfRule type="cellIs" dxfId="477" priority="285" operator="equal">
      <formula>"Yes"</formula>
    </cfRule>
  </conditionalFormatting>
  <conditionalFormatting sqref="M9">
    <cfRule type="cellIs" dxfId="476" priority="280" operator="equal">
      <formula>"No"</formula>
    </cfRule>
    <cfRule type="cellIs" dxfId="475" priority="281" operator="equal">
      <formula>"NA"</formula>
    </cfRule>
    <cfRule type="cellIs" dxfId="474" priority="282" operator="equal">
      <formula>"Yes"</formula>
    </cfRule>
  </conditionalFormatting>
  <conditionalFormatting sqref="M10">
    <cfRule type="cellIs" dxfId="473" priority="277" operator="equal">
      <formula>"No"</formula>
    </cfRule>
    <cfRule type="cellIs" dxfId="472" priority="278" operator="equal">
      <formula>"NA"</formula>
    </cfRule>
    <cfRule type="cellIs" dxfId="471" priority="279" operator="equal">
      <formula>"Yes"</formula>
    </cfRule>
  </conditionalFormatting>
  <conditionalFormatting sqref="M11">
    <cfRule type="cellIs" dxfId="470" priority="274" operator="equal">
      <formula>"No"</formula>
    </cfRule>
    <cfRule type="cellIs" dxfId="469" priority="275" operator="equal">
      <formula>"NA"</formula>
    </cfRule>
    <cfRule type="cellIs" dxfId="468" priority="276" operator="equal">
      <formula>"Yes"</formula>
    </cfRule>
  </conditionalFormatting>
  <conditionalFormatting sqref="M12">
    <cfRule type="cellIs" dxfId="467" priority="271" operator="equal">
      <formula>"No"</formula>
    </cfRule>
    <cfRule type="cellIs" dxfId="466" priority="272" operator="equal">
      <formula>"NA"</formula>
    </cfRule>
    <cfRule type="cellIs" dxfId="465" priority="273" operator="equal">
      <formula>"Yes"</formula>
    </cfRule>
  </conditionalFormatting>
  <conditionalFormatting sqref="M13">
    <cfRule type="cellIs" dxfId="464" priority="268" operator="equal">
      <formula>"No"</formula>
    </cfRule>
    <cfRule type="cellIs" dxfId="463" priority="269" operator="equal">
      <formula>"NA"</formula>
    </cfRule>
    <cfRule type="cellIs" dxfId="462" priority="270" operator="equal">
      <formula>"Yes"</formula>
    </cfRule>
  </conditionalFormatting>
  <conditionalFormatting sqref="M14">
    <cfRule type="cellIs" dxfId="461" priority="265" operator="equal">
      <formula>"No"</formula>
    </cfRule>
    <cfRule type="cellIs" dxfId="460" priority="266" operator="equal">
      <formula>"NA"</formula>
    </cfRule>
    <cfRule type="cellIs" dxfId="459" priority="267" operator="equal">
      <formula>"Yes"</formula>
    </cfRule>
  </conditionalFormatting>
  <conditionalFormatting sqref="M15">
    <cfRule type="cellIs" dxfId="458" priority="262" operator="equal">
      <formula>"No"</formula>
    </cfRule>
    <cfRule type="cellIs" dxfId="457" priority="263" operator="equal">
      <formula>"NA"</formula>
    </cfRule>
    <cfRule type="cellIs" dxfId="456" priority="264" operator="equal">
      <formula>"Yes"</formula>
    </cfRule>
  </conditionalFormatting>
  <conditionalFormatting sqref="M16">
    <cfRule type="cellIs" dxfId="455" priority="259" operator="equal">
      <formula>"No"</formula>
    </cfRule>
    <cfRule type="cellIs" dxfId="454" priority="260" operator="equal">
      <formula>"NA"</formula>
    </cfRule>
    <cfRule type="cellIs" dxfId="453" priority="261" operator="equal">
      <formula>"Yes"</formula>
    </cfRule>
  </conditionalFormatting>
  <conditionalFormatting sqref="M17">
    <cfRule type="cellIs" dxfId="452" priority="256" operator="equal">
      <formula>"No"</formula>
    </cfRule>
    <cfRule type="cellIs" dxfId="451" priority="257" operator="equal">
      <formula>"NA"</formula>
    </cfRule>
    <cfRule type="cellIs" dxfId="450" priority="258" operator="equal">
      <formula>"Yes"</formula>
    </cfRule>
  </conditionalFormatting>
  <conditionalFormatting sqref="M18">
    <cfRule type="cellIs" dxfId="449" priority="253" operator="equal">
      <formula>"No"</formula>
    </cfRule>
    <cfRule type="cellIs" dxfId="448" priority="254" operator="equal">
      <formula>"NA"</formula>
    </cfRule>
    <cfRule type="cellIs" dxfId="447" priority="255" operator="equal">
      <formula>"Yes"</formula>
    </cfRule>
  </conditionalFormatting>
  <conditionalFormatting sqref="M19">
    <cfRule type="cellIs" dxfId="446" priority="250" operator="equal">
      <formula>"No"</formula>
    </cfRule>
    <cfRule type="cellIs" dxfId="445" priority="251" operator="equal">
      <formula>"NA"</formula>
    </cfRule>
    <cfRule type="cellIs" dxfId="444" priority="252" operator="equal">
      <formula>"Yes"</formula>
    </cfRule>
  </conditionalFormatting>
  <conditionalFormatting sqref="M20">
    <cfRule type="cellIs" dxfId="443" priority="247" operator="equal">
      <formula>"No"</formula>
    </cfRule>
    <cfRule type="cellIs" dxfId="442" priority="248" operator="equal">
      <formula>"NA"</formula>
    </cfRule>
    <cfRule type="cellIs" dxfId="441" priority="249" operator="equal">
      <formula>"Yes"</formula>
    </cfRule>
  </conditionalFormatting>
  <conditionalFormatting sqref="M21">
    <cfRule type="cellIs" dxfId="440" priority="244" operator="equal">
      <formula>"No"</formula>
    </cfRule>
    <cfRule type="cellIs" dxfId="439" priority="245" operator="equal">
      <formula>"NA"</formula>
    </cfRule>
    <cfRule type="cellIs" dxfId="438" priority="246" operator="equal">
      <formula>"Yes"</formula>
    </cfRule>
  </conditionalFormatting>
  <conditionalFormatting sqref="M22">
    <cfRule type="cellIs" dxfId="437" priority="241" operator="equal">
      <formula>"No"</formula>
    </cfRule>
    <cfRule type="cellIs" dxfId="436" priority="242" operator="equal">
      <formula>"NA"</formula>
    </cfRule>
    <cfRule type="cellIs" dxfId="435" priority="243" operator="equal">
      <formula>"Yes"</formula>
    </cfRule>
  </conditionalFormatting>
  <conditionalFormatting sqref="M23">
    <cfRule type="cellIs" dxfId="434" priority="238" operator="equal">
      <formula>"No"</formula>
    </cfRule>
    <cfRule type="cellIs" dxfId="433" priority="239" operator="equal">
      <formula>"NA"</formula>
    </cfRule>
    <cfRule type="cellIs" dxfId="432" priority="240" operator="equal">
      <formula>"Yes"</formula>
    </cfRule>
  </conditionalFormatting>
  <conditionalFormatting sqref="M25">
    <cfRule type="cellIs" dxfId="431" priority="235" operator="equal">
      <formula>"No"</formula>
    </cfRule>
    <cfRule type="cellIs" dxfId="430" priority="236" operator="equal">
      <formula>"NA"</formula>
    </cfRule>
    <cfRule type="cellIs" dxfId="429" priority="237" operator="equal">
      <formula>"Yes"</formula>
    </cfRule>
  </conditionalFormatting>
  <conditionalFormatting sqref="M26">
    <cfRule type="cellIs" dxfId="428" priority="232" operator="equal">
      <formula>"No"</formula>
    </cfRule>
    <cfRule type="cellIs" dxfId="427" priority="233" operator="equal">
      <formula>"NA"</formula>
    </cfRule>
    <cfRule type="cellIs" dxfId="426" priority="234" operator="equal">
      <formula>"Yes"</formula>
    </cfRule>
  </conditionalFormatting>
  <conditionalFormatting sqref="M27">
    <cfRule type="cellIs" dxfId="425" priority="229" operator="equal">
      <formula>"No"</formula>
    </cfRule>
    <cfRule type="cellIs" dxfId="424" priority="230" operator="equal">
      <formula>"NA"</formula>
    </cfRule>
    <cfRule type="cellIs" dxfId="423" priority="231" operator="equal">
      <formula>"Yes"</formula>
    </cfRule>
  </conditionalFormatting>
  <conditionalFormatting sqref="M28">
    <cfRule type="cellIs" dxfId="422" priority="226" operator="equal">
      <formula>"No"</formula>
    </cfRule>
    <cfRule type="cellIs" dxfId="421" priority="227" operator="equal">
      <formula>"NA"</formula>
    </cfRule>
    <cfRule type="cellIs" dxfId="420" priority="228" operator="equal">
      <formula>"Yes"</formula>
    </cfRule>
  </conditionalFormatting>
  <conditionalFormatting sqref="M30">
    <cfRule type="cellIs" dxfId="419" priority="223" operator="equal">
      <formula>"No"</formula>
    </cfRule>
    <cfRule type="cellIs" dxfId="418" priority="224" operator="equal">
      <formula>"NA"</formula>
    </cfRule>
    <cfRule type="cellIs" dxfId="417" priority="225" operator="equal">
      <formula>"Yes"</formula>
    </cfRule>
  </conditionalFormatting>
  <conditionalFormatting sqref="M31">
    <cfRule type="cellIs" dxfId="416" priority="220" operator="equal">
      <formula>"No"</formula>
    </cfRule>
    <cfRule type="cellIs" dxfId="415" priority="221" operator="equal">
      <formula>"NA"</formula>
    </cfRule>
    <cfRule type="cellIs" dxfId="414" priority="222" operator="equal">
      <formula>"Yes"</formula>
    </cfRule>
  </conditionalFormatting>
  <conditionalFormatting sqref="M33">
    <cfRule type="cellIs" dxfId="413" priority="217" operator="equal">
      <formula>"No"</formula>
    </cfRule>
    <cfRule type="cellIs" dxfId="412" priority="218" operator="equal">
      <formula>"NA"</formula>
    </cfRule>
    <cfRule type="cellIs" dxfId="411" priority="219" operator="equal">
      <formula>"Yes"</formula>
    </cfRule>
  </conditionalFormatting>
  <conditionalFormatting sqref="N6">
    <cfRule type="cellIs" dxfId="410" priority="214" operator="equal">
      <formula>"No"</formula>
    </cfRule>
    <cfRule type="cellIs" dxfId="409" priority="215" operator="equal">
      <formula>"NA"</formula>
    </cfRule>
    <cfRule type="cellIs" dxfId="408" priority="216" operator="equal">
      <formula>"Yes"</formula>
    </cfRule>
  </conditionalFormatting>
  <conditionalFormatting sqref="N7">
    <cfRule type="cellIs" dxfId="407" priority="211" operator="equal">
      <formula>"No"</formula>
    </cfRule>
    <cfRule type="cellIs" dxfId="406" priority="212" operator="equal">
      <formula>"NA"</formula>
    </cfRule>
    <cfRule type="cellIs" dxfId="405" priority="213" operator="equal">
      <formula>"Yes"</formula>
    </cfRule>
  </conditionalFormatting>
  <conditionalFormatting sqref="N9">
    <cfRule type="cellIs" dxfId="404" priority="208" operator="equal">
      <formula>"No"</formula>
    </cfRule>
    <cfRule type="cellIs" dxfId="403" priority="209" operator="equal">
      <formula>"NA"</formula>
    </cfRule>
    <cfRule type="cellIs" dxfId="402" priority="210" operator="equal">
      <formula>"Yes"</formula>
    </cfRule>
  </conditionalFormatting>
  <conditionalFormatting sqref="N10">
    <cfRule type="cellIs" dxfId="401" priority="205" operator="equal">
      <formula>"No"</formula>
    </cfRule>
    <cfRule type="cellIs" dxfId="400" priority="206" operator="equal">
      <formula>"NA"</formula>
    </cfRule>
    <cfRule type="cellIs" dxfId="399" priority="207" operator="equal">
      <formula>"Yes"</formula>
    </cfRule>
  </conditionalFormatting>
  <conditionalFormatting sqref="N11">
    <cfRule type="cellIs" dxfId="398" priority="202" operator="equal">
      <formula>"No"</formula>
    </cfRule>
    <cfRule type="cellIs" dxfId="397" priority="203" operator="equal">
      <formula>"NA"</formula>
    </cfRule>
    <cfRule type="cellIs" dxfId="396" priority="204" operator="equal">
      <formula>"Yes"</formula>
    </cfRule>
  </conditionalFormatting>
  <conditionalFormatting sqref="N12">
    <cfRule type="cellIs" dxfId="395" priority="199" operator="equal">
      <formula>"No"</formula>
    </cfRule>
    <cfRule type="cellIs" dxfId="394" priority="200" operator="equal">
      <formula>"NA"</formula>
    </cfRule>
    <cfRule type="cellIs" dxfId="393" priority="201" operator="equal">
      <formula>"Yes"</formula>
    </cfRule>
  </conditionalFormatting>
  <conditionalFormatting sqref="N13">
    <cfRule type="cellIs" dxfId="392" priority="196" operator="equal">
      <formula>"No"</formula>
    </cfRule>
    <cfRule type="cellIs" dxfId="391" priority="197" operator="equal">
      <formula>"NA"</formula>
    </cfRule>
    <cfRule type="cellIs" dxfId="390" priority="198" operator="equal">
      <formula>"Yes"</formula>
    </cfRule>
  </conditionalFormatting>
  <conditionalFormatting sqref="N14">
    <cfRule type="cellIs" dxfId="389" priority="193" operator="equal">
      <formula>"No"</formula>
    </cfRule>
    <cfRule type="cellIs" dxfId="388" priority="194" operator="equal">
      <formula>"NA"</formula>
    </cfRule>
    <cfRule type="cellIs" dxfId="387" priority="195" operator="equal">
      <formula>"Yes"</formula>
    </cfRule>
  </conditionalFormatting>
  <conditionalFormatting sqref="N15">
    <cfRule type="cellIs" dxfId="386" priority="190" operator="equal">
      <formula>"No"</formula>
    </cfRule>
    <cfRule type="cellIs" dxfId="385" priority="191" operator="equal">
      <formula>"NA"</formula>
    </cfRule>
    <cfRule type="cellIs" dxfId="384" priority="192" operator="equal">
      <formula>"Yes"</formula>
    </cfRule>
  </conditionalFormatting>
  <conditionalFormatting sqref="N16">
    <cfRule type="cellIs" dxfId="383" priority="187" operator="equal">
      <formula>"No"</formula>
    </cfRule>
    <cfRule type="cellIs" dxfId="382" priority="188" operator="equal">
      <formula>"NA"</formula>
    </cfRule>
    <cfRule type="cellIs" dxfId="381" priority="189" operator="equal">
      <formula>"Yes"</formula>
    </cfRule>
  </conditionalFormatting>
  <conditionalFormatting sqref="N17">
    <cfRule type="cellIs" dxfId="380" priority="184" operator="equal">
      <formula>"No"</formula>
    </cfRule>
    <cfRule type="cellIs" dxfId="379" priority="185" operator="equal">
      <formula>"NA"</formula>
    </cfRule>
    <cfRule type="cellIs" dxfId="378" priority="186" operator="equal">
      <formula>"Yes"</formula>
    </cfRule>
  </conditionalFormatting>
  <conditionalFormatting sqref="N18">
    <cfRule type="cellIs" dxfId="377" priority="181" operator="equal">
      <formula>"No"</formula>
    </cfRule>
    <cfRule type="cellIs" dxfId="376" priority="182" operator="equal">
      <formula>"NA"</formula>
    </cfRule>
    <cfRule type="cellIs" dxfId="375" priority="183" operator="equal">
      <formula>"Yes"</formula>
    </cfRule>
  </conditionalFormatting>
  <conditionalFormatting sqref="N19">
    <cfRule type="cellIs" dxfId="374" priority="178" operator="equal">
      <formula>"No"</formula>
    </cfRule>
    <cfRule type="cellIs" dxfId="373" priority="179" operator="equal">
      <formula>"NA"</formula>
    </cfRule>
    <cfRule type="cellIs" dxfId="372" priority="180" operator="equal">
      <formula>"Yes"</formula>
    </cfRule>
  </conditionalFormatting>
  <conditionalFormatting sqref="N20">
    <cfRule type="cellIs" dxfId="371" priority="175" operator="equal">
      <formula>"No"</formula>
    </cfRule>
    <cfRule type="cellIs" dxfId="370" priority="176" operator="equal">
      <formula>"NA"</formula>
    </cfRule>
    <cfRule type="cellIs" dxfId="369" priority="177" operator="equal">
      <formula>"Yes"</formula>
    </cfRule>
  </conditionalFormatting>
  <conditionalFormatting sqref="N21">
    <cfRule type="cellIs" dxfId="368" priority="172" operator="equal">
      <formula>"No"</formula>
    </cfRule>
    <cfRule type="cellIs" dxfId="367" priority="173" operator="equal">
      <formula>"NA"</formula>
    </cfRule>
    <cfRule type="cellIs" dxfId="366" priority="174" operator="equal">
      <formula>"Yes"</formula>
    </cfRule>
  </conditionalFormatting>
  <conditionalFormatting sqref="N22">
    <cfRule type="cellIs" dxfId="365" priority="169" operator="equal">
      <formula>"No"</formula>
    </cfRule>
    <cfRule type="cellIs" dxfId="364" priority="170" operator="equal">
      <formula>"NA"</formula>
    </cfRule>
    <cfRule type="cellIs" dxfId="363" priority="171" operator="equal">
      <formula>"Yes"</formula>
    </cfRule>
  </conditionalFormatting>
  <conditionalFormatting sqref="N23">
    <cfRule type="cellIs" dxfId="362" priority="166" operator="equal">
      <formula>"No"</formula>
    </cfRule>
    <cfRule type="cellIs" dxfId="361" priority="167" operator="equal">
      <formula>"NA"</formula>
    </cfRule>
    <cfRule type="cellIs" dxfId="360" priority="168" operator="equal">
      <formula>"Yes"</formula>
    </cfRule>
  </conditionalFormatting>
  <conditionalFormatting sqref="N25">
    <cfRule type="cellIs" dxfId="359" priority="163" operator="equal">
      <formula>"No"</formula>
    </cfRule>
    <cfRule type="cellIs" dxfId="358" priority="164" operator="equal">
      <formula>"NA"</formula>
    </cfRule>
    <cfRule type="cellIs" dxfId="357" priority="165" operator="equal">
      <formula>"Yes"</formula>
    </cfRule>
  </conditionalFormatting>
  <conditionalFormatting sqref="N26">
    <cfRule type="cellIs" dxfId="356" priority="160" operator="equal">
      <formula>"No"</formula>
    </cfRule>
    <cfRule type="cellIs" dxfId="355" priority="161" operator="equal">
      <formula>"NA"</formula>
    </cfRule>
    <cfRule type="cellIs" dxfId="354" priority="162" operator="equal">
      <formula>"Yes"</formula>
    </cfRule>
  </conditionalFormatting>
  <conditionalFormatting sqref="N27">
    <cfRule type="cellIs" dxfId="353" priority="157" operator="equal">
      <formula>"No"</formula>
    </cfRule>
    <cfRule type="cellIs" dxfId="352" priority="158" operator="equal">
      <formula>"NA"</formula>
    </cfRule>
    <cfRule type="cellIs" dxfId="351" priority="159" operator="equal">
      <formula>"Yes"</formula>
    </cfRule>
  </conditionalFormatting>
  <conditionalFormatting sqref="N28">
    <cfRule type="cellIs" dxfId="350" priority="154" operator="equal">
      <formula>"No"</formula>
    </cfRule>
    <cfRule type="cellIs" dxfId="349" priority="155" operator="equal">
      <formula>"NA"</formula>
    </cfRule>
    <cfRule type="cellIs" dxfId="348" priority="156" operator="equal">
      <formula>"Yes"</formula>
    </cfRule>
  </conditionalFormatting>
  <conditionalFormatting sqref="N30">
    <cfRule type="cellIs" dxfId="347" priority="151" operator="equal">
      <formula>"No"</formula>
    </cfRule>
    <cfRule type="cellIs" dxfId="346" priority="152" operator="equal">
      <formula>"NA"</formula>
    </cfRule>
    <cfRule type="cellIs" dxfId="345" priority="153" operator="equal">
      <formula>"Yes"</formula>
    </cfRule>
  </conditionalFormatting>
  <conditionalFormatting sqref="N31">
    <cfRule type="cellIs" dxfId="344" priority="148" operator="equal">
      <formula>"No"</formula>
    </cfRule>
    <cfRule type="cellIs" dxfId="343" priority="149" operator="equal">
      <formula>"NA"</formula>
    </cfRule>
    <cfRule type="cellIs" dxfId="342" priority="150" operator="equal">
      <formula>"Yes"</formula>
    </cfRule>
  </conditionalFormatting>
  <conditionalFormatting sqref="N33">
    <cfRule type="cellIs" dxfId="341" priority="145" operator="equal">
      <formula>"No"</formula>
    </cfRule>
    <cfRule type="cellIs" dxfId="340" priority="146" operator="equal">
      <formula>"NA"</formula>
    </cfRule>
    <cfRule type="cellIs" dxfId="339" priority="147" operator="equal">
      <formula>"Yes"</formula>
    </cfRule>
  </conditionalFormatting>
  <conditionalFormatting sqref="O6">
    <cfRule type="cellIs" dxfId="338" priority="142" operator="equal">
      <formula>"No"</formula>
    </cfRule>
    <cfRule type="cellIs" dxfId="337" priority="143" operator="equal">
      <formula>"NA"</formula>
    </cfRule>
    <cfRule type="cellIs" dxfId="336" priority="144" operator="equal">
      <formula>"Yes"</formula>
    </cfRule>
  </conditionalFormatting>
  <conditionalFormatting sqref="O7">
    <cfRule type="cellIs" dxfId="335" priority="139" operator="equal">
      <formula>"No"</formula>
    </cfRule>
    <cfRule type="cellIs" dxfId="334" priority="140" operator="equal">
      <formula>"NA"</formula>
    </cfRule>
    <cfRule type="cellIs" dxfId="333" priority="141" operator="equal">
      <formula>"Yes"</formula>
    </cfRule>
  </conditionalFormatting>
  <conditionalFormatting sqref="O9">
    <cfRule type="cellIs" dxfId="332" priority="136" operator="equal">
      <formula>"No"</formula>
    </cfRule>
    <cfRule type="cellIs" dxfId="331" priority="137" operator="equal">
      <formula>"NA"</formula>
    </cfRule>
    <cfRule type="cellIs" dxfId="330" priority="138" operator="equal">
      <formula>"Yes"</formula>
    </cfRule>
  </conditionalFormatting>
  <conditionalFormatting sqref="O10">
    <cfRule type="cellIs" dxfId="329" priority="133" operator="equal">
      <formula>"No"</formula>
    </cfRule>
    <cfRule type="cellIs" dxfId="328" priority="134" operator="equal">
      <formula>"NA"</formula>
    </cfRule>
    <cfRule type="cellIs" dxfId="327" priority="135" operator="equal">
      <formula>"Yes"</formula>
    </cfRule>
  </conditionalFormatting>
  <conditionalFormatting sqref="O11">
    <cfRule type="cellIs" dxfId="326" priority="130" operator="equal">
      <formula>"No"</formula>
    </cfRule>
    <cfRule type="cellIs" dxfId="325" priority="131" operator="equal">
      <formula>"NA"</formula>
    </cfRule>
    <cfRule type="cellIs" dxfId="324" priority="132" operator="equal">
      <formula>"Yes"</formula>
    </cfRule>
  </conditionalFormatting>
  <conditionalFormatting sqref="O12">
    <cfRule type="cellIs" dxfId="323" priority="127" operator="equal">
      <formula>"No"</formula>
    </cfRule>
    <cfRule type="cellIs" dxfId="322" priority="128" operator="equal">
      <formula>"NA"</formula>
    </cfRule>
    <cfRule type="cellIs" dxfId="321" priority="129" operator="equal">
      <formula>"Yes"</formula>
    </cfRule>
  </conditionalFormatting>
  <conditionalFormatting sqref="O13">
    <cfRule type="cellIs" dxfId="320" priority="124" operator="equal">
      <formula>"No"</formula>
    </cfRule>
    <cfRule type="cellIs" dxfId="319" priority="125" operator="equal">
      <formula>"NA"</formula>
    </cfRule>
    <cfRule type="cellIs" dxfId="318" priority="126" operator="equal">
      <formula>"Yes"</formula>
    </cfRule>
  </conditionalFormatting>
  <conditionalFormatting sqref="O14">
    <cfRule type="cellIs" dxfId="317" priority="121" operator="equal">
      <formula>"No"</formula>
    </cfRule>
    <cfRule type="cellIs" dxfId="316" priority="122" operator="equal">
      <formula>"NA"</formula>
    </cfRule>
    <cfRule type="cellIs" dxfId="315" priority="123" operator="equal">
      <formula>"Yes"</formula>
    </cfRule>
  </conditionalFormatting>
  <conditionalFormatting sqref="O15">
    <cfRule type="cellIs" dxfId="314" priority="118" operator="equal">
      <formula>"No"</formula>
    </cfRule>
    <cfRule type="cellIs" dxfId="313" priority="119" operator="equal">
      <formula>"NA"</formula>
    </cfRule>
    <cfRule type="cellIs" dxfId="312" priority="120" operator="equal">
      <formula>"Yes"</formula>
    </cfRule>
  </conditionalFormatting>
  <conditionalFormatting sqref="O16">
    <cfRule type="cellIs" dxfId="311" priority="115" operator="equal">
      <formula>"No"</formula>
    </cfRule>
    <cfRule type="cellIs" dxfId="310" priority="116" operator="equal">
      <formula>"NA"</formula>
    </cfRule>
    <cfRule type="cellIs" dxfId="309" priority="117" operator="equal">
      <formula>"Yes"</formula>
    </cfRule>
  </conditionalFormatting>
  <conditionalFormatting sqref="O17">
    <cfRule type="cellIs" dxfId="308" priority="112" operator="equal">
      <formula>"No"</formula>
    </cfRule>
    <cfRule type="cellIs" dxfId="307" priority="113" operator="equal">
      <formula>"NA"</formula>
    </cfRule>
    <cfRule type="cellIs" dxfId="306" priority="114" operator="equal">
      <formula>"Yes"</formula>
    </cfRule>
  </conditionalFormatting>
  <conditionalFormatting sqref="O18">
    <cfRule type="cellIs" dxfId="305" priority="109" operator="equal">
      <formula>"No"</formula>
    </cfRule>
    <cfRule type="cellIs" dxfId="304" priority="110" operator="equal">
      <formula>"NA"</formula>
    </cfRule>
    <cfRule type="cellIs" dxfId="303" priority="111" operator="equal">
      <formula>"Yes"</formula>
    </cfRule>
  </conditionalFormatting>
  <conditionalFormatting sqref="O19">
    <cfRule type="cellIs" dxfId="302" priority="106" operator="equal">
      <formula>"No"</formula>
    </cfRule>
    <cfRule type="cellIs" dxfId="301" priority="107" operator="equal">
      <formula>"NA"</formula>
    </cfRule>
    <cfRule type="cellIs" dxfId="300" priority="108" operator="equal">
      <formula>"Yes"</formula>
    </cfRule>
  </conditionalFormatting>
  <conditionalFormatting sqref="O20">
    <cfRule type="cellIs" dxfId="299" priority="103" operator="equal">
      <formula>"No"</formula>
    </cfRule>
    <cfRule type="cellIs" dxfId="298" priority="104" operator="equal">
      <formula>"NA"</formula>
    </cfRule>
    <cfRule type="cellIs" dxfId="297" priority="105" operator="equal">
      <formula>"Yes"</formula>
    </cfRule>
  </conditionalFormatting>
  <conditionalFormatting sqref="O21">
    <cfRule type="cellIs" dxfId="296" priority="100" operator="equal">
      <formula>"No"</formula>
    </cfRule>
    <cfRule type="cellIs" dxfId="295" priority="101" operator="equal">
      <formula>"NA"</formula>
    </cfRule>
    <cfRule type="cellIs" dxfId="294" priority="102" operator="equal">
      <formula>"Yes"</formula>
    </cfRule>
  </conditionalFormatting>
  <conditionalFormatting sqref="O22">
    <cfRule type="cellIs" dxfId="293" priority="97" operator="equal">
      <formula>"No"</formula>
    </cfRule>
    <cfRule type="cellIs" dxfId="292" priority="98" operator="equal">
      <formula>"NA"</formula>
    </cfRule>
    <cfRule type="cellIs" dxfId="291" priority="99" operator="equal">
      <formula>"Yes"</formula>
    </cfRule>
  </conditionalFormatting>
  <conditionalFormatting sqref="O23">
    <cfRule type="cellIs" dxfId="290" priority="94" operator="equal">
      <formula>"No"</formula>
    </cfRule>
    <cfRule type="cellIs" dxfId="289" priority="95" operator="equal">
      <formula>"NA"</formula>
    </cfRule>
    <cfRule type="cellIs" dxfId="288" priority="96" operator="equal">
      <formula>"Yes"</formula>
    </cfRule>
  </conditionalFormatting>
  <conditionalFormatting sqref="O25">
    <cfRule type="cellIs" dxfId="287" priority="91" operator="equal">
      <formula>"No"</formula>
    </cfRule>
    <cfRule type="cellIs" dxfId="286" priority="92" operator="equal">
      <formula>"NA"</formula>
    </cfRule>
    <cfRule type="cellIs" dxfId="285" priority="93" operator="equal">
      <formula>"Yes"</formula>
    </cfRule>
  </conditionalFormatting>
  <conditionalFormatting sqref="O26">
    <cfRule type="cellIs" dxfId="284" priority="88" operator="equal">
      <formula>"No"</formula>
    </cfRule>
    <cfRule type="cellIs" dxfId="283" priority="89" operator="equal">
      <formula>"NA"</formula>
    </cfRule>
    <cfRule type="cellIs" dxfId="282" priority="90" operator="equal">
      <formula>"Yes"</formula>
    </cfRule>
  </conditionalFormatting>
  <conditionalFormatting sqref="O27">
    <cfRule type="cellIs" dxfId="281" priority="85" operator="equal">
      <formula>"No"</formula>
    </cfRule>
    <cfRule type="cellIs" dxfId="280" priority="86" operator="equal">
      <formula>"NA"</formula>
    </cfRule>
    <cfRule type="cellIs" dxfId="279" priority="87" operator="equal">
      <formula>"Yes"</formula>
    </cfRule>
  </conditionalFormatting>
  <conditionalFormatting sqref="O28">
    <cfRule type="cellIs" dxfId="278" priority="82" operator="equal">
      <formula>"No"</formula>
    </cfRule>
    <cfRule type="cellIs" dxfId="277" priority="83" operator="equal">
      <formula>"NA"</formula>
    </cfRule>
    <cfRule type="cellIs" dxfId="276" priority="84" operator="equal">
      <formula>"Yes"</formula>
    </cfRule>
  </conditionalFormatting>
  <conditionalFormatting sqref="O30">
    <cfRule type="cellIs" dxfId="275" priority="79" operator="equal">
      <formula>"No"</formula>
    </cfRule>
    <cfRule type="cellIs" dxfId="274" priority="80" operator="equal">
      <formula>"NA"</formula>
    </cfRule>
    <cfRule type="cellIs" dxfId="273" priority="81" operator="equal">
      <formula>"Yes"</formula>
    </cfRule>
  </conditionalFormatting>
  <conditionalFormatting sqref="O31">
    <cfRule type="cellIs" dxfId="272" priority="76" operator="equal">
      <formula>"No"</formula>
    </cfRule>
    <cfRule type="cellIs" dxfId="271" priority="77" operator="equal">
      <formula>"NA"</formula>
    </cfRule>
    <cfRule type="cellIs" dxfId="270" priority="78" operator="equal">
      <formula>"Yes"</formula>
    </cfRule>
  </conditionalFormatting>
  <conditionalFormatting sqref="O33">
    <cfRule type="cellIs" dxfId="269" priority="73" operator="equal">
      <formula>"No"</formula>
    </cfRule>
    <cfRule type="cellIs" dxfId="268" priority="74" operator="equal">
      <formula>"NA"</formula>
    </cfRule>
    <cfRule type="cellIs" dxfId="267" priority="75" operator="equal">
      <formula>"Yes"</formula>
    </cfRule>
  </conditionalFormatting>
  <conditionalFormatting sqref="P6">
    <cfRule type="cellIs" dxfId="266" priority="70" operator="equal">
      <formula>"No"</formula>
    </cfRule>
    <cfRule type="cellIs" dxfId="265" priority="71" operator="equal">
      <formula>"NA"</formula>
    </cfRule>
    <cfRule type="cellIs" dxfId="264" priority="72" operator="equal">
      <formula>"Yes"</formula>
    </cfRule>
  </conditionalFormatting>
  <conditionalFormatting sqref="P7">
    <cfRule type="cellIs" dxfId="263" priority="67" operator="equal">
      <formula>"No"</formula>
    </cfRule>
    <cfRule type="cellIs" dxfId="262" priority="68" operator="equal">
      <formula>"NA"</formula>
    </cfRule>
    <cfRule type="cellIs" dxfId="261" priority="69" operator="equal">
      <formula>"Yes"</formula>
    </cfRule>
  </conditionalFormatting>
  <conditionalFormatting sqref="P9">
    <cfRule type="cellIs" dxfId="260" priority="64" operator="equal">
      <formula>"No"</formula>
    </cfRule>
    <cfRule type="cellIs" dxfId="259" priority="65" operator="equal">
      <formula>"NA"</formula>
    </cfRule>
    <cfRule type="cellIs" dxfId="258" priority="66" operator="equal">
      <formula>"Yes"</formula>
    </cfRule>
  </conditionalFormatting>
  <conditionalFormatting sqref="P10">
    <cfRule type="cellIs" dxfId="257" priority="61" operator="equal">
      <formula>"No"</formula>
    </cfRule>
    <cfRule type="cellIs" dxfId="256" priority="62" operator="equal">
      <formula>"NA"</formula>
    </cfRule>
    <cfRule type="cellIs" dxfId="255" priority="63" operator="equal">
      <formula>"Yes"</formula>
    </cfRule>
  </conditionalFormatting>
  <conditionalFormatting sqref="P11">
    <cfRule type="cellIs" dxfId="254" priority="58" operator="equal">
      <formula>"No"</formula>
    </cfRule>
    <cfRule type="cellIs" dxfId="253" priority="59" operator="equal">
      <formula>"NA"</formula>
    </cfRule>
    <cfRule type="cellIs" dxfId="252" priority="60" operator="equal">
      <formula>"Yes"</formula>
    </cfRule>
  </conditionalFormatting>
  <conditionalFormatting sqref="P12">
    <cfRule type="cellIs" dxfId="251" priority="55" operator="equal">
      <formula>"No"</formula>
    </cfRule>
    <cfRule type="cellIs" dxfId="250" priority="56" operator="equal">
      <formula>"NA"</formula>
    </cfRule>
    <cfRule type="cellIs" dxfId="249" priority="57" operator="equal">
      <formula>"Yes"</formula>
    </cfRule>
  </conditionalFormatting>
  <conditionalFormatting sqref="P13">
    <cfRule type="cellIs" dxfId="248" priority="52" operator="equal">
      <formula>"No"</formula>
    </cfRule>
    <cfRule type="cellIs" dxfId="247" priority="53" operator="equal">
      <formula>"NA"</formula>
    </cfRule>
    <cfRule type="cellIs" dxfId="246" priority="54" operator="equal">
      <formula>"Yes"</formula>
    </cfRule>
  </conditionalFormatting>
  <conditionalFormatting sqref="P14">
    <cfRule type="cellIs" dxfId="245" priority="49" operator="equal">
      <formula>"No"</formula>
    </cfRule>
    <cfRule type="cellIs" dxfId="244" priority="50" operator="equal">
      <formula>"NA"</formula>
    </cfRule>
    <cfRule type="cellIs" dxfId="243" priority="51" operator="equal">
      <formula>"Yes"</formula>
    </cfRule>
  </conditionalFormatting>
  <conditionalFormatting sqref="P15">
    <cfRule type="cellIs" dxfId="242" priority="46" operator="equal">
      <formula>"No"</formula>
    </cfRule>
    <cfRule type="cellIs" dxfId="241" priority="47" operator="equal">
      <formula>"NA"</formula>
    </cfRule>
    <cfRule type="cellIs" dxfId="240" priority="48" operator="equal">
      <formula>"Yes"</formula>
    </cfRule>
  </conditionalFormatting>
  <conditionalFormatting sqref="P16">
    <cfRule type="cellIs" dxfId="239" priority="43" operator="equal">
      <formula>"No"</formula>
    </cfRule>
    <cfRule type="cellIs" dxfId="238" priority="44" operator="equal">
      <formula>"NA"</formula>
    </cfRule>
    <cfRule type="cellIs" dxfId="237" priority="45" operator="equal">
      <formula>"Yes"</formula>
    </cfRule>
  </conditionalFormatting>
  <conditionalFormatting sqref="P17">
    <cfRule type="cellIs" dxfId="236" priority="40" operator="equal">
      <formula>"No"</formula>
    </cfRule>
    <cfRule type="cellIs" dxfId="235" priority="41" operator="equal">
      <formula>"NA"</formula>
    </cfRule>
    <cfRule type="cellIs" dxfId="234" priority="42" operator="equal">
      <formula>"Yes"</formula>
    </cfRule>
  </conditionalFormatting>
  <conditionalFormatting sqref="P18">
    <cfRule type="cellIs" dxfId="233" priority="37" operator="equal">
      <formula>"No"</formula>
    </cfRule>
    <cfRule type="cellIs" dxfId="232" priority="38" operator="equal">
      <formula>"NA"</formula>
    </cfRule>
    <cfRule type="cellIs" dxfId="231" priority="39" operator="equal">
      <formula>"Yes"</formula>
    </cfRule>
  </conditionalFormatting>
  <conditionalFormatting sqref="P19">
    <cfRule type="cellIs" dxfId="230" priority="34" operator="equal">
      <formula>"No"</formula>
    </cfRule>
    <cfRule type="cellIs" dxfId="229" priority="35" operator="equal">
      <formula>"NA"</formula>
    </cfRule>
    <cfRule type="cellIs" dxfId="228" priority="36" operator="equal">
      <formula>"Yes"</formula>
    </cfRule>
  </conditionalFormatting>
  <conditionalFormatting sqref="P20">
    <cfRule type="cellIs" dxfId="227" priority="31" operator="equal">
      <formula>"No"</formula>
    </cfRule>
    <cfRule type="cellIs" dxfId="226" priority="32" operator="equal">
      <formula>"NA"</formula>
    </cfRule>
    <cfRule type="cellIs" dxfId="225" priority="33" operator="equal">
      <formula>"Yes"</formula>
    </cfRule>
  </conditionalFormatting>
  <conditionalFormatting sqref="P21">
    <cfRule type="cellIs" dxfId="224" priority="28" operator="equal">
      <formula>"No"</formula>
    </cfRule>
    <cfRule type="cellIs" dxfId="223" priority="29" operator="equal">
      <formula>"NA"</formula>
    </cfRule>
    <cfRule type="cellIs" dxfId="222" priority="30" operator="equal">
      <formula>"Yes"</formula>
    </cfRule>
  </conditionalFormatting>
  <conditionalFormatting sqref="P22">
    <cfRule type="cellIs" dxfId="221" priority="25" operator="equal">
      <formula>"No"</formula>
    </cfRule>
    <cfRule type="cellIs" dxfId="220" priority="26" operator="equal">
      <formula>"NA"</formula>
    </cfRule>
    <cfRule type="cellIs" dxfId="219" priority="27" operator="equal">
      <formula>"Yes"</formula>
    </cfRule>
  </conditionalFormatting>
  <conditionalFormatting sqref="P23">
    <cfRule type="cellIs" dxfId="218" priority="22" operator="equal">
      <formula>"No"</formula>
    </cfRule>
    <cfRule type="cellIs" dxfId="217" priority="23" operator="equal">
      <formula>"NA"</formula>
    </cfRule>
    <cfRule type="cellIs" dxfId="216" priority="24" operator="equal">
      <formula>"Yes"</formula>
    </cfRule>
  </conditionalFormatting>
  <conditionalFormatting sqref="P25">
    <cfRule type="cellIs" dxfId="215" priority="19" operator="equal">
      <formula>"No"</formula>
    </cfRule>
    <cfRule type="cellIs" dxfId="214" priority="20" operator="equal">
      <formula>"NA"</formula>
    </cfRule>
    <cfRule type="cellIs" dxfId="213" priority="21" operator="equal">
      <formula>"Yes"</formula>
    </cfRule>
  </conditionalFormatting>
  <conditionalFormatting sqref="P26">
    <cfRule type="cellIs" dxfId="212" priority="16" operator="equal">
      <formula>"No"</formula>
    </cfRule>
    <cfRule type="cellIs" dxfId="211" priority="17" operator="equal">
      <formula>"NA"</formula>
    </cfRule>
    <cfRule type="cellIs" dxfId="210" priority="18" operator="equal">
      <formula>"Yes"</formula>
    </cfRule>
  </conditionalFormatting>
  <conditionalFormatting sqref="P27">
    <cfRule type="cellIs" dxfId="209" priority="13" operator="equal">
      <formula>"No"</formula>
    </cfRule>
    <cfRule type="cellIs" dxfId="208" priority="14" operator="equal">
      <formula>"NA"</formula>
    </cfRule>
    <cfRule type="cellIs" dxfId="207" priority="15" operator="equal">
      <formula>"Yes"</formula>
    </cfRule>
  </conditionalFormatting>
  <conditionalFormatting sqref="P28">
    <cfRule type="cellIs" dxfId="206" priority="10" operator="equal">
      <formula>"No"</formula>
    </cfRule>
    <cfRule type="cellIs" dxfId="205" priority="11" operator="equal">
      <formula>"NA"</formula>
    </cfRule>
    <cfRule type="cellIs" dxfId="204" priority="12" operator="equal">
      <formula>"Yes"</formula>
    </cfRule>
  </conditionalFormatting>
  <conditionalFormatting sqref="P30">
    <cfRule type="cellIs" dxfId="203" priority="7" operator="equal">
      <formula>"No"</formula>
    </cfRule>
    <cfRule type="cellIs" dxfId="202" priority="8" operator="equal">
      <formula>"NA"</formula>
    </cfRule>
    <cfRule type="cellIs" dxfId="201" priority="9" operator="equal">
      <formula>"Yes"</formula>
    </cfRule>
  </conditionalFormatting>
  <conditionalFormatting sqref="P31">
    <cfRule type="cellIs" dxfId="200" priority="4" operator="equal">
      <formula>"No"</formula>
    </cfRule>
    <cfRule type="cellIs" dxfId="199" priority="5" operator="equal">
      <formula>"NA"</formula>
    </cfRule>
    <cfRule type="cellIs" dxfId="198" priority="6" operator="equal">
      <formula>"Yes"</formula>
    </cfRule>
  </conditionalFormatting>
  <conditionalFormatting sqref="P33">
    <cfRule type="cellIs" dxfId="197" priority="1" operator="equal">
      <formula>"No"</formula>
    </cfRule>
    <cfRule type="cellIs" dxfId="196" priority="2" operator="equal">
      <formula>"NA"</formula>
    </cfRule>
    <cfRule type="cellIs" dxfId="195" priority="3" operator="equal">
      <formula>"Yes"</formula>
    </cfRule>
  </conditionalFormatting>
  <dataValidations count="1">
    <dataValidation type="list" allowBlank="1" showInputMessage="1" showErrorMessage="1" sqref="C9:P23 C33:P33 C6:P7 C30:P31 C25:P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DB56E-7E83-404B-9948-DEBC784A0955}">
  <sheetPr codeName="Feuil27">
    <tabColor theme="7"/>
    <outlinePr summaryBelow="0" summaryRight="0"/>
    <pageSetUpPr fitToPage="1"/>
  </sheetPr>
  <dimension ref="A2:J33"/>
  <sheetViews>
    <sheetView zoomScale="130" zoomScaleNormal="130" workbookViewId="0">
      <pane xSplit="1" ySplit="3" topLeftCell="B4" activePane="bottomRight" state="frozen"/>
      <selection pane="topRight" activeCell="B1" sqref="B1"/>
      <selection pane="bottomLeft" activeCell="A4" sqref="A4"/>
      <selection pane="bottomRight" activeCell="F3" sqref="F3"/>
    </sheetView>
  </sheetViews>
  <sheetFormatPr defaultColWidth="9.28515625" defaultRowHeight="12.75" outlineLevelCol="1"/>
  <cols>
    <col min="1" max="1" width="12.5703125" style="159" bestFit="1" customWidth="1"/>
    <col min="2" max="2" width="61" style="158" customWidth="1"/>
    <col min="3" max="6" width="6.28515625" style="157" bestFit="1" customWidth="1"/>
    <col min="7" max="7" width="33.7109375" style="157" customWidth="1"/>
    <col min="8" max="9" width="30.7109375" style="157" customWidth="1" outlineLevel="1"/>
    <col min="10" max="16384" width="9.28515625" style="157"/>
  </cols>
  <sheetData>
    <row r="2" spans="1:10" ht="69.75">
      <c r="A2" s="182" t="s">
        <v>212</v>
      </c>
      <c r="B2" s="183" t="s">
        <v>419</v>
      </c>
      <c r="C2" s="184" t="s">
        <v>456</v>
      </c>
      <c r="D2" s="184" t="s">
        <v>465</v>
      </c>
      <c r="E2" s="184" t="s">
        <v>468</v>
      </c>
      <c r="F2" s="184" t="s">
        <v>485</v>
      </c>
      <c r="G2" s="185" t="s">
        <v>221</v>
      </c>
      <c r="H2" s="344" t="s">
        <v>185</v>
      </c>
      <c r="I2" s="345"/>
    </row>
    <row r="3" spans="1:10" ht="18.75">
      <c r="A3" s="186"/>
      <c r="B3" s="187"/>
      <c r="C3" s="188">
        <f>COUNTIF(Review.ratings,"Yes") / ( COUNTA(Review.QuestionIds) - COUNTIF(Review.ratings,"NA"))</f>
        <v>1</v>
      </c>
      <c r="D3" s="188">
        <f>COUNTIF(D6:D30,"Yes") / ( COUNTA(Review.QuestionIds) - COUNTIF(D6:D30,"NA"))</f>
        <v>1</v>
      </c>
      <c r="E3" s="188">
        <f>COUNTIF(E6:E30,"Yes") / ( COUNTA(Review.QuestionIds) - COUNTIF(E6:E30,"NA"))</f>
        <v>1</v>
      </c>
      <c r="F3" s="188">
        <f>COUNTIF(F6:F30,"Yes") / ( COUNTA(Review.QuestionIds) - COUNTIF(F6:F30,"NA"))</f>
        <v>1</v>
      </c>
      <c r="G3" s="213"/>
      <c r="H3" s="214" t="s">
        <v>218</v>
      </c>
      <c r="I3" s="214" t="s">
        <v>219</v>
      </c>
      <c r="J3" s="215"/>
    </row>
    <row r="4" spans="1:10" ht="36">
      <c r="A4" s="189"/>
      <c r="B4" s="190" t="s">
        <v>223</v>
      </c>
      <c r="C4" s="191"/>
      <c r="D4" s="191"/>
      <c r="E4" s="191"/>
      <c r="F4" s="191"/>
      <c r="G4" s="191"/>
      <c r="H4" s="191"/>
      <c r="I4" s="192"/>
      <c r="J4" s="95"/>
    </row>
    <row r="5" spans="1:10" ht="18.75">
      <c r="A5" s="160"/>
      <c r="B5" s="168" t="s">
        <v>420</v>
      </c>
      <c r="C5" s="161"/>
      <c r="D5" s="161"/>
      <c r="E5" s="161"/>
      <c r="F5" s="161"/>
      <c r="G5" s="161"/>
      <c r="H5" s="214"/>
      <c r="I5" s="214"/>
    </row>
    <row r="6" spans="1:10" ht="25.5">
      <c r="A6" s="163" t="s">
        <v>421</v>
      </c>
      <c r="B6" s="171" t="s">
        <v>422</v>
      </c>
      <c r="C6" s="216" t="s">
        <v>211</v>
      </c>
      <c r="D6" s="216" t="s">
        <v>211</v>
      </c>
      <c r="E6" s="216" t="s">
        <v>211</v>
      </c>
      <c r="F6" s="216" t="s">
        <v>211</v>
      </c>
      <c r="G6" s="217"/>
      <c r="H6" s="162"/>
      <c r="I6" s="162"/>
    </row>
    <row r="7" spans="1:10" ht="38.25">
      <c r="A7" s="163" t="s">
        <v>423</v>
      </c>
      <c r="B7" s="171" t="s">
        <v>424</v>
      </c>
      <c r="C7" s="216" t="s">
        <v>211</v>
      </c>
      <c r="D7" s="216" t="s">
        <v>211</v>
      </c>
      <c r="E7" s="216" t="s">
        <v>211</v>
      </c>
      <c r="F7" s="216" t="s">
        <v>211</v>
      </c>
      <c r="G7" s="217"/>
      <c r="H7" s="218"/>
      <c r="I7" s="162"/>
    </row>
    <row r="8" spans="1:10" ht="25.5">
      <c r="A8" s="163" t="s">
        <v>425</v>
      </c>
      <c r="B8" s="171" t="s">
        <v>426</v>
      </c>
      <c r="C8" s="216" t="s">
        <v>211</v>
      </c>
      <c r="D8" s="216" t="s">
        <v>211</v>
      </c>
      <c r="E8" s="216" t="s">
        <v>211</v>
      </c>
      <c r="F8" s="216" t="s">
        <v>211</v>
      </c>
      <c r="G8" s="217"/>
      <c r="H8" s="162"/>
      <c r="I8" s="162"/>
    </row>
    <row r="9" spans="1:10" ht="25.5">
      <c r="A9" s="163" t="s">
        <v>427</v>
      </c>
      <c r="B9" s="171" t="s">
        <v>428</v>
      </c>
      <c r="C9" s="216" t="s">
        <v>211</v>
      </c>
      <c r="D9" s="216" t="s">
        <v>211</v>
      </c>
      <c r="E9" s="216" t="s">
        <v>211</v>
      </c>
      <c r="F9" s="216" t="s">
        <v>211</v>
      </c>
      <c r="G9" s="217"/>
      <c r="H9" s="162"/>
      <c r="I9" s="162"/>
    </row>
    <row r="10" spans="1:10" ht="38.25">
      <c r="A10" s="163" t="s">
        <v>429</v>
      </c>
      <c r="B10" s="171" t="s">
        <v>430</v>
      </c>
      <c r="C10" s="216" t="s">
        <v>211</v>
      </c>
      <c r="D10" s="216" t="s">
        <v>211</v>
      </c>
      <c r="E10" s="216" t="s">
        <v>211</v>
      </c>
      <c r="F10" s="216" t="s">
        <v>211</v>
      </c>
      <c r="G10" s="217"/>
      <c r="H10" s="162"/>
      <c r="I10" s="162"/>
    </row>
    <row r="11" spans="1:10" ht="18.75">
      <c r="A11" s="160"/>
      <c r="B11" s="168" t="s">
        <v>431</v>
      </c>
      <c r="C11" s="161"/>
      <c r="D11" s="161"/>
      <c r="E11" s="161"/>
      <c r="F11" s="161"/>
      <c r="G11" s="161"/>
      <c r="H11" s="214"/>
      <c r="I11" s="214"/>
    </row>
    <row r="12" spans="1:10" ht="38.25">
      <c r="A12" s="163" t="s">
        <v>432</v>
      </c>
      <c r="B12" s="171" t="s">
        <v>433</v>
      </c>
      <c r="C12" s="216" t="s">
        <v>211</v>
      </c>
      <c r="D12" s="216" t="s">
        <v>211</v>
      </c>
      <c r="E12" s="216" t="s">
        <v>211</v>
      </c>
      <c r="F12" s="216" t="s">
        <v>211</v>
      </c>
      <c r="G12" s="217"/>
      <c r="H12" s="162"/>
      <c r="I12" s="162"/>
    </row>
    <row r="13" spans="1:10" ht="76.5">
      <c r="A13" s="163" t="s">
        <v>434</v>
      </c>
      <c r="B13" s="171" t="s">
        <v>435</v>
      </c>
      <c r="C13" s="216" t="s">
        <v>23</v>
      </c>
      <c r="D13" s="216" t="s">
        <v>11</v>
      </c>
      <c r="E13" s="216" t="s">
        <v>11</v>
      </c>
      <c r="F13" s="216" t="s">
        <v>11</v>
      </c>
      <c r="G13" s="227" t="s">
        <v>466</v>
      </c>
      <c r="H13" s="162"/>
      <c r="I13" s="162"/>
    </row>
    <row r="14" spans="1:10" ht="18.75">
      <c r="A14" s="160"/>
      <c r="B14" s="168" t="s">
        <v>260</v>
      </c>
      <c r="C14" s="161"/>
      <c r="D14" s="161"/>
      <c r="E14" s="161"/>
      <c r="F14" s="161"/>
      <c r="G14" s="161"/>
      <c r="H14" s="214"/>
      <c r="I14" s="214"/>
    </row>
    <row r="15" spans="1:10" ht="51">
      <c r="A15" s="163" t="s">
        <v>436</v>
      </c>
      <c r="B15" s="171" t="s">
        <v>437</v>
      </c>
      <c r="C15" s="216" t="s">
        <v>211</v>
      </c>
      <c r="D15" s="216" t="s">
        <v>211</v>
      </c>
      <c r="E15" s="216" t="s">
        <v>211</v>
      </c>
      <c r="F15" s="216" t="s">
        <v>211</v>
      </c>
      <c r="G15" s="217"/>
      <c r="H15" s="162"/>
      <c r="I15" s="162"/>
    </row>
    <row r="16" spans="1:10" ht="51">
      <c r="A16" s="163" t="s">
        <v>438</v>
      </c>
      <c r="B16" s="171" t="s">
        <v>439</v>
      </c>
      <c r="C16" s="216" t="s">
        <v>211</v>
      </c>
      <c r="D16" s="216" t="s">
        <v>211</v>
      </c>
      <c r="E16" s="216" t="s">
        <v>211</v>
      </c>
      <c r="F16" s="216" t="s">
        <v>211</v>
      </c>
      <c r="G16" s="217"/>
      <c r="H16" s="162"/>
      <c r="I16" s="162"/>
    </row>
    <row r="17" spans="1:9" ht="51">
      <c r="A17" s="163" t="s">
        <v>440</v>
      </c>
      <c r="B17" s="171" t="s">
        <v>441</v>
      </c>
      <c r="C17" s="216" t="s">
        <v>211</v>
      </c>
      <c r="D17" s="216" t="s">
        <v>211</v>
      </c>
      <c r="E17" s="216" t="s">
        <v>211</v>
      </c>
      <c r="F17" s="216" t="s">
        <v>211</v>
      </c>
      <c r="G17" s="217"/>
      <c r="H17" s="162"/>
      <c r="I17" s="162"/>
    </row>
    <row r="18" spans="1:9" ht="25.5">
      <c r="A18" s="163" t="s">
        <v>442</v>
      </c>
      <c r="B18" s="171" t="s">
        <v>443</v>
      </c>
      <c r="C18" s="216" t="s">
        <v>211</v>
      </c>
      <c r="D18" s="216" t="s">
        <v>211</v>
      </c>
      <c r="E18" s="216" t="s">
        <v>211</v>
      </c>
      <c r="F18" s="216" t="s">
        <v>211</v>
      </c>
      <c r="G18" s="217"/>
      <c r="H18" s="162"/>
      <c r="I18" s="162"/>
    </row>
    <row r="19" spans="1:9" ht="51">
      <c r="A19" s="163" t="s">
        <v>444</v>
      </c>
      <c r="B19" s="171" t="s">
        <v>445</v>
      </c>
      <c r="C19" s="216" t="s">
        <v>211</v>
      </c>
      <c r="D19" s="216" t="s">
        <v>211</v>
      </c>
      <c r="E19" s="216" t="s">
        <v>211</v>
      </c>
      <c r="F19" s="216" t="s">
        <v>211</v>
      </c>
      <c r="G19" s="217"/>
      <c r="H19" s="162"/>
      <c r="I19" s="162"/>
    </row>
    <row r="20" spans="1:9" ht="25.5">
      <c r="A20" s="163" t="s">
        <v>446</v>
      </c>
      <c r="B20" s="171" t="s">
        <v>447</v>
      </c>
      <c r="C20" s="216" t="s">
        <v>211</v>
      </c>
      <c r="D20" s="216" t="s">
        <v>211</v>
      </c>
      <c r="E20" s="216" t="s">
        <v>211</v>
      </c>
      <c r="F20" s="216" t="s">
        <v>211</v>
      </c>
      <c r="G20" s="217"/>
      <c r="H20" s="162"/>
      <c r="I20" s="162"/>
    </row>
    <row r="21" spans="1:9" ht="18.75">
      <c r="A21" s="160"/>
      <c r="B21" s="168" t="s">
        <v>215</v>
      </c>
      <c r="C21" s="161"/>
      <c r="D21" s="161"/>
      <c r="E21" s="161"/>
      <c r="F21" s="161"/>
      <c r="G21" s="161"/>
      <c r="H21" s="214"/>
      <c r="I21" s="214"/>
    </row>
    <row r="22" spans="1:9" ht="38.25">
      <c r="A22" s="163" t="s">
        <v>310</v>
      </c>
      <c r="B22" s="171" t="s">
        <v>205</v>
      </c>
      <c r="C22" s="216" t="s">
        <v>211</v>
      </c>
      <c r="D22" s="216" t="s">
        <v>211</v>
      </c>
      <c r="E22" s="216" t="s">
        <v>211</v>
      </c>
      <c r="F22" s="216" t="s">
        <v>211</v>
      </c>
      <c r="G22" s="217"/>
      <c r="H22" s="162"/>
      <c r="I22" s="162"/>
    </row>
    <row r="23" spans="1:9" ht="25.5">
      <c r="A23" s="163" t="s">
        <v>311</v>
      </c>
      <c r="B23" s="171" t="s">
        <v>206</v>
      </c>
      <c r="C23" s="216" t="s">
        <v>211</v>
      </c>
      <c r="D23" s="216" t="s">
        <v>211</v>
      </c>
      <c r="E23" s="216" t="s">
        <v>211</v>
      </c>
      <c r="F23" s="216" t="s">
        <v>211</v>
      </c>
      <c r="G23" s="217"/>
      <c r="H23" s="162"/>
      <c r="I23" s="162"/>
    </row>
    <row r="24" spans="1:9" ht="38.25">
      <c r="A24" s="163" t="s">
        <v>312</v>
      </c>
      <c r="B24" s="171" t="s">
        <v>207</v>
      </c>
      <c r="C24" s="216" t="s">
        <v>211</v>
      </c>
      <c r="D24" s="216" t="s">
        <v>211</v>
      </c>
      <c r="E24" s="216" t="s">
        <v>211</v>
      </c>
      <c r="F24" s="216" t="s">
        <v>211</v>
      </c>
      <c r="G24" s="217"/>
      <c r="H24" s="162"/>
      <c r="I24" s="162"/>
    </row>
    <row r="25" spans="1:9" ht="38.25">
      <c r="A25" s="163" t="s">
        <v>313</v>
      </c>
      <c r="B25" s="171" t="s">
        <v>208</v>
      </c>
      <c r="C25" s="216" t="s">
        <v>211</v>
      </c>
      <c r="D25" s="216" t="s">
        <v>211</v>
      </c>
      <c r="E25" s="216" t="s">
        <v>211</v>
      </c>
      <c r="F25" s="216" t="s">
        <v>211</v>
      </c>
      <c r="G25" s="217"/>
      <c r="H25" s="162"/>
      <c r="I25" s="162"/>
    </row>
    <row r="26" spans="1:9" ht="18.75">
      <c r="A26" s="160"/>
      <c r="B26" s="168" t="s">
        <v>216</v>
      </c>
      <c r="C26" s="161"/>
      <c r="D26" s="161"/>
      <c r="E26" s="161"/>
      <c r="F26" s="161"/>
      <c r="G26" s="161"/>
      <c r="H26" s="214"/>
      <c r="I26" s="214"/>
    </row>
    <row r="27" spans="1:9" ht="38.25">
      <c r="A27" s="163" t="s">
        <v>314</v>
      </c>
      <c r="B27" s="171" t="s">
        <v>209</v>
      </c>
      <c r="C27" s="216" t="s">
        <v>211</v>
      </c>
      <c r="D27" s="216" t="s">
        <v>211</v>
      </c>
      <c r="E27" s="216" t="s">
        <v>211</v>
      </c>
      <c r="F27" s="216" t="s">
        <v>211</v>
      </c>
      <c r="G27" s="217"/>
      <c r="H27" s="162"/>
      <c r="I27" s="162"/>
    </row>
    <row r="28" spans="1:9" ht="38.25">
      <c r="A28" s="163" t="s">
        <v>315</v>
      </c>
      <c r="B28" s="171" t="s">
        <v>210</v>
      </c>
      <c r="C28" s="216" t="s">
        <v>211</v>
      </c>
      <c r="D28" s="216" t="s">
        <v>211</v>
      </c>
      <c r="E28" s="216" t="s">
        <v>211</v>
      </c>
      <c r="F28" s="216" t="s">
        <v>211</v>
      </c>
      <c r="G28" s="217"/>
      <c r="H28" s="162"/>
      <c r="I28" s="162"/>
    </row>
    <row r="29" spans="1:9" ht="18.75">
      <c r="A29" s="160"/>
      <c r="B29" s="168" t="s">
        <v>203</v>
      </c>
      <c r="C29" s="161"/>
      <c r="D29" s="161"/>
      <c r="E29" s="161"/>
      <c r="F29" s="161"/>
      <c r="G29" s="161"/>
      <c r="H29" s="214"/>
      <c r="I29" s="214"/>
    </row>
    <row r="30" spans="1:9" ht="51">
      <c r="A30" s="163" t="s">
        <v>316</v>
      </c>
      <c r="B30" s="171" t="s">
        <v>204</v>
      </c>
      <c r="C30" s="216" t="s">
        <v>211</v>
      </c>
      <c r="D30" s="216" t="s">
        <v>211</v>
      </c>
      <c r="E30" s="216" t="s">
        <v>211</v>
      </c>
      <c r="F30" s="216" t="s">
        <v>211</v>
      </c>
      <c r="G30" s="217"/>
      <c r="H30" s="162"/>
      <c r="I30" s="162"/>
    </row>
    <row r="31" spans="1:9" ht="18">
      <c r="A31" s="219"/>
      <c r="B31" s="220" t="s">
        <v>220</v>
      </c>
      <c r="C31" s="219"/>
      <c r="D31" s="219"/>
      <c r="E31" s="219"/>
      <c r="F31" s="219"/>
      <c r="G31" s="219"/>
      <c r="H31" s="219"/>
      <c r="I31" s="219"/>
    </row>
    <row r="32" spans="1:9">
      <c r="A32" s="163"/>
      <c r="B32" s="171"/>
    </row>
    <row r="33" spans="1:9" ht="15">
      <c r="A33" s="202"/>
      <c r="B33" s="203" t="s">
        <v>334</v>
      </c>
      <c r="C33" s="202"/>
      <c r="D33" s="202"/>
      <c r="E33" s="202"/>
      <c r="F33" s="202"/>
      <c r="G33" s="202"/>
      <c r="H33" s="202"/>
      <c r="I33" s="202"/>
    </row>
  </sheetData>
  <mergeCells count="1">
    <mergeCell ref="H2:I2"/>
  </mergeCells>
  <conditionalFormatting sqref="D6">
    <cfRule type="cellIs" dxfId="194" priority="214" operator="equal">
      <formula>"No"</formula>
    </cfRule>
    <cfRule type="cellIs" dxfId="193" priority="215" operator="equal">
      <formula>"NA"</formula>
    </cfRule>
    <cfRule type="cellIs" dxfId="192" priority="216" operator="equal">
      <formula>"Yes"</formula>
    </cfRule>
  </conditionalFormatting>
  <conditionalFormatting sqref="D7">
    <cfRule type="cellIs" dxfId="191" priority="211" operator="equal">
      <formula>"No"</formula>
    </cfRule>
    <cfRule type="cellIs" dxfId="190" priority="212" operator="equal">
      <formula>"NA"</formula>
    </cfRule>
    <cfRule type="cellIs" dxfId="189" priority="213" operator="equal">
      <formula>"Yes"</formula>
    </cfRule>
  </conditionalFormatting>
  <conditionalFormatting sqref="D8">
    <cfRule type="cellIs" dxfId="188" priority="208" operator="equal">
      <formula>"No"</formula>
    </cfRule>
    <cfRule type="cellIs" dxfId="187" priority="209" operator="equal">
      <formula>"NA"</formula>
    </cfRule>
    <cfRule type="cellIs" dxfId="186" priority="210" operator="equal">
      <formula>"Yes"</formula>
    </cfRule>
  </conditionalFormatting>
  <conditionalFormatting sqref="D9">
    <cfRule type="cellIs" dxfId="185" priority="205" operator="equal">
      <formula>"No"</formula>
    </cfRule>
    <cfRule type="cellIs" dxfId="184" priority="206" operator="equal">
      <formula>"NA"</formula>
    </cfRule>
    <cfRule type="cellIs" dxfId="183" priority="207" operator="equal">
      <formula>"Yes"</formula>
    </cfRule>
  </conditionalFormatting>
  <conditionalFormatting sqref="D10">
    <cfRule type="cellIs" dxfId="182" priority="202" operator="equal">
      <formula>"No"</formula>
    </cfRule>
    <cfRule type="cellIs" dxfId="181" priority="203" operator="equal">
      <formula>"NA"</formula>
    </cfRule>
    <cfRule type="cellIs" dxfId="180" priority="204" operator="equal">
      <formula>"Yes"</formula>
    </cfRule>
  </conditionalFormatting>
  <conditionalFormatting sqref="D12">
    <cfRule type="cellIs" dxfId="179" priority="187" operator="equal">
      <formula>"No"</formula>
    </cfRule>
    <cfRule type="cellIs" dxfId="178" priority="188" operator="equal">
      <formula>"NA"</formula>
    </cfRule>
    <cfRule type="cellIs" dxfId="177" priority="189" operator="equal">
      <formula>"Yes"</formula>
    </cfRule>
  </conditionalFormatting>
  <conditionalFormatting sqref="D13">
    <cfRule type="cellIs" dxfId="176" priority="184" operator="equal">
      <formula>"No"</formula>
    </cfRule>
    <cfRule type="cellIs" dxfId="175" priority="185" operator="equal">
      <formula>"NA"</formula>
    </cfRule>
    <cfRule type="cellIs" dxfId="174" priority="186" operator="equal">
      <formula>"Yes"</formula>
    </cfRule>
  </conditionalFormatting>
  <conditionalFormatting sqref="D15">
    <cfRule type="cellIs" dxfId="173" priority="181" operator="equal">
      <formula>"No"</formula>
    </cfRule>
    <cfRule type="cellIs" dxfId="172" priority="182" operator="equal">
      <formula>"NA"</formula>
    </cfRule>
    <cfRule type="cellIs" dxfId="171" priority="183" operator="equal">
      <formula>"Yes"</formula>
    </cfRule>
  </conditionalFormatting>
  <conditionalFormatting sqref="D16">
    <cfRule type="cellIs" dxfId="170" priority="178" operator="equal">
      <formula>"No"</formula>
    </cfRule>
    <cfRule type="cellIs" dxfId="169" priority="179" operator="equal">
      <formula>"NA"</formula>
    </cfRule>
    <cfRule type="cellIs" dxfId="168" priority="180" operator="equal">
      <formula>"Yes"</formula>
    </cfRule>
  </conditionalFormatting>
  <conditionalFormatting sqref="D17">
    <cfRule type="cellIs" dxfId="167" priority="175" operator="equal">
      <formula>"No"</formula>
    </cfRule>
    <cfRule type="cellIs" dxfId="166" priority="176" operator="equal">
      <formula>"NA"</formula>
    </cfRule>
    <cfRule type="cellIs" dxfId="165" priority="177" operator="equal">
      <formula>"Yes"</formula>
    </cfRule>
  </conditionalFormatting>
  <conditionalFormatting sqref="D18">
    <cfRule type="cellIs" dxfId="164" priority="172" operator="equal">
      <formula>"No"</formula>
    </cfRule>
    <cfRule type="cellIs" dxfId="163" priority="173" operator="equal">
      <formula>"NA"</formula>
    </cfRule>
    <cfRule type="cellIs" dxfId="162" priority="174" operator="equal">
      <formula>"Yes"</formula>
    </cfRule>
  </conditionalFormatting>
  <conditionalFormatting sqref="D19">
    <cfRule type="cellIs" dxfId="161" priority="169" operator="equal">
      <formula>"No"</formula>
    </cfRule>
    <cfRule type="cellIs" dxfId="160" priority="170" operator="equal">
      <formula>"NA"</formula>
    </cfRule>
    <cfRule type="cellIs" dxfId="159" priority="171" operator="equal">
      <formula>"Yes"</formula>
    </cfRule>
  </conditionalFormatting>
  <conditionalFormatting sqref="D20">
    <cfRule type="cellIs" dxfId="158" priority="166" operator="equal">
      <formula>"No"</formula>
    </cfRule>
    <cfRule type="cellIs" dxfId="157" priority="167" operator="equal">
      <formula>"NA"</formula>
    </cfRule>
    <cfRule type="cellIs" dxfId="156" priority="168" operator="equal">
      <formula>"Yes"</formula>
    </cfRule>
  </conditionalFormatting>
  <conditionalFormatting sqref="D22">
    <cfRule type="cellIs" dxfId="155" priority="163" operator="equal">
      <formula>"No"</formula>
    </cfRule>
    <cfRule type="cellIs" dxfId="154" priority="164" operator="equal">
      <formula>"NA"</formula>
    </cfRule>
    <cfRule type="cellIs" dxfId="153" priority="165" operator="equal">
      <formula>"Yes"</formula>
    </cfRule>
  </conditionalFormatting>
  <conditionalFormatting sqref="D23">
    <cfRule type="cellIs" dxfId="152" priority="160" operator="equal">
      <formula>"No"</formula>
    </cfRule>
    <cfRule type="cellIs" dxfId="151" priority="161" operator="equal">
      <formula>"NA"</formula>
    </cfRule>
    <cfRule type="cellIs" dxfId="150" priority="162" operator="equal">
      <formula>"Yes"</formula>
    </cfRule>
  </conditionalFormatting>
  <conditionalFormatting sqref="D24">
    <cfRule type="cellIs" dxfId="149" priority="157" operator="equal">
      <formula>"No"</formula>
    </cfRule>
    <cfRule type="cellIs" dxfId="148" priority="158" operator="equal">
      <formula>"NA"</formula>
    </cfRule>
    <cfRule type="cellIs" dxfId="147" priority="159" operator="equal">
      <formula>"Yes"</formula>
    </cfRule>
  </conditionalFormatting>
  <conditionalFormatting sqref="D25">
    <cfRule type="cellIs" dxfId="146" priority="154" operator="equal">
      <formula>"No"</formula>
    </cfRule>
    <cfRule type="cellIs" dxfId="145" priority="155" operator="equal">
      <formula>"NA"</formula>
    </cfRule>
    <cfRule type="cellIs" dxfId="144" priority="156" operator="equal">
      <formula>"Yes"</formula>
    </cfRule>
  </conditionalFormatting>
  <conditionalFormatting sqref="D27">
    <cfRule type="cellIs" dxfId="143" priority="151" operator="equal">
      <formula>"No"</formula>
    </cfRule>
    <cfRule type="cellIs" dxfId="142" priority="152" operator="equal">
      <formula>"NA"</formula>
    </cfRule>
    <cfRule type="cellIs" dxfId="141" priority="153" operator="equal">
      <formula>"Yes"</formula>
    </cfRule>
  </conditionalFormatting>
  <conditionalFormatting sqref="D28">
    <cfRule type="cellIs" dxfId="140" priority="148" operator="equal">
      <formula>"No"</formula>
    </cfRule>
    <cfRule type="cellIs" dxfId="139" priority="149" operator="equal">
      <formula>"NA"</formula>
    </cfRule>
    <cfRule type="cellIs" dxfId="138" priority="150" operator="equal">
      <formula>"Yes"</formula>
    </cfRule>
  </conditionalFormatting>
  <conditionalFormatting sqref="D30">
    <cfRule type="cellIs" dxfId="137" priority="145" operator="equal">
      <formula>"No"</formula>
    </cfRule>
    <cfRule type="cellIs" dxfId="136" priority="146" operator="equal">
      <formula>"NA"</formula>
    </cfRule>
    <cfRule type="cellIs" dxfId="135" priority="147" operator="equal">
      <formula>"Yes"</formula>
    </cfRule>
  </conditionalFormatting>
  <conditionalFormatting sqref="C6">
    <cfRule type="cellIs" dxfId="134" priority="142" operator="equal">
      <formula>"No"</formula>
    </cfRule>
    <cfRule type="cellIs" dxfId="133" priority="143" operator="equal">
      <formula>"NA"</formula>
    </cfRule>
    <cfRule type="cellIs" dxfId="132" priority="144" operator="equal">
      <formula>"Yes"</formula>
    </cfRule>
  </conditionalFormatting>
  <conditionalFormatting sqref="C7">
    <cfRule type="cellIs" dxfId="131" priority="139" operator="equal">
      <formula>"No"</formula>
    </cfRule>
    <cfRule type="cellIs" dxfId="130" priority="140" operator="equal">
      <formula>"NA"</formula>
    </cfRule>
    <cfRule type="cellIs" dxfId="129" priority="141" operator="equal">
      <formula>"Yes"</formula>
    </cfRule>
  </conditionalFormatting>
  <conditionalFormatting sqref="C8">
    <cfRule type="cellIs" dxfId="128" priority="136" operator="equal">
      <formula>"No"</formula>
    </cfRule>
    <cfRule type="cellIs" dxfId="127" priority="137" operator="equal">
      <formula>"NA"</formula>
    </cfRule>
    <cfRule type="cellIs" dxfId="126" priority="138" operator="equal">
      <formula>"Yes"</formula>
    </cfRule>
  </conditionalFormatting>
  <conditionalFormatting sqref="C9">
    <cfRule type="cellIs" dxfId="125" priority="133" operator="equal">
      <formula>"No"</formula>
    </cfRule>
    <cfRule type="cellIs" dxfId="124" priority="134" operator="equal">
      <formula>"NA"</formula>
    </cfRule>
    <cfRule type="cellIs" dxfId="123" priority="135" operator="equal">
      <formula>"Yes"</formula>
    </cfRule>
  </conditionalFormatting>
  <conditionalFormatting sqref="C10">
    <cfRule type="cellIs" dxfId="122" priority="130" operator="equal">
      <formula>"No"</formula>
    </cfRule>
    <cfRule type="cellIs" dxfId="121" priority="131" operator="equal">
      <formula>"NA"</formula>
    </cfRule>
    <cfRule type="cellIs" dxfId="120" priority="132" operator="equal">
      <formula>"Yes"</formula>
    </cfRule>
  </conditionalFormatting>
  <conditionalFormatting sqref="C12">
    <cfRule type="cellIs" dxfId="119" priority="115" operator="equal">
      <formula>"No"</formula>
    </cfRule>
    <cfRule type="cellIs" dxfId="118" priority="116" operator="equal">
      <formula>"NA"</formula>
    </cfRule>
    <cfRule type="cellIs" dxfId="117" priority="117" operator="equal">
      <formula>"Yes"</formula>
    </cfRule>
  </conditionalFormatting>
  <conditionalFormatting sqref="C13">
    <cfRule type="cellIs" dxfId="116" priority="112" operator="equal">
      <formula>"No"</formula>
    </cfRule>
    <cfRule type="cellIs" dxfId="115" priority="113" operator="equal">
      <formula>"NA"</formula>
    </cfRule>
    <cfRule type="cellIs" dxfId="114" priority="114" operator="equal">
      <formula>"Yes"</formula>
    </cfRule>
  </conditionalFormatting>
  <conditionalFormatting sqref="C15">
    <cfRule type="cellIs" dxfId="113" priority="109" operator="equal">
      <formula>"No"</formula>
    </cfRule>
    <cfRule type="cellIs" dxfId="112" priority="110" operator="equal">
      <formula>"NA"</formula>
    </cfRule>
    <cfRule type="cellIs" dxfId="111" priority="111" operator="equal">
      <formula>"Yes"</formula>
    </cfRule>
  </conditionalFormatting>
  <conditionalFormatting sqref="C16">
    <cfRule type="cellIs" dxfId="110" priority="106" operator="equal">
      <formula>"No"</formula>
    </cfRule>
    <cfRule type="cellIs" dxfId="109" priority="107" operator="equal">
      <formula>"NA"</formula>
    </cfRule>
    <cfRule type="cellIs" dxfId="108" priority="108" operator="equal">
      <formula>"Yes"</formula>
    </cfRule>
  </conditionalFormatting>
  <conditionalFormatting sqref="C17">
    <cfRule type="cellIs" dxfId="107" priority="103" operator="equal">
      <formula>"No"</formula>
    </cfRule>
    <cfRule type="cellIs" dxfId="106" priority="104" operator="equal">
      <formula>"NA"</formula>
    </cfRule>
    <cfRule type="cellIs" dxfId="105" priority="105" operator="equal">
      <formula>"Yes"</formula>
    </cfRule>
  </conditionalFormatting>
  <conditionalFormatting sqref="C18">
    <cfRule type="cellIs" dxfId="104" priority="100" operator="equal">
      <formula>"No"</formula>
    </cfRule>
    <cfRule type="cellIs" dxfId="103" priority="101" operator="equal">
      <formula>"NA"</formula>
    </cfRule>
    <cfRule type="cellIs" dxfId="102" priority="102" operator="equal">
      <formula>"Yes"</formula>
    </cfRule>
  </conditionalFormatting>
  <conditionalFormatting sqref="C19">
    <cfRule type="cellIs" dxfId="101" priority="97" operator="equal">
      <formula>"No"</formula>
    </cfRule>
    <cfRule type="cellIs" dxfId="100" priority="98" operator="equal">
      <formula>"NA"</formula>
    </cfRule>
    <cfRule type="cellIs" dxfId="99" priority="99" operator="equal">
      <formula>"Yes"</formula>
    </cfRule>
  </conditionalFormatting>
  <conditionalFormatting sqref="C20">
    <cfRule type="cellIs" dxfId="98" priority="94" operator="equal">
      <formula>"No"</formula>
    </cfRule>
    <cfRule type="cellIs" dxfId="97" priority="95" operator="equal">
      <formula>"NA"</formula>
    </cfRule>
    <cfRule type="cellIs" dxfId="96" priority="96" operator="equal">
      <formula>"Yes"</formula>
    </cfRule>
  </conditionalFormatting>
  <conditionalFormatting sqref="C22">
    <cfRule type="cellIs" dxfId="95" priority="91" operator="equal">
      <formula>"No"</formula>
    </cfRule>
    <cfRule type="cellIs" dxfId="94" priority="92" operator="equal">
      <formula>"NA"</formula>
    </cfRule>
    <cfRule type="cellIs" dxfId="93" priority="93" operator="equal">
      <formula>"Yes"</formula>
    </cfRule>
  </conditionalFormatting>
  <conditionalFormatting sqref="C23">
    <cfRule type="cellIs" dxfId="92" priority="88" operator="equal">
      <formula>"No"</formula>
    </cfRule>
    <cfRule type="cellIs" dxfId="91" priority="89" operator="equal">
      <formula>"NA"</formula>
    </cfRule>
    <cfRule type="cellIs" dxfId="90" priority="90" operator="equal">
      <formula>"Yes"</formula>
    </cfRule>
  </conditionalFormatting>
  <conditionalFormatting sqref="C24">
    <cfRule type="cellIs" dxfId="89" priority="85" operator="equal">
      <formula>"No"</formula>
    </cfRule>
    <cfRule type="cellIs" dxfId="88" priority="86" operator="equal">
      <formula>"NA"</formula>
    </cfRule>
    <cfRule type="cellIs" dxfId="87" priority="87" operator="equal">
      <formula>"Yes"</formula>
    </cfRule>
  </conditionalFormatting>
  <conditionalFormatting sqref="C25">
    <cfRule type="cellIs" dxfId="86" priority="82" operator="equal">
      <formula>"No"</formula>
    </cfRule>
    <cfRule type="cellIs" dxfId="85" priority="83" operator="equal">
      <formula>"NA"</formula>
    </cfRule>
    <cfRule type="cellIs" dxfId="84" priority="84" operator="equal">
      <formula>"Yes"</formula>
    </cfRule>
  </conditionalFormatting>
  <conditionalFormatting sqref="C27">
    <cfRule type="cellIs" dxfId="83" priority="79" operator="equal">
      <formula>"No"</formula>
    </cfRule>
    <cfRule type="cellIs" dxfId="82" priority="80" operator="equal">
      <formula>"NA"</formula>
    </cfRule>
    <cfRule type="cellIs" dxfId="81" priority="81" operator="equal">
      <formula>"Yes"</formula>
    </cfRule>
  </conditionalFormatting>
  <conditionalFormatting sqref="C28">
    <cfRule type="cellIs" dxfId="80" priority="76" operator="equal">
      <formula>"No"</formula>
    </cfRule>
    <cfRule type="cellIs" dxfId="79" priority="77" operator="equal">
      <formula>"NA"</formula>
    </cfRule>
    <cfRule type="cellIs" dxfId="78" priority="78" operator="equal">
      <formula>"Yes"</formula>
    </cfRule>
  </conditionalFormatting>
  <conditionalFormatting sqref="C30">
    <cfRule type="cellIs" dxfId="77" priority="73" operator="equal">
      <formula>"No"</formula>
    </cfRule>
    <cfRule type="cellIs" dxfId="76" priority="74" operator="equal">
      <formula>"NA"</formula>
    </cfRule>
    <cfRule type="cellIs" dxfId="75" priority="75" operator="equal">
      <formula>"Yes"</formula>
    </cfRule>
  </conditionalFormatting>
  <conditionalFormatting sqref="E6:F6">
    <cfRule type="cellIs" dxfId="74" priority="70" operator="equal">
      <formula>"No"</formula>
    </cfRule>
    <cfRule type="cellIs" dxfId="73" priority="71" operator="equal">
      <formula>"NA"</formula>
    </cfRule>
    <cfRule type="cellIs" dxfId="72" priority="72" operator="equal">
      <formula>"Yes"</formula>
    </cfRule>
  </conditionalFormatting>
  <conditionalFormatting sqref="E7:F7">
    <cfRule type="cellIs" dxfId="71" priority="67" operator="equal">
      <formula>"No"</formula>
    </cfRule>
    <cfRule type="cellIs" dxfId="70" priority="68" operator="equal">
      <formula>"NA"</formula>
    </cfRule>
    <cfRule type="cellIs" dxfId="69" priority="69" operator="equal">
      <formula>"Yes"</formula>
    </cfRule>
  </conditionalFormatting>
  <conditionalFormatting sqref="E8:F8">
    <cfRule type="cellIs" dxfId="68" priority="64" operator="equal">
      <formula>"No"</formula>
    </cfRule>
    <cfRule type="cellIs" dxfId="67" priority="65" operator="equal">
      <formula>"NA"</formula>
    </cfRule>
    <cfRule type="cellIs" dxfId="66" priority="66" operator="equal">
      <formula>"Yes"</formula>
    </cfRule>
  </conditionalFormatting>
  <conditionalFormatting sqref="E9:F9">
    <cfRule type="cellIs" dxfId="65" priority="61" operator="equal">
      <formula>"No"</formula>
    </cfRule>
    <cfRule type="cellIs" dxfId="64" priority="62" operator="equal">
      <formula>"NA"</formula>
    </cfRule>
    <cfRule type="cellIs" dxfId="63" priority="63" operator="equal">
      <formula>"Yes"</formula>
    </cfRule>
  </conditionalFormatting>
  <conditionalFormatting sqref="E10:F10">
    <cfRule type="cellIs" dxfId="62" priority="58" operator="equal">
      <formula>"No"</formula>
    </cfRule>
    <cfRule type="cellIs" dxfId="61" priority="59" operator="equal">
      <formula>"NA"</formula>
    </cfRule>
    <cfRule type="cellIs" dxfId="60" priority="60" operator="equal">
      <formula>"Yes"</formula>
    </cfRule>
  </conditionalFormatting>
  <conditionalFormatting sqref="E12:F12">
    <cfRule type="cellIs" dxfId="59" priority="43" operator="equal">
      <formula>"No"</formula>
    </cfRule>
    <cfRule type="cellIs" dxfId="58" priority="44" operator="equal">
      <formula>"NA"</formula>
    </cfRule>
    <cfRule type="cellIs" dxfId="57" priority="45" operator="equal">
      <formula>"Yes"</formula>
    </cfRule>
  </conditionalFormatting>
  <conditionalFormatting sqref="E13:F13">
    <cfRule type="cellIs" dxfId="56" priority="40" operator="equal">
      <formula>"No"</formula>
    </cfRule>
    <cfRule type="cellIs" dxfId="55" priority="41" operator="equal">
      <formula>"NA"</formula>
    </cfRule>
    <cfRule type="cellIs" dxfId="54" priority="42" operator="equal">
      <formula>"Yes"</formula>
    </cfRule>
  </conditionalFormatting>
  <conditionalFormatting sqref="E15:F15">
    <cfRule type="cellIs" dxfId="53" priority="37" operator="equal">
      <formula>"No"</formula>
    </cfRule>
    <cfRule type="cellIs" dxfId="52" priority="38" operator="equal">
      <formula>"NA"</formula>
    </cfRule>
    <cfRule type="cellIs" dxfId="51" priority="39" operator="equal">
      <formula>"Yes"</formula>
    </cfRule>
  </conditionalFormatting>
  <conditionalFormatting sqref="E16:F16">
    <cfRule type="cellIs" dxfId="50" priority="34" operator="equal">
      <formula>"No"</formula>
    </cfRule>
    <cfRule type="cellIs" dxfId="49" priority="35" operator="equal">
      <formula>"NA"</formula>
    </cfRule>
    <cfRule type="cellIs" dxfId="48" priority="36" operator="equal">
      <formula>"Yes"</formula>
    </cfRule>
  </conditionalFormatting>
  <conditionalFormatting sqref="E17:F17">
    <cfRule type="cellIs" dxfId="47" priority="31" operator="equal">
      <formula>"No"</formula>
    </cfRule>
    <cfRule type="cellIs" dxfId="46" priority="32" operator="equal">
      <formula>"NA"</formula>
    </cfRule>
    <cfRule type="cellIs" dxfId="45" priority="33" operator="equal">
      <formula>"Yes"</formula>
    </cfRule>
  </conditionalFormatting>
  <conditionalFormatting sqref="E18:F18">
    <cfRule type="cellIs" dxfId="44" priority="28" operator="equal">
      <formula>"No"</formula>
    </cfRule>
    <cfRule type="cellIs" dxfId="43" priority="29" operator="equal">
      <formula>"NA"</formula>
    </cfRule>
    <cfRule type="cellIs" dxfId="42" priority="30" operator="equal">
      <formula>"Yes"</formula>
    </cfRule>
  </conditionalFormatting>
  <conditionalFormatting sqref="E19:F19">
    <cfRule type="cellIs" dxfId="41" priority="25" operator="equal">
      <formula>"No"</formula>
    </cfRule>
    <cfRule type="cellIs" dxfId="40" priority="26" operator="equal">
      <formula>"NA"</formula>
    </cfRule>
    <cfRule type="cellIs" dxfId="39" priority="27" operator="equal">
      <formula>"Yes"</formula>
    </cfRule>
  </conditionalFormatting>
  <conditionalFormatting sqref="E20:F20">
    <cfRule type="cellIs" dxfId="38" priority="22" operator="equal">
      <formula>"No"</formula>
    </cfRule>
    <cfRule type="cellIs" dxfId="37" priority="23" operator="equal">
      <formula>"NA"</formula>
    </cfRule>
    <cfRule type="cellIs" dxfId="36" priority="24" operator="equal">
      <formula>"Yes"</formula>
    </cfRule>
  </conditionalFormatting>
  <conditionalFormatting sqref="E22:F22">
    <cfRule type="cellIs" dxfId="35" priority="19" operator="equal">
      <formula>"No"</formula>
    </cfRule>
    <cfRule type="cellIs" dxfId="34" priority="20" operator="equal">
      <formula>"NA"</formula>
    </cfRule>
    <cfRule type="cellIs" dxfId="33" priority="21" operator="equal">
      <formula>"Yes"</formula>
    </cfRule>
  </conditionalFormatting>
  <conditionalFormatting sqref="E23:F23">
    <cfRule type="cellIs" dxfId="32" priority="16" operator="equal">
      <formula>"No"</formula>
    </cfRule>
    <cfRule type="cellIs" dxfId="31" priority="17" operator="equal">
      <formula>"NA"</formula>
    </cfRule>
    <cfRule type="cellIs" dxfId="30" priority="18" operator="equal">
      <formula>"Yes"</formula>
    </cfRule>
  </conditionalFormatting>
  <conditionalFormatting sqref="E24:F24">
    <cfRule type="cellIs" dxfId="29" priority="13" operator="equal">
      <formula>"No"</formula>
    </cfRule>
    <cfRule type="cellIs" dxfId="28" priority="14" operator="equal">
      <formula>"NA"</formula>
    </cfRule>
    <cfRule type="cellIs" dxfId="27" priority="15" operator="equal">
      <formula>"Yes"</formula>
    </cfRule>
  </conditionalFormatting>
  <conditionalFormatting sqref="E25:F25">
    <cfRule type="cellIs" dxfId="26" priority="10" operator="equal">
      <formula>"No"</formula>
    </cfRule>
    <cfRule type="cellIs" dxfId="25" priority="11" operator="equal">
      <formula>"NA"</formula>
    </cfRule>
    <cfRule type="cellIs" dxfId="24" priority="12" operator="equal">
      <formula>"Yes"</formula>
    </cfRule>
  </conditionalFormatting>
  <conditionalFormatting sqref="E27:F27">
    <cfRule type="cellIs" dxfId="23" priority="7" operator="equal">
      <formula>"No"</formula>
    </cfRule>
    <cfRule type="cellIs" dxfId="22" priority="8" operator="equal">
      <formula>"NA"</formula>
    </cfRule>
    <cfRule type="cellIs" dxfId="21" priority="9" operator="equal">
      <formula>"Yes"</formula>
    </cfRule>
  </conditionalFormatting>
  <conditionalFormatting sqref="E28:F28">
    <cfRule type="cellIs" dxfId="20" priority="4" operator="equal">
      <formula>"No"</formula>
    </cfRule>
    <cfRule type="cellIs" dxfId="19" priority="5" operator="equal">
      <formula>"NA"</formula>
    </cfRule>
    <cfRule type="cellIs" dxfId="18" priority="6" operator="equal">
      <formula>"Yes"</formula>
    </cfRule>
  </conditionalFormatting>
  <conditionalFormatting sqref="E30:F30">
    <cfRule type="cellIs" dxfId="17" priority="1" operator="equal">
      <formula>"No"</formula>
    </cfRule>
    <cfRule type="cellIs" dxfId="16" priority="2" operator="equal">
      <formula>"NA"</formula>
    </cfRule>
    <cfRule type="cellIs" dxfId="15" priority="3" operator="equal">
      <formula>"Yes"</formula>
    </cfRule>
  </conditionalFormatting>
  <dataValidations disablePrompts="1" count="1">
    <dataValidation type="list" allowBlank="1" showInputMessage="1" showErrorMessage="1" sqref="C27:F28 C15:F20 C22:F25 C30:F30 C6:F10 C12:F13" xr:uid="{1996F7A9-BF9C-4581-90ED-7D0918B276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'UTSR checklist'!Template.Name</vt:lpstr>
      <vt:lpstr>TemplateColumn</vt:lpstr>
      <vt:lpstr>TemplateRef</vt:lpstr>
      <vt:lpstr>Text_AllChecklists</vt:lpstr>
      <vt:lpstr>'CODE checklist'!Title.Checklist.Actions.Description</vt:lpstr>
      <vt:lpstr>'SDD checklist'!Title.Checklist.Actions.Description</vt:lpstr>
      <vt:lpstr>'UTSR checklist'!Title.Checklist.Actions.Description</vt:lpstr>
      <vt:lpstr>'CODE checklist'!Title.Checklist.Guide.HowToRate</vt:lpstr>
      <vt:lpstr>'SDD checklist'!Title.Checklist.Guide.HowToRate</vt:lpstr>
      <vt:lpstr>'UTSR checklist'!Title.Checklist.Guide.HowToRate</vt:lpstr>
      <vt:lpstr>'CODE checklist'!Title.Checklist.Guide.WhatToCheck</vt:lpstr>
      <vt:lpstr>'SDD checklist'!Title.Checklist.Guide.WhatToCheck</vt:lpstr>
      <vt:lpstr>'UTSR checklist'!Title.Checklist.Guide.WhatToCheck</vt:lpstr>
      <vt:lpstr>'CODE checklist'!Title.Checklist.ManualQuestion</vt:lpstr>
      <vt:lpstr>'SDD checklist'!Title.Checklist.ManualQuestion</vt:lpstr>
      <vt:lpstr>'UTSR checklist'!Title.Checklist.ManualQuestion</vt:lpstr>
      <vt:lpstr>'CODE checklist'!Title.Checklist.NoteForAuditor</vt:lpstr>
      <vt:lpstr>'SDD checklist'!Title.Checklist.NoteForAuditor</vt:lpstr>
      <vt:lpstr>'UTSR checklist'!Title.Checklist.NoteForAuditor</vt:lpstr>
      <vt:lpstr>'CODE checklist'!Title.Checklist.Question</vt:lpstr>
      <vt:lpstr>'SDD checklist'!Title.Checklist.Question</vt:lpstr>
      <vt:lpstr>'UTSR checklist'!Title.Checklist.Question</vt:lpstr>
      <vt:lpstr>'CODE checklist'!Title.Checklist.QuestionReference</vt:lpstr>
      <vt:lpstr>'SDD checklist'!Title.Checklist.QuestionReference</vt:lpstr>
      <vt:lpstr>'UTSR checklist'!Title.Checklist.QuestionReference</vt:lpstr>
      <vt:lpstr>'CODE checklist'!Title.Checklist.Rate</vt:lpstr>
      <vt:lpstr>'SDD checklist'!Title.Checklist.Rate</vt:lpstr>
      <vt:lpstr>'UTSR checklist'!Title.Checklist.Rate</vt:lpstr>
      <vt:lpstr>'CODE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2023-07-31T11:54:48Z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