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RCM\Quality_Assurance\Peer_Review\"/>
    </mc:Choice>
  </mc:AlternateContent>
  <xr:revisionPtr revIDLastSave="0" documentId="13_ncr:1_{85E830D0-00A2-48B9-AF44-30AE333D73F2}" xr6:coauthVersionLast="47" xr6:coauthVersionMax="47" xr10:uidLastSave="{00000000-0000-0000-0000-000000000000}"/>
  <bookViews>
    <workbookView xWindow="-120" yWindow="-120" windowWidth="29040" windowHeight="1584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checklist'!$A$5:$A$33</definedName>
    <definedName name="Review.ratings" localSheetId="7">'CODE checklist'!#REF!</definedName>
    <definedName name="Review.ratings" localSheetId="6">'SDD checklist'!$E$5:$E$35</definedName>
    <definedName name="Review.ratings" localSheetId="8">'UTSR checklist'!$C$5:$C$33</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checklist'!$R$3</definedName>
    <definedName name="Title.Checklist.Guide.HowToRate" localSheetId="6">'SDD checklist'!$H$3</definedName>
    <definedName name="Title.Checklist.Guide.WhatToCheck" localSheetId="7">'CODE checklist'!$Q$3</definedName>
    <definedName name="Title.Checklist.Guide.WhatToCheck" localSheetId="6">'SDD checklist'!$G$3</definedName>
    <definedName name="Title.Checklist.ManualQuestion" localSheetId="7">'CODE checklist'!$B$34</definedName>
    <definedName name="Title.Checklist.ManualQuestion" localSheetId="6">'SDD checklist'!$B$33</definedName>
    <definedName name="Title.Checklist.NoteForAuditor" localSheetId="7">'CODE checklist'!$Q$2</definedName>
    <definedName name="Title.Checklist.NoteForAuditor" localSheetId="6">'SDD checklist'!$G$2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checklist'!#REF!</definedName>
    <definedName name="Title.Checklist.Rate" localSheetId="6">'SDD checklist'!$E$2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245" l="1"/>
  <c r="E20" i="42"/>
  <c r="D3" i="247"/>
  <c r="C3" i="245"/>
  <c r="E19" i="42"/>
  <c r="E18" i="42"/>
  <c r="E17" i="42"/>
  <c r="O3" i="246"/>
  <c r="N3" i="246"/>
  <c r="E16" i="42"/>
  <c r="E15" i="42"/>
  <c r="M3" i="246"/>
  <c r="L3" i="246"/>
  <c r="E14" i="42"/>
  <c r="K3" i="246"/>
  <c r="E3" i="247"/>
  <c r="E13" i="42"/>
  <c r="G27" i="16"/>
  <c r="F27" i="16"/>
  <c r="E27" i="16"/>
  <c r="E44" i="16"/>
  <c r="E37" i="16"/>
  <c r="E12" i="42"/>
  <c r="J3" i="246"/>
  <c r="E11" i="42"/>
  <c r="I3" i="246"/>
  <c r="H3" i="246"/>
  <c r="G3" i="246"/>
  <c r="E9" i="42"/>
  <c r="E10" i="42"/>
  <c r="C3" i="247"/>
  <c r="E8" i="42"/>
  <c r="E7" i="42"/>
  <c r="E6" i="42"/>
  <c r="E5" i="42"/>
  <c r="E4" i="42"/>
  <c r="E3" i="42"/>
  <c r="D3" i="246"/>
  <c r="E3" i="246"/>
  <c r="F3" i="246"/>
  <c r="C3" i="246"/>
  <c r="F10" i="38"/>
  <c r="A5" i="38"/>
  <c r="E7" i="38"/>
  <c r="AE7" i="38"/>
  <c r="AB7" i="38"/>
  <c r="A7" i="38"/>
  <c r="AB5" i="38"/>
  <c r="W7" i="38"/>
  <c r="W5" i="38"/>
  <c r="E3" i="245"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5C23DE5E-227D-40D0-8C3D-E643745B4AFA}">
      <text>
        <r>
          <rPr>
            <b/>
            <sz val="9"/>
            <color indexed="81"/>
            <rFont val="Tahoma"/>
            <family val="2"/>
          </rPr>
          <t>Overview :</t>
        </r>
        <r>
          <rPr>
            <sz val="9"/>
            <color indexed="81"/>
            <rFont val="Tahoma"/>
            <family val="2"/>
          </rPr>
          <t xml:space="preserve">
Pourcentage of "yes" answers out of applicable answers</t>
        </r>
      </text>
    </comment>
    <comment ref="D3" authorId="0" shapeId="0" xr:uid="{3A5648E3-2FB5-4941-ADAE-C188FD248D9A}">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CEA0CAE-8EC1-4811-9226-78370B7091A2}">
      <text>
        <r>
          <rPr>
            <b/>
            <sz val="9"/>
            <color indexed="81"/>
            <rFont val="Tahoma"/>
            <family val="2"/>
          </rPr>
          <t>This cell must be blank</t>
        </r>
      </text>
    </comment>
    <comment ref="D35" authorId="0" shapeId="0" xr:uid="{788CAE26-9DE4-4C8D-A4FC-87E82ACE17C8}">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CB3A25E-F5ED-4883-B392-930F7305B785}">
      <text>
        <r>
          <rPr>
            <b/>
            <sz val="9"/>
            <color indexed="81"/>
            <rFont val="Tahoma"/>
            <family val="2"/>
          </rPr>
          <t>Overview :</t>
        </r>
        <r>
          <rPr>
            <sz val="9"/>
            <color indexed="81"/>
            <rFont val="Tahoma"/>
            <family val="2"/>
          </rPr>
          <t xml:space="preserve">
Pourcentage of "yes" answers out of applicable answers</t>
        </r>
      </text>
    </comment>
    <comment ref="D3" authorId="0" shapeId="0" xr:uid="{AF3A7783-6975-4692-8F2E-5D6D4423DEAA}">
      <text>
        <r>
          <rPr>
            <b/>
            <sz val="9"/>
            <color indexed="81"/>
            <rFont val="Tahoma"/>
            <family val="2"/>
          </rPr>
          <t>Overview :</t>
        </r>
        <r>
          <rPr>
            <sz val="9"/>
            <color indexed="81"/>
            <rFont val="Tahoma"/>
            <family val="2"/>
          </rPr>
          <t xml:space="preserve">
Pourcentage of "yes" answers out of applicable answers</t>
        </r>
      </text>
    </comment>
    <comment ref="E3" authorId="0" shapeId="0" xr:uid="{160C1FCA-3F6E-45A2-881C-5F66D6FF5148}">
      <text>
        <r>
          <rPr>
            <b/>
            <sz val="9"/>
            <color indexed="81"/>
            <rFont val="Tahoma"/>
            <family val="2"/>
          </rPr>
          <t>Overview :</t>
        </r>
        <r>
          <rPr>
            <sz val="9"/>
            <color indexed="81"/>
            <rFont val="Tahoma"/>
            <family val="2"/>
          </rPr>
          <t xml:space="preserve">
Pourcentage of "yes" answers out of applicable answers</t>
        </r>
      </text>
    </comment>
    <comment ref="F3" authorId="0" shapeId="0" xr:uid="{31939765-1459-4722-956F-2B846775308C}">
      <text>
        <r>
          <rPr>
            <b/>
            <sz val="9"/>
            <color indexed="81"/>
            <rFont val="Tahoma"/>
            <family val="2"/>
          </rPr>
          <t>Overview :</t>
        </r>
        <r>
          <rPr>
            <sz val="9"/>
            <color indexed="81"/>
            <rFont val="Tahoma"/>
            <family val="2"/>
          </rPr>
          <t xml:space="preserve">
Pourcentage of "yes" answers out of applicable answers</t>
        </r>
      </text>
    </comment>
    <comment ref="G3" authorId="0" shapeId="0" xr:uid="{BC8D6C43-A617-43E8-8B91-4027E840713C}">
      <text>
        <r>
          <rPr>
            <b/>
            <sz val="9"/>
            <color indexed="81"/>
            <rFont val="Tahoma"/>
            <family val="2"/>
          </rPr>
          <t>Overview :</t>
        </r>
        <r>
          <rPr>
            <sz val="9"/>
            <color indexed="81"/>
            <rFont val="Tahoma"/>
            <family val="2"/>
          </rPr>
          <t xml:space="preserve">
Pourcentage of "yes" answers out of applicable answers</t>
        </r>
      </text>
    </comment>
    <comment ref="H3" authorId="0" shapeId="0" xr:uid="{85CDC5EE-9DBA-4B24-B7BA-26D6D9084276}">
      <text>
        <r>
          <rPr>
            <b/>
            <sz val="9"/>
            <color indexed="81"/>
            <rFont val="Tahoma"/>
            <family val="2"/>
          </rPr>
          <t>Overview :</t>
        </r>
        <r>
          <rPr>
            <sz val="9"/>
            <color indexed="81"/>
            <rFont val="Tahoma"/>
            <family val="2"/>
          </rPr>
          <t xml:space="preserve">
Pourcentage of "yes" answers out of applicable answers</t>
        </r>
      </text>
    </comment>
    <comment ref="I3" authorId="0" shapeId="0" xr:uid="{F5F8503F-0DB7-40AB-8442-F363E08C96EB}">
      <text>
        <r>
          <rPr>
            <b/>
            <sz val="9"/>
            <color indexed="81"/>
            <rFont val="Tahoma"/>
            <family val="2"/>
          </rPr>
          <t>Overview :</t>
        </r>
        <r>
          <rPr>
            <sz val="9"/>
            <color indexed="81"/>
            <rFont val="Tahoma"/>
            <family val="2"/>
          </rPr>
          <t xml:space="preserve">
Pourcentage of "yes" answers out of applicable answers</t>
        </r>
      </text>
    </comment>
    <comment ref="J3" authorId="0" shapeId="0" xr:uid="{FBE3E5E3-3220-4DD8-A5AB-88478FCC37C1}">
      <text>
        <r>
          <rPr>
            <b/>
            <sz val="9"/>
            <color indexed="81"/>
            <rFont val="Tahoma"/>
            <family val="2"/>
          </rPr>
          <t>Overview :</t>
        </r>
        <r>
          <rPr>
            <sz val="9"/>
            <color indexed="81"/>
            <rFont val="Tahoma"/>
            <family val="2"/>
          </rPr>
          <t xml:space="preserve">
Pourcentage of "yes" answers out of applicable answers</t>
        </r>
      </text>
    </comment>
    <comment ref="K3" authorId="0" shapeId="0" xr:uid="{7B69405F-B7A3-4375-81EC-9BC70EDB4BF6}">
      <text>
        <r>
          <rPr>
            <b/>
            <sz val="9"/>
            <color indexed="81"/>
            <rFont val="Tahoma"/>
            <family val="2"/>
          </rPr>
          <t>Overview :</t>
        </r>
        <r>
          <rPr>
            <sz val="9"/>
            <color indexed="81"/>
            <rFont val="Tahoma"/>
            <family val="2"/>
          </rPr>
          <t xml:space="preserve">
Pourcentage of "yes" answers out of applicable answers</t>
        </r>
      </text>
    </comment>
    <comment ref="L3" authorId="0" shapeId="0" xr:uid="{90B0BA53-C62B-41BB-949A-061373E74C43}">
      <text>
        <r>
          <rPr>
            <b/>
            <sz val="9"/>
            <color indexed="81"/>
            <rFont val="Tahoma"/>
            <family val="2"/>
          </rPr>
          <t>Overview :</t>
        </r>
        <r>
          <rPr>
            <sz val="9"/>
            <color indexed="81"/>
            <rFont val="Tahoma"/>
            <family val="2"/>
          </rPr>
          <t xml:space="preserve">
Pourcentage of "yes" answers out of applicable answers</t>
        </r>
      </text>
    </comment>
    <comment ref="M3" authorId="0" shapeId="0" xr:uid="{F8BF879B-1596-4D63-9823-CA240E94CA02}">
      <text>
        <r>
          <rPr>
            <b/>
            <sz val="9"/>
            <color indexed="81"/>
            <rFont val="Tahoma"/>
            <family val="2"/>
          </rPr>
          <t>Overview :</t>
        </r>
        <r>
          <rPr>
            <sz val="9"/>
            <color indexed="81"/>
            <rFont val="Tahoma"/>
            <family val="2"/>
          </rPr>
          <t xml:space="preserve">
Pourcentage of "yes" answers out of applicable answers</t>
        </r>
      </text>
    </comment>
    <comment ref="N3" authorId="0" shapeId="0" xr:uid="{AA636B9A-9386-46C3-83A5-C08398805E0F}">
      <text>
        <r>
          <rPr>
            <b/>
            <sz val="9"/>
            <color indexed="81"/>
            <rFont val="Tahoma"/>
            <family val="2"/>
          </rPr>
          <t>Overview :</t>
        </r>
        <r>
          <rPr>
            <sz val="9"/>
            <color indexed="81"/>
            <rFont val="Tahoma"/>
            <family val="2"/>
          </rPr>
          <t xml:space="preserve">
Pourcentage of "yes" answers out of applicable answers</t>
        </r>
      </text>
    </comment>
    <comment ref="O3" authorId="0" shapeId="0" xr:uid="{00567A42-BC70-4ECE-8060-C9F761648433}">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D892C8C4-4D32-4913-8544-B955B7BB69CF}">
      <text>
        <r>
          <rPr>
            <b/>
            <sz val="9"/>
            <color indexed="81"/>
            <rFont val="Tahoma"/>
            <family val="2"/>
          </rPr>
          <t>This cell must be blank</t>
        </r>
      </text>
    </comment>
    <comment ref="D36" authorId="0" shapeId="0" xr:uid="{FF0EEFA1-E8C9-469D-95FA-5F8BB1C822EB}">
      <text>
        <r>
          <rPr>
            <b/>
            <sz val="9"/>
            <color indexed="81"/>
            <rFont val="Tahoma"/>
            <family val="2"/>
          </rPr>
          <t>This cell must be blank</t>
        </r>
      </text>
    </comment>
    <comment ref="E36" authorId="0" shapeId="0" xr:uid="{B475C007-DBE3-4520-98A4-DA523402395F}">
      <text>
        <r>
          <rPr>
            <b/>
            <sz val="9"/>
            <color indexed="81"/>
            <rFont val="Tahoma"/>
            <family val="2"/>
          </rPr>
          <t>This cell must be blank</t>
        </r>
      </text>
    </comment>
    <comment ref="F36" authorId="0" shapeId="0" xr:uid="{8378F3AE-3CE2-44A8-B438-D1DC95570943}">
      <text>
        <r>
          <rPr>
            <b/>
            <sz val="9"/>
            <color indexed="81"/>
            <rFont val="Tahoma"/>
            <family val="2"/>
          </rPr>
          <t>This cell must be blank</t>
        </r>
      </text>
    </comment>
    <comment ref="G36" authorId="0" shapeId="0" xr:uid="{FA7F7D70-F397-43AC-A3D7-0F19B7DA9ADD}">
      <text>
        <r>
          <rPr>
            <b/>
            <sz val="9"/>
            <color indexed="81"/>
            <rFont val="Tahoma"/>
            <family val="2"/>
          </rPr>
          <t>This cell must be blank</t>
        </r>
      </text>
    </comment>
    <comment ref="H36" authorId="0" shapeId="0" xr:uid="{A677B50E-969F-4793-80D8-CA4A4CBBEB3F}">
      <text>
        <r>
          <rPr>
            <b/>
            <sz val="9"/>
            <color indexed="81"/>
            <rFont val="Tahoma"/>
            <family val="2"/>
          </rPr>
          <t>This cell must be blank</t>
        </r>
      </text>
    </comment>
    <comment ref="I36" authorId="0" shapeId="0" xr:uid="{0A567231-2A1A-4229-BA4F-834AE35E3E0C}">
      <text>
        <r>
          <rPr>
            <b/>
            <sz val="9"/>
            <color indexed="81"/>
            <rFont val="Tahoma"/>
            <family val="2"/>
          </rPr>
          <t>This cell must be blank</t>
        </r>
      </text>
    </comment>
    <comment ref="J36" authorId="0" shapeId="0" xr:uid="{58721BA9-B12D-41A9-8B26-66A7AACDDF5A}">
      <text>
        <r>
          <rPr>
            <b/>
            <sz val="9"/>
            <color indexed="81"/>
            <rFont val="Tahoma"/>
            <family val="2"/>
          </rPr>
          <t>This cell must be blank</t>
        </r>
      </text>
    </comment>
    <comment ref="K36" authorId="0" shapeId="0" xr:uid="{590DB9AA-250F-4C09-A483-54EA1466F4A9}">
      <text>
        <r>
          <rPr>
            <b/>
            <sz val="9"/>
            <color indexed="81"/>
            <rFont val="Tahoma"/>
            <family val="2"/>
          </rPr>
          <t>This cell must be blank</t>
        </r>
      </text>
    </comment>
    <comment ref="L36" authorId="0" shapeId="0" xr:uid="{84EF3927-235C-485D-B2EF-C06DD69CB56A}">
      <text>
        <r>
          <rPr>
            <b/>
            <sz val="9"/>
            <color indexed="81"/>
            <rFont val="Tahoma"/>
            <family val="2"/>
          </rPr>
          <t>This cell must be blank</t>
        </r>
      </text>
    </comment>
    <comment ref="M36" authorId="0" shapeId="0" xr:uid="{8860B7C9-A7B1-4A52-BC38-0248E025B9A0}">
      <text>
        <r>
          <rPr>
            <b/>
            <sz val="9"/>
            <color indexed="81"/>
            <rFont val="Tahoma"/>
            <family val="2"/>
          </rPr>
          <t>This cell must be blank</t>
        </r>
      </text>
    </comment>
    <comment ref="N36" authorId="0" shapeId="0" xr:uid="{6678D249-99B4-488F-ACE8-0304495D7A9A}">
      <text>
        <r>
          <rPr>
            <b/>
            <sz val="9"/>
            <color indexed="81"/>
            <rFont val="Tahoma"/>
            <family val="2"/>
          </rPr>
          <t>This cell must be blank</t>
        </r>
      </text>
    </comment>
    <comment ref="O36" authorId="0" shapeId="0" xr:uid="{35917317-7EAE-47DA-AE23-D2D306A07370}">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1CD6022-FEE2-45E3-993D-9200262FE001}">
      <text>
        <r>
          <rPr>
            <b/>
            <sz val="9"/>
            <color indexed="81"/>
            <rFont val="Tahoma"/>
            <family val="2"/>
          </rPr>
          <t>Overview :</t>
        </r>
        <r>
          <rPr>
            <sz val="9"/>
            <color indexed="81"/>
            <rFont val="Tahoma"/>
            <family val="2"/>
          </rPr>
          <t xml:space="preserve">
Pourcentage of "yes" answers out of applicable answers</t>
        </r>
      </text>
    </comment>
    <comment ref="D3" authorId="0" shapeId="0" xr:uid="{56B3A1F6-CFB9-4E87-B513-322EC42A1E5C}">
      <text>
        <r>
          <rPr>
            <b/>
            <sz val="9"/>
            <color indexed="81"/>
            <rFont val="Tahoma"/>
            <family val="2"/>
          </rPr>
          <t>Overview :</t>
        </r>
        <r>
          <rPr>
            <sz val="9"/>
            <color indexed="81"/>
            <rFont val="Tahoma"/>
            <family val="2"/>
          </rPr>
          <t xml:space="preserve">
Pourcentage of "yes" answers out of applicable answers</t>
        </r>
      </text>
    </comment>
    <comment ref="E3" authorId="0" shapeId="0" xr:uid="{F4329615-3DFB-461E-ABB3-D1AE6F03386F}">
      <text>
        <r>
          <rPr>
            <b/>
            <sz val="9"/>
            <color indexed="81"/>
            <rFont val="Tahoma"/>
            <family val="2"/>
          </rPr>
          <t>Overview :</t>
        </r>
        <r>
          <rPr>
            <sz val="9"/>
            <color indexed="81"/>
            <rFont val="Tahoma"/>
            <family val="2"/>
          </rPr>
          <t xml:space="preserve">
Pourcentage of "yes" answers out of applicable answers</t>
        </r>
      </text>
    </comment>
    <comment ref="B31" authorId="0" shapeId="0" xr:uid="{964A1A66-70A8-4108-8184-464879845884}">
      <text>
        <r>
          <rPr>
            <b/>
            <sz val="9"/>
            <color indexed="81"/>
            <rFont val="Tahoma"/>
            <family val="2"/>
          </rPr>
          <t xml:space="preserve">Everything above this row is generated by Question Library (TEM486 - Master questions library.xlsm) </t>
        </r>
      </text>
    </comment>
    <comment ref="A33" authorId="0" shapeId="0" xr:uid="{81E13E4F-21DA-4F52-9DCF-C9340547C8DB}">
      <text>
        <r>
          <rPr>
            <b/>
            <sz val="9"/>
            <color indexed="81"/>
            <rFont val="Tahoma"/>
            <family val="2"/>
          </rPr>
          <t>This cell must be blank</t>
        </r>
      </text>
    </comment>
    <comment ref="C33" authorId="0" shapeId="0" xr:uid="{BBC6C658-6E02-455E-85C9-889A34AF5B0C}">
      <text>
        <r>
          <rPr>
            <b/>
            <sz val="9"/>
            <color indexed="81"/>
            <rFont val="Tahoma"/>
            <family val="2"/>
          </rPr>
          <t>This cell must be blank</t>
        </r>
      </text>
    </comment>
    <comment ref="D33" authorId="0" shapeId="0" xr:uid="{E9C84084-1C61-4607-8B95-C7753D953269}">
      <text>
        <r>
          <rPr>
            <b/>
            <sz val="9"/>
            <color indexed="81"/>
            <rFont val="Tahoma"/>
            <family val="2"/>
          </rPr>
          <t>This cell must be blank</t>
        </r>
      </text>
    </comment>
    <comment ref="E33" authorId="0" shapeId="0" xr:uid="{D0916B6F-E07C-4673-9913-07F7BABD4259}">
      <text>
        <r>
          <rPr>
            <b/>
            <sz val="9"/>
            <color indexed="81"/>
            <rFont val="Tahoma"/>
            <family val="2"/>
          </rPr>
          <t>This cell must be blank</t>
        </r>
      </text>
    </comment>
  </commentList>
</comments>
</file>

<file path=xl/sharedStrings.xml><?xml version="1.0" encoding="utf-8"?>
<sst xmlns="http://schemas.openxmlformats.org/spreadsheetml/2006/main" count="1393" uniqueCount="485">
  <si>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</si>
  <si>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</si>
  <si>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</si>
  <si>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</si>
  <si>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</si>
  <si>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</si>
  <si>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</si>
  <si>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</si>
  <si>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</si>
  <si>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</si>
  <si>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</si>
  <si>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</si>
  <si>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</si>
  <si>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</si>
  <si>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</si>
  <si>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</si>
  <si>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</si>
  <si>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</si>
  <si>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</si>
  <si>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</si>
  <si>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</si>
  <si>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</si>
  <si>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</si>
  <si>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</si>
  <si>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</si>
  <si>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</si>
  <si>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</si>
  <si>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</si>
  <si>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</si>
  <si>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</si>
  <si>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</si>
  <si>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</si>
  <si>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</si>
  <si>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</si>
  <si>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</si>
  <si>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</si>
  <si>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</si>
  <si>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</si>
  <si>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</si>
  <si>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</si>
  <si>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</si>
  <si>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</si>
  <si>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</si>
  <si>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</si>
  <si>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</si>
  <si>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</si>
  <si>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</si>
  <si>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</si>
  <si>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</si>
  <si>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</si>
  <si>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</si>
  <si>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</si>
  <si>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</si>
  <si>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</si>
  <si>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</si>
  <si>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</si>
  <si>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</si>
  <si>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</si>
  <si>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</si>
  <si>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</si>
  <si>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</si>
  <si>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</si>
  <si>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</si>
  <si>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</si>
  <si>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</si>
  <si>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</si>
  <si>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</si>
  <si>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</si>
  <si>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</si>
  <si>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</si>
  <si>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</si>
  <si>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</si>
  <si>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</si>
  <si>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</si>
  <si>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</si>
  <si>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</si>
  <si>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</si>
  <si>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</si>
  <si>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</si>
  <si>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</si>
  <si>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</si>
  <si>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</si>
  <si>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</si>
  <si>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</si>
  <si>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</si>
  <si>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</si>
  <si>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</si>
  <si>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</si>
  <si>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</si>
  <si>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</si>
  <si>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</si>
  <si>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</si>
  <si>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</si>
  <si>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</si>
  <si>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</si>
  <si>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</si>
  <si>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</si>
  <si>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</si>
  <si>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</si>
  <si>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</si>
  <si>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</si>
  <si>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</si>
  <si>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</si>
  <si>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</si>
  <si>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</si>
  <si>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</si>
  <si>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</si>
  <si>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</si>
  <si>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</si>
  <si>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</si>
  <si>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</si>
  <si>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</si>
  <si>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</si>
  <si>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</si>
  <si>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</si>
  <si>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</si>
  <si>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</si>
  <si>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</si>
  <si>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</si>
  <si>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</si>
  <si>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</si>
  <si>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</si>
  <si>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</si>
  <si>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</si>
  <si>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</si>
  <si>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</si>
  <si>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</si>
  <si>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</si>
  <si>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</si>
  <si>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</si>
  <si>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</si>
  <si>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</si>
  <si>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</si>
  <si>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</si>
  <si>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</si>
  <si>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</si>
  <si>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</si>
  <si>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</si>
  <si>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</si>
  <si>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</si>
  <si>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</si>
  <si>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</si>
  <si>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</si>
  <si>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</si>
  <si>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</si>
  <si>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</si>
  <si>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</si>
  <si>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</si>
  <si>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</si>
  <si>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</si>
  <si>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</si>
  <si>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</si>
  <si>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</si>
  <si>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</si>
  <si>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</si>
  <si>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</si>
  <si>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</si>
  <si>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</si>
  <si>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</si>
  <si>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</si>
  <si>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</si>
  <si>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</si>
  <si>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</si>
  <si>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</si>
  <si>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</si>
  <si>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</si>
  <si>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</si>
  <si>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</si>
  <si>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</si>
  <si>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</si>
  <si>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</si>
  <si>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</si>
  <si>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</si>
  <si>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</si>
  <si>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</si>
  <si>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</si>
  <si>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</si>
  <si>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</si>
  <si>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</si>
  <si>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</si>
  <si>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</si>
  <si>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</si>
  <si>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</si>
  <si>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</si>
  <si>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</si>
  <si>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</si>
  <si>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</si>
  <si>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</si>
  <si>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</si>
  <si>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</si>
  <si>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</si>
  <si>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</si>
  <si>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</si>
  <si>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</si>
  <si>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</si>
  <si>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</si>
  <si>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</si>
  <si>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</si>
  <si>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</si>
  <si>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</si>
  <si>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</si>
  <si>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</si>
  <si>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</si>
  <si>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</si>
  <si>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</si>
  <si>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</si>
  <si>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</si>
  <si>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</si>
  <si>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</si>
  <si>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</si>
  <si>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</si>
  <si>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</si>
  <si>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</si>
  <si>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</si>
  <si>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</si>
  <si>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</si>
  <si>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</si>
  <si>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</si>
  <si>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</si>
  <si>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</si>
  <si>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</si>
  <si>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</si>
  <si>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</si>
  <si>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</si>
  <si>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</si>
  <si>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</si>
  <si>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</si>
  <si>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</si>
  <si>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</si>
  <si>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</si>
  <si>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</si>
  <si>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</si>
  <si>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</si>
  <si>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</si>
  <si>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</si>
  <si>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</si>
  <si>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</si>
  <si>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</si>
  <si>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</si>
  <si>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</si>
  <si>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</si>
  <si>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</si>
  <si>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</si>
  <si>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</si>
  <si>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</si>
  <si>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</si>
  <si>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</si>
  <si>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</si>
  <si>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</si>
  <si>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</si>
  <si>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</si>
  <si>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</si>
  <si>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</si>
  <si>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</si>
  <si>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</si>
  <si>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</si>
  <si>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</si>
  <si>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</si>
  <si>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</si>
  <si>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</si>
  <si>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</si>
  <si>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Question
reference</t>
  </si>
  <si>
    <r>
      <t xml:space="preserve">Justification
</t>
    </r>
    <r>
      <rPr>
        <sz val="10"/>
        <color theme="0"/>
        <rFont val="Arial"/>
        <family val="2"/>
      </rPr>
      <t>(if not OK)</t>
    </r>
  </si>
  <si>
    <t>What to check</t>
  </si>
  <si>
    <t>How to rate the question</t>
  </si>
  <si>
    <t>Questions generated by questions library tool</t>
  </si>
  <si>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</si>
  <si>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</si>
  <si>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</si>
  <si>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</si>
  <si>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</si>
  <si>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</si>
  <si>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</si>
  <si>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</si>
  <si>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</si>
  <si>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</si>
  <si>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</si>
  <si>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</si>
  <si>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</si>
  <si>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</si>
  <si>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</si>
  <si>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</si>
  <si>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</si>
  <si>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</si>
  <si>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</si>
  <si>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Content</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</si>
  <si>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</si>
  <si>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</si>
  <si>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</si>
  <si>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</si>
  <si>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</si>
  <si>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</si>
  <si>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</si>
  <si>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</si>
  <si>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</si>
  <si>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</si>
  <si>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</si>
  <si>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</si>
  <si>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</si>
  <si>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</si>
  <si>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</si>
  <si>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</si>
  <si>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</si>
  <si>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</si>
  <si>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</si>
  <si>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</si>
  <si>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</si>
  <si>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</si>
  <si>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</si>
  <si>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</si>
  <si>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</si>
  <si>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</si>
  <si>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</si>
  <si>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</si>
  <si>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</si>
  <si>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</si>
  <si>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</si>
  <si>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</si>
  <si>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</si>
  <si>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</si>
  <si>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</si>
  <si>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</si>
  <si>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</si>
  <si>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</si>
  <si>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</si>
  <si>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</si>
  <si>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</si>
  <si>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</si>
  <si>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</si>
  <si>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</si>
  <si>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</si>
  <si>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</si>
  <si>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</si>
  <si>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</si>
  <si>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</si>
  <si>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</si>
  <si>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</si>
  <si>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</si>
  <si>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</si>
  <si>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</si>
  <si>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</si>
  <si>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</si>
  <si>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</si>
  <si>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</si>
  <si>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</si>
  <si>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</si>
  <si>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</si>
  <si>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</si>
  <si>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</si>
  <si>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</si>
  <si>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</si>
  <si>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</si>
  <si>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</si>
  <si>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</si>
  <si>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</si>
  <si>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</si>
  <si>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NA: The interrupts are disabled for this code section</t>
  </si>
  <si>
    <t>NA: No aditional questions.</t>
  </si>
  <si>
    <t xml:space="preserve">No: Implementation of mic_ECC_RAM_Correction </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</si>
  <si>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</si>
  <si>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</si>
  <si>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</si>
  <si>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</si>
  <si>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</si>
  <si>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</si>
  <si>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</si>
  <si>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</si>
  <si>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</si>
  <si>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</si>
  <si>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</si>
  <si>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</si>
  <si>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</si>
  <si>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</si>
  <si>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</si>
  <si>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</si>
  <si>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</si>
  <si>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</si>
  <si>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</si>
  <si>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</si>
  <si>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</si>
  <si>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</si>
  <si>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</si>
  <si>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</si>
  <si>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</si>
  <si>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</si>
  <si>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</si>
  <si>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</si>
  <si>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</si>
  <si>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</si>
  <si>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No findings</t>
  </si>
  <si>
    <t>CGA</t>
  </si>
  <si>
    <t>David Puscasu</t>
  </si>
  <si>
    <t>Template not according to the process</t>
  </si>
  <si>
    <t>Razvan Badiu</t>
  </si>
  <si>
    <t>Add Initialization and Range tags to brief description of variables</t>
  </si>
  <si>
    <t>Open project no.1047503</t>
  </si>
  <si>
    <t>23.02.2023</t>
  </si>
  <si>
    <t>DPU</t>
  </si>
  <si>
    <t>GBR</t>
  </si>
  <si>
    <t>RCM_Public.h</t>
  </si>
  <si>
    <t>Rcm.h</t>
  </si>
  <si>
    <t>RCM_autotests.c</t>
  </si>
  <si>
    <t>Rcm.c</t>
  </si>
  <si>
    <t>RCM_Public.h - v1.1.3.4</t>
  </si>
  <si>
    <t>Rcm.h - v1.1.4.4</t>
  </si>
  <si>
    <t>RCM_autotests.c - v1.1.5.3</t>
  </si>
  <si>
    <t>Rcm.c - v1.1.10.6</t>
  </si>
  <si>
    <t>RCM_SW_DetailedDesign.docx - v1.1</t>
  </si>
  <si>
    <t>1.1.3.4</t>
  </si>
  <si>
    <t>1.1.4.4</t>
  </si>
  <si>
    <t>1.1.5.3</t>
  </si>
  <si>
    <t>Vriables name not according to coding guidelines</t>
  </si>
  <si>
    <t>Worng memory section</t>
  </si>
  <si>
    <t>1.1.10.6</t>
  </si>
  <si>
    <t>Remove else steatements where is present just one if</t>
  </si>
  <si>
    <t>Rename b8ResetReasonNotificationStatusType typedef according to the coding guidelines</t>
  </si>
  <si>
    <t>RCM - Peer Review Workbook (PRWB)</t>
  </si>
  <si>
    <t>eCS_MCC.RCM.tmb</t>
  </si>
  <si>
    <t>VPO</t>
  </si>
  <si>
    <t>no traceability</t>
  </si>
  <si>
    <t>Popina Victor</t>
  </si>
  <si>
    <t>no 100% C0 and C1 coverage</t>
  </si>
  <si>
    <t>medium</t>
  </si>
  <si>
    <t>Vlad Chioveanu</t>
  </si>
  <si>
    <t>Ecs_MCC.RCM.tmb 1.1</t>
  </si>
  <si>
    <t>RCM - Peer Review Workbook.xlsm</t>
  </si>
  <si>
    <t>fixed</t>
  </si>
  <si>
    <t>RTE define, will be removed during redesign</t>
  </si>
  <si>
    <t>1.1.5.5</t>
  </si>
  <si>
    <t>No findings - fixed for 1047690</t>
  </si>
  <si>
    <t>1.1.10.8</t>
  </si>
  <si>
    <t>RCM_autotests.c - v1.1.5.5</t>
  </si>
  <si>
    <t>Rcm.c - v1.1.10.8</t>
  </si>
  <si>
    <t>VCH</t>
  </si>
  <si>
    <t>CGB</t>
  </si>
  <si>
    <t>No: Open project no.1047690</t>
  </si>
  <si>
    <t>No:Open project no.1047690</t>
  </si>
  <si>
    <t>1.1.3.5</t>
  </si>
  <si>
    <t>1.1.3.6</t>
  </si>
  <si>
    <t>Ioan Repede</t>
  </si>
  <si>
    <t>Review covered by version 1.1.3.6</t>
  </si>
  <si>
    <t>RCM_Public.h - v1.1.3.6</t>
  </si>
  <si>
    <t>IRE</t>
  </si>
  <si>
    <t>1.1.10.9</t>
  </si>
  <si>
    <t>Rcm.c - v1.1.10.9</t>
  </si>
  <si>
    <t>Robert Hadadea</t>
  </si>
  <si>
    <t>eCS_MCC.RCM.tmb -v1.2</t>
  </si>
  <si>
    <t>Ecs_MCC.RCM.tmb 1.2</t>
  </si>
  <si>
    <t>No: Issue OpenProject: 1048949</t>
  </si>
  <si>
    <t>1.1.4.6</t>
  </si>
  <si>
    <t>Code review between 1.1.4.4 and 1.1.4.6 is covered by this version</t>
  </si>
  <si>
    <t>Gabriel Brasoveanu</t>
  </si>
  <si>
    <t>Missing keyword "extern" to RCM_DetermineResetCause function declaration</t>
  </si>
  <si>
    <t>Rcm.h - v1.1.4.6</t>
  </si>
  <si>
    <t>27.06.2023</t>
  </si>
  <si>
    <t>1.1.5.11</t>
  </si>
  <si>
    <t>Code review between 1.1.5.5 and 1.1.5.11 is covered by this version</t>
  </si>
  <si>
    <t>In RCM_Autotest_ResetCause assure that all local variables are defined according with coding rules</t>
  </si>
  <si>
    <t>1.1.10.14</t>
  </si>
  <si>
    <t>Code review between 1.1.10.9 and 1.1.10.14 is covered by this version</t>
  </si>
  <si>
    <t>RCM_autotests.c - v1.1.5.11</t>
  </si>
  <si>
    <t>Rcm.c - v1.1.10.14</t>
  </si>
  <si>
    <t>1.1.4.7</t>
  </si>
  <si>
    <t>1.1.5.12</t>
  </si>
  <si>
    <t>Rcm.h - v1.1.4.7</t>
  </si>
  <si>
    <t>RCM_autotests.c - v1.1.5.12</t>
  </si>
  <si>
    <t>13.07.2023</t>
  </si>
  <si>
    <t>eCS_SW_Arhitecture.eapx - v1.3.1.1.1.24</t>
  </si>
  <si>
    <t>25.07.2023</t>
  </si>
  <si>
    <t>LAR</t>
  </si>
  <si>
    <t>DDU</t>
  </si>
  <si>
    <t>1.3.1.1.1.24</t>
  </si>
  <si>
    <t>eCS_SW_Arhitecture.eapx</t>
  </si>
  <si>
    <t>Lucian Ardeleanu</t>
  </si>
  <si>
    <t>Mihai Motoc</t>
  </si>
  <si>
    <t>Ecs_MCC.RCM.tmb 1.3</t>
  </si>
  <si>
    <t>Cornel Albu</t>
  </si>
  <si>
    <t>Alexandru Nastase</t>
  </si>
  <si>
    <t>eCS_MCC.RCM.tmb -v1.3</t>
  </si>
  <si>
    <t>26.07.2023</t>
  </si>
  <si>
    <t>CAL</t>
  </si>
  <si>
    <t>eCS_SW_Arhitecture.eapx - v1.3.1.1.1.26</t>
  </si>
  <si>
    <t>1.3.1.1.1.26</t>
  </si>
  <si>
    <t>No findings between 1.3.1.1.1.25 and 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</si>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</sst>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rgb="FF7F7F7F"/>
      </left>
      <right style="thin">
        <color rgb="FF7F7F7F"/>
      </right>
      <top style="thin">
        <color rgb="FF7F7F7F"/>
      </top>
      <bottom style="thin">
        <color theme="4"/>
      </bottom>
      <diagonal/>
    </border>
    <border>
      <left/>
      <right style="thin">
        <color theme="4"/>
      </right>
      <top style="thin">
        <color theme="4"/>
      </top>
      <bottom style="thin">
        <color theme="4"/>
      </bottom>
      <diagonal/>
    </border>
    <border>
      <left/>
      <right/>
      <top style="thin">
        <color rgb="FF4F81BD"/>
      </top>
      <bottom style="thin">
        <color rgb="FF4F81BD"/>
      </bottom>
      <diagonal/>
    </border>
  </borders>
  <cellStyleXfs count="35">
    <xf numFmtId="0" fontId="0" fillId="0" borderId="0"/>
    <xf numFmtId="0" fontId="62" fillId="6" borderId="14" applyNumberFormat="0" applyAlignment="0" applyProtection="0"/>
    <xf numFmtId="0" fontId="63" fillId="0" borderId="0" applyNumberFormat="0" applyFill="0" applyBorder="0" applyAlignment="0" applyProtection="0"/>
    <xf numFmtId="0" fontId="33" fillId="0" borderId="0"/>
    <xf numFmtId="0" fontId="57" fillId="0" borderId="0"/>
    <xf numFmtId="0" fontId="61" fillId="0" borderId="0"/>
    <xf numFmtId="0" fontId="33" fillId="0" borderId="0"/>
    <xf numFmtId="0" fontId="39" fillId="0" borderId="0"/>
    <xf numFmtId="0" fontId="64" fillId="6" borderId="15" applyNumberFormat="0" applyAlignment="0" applyProtection="0"/>
    <xf numFmtId="0" fontId="32" fillId="0" borderId="0"/>
    <xf numFmtId="0" fontId="31" fillId="0" borderId="0"/>
    <xf numFmtId="0" fontId="30" fillId="0" borderId="0"/>
    <xf numFmtId="0" fontId="89" fillId="25" borderId="14" applyNumberFormat="0" applyAlignment="0" applyProtection="0"/>
    <xf numFmtId="0" fontId="90" fillId="26" borderId="0" applyNumberFormat="0" applyBorder="0" applyAlignment="0" applyProtection="0"/>
    <xf numFmtId="0" fontId="29" fillId="27" borderId="0" applyNumberFormat="0" applyBorder="0" applyAlignment="0" applyProtection="0"/>
    <xf numFmtId="0" fontId="33" fillId="0" borderId="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0" borderId="0"/>
    <xf numFmtId="0" fontId="16" fillId="27" borderId="0" applyNumberFormat="0" applyBorder="0" applyAlignment="0" applyProtection="0"/>
    <xf numFmtId="0" fontId="15" fillId="27" borderId="0" applyNumberFormat="0" applyBorder="0" applyAlignment="0" applyProtection="0"/>
    <xf numFmtId="0" fontId="108" fillId="0" borderId="0" applyNumberFormat="0" applyFill="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cellStyleXfs>
  <cellXfs count="337">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34" fillId="3" borderId="12" xfId="0" applyFont="1" applyFill="1" applyBorder="1" applyAlignment="1">
      <alignment horizontal="center" wrapText="1"/>
    </xf>
    <xf numFmtId="0" fontId="0" fillId="2" borderId="0" xfId="0" applyFill="1" applyAlignment="1">
      <alignment horizontal="center"/>
    </xf>
    <xf numFmtId="0" fontId="3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33" fillId="0" borderId="1" xfId="0" applyFont="1" applyBorder="1" applyAlignment="1">
      <alignment vertical="center" wrapText="1"/>
    </xf>
    <xf numFmtId="0" fontId="33" fillId="3" borderId="1" xfId="0" applyFont="1" applyFill="1" applyBorder="1" applyAlignment="1">
      <alignment horizontal="center" vertical="center" wrapText="1"/>
    </xf>
    <xf numFmtId="0" fontId="33" fillId="2" borderId="0" xfId="0" applyFont="1" applyFill="1" applyAlignment="1">
      <alignment wrapText="1"/>
    </xf>
    <xf numFmtId="0" fontId="65" fillId="7" borderId="0" xfId="0" applyFont="1" applyFill="1" applyAlignment="1">
      <alignment horizontal="center" vertical="center" wrapText="1"/>
    </xf>
    <xf numFmtId="0" fontId="65" fillId="0" borderId="0" xfId="0" applyFont="1" applyAlignment="1">
      <alignment horizontal="center" vertical="center" wrapText="1"/>
    </xf>
    <xf numFmtId="0" fontId="65" fillId="0" borderId="0" xfId="0" applyFont="1" applyAlignment="1">
      <alignment vertical="center"/>
    </xf>
    <xf numFmtId="0" fontId="65" fillId="0" borderId="0" xfId="0" applyFont="1" applyAlignment="1">
      <alignment vertical="center" wrapText="1"/>
    </xf>
    <xf numFmtId="0" fontId="54" fillId="2" borderId="2" xfId="0" applyFont="1" applyFill="1" applyBorder="1"/>
    <xf numFmtId="0" fontId="33" fillId="2" borderId="0" xfId="0" applyFont="1" applyFill="1" applyAlignment="1">
      <alignment horizontal="center"/>
    </xf>
    <xf numFmtId="0" fontId="0" fillId="8" borderId="0" xfId="0" applyFill="1" applyAlignment="1">
      <alignment horizontal="center"/>
    </xf>
    <xf numFmtId="0" fontId="33" fillId="2" borderId="1" xfId="0" applyFont="1" applyFill="1" applyBorder="1" applyAlignment="1">
      <alignment horizontal="center" wrapText="1"/>
    </xf>
    <xf numFmtId="0" fontId="33" fillId="2" borderId="1" xfId="0" applyFont="1" applyFill="1" applyBorder="1" applyAlignment="1">
      <alignment horizontal="center" vertical="center" wrapText="1"/>
    </xf>
    <xf numFmtId="0" fontId="33" fillId="0" borderId="1" xfId="0" applyFont="1" applyBorder="1" applyAlignment="1">
      <alignment horizontal="center" vertical="center" wrapText="1"/>
    </xf>
    <xf numFmtId="0" fontId="0" fillId="2" borderId="5" xfId="0" applyFill="1" applyBorder="1" applyAlignment="1">
      <alignment wrapText="1"/>
    </xf>
    <xf numFmtId="0" fontId="33" fillId="2" borderId="0" xfId="0" applyFont="1" applyFill="1"/>
    <xf numFmtId="0" fontId="34" fillId="9" borderId="1" xfId="0" applyFont="1" applyFill="1" applyBorder="1" applyAlignment="1">
      <alignment horizontal="center" vertical="center" wrapText="1"/>
    </xf>
    <xf numFmtId="0" fontId="33" fillId="2" borderId="10" xfId="0" applyFont="1" applyFill="1" applyBorder="1"/>
    <xf numFmtId="0" fontId="65"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33" fillId="8" borderId="0" xfId="0" applyFont="1" applyFill="1" applyAlignment="1">
      <alignment horizontal="center" vertical="center"/>
    </xf>
    <xf numFmtId="0" fontId="33" fillId="8" borderId="1" xfId="0" applyFont="1" applyFill="1" applyBorder="1" applyAlignment="1">
      <alignment horizontal="center" vertical="center"/>
    </xf>
    <xf numFmtId="0" fontId="33" fillId="13" borderId="1" xfId="0" applyFont="1" applyFill="1" applyBorder="1" applyAlignment="1">
      <alignment horizontal="center" vertical="center" wrapText="1"/>
    </xf>
    <xf numFmtId="0" fontId="33"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5" fillId="8" borderId="0" xfId="0" applyFont="1" applyFill="1" applyAlignment="1">
      <alignment horizontal="center" vertical="center" wrapText="1"/>
    </xf>
    <xf numFmtId="0" fontId="65" fillId="8" borderId="0" xfId="0" applyFont="1" applyFill="1" applyAlignment="1">
      <alignment vertical="center"/>
    </xf>
    <xf numFmtId="0" fontId="0" fillId="8" borderId="0" xfId="0" applyFill="1" applyAlignment="1">
      <alignment vertical="center"/>
    </xf>
    <xf numFmtId="0" fontId="0" fillId="8" borderId="0" xfId="0" applyFill="1"/>
    <xf numFmtId="0" fontId="36" fillId="14" borderId="1" xfId="0" applyFont="1" applyFill="1" applyBorder="1" applyAlignment="1">
      <alignment horizontal="center" vertical="center" wrapText="1"/>
    </xf>
    <xf numFmtId="0" fontId="65" fillId="0" borderId="0" xfId="0" applyFont="1" applyAlignment="1">
      <alignment horizontal="center" vertical="center"/>
    </xf>
    <xf numFmtId="14" fontId="0" fillId="13" borderId="1" xfId="0" applyNumberFormat="1" applyFill="1" applyBorder="1" applyAlignment="1">
      <alignment horizontal="center" vertical="center" wrapText="1"/>
    </xf>
    <xf numFmtId="0" fontId="33" fillId="13" borderId="1" xfId="0" applyFont="1" applyFill="1" applyBorder="1" applyAlignment="1">
      <alignment horizontal="center" vertical="center"/>
    </xf>
    <xf numFmtId="0" fontId="0" fillId="13" borderId="1" xfId="0" applyFill="1" applyBorder="1" applyAlignment="1">
      <alignment horizontal="center" vertical="center"/>
    </xf>
    <xf numFmtId="0" fontId="33" fillId="2" borderId="5" xfId="0" applyFont="1" applyFill="1" applyBorder="1" applyAlignment="1">
      <alignment wrapText="1"/>
    </xf>
    <xf numFmtId="0" fontId="33" fillId="10" borderId="0" xfId="0" applyFont="1" applyFill="1" applyAlignment="1">
      <alignment horizontal="left" vertical="center"/>
    </xf>
    <xf numFmtId="0" fontId="33" fillId="12" borderId="0" xfId="0" applyFont="1" applyFill="1" applyAlignment="1">
      <alignment horizontal="left" vertical="center"/>
    </xf>
    <xf numFmtId="0" fontId="33" fillId="15" borderId="0" xfId="0" applyFont="1" applyFill="1" applyAlignment="1">
      <alignment horizontal="left" vertical="center"/>
    </xf>
    <xf numFmtId="0" fontId="33" fillId="13" borderId="0" xfId="0" applyFont="1" applyFill="1" applyAlignment="1">
      <alignment horizontal="left" vertical="center"/>
    </xf>
    <xf numFmtId="0" fontId="33" fillId="2" borderId="1" xfId="0" applyFont="1" applyFill="1" applyBorder="1"/>
    <xf numFmtId="0" fontId="33" fillId="0" borderId="1" xfId="0" applyFont="1" applyBorder="1" applyAlignment="1">
      <alignment horizontal="center" vertical="center"/>
    </xf>
    <xf numFmtId="0" fontId="0" fillId="2" borderId="0" xfId="0" applyFill="1" applyAlignment="1">
      <alignment horizontal="center" wrapText="1"/>
    </xf>
    <xf numFmtId="0" fontId="33" fillId="3" borderId="12" xfId="0" applyFont="1" applyFill="1" applyBorder="1" applyAlignment="1">
      <alignment horizontal="center" vertical="center" wrapText="1"/>
    </xf>
    <xf numFmtId="0" fontId="62" fillId="6" borderId="1" xfId="1" applyBorder="1" applyAlignment="1">
      <alignment horizontal="center"/>
    </xf>
    <xf numFmtId="0" fontId="66" fillId="6" borderId="15" xfId="8" applyFont="1" applyAlignment="1">
      <alignment horizontal="center"/>
    </xf>
    <xf numFmtId="0" fontId="66" fillId="6" borderId="17" xfId="8" applyFont="1" applyBorder="1" applyAlignment="1">
      <alignment horizontal="center"/>
    </xf>
    <xf numFmtId="0" fontId="62" fillId="6" borderId="1" xfId="1" applyBorder="1" applyAlignment="1">
      <alignment horizontal="center" vertical="center"/>
    </xf>
    <xf numFmtId="0" fontId="33"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3" fillId="2" borderId="8" xfId="0" applyFont="1" applyFill="1" applyBorder="1" applyAlignment="1">
      <alignment wrapText="1" shrinkToFit="1"/>
    </xf>
    <xf numFmtId="0" fontId="33" fillId="2" borderId="0" xfId="0" applyFont="1" applyFill="1" applyAlignment="1">
      <alignment vertical="top"/>
    </xf>
    <xf numFmtId="0" fontId="33" fillId="0" borderId="0" xfId="3" applyAlignment="1">
      <alignment vertical="center"/>
    </xf>
    <xf numFmtId="0" fontId="37" fillId="0" borderId="0" xfId="3" applyFont="1" applyAlignment="1">
      <alignment vertical="center" wrapText="1"/>
    </xf>
    <xf numFmtId="164" fontId="37" fillId="0" borderId="0" xfId="3" applyNumberFormat="1" applyFont="1" applyAlignment="1">
      <alignment horizontal="center" vertical="center" wrapText="1"/>
    </xf>
    <xf numFmtId="20" fontId="37" fillId="0" borderId="0" xfId="3" applyNumberFormat="1" applyFont="1" applyAlignment="1">
      <alignment vertical="center" wrapText="1"/>
    </xf>
    <xf numFmtId="0" fontId="37" fillId="0" borderId="0" xfId="3" applyFont="1" applyAlignment="1">
      <alignment horizontal="left" vertical="center" wrapText="1"/>
    </xf>
    <xf numFmtId="0" fontId="67" fillId="0" borderId="0" xfId="3" quotePrefix="1" applyFont="1" applyAlignment="1">
      <alignment horizontal="right" vertical="center"/>
    </xf>
    <xf numFmtId="0" fontId="38" fillId="0" borderId="0" xfId="3" applyFont="1" applyAlignment="1">
      <alignment horizontal="left" vertical="center" wrapText="1"/>
    </xf>
    <xf numFmtId="0" fontId="33" fillId="0" borderId="0" xfId="3" applyAlignment="1">
      <alignment vertical="center" shrinkToFit="1"/>
    </xf>
    <xf numFmtId="0" fontId="69" fillId="0" borderId="0" xfId="3" applyFont="1" applyAlignment="1">
      <alignment horizontal="left" vertical="center" shrinkToFit="1"/>
    </xf>
    <xf numFmtId="0" fontId="34" fillId="0" borderId="0" xfId="3" applyFont="1" applyAlignment="1">
      <alignment horizontal="left" vertical="center" shrinkToFit="1"/>
    </xf>
    <xf numFmtId="0" fontId="33" fillId="0" borderId="0" xfId="3" applyAlignment="1" applyProtection="1">
      <alignment vertical="center"/>
      <protection locked="0"/>
    </xf>
    <xf numFmtId="0" fontId="33" fillId="0" borderId="0" xfId="3" applyAlignment="1" applyProtection="1">
      <alignment vertical="center" shrinkToFit="1"/>
      <protection locked="0"/>
    </xf>
    <xf numFmtId="0" fontId="74" fillId="0" borderId="2" xfId="3" applyFont="1" applyBorder="1" applyAlignment="1" applyProtection="1">
      <alignment horizontal="left" vertical="center" wrapText="1" shrinkToFit="1"/>
      <protection locked="0"/>
    </xf>
    <xf numFmtId="0" fontId="75" fillId="0" borderId="0" xfId="3" applyFont="1" applyAlignment="1" applyProtection="1">
      <alignment horizontal="left" vertical="center" shrinkToFit="1"/>
      <protection locked="0"/>
    </xf>
    <xf numFmtId="0" fontId="74" fillId="0" borderId="0" xfId="3" applyFont="1" applyAlignment="1" applyProtection="1">
      <alignment horizontal="left" vertical="center" wrapText="1" shrinkToFit="1"/>
      <protection locked="0"/>
    </xf>
    <xf numFmtId="0" fontId="75" fillId="0" borderId="3" xfId="3" applyFont="1" applyBorder="1" applyAlignment="1" applyProtection="1">
      <alignment horizontal="left" vertical="center" shrinkToFit="1"/>
      <protection locked="0"/>
    </xf>
    <xf numFmtId="0" fontId="78" fillId="0" borderId="0" xfId="3" applyFont="1" applyAlignment="1" applyProtection="1">
      <alignment vertical="center"/>
      <protection locked="0"/>
    </xf>
    <xf numFmtId="0" fontId="79" fillId="0" borderId="0" xfId="3" applyFont="1" applyAlignment="1" applyProtection="1">
      <alignment horizontal="center" vertical="center"/>
      <protection locked="0"/>
    </xf>
    <xf numFmtId="0" fontId="32" fillId="8" borderId="0" xfId="9" applyFill="1"/>
    <xf numFmtId="0" fontId="80" fillId="0" borderId="0" xfId="3" applyFont="1" applyAlignment="1">
      <alignment horizontal="right" vertical="center"/>
    </xf>
    <xf numFmtId="0" fontId="81" fillId="0" borderId="18" xfId="3" applyFont="1" applyBorder="1" applyAlignment="1" applyProtection="1">
      <alignment vertical="center"/>
      <protection locked="0"/>
    </xf>
    <xf numFmtId="0" fontId="33" fillId="0" borderId="18" xfId="3" applyBorder="1" applyAlignment="1" applyProtection="1">
      <alignment vertical="center"/>
      <protection locked="0"/>
    </xf>
    <xf numFmtId="0" fontId="82" fillId="0" borderId="0" xfId="3" applyFont="1" applyAlignment="1" applyProtection="1">
      <alignment horizontal="left" vertical="center"/>
      <protection locked="0"/>
    </xf>
    <xf numFmtId="0" fontId="41" fillId="0" borderId="0" xfId="3" applyFont="1" applyAlignment="1" applyProtection="1">
      <alignment horizontal="left" vertical="center"/>
      <protection locked="0"/>
    </xf>
    <xf numFmtId="0" fontId="60" fillId="0" borderId="0" xfId="3" applyFont="1" applyAlignment="1" applyProtection="1">
      <alignment vertical="center"/>
      <protection locked="0"/>
    </xf>
    <xf numFmtId="0" fontId="34" fillId="0" borderId="0" xfId="3" applyFont="1" applyAlignment="1" applyProtection="1">
      <alignment vertical="center"/>
      <protection locked="0"/>
    </xf>
    <xf numFmtId="49" fontId="83" fillId="0" borderId="0" xfId="3" applyNumberFormat="1" applyFont="1" applyAlignment="1" applyProtection="1">
      <alignment horizontal="left" vertical="center"/>
      <protection locked="0"/>
    </xf>
    <xf numFmtId="49" fontId="33" fillId="0" borderId="0" xfId="3" applyNumberFormat="1" applyAlignment="1">
      <alignment horizontal="center" vertical="center" wrapText="1"/>
    </xf>
    <xf numFmtId="49" fontId="33" fillId="0" borderId="0" xfId="3" applyNumberFormat="1" applyAlignment="1" applyProtection="1">
      <alignment horizontal="left" vertical="center" wrapText="1"/>
      <protection locked="0"/>
    </xf>
    <xf numFmtId="49" fontId="33" fillId="0" borderId="0" xfId="3" applyNumberFormat="1" applyAlignment="1">
      <alignment horizontal="left" vertical="center" wrapText="1"/>
    </xf>
    <xf numFmtId="14" fontId="33" fillId="0" borderId="0" xfId="3" applyNumberFormat="1" applyAlignment="1" applyProtection="1">
      <alignment vertical="center"/>
      <protection locked="0"/>
    </xf>
    <xf numFmtId="0" fontId="84" fillId="0" borderId="0" xfId="3" applyFont="1" applyAlignment="1" applyProtection="1">
      <alignment horizontal="left" vertical="center"/>
      <protection locked="0"/>
    </xf>
    <xf numFmtId="0" fontId="33" fillId="0" borderId="0" xfId="3" applyAlignment="1">
      <alignment horizontal="left" vertical="center" wrapText="1"/>
    </xf>
    <xf numFmtId="0" fontId="81" fillId="0" borderId="5" xfId="3" applyFont="1" applyBorder="1" applyAlignment="1" applyProtection="1">
      <alignment vertical="center"/>
      <protection locked="0"/>
    </xf>
    <xf numFmtId="49" fontId="33" fillId="0" borderId="5" xfId="3" applyNumberFormat="1" applyBorder="1" applyAlignment="1" applyProtection="1">
      <alignment horizontal="left" vertical="center" wrapText="1"/>
      <protection locked="0"/>
    </xf>
    <xf numFmtId="0" fontId="33" fillId="0" borderId="5" xfId="3" applyBorder="1" applyAlignment="1">
      <alignment horizontal="left" vertical="center" wrapText="1"/>
    </xf>
    <xf numFmtId="0" fontId="81" fillId="0" borderId="0" xfId="3" applyFont="1" applyAlignment="1" applyProtection="1">
      <alignment vertical="center"/>
      <protection locked="0"/>
    </xf>
    <xf numFmtId="49" fontId="33" fillId="0" borderId="0" xfId="3" applyNumberFormat="1" applyAlignment="1" applyProtection="1">
      <alignment horizontal="left" vertical="center"/>
      <protection locked="0"/>
    </xf>
    <xf numFmtId="0" fontId="33" fillId="0" borderId="0" xfId="3" applyAlignment="1">
      <alignment horizontal="left" vertical="center"/>
    </xf>
    <xf numFmtId="0" fontId="34" fillId="2" borderId="1" xfId="0" applyFont="1" applyFill="1" applyBorder="1" applyAlignment="1">
      <alignment horizontal="center" vertical="center"/>
    </xf>
    <xf numFmtId="0" fontId="33" fillId="21" borderId="0" xfId="0" applyFont="1" applyFill="1" applyAlignment="1">
      <alignment horizontal="left" vertical="top" wrapText="1"/>
    </xf>
    <xf numFmtId="0" fontId="33" fillId="21" borderId="0" xfId="0" applyFont="1" applyFill="1" applyAlignment="1">
      <alignment wrapText="1"/>
    </xf>
    <xf numFmtId="0" fontId="0" fillId="21" borderId="0" xfId="0" applyFill="1" applyAlignment="1">
      <alignment wrapText="1"/>
    </xf>
    <xf numFmtId="0" fontId="33" fillId="9" borderId="0" xfId="0" applyFont="1" applyFill="1" applyAlignment="1">
      <alignment wrapText="1"/>
    </xf>
    <xf numFmtId="0" fontId="0" fillId="9" borderId="0" xfId="0" applyFill="1" applyAlignment="1">
      <alignment wrapText="1"/>
    </xf>
    <xf numFmtId="0" fontId="33" fillId="2" borderId="2" xfId="0" applyFont="1" applyFill="1" applyBorder="1" applyAlignment="1">
      <alignment horizontal="right"/>
    </xf>
    <xf numFmtId="0" fontId="0" fillId="2" borderId="4" xfId="0" applyFill="1" applyBorder="1" applyAlignment="1">
      <alignment horizontal="right"/>
    </xf>
    <xf numFmtId="0" fontId="30" fillId="0" borderId="0" xfId="11"/>
    <xf numFmtId="0" fontId="36" fillId="10" borderId="1" xfId="0" applyFont="1" applyFill="1" applyBorder="1" applyAlignment="1">
      <alignment horizontal="center" vertical="center" wrapText="1"/>
    </xf>
    <xf numFmtId="0" fontId="91" fillId="12" borderId="1" xfId="0" applyFont="1" applyFill="1" applyBorder="1" applyAlignment="1">
      <alignment horizontal="center" vertical="center" wrapText="1"/>
    </xf>
    <xf numFmtId="0" fontId="36" fillId="11" borderId="1" xfId="0" applyFont="1" applyFill="1" applyBorder="1" applyAlignment="1">
      <alignment horizontal="center" vertical="center" wrapText="1"/>
    </xf>
    <xf numFmtId="14" fontId="36" fillId="11" borderId="1" xfId="0" applyNumberFormat="1" applyFont="1" applyFill="1" applyBorder="1" applyAlignment="1">
      <alignment horizontal="center" vertical="center" wrapText="1"/>
    </xf>
    <xf numFmtId="0" fontId="56" fillId="8" borderId="0" xfId="0" applyFont="1" applyFill="1" applyAlignment="1">
      <alignment horizontal="center" vertical="center"/>
    </xf>
    <xf numFmtId="0" fontId="56" fillId="8" borderId="0" xfId="0" applyFont="1" applyFill="1" applyAlignment="1">
      <alignment vertical="center"/>
    </xf>
    <xf numFmtId="0" fontId="56" fillId="0" borderId="0" xfId="0" applyFont="1" applyAlignment="1">
      <alignment vertical="center"/>
    </xf>
    <xf numFmtId="0" fontId="36" fillId="0" borderId="0" xfId="0" applyFont="1" applyAlignment="1">
      <alignment vertical="center"/>
    </xf>
    <xf numFmtId="0" fontId="93" fillId="29" borderId="20" xfId="14" applyFont="1" applyFill="1" applyBorder="1" applyAlignment="1" applyProtection="1">
      <alignment horizontal="center" vertical="center" wrapText="1"/>
      <protection locked="0"/>
    </xf>
    <xf numFmtId="0" fontId="94" fillId="13" borderId="20" xfId="14" applyFont="1" applyFill="1" applyBorder="1" applyAlignment="1" applyProtection="1">
      <alignment horizontal="center" vertical="center" wrapText="1"/>
    </xf>
    <xf numFmtId="0" fontId="93" fillId="7" borderId="1" xfId="14" applyFont="1" applyFill="1" applyBorder="1" applyAlignment="1">
      <alignment horizontal="left" vertical="center"/>
    </xf>
    <xf numFmtId="0" fontId="89" fillId="25" borderId="14" xfId="12" applyAlignment="1">
      <alignment horizontal="center" vertical="center"/>
    </xf>
    <xf numFmtId="0" fontId="93" fillId="7" borderId="1" xfId="14" applyFont="1" applyFill="1" applyBorder="1" applyAlignment="1">
      <alignment horizontal="center" vertical="center"/>
    </xf>
    <xf numFmtId="0" fontId="33" fillId="5" borderId="0" xfId="15" applyFill="1" applyAlignment="1">
      <alignment vertical="center"/>
    </xf>
    <xf numFmtId="0" fontId="33" fillId="5" borderId="0" xfId="15" applyFill="1" applyAlignment="1">
      <alignment vertical="center" wrapText="1"/>
    </xf>
    <xf numFmtId="0" fontId="35" fillId="5" borderId="0" xfId="15" applyFont="1" applyFill="1" applyAlignment="1">
      <alignment vertical="center"/>
    </xf>
    <xf numFmtId="0" fontId="70" fillId="30" borderId="10" xfId="15" applyFont="1" applyFill="1" applyBorder="1" applyAlignment="1">
      <alignment vertical="center"/>
    </xf>
    <xf numFmtId="0" fontId="99" fillId="30" borderId="19" xfId="15" applyFont="1" applyFill="1" applyBorder="1" applyAlignment="1">
      <alignment vertical="center" wrapText="1"/>
    </xf>
    <xf numFmtId="0" fontId="33" fillId="5" borderId="1" xfId="15" applyFill="1" applyBorder="1" applyAlignment="1">
      <alignment vertical="center"/>
    </xf>
    <xf numFmtId="0" fontId="100" fillId="5" borderId="1" xfId="15" applyFont="1" applyFill="1" applyBorder="1" applyAlignment="1">
      <alignment horizontal="center" vertical="center"/>
    </xf>
    <xf numFmtId="0" fontId="33" fillId="5" borderId="1" xfId="15" applyFill="1" applyBorder="1" applyAlignment="1">
      <alignment vertical="center" wrapText="1"/>
    </xf>
    <xf numFmtId="0" fontId="70" fillId="31" borderId="10" xfId="15" applyFont="1" applyFill="1" applyBorder="1" applyAlignment="1">
      <alignment vertical="center"/>
    </xf>
    <xf numFmtId="0" fontId="42" fillId="31" borderId="8" xfId="15" applyFont="1" applyFill="1" applyBorder="1" applyAlignment="1">
      <alignment horizontal="center" vertical="center" wrapText="1"/>
    </xf>
    <xf numFmtId="0" fontId="99" fillId="31" borderId="19" xfId="15" applyFont="1" applyFill="1" applyBorder="1" applyAlignment="1">
      <alignment vertical="center" wrapText="1"/>
    </xf>
    <xf numFmtId="0" fontId="99" fillId="31" borderId="11" xfId="15" applyFont="1" applyFill="1" applyBorder="1" applyAlignment="1">
      <alignment vertical="center" wrapText="1"/>
    </xf>
    <xf numFmtId="0" fontId="42" fillId="30" borderId="19" xfId="15" applyFont="1" applyFill="1" applyBorder="1" applyAlignment="1">
      <alignment vertical="center" wrapText="1"/>
    </xf>
    <xf numFmtId="0" fontId="0" fillId="0" borderId="0" xfId="0" applyAlignment="1" applyProtection="1">
      <alignment vertical="center"/>
      <protection locked="0"/>
    </xf>
    <xf numFmtId="0" fontId="82" fillId="0" borderId="0" xfId="0" applyFont="1" applyAlignment="1" applyProtection="1">
      <alignment horizontal="left" vertical="center"/>
      <protection locked="0"/>
    </xf>
    <xf numFmtId="0" fontId="33" fillId="0" borderId="1" xfId="15" applyBorder="1" applyAlignment="1">
      <alignment vertical="center" wrapText="1"/>
    </xf>
    <xf numFmtId="0" fontId="105" fillId="0" borderId="2" xfId="0" applyFont="1" applyBorder="1" applyAlignment="1">
      <alignment horizontal="right" vertical="center"/>
    </xf>
    <xf numFmtId="0" fontId="107" fillId="0" borderId="0" xfId="0" applyFont="1" applyAlignment="1">
      <alignment wrapText="1"/>
    </xf>
    <xf numFmtId="0" fontId="90" fillId="7" borderId="1" xfId="14" applyFont="1" applyFill="1" applyBorder="1" applyAlignment="1">
      <alignment horizontal="center" vertical="center"/>
    </xf>
    <xf numFmtId="0" fontId="108" fillId="8" borderId="0" xfId="30" applyFill="1" applyAlignment="1">
      <alignment horizontal="center" wrapText="1"/>
    </xf>
    <xf numFmtId="0" fontId="36" fillId="3" borderId="12"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1" xfId="0" applyFont="1" applyFill="1" applyBorder="1" applyAlignment="1">
      <alignment horizontal="center" vertical="center" wrapText="1"/>
    </xf>
    <xf numFmtId="0" fontId="62" fillId="6" borderId="16" xfId="1" applyBorder="1" applyAlignment="1">
      <alignment horizontal="center" vertical="center"/>
    </xf>
    <xf numFmtId="0" fontId="34" fillId="2" borderId="1" xfId="0" applyFont="1" applyFill="1" applyBorder="1" applyAlignment="1">
      <alignment horizontal="center"/>
    </xf>
    <xf numFmtId="0" fontId="70" fillId="33" borderId="12" xfId="15" applyFont="1" applyFill="1" applyBorder="1" applyAlignment="1">
      <alignment horizontal="center" vertical="center" textRotation="45" wrapText="1"/>
    </xf>
    <xf numFmtId="0" fontId="97" fillId="33" borderId="12" xfId="15" applyFont="1" applyFill="1" applyBorder="1" applyAlignment="1">
      <alignment horizontal="center" vertical="center" wrapText="1"/>
    </xf>
    <xf numFmtId="0" fontId="85" fillId="33" borderId="1" xfId="15" applyFont="1" applyFill="1" applyBorder="1" applyAlignment="1">
      <alignment horizontal="center" vertical="center" textRotation="45" wrapText="1"/>
    </xf>
    <xf numFmtId="0" fontId="85" fillId="33" borderId="1" xfId="15" applyFont="1" applyFill="1" applyBorder="1" applyAlignment="1">
      <alignment horizontal="center" vertical="center" wrapText="1"/>
    </xf>
    <xf numFmtId="0" fontId="70" fillId="33" borderId="13" xfId="15" applyFont="1" applyFill="1" applyBorder="1" applyAlignment="1">
      <alignment horizontal="center" vertical="center"/>
    </xf>
    <xf numFmtId="0" fontId="98" fillId="33" borderId="13" xfId="15" applyFont="1" applyFill="1" applyBorder="1" applyAlignment="1">
      <alignment horizontal="center" vertical="center" wrapText="1"/>
    </xf>
    <xf numFmtId="9" fontId="109" fillId="6" borderId="14" xfId="1" applyNumberFormat="1" applyFont="1" applyAlignment="1">
      <alignment horizontal="center" vertical="center" wrapText="1"/>
    </xf>
    <xf numFmtId="0" fontId="70" fillId="33" borderId="7" xfId="15" applyFont="1" applyFill="1" applyBorder="1" applyAlignment="1">
      <alignment horizontal="center" vertical="center"/>
    </xf>
    <xf numFmtId="0" fontId="101" fillId="33" borderId="8" xfId="15" applyFont="1" applyFill="1" applyBorder="1" applyAlignment="1">
      <alignment horizontal="center" vertical="center" wrapText="1"/>
    </xf>
    <xf numFmtId="0" fontId="98" fillId="33" borderId="8" xfId="15" applyFont="1" applyFill="1" applyBorder="1" applyAlignment="1">
      <alignment horizontal="center" vertical="center" wrapText="1"/>
    </xf>
    <xf numFmtId="0" fontId="98"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2" fillId="15" borderId="0" xfId="0" applyFont="1" applyFill="1" applyAlignment="1">
      <alignment horizontal="center" wrapText="1"/>
    </xf>
    <xf numFmtId="0" fontId="54" fillId="15" borderId="0" xfId="0" applyFont="1" applyFill="1" applyAlignment="1">
      <alignment horizontal="center" wrapText="1"/>
    </xf>
    <xf numFmtId="0" fontId="42" fillId="7" borderId="0" xfId="0" applyFont="1" applyFill="1" applyAlignment="1">
      <alignment horizontal="center" wrapText="1"/>
    </xf>
    <xf numFmtId="0" fontId="110" fillId="7" borderId="0" xfId="0" applyFont="1" applyFill="1" applyAlignment="1">
      <alignment horizontal="center" vertical="center" wrapText="1"/>
    </xf>
    <xf numFmtId="0" fontId="93" fillId="29" borderId="12" xfId="34" applyFont="1" applyFill="1" applyBorder="1" applyAlignment="1">
      <alignment horizontal="center" vertical="center" wrapText="1"/>
    </xf>
    <xf numFmtId="0" fontId="42" fillId="7" borderId="0" xfId="3" applyFont="1" applyFill="1" applyAlignment="1">
      <alignment horizontal="center" wrapText="1"/>
    </xf>
    <xf numFmtId="0" fontId="110" fillId="7" borderId="0" xfId="3" applyFont="1" applyFill="1" applyAlignment="1">
      <alignment horizontal="center" vertical="center" wrapText="1"/>
    </xf>
    <xf numFmtId="0" fontId="33" fillId="0" borderId="1" xfId="0" applyFont="1" applyBorder="1" applyAlignment="1">
      <alignment vertical="center"/>
    </xf>
    <xf numFmtId="0" fontId="10" fillId="0" borderId="0" xfId="11" applyFont="1"/>
    <xf numFmtId="0" fontId="33" fillId="0" borderId="1" xfId="0" applyFont="1" applyBorder="1"/>
    <xf numFmtId="0" fontId="0" fillId="0" borderId="1" xfId="0" applyBorder="1" applyAlignment="1">
      <alignment horizontal="right" vertical="center"/>
    </xf>
    <xf numFmtId="0" fontId="30" fillId="0" borderId="0" xfId="11" applyFill="1" applyBorder="1"/>
    <xf numFmtId="0" fontId="62" fillId="6" borderId="21" xfId="1" applyNumberFormat="1" applyBorder="1"/>
    <xf numFmtId="0" fontId="33" fillId="34" borderId="1" xfId="3" applyFill="1" applyBorder="1" applyAlignment="1">
      <alignment horizontal="center" vertical="center"/>
    </xf>
    <xf numFmtId="0" fontId="33" fillId="0" borderId="1" xfId="3" applyBorder="1" applyAlignment="1">
      <alignment vertical="center"/>
    </xf>
    <xf numFmtId="0" fontId="30" fillId="0" borderId="0" xfId="11" applyFill="1"/>
    <xf numFmtId="0" fontId="6" fillId="0" borderId="0" xfId="11" applyFont="1" applyFill="1" applyBorder="1"/>
    <xf numFmtId="14" fontId="9" fillId="0" borderId="0" xfId="11" applyNumberFormat="1" applyFont="1" applyFill="1" applyBorder="1" applyAlignment="1">
      <alignment horizontal="left"/>
    </xf>
    <xf numFmtId="14" fontId="7" fillId="0" borderId="11" xfId="11" applyNumberFormat="1" applyFont="1" applyBorder="1" applyAlignment="1">
      <alignment horizontal="left"/>
    </xf>
    <xf numFmtId="0" fontId="7" fillId="0" borderId="0" xfId="11" applyFont="1" applyBorder="1"/>
    <xf numFmtId="0" fontId="30" fillId="0" borderId="0" xfId="11" applyBorder="1"/>
    <xf numFmtId="14" fontId="7" fillId="0" borderId="0" xfId="11" applyNumberFormat="1" applyFont="1" applyBorder="1" applyAlignment="1">
      <alignment horizontal="left"/>
    </xf>
    <xf numFmtId="0" fontId="33" fillId="35" borderId="1" xfId="0" applyFont="1" applyFill="1" applyBorder="1" applyAlignment="1">
      <alignment vertical="center" wrapText="1"/>
    </xf>
    <xf numFmtId="0" fontId="5" fillId="0" borderId="0" xfId="11" applyFont="1" applyFill="1" applyBorder="1"/>
    <xf numFmtId="0" fontId="4" fillId="0" borderId="0" xfId="11" applyFont="1" applyFill="1" applyBorder="1"/>
    <xf numFmtId="0" fontId="93" fillId="29" borderId="20" xfId="14" applyFont="1" applyFill="1" applyBorder="1" applyAlignment="1" applyProtection="1">
      <alignment horizontal="left" vertical="center" wrapText="1"/>
      <protection locked="0"/>
    </xf>
    <xf numFmtId="0" fontId="8" fillId="0" borderId="0" xfId="11" applyFont="1" applyAlignment="1">
      <alignment horizontal="left"/>
    </xf>
    <xf numFmtId="14" fontId="30" fillId="0" borderId="0" xfId="11" applyNumberFormat="1" applyFill="1" applyBorder="1" applyAlignment="1">
      <alignment horizontal="left"/>
    </xf>
    <xf numFmtId="0" fontId="30" fillId="0" borderId="0" xfId="11" applyAlignment="1">
      <alignment horizontal="left"/>
    </xf>
    <xf numFmtId="0" fontId="3" fillId="0" borderId="0" xfId="11" applyFont="1" applyFill="1" applyBorder="1"/>
    <xf numFmtId="0" fontId="3" fillId="0" borderId="0" xfId="11" applyFont="1" applyAlignment="1">
      <alignment horizontal="left"/>
    </xf>
    <xf numFmtId="0" fontId="2" fillId="0" borderId="0" xfId="11" applyFont="1" applyFill="1" applyBorder="1"/>
    <xf numFmtId="0" fontId="2" fillId="0" borderId="0" xfId="11" applyFont="1" applyAlignment="1">
      <alignment horizontal="left"/>
    </xf>
    <xf numFmtId="0" fontId="30" fillId="0" borderId="22" xfId="11" applyBorder="1" applyAlignment="1">
      <alignment horizontal="left"/>
    </xf>
    <xf numFmtId="0" fontId="30" fillId="0" borderId="23" xfId="11" applyBorder="1" applyAlignment="1">
      <alignment horizontal="left"/>
    </xf>
    <xf numFmtId="0" fontId="33" fillId="35" borderId="1" xfId="0" applyFont="1" applyFill="1" applyBorder="1" applyAlignment="1">
      <alignment horizontal="center" vertical="center" wrapText="1"/>
    </xf>
    <xf numFmtId="0" fontId="33" fillId="35" borderId="11" xfId="0" applyFont="1" applyFill="1" applyBorder="1" applyAlignment="1">
      <alignment horizontal="center" vertical="center" wrapText="1"/>
    </xf>
    <xf numFmtId="0" fontId="33" fillId="35" borderId="11" xfId="0" applyFont="1" applyFill="1" applyBorder="1" applyAlignment="1">
      <alignment vertical="center" wrapText="1"/>
    </xf>
    <xf numFmtId="14" fontId="33" fillId="35" borderId="11" xfId="0" applyNumberFormat="1" applyFont="1" applyFill="1" applyBorder="1" applyAlignment="1">
      <alignment horizontal="center" vertical="center" wrapText="1"/>
    </xf>
    <xf numFmtId="0" fontId="33" fillId="35" borderId="11" xfId="0" applyFont="1" applyFill="1" applyBorder="1" applyAlignment="1">
      <alignment horizontal="center" vertical="center"/>
    </xf>
    <xf numFmtId="0" fontId="33" fillId="0" borderId="11" xfId="0" applyFont="1" applyBorder="1" applyAlignment="1">
      <alignment horizontal="center" vertical="center"/>
    </xf>
    <xf numFmtId="0" fontId="33" fillId="36" borderId="11" xfId="0" applyFont="1" applyFill="1" applyBorder="1" applyAlignment="1">
      <alignment horizontal="center" vertical="center"/>
    </xf>
    <xf numFmtId="0" fontId="1" fillId="0" borderId="22" xfId="11" applyNumberFormat="1" applyFont="1" applyBorder="1" applyAlignment="1"/>
    <xf numFmtId="0" fontId="1" fillId="0" borderId="23" xfId="11" applyNumberFormat="1" applyFont="1" applyBorder="1" applyAlignment="1"/>
    <xf numFmtId="0" fontId="62" fillId="6" borderId="24" xfId="1" applyNumberFormat="1" applyFont="1" applyFill="1" applyBorder="1"/>
    <xf numFmtId="0" fontId="1" fillId="0" borderId="25" xfId="11" applyNumberFormat="1" applyFont="1" applyBorder="1" applyAlignment="1"/>
    <xf numFmtId="0" fontId="112" fillId="0" borderId="26" xfId="0" applyFont="1" applyBorder="1" applyAlignment="1">
      <alignment horizontal="left"/>
    </xf>
    <xf numFmtId="0" fontId="79" fillId="0" borderId="0" xfId="3" applyFont="1" applyAlignment="1" applyProtection="1">
      <alignment horizontal="center" vertical="center" wrapText="1"/>
      <protection locked="0"/>
    </xf>
    <xf numFmtId="0" fontId="33" fillId="0" borderId="0" xfId="3" applyAlignment="1">
      <alignment vertical="center" wrapText="1"/>
    </xf>
    <xf numFmtId="0" fontId="70" fillId="16" borderId="2" xfId="3" applyFont="1" applyFill="1" applyBorder="1" applyAlignment="1" applyProtection="1">
      <alignment horizontal="center" vertical="center" shrinkToFit="1"/>
      <protection locked="0"/>
    </xf>
    <xf numFmtId="0" fontId="70" fillId="16" borderId="0" xfId="3" applyFont="1" applyFill="1" applyAlignment="1" applyProtection="1">
      <alignment horizontal="center" vertical="center" shrinkToFit="1"/>
      <protection locked="0"/>
    </xf>
    <xf numFmtId="0" fontId="70" fillId="16" borderId="3" xfId="3" applyFont="1" applyFill="1" applyBorder="1" applyAlignment="1" applyProtection="1">
      <alignment horizontal="center" vertical="center" shrinkToFit="1"/>
      <protection locked="0"/>
    </xf>
    <xf numFmtId="0" fontId="33" fillId="0" borderId="4" xfId="3" applyBorder="1" applyAlignment="1" applyProtection="1">
      <alignment horizontal="right" vertical="top" wrapText="1" shrinkToFit="1"/>
      <protection locked="0"/>
    </xf>
    <xf numFmtId="0" fontId="33" fillId="0" borderId="5" xfId="3" applyBorder="1" applyAlignment="1" applyProtection="1">
      <alignment horizontal="right" vertical="top" wrapText="1" shrinkToFit="1"/>
      <protection locked="0"/>
    </xf>
    <xf numFmtId="0" fontId="71" fillId="0" borderId="5" xfId="0" applyFont="1" applyBorder="1" applyAlignment="1" applyProtection="1">
      <alignment horizontal="left" vertical="top" wrapText="1" shrinkToFit="1"/>
      <protection locked="0"/>
    </xf>
    <xf numFmtId="0" fontId="71" fillId="0" borderId="6" xfId="0" applyFont="1" applyBorder="1" applyAlignment="1" applyProtection="1">
      <alignment horizontal="left" vertical="top" wrapText="1" shrinkToFit="1"/>
      <protection locked="0"/>
    </xf>
    <xf numFmtId="0" fontId="35" fillId="0" borderId="5" xfId="3" applyFont="1" applyBorder="1" applyAlignment="1" applyProtection="1">
      <alignment horizontal="left" vertical="top" wrapText="1" shrinkToFit="1"/>
      <protection locked="0"/>
    </xf>
    <xf numFmtId="0" fontId="73" fillId="0" borderId="5" xfId="3" applyFont="1" applyBorder="1" applyAlignment="1" applyProtection="1">
      <alignment horizontal="left" vertical="top" shrinkToFit="1"/>
      <protection locked="0"/>
    </xf>
    <xf numFmtId="0" fontId="73" fillId="0" borderId="6" xfId="3" applyFont="1" applyBorder="1" applyAlignment="1" applyProtection="1">
      <alignment horizontal="left" vertical="top" shrinkToFit="1"/>
      <protection locked="0"/>
    </xf>
    <xf numFmtId="0" fontId="70" fillId="16" borderId="7" xfId="3" applyFont="1" applyFill="1" applyBorder="1" applyAlignment="1" applyProtection="1">
      <alignment horizontal="center" vertical="center" shrinkToFit="1"/>
      <protection locked="0"/>
    </xf>
    <xf numFmtId="0" fontId="70" fillId="16" borderId="8" xfId="3" applyFont="1" applyFill="1" applyBorder="1" applyAlignment="1" applyProtection="1">
      <alignment horizontal="center" vertical="center" shrinkToFit="1"/>
      <protection locked="0"/>
    </xf>
    <xf numFmtId="0" fontId="70" fillId="16" borderId="9" xfId="3" applyFont="1" applyFill="1" applyBorder="1" applyAlignment="1" applyProtection="1">
      <alignment horizontal="center" vertical="center" shrinkToFit="1"/>
      <protection locked="0"/>
    </xf>
    <xf numFmtId="0" fontId="33" fillId="0" borderId="4" xfId="3" applyBorder="1" applyAlignment="1" applyProtection="1">
      <alignment horizontal="center" vertical="top" wrapText="1" shrinkToFit="1"/>
      <protection locked="0"/>
    </xf>
    <xf numFmtId="0" fontId="33" fillId="0" borderId="5" xfId="3" applyBorder="1" applyAlignment="1" applyProtection="1">
      <alignment horizontal="center" vertical="top" wrapText="1" shrinkToFit="1"/>
      <protection locked="0"/>
    </xf>
    <xf numFmtId="0" fontId="33" fillId="0" borderId="6" xfId="3" applyBorder="1" applyAlignment="1" applyProtection="1">
      <alignment horizontal="center" vertical="top" wrapText="1" shrinkToFit="1"/>
      <protection locked="0"/>
    </xf>
    <xf numFmtId="0" fontId="70" fillId="16" borderId="8" xfId="3" applyFont="1" applyFill="1" applyBorder="1" applyAlignment="1" applyProtection="1">
      <alignment horizontal="center" vertical="center" wrapText="1"/>
      <protection locked="0"/>
    </xf>
    <xf numFmtId="0" fontId="70" fillId="16" borderId="0" xfId="3" applyFont="1" applyFill="1" applyAlignment="1" applyProtection="1">
      <alignment horizontal="center" vertical="center" wrapText="1"/>
      <protection locked="0"/>
    </xf>
    <xf numFmtId="0" fontId="33" fillId="0" borderId="7" xfId="3" applyBorder="1" applyAlignment="1" applyProtection="1">
      <alignment horizontal="left" vertical="top"/>
      <protection locked="0"/>
    </xf>
    <xf numFmtId="0" fontId="33" fillId="0" borderId="8" xfId="3" applyBorder="1" applyAlignment="1" applyProtection="1">
      <alignment horizontal="left" vertical="top"/>
      <protection locked="0"/>
    </xf>
    <xf numFmtId="0" fontId="33" fillId="0" borderId="9" xfId="3" applyBorder="1" applyAlignment="1" applyProtection="1">
      <alignment horizontal="left" vertical="top"/>
      <protection locked="0"/>
    </xf>
    <xf numFmtId="0" fontId="33" fillId="0" borderId="4" xfId="3" applyBorder="1" applyAlignment="1" applyProtection="1">
      <alignment horizontal="left" vertical="top"/>
      <protection locked="0"/>
    </xf>
    <xf numFmtId="0" fontId="33" fillId="0" borderId="5" xfId="3" applyBorder="1" applyAlignment="1" applyProtection="1">
      <alignment horizontal="left" vertical="top"/>
      <protection locked="0"/>
    </xf>
    <xf numFmtId="0" fontId="33" fillId="0" borderId="6" xfId="3" applyBorder="1" applyAlignment="1" applyProtection="1">
      <alignment horizontal="left" vertical="top"/>
      <protection locked="0"/>
    </xf>
    <xf numFmtId="0" fontId="70" fillId="16" borderId="2" xfId="3" applyFont="1" applyFill="1" applyBorder="1" applyAlignment="1" applyProtection="1">
      <alignment horizontal="center" vertical="center" wrapText="1" shrinkToFit="1"/>
      <protection locked="0"/>
    </xf>
    <xf numFmtId="0" fontId="70" fillId="16" borderId="0" xfId="3" applyFont="1" applyFill="1" applyAlignment="1" applyProtection="1">
      <alignment horizontal="center" vertical="center" wrapText="1" shrinkToFit="1"/>
      <protection locked="0"/>
    </xf>
    <xf numFmtId="0" fontId="89" fillId="25" borderId="14" xfId="12" applyAlignment="1" applyProtection="1">
      <alignment horizontal="center" vertical="center"/>
      <protection locked="0"/>
    </xf>
    <xf numFmtId="0" fontId="38" fillId="0" borderId="7" xfId="3" applyFont="1" applyBorder="1" applyAlignment="1">
      <alignment horizontal="left" vertical="center" wrapText="1"/>
    </xf>
    <xf numFmtId="0" fontId="38" fillId="0" borderId="8" xfId="3" applyFont="1" applyBorder="1" applyAlignment="1">
      <alignment horizontal="left" vertical="center" wrapText="1"/>
    </xf>
    <xf numFmtId="0" fontId="38" fillId="0" borderId="9" xfId="3" applyFont="1" applyBorder="1" applyAlignment="1">
      <alignment horizontal="left" vertical="center" wrapText="1"/>
    </xf>
    <xf numFmtId="0" fontId="38" fillId="0" borderId="7" xfId="3" applyFont="1" applyBorder="1" applyAlignment="1">
      <alignment horizontal="left" vertical="center" shrinkToFit="1"/>
    </xf>
    <xf numFmtId="0" fontId="38" fillId="0" borderId="8" xfId="3" applyFont="1" applyBorder="1" applyAlignment="1">
      <alignment horizontal="left" vertical="center" shrinkToFit="1"/>
    </xf>
    <xf numFmtId="0" fontId="38" fillId="0" borderId="9" xfId="3" applyFont="1" applyBorder="1" applyAlignment="1">
      <alignment horizontal="left" vertical="center" shrinkToFit="1"/>
    </xf>
    <xf numFmtId="0" fontId="68" fillId="0" borderId="4" xfId="0" applyFont="1" applyBorder="1" applyAlignment="1">
      <alignment horizontal="left" vertical="center" shrinkToFit="1"/>
    </xf>
    <xf numFmtId="0" fontId="68" fillId="0" borderId="5" xfId="0" applyFont="1" applyBorder="1" applyAlignment="1">
      <alignment horizontal="left" vertical="center" shrinkToFit="1"/>
    </xf>
    <xf numFmtId="0" fontId="68" fillId="0" borderId="6" xfId="0" applyFont="1" applyBorder="1" applyAlignment="1">
      <alignment horizontal="left" vertical="center" shrinkToFit="1"/>
    </xf>
    <xf numFmtId="0" fontId="68" fillId="0" borderId="4" xfId="3" applyFont="1" applyBorder="1" applyAlignment="1">
      <alignment horizontal="left" vertical="center" shrinkToFit="1"/>
    </xf>
    <xf numFmtId="0" fontId="68" fillId="0" borderId="5" xfId="3" applyFont="1" applyBorder="1" applyAlignment="1">
      <alignment horizontal="left" vertical="center" shrinkToFit="1"/>
    </xf>
    <xf numFmtId="0" fontId="68" fillId="0" borderId="6" xfId="3" applyFont="1" applyBorder="1" applyAlignment="1">
      <alignment horizontal="left" vertical="center" shrinkToFit="1"/>
    </xf>
    <xf numFmtId="49" fontId="33" fillId="0" borderId="10" xfId="3" applyNumberFormat="1" applyBorder="1" applyAlignment="1" applyProtection="1">
      <alignment horizontal="center" vertical="center" wrapText="1"/>
      <protection locked="0"/>
    </xf>
    <xf numFmtId="49" fontId="33" fillId="0" borderId="19" xfId="3" applyNumberFormat="1" applyBorder="1" applyAlignment="1" applyProtection="1">
      <alignment horizontal="center" vertical="center" wrapText="1"/>
      <protection locked="0"/>
    </xf>
    <xf numFmtId="49" fontId="33" fillId="0" borderId="11" xfId="3" applyNumberFormat="1" applyBorder="1" applyAlignment="1" applyProtection="1">
      <alignment horizontal="center" vertical="center" wrapText="1"/>
      <protection locked="0"/>
    </xf>
    <xf numFmtId="0" fontId="33" fillId="0" borderId="10" xfId="3" applyBorder="1" applyAlignment="1">
      <alignment horizontal="left" vertical="center" wrapText="1"/>
    </xf>
    <xf numFmtId="0" fontId="33" fillId="0" borderId="19" xfId="3" applyBorder="1" applyAlignment="1">
      <alignment horizontal="left" vertical="center" wrapText="1"/>
    </xf>
    <xf numFmtId="0" fontId="33" fillId="0" borderId="11" xfId="3" applyBorder="1" applyAlignment="1">
      <alignment horizontal="left" vertical="center" wrapText="1"/>
    </xf>
    <xf numFmtId="0" fontId="63" fillId="0" borderId="10" xfId="2" applyBorder="1" applyAlignment="1">
      <alignment horizontal="left" vertical="center" wrapText="1"/>
    </xf>
    <xf numFmtId="49" fontId="33" fillId="0" borderId="1" xfId="3" applyNumberFormat="1" applyBorder="1" applyAlignment="1" applyProtection="1">
      <alignment horizontal="left" vertical="center" wrapText="1"/>
      <protection locked="0"/>
    </xf>
    <xf numFmtId="0" fontId="33" fillId="0" borderId="1" xfId="3" applyBorder="1" applyAlignment="1">
      <alignment horizontal="left" vertical="center" wrapText="1"/>
    </xf>
    <xf numFmtId="49" fontId="33" fillId="0" borderId="1" xfId="3" applyNumberFormat="1" applyBorder="1" applyAlignment="1" applyProtection="1">
      <alignment vertical="center" wrapText="1"/>
      <protection locked="0"/>
    </xf>
    <xf numFmtId="0" fontId="51" fillId="18" borderId="1" xfId="3" applyFont="1" applyFill="1" applyBorder="1" applyAlignment="1" applyProtection="1">
      <alignment horizontal="center" vertical="center" wrapText="1"/>
      <protection locked="0"/>
    </xf>
    <xf numFmtId="0" fontId="85" fillId="20" borderId="1" xfId="3" applyFont="1" applyFill="1" applyBorder="1" applyAlignment="1">
      <alignment horizontal="center" vertical="center" wrapText="1"/>
    </xf>
    <xf numFmtId="0" fontId="33" fillId="0" borderId="1" xfId="3" applyBorder="1" applyAlignment="1">
      <alignment horizontal="center" vertical="center" wrapText="1"/>
    </xf>
    <xf numFmtId="14" fontId="33" fillId="0" borderId="10" xfId="3" applyNumberFormat="1" applyBorder="1" applyAlignment="1" applyProtection="1">
      <alignment horizontal="left" vertical="center" wrapText="1"/>
      <protection locked="0"/>
    </xf>
    <xf numFmtId="14" fontId="33" fillId="0" borderId="19" xfId="3" applyNumberFormat="1" applyBorder="1" applyAlignment="1" applyProtection="1">
      <alignment horizontal="left" vertical="center" wrapText="1"/>
      <protection locked="0"/>
    </xf>
    <xf numFmtId="14" fontId="33" fillId="0" borderId="11" xfId="3" applyNumberFormat="1" applyBorder="1" applyAlignment="1" applyProtection="1">
      <alignment horizontal="left" vertical="center" wrapText="1"/>
      <protection locked="0"/>
    </xf>
    <xf numFmtId="49" fontId="33" fillId="0" borderId="1" xfId="3" applyNumberFormat="1" applyBorder="1" applyAlignment="1">
      <alignment horizontal="left" vertical="center" wrapText="1"/>
    </xf>
    <xf numFmtId="49" fontId="33" fillId="0" borderId="1" xfId="3" applyNumberFormat="1" applyBorder="1" applyAlignment="1" applyProtection="1">
      <alignment horizontal="center" vertical="center" wrapText="1"/>
      <protection locked="0"/>
    </xf>
    <xf numFmtId="49" fontId="33" fillId="0" borderId="1" xfId="3" applyNumberFormat="1" applyBorder="1" applyAlignment="1">
      <alignment horizontal="center" vertical="center" wrapText="1"/>
    </xf>
    <xf numFmtId="49" fontId="33" fillId="22" borderId="1" xfId="3" applyNumberFormat="1" applyFill="1" applyBorder="1" applyAlignment="1" applyProtection="1">
      <alignment horizontal="center" vertical="center" wrapText="1"/>
      <protection locked="0"/>
    </xf>
    <xf numFmtId="49" fontId="33" fillId="32" borderId="1" xfId="3" applyNumberFormat="1" applyFill="1" applyBorder="1" applyAlignment="1" applyProtection="1">
      <alignment horizontal="center" vertical="center" wrapText="1"/>
      <protection locked="0"/>
    </xf>
    <xf numFmtId="49" fontId="65" fillId="24" borderId="1" xfId="3" applyNumberFormat="1" applyFont="1" applyFill="1" applyBorder="1" applyAlignment="1" applyProtection="1">
      <alignment horizontal="center" vertical="center" wrapText="1"/>
      <protection locked="0"/>
    </xf>
    <xf numFmtId="0" fontId="38" fillId="17" borderId="7" xfId="3" applyFont="1" applyFill="1" applyBorder="1" applyAlignment="1">
      <alignment horizontal="left" vertical="center" shrinkToFit="1"/>
    </xf>
    <xf numFmtId="0" fontId="38" fillId="17" borderId="8" xfId="3" applyFont="1" applyFill="1" applyBorder="1" applyAlignment="1">
      <alignment horizontal="left" vertical="center" shrinkToFit="1"/>
    </xf>
    <xf numFmtId="0" fontId="38" fillId="17" borderId="9" xfId="3" applyFont="1" applyFill="1" applyBorder="1" applyAlignment="1">
      <alignment horizontal="left" vertical="center" shrinkToFi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0" fontId="33" fillId="18" borderId="1" xfId="3" applyFill="1" applyBorder="1" applyAlignment="1" applyProtection="1">
      <alignment horizontal="center" vertical="center" wrapText="1"/>
      <protection locked="0"/>
    </xf>
    <xf numFmtId="49" fontId="33" fillId="19" borderId="1" xfId="3" applyNumberFormat="1" applyFill="1" applyBorder="1" applyAlignment="1" applyProtection="1">
      <alignment horizontal="center" vertical="center" wrapText="1"/>
      <protection locked="0"/>
    </xf>
    <xf numFmtId="0" fontId="38" fillId="17" borderId="7" xfId="3" applyFont="1" applyFill="1" applyBorder="1" applyAlignment="1">
      <alignment horizontal="left" vertical="center" wrapText="1"/>
    </xf>
    <xf numFmtId="0" fontId="38" fillId="17" borderId="8" xfId="3" applyFont="1" applyFill="1" applyBorder="1" applyAlignment="1">
      <alignment horizontal="left" vertical="center" wrapText="1"/>
    </xf>
    <xf numFmtId="0" fontId="38" fillId="17" borderId="9" xfId="3" applyFont="1" applyFill="1" applyBorder="1" applyAlignment="1">
      <alignment horizontal="left" vertical="center" wrapText="1"/>
    </xf>
    <xf numFmtId="0" fontId="68" fillId="17" borderId="4" xfId="3" applyFont="1" applyFill="1" applyBorder="1" applyAlignment="1">
      <alignment horizontal="left" vertical="center" shrinkToFit="1"/>
    </xf>
    <xf numFmtId="0" fontId="68" fillId="17" borderId="5" xfId="3" applyFont="1" applyFill="1" applyBorder="1" applyAlignment="1">
      <alignment horizontal="left" vertical="center" shrinkToFit="1"/>
    </xf>
    <xf numFmtId="0" fontId="68" fillId="17" borderId="6" xfId="3" applyFont="1" applyFill="1" applyBorder="1" applyAlignment="1">
      <alignment horizontal="left" vertical="center" shrinkToFit="1"/>
    </xf>
    <xf numFmtId="49" fontId="33" fillId="23" borderId="1" xfId="3" applyNumberFormat="1" applyFill="1" applyBorder="1" applyAlignment="1" applyProtection="1">
      <alignment horizontal="center" vertical="center" wrapText="1"/>
      <protection locked="0"/>
    </xf>
    <xf numFmtId="0" fontId="102" fillId="2" borderId="10" xfId="7" applyFont="1" applyFill="1" applyBorder="1" applyAlignment="1">
      <alignment horizontal="center" vertical="center"/>
    </xf>
    <xf numFmtId="0" fontId="102" fillId="2" borderId="19" xfId="7" applyFont="1" applyFill="1" applyBorder="1" applyAlignment="1">
      <alignment horizontal="center" vertical="center"/>
    </xf>
    <xf numFmtId="0" fontId="102" fillId="2" borderId="11" xfId="7" applyFont="1" applyFill="1" applyBorder="1" applyAlignment="1">
      <alignment horizontal="center" vertical="center"/>
    </xf>
    <xf numFmtId="0" fontId="39" fillId="2" borderId="10" xfId="7" applyFill="1" applyBorder="1" applyAlignment="1">
      <alignment horizontal="justify" vertical="center" wrapText="1"/>
    </xf>
    <xf numFmtId="0" fontId="39" fillId="2" borderId="19" xfId="7" applyFill="1" applyBorder="1" applyAlignment="1">
      <alignment horizontal="justify" vertical="center" wrapText="1"/>
    </xf>
    <xf numFmtId="0" fontId="39" fillId="2" borderId="11" xfId="7" applyFill="1" applyBorder="1" applyAlignment="1">
      <alignment horizontal="justify" vertical="center" wrapText="1"/>
    </xf>
    <xf numFmtId="0" fontId="34" fillId="21" borderId="2" xfId="0" applyFont="1" applyFill="1" applyBorder="1" applyAlignment="1">
      <alignment horizontal="center" vertical="top" textRotation="45"/>
    </xf>
    <xf numFmtId="0" fontId="34" fillId="9" borderId="2" xfId="0" applyFont="1" applyFill="1" applyBorder="1" applyAlignment="1">
      <alignment horizontal="center" vertical="center" textRotation="45"/>
    </xf>
    <xf numFmtId="0" fontId="40" fillId="3" borderId="7" xfId="7" applyFont="1" applyFill="1" applyBorder="1" applyAlignment="1">
      <alignment horizontal="center" vertical="distributed"/>
    </xf>
    <xf numFmtId="0" fontId="40" fillId="3" borderId="8" xfId="7" applyFont="1" applyFill="1" applyBorder="1" applyAlignment="1">
      <alignment horizontal="center" vertical="distributed"/>
    </xf>
    <xf numFmtId="0" fontId="40" fillId="3" borderId="9" xfId="7" applyFont="1" applyFill="1" applyBorder="1" applyAlignment="1">
      <alignment horizontal="center" vertical="distributed"/>
    </xf>
    <xf numFmtId="0" fontId="34" fillId="3" borderId="7" xfId="0" applyFont="1" applyFill="1" applyBorder="1" applyAlignment="1">
      <alignment horizontal="center" wrapText="1"/>
    </xf>
    <xf numFmtId="0" fontId="34" fillId="3" borderId="8" xfId="0" applyFont="1" applyFill="1" applyBorder="1" applyAlignment="1">
      <alignment horizontal="center" wrapText="1"/>
    </xf>
    <xf numFmtId="0" fontId="34" fillId="3" borderId="9" xfId="0" applyFont="1" applyFill="1" applyBorder="1" applyAlignment="1">
      <alignment horizontal="center" wrapText="1"/>
    </xf>
    <xf numFmtId="0" fontId="33" fillId="2" borderId="10" xfId="0" applyFont="1" applyFill="1" applyBorder="1" applyAlignment="1">
      <alignment horizontal="left" vertical="center" wrapText="1" shrinkToFit="1"/>
    </xf>
    <xf numFmtId="0" fontId="33" fillId="2" borderId="11" xfId="0" applyFont="1" applyFill="1" applyBorder="1" applyAlignment="1">
      <alignment horizontal="left" vertical="center" wrapText="1" shrinkToFit="1"/>
    </xf>
    <xf numFmtId="0" fontId="92" fillId="28" borderId="4" xfId="13" applyFont="1" applyFill="1" applyBorder="1" applyAlignment="1" applyProtection="1">
      <alignment horizontal="center" vertical="center" wrapText="1"/>
      <protection locked="0"/>
    </xf>
    <xf numFmtId="0" fontId="92" fillId="28" borderId="5" xfId="13" applyFont="1" applyFill="1" applyBorder="1" applyAlignment="1" applyProtection="1">
      <alignment horizontal="center" vertical="center" wrapText="1"/>
      <protection locked="0"/>
    </xf>
    <xf numFmtId="0" fontId="92" fillId="28" borderId="6" xfId="13" applyFont="1" applyFill="1" applyBorder="1" applyAlignment="1" applyProtection="1">
      <alignment horizontal="center" vertical="center" wrapText="1"/>
      <protection locked="0"/>
    </xf>
    <xf numFmtId="0" fontId="92" fillId="16" borderId="4" xfId="13" applyFont="1" applyFill="1" applyBorder="1" applyAlignment="1" applyProtection="1">
      <alignment horizontal="center" vertical="center" wrapText="1"/>
    </xf>
    <xf numFmtId="0" fontId="92" fillId="16" borderId="5" xfId="13" applyFont="1" applyFill="1" applyBorder="1" applyAlignment="1" applyProtection="1">
      <alignment horizontal="center" vertical="center" wrapText="1"/>
    </xf>
    <xf numFmtId="0" fontId="89" fillId="25" borderId="14" xfId="12" applyAlignment="1">
      <alignment horizontal="left" vertical="center"/>
    </xf>
    <xf numFmtId="0" fontId="42" fillId="8" borderId="5" xfId="0" applyFont="1" applyFill="1" applyBorder="1" applyAlignment="1">
      <alignment horizontal="center" vertical="center"/>
    </xf>
    <xf numFmtId="0" fontId="42" fillId="8" borderId="6" xfId="0" applyFont="1" applyFill="1" applyBorder="1" applyAlignment="1">
      <alignment horizontal="center" vertical="center"/>
    </xf>
    <xf numFmtId="0" fontId="97" fillId="28" borderId="10" xfId="2" applyFont="1" applyFill="1" applyBorder="1" applyAlignment="1" applyProtection="1">
      <alignment horizontal="center" vertical="center" wrapText="1"/>
      <protection locked="0"/>
    </xf>
    <xf numFmtId="0" fontId="97" fillId="28" borderId="11" xfId="2" applyFont="1" applyFill="1" applyBorder="1" applyAlignment="1" applyProtection="1">
      <alignment horizontal="center" vertical="center" wrapText="1"/>
      <protection locked="0"/>
    </xf>
    <xf numFmtId="0" fontId="30" fillId="0" borderId="22" xfId="11" applyBorder="1"/>
    <xf numFmtId="0" fontId="30" fillId="0" borderId="23" xfId="11" applyBorder="1"/>
    <xf numFmtId="0" fontId="62" fillId="6" borderId="21" xfId="1" applyBorder="1"/>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179">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alignment horizontal="left" textRotation="0" indent="0" justifyLastLine="0" shrinkToFit="0" readingOrder="0"/>
    </dxf>
    <dxf>
      <alignment horizontal="left" textRotation="0" indent="0" justifyLastLine="0" shrinkToFit="0" readingOrder="0"/>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43</c:v>
                </c:pt>
                <c:pt idx="1">
                  <c:v>2</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9</c:v>
                </c:pt>
                <c:pt idx="4">
                  <c:v>7</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7</c:v>
                </c:pt>
                <c:pt idx="1">
                  <c:v>9</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3" totalsRowShown="0" headerRowDxfId="1178" headerRowBorderDxfId="1177" tableBorderDxfId="1176" headerRowCellStyle="40% - Accent5" dataCellStyle="Normal 4">
  <autoFilter ref="A2:O1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DxfId="1175" dataCellStyle="Normal 4"/>
    <tableColumn id="4" xr3:uid="{7CAB5B69-9FD6-4BE7-A3E1-3148F51E8C55}" name="Due date" dataDxfId="1174" dataCellStyle="Normal 4"/>
    <tableColumn id="5" xr3:uid="{A7E8DB5D-2E5B-4D50-802A-7373C2649DB9}" name="Effort (in mn)" dataDxfId="1173" dataCellStyle="Calculation">
      <calculatedColumnFormula>SUM(F3:O3)</calculatedColumnFormula>
    </tableColumn>
    <tableColumn id="6" xr3:uid="{DD9655BE-E53F-4CA5-885B-7FC10F8D2395}" name="DPU" dataCellStyle="Normal 4"/>
    <tableColumn id="7" xr3:uid="{525D8884-0C8A-4478-BF05-7E1372CD45F9}" name="CGA" dataCellStyle="Normal 4"/>
    <tableColumn id="8" xr3:uid="{967B83B5-4BDD-455D-9479-4517937966AE}" name="DDU" dataCellStyle="Normal 4"/>
    <tableColumn id="9" xr3:uid="{B1B837F4-0787-4CAA-BD5D-A6B2F7E9368A}" name="GBR" dataCellStyle="Normal 4"/>
    <tableColumn id="10" xr3:uid="{4B029EAF-CE65-4128-A016-A786C51E5D01}" name="VPO" dataCellStyle="Normal 4"/>
    <tableColumn id="11" xr3:uid="{5B3D026C-0D6F-4D5D-949A-921EED9750D8}" name="CAL" dataCellStyle="Normal 4"/>
    <tableColumn id="12" xr3:uid="{F47E4945-FC46-4596-99F8-6868803682F5}" name="VCH" dataCellStyle="Normal 4"/>
    <tableColumn id="13" xr3:uid="{5139BD5E-7132-4168-905C-F6084CD7F3D0}" name="CGB" dataCellStyle="Normal 4"/>
    <tableColumn id="14" xr3:uid="{209C6056-7295-438E-8AAC-53D245A1A566}" name="IRE" dataCellStyle="Normal 4"/>
    <tableColumn id="15" xr3:uid="{44523813-F64C-4FE7-A45B-D7EB2E82E7C4}" name="LAR"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5" sqref="E15:AG15"/>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425</v>
      </c>
    </row>
    <row r="4" spans="1:37" s="82" customFormat="1" ht="11.1" customHeight="1">
      <c r="A4" s="262" t="s">
        <v>0</v>
      </c>
      <c r="B4" s="263"/>
      <c r="C4" s="263"/>
      <c r="D4" s="263"/>
      <c r="E4" s="263"/>
      <c r="F4" s="263"/>
      <c r="G4" s="263"/>
      <c r="H4" s="263"/>
      <c r="I4" s="263"/>
      <c r="J4" s="263"/>
      <c r="K4" s="263"/>
      <c r="L4" s="263"/>
      <c r="M4" s="263"/>
      <c r="N4" s="263"/>
      <c r="O4" s="263"/>
      <c r="P4" s="263"/>
      <c r="Q4" s="264"/>
      <c r="R4" s="259" t="s">
        <v>1</v>
      </c>
      <c r="S4" s="260"/>
      <c r="T4" s="260"/>
      <c r="U4" s="260"/>
      <c r="V4" s="261"/>
      <c r="W4" s="259" t="s">
        <v>2</v>
      </c>
      <c r="X4" s="260"/>
      <c r="Y4" s="260"/>
      <c r="Z4" s="260"/>
      <c r="AA4" s="261"/>
      <c r="AB4" s="262" t="s">
        <v>3</v>
      </c>
      <c r="AC4" s="263"/>
      <c r="AD4" s="263"/>
      <c r="AE4" s="263"/>
      <c r="AF4" s="263"/>
      <c r="AG4" s="264"/>
      <c r="AH4" s="88"/>
      <c r="AI4" s="88"/>
      <c r="AJ4" s="88"/>
    </row>
    <row r="5" spans="1:37" s="89" customFormat="1" ht="12.75" customHeight="1">
      <c r="A5" s="265" t="str">
        <f ca="1" xml:space="preserve"> IFERROR(IF([3]!alvDocProperty("MXAuthority")="","272502 VW VWA VN 41S1_NAR EL SB",[3]!alvDocProperty("MXAuthority")),"272502 VW VWA VN 41S1_NAR EL SB")</f>
        <v>272502 VW VWA VN 41S1_NAR EL SB</v>
      </c>
      <c r="B5" s="266"/>
      <c r="C5" s="266"/>
      <c r="D5" s="266"/>
      <c r="E5" s="266"/>
      <c r="F5" s="266"/>
      <c r="G5" s="266"/>
      <c r="H5" s="266"/>
      <c r="I5" s="266"/>
      <c r="J5" s="266"/>
      <c r="K5" s="266"/>
      <c r="L5" s="266"/>
      <c r="M5" s="266"/>
      <c r="N5" s="266"/>
      <c r="O5" s="266"/>
      <c r="P5" s="266"/>
      <c r="Q5" s="267"/>
      <c r="R5" s="265" t="s">
        <v>4</v>
      </c>
      <c r="S5" s="266"/>
      <c r="T5" s="266"/>
      <c r="U5" s="266"/>
      <c r="V5" s="267"/>
      <c r="W5" s="265" t="str">
        <f ca="1" xml:space="preserve"> IFERROR(IF([3]!alvDocProperty("MXCurrent.Localized")="","Template released",[3]!alvDocProperty("MXCurrent.Localized")),"Template released")</f>
        <v>Template released</v>
      </c>
      <c r="X5" s="266"/>
      <c r="Y5" s="266"/>
      <c r="Z5" s="266"/>
      <c r="AA5" s="267"/>
      <c r="AB5" s="265" t="str">
        <f ca="1" xml:space="preserve"> IFERROR(IF([3]!alvDocProperty("MXActual_state_Released")="","2022-09",[3]!alvDocProperty("MXActual_state_Released")),"2022-09")</f>
        <v>2022-09</v>
      </c>
      <c r="AC5" s="266"/>
      <c r="AD5" s="266"/>
      <c r="AE5" s="266"/>
      <c r="AF5" s="266"/>
      <c r="AG5" s="267"/>
    </row>
    <row r="6" spans="1:37" s="82" customFormat="1" ht="11.1" customHeight="1">
      <c r="A6" s="259" t="s">
        <v>5</v>
      </c>
      <c r="B6" s="260"/>
      <c r="C6" s="260"/>
      <c r="D6" s="261"/>
      <c r="E6" s="259" t="s">
        <v>6</v>
      </c>
      <c r="F6" s="260"/>
      <c r="G6" s="260"/>
      <c r="H6" s="260"/>
      <c r="I6" s="260"/>
      <c r="J6" s="260"/>
      <c r="K6" s="260"/>
      <c r="L6" s="260"/>
      <c r="M6" s="260"/>
      <c r="N6" s="260"/>
      <c r="O6" s="260"/>
      <c r="P6" s="260"/>
      <c r="Q6" s="260"/>
      <c r="R6" s="260"/>
      <c r="S6" s="260"/>
      <c r="T6" s="260"/>
      <c r="U6" s="260"/>
      <c r="V6" s="261"/>
      <c r="W6" s="262" t="s">
        <v>7</v>
      </c>
      <c r="X6" s="263"/>
      <c r="Y6" s="263"/>
      <c r="Z6" s="263"/>
      <c r="AA6" s="264"/>
      <c r="AB6" s="259" t="s">
        <v>8</v>
      </c>
      <c r="AC6" s="260"/>
      <c r="AD6" s="261"/>
      <c r="AE6" s="259" t="s">
        <v>9</v>
      </c>
      <c r="AF6" s="260"/>
      <c r="AG6" s="261"/>
    </row>
    <row r="7" spans="1:37" s="89" customFormat="1" ht="12.75" customHeight="1">
      <c r="A7" s="265" t="str">
        <f ca="1" xml:space="preserve"> IFERROR(IF([3]!alvDocProperty("MXName")="","TBD",[3]!alvDocProperty("MXName")),"TBD")</f>
        <v>TBD</v>
      </c>
      <c r="B7" s="266"/>
      <c r="C7" s="266"/>
      <c r="D7" s="267"/>
      <c r="E7" s="265" t="str">
        <f ca="1" xml:space="preserve"> IFERROR(IF([3]!alvDocProperty("MXTitle")="","RCM - Peer Review Workbook (PRWB)",[3]!alvDocProperty("MXTitle")),"RCM - Peer Review Workbook (PRWB)")</f>
        <v>RCM - Peer Review Workbook (PRWB)</v>
      </c>
      <c r="F7" s="266"/>
      <c r="G7" s="266"/>
      <c r="H7" s="266"/>
      <c r="I7" s="266"/>
      <c r="J7" s="266"/>
      <c r="K7" s="266"/>
      <c r="L7" s="266"/>
      <c r="M7" s="266"/>
      <c r="N7" s="266"/>
      <c r="O7" s="266"/>
      <c r="P7" s="266"/>
      <c r="Q7" s="266"/>
      <c r="R7" s="266"/>
      <c r="S7" s="266"/>
      <c r="T7" s="266"/>
      <c r="U7" s="266"/>
      <c r="V7" s="267"/>
      <c r="W7" s="268" t="str">
        <f ca="1" xml:space="preserve"> IFERROR(IF([3]!alvDocProperty("MXDocTemplate_Name")="","AEF1007",[3]!alvDocProperty("MXDocTemplate_Name")),"AEF1007")</f>
        <v>AEF1007</v>
      </c>
      <c r="X7" s="269"/>
      <c r="Y7" s="269"/>
      <c r="Z7" s="269"/>
      <c r="AA7" s="270"/>
      <c r="AB7" s="265" t="str">
        <f ca="1" xml:space="preserve"> IFERROR(IF([3]!alvDocProperty("MXRevision")="","TBD",[3]!alvDocProperty("MXRevision")),"TBD")</f>
        <v>TBD</v>
      </c>
      <c r="AC7" s="266"/>
      <c r="AD7" s="267"/>
      <c r="AE7" s="265" t="str">
        <f ca="1" xml:space="preserve"> IFERROR(IF([3]!alvDocProperty("MXVersion")="","TBD",[3]!alvDocProperty("MXVersion")),"TBD")</f>
        <v>TBD</v>
      </c>
      <c r="AF7" s="266"/>
      <c r="AG7" s="267"/>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32" t="s">
        <v>10</v>
      </c>
      <c r="B9" s="233"/>
      <c r="C9" s="233"/>
      <c r="D9" s="233"/>
      <c r="E9" s="233"/>
      <c r="F9" s="233"/>
      <c r="G9" s="233"/>
      <c r="H9" s="233"/>
      <c r="I9" s="233"/>
      <c r="J9" s="233"/>
      <c r="K9" s="234"/>
      <c r="L9" s="232" t="s">
        <v>1</v>
      </c>
      <c r="M9" s="233"/>
      <c r="N9" s="233"/>
      <c r="O9" s="233"/>
      <c r="P9" s="233"/>
      <c r="Q9" s="233"/>
      <c r="R9" s="233"/>
      <c r="S9" s="233"/>
      <c r="T9" s="233"/>
      <c r="U9" s="233"/>
      <c r="V9" s="234"/>
      <c r="W9" s="232" t="s">
        <v>11</v>
      </c>
      <c r="X9" s="233"/>
      <c r="Y9" s="233"/>
      <c r="Z9" s="233"/>
      <c r="AA9" s="233"/>
      <c r="AB9" s="233"/>
      <c r="AC9" s="233"/>
      <c r="AD9" s="233"/>
      <c r="AE9" s="233"/>
      <c r="AF9" s="233"/>
      <c r="AG9" s="234"/>
    </row>
    <row r="10" spans="1:37" s="93" customFormat="1" ht="39" customHeight="1">
      <c r="A10" s="235" t="s">
        <v>12</v>
      </c>
      <c r="B10" s="236"/>
      <c r="C10" s="236"/>
      <c r="D10" s="236"/>
      <c r="E10" s="236"/>
      <c r="F10" s="237" t="str">
        <f ca="1" xml:space="preserve"> IFERROR(IF([3]!alvDocProperty("MXUser")="","David Puscasu",[3]!alvDocProperty("MXUser")),"David Puscasu")</f>
        <v>David Puscasu</v>
      </c>
      <c r="G10" s="237"/>
      <c r="H10" s="237"/>
      <c r="I10" s="237"/>
      <c r="J10" s="237"/>
      <c r="K10" s="238"/>
      <c r="L10" s="239" t="s">
        <v>13</v>
      </c>
      <c r="M10" s="240"/>
      <c r="N10" s="240"/>
      <c r="O10" s="240"/>
      <c r="P10" s="240"/>
      <c r="Q10" s="240"/>
      <c r="R10" s="240"/>
      <c r="S10" s="240"/>
      <c r="T10" s="240"/>
      <c r="U10" s="240"/>
      <c r="V10" s="241"/>
      <c r="W10" s="239" t="s">
        <v>13</v>
      </c>
      <c r="X10" s="240"/>
      <c r="Y10" s="240"/>
      <c r="Z10" s="240"/>
      <c r="AA10" s="240"/>
      <c r="AB10" s="240"/>
      <c r="AC10" s="240"/>
      <c r="AD10" s="240"/>
      <c r="AE10" s="240"/>
      <c r="AF10" s="240"/>
      <c r="AG10" s="241"/>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42" t="s">
        <v>14</v>
      </c>
      <c r="B12" s="243"/>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4"/>
    </row>
    <row r="13" spans="1:37" s="93" customFormat="1" ht="28.5" customHeight="1">
      <c r="A13" s="245" t="s">
        <v>15</v>
      </c>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7"/>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37.5" customHeight="1">
      <c r="A15" s="248" t="s">
        <v>16</v>
      </c>
      <c r="B15" s="248"/>
      <c r="C15" s="248"/>
      <c r="D15" s="248"/>
      <c r="E15" s="250"/>
      <c r="F15" s="251"/>
      <c r="G15" s="251"/>
      <c r="H15" s="251"/>
      <c r="I15" s="251"/>
      <c r="J15" s="251"/>
      <c r="K15" s="251"/>
      <c r="L15" s="251"/>
      <c r="M15" s="251"/>
      <c r="N15" s="251"/>
      <c r="O15" s="251"/>
      <c r="P15" s="251"/>
      <c r="Q15" s="251"/>
      <c r="R15" s="251"/>
      <c r="S15" s="251"/>
      <c r="T15" s="251"/>
      <c r="U15" s="251"/>
      <c r="V15" s="251"/>
      <c r="W15" s="251"/>
      <c r="X15" s="251"/>
      <c r="Y15" s="251"/>
      <c r="Z15" s="251"/>
      <c r="AA15" s="251"/>
      <c r="AB15" s="251"/>
      <c r="AC15" s="251"/>
      <c r="AD15" s="251"/>
      <c r="AE15" s="251"/>
      <c r="AF15" s="251"/>
      <c r="AG15" s="252"/>
    </row>
    <row r="16" spans="1:37" ht="37.5" customHeight="1">
      <c r="A16" s="249"/>
      <c r="B16" s="249"/>
      <c r="C16" s="249"/>
      <c r="D16" s="249"/>
      <c r="E16" s="253"/>
      <c r="F16" s="254"/>
      <c r="G16" s="254"/>
      <c r="H16" s="254"/>
      <c r="I16" s="254"/>
      <c r="J16" s="254"/>
      <c r="K16" s="254"/>
      <c r="L16" s="254"/>
      <c r="M16" s="254"/>
      <c r="N16" s="254"/>
      <c r="O16" s="254"/>
      <c r="P16" s="254"/>
      <c r="Q16" s="254"/>
      <c r="R16" s="254"/>
      <c r="S16" s="254"/>
      <c r="T16" s="254"/>
      <c r="U16" s="254"/>
      <c r="V16" s="254"/>
      <c r="W16" s="254"/>
      <c r="X16" s="254"/>
      <c r="Y16" s="254"/>
      <c r="Z16" s="254"/>
      <c r="AA16" s="254"/>
      <c r="AB16" s="254"/>
      <c r="AC16" s="254"/>
      <c r="AD16" s="254"/>
      <c r="AE16" s="254"/>
      <c r="AF16" s="254"/>
      <c r="AG16" s="255"/>
    </row>
    <row r="17" spans="1:33">
      <c r="A17" s="98"/>
    </row>
    <row r="18" spans="1:33" ht="26.25" customHeight="1">
      <c r="A18" s="256" t="s">
        <v>17</v>
      </c>
      <c r="B18" s="257"/>
      <c r="C18" s="257"/>
      <c r="D18" s="257"/>
      <c r="E18" s="258" t="s">
        <v>18</v>
      </c>
      <c r="F18" s="258"/>
      <c r="G18" s="258"/>
      <c r="H18" s="258"/>
      <c r="I18" s="258"/>
      <c r="J18" s="258"/>
      <c r="K18" s="258"/>
      <c r="L18" s="258"/>
      <c r="M18" s="258"/>
      <c r="N18" s="258"/>
      <c r="O18" s="258"/>
      <c r="P18" s="258"/>
    </row>
    <row r="19" spans="1:33"/>
    <row r="20" spans="1:33"/>
    <row r="21" spans="1:33" ht="15.75" customHeight="1">
      <c r="Q21" s="99"/>
    </row>
    <row r="22" spans="1:33" ht="12" customHeight="1">
      <c r="Q22" s="99"/>
    </row>
    <row r="23" spans="1:33" ht="60" customHeight="1">
      <c r="A23" s="230" t="s">
        <v>416</v>
      </c>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6" type="noConversion"/>
  <conditionalFormatting sqref="W5">
    <cfRule type="cellIs" dxfId="1172" priority="23" operator="equal">
      <formula>"draft"</formula>
    </cfRule>
  </conditionalFormatting>
  <conditionalFormatting sqref="W5:AA5">
    <cfRule type="cellIs" dxfId="1171" priority="1" operator="equal">
      <formula>"In-Work"</formula>
    </cfRule>
    <cfRule type="cellIs" dxfId="1170" priority="2" stopIfTrue="1" operator="equal">
      <formula>"draft"</formula>
    </cfRule>
    <cfRule type="cellIs" dxfId="1169" priority="3" operator="equal">
      <formula>"In-Work"</formula>
    </cfRule>
    <cfRule type="cellIs" dxfId="1168" priority="4" stopIfTrue="1" operator="equal">
      <formula>"draft"</formula>
    </cfRule>
    <cfRule type="cellIs" dxfId="1167" priority="5" operator="equal">
      <formula>"In-Work"</formula>
    </cfRule>
    <cfRule type="cellIs" dxfId="1166" priority="6" stopIfTrue="1" operator="equal">
      <formula>"draft"</formula>
    </cfRule>
    <cfRule type="cellIs" dxfId="1165" priority="7" operator="equal">
      <formula>"In-Work"</formula>
    </cfRule>
    <cfRule type="cellIs" dxfId="1164" priority="8" stopIfTrue="1" operator="equal">
      <formula>"draft"</formula>
    </cfRule>
    <cfRule type="cellIs" dxfId="1163" priority="9" operator="equal">
      <formula>"In-Work"</formula>
    </cfRule>
    <cfRule type="cellIs" dxfId="1162" priority="10" stopIfTrue="1" operator="equal">
      <formula>"draft"</formula>
    </cfRule>
    <cfRule type="cellIs" dxfId="1161" priority="11" operator="equal">
      <formula>"In-Work"</formula>
    </cfRule>
    <cfRule type="cellIs" dxfId="1160" priority="12" stopIfTrue="1" operator="equal">
      <formula>"draft"</formula>
    </cfRule>
    <cfRule type="cellIs" dxfId="1159" priority="13" operator="equal">
      <formula>"In-Work"</formula>
    </cfRule>
    <cfRule type="cellIs" dxfId="1158" priority="14" stopIfTrue="1" operator="equal">
      <formula>"draft"</formula>
    </cfRule>
    <cfRule type="cellIs" dxfId="1157" priority="15" operator="equal">
      <formula>"In-Work"</formula>
    </cfRule>
    <cfRule type="cellIs" dxfId="1156" priority="16" stopIfTrue="1" operator="equal">
      <formula>"draft"</formula>
    </cfRule>
    <cfRule type="cellIs" dxfId="1155" priority="17" operator="equal">
      <formula>"In-Work"</formula>
    </cfRule>
    <cfRule type="cellIs" dxfId="1154" priority="18" stopIfTrue="1" operator="equal">
      <formula>"draft"</formula>
    </cfRule>
    <cfRule type="cellIs" dxfId="1153" priority="19" operator="equal">
      <formula>"In-Work"</formula>
    </cfRule>
    <cfRule type="cellIs" dxfId="1152" priority="20" stopIfTrue="1" operator="equal">
      <formula>"draft"</formula>
    </cfRule>
    <cfRule type="cellIs" dxfId="1151" priority="21" operator="equal">
      <formula>"In-Work"</formula>
    </cfRule>
    <cfRule type="cellIs" dxfId="1150"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topLeftCell="A7" zoomScaleNormal="100" workbookViewId="0"/>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RCM - Peer Review Workbook.xlsm</v>
      </c>
      <c r="AE3" s="82"/>
      <c r="AF3" s="82"/>
      <c r="AG3" s="82"/>
      <c r="AH3" s="82"/>
    </row>
    <row r="4" spans="1:34">
      <c r="A4" s="262" t="s">
        <v>0</v>
      </c>
      <c r="B4" s="263"/>
      <c r="C4" s="263"/>
      <c r="D4" s="263"/>
      <c r="E4" s="263"/>
      <c r="F4" s="263"/>
      <c r="G4" s="263"/>
      <c r="H4" s="263"/>
      <c r="I4" s="263"/>
      <c r="J4" s="263"/>
      <c r="K4" s="263"/>
      <c r="L4" s="263"/>
      <c r="M4" s="263"/>
      <c r="N4" s="263"/>
      <c r="O4" s="263"/>
      <c r="P4" s="263"/>
      <c r="Q4" s="263"/>
      <c r="R4" s="263"/>
      <c r="S4" s="263"/>
      <c r="T4" s="263"/>
      <c r="U4" s="263"/>
      <c r="V4" s="264"/>
      <c r="W4" s="301" t="s">
        <v>2</v>
      </c>
      <c r="X4" s="302"/>
      <c r="Y4" s="302"/>
      <c r="Z4" s="302"/>
      <c r="AA4" s="303"/>
      <c r="AB4" s="262" t="s">
        <v>3</v>
      </c>
      <c r="AC4" s="263"/>
      <c r="AD4" s="263"/>
      <c r="AE4" s="263"/>
      <c r="AF4" s="263"/>
      <c r="AG4" s="264"/>
      <c r="AH4" s="88"/>
    </row>
    <row r="5" spans="1:34">
      <c r="A5" s="268" t="s">
        <v>19</v>
      </c>
      <c r="B5" s="269"/>
      <c r="C5" s="269"/>
      <c r="D5" s="269"/>
      <c r="E5" s="269"/>
      <c r="F5" s="269"/>
      <c r="G5" s="269"/>
      <c r="H5" s="269"/>
      <c r="I5" s="269"/>
      <c r="J5" s="269"/>
      <c r="K5" s="269"/>
      <c r="L5" s="269"/>
      <c r="M5" s="269"/>
      <c r="N5" s="269"/>
      <c r="O5" s="269"/>
      <c r="P5" s="269"/>
      <c r="Q5" s="269"/>
      <c r="R5" s="269"/>
      <c r="S5" s="269"/>
      <c r="T5" s="269"/>
      <c r="U5" s="269"/>
      <c r="V5" s="270"/>
      <c r="W5" s="304" t="s">
        <v>20</v>
      </c>
      <c r="X5" s="305"/>
      <c r="Y5" s="305"/>
      <c r="Z5" s="305"/>
      <c r="AA5" s="306"/>
      <c r="AB5" s="268" t="s">
        <v>21</v>
      </c>
      <c r="AC5" s="269"/>
      <c r="AD5" s="269"/>
      <c r="AE5" s="269"/>
      <c r="AF5" s="269"/>
      <c r="AG5" s="270"/>
      <c r="AH5" s="89"/>
    </row>
    <row r="6" spans="1:34">
      <c r="A6" s="293" t="s">
        <v>5</v>
      </c>
      <c r="B6" s="294"/>
      <c r="C6" s="294"/>
      <c r="D6" s="295"/>
      <c r="E6" s="293" t="s">
        <v>6</v>
      </c>
      <c r="F6" s="294"/>
      <c r="G6" s="294"/>
      <c r="H6" s="294"/>
      <c r="I6" s="294"/>
      <c r="J6" s="294"/>
      <c r="K6" s="294"/>
      <c r="L6" s="294"/>
      <c r="M6" s="294"/>
      <c r="N6" s="294"/>
      <c r="O6" s="294"/>
      <c r="P6" s="294"/>
      <c r="Q6" s="294"/>
      <c r="R6" s="294"/>
      <c r="S6" s="294"/>
      <c r="T6" s="294"/>
      <c r="U6" s="294"/>
      <c r="V6" s="295"/>
      <c r="W6" s="262" t="s">
        <v>7</v>
      </c>
      <c r="X6" s="263"/>
      <c r="Y6" s="263"/>
      <c r="Z6" s="263"/>
      <c r="AA6" s="264"/>
      <c r="AB6" s="301" t="s">
        <v>8</v>
      </c>
      <c r="AC6" s="302"/>
      <c r="AD6" s="303"/>
      <c r="AE6" s="301" t="s">
        <v>9</v>
      </c>
      <c r="AF6" s="302"/>
      <c r="AG6" s="303"/>
      <c r="AH6" s="82"/>
    </row>
    <row r="7" spans="1:34">
      <c r="A7" s="304" t="s">
        <v>22</v>
      </c>
      <c r="B7" s="305"/>
      <c r="C7" s="305"/>
      <c r="D7" s="306"/>
      <c r="E7" s="304" t="s">
        <v>23</v>
      </c>
      <c r="F7" s="305"/>
      <c r="G7" s="305"/>
      <c r="H7" s="305"/>
      <c r="I7" s="305"/>
      <c r="J7" s="305"/>
      <c r="K7" s="305"/>
      <c r="L7" s="305"/>
      <c r="M7" s="305"/>
      <c r="N7" s="305"/>
      <c r="O7" s="305"/>
      <c r="P7" s="305"/>
      <c r="Q7" s="305"/>
      <c r="R7" s="305"/>
      <c r="S7" s="305"/>
      <c r="T7" s="305"/>
      <c r="U7" s="305"/>
      <c r="V7" s="306"/>
      <c r="W7" s="304" t="str">
        <f ca="1">TemplateRef</f>
        <v>AEF1007</v>
      </c>
      <c r="X7" s="305"/>
      <c r="Y7" s="305"/>
      <c r="Z7" s="305"/>
      <c r="AA7" s="306"/>
      <c r="AB7" s="304" t="s">
        <v>24</v>
      </c>
      <c r="AC7" s="305"/>
      <c r="AD7" s="306"/>
      <c r="AE7" s="304" t="s">
        <v>24</v>
      </c>
      <c r="AF7" s="305"/>
      <c r="AG7" s="306"/>
      <c r="AH7" s="89"/>
    </row>
    <row r="8" spans="1:34">
      <c r="A8" s="293" t="s">
        <v>25</v>
      </c>
      <c r="B8" s="294"/>
      <c r="C8" s="294"/>
      <c r="D8" s="294"/>
      <c r="E8" s="294"/>
      <c r="F8" s="294"/>
      <c r="G8" s="294"/>
      <c r="H8" s="294"/>
      <c r="I8" s="294"/>
      <c r="J8" s="294"/>
      <c r="K8" s="294"/>
      <c r="L8" s="294"/>
      <c r="M8" s="294"/>
      <c r="N8" s="294"/>
      <c r="O8" s="294"/>
      <c r="P8" s="294"/>
      <c r="Q8" s="294"/>
      <c r="R8" s="294"/>
      <c r="S8" s="294"/>
      <c r="T8" s="294"/>
      <c r="U8" s="294"/>
      <c r="V8" s="294"/>
      <c r="W8" s="294"/>
      <c r="X8" s="294"/>
      <c r="Y8" s="294"/>
      <c r="Z8" s="294"/>
      <c r="AA8" s="294"/>
      <c r="AB8" s="294"/>
      <c r="AC8" s="294"/>
      <c r="AD8" s="294"/>
      <c r="AE8" s="294"/>
      <c r="AF8" s="294"/>
      <c r="AG8" s="295"/>
      <c r="AH8" s="92"/>
    </row>
    <row r="9" spans="1:34">
      <c r="A9" s="296" t="s">
        <v>26</v>
      </c>
      <c r="B9" s="297"/>
      <c r="C9" s="297"/>
      <c r="D9" s="297"/>
      <c r="E9" s="297"/>
      <c r="F9" s="297"/>
      <c r="G9" s="297"/>
      <c r="H9" s="297"/>
      <c r="I9" s="297"/>
      <c r="J9" s="297"/>
      <c r="K9" s="297"/>
      <c r="L9" s="297"/>
      <c r="M9" s="297"/>
      <c r="N9" s="297"/>
      <c r="O9" s="297"/>
      <c r="P9" s="297"/>
      <c r="Q9" s="297"/>
      <c r="R9" s="297"/>
      <c r="S9" s="297"/>
      <c r="T9" s="297"/>
      <c r="U9" s="297"/>
      <c r="V9" s="297"/>
      <c r="W9" s="297"/>
      <c r="X9" s="297"/>
      <c r="Y9" s="297"/>
      <c r="Z9" s="297"/>
      <c r="AA9" s="297"/>
      <c r="AB9" s="297"/>
      <c r="AC9" s="297"/>
      <c r="AD9" s="297"/>
      <c r="AE9" s="297"/>
      <c r="AF9" s="297"/>
      <c r="AG9" s="298"/>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27</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28</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81" t="s">
        <v>29</v>
      </c>
      <c r="C15" s="299"/>
      <c r="D15" s="299"/>
      <c r="E15" s="299"/>
      <c r="F15" s="299"/>
      <c r="G15" s="281" t="s">
        <v>30</v>
      </c>
      <c r="H15" s="281"/>
      <c r="I15" s="281"/>
      <c r="J15" s="281"/>
      <c r="K15" s="281"/>
      <c r="L15" s="281"/>
      <c r="M15" s="281"/>
      <c r="N15" s="281"/>
      <c r="O15" s="281"/>
      <c r="P15" s="281"/>
      <c r="Q15" s="281"/>
      <c r="R15" s="281"/>
      <c r="S15" s="281"/>
      <c r="T15" s="281"/>
      <c r="U15" s="281"/>
      <c r="V15" s="281"/>
      <c r="W15" s="281"/>
      <c r="X15" s="281"/>
      <c r="Y15" s="281"/>
      <c r="Z15" s="281"/>
      <c r="AA15" s="281"/>
      <c r="AB15" s="281"/>
      <c r="AC15" s="281"/>
      <c r="AD15" s="281"/>
      <c r="AE15" s="281"/>
      <c r="AF15" s="281"/>
      <c r="AG15" s="92"/>
      <c r="AH15" s="92"/>
    </row>
    <row r="16" spans="1:34" ht="55.5" customHeight="1">
      <c r="A16" s="92"/>
      <c r="B16" s="300" t="s">
        <v>31</v>
      </c>
      <c r="C16" s="300"/>
      <c r="D16" s="300"/>
      <c r="E16" s="300"/>
      <c r="F16" s="300"/>
      <c r="G16" s="278" t="s">
        <v>32</v>
      </c>
      <c r="H16" s="278"/>
      <c r="I16" s="278"/>
      <c r="J16" s="278"/>
      <c r="K16" s="278"/>
      <c r="L16" s="278"/>
      <c r="M16" s="278"/>
      <c r="N16" s="278"/>
      <c r="O16" s="278"/>
      <c r="P16" s="278"/>
      <c r="Q16" s="278"/>
      <c r="R16" s="278"/>
      <c r="S16" s="278"/>
      <c r="T16" s="278"/>
      <c r="U16" s="278"/>
      <c r="V16" s="278"/>
      <c r="W16" s="278"/>
      <c r="X16" s="278"/>
      <c r="Y16" s="278"/>
      <c r="Z16" s="278"/>
      <c r="AA16" s="278"/>
      <c r="AB16" s="278"/>
      <c r="AC16" s="278"/>
      <c r="AD16" s="278"/>
      <c r="AE16" s="278"/>
      <c r="AF16" s="278"/>
      <c r="AG16" s="92"/>
      <c r="AH16" s="92"/>
    </row>
    <row r="17" spans="1:34">
      <c r="A17" s="92"/>
      <c r="B17" s="300" t="s">
        <v>33</v>
      </c>
      <c r="C17" s="300"/>
      <c r="D17" s="300"/>
      <c r="E17" s="300"/>
      <c r="F17" s="300"/>
      <c r="G17" s="278" t="s">
        <v>34</v>
      </c>
      <c r="H17" s="278"/>
      <c r="I17" s="278"/>
      <c r="J17" s="278"/>
      <c r="K17" s="278"/>
      <c r="L17" s="278"/>
      <c r="M17" s="278"/>
      <c r="N17" s="278"/>
      <c r="O17" s="278"/>
      <c r="P17" s="278"/>
      <c r="Q17" s="278"/>
      <c r="R17" s="278"/>
      <c r="S17" s="278"/>
      <c r="T17" s="278"/>
      <c r="U17" s="278"/>
      <c r="V17" s="278"/>
      <c r="W17" s="278"/>
      <c r="X17" s="278"/>
      <c r="Y17" s="278"/>
      <c r="Z17" s="278"/>
      <c r="AA17" s="278"/>
      <c r="AB17" s="278"/>
      <c r="AC17" s="278"/>
      <c r="AD17" s="278"/>
      <c r="AE17" s="278"/>
      <c r="AF17" s="278"/>
      <c r="AG17" s="92"/>
      <c r="AH17" s="92"/>
    </row>
    <row r="18" spans="1:34" ht="15" customHeight="1">
      <c r="A18" s="92"/>
      <c r="B18" s="300" t="s">
        <v>35</v>
      </c>
      <c r="C18" s="300"/>
      <c r="D18" s="300"/>
      <c r="E18" s="300"/>
      <c r="F18" s="300"/>
      <c r="G18" s="278" t="s">
        <v>36</v>
      </c>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92"/>
      <c r="AH18" s="92"/>
    </row>
    <row r="19" spans="1:34" ht="24" customHeight="1">
      <c r="A19" s="92"/>
      <c r="B19" s="290" t="s">
        <v>37</v>
      </c>
      <c r="C19" s="290"/>
      <c r="D19" s="290"/>
      <c r="E19" s="290"/>
      <c r="F19" s="290"/>
      <c r="G19" s="278" t="s">
        <v>36</v>
      </c>
      <c r="H19" s="278"/>
      <c r="I19" s="278"/>
      <c r="J19" s="278"/>
      <c r="K19" s="278"/>
      <c r="L19" s="278"/>
      <c r="M19" s="278"/>
      <c r="N19" s="278"/>
      <c r="O19" s="278"/>
      <c r="P19" s="278"/>
      <c r="Q19" s="278"/>
      <c r="R19" s="278"/>
      <c r="S19" s="278"/>
      <c r="T19" s="278"/>
      <c r="U19" s="278"/>
      <c r="V19" s="278"/>
      <c r="W19" s="278"/>
      <c r="X19" s="278"/>
      <c r="Y19" s="278"/>
      <c r="Z19" s="278"/>
      <c r="AA19" s="278"/>
      <c r="AB19" s="278"/>
      <c r="AC19" s="278"/>
      <c r="AD19" s="278"/>
      <c r="AE19" s="278"/>
      <c r="AF19" s="278"/>
      <c r="AG19" s="92"/>
      <c r="AH19" s="92"/>
    </row>
    <row r="20" spans="1:34">
      <c r="A20" s="92"/>
      <c r="B20" s="307" t="s">
        <v>38</v>
      </c>
      <c r="C20" s="307"/>
      <c r="D20" s="307"/>
      <c r="E20" s="307"/>
      <c r="F20" s="307"/>
      <c r="G20" s="278" t="s">
        <v>36</v>
      </c>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92"/>
      <c r="AH20" s="92"/>
    </row>
    <row r="21" spans="1:34" ht="35.25" customHeight="1">
      <c r="A21" s="92"/>
      <c r="B21" s="291" t="s">
        <v>39</v>
      </c>
      <c r="C21" s="291"/>
      <c r="D21" s="291"/>
      <c r="E21" s="291"/>
      <c r="F21" s="291"/>
      <c r="G21" s="278" t="s">
        <v>40</v>
      </c>
      <c r="H21" s="278"/>
      <c r="I21" s="278"/>
      <c r="J21" s="278"/>
      <c r="K21" s="278"/>
      <c r="L21" s="278"/>
      <c r="M21" s="278"/>
      <c r="N21" s="278"/>
      <c r="O21" s="278"/>
      <c r="P21" s="278"/>
      <c r="Q21" s="278"/>
      <c r="R21" s="278"/>
      <c r="S21" s="278"/>
      <c r="T21" s="278"/>
      <c r="U21" s="278"/>
      <c r="V21" s="278"/>
      <c r="W21" s="278"/>
      <c r="X21" s="278"/>
      <c r="Y21" s="278"/>
      <c r="Z21" s="278"/>
      <c r="AA21" s="278"/>
      <c r="AB21" s="278"/>
      <c r="AC21" s="278"/>
      <c r="AD21" s="278"/>
      <c r="AE21" s="278"/>
      <c r="AF21" s="278"/>
      <c r="AG21" s="92"/>
      <c r="AH21" s="92"/>
    </row>
    <row r="22" spans="1:34" ht="28.5" customHeight="1">
      <c r="A22" s="92"/>
      <c r="B22" s="291" t="s">
        <v>41</v>
      </c>
      <c r="C22" s="291"/>
      <c r="D22" s="291"/>
      <c r="E22" s="291"/>
      <c r="F22" s="291"/>
      <c r="G22" s="278" t="s">
        <v>42</v>
      </c>
      <c r="H22" s="278"/>
      <c r="I22" s="278"/>
      <c r="J22" s="278"/>
      <c r="K22" s="278"/>
      <c r="L22" s="278"/>
      <c r="M22" s="278"/>
      <c r="N22" s="278"/>
      <c r="O22" s="278"/>
      <c r="P22" s="278"/>
      <c r="Q22" s="278"/>
      <c r="R22" s="278"/>
      <c r="S22" s="278"/>
      <c r="T22" s="278"/>
      <c r="U22" s="278"/>
      <c r="V22" s="278"/>
      <c r="W22" s="278"/>
      <c r="X22" s="278"/>
      <c r="Y22" s="278"/>
      <c r="Z22" s="278"/>
      <c r="AA22" s="278"/>
      <c r="AB22" s="278"/>
      <c r="AC22" s="278"/>
      <c r="AD22" s="278"/>
      <c r="AE22" s="278"/>
      <c r="AF22" s="278"/>
      <c r="AG22" s="92"/>
      <c r="AH22" s="92"/>
    </row>
    <row r="23" spans="1:34" ht="22.5" customHeight="1">
      <c r="A23" s="92"/>
      <c r="B23" s="291" t="s">
        <v>43</v>
      </c>
      <c r="C23" s="291"/>
      <c r="D23" s="291"/>
      <c r="E23" s="291"/>
      <c r="F23" s="291"/>
      <c r="G23" s="278" t="s">
        <v>44</v>
      </c>
      <c r="H23" s="278"/>
      <c r="I23" s="278"/>
      <c r="J23" s="278"/>
      <c r="K23" s="278"/>
      <c r="L23" s="278"/>
      <c r="M23" s="278"/>
      <c r="N23" s="278"/>
      <c r="O23" s="278"/>
      <c r="P23" s="278"/>
      <c r="Q23" s="278"/>
      <c r="R23" s="278"/>
      <c r="S23" s="278"/>
      <c r="T23" s="278"/>
      <c r="U23" s="278"/>
      <c r="V23" s="278"/>
      <c r="W23" s="278"/>
      <c r="X23" s="278"/>
      <c r="Y23" s="278"/>
      <c r="Z23" s="278"/>
      <c r="AA23" s="278"/>
      <c r="AB23" s="278"/>
      <c r="AC23" s="278"/>
      <c r="AD23" s="278"/>
      <c r="AE23" s="278"/>
      <c r="AF23" s="278"/>
      <c r="AG23" s="92"/>
      <c r="AH23" s="92"/>
    </row>
    <row r="24" spans="1:34" ht="45" customHeight="1">
      <c r="A24" s="92"/>
      <c r="B24" s="292" t="s">
        <v>45</v>
      </c>
      <c r="C24" s="292"/>
      <c r="D24" s="292"/>
      <c r="E24" s="292"/>
      <c r="F24" s="292"/>
      <c r="G24" s="278" t="s">
        <v>46</v>
      </c>
      <c r="H24" s="278"/>
      <c r="I24" s="278"/>
      <c r="J24" s="278"/>
      <c r="K24" s="278"/>
      <c r="L24" s="278"/>
      <c r="M24" s="278"/>
      <c r="N24" s="278"/>
      <c r="O24" s="278"/>
      <c r="P24" s="278"/>
      <c r="Q24" s="278"/>
      <c r="R24" s="278"/>
      <c r="S24" s="278"/>
      <c r="T24" s="278"/>
      <c r="U24" s="278"/>
      <c r="V24" s="278"/>
      <c r="W24" s="278"/>
      <c r="X24" s="278"/>
      <c r="Y24" s="278"/>
      <c r="Z24" s="278"/>
      <c r="AA24" s="278"/>
      <c r="AB24" s="278"/>
      <c r="AC24" s="278"/>
      <c r="AD24" s="278"/>
      <c r="AE24" s="278"/>
      <c r="AF24" s="27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47</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81" t="s">
        <v>8</v>
      </c>
      <c r="C27" s="283"/>
      <c r="D27" s="283"/>
      <c r="E27" s="281" t="s">
        <v>48</v>
      </c>
      <c r="F27" s="281"/>
      <c r="G27" s="281"/>
      <c r="H27" s="281"/>
      <c r="I27" s="281" t="s">
        <v>49</v>
      </c>
      <c r="J27" s="283"/>
      <c r="K27" s="283"/>
      <c r="L27" s="283"/>
      <c r="M27" s="283"/>
      <c r="N27" s="283"/>
      <c r="O27" s="283"/>
      <c r="P27" s="283"/>
      <c r="Q27" s="283"/>
      <c r="R27" s="281" t="s">
        <v>50</v>
      </c>
      <c r="S27" s="281"/>
      <c r="T27" s="281"/>
      <c r="U27" s="281"/>
      <c r="V27" s="281"/>
      <c r="W27" s="281"/>
      <c r="X27" s="281"/>
      <c r="Y27" s="281"/>
      <c r="Z27" s="281"/>
      <c r="AA27" s="281"/>
      <c r="AB27" s="281"/>
      <c r="AC27" s="281"/>
      <c r="AD27" s="281"/>
      <c r="AE27" s="281"/>
      <c r="AF27" s="281"/>
      <c r="AG27" s="92"/>
      <c r="AH27" s="92"/>
    </row>
    <row r="28" spans="1:34" ht="40.5" customHeight="1">
      <c r="A28" s="92"/>
      <c r="B28" s="271" t="s">
        <v>51</v>
      </c>
      <c r="C28" s="272" t="s">
        <v>52</v>
      </c>
      <c r="D28" s="273" t="s">
        <v>52</v>
      </c>
      <c r="E28" s="284"/>
      <c r="F28" s="285"/>
      <c r="G28" s="285"/>
      <c r="H28" s="286"/>
      <c r="I28" s="278"/>
      <c r="J28" s="287"/>
      <c r="K28" s="287"/>
      <c r="L28" s="287"/>
      <c r="M28" s="287"/>
      <c r="N28" s="287"/>
      <c r="O28" s="287"/>
      <c r="P28" s="287"/>
      <c r="Q28" s="287"/>
      <c r="R28" s="278" t="s">
        <v>53</v>
      </c>
      <c r="S28" s="278" t="s">
        <v>53</v>
      </c>
      <c r="T28" s="278" t="s">
        <v>53</v>
      </c>
      <c r="U28" s="278" t="s">
        <v>53</v>
      </c>
      <c r="V28" s="278" t="s">
        <v>53</v>
      </c>
      <c r="W28" s="278" t="s">
        <v>53</v>
      </c>
      <c r="X28" s="278" t="s">
        <v>53</v>
      </c>
      <c r="Y28" s="278" t="s">
        <v>53</v>
      </c>
      <c r="Z28" s="278" t="s">
        <v>53</v>
      </c>
      <c r="AA28" s="278" t="s">
        <v>53</v>
      </c>
      <c r="AB28" s="278" t="s">
        <v>53</v>
      </c>
      <c r="AC28" s="278" t="s">
        <v>53</v>
      </c>
      <c r="AD28" s="278" t="s">
        <v>53</v>
      </c>
      <c r="AE28" s="278" t="s">
        <v>53</v>
      </c>
      <c r="AF28" s="278" t="s">
        <v>53</v>
      </c>
      <c r="AG28" s="92"/>
      <c r="AH28" s="92"/>
    </row>
    <row r="29" spans="1:34" ht="60" customHeight="1">
      <c r="A29" s="92"/>
      <c r="B29" s="271" t="s">
        <v>54</v>
      </c>
      <c r="C29" s="272" t="s">
        <v>54</v>
      </c>
      <c r="D29" s="273" t="s">
        <v>54</v>
      </c>
      <c r="E29" s="284">
        <v>40591.490486111114</v>
      </c>
      <c r="F29" s="285">
        <v>40591.490486111114</v>
      </c>
      <c r="G29" s="285">
        <v>40591.490486111114</v>
      </c>
      <c r="H29" s="286">
        <v>40591.490486111114</v>
      </c>
      <c r="I29" s="278" t="s">
        <v>55</v>
      </c>
      <c r="J29" s="287" t="s">
        <v>55</v>
      </c>
      <c r="K29" s="287" t="s">
        <v>55</v>
      </c>
      <c r="L29" s="287" t="s">
        <v>55</v>
      </c>
      <c r="M29" s="287" t="s">
        <v>55</v>
      </c>
      <c r="N29" s="287" t="s">
        <v>55</v>
      </c>
      <c r="O29" s="287" t="s">
        <v>55</v>
      </c>
      <c r="P29" s="287" t="s">
        <v>55</v>
      </c>
      <c r="Q29" s="287" t="s">
        <v>55</v>
      </c>
      <c r="R29" s="278" t="s">
        <v>56</v>
      </c>
      <c r="S29" s="278" t="s">
        <v>56</v>
      </c>
      <c r="T29" s="278" t="s">
        <v>56</v>
      </c>
      <c r="U29" s="278" t="s">
        <v>56</v>
      </c>
      <c r="V29" s="278" t="s">
        <v>56</v>
      </c>
      <c r="W29" s="278" t="s">
        <v>56</v>
      </c>
      <c r="X29" s="278" t="s">
        <v>56</v>
      </c>
      <c r="Y29" s="278" t="s">
        <v>56</v>
      </c>
      <c r="Z29" s="278" t="s">
        <v>56</v>
      </c>
      <c r="AA29" s="278" t="s">
        <v>56</v>
      </c>
      <c r="AB29" s="278" t="s">
        <v>56</v>
      </c>
      <c r="AC29" s="278" t="s">
        <v>56</v>
      </c>
      <c r="AD29" s="278" t="s">
        <v>56</v>
      </c>
      <c r="AE29" s="278" t="s">
        <v>56</v>
      </c>
      <c r="AF29" s="278" t="s">
        <v>56</v>
      </c>
      <c r="AG29" s="92"/>
      <c r="AH29" s="92"/>
    </row>
    <row r="30" spans="1:34" ht="291" customHeight="1">
      <c r="A30" s="92"/>
      <c r="B30" s="271" t="s">
        <v>57</v>
      </c>
      <c r="C30" s="272" t="s">
        <v>57</v>
      </c>
      <c r="D30" s="273" t="s">
        <v>57</v>
      </c>
      <c r="E30" s="284">
        <v>41071.656145833331</v>
      </c>
      <c r="F30" s="285">
        <v>41071.656145833331</v>
      </c>
      <c r="G30" s="285">
        <v>41071.656145833331</v>
      </c>
      <c r="H30" s="286">
        <v>41071.656145833331</v>
      </c>
      <c r="I30" s="278" t="s">
        <v>55</v>
      </c>
      <c r="J30" s="287" t="s">
        <v>55</v>
      </c>
      <c r="K30" s="287" t="s">
        <v>55</v>
      </c>
      <c r="L30" s="287" t="s">
        <v>55</v>
      </c>
      <c r="M30" s="287" t="s">
        <v>55</v>
      </c>
      <c r="N30" s="287" t="s">
        <v>55</v>
      </c>
      <c r="O30" s="287" t="s">
        <v>55</v>
      </c>
      <c r="P30" s="287" t="s">
        <v>55</v>
      </c>
      <c r="Q30" s="287" t="s">
        <v>55</v>
      </c>
      <c r="R30" s="278" t="s">
        <v>58</v>
      </c>
      <c r="S30" s="278" t="s">
        <v>58</v>
      </c>
      <c r="T30" s="278" t="s">
        <v>58</v>
      </c>
      <c r="U30" s="278" t="s">
        <v>58</v>
      </c>
      <c r="V30" s="278" t="s">
        <v>58</v>
      </c>
      <c r="W30" s="278" t="s">
        <v>58</v>
      </c>
      <c r="X30" s="278" t="s">
        <v>58</v>
      </c>
      <c r="Y30" s="278" t="s">
        <v>58</v>
      </c>
      <c r="Z30" s="278" t="s">
        <v>58</v>
      </c>
      <c r="AA30" s="278" t="s">
        <v>58</v>
      </c>
      <c r="AB30" s="278" t="s">
        <v>58</v>
      </c>
      <c r="AC30" s="278" t="s">
        <v>58</v>
      </c>
      <c r="AD30" s="278" t="s">
        <v>58</v>
      </c>
      <c r="AE30" s="278" t="s">
        <v>58</v>
      </c>
      <c r="AF30" s="278" t="s">
        <v>58</v>
      </c>
      <c r="AG30" s="92"/>
      <c r="AH30" s="92"/>
    </row>
    <row r="31" spans="1:34" ht="40.5" customHeight="1">
      <c r="A31" s="92"/>
      <c r="B31" s="271" t="s">
        <v>59</v>
      </c>
      <c r="C31" s="272" t="s">
        <v>59</v>
      </c>
      <c r="D31" s="273" t="s">
        <v>59</v>
      </c>
      <c r="E31" s="284">
        <v>41071.656145833331</v>
      </c>
      <c r="F31" s="285">
        <v>41071.656145833331</v>
      </c>
      <c r="G31" s="285">
        <v>41071.656145833331</v>
      </c>
      <c r="H31" s="286">
        <v>41071.656145833331</v>
      </c>
      <c r="I31" s="278" t="s">
        <v>60</v>
      </c>
      <c r="J31" s="287" t="s">
        <v>60</v>
      </c>
      <c r="K31" s="287" t="s">
        <v>60</v>
      </c>
      <c r="L31" s="287" t="s">
        <v>60</v>
      </c>
      <c r="M31" s="287" t="s">
        <v>60</v>
      </c>
      <c r="N31" s="287" t="s">
        <v>60</v>
      </c>
      <c r="O31" s="287" t="s">
        <v>60</v>
      </c>
      <c r="P31" s="287" t="s">
        <v>60</v>
      </c>
      <c r="Q31" s="287" t="s">
        <v>60</v>
      </c>
      <c r="R31" s="278" t="s">
        <v>61</v>
      </c>
      <c r="S31" s="278" t="s">
        <v>61</v>
      </c>
      <c r="T31" s="278" t="s">
        <v>61</v>
      </c>
      <c r="U31" s="278" t="s">
        <v>61</v>
      </c>
      <c r="V31" s="278" t="s">
        <v>61</v>
      </c>
      <c r="W31" s="278" t="s">
        <v>61</v>
      </c>
      <c r="X31" s="278" t="s">
        <v>61</v>
      </c>
      <c r="Y31" s="278" t="s">
        <v>61</v>
      </c>
      <c r="Z31" s="278" t="s">
        <v>61</v>
      </c>
      <c r="AA31" s="278" t="s">
        <v>61</v>
      </c>
      <c r="AB31" s="278" t="s">
        <v>61</v>
      </c>
      <c r="AC31" s="278" t="s">
        <v>61</v>
      </c>
      <c r="AD31" s="278" t="s">
        <v>61</v>
      </c>
      <c r="AE31" s="278" t="s">
        <v>61</v>
      </c>
      <c r="AF31" s="278" t="s">
        <v>61</v>
      </c>
      <c r="AG31" s="92"/>
      <c r="AH31" s="92"/>
    </row>
    <row r="32" spans="1:34" ht="121.5" customHeight="1">
      <c r="A32" s="92"/>
      <c r="B32" s="271"/>
      <c r="C32" s="272"/>
      <c r="D32" s="273"/>
      <c r="E32" s="284">
        <v>42195</v>
      </c>
      <c r="F32" s="285">
        <v>42195</v>
      </c>
      <c r="G32" s="285">
        <v>42195</v>
      </c>
      <c r="H32" s="286">
        <v>42195</v>
      </c>
      <c r="I32" s="278" t="s">
        <v>62</v>
      </c>
      <c r="J32" s="287" t="s">
        <v>62</v>
      </c>
      <c r="K32" s="287" t="s">
        <v>62</v>
      </c>
      <c r="L32" s="287" t="s">
        <v>62</v>
      </c>
      <c r="M32" s="287" t="s">
        <v>62</v>
      </c>
      <c r="N32" s="287" t="s">
        <v>62</v>
      </c>
      <c r="O32" s="287" t="s">
        <v>62</v>
      </c>
      <c r="P32" s="287" t="s">
        <v>62</v>
      </c>
      <c r="Q32" s="287" t="s">
        <v>62</v>
      </c>
      <c r="R32" s="278" t="s">
        <v>63</v>
      </c>
      <c r="S32" s="278" t="s">
        <v>63</v>
      </c>
      <c r="T32" s="278" t="s">
        <v>63</v>
      </c>
      <c r="U32" s="278" t="s">
        <v>63</v>
      </c>
      <c r="V32" s="278" t="s">
        <v>63</v>
      </c>
      <c r="W32" s="278" t="s">
        <v>63</v>
      </c>
      <c r="X32" s="278" t="s">
        <v>63</v>
      </c>
      <c r="Y32" s="278" t="s">
        <v>63</v>
      </c>
      <c r="Z32" s="278" t="s">
        <v>63</v>
      </c>
      <c r="AA32" s="278" t="s">
        <v>63</v>
      </c>
      <c r="AB32" s="278" t="s">
        <v>63</v>
      </c>
      <c r="AC32" s="278" t="s">
        <v>63</v>
      </c>
      <c r="AD32" s="278" t="s">
        <v>63</v>
      </c>
      <c r="AE32" s="278" t="s">
        <v>63</v>
      </c>
      <c r="AF32" s="278" t="s">
        <v>63</v>
      </c>
      <c r="AG32" s="92"/>
      <c r="AH32" s="92"/>
    </row>
    <row r="33" spans="1:34" ht="114" customHeight="1">
      <c r="A33" s="92"/>
      <c r="B33" s="271" t="s">
        <v>64</v>
      </c>
      <c r="C33" s="272" t="s">
        <v>64</v>
      </c>
      <c r="D33" s="273" t="s">
        <v>64</v>
      </c>
      <c r="E33" s="284">
        <v>42391.634837962964</v>
      </c>
      <c r="F33" s="285">
        <v>42391.634837962964</v>
      </c>
      <c r="G33" s="285">
        <v>42391.634837962964</v>
      </c>
      <c r="H33" s="286">
        <v>42391.634837962964</v>
      </c>
      <c r="I33" s="278" t="s">
        <v>65</v>
      </c>
      <c r="J33" s="287" t="s">
        <v>65</v>
      </c>
      <c r="K33" s="287" t="s">
        <v>65</v>
      </c>
      <c r="L33" s="287" t="s">
        <v>65</v>
      </c>
      <c r="M33" s="287" t="s">
        <v>65</v>
      </c>
      <c r="N33" s="287" t="s">
        <v>65</v>
      </c>
      <c r="O33" s="287" t="s">
        <v>65</v>
      </c>
      <c r="P33" s="287" t="s">
        <v>65</v>
      </c>
      <c r="Q33" s="287" t="s">
        <v>65</v>
      </c>
      <c r="R33" s="278" t="s">
        <v>66</v>
      </c>
      <c r="S33" s="278" t="s">
        <v>66</v>
      </c>
      <c r="T33" s="278" t="s">
        <v>66</v>
      </c>
      <c r="U33" s="278" t="s">
        <v>66</v>
      </c>
      <c r="V33" s="278" t="s">
        <v>66</v>
      </c>
      <c r="W33" s="278" t="s">
        <v>66</v>
      </c>
      <c r="X33" s="278" t="s">
        <v>66</v>
      </c>
      <c r="Y33" s="278" t="s">
        <v>66</v>
      </c>
      <c r="Z33" s="278" t="s">
        <v>66</v>
      </c>
      <c r="AA33" s="278" t="s">
        <v>66</v>
      </c>
      <c r="AB33" s="278" t="s">
        <v>66</v>
      </c>
      <c r="AC33" s="278" t="s">
        <v>66</v>
      </c>
      <c r="AD33" s="278" t="s">
        <v>66</v>
      </c>
      <c r="AE33" s="278" t="s">
        <v>66</v>
      </c>
      <c r="AF33" s="278" t="s">
        <v>66</v>
      </c>
      <c r="AG33" s="92"/>
      <c r="AH33" s="92"/>
    </row>
    <row r="34" spans="1:34" ht="40.5" customHeight="1">
      <c r="A34" s="92"/>
      <c r="B34" s="288" t="s">
        <v>67</v>
      </c>
      <c r="C34" s="289"/>
      <c r="D34" s="289"/>
      <c r="E34" s="284"/>
      <c r="F34" s="285"/>
      <c r="G34" s="285"/>
      <c r="H34" s="286"/>
      <c r="I34" s="278" t="s">
        <v>68</v>
      </c>
      <c r="J34" s="287"/>
      <c r="K34" s="287"/>
      <c r="L34" s="287"/>
      <c r="M34" s="287"/>
      <c r="N34" s="287"/>
      <c r="O34" s="287"/>
      <c r="P34" s="287"/>
      <c r="Q34" s="287"/>
      <c r="R34" s="278" t="s">
        <v>69</v>
      </c>
      <c r="S34" s="278"/>
      <c r="T34" s="278"/>
      <c r="U34" s="278"/>
      <c r="V34" s="278"/>
      <c r="W34" s="278"/>
      <c r="X34" s="278"/>
      <c r="Y34" s="278"/>
      <c r="Z34" s="278"/>
      <c r="AA34" s="278"/>
      <c r="AB34" s="278"/>
      <c r="AC34" s="278"/>
      <c r="AD34" s="278"/>
      <c r="AE34" s="278"/>
      <c r="AF34" s="278"/>
      <c r="AG34" s="92"/>
      <c r="AH34" s="92"/>
    </row>
    <row r="35" spans="1:34" ht="40.5" customHeight="1">
      <c r="A35" s="92"/>
      <c r="B35" s="288" t="s">
        <v>70</v>
      </c>
      <c r="C35" s="289"/>
      <c r="D35" s="289"/>
      <c r="E35" s="284"/>
      <c r="F35" s="285"/>
      <c r="G35" s="285"/>
      <c r="H35" s="286"/>
      <c r="I35" s="278" t="s">
        <v>68</v>
      </c>
      <c r="J35" s="287"/>
      <c r="K35" s="287"/>
      <c r="L35" s="287"/>
      <c r="M35" s="287"/>
      <c r="N35" s="287"/>
      <c r="O35" s="287"/>
      <c r="P35" s="287"/>
      <c r="Q35" s="287"/>
      <c r="R35" s="278" t="s">
        <v>71</v>
      </c>
      <c r="S35" s="278"/>
      <c r="T35" s="278"/>
      <c r="U35" s="278"/>
      <c r="V35" s="278"/>
      <c r="W35" s="278"/>
      <c r="X35" s="278"/>
      <c r="Y35" s="278"/>
      <c r="Z35" s="278"/>
      <c r="AA35" s="278"/>
      <c r="AB35" s="278"/>
      <c r="AC35" s="278"/>
      <c r="AD35" s="278"/>
      <c r="AE35" s="278"/>
      <c r="AF35" s="278"/>
      <c r="AG35" s="92"/>
      <c r="AH35" s="92"/>
    </row>
    <row r="36" spans="1:34" ht="40.5" customHeight="1">
      <c r="A36" s="92"/>
      <c r="B36" s="288" t="s">
        <v>72</v>
      </c>
      <c r="C36" s="289"/>
      <c r="D36" s="289"/>
      <c r="E36" s="284"/>
      <c r="F36" s="285"/>
      <c r="G36" s="285"/>
      <c r="H36" s="286"/>
      <c r="I36" s="278" t="s">
        <v>68</v>
      </c>
      <c r="J36" s="287"/>
      <c r="K36" s="287"/>
      <c r="L36" s="287"/>
      <c r="M36" s="287"/>
      <c r="N36" s="287"/>
      <c r="O36" s="287"/>
      <c r="P36" s="287"/>
      <c r="Q36" s="287"/>
      <c r="R36" s="278" t="s">
        <v>73</v>
      </c>
      <c r="S36" s="278"/>
      <c r="T36" s="278"/>
      <c r="U36" s="278"/>
      <c r="V36" s="278"/>
      <c r="W36" s="278"/>
      <c r="X36" s="278"/>
      <c r="Y36" s="278"/>
      <c r="Z36" s="278"/>
      <c r="AA36" s="278"/>
      <c r="AB36" s="278"/>
      <c r="AC36" s="278"/>
      <c r="AD36" s="278"/>
      <c r="AE36" s="278"/>
      <c r="AF36" s="278"/>
      <c r="AG36" s="92"/>
      <c r="AH36" s="92"/>
    </row>
    <row r="37" spans="1:34" ht="102" customHeight="1">
      <c r="A37" s="92"/>
      <c r="B37" s="288" t="s">
        <v>74</v>
      </c>
      <c r="C37" s="289"/>
      <c r="D37" s="289"/>
      <c r="E37" s="284"/>
      <c r="F37" s="285"/>
      <c r="G37" s="285"/>
      <c r="H37" s="286"/>
      <c r="I37" s="278" t="s">
        <v>68</v>
      </c>
      <c r="J37" s="287"/>
      <c r="K37" s="287"/>
      <c r="L37" s="287"/>
      <c r="M37" s="287"/>
      <c r="N37" s="287"/>
      <c r="O37" s="287"/>
      <c r="P37" s="287"/>
      <c r="Q37" s="287"/>
      <c r="R37" s="278" t="s">
        <v>75</v>
      </c>
      <c r="S37" s="278"/>
      <c r="T37" s="278"/>
      <c r="U37" s="278"/>
      <c r="V37" s="278"/>
      <c r="W37" s="278"/>
      <c r="X37" s="278"/>
      <c r="Y37" s="278"/>
      <c r="Z37" s="278"/>
      <c r="AA37" s="278"/>
      <c r="AB37" s="278"/>
      <c r="AC37" s="278"/>
      <c r="AD37" s="278"/>
      <c r="AE37" s="278"/>
      <c r="AF37" s="278"/>
      <c r="AG37" s="92"/>
      <c r="AH37" s="92"/>
    </row>
    <row r="38" spans="1:34" ht="217.5" customHeight="1">
      <c r="A38" s="92"/>
      <c r="B38" s="288" t="s">
        <v>76</v>
      </c>
      <c r="C38" s="289"/>
      <c r="D38" s="289"/>
      <c r="E38" s="284"/>
      <c r="F38" s="285"/>
      <c r="G38" s="285"/>
      <c r="H38" s="286"/>
      <c r="I38" s="278" t="s">
        <v>68</v>
      </c>
      <c r="J38" s="287"/>
      <c r="K38" s="287"/>
      <c r="L38" s="287"/>
      <c r="M38" s="287"/>
      <c r="N38" s="287"/>
      <c r="O38" s="287"/>
      <c r="P38" s="287"/>
      <c r="Q38" s="287"/>
      <c r="R38" s="278" t="s">
        <v>77</v>
      </c>
      <c r="S38" s="278"/>
      <c r="T38" s="278"/>
      <c r="U38" s="278"/>
      <c r="V38" s="278"/>
      <c r="W38" s="278"/>
      <c r="X38" s="278"/>
      <c r="Y38" s="278"/>
      <c r="Z38" s="278"/>
      <c r="AA38" s="278"/>
      <c r="AB38" s="278"/>
      <c r="AC38" s="278"/>
      <c r="AD38" s="278"/>
      <c r="AE38" s="278"/>
      <c r="AF38" s="278"/>
      <c r="AG38" s="92"/>
      <c r="AH38" s="92"/>
    </row>
    <row r="39" spans="1:34" ht="40.5" customHeight="1">
      <c r="A39" s="92"/>
      <c r="B39" s="288" t="s">
        <v>78</v>
      </c>
      <c r="C39" s="289"/>
      <c r="D39" s="289"/>
      <c r="E39" s="284"/>
      <c r="F39" s="285"/>
      <c r="G39" s="285"/>
      <c r="H39" s="286"/>
      <c r="I39" s="278" t="s">
        <v>68</v>
      </c>
      <c r="J39" s="287"/>
      <c r="K39" s="287"/>
      <c r="L39" s="287"/>
      <c r="M39" s="287"/>
      <c r="N39" s="287"/>
      <c r="O39" s="287"/>
      <c r="P39" s="287"/>
      <c r="Q39" s="287"/>
      <c r="R39" s="278" t="s">
        <v>79</v>
      </c>
      <c r="S39" s="278"/>
      <c r="T39" s="278"/>
      <c r="U39" s="278"/>
      <c r="V39" s="278"/>
      <c r="W39" s="278"/>
      <c r="X39" s="278"/>
      <c r="Y39" s="278"/>
      <c r="Z39" s="278"/>
      <c r="AA39" s="278"/>
      <c r="AB39" s="278"/>
      <c r="AC39" s="278"/>
      <c r="AD39" s="278"/>
      <c r="AE39" s="278"/>
      <c r="AF39" s="278"/>
      <c r="AG39" s="92"/>
      <c r="AH39" s="92"/>
    </row>
    <row r="40" spans="1:34" ht="69" customHeight="1">
      <c r="A40" s="92"/>
      <c r="B40" s="288" t="s">
        <v>80</v>
      </c>
      <c r="C40" s="289"/>
      <c r="D40" s="289"/>
      <c r="E40" s="284">
        <v>44562</v>
      </c>
      <c r="F40" s="285"/>
      <c r="G40" s="285"/>
      <c r="H40" s="286"/>
      <c r="I40" s="278" t="s">
        <v>68</v>
      </c>
      <c r="J40" s="287"/>
      <c r="K40" s="287"/>
      <c r="L40" s="287"/>
      <c r="M40" s="287"/>
      <c r="N40" s="287"/>
      <c r="O40" s="287"/>
      <c r="P40" s="287"/>
      <c r="Q40" s="287"/>
      <c r="R40" s="278" t="s">
        <v>81</v>
      </c>
      <c r="S40" s="278"/>
      <c r="T40" s="278"/>
      <c r="U40" s="278"/>
      <c r="V40" s="278"/>
      <c r="W40" s="278"/>
      <c r="X40" s="278"/>
      <c r="Y40" s="278"/>
      <c r="Z40" s="278"/>
      <c r="AA40" s="278"/>
      <c r="AB40" s="278"/>
      <c r="AC40" s="278"/>
      <c r="AD40" s="278"/>
      <c r="AE40" s="278"/>
      <c r="AF40" s="278"/>
      <c r="AG40" s="92"/>
      <c r="AH40" s="92"/>
    </row>
    <row r="41" spans="1:34">
      <c r="A41" s="92"/>
      <c r="B41" s="108" t="s">
        <v>82</v>
      </c>
      <c r="C41" s="109"/>
      <c r="D41" s="109"/>
      <c r="E41" s="110"/>
      <c r="F41" s="110"/>
      <c r="G41" s="110"/>
      <c r="H41" s="110"/>
      <c r="I41" s="110"/>
      <c r="J41" s="111"/>
      <c r="K41" s="111"/>
      <c r="L41" s="111"/>
      <c r="M41" s="111"/>
      <c r="N41" s="111"/>
      <c r="O41" s="111"/>
      <c r="P41" s="111"/>
      <c r="Q41" s="111"/>
      <c r="R41" s="110"/>
      <c r="S41" s="110"/>
      <c r="T41" s="110"/>
      <c r="U41" s="110"/>
      <c r="V41" s="110"/>
      <c r="W41" s="110"/>
      <c r="X41" s="110"/>
      <c r="Y41" s="110"/>
      <c r="Z41" s="110"/>
      <c r="AA41" s="110"/>
      <c r="AB41" s="110"/>
      <c r="AC41" s="110"/>
      <c r="AD41" s="110"/>
      <c r="AE41" s="110"/>
      <c r="AF41" s="110"/>
      <c r="AG41" s="92"/>
      <c r="AH41" s="92"/>
    </row>
    <row r="42" spans="1:34">
      <c r="A42" s="92"/>
      <c r="B42" s="92"/>
      <c r="C42" s="106"/>
      <c r="D42" s="92"/>
      <c r="E42" s="92"/>
      <c r="F42" s="92"/>
      <c r="G42" s="92"/>
      <c r="H42" s="92"/>
      <c r="I42" s="107"/>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row>
    <row r="43" spans="1:34">
      <c r="A43" s="92"/>
      <c r="B43" s="92"/>
      <c r="C43" s="92"/>
      <c r="D43" s="92"/>
      <c r="E43" s="92"/>
      <c r="F43" s="92"/>
      <c r="G43" s="92"/>
      <c r="H43" s="92"/>
      <c r="I43" s="92"/>
      <c r="J43" s="112"/>
      <c r="K43" s="92"/>
      <c r="L43" s="92"/>
      <c r="M43" s="92"/>
      <c r="N43" s="92"/>
      <c r="O43" s="92"/>
      <c r="P43" s="92"/>
      <c r="Q43" s="92"/>
      <c r="R43" s="92"/>
      <c r="S43" s="92"/>
      <c r="T43" s="92"/>
      <c r="U43" s="92"/>
      <c r="V43" s="92"/>
      <c r="W43" s="92"/>
      <c r="X43" s="92"/>
      <c r="Y43" s="92"/>
      <c r="Z43" s="92"/>
      <c r="AA43" s="92"/>
      <c r="AB43" s="92"/>
      <c r="AC43" s="92"/>
      <c r="AD43" s="92"/>
      <c r="AE43" s="92"/>
      <c r="AF43" s="92"/>
      <c r="AG43" s="92"/>
      <c r="AH43" s="92"/>
    </row>
    <row r="44" spans="1:34" ht="20.25">
      <c r="A44" s="92"/>
      <c r="B44" s="104" t="s">
        <v>83</v>
      </c>
      <c r="C44" s="105"/>
      <c r="D44" s="92"/>
      <c r="E44" s="92"/>
      <c r="F44" s="92"/>
      <c r="G44" s="92"/>
      <c r="H44" s="92"/>
      <c r="I44" s="107"/>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row>
    <row r="45" spans="1:34" ht="18.75">
      <c r="A45" s="92"/>
      <c r="B45" s="113" t="s">
        <v>84</v>
      </c>
      <c r="C45" s="105"/>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281" t="s">
        <v>85</v>
      </c>
      <c r="C46" s="281"/>
      <c r="D46" s="281"/>
      <c r="E46" s="281" t="s">
        <v>86</v>
      </c>
      <c r="F46" s="283"/>
      <c r="G46" s="283"/>
      <c r="H46" s="283"/>
      <c r="I46" s="283"/>
      <c r="J46" s="283"/>
      <c r="K46" s="283"/>
      <c r="L46" s="283"/>
      <c r="M46" s="283"/>
      <c r="N46" s="283"/>
      <c r="O46" s="283"/>
      <c r="P46" s="283"/>
      <c r="Q46" s="283"/>
      <c r="R46" s="283"/>
      <c r="S46" s="283"/>
      <c r="T46" s="283"/>
      <c r="U46" s="283"/>
      <c r="V46" s="283"/>
      <c r="W46" s="283"/>
      <c r="X46" s="283"/>
      <c r="Y46" s="281" t="s">
        <v>87</v>
      </c>
      <c r="Z46" s="281"/>
      <c r="AA46" s="281"/>
      <c r="AB46" s="281"/>
      <c r="AC46" s="281"/>
      <c r="AD46" s="281"/>
      <c r="AE46" s="281"/>
      <c r="AF46" s="281"/>
      <c r="AG46" s="92"/>
      <c r="AH46" s="92"/>
    </row>
    <row r="47" spans="1:34">
      <c r="A47" s="92"/>
      <c r="B47" s="280"/>
      <c r="C47" s="280"/>
      <c r="D47" s="280"/>
      <c r="E47" s="278"/>
      <c r="F47" s="279"/>
      <c r="G47" s="279"/>
      <c r="H47" s="279"/>
      <c r="I47" s="279"/>
      <c r="J47" s="279"/>
      <c r="K47" s="279"/>
      <c r="L47" s="279"/>
      <c r="M47" s="279"/>
      <c r="N47" s="279"/>
      <c r="O47" s="279"/>
      <c r="P47" s="279"/>
      <c r="Q47" s="279"/>
      <c r="R47" s="279"/>
      <c r="S47" s="279"/>
      <c r="T47" s="279"/>
      <c r="U47" s="279"/>
      <c r="V47" s="279"/>
      <c r="W47" s="279"/>
      <c r="X47" s="279"/>
      <c r="Y47" s="278"/>
      <c r="Z47" s="279"/>
      <c r="AA47" s="279"/>
      <c r="AB47" s="279"/>
      <c r="AC47" s="279"/>
      <c r="AD47" s="279"/>
      <c r="AE47" s="279"/>
      <c r="AF47" s="279"/>
      <c r="AG47" s="92"/>
      <c r="AH47" s="92"/>
    </row>
    <row r="48" spans="1:34">
      <c r="A48" s="92"/>
      <c r="B48" s="280"/>
      <c r="C48" s="280"/>
      <c r="D48" s="280"/>
      <c r="E48" s="278"/>
      <c r="F48" s="279"/>
      <c r="G48" s="279"/>
      <c r="H48" s="279"/>
      <c r="I48" s="279"/>
      <c r="J48" s="279"/>
      <c r="K48" s="279"/>
      <c r="L48" s="279"/>
      <c r="M48" s="279"/>
      <c r="N48" s="279"/>
      <c r="O48" s="279"/>
      <c r="P48" s="279"/>
      <c r="Q48" s="279"/>
      <c r="R48" s="279"/>
      <c r="S48" s="279"/>
      <c r="T48" s="279"/>
      <c r="U48" s="279"/>
      <c r="V48" s="279"/>
      <c r="W48" s="279"/>
      <c r="X48" s="279"/>
      <c r="Y48" s="278"/>
      <c r="Z48" s="279"/>
      <c r="AA48" s="279"/>
      <c r="AB48" s="279"/>
      <c r="AC48" s="279"/>
      <c r="AD48" s="279"/>
      <c r="AE48" s="279"/>
      <c r="AF48" s="279"/>
      <c r="AG48" s="92"/>
      <c r="AH48" s="92"/>
    </row>
    <row r="49" spans="1:34">
      <c r="A49" s="92"/>
      <c r="B49" s="280"/>
      <c r="C49" s="280"/>
      <c r="D49" s="280"/>
      <c r="E49" s="278"/>
      <c r="F49" s="279"/>
      <c r="G49" s="279"/>
      <c r="H49" s="279"/>
      <c r="I49" s="279"/>
      <c r="J49" s="279"/>
      <c r="K49" s="279"/>
      <c r="L49" s="279"/>
      <c r="M49" s="279"/>
      <c r="N49" s="279"/>
      <c r="O49" s="279"/>
      <c r="P49" s="279"/>
      <c r="Q49" s="279"/>
      <c r="R49" s="279"/>
      <c r="S49" s="279"/>
      <c r="T49" s="279"/>
      <c r="U49" s="279"/>
      <c r="V49" s="279"/>
      <c r="W49" s="279"/>
      <c r="X49" s="279"/>
      <c r="Y49" s="278"/>
      <c r="Z49" s="279"/>
      <c r="AA49" s="279"/>
      <c r="AB49" s="279"/>
      <c r="AC49" s="279"/>
      <c r="AD49" s="279"/>
      <c r="AE49" s="279"/>
      <c r="AF49" s="279"/>
      <c r="AG49" s="92"/>
      <c r="AH49" s="92"/>
    </row>
    <row r="50" spans="1:34">
      <c r="A50" s="92"/>
      <c r="B50" s="280"/>
      <c r="C50" s="280"/>
      <c r="D50" s="280"/>
      <c r="E50" s="278"/>
      <c r="F50" s="279"/>
      <c r="G50" s="279"/>
      <c r="H50" s="279"/>
      <c r="I50" s="279"/>
      <c r="J50" s="279"/>
      <c r="K50" s="279"/>
      <c r="L50" s="279"/>
      <c r="M50" s="279"/>
      <c r="N50" s="279"/>
      <c r="O50" s="279"/>
      <c r="P50" s="279"/>
      <c r="Q50" s="279"/>
      <c r="R50" s="279"/>
      <c r="S50" s="279"/>
      <c r="T50" s="279"/>
      <c r="U50" s="279"/>
      <c r="V50" s="279"/>
      <c r="W50" s="279"/>
      <c r="X50" s="279"/>
      <c r="Y50" s="278"/>
      <c r="Z50" s="279"/>
      <c r="AA50" s="279"/>
      <c r="AB50" s="279"/>
      <c r="AC50" s="279"/>
      <c r="AD50" s="279"/>
      <c r="AE50" s="279"/>
      <c r="AF50" s="279"/>
      <c r="AG50" s="92"/>
      <c r="AH50" s="92"/>
    </row>
    <row r="51" spans="1:34" ht="18.75">
      <c r="A51" s="92"/>
      <c r="B51" s="113" t="s">
        <v>88</v>
      </c>
      <c r="C51" s="105"/>
      <c r="D51" s="92"/>
      <c r="E51" s="92"/>
      <c r="F51" s="92"/>
      <c r="G51" s="92"/>
      <c r="H51" s="92"/>
      <c r="I51" s="107"/>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row>
    <row r="52" spans="1:34">
      <c r="A52" s="92"/>
      <c r="B52" s="281" t="s">
        <v>85</v>
      </c>
      <c r="C52" s="281"/>
      <c r="D52" s="281"/>
      <c r="E52" s="281" t="s">
        <v>86</v>
      </c>
      <c r="F52" s="283"/>
      <c r="G52" s="283"/>
      <c r="H52" s="283"/>
      <c r="I52" s="283"/>
      <c r="J52" s="283"/>
      <c r="K52" s="283"/>
      <c r="L52" s="283"/>
      <c r="M52" s="283"/>
      <c r="N52" s="283"/>
      <c r="O52" s="283"/>
      <c r="P52" s="283"/>
      <c r="Q52" s="283"/>
      <c r="R52" s="283"/>
      <c r="S52" s="283"/>
      <c r="T52" s="283"/>
      <c r="U52" s="283"/>
      <c r="V52" s="283"/>
      <c r="W52" s="283"/>
      <c r="X52" s="283"/>
      <c r="Y52" s="281" t="s">
        <v>87</v>
      </c>
      <c r="Z52" s="281"/>
      <c r="AA52" s="281"/>
      <c r="AB52" s="281"/>
      <c r="AC52" s="281"/>
      <c r="AD52" s="281"/>
      <c r="AE52" s="281"/>
      <c r="AF52" s="281"/>
      <c r="AG52" s="92"/>
      <c r="AH52" s="92"/>
    </row>
    <row r="53" spans="1:34">
      <c r="A53" s="92"/>
      <c r="B53" s="280"/>
      <c r="C53" s="280"/>
      <c r="D53" s="280"/>
      <c r="E53" s="278"/>
      <c r="F53" s="279"/>
      <c r="G53" s="279"/>
      <c r="H53" s="279"/>
      <c r="I53" s="279"/>
      <c r="J53" s="279"/>
      <c r="K53" s="279"/>
      <c r="L53" s="279"/>
      <c r="M53" s="279"/>
      <c r="N53" s="279"/>
      <c r="O53" s="279"/>
      <c r="P53" s="279"/>
      <c r="Q53" s="279"/>
      <c r="R53" s="279"/>
      <c r="S53" s="279"/>
      <c r="T53" s="279"/>
      <c r="U53" s="279"/>
      <c r="V53" s="279"/>
      <c r="W53" s="279"/>
      <c r="X53" s="279"/>
      <c r="Y53" s="278"/>
      <c r="Z53" s="279"/>
      <c r="AA53" s="279"/>
      <c r="AB53" s="279"/>
      <c r="AC53" s="279"/>
      <c r="AD53" s="279"/>
      <c r="AE53" s="279"/>
      <c r="AF53" s="279"/>
      <c r="AG53" s="92"/>
      <c r="AH53" s="92"/>
    </row>
    <row r="54" spans="1:34">
      <c r="A54" s="92"/>
      <c r="B54" s="280"/>
      <c r="C54" s="280"/>
      <c r="D54" s="280"/>
      <c r="E54" s="278"/>
      <c r="F54" s="279"/>
      <c r="G54" s="279"/>
      <c r="H54" s="279"/>
      <c r="I54" s="279"/>
      <c r="J54" s="279"/>
      <c r="K54" s="279"/>
      <c r="L54" s="279"/>
      <c r="M54" s="279"/>
      <c r="N54" s="279"/>
      <c r="O54" s="279"/>
      <c r="P54" s="279"/>
      <c r="Q54" s="279"/>
      <c r="R54" s="279"/>
      <c r="S54" s="279"/>
      <c r="T54" s="279"/>
      <c r="U54" s="279"/>
      <c r="V54" s="279"/>
      <c r="W54" s="279"/>
      <c r="X54" s="279"/>
      <c r="Y54" s="278"/>
      <c r="Z54" s="279"/>
      <c r="AA54" s="279"/>
      <c r="AB54" s="279"/>
      <c r="AC54" s="279"/>
      <c r="AD54" s="279"/>
      <c r="AE54" s="279"/>
      <c r="AF54" s="279"/>
      <c r="AG54" s="92"/>
      <c r="AH54" s="92"/>
    </row>
    <row r="55" spans="1:34">
      <c r="A55" s="92"/>
      <c r="B55" s="280"/>
      <c r="C55" s="280"/>
      <c r="D55" s="280"/>
      <c r="E55" s="278"/>
      <c r="F55" s="279"/>
      <c r="G55" s="279"/>
      <c r="H55" s="279"/>
      <c r="I55" s="279"/>
      <c r="J55" s="279"/>
      <c r="K55" s="279"/>
      <c r="L55" s="279"/>
      <c r="M55" s="279"/>
      <c r="N55" s="279"/>
      <c r="O55" s="279"/>
      <c r="P55" s="279"/>
      <c r="Q55" s="279"/>
      <c r="R55" s="279"/>
      <c r="S55" s="279"/>
      <c r="T55" s="279"/>
      <c r="U55" s="279"/>
      <c r="V55" s="279"/>
      <c r="W55" s="279"/>
      <c r="X55" s="279"/>
      <c r="Y55" s="278"/>
      <c r="Z55" s="279"/>
      <c r="AA55" s="279"/>
      <c r="AB55" s="279"/>
      <c r="AC55" s="279"/>
      <c r="AD55" s="279"/>
      <c r="AE55" s="279"/>
      <c r="AF55" s="279"/>
      <c r="AG55" s="92"/>
      <c r="AH55" s="92"/>
    </row>
    <row r="56" spans="1:34">
      <c r="A56" s="92"/>
      <c r="B56" s="280"/>
      <c r="C56" s="280"/>
      <c r="D56" s="280"/>
      <c r="E56" s="278"/>
      <c r="F56" s="279"/>
      <c r="G56" s="279"/>
      <c r="H56" s="279"/>
      <c r="I56" s="279"/>
      <c r="J56" s="279"/>
      <c r="K56" s="279"/>
      <c r="L56" s="279"/>
      <c r="M56" s="279"/>
      <c r="N56" s="279"/>
      <c r="O56" s="279"/>
      <c r="P56" s="279"/>
      <c r="Q56" s="279"/>
      <c r="R56" s="279"/>
      <c r="S56" s="279"/>
      <c r="T56" s="279"/>
      <c r="U56" s="279"/>
      <c r="V56" s="279"/>
      <c r="W56" s="279"/>
      <c r="X56" s="279"/>
      <c r="Y56" s="278"/>
      <c r="Z56" s="279"/>
      <c r="AA56" s="279"/>
      <c r="AB56" s="279"/>
      <c r="AC56" s="279"/>
      <c r="AD56" s="279"/>
      <c r="AE56" s="279"/>
      <c r="AF56" s="279"/>
      <c r="AG56" s="92"/>
      <c r="AH56" s="92"/>
    </row>
    <row r="57" spans="1:34">
      <c r="A57" s="92"/>
      <c r="B57" s="92"/>
      <c r="C57" s="106"/>
      <c r="D57" s="92"/>
      <c r="E57" s="92"/>
      <c r="F57" s="92"/>
      <c r="G57" s="92"/>
      <c r="H57" s="92"/>
      <c r="I57" s="107"/>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row>
    <row r="58" spans="1:34" ht="20.25">
      <c r="A58" s="92"/>
      <c r="B58" s="104" t="s">
        <v>89</v>
      </c>
      <c r="C58" s="105"/>
      <c r="D58" s="92"/>
      <c r="E58" s="92"/>
      <c r="F58" s="92"/>
      <c r="G58" s="92"/>
      <c r="H58" s="92"/>
      <c r="I58" s="107"/>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row>
    <row r="59" spans="1:34">
      <c r="A59" s="92"/>
      <c r="B59" s="281" t="s">
        <v>90</v>
      </c>
      <c r="C59" s="281"/>
      <c r="D59" s="281"/>
      <c r="E59" s="281"/>
      <c r="F59" s="281"/>
      <c r="G59" s="281"/>
      <c r="H59" s="282"/>
      <c r="I59" s="282"/>
      <c r="J59" s="282"/>
      <c r="K59" s="282"/>
      <c r="L59" s="282"/>
      <c r="M59" s="282"/>
      <c r="N59" s="282"/>
      <c r="O59" s="282"/>
      <c r="P59" s="282"/>
      <c r="Q59" s="282"/>
      <c r="R59" s="282"/>
      <c r="S59" s="282"/>
      <c r="T59" s="282"/>
      <c r="U59" s="282"/>
      <c r="V59" s="282"/>
      <c r="W59" s="282"/>
      <c r="X59" s="282"/>
      <c r="Y59" s="282"/>
      <c r="Z59" s="282"/>
      <c r="AA59" s="282"/>
      <c r="AB59" s="282"/>
      <c r="AC59" s="282"/>
      <c r="AD59" s="282"/>
      <c r="AE59" s="282"/>
      <c r="AF59" s="282"/>
      <c r="AG59" s="92"/>
      <c r="AH59" s="92"/>
    </row>
    <row r="60" spans="1:34" ht="27.75" customHeight="1">
      <c r="A60" s="92"/>
      <c r="B60" s="271" t="s">
        <v>91</v>
      </c>
      <c r="C60" s="272"/>
      <c r="D60" s="272"/>
      <c r="E60" s="272"/>
      <c r="F60" s="272"/>
      <c r="G60" s="273"/>
      <c r="H60" s="277" t="s">
        <v>92</v>
      </c>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6"/>
      <c r="AG60" s="92"/>
      <c r="AH60" s="92"/>
    </row>
    <row r="61" spans="1:34">
      <c r="A61" s="92"/>
      <c r="B61" s="271"/>
      <c r="C61" s="272"/>
      <c r="D61" s="272"/>
      <c r="E61" s="272"/>
      <c r="F61" s="272"/>
      <c r="G61" s="273"/>
      <c r="H61" s="274"/>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6"/>
      <c r="AG61" s="92"/>
      <c r="AH61" s="92"/>
    </row>
    <row r="62" spans="1:34">
      <c r="A62" s="92"/>
      <c r="B62" s="271"/>
      <c r="C62" s="272"/>
      <c r="D62" s="272"/>
      <c r="E62" s="272"/>
      <c r="F62" s="272"/>
      <c r="G62" s="273"/>
      <c r="H62" s="274"/>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6"/>
      <c r="AG62" s="92"/>
      <c r="AH62" s="92"/>
    </row>
    <row r="63" spans="1:34">
      <c r="A63" s="92"/>
      <c r="B63" s="271"/>
      <c r="C63" s="272"/>
      <c r="D63" s="272"/>
      <c r="E63" s="272"/>
      <c r="F63" s="272"/>
      <c r="G63" s="273"/>
      <c r="H63" s="274"/>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6"/>
      <c r="AG63" s="92"/>
      <c r="AH63" s="92"/>
    </row>
    <row r="64" spans="1:34">
      <c r="A64" s="92"/>
      <c r="B64" s="271"/>
      <c r="C64" s="272"/>
      <c r="D64" s="272"/>
      <c r="E64" s="272"/>
      <c r="F64" s="272"/>
      <c r="G64" s="273"/>
      <c r="H64" s="274"/>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6"/>
      <c r="AG64" s="92"/>
      <c r="AH64" s="92"/>
    </row>
    <row r="65" spans="1:34">
      <c r="A65" s="92"/>
      <c r="B65" s="110"/>
      <c r="C65" s="110"/>
      <c r="D65" s="110"/>
      <c r="E65" s="110"/>
      <c r="F65" s="110"/>
      <c r="G65" s="110"/>
      <c r="H65" s="114"/>
      <c r="I65" s="114"/>
      <c r="J65" s="114"/>
      <c r="K65" s="114"/>
      <c r="L65" s="114"/>
      <c r="M65" s="114"/>
      <c r="N65" s="114"/>
      <c r="O65" s="114"/>
      <c r="P65" s="114"/>
      <c r="Q65" s="114"/>
      <c r="R65" s="114"/>
      <c r="S65" s="114"/>
      <c r="T65" s="114"/>
      <c r="U65" s="114"/>
      <c r="V65" s="114"/>
      <c r="W65" s="114"/>
      <c r="X65" s="114"/>
      <c r="Y65" s="114"/>
      <c r="Z65" s="114"/>
      <c r="AA65" s="114"/>
      <c r="AB65" s="114"/>
      <c r="AC65" s="114"/>
      <c r="AD65" s="114"/>
      <c r="AE65" s="114"/>
      <c r="AF65" s="114"/>
      <c r="AG65" s="92"/>
      <c r="AH65" s="92"/>
    </row>
    <row r="66" spans="1:34">
      <c r="A66" s="92"/>
      <c r="B66" s="110"/>
      <c r="C66" s="110"/>
      <c r="D66" s="110"/>
      <c r="E66" s="110"/>
      <c r="F66" s="110"/>
      <c r="G66" s="110"/>
      <c r="H66" s="114"/>
      <c r="I66" s="114"/>
      <c r="J66" s="114"/>
      <c r="K66" s="114"/>
      <c r="L66" s="114"/>
      <c r="M66" s="114"/>
      <c r="N66" s="114"/>
      <c r="O66" s="114"/>
      <c r="P66" s="114"/>
      <c r="Q66" s="114"/>
      <c r="R66" s="114"/>
      <c r="S66" s="114"/>
      <c r="T66" s="114"/>
      <c r="U66" s="114"/>
      <c r="V66" s="114"/>
      <c r="W66" s="114"/>
      <c r="X66" s="114"/>
      <c r="Y66" s="114"/>
      <c r="Z66" s="114"/>
      <c r="AA66" s="114"/>
      <c r="AB66" s="114"/>
      <c r="AC66" s="114"/>
      <c r="AD66" s="114"/>
      <c r="AE66" s="114"/>
      <c r="AF66" s="114"/>
      <c r="AG66" s="92"/>
      <c r="AH66" s="92"/>
    </row>
    <row r="67" spans="1:34" ht="26.25">
      <c r="A67" s="92"/>
      <c r="B67" s="115" t="s">
        <v>93</v>
      </c>
      <c r="C67" s="116"/>
      <c r="D67" s="116"/>
      <c r="E67" s="116"/>
      <c r="F67" s="116"/>
      <c r="G67" s="116"/>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92"/>
      <c r="AH67" s="92"/>
    </row>
    <row r="68" spans="1:34" ht="26.25">
      <c r="A68" s="92"/>
      <c r="B68" s="118"/>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s="156" customFormat="1" ht="20.25">
      <c r="B69" s="157" t="s">
        <v>94</v>
      </c>
    </row>
    <row r="70" spans="1:34">
      <c r="A70" s="92"/>
      <c r="B70" s="119"/>
      <c r="C70" s="119"/>
      <c r="D70" s="119"/>
      <c r="E70" s="119"/>
      <c r="F70" s="119"/>
      <c r="G70" s="119"/>
      <c r="H70" s="120"/>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92"/>
      <c r="AH70" s="92"/>
    </row>
    <row r="71" spans="1:34" ht="52.5" customHeight="1">
      <c r="A71" s="92"/>
      <c r="B71" s="308" t="s">
        <v>95</v>
      </c>
      <c r="C71" s="309"/>
      <c r="D71" s="309"/>
      <c r="E71" s="309"/>
      <c r="F71" s="309"/>
      <c r="G71" s="310"/>
      <c r="H71" s="311" t="s">
        <v>96</v>
      </c>
      <c r="I71" s="312"/>
      <c r="J71" s="312"/>
      <c r="K71" s="312"/>
      <c r="L71" s="312"/>
      <c r="M71" s="312"/>
      <c r="N71" s="312"/>
      <c r="O71" s="312"/>
      <c r="P71" s="312"/>
      <c r="Q71" s="312"/>
      <c r="R71" s="312"/>
      <c r="S71" s="312"/>
      <c r="T71" s="312"/>
      <c r="U71" s="312"/>
      <c r="V71" s="312"/>
      <c r="W71" s="312"/>
      <c r="X71" s="312"/>
      <c r="Y71" s="312"/>
      <c r="Z71" s="312"/>
      <c r="AA71" s="312"/>
      <c r="AB71" s="312"/>
      <c r="AC71" s="312"/>
      <c r="AD71" s="312"/>
      <c r="AE71" s="312"/>
      <c r="AF71" s="313"/>
      <c r="AG71" s="92"/>
      <c r="AH71" s="92"/>
    </row>
    <row r="72" spans="1:34" ht="111" customHeight="1">
      <c r="A72" s="92"/>
      <c r="B72" s="308" t="s">
        <v>97</v>
      </c>
      <c r="C72" s="309"/>
      <c r="D72" s="309"/>
      <c r="E72" s="309"/>
      <c r="F72" s="309"/>
      <c r="G72" s="310"/>
      <c r="H72" s="311" t="s">
        <v>98</v>
      </c>
      <c r="I72" s="312"/>
      <c r="J72" s="312"/>
      <c r="K72" s="312"/>
      <c r="L72" s="312"/>
      <c r="M72" s="312"/>
      <c r="N72" s="312"/>
      <c r="O72" s="312"/>
      <c r="P72" s="312"/>
      <c r="Q72" s="312"/>
      <c r="R72" s="312"/>
      <c r="S72" s="312"/>
      <c r="T72" s="312"/>
      <c r="U72" s="312"/>
      <c r="V72" s="312"/>
      <c r="W72" s="312"/>
      <c r="X72" s="312"/>
      <c r="Y72" s="312"/>
      <c r="Z72" s="312"/>
      <c r="AA72" s="312"/>
      <c r="AB72" s="312"/>
      <c r="AC72" s="312"/>
      <c r="AD72" s="312"/>
      <c r="AE72" s="312"/>
      <c r="AF72" s="313"/>
      <c r="AG72" s="92"/>
      <c r="AH72" s="92"/>
    </row>
    <row r="73" spans="1:34" ht="52.5" customHeight="1">
      <c r="A73" s="92"/>
      <c r="B73" s="308" t="s">
        <v>99</v>
      </c>
      <c r="C73" s="309"/>
      <c r="D73" s="309"/>
      <c r="E73" s="309"/>
      <c r="F73" s="309"/>
      <c r="G73" s="310"/>
      <c r="H73" s="311" t="s">
        <v>100</v>
      </c>
      <c r="I73" s="312"/>
      <c r="J73" s="312"/>
      <c r="K73" s="312"/>
      <c r="L73" s="312"/>
      <c r="M73" s="312"/>
      <c r="N73" s="312"/>
      <c r="O73" s="312"/>
      <c r="P73" s="312"/>
      <c r="Q73" s="312"/>
      <c r="R73" s="312"/>
      <c r="S73" s="312"/>
      <c r="T73" s="312"/>
      <c r="U73" s="312"/>
      <c r="V73" s="312"/>
      <c r="W73" s="312"/>
      <c r="X73" s="312"/>
      <c r="Y73" s="312"/>
      <c r="Z73" s="312"/>
      <c r="AA73" s="312"/>
      <c r="AB73" s="312"/>
      <c r="AC73" s="312"/>
      <c r="AD73" s="312"/>
      <c r="AE73" s="312"/>
      <c r="AF73" s="313"/>
      <c r="AG73" s="92"/>
      <c r="AH73" s="92"/>
    </row>
    <row r="74" spans="1:34" ht="52.5" customHeight="1">
      <c r="A74" s="92"/>
      <c r="B74" s="308" t="s">
        <v>101</v>
      </c>
      <c r="C74" s="309"/>
      <c r="D74" s="309"/>
      <c r="E74" s="309"/>
      <c r="F74" s="309"/>
      <c r="G74" s="310"/>
      <c r="H74" s="311" t="s">
        <v>102</v>
      </c>
      <c r="I74" s="312"/>
      <c r="J74" s="312"/>
      <c r="K74" s="312"/>
      <c r="L74" s="312"/>
      <c r="M74" s="312"/>
      <c r="N74" s="312"/>
      <c r="O74" s="312"/>
      <c r="P74" s="312"/>
      <c r="Q74" s="312"/>
      <c r="R74" s="312"/>
      <c r="S74" s="312"/>
      <c r="T74" s="312"/>
      <c r="U74" s="312"/>
      <c r="V74" s="312"/>
      <c r="W74" s="312"/>
      <c r="X74" s="312"/>
      <c r="Y74" s="312"/>
      <c r="Z74" s="312"/>
      <c r="AA74" s="312"/>
      <c r="AB74" s="312"/>
      <c r="AC74" s="312"/>
      <c r="AD74" s="312"/>
      <c r="AE74" s="312"/>
      <c r="AF74" s="313"/>
      <c r="AG74" s="92"/>
      <c r="AH74" s="92"/>
    </row>
    <row r="75" spans="1:34" ht="81" customHeight="1">
      <c r="A75" s="92"/>
      <c r="B75" s="308" t="s">
        <v>103</v>
      </c>
      <c r="C75" s="309"/>
      <c r="D75" s="309"/>
      <c r="E75" s="309"/>
      <c r="F75" s="309"/>
      <c r="G75" s="310"/>
      <c r="H75" s="311" t="s">
        <v>104</v>
      </c>
      <c r="I75" s="312"/>
      <c r="J75" s="312"/>
      <c r="K75" s="312"/>
      <c r="L75" s="312"/>
      <c r="M75" s="312"/>
      <c r="N75" s="312"/>
      <c r="O75" s="312"/>
      <c r="P75" s="312"/>
      <c r="Q75" s="312"/>
      <c r="R75" s="312"/>
      <c r="S75" s="312"/>
      <c r="T75" s="312"/>
      <c r="U75" s="312"/>
      <c r="V75" s="312"/>
      <c r="W75" s="312"/>
      <c r="X75" s="312"/>
      <c r="Y75" s="312"/>
      <c r="Z75" s="312"/>
      <c r="AA75" s="312"/>
      <c r="AB75" s="312"/>
      <c r="AC75" s="312"/>
      <c r="AD75" s="312"/>
      <c r="AE75" s="312"/>
      <c r="AF75" s="313"/>
      <c r="AG75" s="92"/>
      <c r="AH75" s="92"/>
    </row>
    <row r="76" spans="1:34" ht="97.5" customHeight="1">
      <c r="A76" s="92"/>
      <c r="B76" s="308" t="s">
        <v>105</v>
      </c>
      <c r="C76" s="309"/>
      <c r="D76" s="309"/>
      <c r="E76" s="309"/>
      <c r="F76" s="309"/>
      <c r="G76" s="310"/>
      <c r="H76" s="311" t="s">
        <v>106</v>
      </c>
      <c r="I76" s="312"/>
      <c r="J76" s="312"/>
      <c r="K76" s="312"/>
      <c r="L76" s="312"/>
      <c r="M76" s="312"/>
      <c r="N76" s="312"/>
      <c r="O76" s="312"/>
      <c r="P76" s="312"/>
      <c r="Q76" s="312"/>
      <c r="R76" s="312"/>
      <c r="S76" s="312"/>
      <c r="T76" s="312"/>
      <c r="U76" s="312"/>
      <c r="V76" s="312"/>
      <c r="W76" s="312"/>
      <c r="X76" s="312"/>
      <c r="Y76" s="312"/>
      <c r="Z76" s="312"/>
      <c r="AA76" s="312"/>
      <c r="AB76" s="312"/>
      <c r="AC76" s="312"/>
      <c r="AD76" s="312"/>
      <c r="AE76" s="312"/>
      <c r="AF76" s="313"/>
      <c r="AG76" s="92"/>
      <c r="AH76" s="92"/>
    </row>
    <row r="77" spans="1:34">
      <c r="A77" s="92"/>
      <c r="B77" s="119"/>
      <c r="C77" s="119"/>
      <c r="D77" s="119"/>
      <c r="E77" s="119"/>
      <c r="F77" s="119"/>
      <c r="G77" s="119"/>
      <c r="H77" s="120"/>
      <c r="I77" s="120"/>
      <c r="J77" s="120"/>
      <c r="K77" s="120"/>
      <c r="L77" s="120"/>
      <c r="M77" s="120"/>
      <c r="N77" s="120"/>
      <c r="O77" s="120"/>
      <c r="P77" s="120"/>
      <c r="Q77" s="120"/>
      <c r="R77" s="120"/>
      <c r="S77" s="120"/>
      <c r="T77" s="120"/>
      <c r="U77" s="120"/>
      <c r="V77" s="120"/>
      <c r="W77" s="120"/>
      <c r="X77" s="120"/>
      <c r="Y77" s="120"/>
      <c r="Z77" s="120"/>
      <c r="AA77" s="120"/>
      <c r="AB77" s="120"/>
      <c r="AC77" s="120"/>
      <c r="AD77" s="120"/>
      <c r="AE77" s="120"/>
      <c r="AF77" s="120"/>
      <c r="AG77" s="92"/>
      <c r="AH77" s="92"/>
    </row>
    <row r="78" spans="1:34">
      <c r="A78" s="92"/>
      <c r="B78" s="119"/>
      <c r="C78" s="119"/>
      <c r="D78" s="119"/>
      <c r="E78" s="119"/>
      <c r="F78" s="119"/>
      <c r="G78" s="119"/>
      <c r="H78" s="120"/>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92"/>
      <c r="AH78" s="92"/>
    </row>
    <row r="79" spans="1:34">
      <c r="A79" s="92"/>
      <c r="B79" s="119"/>
      <c r="C79" s="119"/>
      <c r="D79" s="119"/>
      <c r="E79" s="119"/>
      <c r="F79" s="119"/>
      <c r="G79" s="119"/>
      <c r="H79" s="120"/>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92"/>
      <c r="AH79" s="92"/>
    </row>
    <row r="80" spans="1:34" ht="26.25">
      <c r="A80" s="92"/>
      <c r="B80" s="115" t="s">
        <v>107</v>
      </c>
      <c r="C80" s="116"/>
      <c r="D80" s="116"/>
      <c r="E80" s="116"/>
      <c r="F80" s="116"/>
      <c r="G80" s="116"/>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t="s">
        <v>108</v>
      </c>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67.5">
      <c r="A83" s="92"/>
      <c r="B83" s="119"/>
      <c r="C83" s="119"/>
      <c r="D83" s="119"/>
      <c r="E83" s="119"/>
      <c r="F83" s="119"/>
      <c r="G83" s="119"/>
      <c r="H83" s="120"/>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92"/>
      <c r="AH83" s="92"/>
      <c r="AJ83" s="162" t="s">
        <v>109</v>
      </c>
    </row>
    <row r="84" spans="1:36" ht="18.75">
      <c r="A84" s="92"/>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c r="AI84" s="140"/>
      <c r="AJ84" s="161" t="s">
        <v>18</v>
      </c>
    </row>
    <row r="85" spans="1:36">
      <c r="A85" s="92"/>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c r="AI85" s="141" t="s">
        <v>110</v>
      </c>
      <c r="AJ85" s="141" t="s">
        <v>111</v>
      </c>
    </row>
    <row r="86" spans="1:36">
      <c r="A86" s="92"/>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I86" s="141" t="s">
        <v>112</v>
      </c>
      <c r="AJ86" s="141" t="s">
        <v>113</v>
      </c>
    </row>
    <row r="87" spans="1:36">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t="s">
        <v>114</v>
      </c>
      <c r="AJ87" s="141" t="s">
        <v>115</v>
      </c>
    </row>
    <row r="88" spans="1:36" ht="18.75">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c r="AJ88" s="141" t="s">
        <v>116</v>
      </c>
    </row>
    <row r="89" spans="1:36">
      <c r="A89" s="92"/>
      <c r="B89" s="119"/>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J89" s="141" t="s">
        <v>117</v>
      </c>
    </row>
    <row r="90" spans="1:36">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J90" s="141" t="s">
        <v>118</v>
      </c>
    </row>
    <row r="91" spans="1:36">
      <c r="AJ91" s="141" t="s">
        <v>119</v>
      </c>
    </row>
    <row r="92" spans="1:36">
      <c r="AJ92" s="141" t="s">
        <v>120</v>
      </c>
    </row>
    <row r="93" spans="1:36">
      <c r="AJ93" s="141" t="s">
        <v>121</v>
      </c>
    </row>
    <row r="94" spans="1:36">
      <c r="AJ94" s="141" t="s">
        <v>122</v>
      </c>
    </row>
    <row r="95" spans="1:36">
      <c r="AJ95" s="141" t="s">
        <v>123</v>
      </c>
    </row>
    <row r="96" spans="1:36">
      <c r="AJ96" s="141" t="s">
        <v>124</v>
      </c>
    </row>
    <row r="97" spans="36:36">
      <c r="AJ97" s="141" t="s">
        <v>125</v>
      </c>
    </row>
    <row r="98" spans="36:36">
      <c r="AJ98" s="141" t="s">
        <v>126</v>
      </c>
    </row>
    <row r="99" spans="36:36">
      <c r="AJ99" s="141" t="s">
        <v>127</v>
      </c>
    </row>
    <row r="100" spans="36:36">
      <c r="AJ100" s="141" t="s">
        <v>128</v>
      </c>
    </row>
    <row r="101" spans="36:36">
      <c r="AJ101" s="141" t="s">
        <v>129</v>
      </c>
    </row>
    <row r="102" spans="36:36">
      <c r="AJ102" s="141" t="s">
        <v>130</v>
      </c>
    </row>
    <row r="103" spans="36:36">
      <c r="AJ103" s="141" t="s">
        <v>131</v>
      </c>
    </row>
    <row r="104" spans="36:36">
      <c r="AJ104" s="141" t="s">
        <v>132</v>
      </c>
    </row>
    <row r="105" spans="36:36" ht="18.75">
      <c r="AJ105" s="142" t="s">
        <v>127</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6"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6" t="s">
        <v>35</v>
      </c>
      <c r="B1" s="317"/>
      <c r="C1" s="317"/>
      <c r="D1" s="318"/>
    </row>
    <row r="3" spans="1:8">
      <c r="B3" s="319" t="s">
        <v>133</v>
      </c>
      <c r="C3" s="320"/>
      <c r="D3" s="321"/>
    </row>
    <row r="4" spans="1:8">
      <c r="B4" s="68" t="s">
        <v>134</v>
      </c>
      <c r="C4" s="41" t="s">
        <v>135</v>
      </c>
      <c r="D4" s="12"/>
    </row>
    <row r="5" spans="1:8">
      <c r="B5" s="10" t="s">
        <v>136</v>
      </c>
      <c r="C5" s="11" t="s">
        <v>137</v>
      </c>
      <c r="D5" s="12"/>
    </row>
    <row r="6" spans="1:8">
      <c r="B6" s="10" t="s">
        <v>138</v>
      </c>
      <c r="C6" s="11" t="s">
        <v>139</v>
      </c>
      <c r="D6" s="12"/>
    </row>
    <row r="7" spans="1:8">
      <c r="B7" s="10" t="s">
        <v>140</v>
      </c>
      <c r="C7" s="11" t="s">
        <v>141</v>
      </c>
      <c r="D7" s="12"/>
    </row>
    <row r="8" spans="1:8">
      <c r="B8" s="10" t="s">
        <v>142</v>
      </c>
      <c r="C8" s="11" t="s">
        <v>143</v>
      </c>
      <c r="D8" s="12"/>
    </row>
    <row r="9" spans="1:8">
      <c r="B9" s="68" t="s">
        <v>144</v>
      </c>
      <c r="C9" s="41" t="s">
        <v>145</v>
      </c>
      <c r="D9" s="12"/>
    </row>
    <row r="10" spans="1:8">
      <c r="B10" s="68" t="s">
        <v>146</v>
      </c>
      <c r="C10" s="41" t="s">
        <v>147</v>
      </c>
      <c r="D10" s="12"/>
    </row>
    <row r="12" spans="1:8">
      <c r="B12" s="319" t="s">
        <v>148</v>
      </c>
      <c r="C12" s="320"/>
      <c r="D12" s="321"/>
    </row>
    <row r="13" spans="1:8" ht="24.75" customHeight="1">
      <c r="B13" s="121" t="s">
        <v>149</v>
      </c>
      <c r="C13" s="322" t="s">
        <v>150</v>
      </c>
      <c r="D13" s="323"/>
    </row>
    <row r="14" spans="1:8" ht="25.5" customHeight="1">
      <c r="B14" s="121" t="s">
        <v>151</v>
      </c>
      <c r="C14" s="322" t="s">
        <v>152</v>
      </c>
      <c r="D14" s="323"/>
      <c r="E14" s="77"/>
      <c r="F14" s="77"/>
      <c r="G14" s="77"/>
      <c r="H14" s="77"/>
    </row>
    <row r="15" spans="1:8" ht="49.5" customHeight="1">
      <c r="B15" s="121" t="s">
        <v>153</v>
      </c>
      <c r="C15" s="322" t="s">
        <v>154</v>
      </c>
      <c r="D15" s="323"/>
      <c r="F15" s="39" t="s">
        <v>155</v>
      </c>
    </row>
    <row r="17" spans="2:6">
      <c r="B17" s="319" t="s">
        <v>156</v>
      </c>
      <c r="C17" s="320"/>
      <c r="D17" s="321"/>
    </row>
    <row r="18" spans="2:6">
      <c r="B18" s="2"/>
      <c r="D18" s="3"/>
      <c r="F18" s="39" t="s">
        <v>157</v>
      </c>
    </row>
    <row r="19" spans="2:6" s="78" customFormat="1" ht="38.25">
      <c r="B19" s="314" t="s">
        <v>158</v>
      </c>
      <c r="C19" s="122" t="s">
        <v>159</v>
      </c>
      <c r="D19" s="79"/>
      <c r="F19" s="81" t="s">
        <v>160</v>
      </c>
    </row>
    <row r="20" spans="2:6">
      <c r="B20" s="314"/>
      <c r="C20" s="123"/>
      <c r="D20" s="3"/>
      <c r="F20" s="39" t="s">
        <v>161</v>
      </c>
    </row>
    <row r="21" spans="2:6" ht="25.5">
      <c r="B21" s="314"/>
      <c r="C21" s="124" t="s">
        <v>162</v>
      </c>
      <c r="D21" s="3"/>
    </row>
    <row r="22" spans="2:6" ht="25.5">
      <c r="B22" s="314"/>
      <c r="C22" s="124" t="s">
        <v>163</v>
      </c>
      <c r="D22" s="3"/>
    </row>
    <row r="23" spans="2:6">
      <c r="B23" s="314"/>
      <c r="C23" s="124" t="s">
        <v>164</v>
      </c>
      <c r="D23" s="3"/>
    </row>
    <row r="24" spans="2:6">
      <c r="B24" s="2"/>
      <c r="C24" s="24"/>
      <c r="D24" s="3"/>
    </row>
    <row r="25" spans="2:6">
      <c r="B25" s="315" t="s">
        <v>165</v>
      </c>
      <c r="C25" s="125" t="s">
        <v>166</v>
      </c>
      <c r="D25" s="3"/>
    </row>
    <row r="26" spans="2:6" ht="25.5">
      <c r="B26" s="315"/>
      <c r="C26" s="126" t="s">
        <v>167</v>
      </c>
      <c r="D26" s="3"/>
    </row>
    <row r="27" spans="2:6">
      <c r="B27" s="315"/>
      <c r="C27" s="125" t="s">
        <v>168</v>
      </c>
      <c r="D27" s="3"/>
    </row>
    <row r="28" spans="2:6">
      <c r="B28" s="2"/>
      <c r="C28" s="24"/>
      <c r="D28" s="3"/>
    </row>
    <row r="29" spans="2:6">
      <c r="B29" s="4"/>
      <c r="C29" s="5"/>
      <c r="D29" s="6"/>
    </row>
    <row r="32" spans="2:6">
      <c r="B32" s="13" t="s">
        <v>169</v>
      </c>
    </row>
    <row r="33" spans="2:4">
      <c r="B33" s="7"/>
      <c r="C33" s="8"/>
      <c r="D33" s="9"/>
    </row>
    <row r="34" spans="2:4" ht="18">
      <c r="B34" s="32" t="s">
        <v>170</v>
      </c>
      <c r="D34" s="3"/>
    </row>
    <row r="35" spans="2:4" ht="25.5">
      <c r="B35" s="2"/>
      <c r="C35" s="27" t="s">
        <v>171</v>
      </c>
      <c r="D35" s="3"/>
    </row>
    <row r="36" spans="2:4">
      <c r="B36" s="4"/>
      <c r="C36" s="63"/>
      <c r="D36" s="6"/>
    </row>
    <row r="37" spans="2:4">
      <c r="B37" s="2"/>
      <c r="C37" s="27"/>
      <c r="D37" s="3"/>
    </row>
    <row r="38" spans="2:4" ht="18">
      <c r="B38" s="32" t="s">
        <v>172</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59" t="s">
        <v>173</v>
      </c>
      <c r="C50" s="160" t="s">
        <v>174</v>
      </c>
      <c r="D50" s="3"/>
    </row>
    <row r="51" spans="2:4">
      <c r="B51" s="4"/>
      <c r="C51" s="38"/>
      <c r="D51" s="6"/>
    </row>
    <row r="52" spans="2:4">
      <c r="B52" s="2"/>
      <c r="C52" s="27"/>
      <c r="D52" s="3"/>
    </row>
    <row r="53" spans="2:4" ht="18">
      <c r="B53" s="32" t="s">
        <v>175</v>
      </c>
      <c r="C53" s="27"/>
      <c r="D53" s="3"/>
    </row>
    <row r="54" spans="2:4">
      <c r="B54" s="2"/>
      <c r="C54" s="64" t="s">
        <v>176</v>
      </c>
      <c r="D54" s="3"/>
    </row>
    <row r="55" spans="2:4">
      <c r="B55" s="2"/>
      <c r="C55" s="65" t="s">
        <v>10</v>
      </c>
      <c r="D55" s="3"/>
    </row>
    <row r="56" spans="2:4">
      <c r="B56" s="2"/>
      <c r="C56" s="66" t="s">
        <v>177</v>
      </c>
      <c r="D56" s="3"/>
    </row>
    <row r="57" spans="2:4">
      <c r="B57" s="2"/>
      <c r="C57" s="67" t="s">
        <v>178</v>
      </c>
      <c r="D57" s="3"/>
    </row>
    <row r="58" spans="2:4">
      <c r="B58" s="4"/>
      <c r="C58" s="38"/>
      <c r="D58" s="6"/>
    </row>
    <row r="59" spans="2:4">
      <c r="B59" s="2"/>
      <c r="C59" s="24"/>
      <c r="D59" s="3"/>
    </row>
    <row r="60" spans="2:4" ht="18">
      <c r="B60" s="32" t="s">
        <v>179</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180</v>
      </c>
    </row>
    <row r="112" spans="2:4">
      <c r="B112" s="7"/>
      <c r="C112" s="8"/>
      <c r="D112" s="9"/>
    </row>
    <row r="113" spans="2:4">
      <c r="B113" s="2"/>
      <c r="D113" s="3"/>
    </row>
    <row r="114" spans="2:4">
      <c r="B114" s="2"/>
      <c r="D114" s="3"/>
    </row>
    <row r="115" spans="2:4">
      <c r="B115" s="2"/>
      <c r="C115" s="39" t="s">
        <v>181</v>
      </c>
      <c r="D115" s="3"/>
    </row>
    <row r="116" spans="2:4">
      <c r="B116" s="2"/>
      <c r="D116" s="3"/>
    </row>
    <row r="117" spans="2:4" ht="12.75" customHeight="1">
      <c r="B117" s="2"/>
      <c r="C117" s="39" t="s">
        <v>182</v>
      </c>
      <c r="D117" s="3"/>
    </row>
    <row r="118" spans="2:4" ht="12.75" customHeight="1">
      <c r="B118" s="2"/>
      <c r="D118" s="3"/>
    </row>
    <row r="119" spans="2:4" ht="12.75" customHeight="1">
      <c r="B119" s="2"/>
      <c r="D119" s="3"/>
    </row>
    <row r="120" spans="2:4">
      <c r="B120" s="4"/>
      <c r="C120" s="5"/>
      <c r="D120" s="6"/>
    </row>
    <row r="122" spans="2:4">
      <c r="B122" s="13" t="s">
        <v>183</v>
      </c>
    </row>
    <row r="123" spans="2:4" ht="38.25">
      <c r="B123" s="7"/>
      <c r="C123" s="80" t="s">
        <v>184</v>
      </c>
      <c r="D123" s="9"/>
    </row>
    <row r="124" spans="2:4">
      <c r="B124" s="127" t="s">
        <v>185</v>
      </c>
      <c r="C124" s="1" t="s">
        <v>186</v>
      </c>
      <c r="D124" s="3"/>
    </row>
    <row r="125" spans="2:4">
      <c r="B125" s="127" t="s">
        <v>185</v>
      </c>
      <c r="C125" s="27" t="s">
        <v>187</v>
      </c>
      <c r="D125" s="3"/>
    </row>
    <row r="126" spans="2:4">
      <c r="B126" s="127" t="s">
        <v>185</v>
      </c>
      <c r="C126" s="24" t="s">
        <v>188</v>
      </c>
      <c r="D126" s="3"/>
    </row>
    <row r="127" spans="2:4">
      <c r="B127" s="127" t="s">
        <v>185</v>
      </c>
      <c r="C127" s="24" t="s">
        <v>189</v>
      </c>
      <c r="D127" s="3"/>
    </row>
    <row r="128" spans="2:4">
      <c r="B128" s="127" t="s">
        <v>185</v>
      </c>
      <c r="C128" s="24" t="s">
        <v>190</v>
      </c>
      <c r="D128" s="3"/>
    </row>
    <row r="129" spans="2:4">
      <c r="B129" s="127" t="s">
        <v>185</v>
      </c>
      <c r="C129" s="24" t="s">
        <v>191</v>
      </c>
      <c r="D129" s="3"/>
    </row>
    <row r="130" spans="2:4">
      <c r="B130" s="127" t="s">
        <v>185</v>
      </c>
      <c r="C130" s="24" t="s">
        <v>192</v>
      </c>
      <c r="D130" s="3"/>
    </row>
    <row r="131" spans="2:4">
      <c r="B131" s="127" t="s">
        <v>185</v>
      </c>
      <c r="C131" s="27" t="s">
        <v>193</v>
      </c>
      <c r="D131" s="3"/>
    </row>
    <row r="132" spans="2:4">
      <c r="B132" s="127" t="s">
        <v>185</v>
      </c>
      <c r="C132" s="27" t="s">
        <v>194</v>
      </c>
      <c r="D132" s="3"/>
    </row>
    <row r="133" spans="2:4">
      <c r="B133" s="127" t="s">
        <v>185</v>
      </c>
      <c r="C133" s="1" t="s">
        <v>195</v>
      </c>
      <c r="D133" s="3"/>
    </row>
    <row r="134" spans="2:4">
      <c r="B134" s="127" t="s">
        <v>185</v>
      </c>
      <c r="C134" s="24" t="s">
        <v>196</v>
      </c>
      <c r="D134" s="3"/>
    </row>
    <row r="135" spans="2:4">
      <c r="B135" s="127" t="s">
        <v>185</v>
      </c>
      <c r="C135" s="24" t="s">
        <v>197</v>
      </c>
      <c r="D135" s="3"/>
    </row>
    <row r="136" spans="2:4">
      <c r="B136" s="127" t="s">
        <v>185</v>
      </c>
      <c r="C136" s="27" t="s">
        <v>198</v>
      </c>
      <c r="D136" s="3"/>
    </row>
    <row r="137" spans="2:4">
      <c r="B137" s="127" t="s">
        <v>185</v>
      </c>
      <c r="C137" s="27" t="s">
        <v>199</v>
      </c>
      <c r="D137" s="3"/>
    </row>
    <row r="138" spans="2:4">
      <c r="B138" s="127" t="s">
        <v>185</v>
      </c>
      <c r="C138" s="27" t="s">
        <v>200</v>
      </c>
      <c r="D138" s="3"/>
    </row>
    <row r="139" spans="2:4">
      <c r="B139" s="127" t="s">
        <v>185</v>
      </c>
      <c r="C139" s="27" t="s">
        <v>201</v>
      </c>
      <c r="D139" s="3"/>
    </row>
    <row r="140" spans="2:4">
      <c r="B140" s="128" t="s">
        <v>185</v>
      </c>
      <c r="C140" s="5" t="s">
        <v>202</v>
      </c>
      <c r="D140" s="6"/>
    </row>
  </sheetData>
  <mergeCells count="9">
    <mergeCell ref="B19:B23"/>
    <mergeCell ref="B25:B27"/>
    <mergeCell ref="A1:D1"/>
    <mergeCell ref="B17:D17"/>
    <mergeCell ref="B3:D3"/>
    <mergeCell ref="B12:D12"/>
    <mergeCell ref="C14:D14"/>
    <mergeCell ref="C15:D15"/>
    <mergeCell ref="C13:D13"/>
  </mergeCells>
  <phoneticPr fontId="35"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0" customFormat="1" ht="76.5">
      <c r="B24" s="71" t="s">
        <v>203</v>
      </c>
      <c r="C24" s="163" t="s">
        <v>204</v>
      </c>
      <c r="D24" s="164" t="s">
        <v>205</v>
      </c>
      <c r="E24" s="71" t="s">
        <v>126</v>
      </c>
      <c r="F24" s="71" t="s">
        <v>127</v>
      </c>
      <c r="G24" s="71" t="s">
        <v>129</v>
      </c>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3"/>
      <c r="C25" s="35" t="s">
        <v>206</v>
      </c>
      <c r="D25" s="166">
        <f>SUM(E25:AA25)</f>
        <v>43</v>
      </c>
      <c r="E25" s="73">
        <v>21</v>
      </c>
      <c r="F25" s="73">
        <v>22</v>
      </c>
      <c r="G25" s="73">
        <v>0</v>
      </c>
    </row>
    <row r="26" spans="2:52" ht="15">
      <c r="B26" s="74"/>
      <c r="C26" s="36" t="s">
        <v>207</v>
      </c>
      <c r="D26" s="166">
        <f>SUM(E26:AA26)</f>
        <v>2</v>
      </c>
      <c r="E26" s="74">
        <v>2</v>
      </c>
      <c r="F26" s="74">
        <v>0</v>
      </c>
      <c r="G26" s="74">
        <v>0</v>
      </c>
    </row>
    <row r="27" spans="2:52" ht="15">
      <c r="B27" s="72">
        <f>B25+B26</f>
        <v>0</v>
      </c>
      <c r="C27" s="40" t="s">
        <v>208</v>
      </c>
      <c r="D27" s="72">
        <f t="shared" ref="D27" si="0">D25+D26</f>
        <v>45</v>
      </c>
      <c r="E27" s="72">
        <f>E25+E26</f>
        <v>23</v>
      </c>
      <c r="F27" s="72">
        <f>F25+F26</f>
        <v>22</v>
      </c>
      <c r="G27" s="72">
        <f>G25+G26</f>
        <v>0</v>
      </c>
    </row>
    <row r="28" spans="2:52">
      <c r="D28" s="15"/>
      <c r="H28" s="33"/>
    </row>
    <row r="29" spans="2:52">
      <c r="D29" s="15"/>
      <c r="H29" s="33"/>
    </row>
    <row r="30" spans="2:52">
      <c r="D30" s="15"/>
      <c r="H30" s="33"/>
    </row>
    <row r="31" spans="2:52" s="70" customFormat="1" ht="60" customHeight="1">
      <c r="B31" s="71" t="s">
        <v>209</v>
      </c>
      <c r="C31" s="163" t="s">
        <v>210</v>
      </c>
      <c r="D31" s="164" t="s">
        <v>205</v>
      </c>
      <c r="E31" s="71" t="s">
        <v>1</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3"/>
      <c r="C32" s="36" t="s">
        <v>211</v>
      </c>
      <c r="D32" s="166">
        <f>SUM(E32:AA32)</f>
        <v>0</v>
      </c>
      <c r="E32" s="73">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4"/>
      <c r="C33" s="36" t="s">
        <v>212</v>
      </c>
      <c r="D33" s="166">
        <f>SUM(E33:AA33)</f>
        <v>0</v>
      </c>
      <c r="E33" s="74">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4"/>
      <c r="C34" s="36" t="s">
        <v>213</v>
      </c>
      <c r="D34" s="166">
        <f>SUM(E34:AA34)</f>
        <v>0</v>
      </c>
      <c r="E34" s="74">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4"/>
      <c r="C35" s="36" t="s">
        <v>214</v>
      </c>
      <c r="D35" s="166">
        <f>SUM(E35:AA35)</f>
        <v>9</v>
      </c>
      <c r="E35" s="74">
        <v>9</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4"/>
      <c r="C36" s="36" t="s">
        <v>215</v>
      </c>
      <c r="D36" s="166">
        <f>SUM(E36:AA36)</f>
        <v>7</v>
      </c>
      <c r="E36" s="74">
        <v>7</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5">
        <f>SUM(B32:B36)</f>
        <v>0</v>
      </c>
      <c r="C37" s="40" t="s">
        <v>208</v>
      </c>
      <c r="D37" s="75">
        <f>SUM(D32:D36)</f>
        <v>16</v>
      </c>
      <c r="E37" s="75">
        <f>SUM(E32:E36)</f>
        <v>16</v>
      </c>
    </row>
    <row r="38" spans="2:52">
      <c r="D38" s="15"/>
      <c r="H38" s="33"/>
    </row>
    <row r="39" spans="2:52">
      <c r="D39" s="15"/>
      <c r="H39" s="33"/>
    </row>
    <row r="40" spans="2:52" s="70" customFormat="1" ht="63.75">
      <c r="B40" s="71" t="s">
        <v>209</v>
      </c>
      <c r="C40" s="163" t="s">
        <v>216</v>
      </c>
      <c r="D40" s="164" t="s">
        <v>205</v>
      </c>
      <c r="E40" s="71" t="s">
        <v>1</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4"/>
      <c r="C41" s="36" t="s">
        <v>217</v>
      </c>
      <c r="D41" s="166">
        <f>SUM(E41:AA41)</f>
        <v>7</v>
      </c>
      <c r="E41" s="74">
        <v>7</v>
      </c>
    </row>
    <row r="42" spans="2:52" ht="15">
      <c r="B42" s="74"/>
      <c r="C42" s="36" t="s">
        <v>218</v>
      </c>
      <c r="D42" s="166">
        <f>SUM(E42:AA42)</f>
        <v>9</v>
      </c>
      <c r="E42" s="74">
        <v>9</v>
      </c>
    </row>
    <row r="43" spans="2:52" s="15" customFormat="1" ht="15">
      <c r="B43" s="74"/>
      <c r="C43" s="36" t="s">
        <v>219</v>
      </c>
      <c r="D43" s="166">
        <f>SUM(E43:AA43)</f>
        <v>0</v>
      </c>
      <c r="E43" s="74">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5">
        <f>SUM(B41:B43)</f>
        <v>0</v>
      </c>
      <c r="C44" s="40" t="s">
        <v>208</v>
      </c>
      <c r="D44" s="75">
        <f>SUM(D41:D43)</f>
        <v>16</v>
      </c>
      <c r="E44" s="75">
        <f>SUM(E41:E43)</f>
        <v>16</v>
      </c>
    </row>
    <row r="45" spans="2:52">
      <c r="D45" s="15"/>
    </row>
    <row r="46" spans="2:52">
      <c r="D46" s="15"/>
    </row>
    <row r="47" spans="2:52" ht="25.5">
      <c r="C47" s="165" t="s">
        <v>176</v>
      </c>
      <c r="D47" s="165" t="s">
        <v>48</v>
      </c>
      <c r="E47" s="26" t="s">
        <v>220</v>
      </c>
    </row>
    <row r="48" spans="2:52">
      <c r="C48" s="76" t="s">
        <v>221</v>
      </c>
      <c r="D48" s="167" t="s">
        <v>222</v>
      </c>
      <c r="E48" s="76" t="s">
        <v>223</v>
      </c>
    </row>
  </sheetData>
  <phoneticPr fontId="35"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1"/>
  <sheetViews>
    <sheetView showGridLines="0" zoomScaleNormal="100" workbookViewId="0">
      <selection activeCell="N25" sqref="N25"/>
    </sheetView>
  </sheetViews>
  <sheetFormatPr defaultColWidth="8.85546875" defaultRowHeight="15" outlineLevelCol="1"/>
  <cols>
    <col min="1" max="1" width="35" style="129" customWidth="1"/>
    <col min="2" max="2" width="31.5703125" style="129" customWidth="1"/>
    <col min="3" max="3" width="43.28515625" style="211" customWidth="1"/>
    <col min="4" max="4" width="13.42578125" style="211"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24" t="s">
        <v>224</v>
      </c>
      <c r="B1" s="325"/>
      <c r="C1" s="325"/>
      <c r="D1" s="325"/>
      <c r="E1" s="326"/>
      <c r="F1" s="327" t="s">
        <v>225</v>
      </c>
      <c r="G1" s="328"/>
      <c r="H1" s="328"/>
      <c r="I1" s="328"/>
      <c r="J1" s="328"/>
      <c r="K1" s="328"/>
      <c r="L1" s="328"/>
      <c r="M1" s="328"/>
      <c r="N1" s="328"/>
      <c r="O1" s="328"/>
    </row>
    <row r="2" spans="1:15" ht="18.75">
      <c r="A2" s="138" t="s">
        <v>226</v>
      </c>
      <c r="B2" s="138" t="s">
        <v>227</v>
      </c>
      <c r="C2" s="208" t="s">
        <v>228</v>
      </c>
      <c r="D2" s="208" t="s">
        <v>229</v>
      </c>
      <c r="E2" s="138" t="s">
        <v>230</v>
      </c>
      <c r="F2" s="139" t="s">
        <v>397</v>
      </c>
      <c r="G2" s="139" t="s">
        <v>390</v>
      </c>
      <c r="H2" s="139" t="s">
        <v>470</v>
      </c>
      <c r="I2" s="139" t="s">
        <v>398</v>
      </c>
      <c r="J2" s="139" t="s">
        <v>418</v>
      </c>
      <c r="K2" s="139" t="s">
        <v>480</v>
      </c>
      <c r="L2" s="139" t="s">
        <v>433</v>
      </c>
      <c r="M2" s="139" t="s">
        <v>434</v>
      </c>
      <c r="N2" s="139" t="s">
        <v>442</v>
      </c>
      <c r="O2" s="139" t="s">
        <v>469</v>
      </c>
    </row>
    <row r="3" spans="1:15">
      <c r="A3" s="191" t="s">
        <v>403</v>
      </c>
      <c r="B3" s="129" t="s">
        <v>151</v>
      </c>
      <c r="C3" s="209" t="s">
        <v>396</v>
      </c>
      <c r="D3" s="209" t="s">
        <v>396</v>
      </c>
      <c r="E3" s="195">
        <f>SUM(F3:O3)</f>
        <v>20</v>
      </c>
      <c r="F3" s="129">
        <v>10</v>
      </c>
      <c r="I3" s="129">
        <v>10</v>
      </c>
    </row>
    <row r="4" spans="1:15">
      <c r="A4" s="194" t="s">
        <v>404</v>
      </c>
      <c r="B4" s="129" t="s">
        <v>151</v>
      </c>
      <c r="C4" s="209" t="s">
        <v>396</v>
      </c>
      <c r="D4" s="209" t="s">
        <v>396</v>
      </c>
      <c r="E4" s="195">
        <f t="shared" ref="E4" si="0">SUM(F4:O4)</f>
        <v>20</v>
      </c>
      <c r="F4" s="129">
        <v>10</v>
      </c>
      <c r="G4" s="194"/>
      <c r="H4" s="194"/>
      <c r="I4" s="129">
        <v>10</v>
      </c>
      <c r="J4" s="194"/>
      <c r="K4" s="194"/>
      <c r="L4" s="194"/>
      <c r="M4" s="194"/>
      <c r="N4" s="194"/>
      <c r="O4" s="194"/>
    </row>
    <row r="5" spans="1:15">
      <c r="A5" s="194" t="s">
        <v>405</v>
      </c>
      <c r="B5" s="129" t="s">
        <v>151</v>
      </c>
      <c r="C5" s="209" t="s">
        <v>396</v>
      </c>
      <c r="D5" s="209" t="s">
        <v>396</v>
      </c>
      <c r="E5" s="195">
        <f>SUM(F5:O5)</f>
        <v>30</v>
      </c>
      <c r="F5" s="194">
        <v>15</v>
      </c>
      <c r="G5" s="194"/>
      <c r="H5" s="194"/>
      <c r="I5" s="194">
        <v>15</v>
      </c>
      <c r="J5" s="194"/>
      <c r="K5" s="194"/>
      <c r="L5" s="194"/>
      <c r="M5" s="194"/>
      <c r="N5" s="194"/>
      <c r="O5" s="194"/>
    </row>
    <row r="6" spans="1:15">
      <c r="A6" s="194" t="s">
        <v>406</v>
      </c>
      <c r="B6" s="129" t="s">
        <v>151</v>
      </c>
      <c r="C6" s="209" t="s">
        <v>396</v>
      </c>
      <c r="D6" s="209" t="s">
        <v>396</v>
      </c>
      <c r="E6" s="195">
        <f>SUM(F6:O6)</f>
        <v>30</v>
      </c>
      <c r="F6" s="194">
        <v>15</v>
      </c>
      <c r="G6" s="194"/>
      <c r="H6" s="194"/>
      <c r="I6" s="194">
        <v>15</v>
      </c>
      <c r="J6" s="194"/>
      <c r="K6" s="194"/>
      <c r="L6" s="194"/>
      <c r="M6" s="194"/>
      <c r="N6" s="194"/>
      <c r="O6" s="194"/>
    </row>
    <row r="7" spans="1:15">
      <c r="A7" s="194" t="s">
        <v>407</v>
      </c>
      <c r="B7" s="129" t="s">
        <v>151</v>
      </c>
      <c r="C7" s="209" t="s">
        <v>396</v>
      </c>
      <c r="D7" s="209" t="s">
        <v>396</v>
      </c>
      <c r="E7" s="195">
        <f>SUM(F7:O7)</f>
        <v>30</v>
      </c>
      <c r="F7" s="194">
        <v>15</v>
      </c>
      <c r="G7" s="194"/>
      <c r="H7" s="194"/>
      <c r="I7" s="194">
        <v>15</v>
      </c>
      <c r="J7" s="194"/>
      <c r="K7" s="194"/>
      <c r="L7" s="194"/>
      <c r="M7" s="194"/>
      <c r="N7" s="194"/>
      <c r="O7" s="194"/>
    </row>
    <row r="8" spans="1:15">
      <c r="A8" s="202" t="s">
        <v>417</v>
      </c>
      <c r="B8" s="203" t="s">
        <v>151</v>
      </c>
      <c r="C8" s="204">
        <v>44984</v>
      </c>
      <c r="D8" s="201">
        <v>44984</v>
      </c>
      <c r="E8" s="195">
        <f>SUM(F8:O8)</f>
        <v>30</v>
      </c>
      <c r="F8" s="194"/>
      <c r="G8" s="194"/>
      <c r="H8" s="194"/>
      <c r="I8" s="194"/>
      <c r="J8" s="194">
        <v>15</v>
      </c>
      <c r="K8" s="194">
        <v>15</v>
      </c>
      <c r="L8" s="194"/>
      <c r="M8" s="194"/>
      <c r="N8" s="194"/>
      <c r="O8" s="194"/>
    </row>
    <row r="9" spans="1:15">
      <c r="A9" s="199" t="s">
        <v>431</v>
      </c>
      <c r="B9" s="129" t="s">
        <v>151</v>
      </c>
      <c r="C9" s="200">
        <v>45002</v>
      </c>
      <c r="D9" s="200">
        <v>45002</v>
      </c>
      <c r="E9" s="195">
        <f t="shared" ref="E9:E10" si="1">SUM(F9:O9)</f>
        <v>30</v>
      </c>
      <c r="F9" s="194"/>
      <c r="G9" s="194"/>
      <c r="H9" s="194"/>
      <c r="I9" s="194"/>
      <c r="J9" s="194"/>
      <c r="K9" s="194"/>
      <c r="L9" s="194">
        <v>15</v>
      </c>
      <c r="M9" s="194">
        <v>15</v>
      </c>
      <c r="N9" s="194"/>
      <c r="O9" s="194"/>
    </row>
    <row r="10" spans="1:15">
      <c r="A10" s="199" t="s">
        <v>432</v>
      </c>
      <c r="B10" s="129" t="s">
        <v>151</v>
      </c>
      <c r="C10" s="200">
        <v>45002</v>
      </c>
      <c r="D10" s="200">
        <v>45002</v>
      </c>
      <c r="E10" s="195">
        <f t="shared" si="1"/>
        <v>30</v>
      </c>
      <c r="F10" s="198"/>
      <c r="G10" s="198"/>
      <c r="H10" s="198"/>
      <c r="I10" s="198"/>
      <c r="J10" s="198"/>
      <c r="K10" s="198"/>
      <c r="L10" s="198">
        <v>15</v>
      </c>
      <c r="M10" s="198">
        <v>15</v>
      </c>
      <c r="N10" s="198"/>
      <c r="O10" s="198"/>
    </row>
    <row r="11" spans="1:15">
      <c r="A11" s="206" t="s">
        <v>441</v>
      </c>
      <c r="B11" s="129" t="s">
        <v>151</v>
      </c>
      <c r="C11" s="200">
        <v>45007</v>
      </c>
      <c r="D11" s="200">
        <v>45007</v>
      </c>
      <c r="E11" s="195">
        <f>SUM(F11:O11)</f>
        <v>10</v>
      </c>
      <c r="F11" s="194"/>
      <c r="G11" s="194"/>
      <c r="H11" s="194"/>
      <c r="I11" s="194"/>
      <c r="J11" s="194"/>
      <c r="K11" s="194"/>
      <c r="L11" s="194"/>
      <c r="M11" s="194"/>
      <c r="N11" s="194">
        <v>10</v>
      </c>
      <c r="O11" s="194"/>
    </row>
    <row r="12" spans="1:15">
      <c r="A12" s="194" t="s">
        <v>444</v>
      </c>
      <c r="B12" s="129" t="s">
        <v>151</v>
      </c>
      <c r="C12" s="200">
        <v>45007</v>
      </c>
      <c r="D12" s="200">
        <v>45007</v>
      </c>
      <c r="E12" s="195">
        <f>SUM(F12:O12)</f>
        <v>10</v>
      </c>
      <c r="F12" s="194"/>
      <c r="G12" s="194"/>
      <c r="H12" s="194"/>
      <c r="I12" s="194"/>
      <c r="J12" s="194"/>
      <c r="K12" s="194"/>
      <c r="L12" s="194"/>
      <c r="M12" s="194"/>
      <c r="N12" s="194">
        <v>10</v>
      </c>
      <c r="O12" s="194"/>
    </row>
    <row r="13" spans="1:15">
      <c r="A13" s="194" t="s">
        <v>446</v>
      </c>
      <c r="B13" s="207" t="s">
        <v>151</v>
      </c>
      <c r="C13" s="210">
        <v>45026</v>
      </c>
      <c r="D13" s="210">
        <v>45026</v>
      </c>
      <c r="E13" s="195">
        <f>SUM(F13:O13)</f>
        <v>60</v>
      </c>
      <c r="F13" s="194"/>
      <c r="G13" s="194"/>
      <c r="H13" s="194"/>
      <c r="I13" s="194"/>
      <c r="J13" s="194">
        <v>30</v>
      </c>
      <c r="K13" s="194"/>
      <c r="L13" s="194">
        <v>30</v>
      </c>
      <c r="M13" s="194"/>
      <c r="N13" s="194"/>
      <c r="O13" s="194"/>
    </row>
    <row r="14" spans="1:15">
      <c r="A14" s="212" t="s">
        <v>453</v>
      </c>
      <c r="B14" s="129" t="s">
        <v>151</v>
      </c>
      <c r="C14" s="213" t="s">
        <v>454</v>
      </c>
      <c r="D14" s="213" t="s">
        <v>454</v>
      </c>
      <c r="E14" s="195">
        <f t="shared" ref="E14" si="2">SUM(F14:O14)</f>
        <v>20</v>
      </c>
      <c r="F14" s="129">
        <v>10</v>
      </c>
      <c r="G14" s="194"/>
      <c r="H14" s="194"/>
      <c r="I14" s="129">
        <v>10</v>
      </c>
      <c r="J14" s="194"/>
      <c r="K14" s="194"/>
      <c r="L14" s="194"/>
      <c r="M14" s="194"/>
      <c r="N14" s="194"/>
      <c r="O14" s="194"/>
    </row>
    <row r="15" spans="1:15">
      <c r="A15" s="212" t="s">
        <v>461</v>
      </c>
      <c r="B15" s="129" t="s">
        <v>151</v>
      </c>
      <c r="C15" s="213" t="s">
        <v>454</v>
      </c>
      <c r="D15" s="213" t="s">
        <v>454</v>
      </c>
      <c r="E15" s="195">
        <f>SUM(F15:O15)</f>
        <v>40</v>
      </c>
      <c r="F15" s="194">
        <v>15</v>
      </c>
      <c r="G15" s="194"/>
      <c r="H15" s="194"/>
      <c r="I15" s="194">
        <v>15</v>
      </c>
      <c r="J15" s="194"/>
      <c r="K15" s="194"/>
      <c r="L15" s="194"/>
      <c r="M15" s="194"/>
      <c r="N15" s="194">
        <v>10</v>
      </c>
      <c r="O15" s="194"/>
    </row>
    <row r="16" spans="1:15">
      <c r="A16" s="212" t="s">
        <v>460</v>
      </c>
      <c r="B16" s="129" t="s">
        <v>151</v>
      </c>
      <c r="C16" s="213" t="s">
        <v>454</v>
      </c>
      <c r="D16" s="213" t="s">
        <v>454</v>
      </c>
      <c r="E16" s="195">
        <f>SUM(F16:O16)</f>
        <v>30</v>
      </c>
      <c r="F16" s="194">
        <v>15</v>
      </c>
      <c r="G16" s="194"/>
      <c r="H16" s="194"/>
      <c r="I16" s="194">
        <v>15</v>
      </c>
      <c r="J16" s="194"/>
      <c r="K16" s="194"/>
      <c r="L16" s="194"/>
      <c r="M16" s="194"/>
      <c r="N16" s="194"/>
      <c r="O16" s="194"/>
    </row>
    <row r="17" spans="1:15">
      <c r="A17" s="214" t="s">
        <v>465</v>
      </c>
      <c r="B17" s="129" t="s">
        <v>151</v>
      </c>
      <c r="C17" s="215" t="s">
        <v>466</v>
      </c>
      <c r="D17" s="215" t="s">
        <v>466</v>
      </c>
      <c r="E17" s="195">
        <f>SUM(F17:O17)</f>
        <v>20</v>
      </c>
      <c r="F17" s="194">
        <v>10</v>
      </c>
      <c r="G17" s="194"/>
      <c r="H17" s="194"/>
      <c r="I17" s="194">
        <v>10</v>
      </c>
      <c r="J17" s="194"/>
      <c r="K17" s="194"/>
      <c r="L17" s="194"/>
      <c r="M17" s="194"/>
      <c r="N17" s="194"/>
      <c r="O17" s="194"/>
    </row>
    <row r="18" spans="1:15">
      <c r="A18" s="214" t="s">
        <v>464</v>
      </c>
      <c r="B18" s="129" t="s">
        <v>151</v>
      </c>
      <c r="C18" s="215" t="s">
        <v>466</v>
      </c>
      <c r="D18" s="215" t="s">
        <v>466</v>
      </c>
      <c r="E18" s="195">
        <f t="shared" ref="E18:E19" si="3">SUM(F18:O18)</f>
        <v>20</v>
      </c>
      <c r="F18" s="129">
        <v>10</v>
      </c>
      <c r="G18" s="194"/>
      <c r="H18" s="194"/>
      <c r="I18" s="129">
        <v>10</v>
      </c>
      <c r="J18" s="194"/>
      <c r="K18" s="194"/>
      <c r="L18" s="194"/>
      <c r="M18" s="194"/>
      <c r="N18" s="194"/>
      <c r="O18" s="194"/>
    </row>
    <row r="19" spans="1:15">
      <c r="A19" s="216" t="s">
        <v>467</v>
      </c>
      <c r="B19" s="217" t="s">
        <v>151</v>
      </c>
      <c r="C19" s="217" t="s">
        <v>468</v>
      </c>
      <c r="D19" s="217" t="s">
        <v>468</v>
      </c>
      <c r="E19" s="195">
        <f t="shared" si="3"/>
        <v>20</v>
      </c>
      <c r="H19" s="129">
        <v>10</v>
      </c>
      <c r="O19" s="129">
        <v>10</v>
      </c>
    </row>
    <row r="20" spans="1:15">
      <c r="A20" s="225" t="s">
        <v>478</v>
      </c>
      <c r="B20" s="226" t="s">
        <v>151</v>
      </c>
      <c r="C20" s="229" t="s">
        <v>479</v>
      </c>
      <c r="D20" s="229" t="s">
        <v>479</v>
      </c>
      <c r="E20" s="227">
        <f>SUM(F20:O20)</f>
        <v>30</v>
      </c>
      <c r="F20" s="226"/>
      <c r="G20" s="226"/>
      <c r="H20" s="226"/>
      <c r="I20" s="226"/>
      <c r="J20" s="226"/>
      <c r="K20" s="226">
        <v>15</v>
      </c>
      <c r="L20" s="226">
        <v>15</v>
      </c>
      <c r="M20" s="226"/>
      <c r="N20" s="226"/>
      <c r="O20" s="228"/>
    </row>
    <row r="21" spans="1:15">
      <c r="A21" s="334" t="s">
        <v>481</v>
      </c>
      <c r="B21" s="335" t="s">
        <v>151</v>
      </c>
      <c r="C21" s="217" t="s">
        <v>484</v>
      </c>
      <c r="D21" s="217" t="s">
        <v>484</v>
      </c>
      <c r="E21" s="336">
        <v>20</v>
      </c>
      <c r="H21" s="129">
        <v>10</v>
      </c>
      <c r="O21" s="129">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B3:B7 B9:B12 B14:B18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14" activePane="bottomRight" state="frozenSplit"/>
      <selection pane="topRight" activeCell="K17" sqref="K17"/>
      <selection pane="bottomLeft" activeCell="K17" sqref="K17"/>
      <selection pane="bottomRight" activeCell="B32" sqref="B32:M32"/>
    </sheetView>
  </sheetViews>
  <sheetFormatPr defaultRowHeight="12.75" outlineLevelRow="1" outlineLevelCol="1"/>
  <cols>
    <col min="1" max="1" width="5.28515625" style="46" customWidth="1"/>
    <col min="2" max="2" width="9.85546875" style="43" customWidth="1"/>
    <col min="3" max="3" width="31.425781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231</v>
      </c>
      <c r="E1" s="59"/>
      <c r="F1" s="59"/>
      <c r="G1" s="42"/>
      <c r="H1" s="42" t="s">
        <v>231</v>
      </c>
      <c r="I1" s="42"/>
      <c r="J1" s="42"/>
      <c r="K1" s="42"/>
      <c r="L1" s="26" t="s">
        <v>232</v>
      </c>
      <c r="M1" s="26" t="s">
        <v>233</v>
      </c>
      <c r="N1" s="26" t="s">
        <v>234</v>
      </c>
      <c r="O1" s="26" t="s">
        <v>235</v>
      </c>
      <c r="P1" s="51"/>
      <c r="Q1" s="26" t="s">
        <v>212</v>
      </c>
      <c r="R1" s="26" t="s">
        <v>213</v>
      </c>
      <c r="S1" s="26" t="s">
        <v>214</v>
      </c>
      <c r="T1" s="26" t="s">
        <v>236</v>
      </c>
      <c r="U1" s="26" t="s">
        <v>211</v>
      </c>
      <c r="V1" s="52"/>
      <c r="W1" s="53"/>
      <c r="X1" s="26" t="s">
        <v>237</v>
      </c>
      <c r="Y1" s="26" t="s">
        <v>238</v>
      </c>
      <c r="Z1" s="26" t="s">
        <v>239</v>
      </c>
      <c r="AA1" s="26" t="s">
        <v>240</v>
      </c>
      <c r="AH1" s="17" t="s">
        <v>241</v>
      </c>
      <c r="AI1" s="17" t="s">
        <v>242</v>
      </c>
      <c r="AJ1" s="26" t="s">
        <v>243</v>
      </c>
      <c r="AO1" s="19"/>
      <c r="AP1" s="19"/>
      <c r="AQ1" s="18" t="s">
        <v>244</v>
      </c>
      <c r="AR1" s="18" t="s">
        <v>245</v>
      </c>
      <c r="AS1" s="18" t="s">
        <v>246</v>
      </c>
      <c r="AT1" s="18" t="s">
        <v>112</v>
      </c>
    </row>
    <row r="2" spans="1:46" s="30" customFormat="1" hidden="1">
      <c r="A2" s="59"/>
      <c r="B2" s="42"/>
      <c r="C2" s="28"/>
      <c r="D2" s="42" t="s">
        <v>247</v>
      </c>
      <c r="E2" s="59"/>
      <c r="F2" s="59"/>
      <c r="G2" s="28"/>
      <c r="H2" s="42" t="s">
        <v>247</v>
      </c>
      <c r="I2" s="42"/>
      <c r="J2" s="28"/>
      <c r="K2" s="28"/>
      <c r="L2" s="49">
        <f>COUNTA(D5:D500)+COUNTIF(L5:L500,"=Open")+COUNTIF(L5:L500,"=To be fixed")-COUNTA(L5:L500)</f>
        <v>0</v>
      </c>
      <c r="M2" s="49">
        <f>COUNTIF(M5:M500,"=Rejected")</f>
        <v>0</v>
      </c>
      <c r="N2" s="49">
        <f>COUNTA(D5:D500)-COUNTIF(M5:M500,"=Approved")</f>
        <v>0</v>
      </c>
      <c r="O2" s="49">
        <f>COUNTIFS(L5:L500,"=Postponed",M5:M500,"=Approved")</f>
        <v>9</v>
      </c>
      <c r="P2" s="54"/>
      <c r="Q2" s="49">
        <f>COUNTIF($L5:$L500,"=" &amp; Q1)</f>
        <v>0</v>
      </c>
      <c r="R2" s="49">
        <f>COUNTIF($L5:$L500,"=" &amp; R1)</f>
        <v>2</v>
      </c>
      <c r="S2" s="49">
        <f>COUNTIF($L5:$L500,"=" &amp; S1)</f>
        <v>9</v>
      </c>
      <c r="T2" s="49">
        <f>COUNTIF($L5:$L500,"=" &amp; T1)</f>
        <v>17</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1</v>
      </c>
      <c r="AA2" s="49">
        <f>IF(AND(Issue_to_treat=0,Issues_to_approve=0,Issues_postponed=0),1,0)</f>
        <v>0</v>
      </c>
      <c r="AB2" s="29"/>
      <c r="AC2" s="29"/>
      <c r="AD2" s="29"/>
      <c r="AE2" s="29"/>
      <c r="AF2" s="29"/>
      <c r="AH2" s="49">
        <f>COUNTIF($M5:$M500,"=" &amp; AH1)</f>
        <v>28</v>
      </c>
      <c r="AI2" s="49">
        <f>COUNTIF($M5:$M500,"=" &amp; AI1)</f>
        <v>0</v>
      </c>
      <c r="AJ2" s="49">
        <f>COUNTIF($M5:$M500,"=" &amp; AJ1)</f>
        <v>0</v>
      </c>
      <c r="AM2" s="29"/>
      <c r="AN2" s="29"/>
      <c r="AO2" s="29"/>
      <c r="AP2" s="31"/>
      <c r="AQ2" s="31"/>
      <c r="AR2" s="29"/>
      <c r="AS2" s="31"/>
      <c r="AT2" s="31"/>
    </row>
    <row r="3" spans="1:46" s="48" customFormat="1" ht="25.5" customHeight="1" outlineLevel="1">
      <c r="A3" s="330" t="str">
        <f>IF(Issue_to_treat=1,NbOfNotTreatedIssues+NbOfRejectedIssues&amp;" issue(s) to treat",IF(Issues_to_approve=1,NbOfNotApprovedIssues&amp;" issue(s) to approve",IF(Issues_postponed=1,NbOfNotApprovedAndPostponedIssues&amp;" issue(s) postponed","Status OK")))</f>
        <v>9 issue(s) postponed</v>
      </c>
      <c r="B3" s="330"/>
      <c r="C3" s="331"/>
      <c r="D3" s="58" t="s">
        <v>248</v>
      </c>
      <c r="E3" s="329" t="s">
        <v>249</v>
      </c>
      <c r="F3" s="329"/>
      <c r="G3" s="329"/>
      <c r="H3" s="47"/>
      <c r="I3" s="47"/>
      <c r="J3" s="47"/>
      <c r="K3" s="47"/>
      <c r="L3" s="47"/>
      <c r="M3" s="47"/>
      <c r="N3" s="53"/>
      <c r="O3" s="53"/>
      <c r="P3" s="53"/>
      <c r="Q3" s="56"/>
      <c r="R3" s="56"/>
      <c r="S3" s="56"/>
      <c r="T3" s="56"/>
      <c r="U3" s="56"/>
      <c r="V3" s="56"/>
      <c r="W3" s="56"/>
      <c r="X3" s="23"/>
      <c r="Y3" s="23"/>
      <c r="Z3" s="23"/>
      <c r="AA3" s="23"/>
      <c r="AB3" s="23"/>
    </row>
    <row r="4" spans="1:46" s="137" customFormat="1" ht="47.25">
      <c r="A4" s="130" t="s">
        <v>250</v>
      </c>
      <c r="B4" s="130" t="s">
        <v>9</v>
      </c>
      <c r="C4" s="130" t="s">
        <v>251</v>
      </c>
      <c r="D4" s="130" t="s">
        <v>252</v>
      </c>
      <c r="E4" s="130" t="s">
        <v>253</v>
      </c>
      <c r="F4" s="130" t="s">
        <v>254</v>
      </c>
      <c r="G4" s="131" t="s">
        <v>255</v>
      </c>
      <c r="H4" s="132" t="s">
        <v>256</v>
      </c>
      <c r="I4" s="132" t="s">
        <v>257</v>
      </c>
      <c r="J4" s="132" t="s">
        <v>258</v>
      </c>
      <c r="K4" s="133" t="s">
        <v>259</v>
      </c>
      <c r="L4" s="132" t="s">
        <v>210</v>
      </c>
      <c r="M4" s="130" t="s">
        <v>260</v>
      </c>
      <c r="N4" s="134"/>
      <c r="O4" s="134"/>
      <c r="P4" s="134"/>
      <c r="Q4" s="135"/>
      <c r="R4" s="135"/>
      <c r="S4" s="135"/>
      <c r="T4" s="135"/>
      <c r="U4" s="135"/>
      <c r="V4" s="135"/>
      <c r="W4" s="135"/>
      <c r="X4" s="136"/>
      <c r="Y4" s="136"/>
      <c r="Z4" s="136"/>
      <c r="AA4" s="136"/>
      <c r="AB4" s="136"/>
    </row>
    <row r="5" spans="1:46" s="23" customFormat="1">
      <c r="A5" s="61">
        <v>1</v>
      </c>
      <c r="B5" s="37" t="s">
        <v>408</v>
      </c>
      <c r="C5" s="37" t="s">
        <v>399</v>
      </c>
      <c r="D5" s="25" t="s">
        <v>389</v>
      </c>
      <c r="E5" s="60">
        <v>44981.399699074071</v>
      </c>
      <c r="F5" s="49" t="s">
        <v>391</v>
      </c>
      <c r="G5" s="16"/>
      <c r="H5" s="192"/>
      <c r="I5" s="20" t="s">
        <v>244</v>
      </c>
      <c r="J5" s="20" t="s">
        <v>393</v>
      </c>
      <c r="K5" s="21">
        <v>45005</v>
      </c>
      <c r="L5" s="20" t="s">
        <v>236</v>
      </c>
      <c r="M5" s="20" t="s">
        <v>241</v>
      </c>
      <c r="N5" s="53"/>
      <c r="O5" s="53"/>
      <c r="P5" s="53"/>
      <c r="Q5" s="56"/>
      <c r="R5" s="56"/>
      <c r="S5" s="56"/>
      <c r="T5" s="56"/>
      <c r="U5" s="56"/>
      <c r="V5" s="56"/>
      <c r="W5" s="56"/>
    </row>
    <row r="6" spans="1:46" s="23" customFormat="1">
      <c r="A6" s="62">
        <v>2</v>
      </c>
      <c r="B6" s="37" t="s">
        <v>409</v>
      </c>
      <c r="C6" s="37" t="s">
        <v>400</v>
      </c>
      <c r="D6" s="25" t="s">
        <v>389</v>
      </c>
      <c r="E6" s="60">
        <v>44981.400393518517</v>
      </c>
      <c r="F6" s="49" t="s">
        <v>391</v>
      </c>
      <c r="G6" s="16"/>
      <c r="H6" s="192"/>
      <c r="I6" s="20" t="s">
        <v>244</v>
      </c>
      <c r="J6" s="20" t="s">
        <v>393</v>
      </c>
      <c r="K6" s="21">
        <v>45005</v>
      </c>
      <c r="L6" s="20" t="s">
        <v>236</v>
      </c>
      <c r="M6" s="20" t="s">
        <v>241</v>
      </c>
      <c r="N6" s="53"/>
      <c r="O6" s="53"/>
      <c r="P6" s="53"/>
      <c r="Q6" s="56"/>
      <c r="R6" s="56"/>
      <c r="S6" s="56"/>
      <c r="T6" s="56"/>
      <c r="U6" s="56"/>
      <c r="V6" s="56"/>
      <c r="W6" s="56"/>
    </row>
    <row r="7" spans="1:46" s="23" customFormat="1">
      <c r="A7" s="62">
        <v>3</v>
      </c>
      <c r="B7" s="37" t="s">
        <v>410</v>
      </c>
      <c r="C7" s="19" t="s">
        <v>401</v>
      </c>
      <c r="D7" s="25" t="s">
        <v>392</v>
      </c>
      <c r="E7" s="60">
        <v>44981.401226851849</v>
      </c>
      <c r="F7" s="49" t="s">
        <v>391</v>
      </c>
      <c r="G7" s="25" t="s">
        <v>426</v>
      </c>
      <c r="H7" s="192">
        <v>1047690</v>
      </c>
      <c r="I7" s="20" t="s">
        <v>244</v>
      </c>
      <c r="J7" s="20" t="s">
        <v>393</v>
      </c>
      <c r="K7" s="21">
        <v>45005</v>
      </c>
      <c r="L7" s="20" t="s">
        <v>214</v>
      </c>
      <c r="M7" s="20" t="s">
        <v>241</v>
      </c>
      <c r="N7" s="53"/>
      <c r="O7" s="53"/>
      <c r="P7" s="53"/>
      <c r="Q7" s="56"/>
      <c r="R7" s="56"/>
      <c r="S7" s="56"/>
      <c r="T7" s="56"/>
      <c r="U7" s="56"/>
      <c r="V7" s="56"/>
      <c r="W7" s="56"/>
    </row>
    <row r="8" spans="1:46" s="23" customFormat="1" ht="25.5">
      <c r="A8" s="62">
        <v>4</v>
      </c>
      <c r="B8" s="37" t="s">
        <v>410</v>
      </c>
      <c r="C8" s="19" t="s">
        <v>401</v>
      </c>
      <c r="D8" s="25" t="s">
        <v>394</v>
      </c>
      <c r="E8" s="60">
        <v>44981.402175925927</v>
      </c>
      <c r="F8" s="49" t="s">
        <v>391</v>
      </c>
      <c r="G8" s="16" t="s">
        <v>426</v>
      </c>
      <c r="H8" s="192">
        <v>1047690</v>
      </c>
      <c r="I8" s="20" t="s">
        <v>244</v>
      </c>
      <c r="J8" s="20" t="s">
        <v>393</v>
      </c>
      <c r="K8" s="21">
        <v>45005</v>
      </c>
      <c r="L8" s="20" t="s">
        <v>214</v>
      </c>
      <c r="M8" s="20" t="s">
        <v>241</v>
      </c>
      <c r="N8" s="53"/>
      <c r="O8" s="53"/>
      <c r="P8" s="53"/>
      <c r="Q8" s="56"/>
      <c r="R8" s="56"/>
      <c r="S8" s="56"/>
      <c r="T8" s="56"/>
      <c r="U8" s="56"/>
      <c r="V8" s="56"/>
      <c r="W8" s="56"/>
    </row>
    <row r="9" spans="1:46" s="23" customFormat="1" ht="25.5">
      <c r="A9" s="62">
        <v>5</v>
      </c>
      <c r="B9" s="37" t="s">
        <v>410</v>
      </c>
      <c r="C9" s="19" t="s">
        <v>401</v>
      </c>
      <c r="D9" s="25" t="s">
        <v>411</v>
      </c>
      <c r="E9" s="60">
        <v>44981.402916666666</v>
      </c>
      <c r="F9" s="49" t="s">
        <v>391</v>
      </c>
      <c r="G9" s="16" t="s">
        <v>426</v>
      </c>
      <c r="H9" s="192">
        <v>1047690</v>
      </c>
      <c r="I9" s="20" t="s">
        <v>244</v>
      </c>
      <c r="J9" s="20" t="s">
        <v>393</v>
      </c>
      <c r="K9" s="21">
        <v>45005</v>
      </c>
      <c r="L9" s="20" t="s">
        <v>214</v>
      </c>
      <c r="M9" s="20" t="s">
        <v>241</v>
      </c>
      <c r="N9" s="53"/>
      <c r="O9" s="53"/>
      <c r="P9" s="53"/>
      <c r="Q9" s="56"/>
      <c r="R9" s="56"/>
      <c r="S9" s="56"/>
      <c r="T9" s="56"/>
      <c r="U9" s="56"/>
      <c r="V9" s="56"/>
      <c r="W9" s="56"/>
    </row>
    <row r="10" spans="1:46" s="23" customFormat="1">
      <c r="A10" s="62">
        <v>6</v>
      </c>
      <c r="B10" s="37" t="s">
        <v>410</v>
      </c>
      <c r="C10" s="37" t="s">
        <v>401</v>
      </c>
      <c r="D10" s="25" t="s">
        <v>412</v>
      </c>
      <c r="E10" s="60">
        <v>44981.403217592589</v>
      </c>
      <c r="F10" s="49" t="s">
        <v>391</v>
      </c>
      <c r="G10" s="16" t="s">
        <v>426</v>
      </c>
      <c r="H10" s="192">
        <v>1047690</v>
      </c>
      <c r="I10" s="20" t="s">
        <v>244</v>
      </c>
      <c r="J10" s="20" t="s">
        <v>393</v>
      </c>
      <c r="K10" s="21">
        <v>45005</v>
      </c>
      <c r="L10" s="20" t="s">
        <v>214</v>
      </c>
      <c r="M10" s="20" t="s">
        <v>241</v>
      </c>
      <c r="N10" s="53"/>
      <c r="O10" s="53"/>
      <c r="P10" s="53"/>
      <c r="Q10" s="56"/>
      <c r="R10" s="56"/>
      <c r="S10" s="56"/>
      <c r="T10" s="56"/>
      <c r="U10" s="56"/>
      <c r="V10" s="56"/>
      <c r="W10" s="56"/>
    </row>
    <row r="11" spans="1:46" s="23" customFormat="1">
      <c r="A11" s="62">
        <v>7</v>
      </c>
      <c r="B11" s="19" t="s">
        <v>413</v>
      </c>
      <c r="C11" s="37" t="s">
        <v>402</v>
      </c>
      <c r="D11" s="25" t="s">
        <v>392</v>
      </c>
      <c r="E11" s="60">
        <v>44981.404803240737</v>
      </c>
      <c r="F11" s="49" t="s">
        <v>391</v>
      </c>
      <c r="G11" s="16" t="s">
        <v>426</v>
      </c>
      <c r="H11" s="192">
        <v>1047690</v>
      </c>
      <c r="I11" s="20" t="s">
        <v>244</v>
      </c>
      <c r="J11" s="20" t="s">
        <v>393</v>
      </c>
      <c r="K11" s="21">
        <v>45005</v>
      </c>
      <c r="L11" s="20" t="s">
        <v>214</v>
      </c>
      <c r="M11" s="20" t="s">
        <v>241</v>
      </c>
      <c r="N11" s="53"/>
      <c r="O11" s="53"/>
      <c r="P11" s="53"/>
      <c r="Q11" s="56"/>
      <c r="R11" s="56"/>
      <c r="S11" s="56"/>
      <c r="T11" s="56"/>
      <c r="U11" s="56"/>
      <c r="V11" s="56"/>
      <c r="W11" s="56"/>
    </row>
    <row r="12" spans="1:46" s="23" customFormat="1" ht="25.5">
      <c r="A12" s="62">
        <v>8</v>
      </c>
      <c r="B12" s="37" t="s">
        <v>413</v>
      </c>
      <c r="C12" s="37" t="s">
        <v>402</v>
      </c>
      <c r="D12" s="25" t="s">
        <v>414</v>
      </c>
      <c r="E12" s="60">
        <v>44981.408356481479</v>
      </c>
      <c r="F12" s="49" t="s">
        <v>391</v>
      </c>
      <c r="G12" s="16" t="s">
        <v>426</v>
      </c>
      <c r="H12" s="192">
        <v>1047690</v>
      </c>
      <c r="I12" s="20" t="s">
        <v>244</v>
      </c>
      <c r="J12" s="20" t="s">
        <v>393</v>
      </c>
      <c r="K12" s="21">
        <v>45005</v>
      </c>
      <c r="L12" s="20" t="s">
        <v>214</v>
      </c>
      <c r="M12" s="20" t="s">
        <v>241</v>
      </c>
      <c r="N12" s="53"/>
      <c r="O12" s="53"/>
      <c r="P12" s="53"/>
      <c r="Q12" s="56"/>
      <c r="R12" s="56"/>
      <c r="S12" s="56"/>
      <c r="T12" s="56"/>
      <c r="U12" s="56"/>
      <c r="V12" s="56"/>
      <c r="W12" s="56"/>
    </row>
    <row r="13" spans="1:46" s="23" customFormat="1" ht="25.5">
      <c r="A13" s="62">
        <v>9</v>
      </c>
      <c r="B13" s="19" t="s">
        <v>413</v>
      </c>
      <c r="C13" s="37" t="s">
        <v>402</v>
      </c>
      <c r="D13" s="25" t="s">
        <v>415</v>
      </c>
      <c r="E13" s="60">
        <v>44981.410208333335</v>
      </c>
      <c r="F13" s="49" t="s">
        <v>391</v>
      </c>
      <c r="G13" s="16" t="s">
        <v>427</v>
      </c>
      <c r="H13" s="192">
        <v>1047690</v>
      </c>
      <c r="I13" s="20" t="s">
        <v>244</v>
      </c>
      <c r="J13" s="20" t="s">
        <v>393</v>
      </c>
      <c r="K13" s="21">
        <v>45005</v>
      </c>
      <c r="L13" s="20" t="s">
        <v>214</v>
      </c>
      <c r="M13" s="20" t="s">
        <v>241</v>
      </c>
      <c r="N13" s="53"/>
      <c r="O13" s="53"/>
      <c r="P13" s="53"/>
      <c r="Q13" s="56"/>
      <c r="R13" s="56"/>
      <c r="S13" s="56"/>
      <c r="T13" s="56"/>
      <c r="U13" s="56"/>
      <c r="V13" s="56"/>
      <c r="W13" s="56"/>
    </row>
    <row r="14" spans="1:46" s="23" customFormat="1">
      <c r="A14" s="62">
        <v>10</v>
      </c>
      <c r="B14" s="19">
        <v>1.1000000000000001</v>
      </c>
      <c r="C14" s="37" t="s">
        <v>417</v>
      </c>
      <c r="D14" s="25" t="s">
        <v>419</v>
      </c>
      <c r="E14" s="60">
        <v>44984</v>
      </c>
      <c r="F14" s="49" t="s">
        <v>420</v>
      </c>
      <c r="G14" s="16"/>
      <c r="H14" s="193">
        <v>1048949</v>
      </c>
      <c r="I14" s="69" t="s">
        <v>422</v>
      </c>
      <c r="J14" s="69" t="s">
        <v>423</v>
      </c>
      <c r="K14" s="60">
        <v>44984</v>
      </c>
      <c r="L14" s="69" t="s">
        <v>214</v>
      </c>
      <c r="M14" s="20" t="s">
        <v>241</v>
      </c>
      <c r="N14" s="53"/>
      <c r="O14" s="53"/>
      <c r="P14" s="53"/>
      <c r="Q14" s="56"/>
      <c r="R14" s="56"/>
      <c r="S14" s="56"/>
      <c r="T14" s="56"/>
      <c r="U14" s="56"/>
      <c r="V14" s="56"/>
      <c r="W14" s="56"/>
    </row>
    <row r="15" spans="1:46" s="23" customFormat="1">
      <c r="A15" s="62">
        <v>11</v>
      </c>
      <c r="B15" s="19">
        <v>1.1000000000000001</v>
      </c>
      <c r="C15" s="37" t="s">
        <v>417</v>
      </c>
      <c r="D15" s="25" t="s">
        <v>421</v>
      </c>
      <c r="E15" s="60">
        <v>44984</v>
      </c>
      <c r="F15" s="49" t="s">
        <v>420</v>
      </c>
      <c r="G15" s="16"/>
      <c r="H15" s="193">
        <v>1048949</v>
      </c>
      <c r="I15" s="69" t="s">
        <v>422</v>
      </c>
      <c r="J15" s="69" t="s">
        <v>423</v>
      </c>
      <c r="K15" s="60">
        <v>44984</v>
      </c>
      <c r="L15" s="69" t="s">
        <v>214</v>
      </c>
      <c r="M15" s="20" t="s">
        <v>241</v>
      </c>
      <c r="N15" s="53"/>
      <c r="O15" s="53"/>
      <c r="P15" s="53"/>
      <c r="Q15" s="56"/>
      <c r="R15" s="56"/>
      <c r="S15" s="56"/>
      <c r="T15" s="56"/>
      <c r="U15" s="56"/>
      <c r="V15" s="56"/>
      <c r="W15" s="56"/>
    </row>
    <row r="16" spans="1:46" s="23" customFormat="1">
      <c r="A16" s="62">
        <v>12</v>
      </c>
      <c r="B16" s="37" t="s">
        <v>428</v>
      </c>
      <c r="C16" s="37" t="s">
        <v>401</v>
      </c>
      <c r="D16" s="25" t="s">
        <v>429</v>
      </c>
      <c r="E16" s="60">
        <v>45002.639652777776</v>
      </c>
      <c r="F16" s="49" t="s">
        <v>423</v>
      </c>
      <c r="G16" s="16"/>
      <c r="H16" s="20"/>
      <c r="I16" s="20"/>
      <c r="J16" s="69" t="s">
        <v>393</v>
      </c>
      <c r="K16" s="21">
        <v>45002.639791666668</v>
      </c>
      <c r="L16" s="20" t="s">
        <v>236</v>
      </c>
      <c r="M16" s="69" t="s">
        <v>241</v>
      </c>
      <c r="N16" s="53"/>
      <c r="O16" s="53"/>
      <c r="P16" s="53"/>
      <c r="Q16" s="56"/>
      <c r="R16" s="56"/>
      <c r="S16" s="56"/>
      <c r="T16" s="56"/>
      <c r="U16" s="56"/>
      <c r="V16" s="56"/>
      <c r="W16" s="56"/>
    </row>
    <row r="17" spans="1:23" s="23" customFormat="1">
      <c r="A17" s="62">
        <v>13</v>
      </c>
      <c r="B17" s="37" t="s">
        <v>430</v>
      </c>
      <c r="C17" s="37" t="s">
        <v>402</v>
      </c>
      <c r="D17" s="25" t="s">
        <v>429</v>
      </c>
      <c r="E17" s="60">
        <v>45002.641111111108</v>
      </c>
      <c r="F17" s="49" t="s">
        <v>423</v>
      </c>
      <c r="G17" s="16"/>
      <c r="H17" s="20"/>
      <c r="I17" s="20"/>
      <c r="J17" s="69" t="s">
        <v>393</v>
      </c>
      <c r="K17" s="21">
        <v>45002.641168981485</v>
      </c>
      <c r="L17" s="20" t="s">
        <v>236</v>
      </c>
      <c r="M17" s="69" t="s">
        <v>241</v>
      </c>
      <c r="N17" s="53"/>
      <c r="O17" s="53"/>
      <c r="P17" s="53"/>
      <c r="Q17" s="56"/>
      <c r="R17" s="56"/>
      <c r="S17" s="56"/>
      <c r="T17" s="56"/>
      <c r="U17" s="56"/>
      <c r="V17" s="56"/>
      <c r="W17" s="56"/>
    </row>
    <row r="18" spans="1:23" s="23" customFormat="1">
      <c r="A18" s="62">
        <v>14</v>
      </c>
      <c r="B18" s="37" t="s">
        <v>437</v>
      </c>
      <c r="C18" s="37" t="s">
        <v>399</v>
      </c>
      <c r="D18" s="205" t="s">
        <v>440</v>
      </c>
      <c r="E18" s="60">
        <v>45007.384988425925</v>
      </c>
      <c r="F18" s="49" t="s">
        <v>439</v>
      </c>
      <c r="G18" s="16"/>
      <c r="H18" s="20"/>
      <c r="I18" s="20"/>
      <c r="J18" s="20" t="s">
        <v>439</v>
      </c>
      <c r="K18" s="21">
        <v>45007.38517361111</v>
      </c>
      <c r="L18" s="20" t="s">
        <v>236</v>
      </c>
      <c r="M18" s="69" t="s">
        <v>241</v>
      </c>
      <c r="N18" s="53"/>
      <c r="O18" s="53"/>
      <c r="P18" s="53"/>
      <c r="Q18" s="56"/>
      <c r="R18" s="56"/>
      <c r="S18" s="56"/>
      <c r="T18" s="56"/>
      <c r="U18" s="56"/>
      <c r="V18" s="56"/>
      <c r="W18" s="56"/>
    </row>
    <row r="19" spans="1:23" s="23" customFormat="1">
      <c r="A19" s="62">
        <v>15</v>
      </c>
      <c r="B19" s="37" t="s">
        <v>438</v>
      </c>
      <c r="C19" s="37" t="s">
        <v>399</v>
      </c>
      <c r="D19" s="25" t="s">
        <v>389</v>
      </c>
      <c r="E19" s="60">
        <v>45007.386180555557</v>
      </c>
      <c r="F19" s="49" t="s">
        <v>439</v>
      </c>
      <c r="G19" s="16"/>
      <c r="H19" s="20"/>
      <c r="I19" s="20"/>
      <c r="J19" s="20" t="s">
        <v>439</v>
      </c>
      <c r="K19" s="21">
        <v>45007.386238425926</v>
      </c>
      <c r="L19" s="20" t="s">
        <v>236</v>
      </c>
      <c r="M19" s="69" t="s">
        <v>241</v>
      </c>
      <c r="N19" s="53"/>
      <c r="O19" s="53"/>
      <c r="P19" s="53"/>
      <c r="Q19" s="56"/>
      <c r="R19" s="56"/>
      <c r="S19" s="56"/>
      <c r="T19" s="56"/>
      <c r="U19" s="56"/>
      <c r="V19" s="56"/>
      <c r="W19" s="56"/>
    </row>
    <row r="20" spans="1:23" s="23" customFormat="1">
      <c r="A20" s="62">
        <v>16</v>
      </c>
      <c r="B20" s="37" t="s">
        <v>443</v>
      </c>
      <c r="C20" s="37" t="s">
        <v>402</v>
      </c>
      <c r="D20" s="25" t="s">
        <v>389</v>
      </c>
      <c r="E20" s="60">
        <v>45007.386180555557</v>
      </c>
      <c r="F20" s="49" t="s">
        <v>439</v>
      </c>
      <c r="G20" s="16"/>
      <c r="H20" s="20"/>
      <c r="I20" s="20"/>
      <c r="J20" s="20" t="s">
        <v>439</v>
      </c>
      <c r="K20" s="21">
        <v>45007.386238425926</v>
      </c>
      <c r="L20" s="20" t="s">
        <v>236</v>
      </c>
      <c r="M20" s="69" t="s">
        <v>241</v>
      </c>
      <c r="N20" s="53"/>
      <c r="O20" s="53"/>
      <c r="P20" s="53"/>
      <c r="Q20" s="56"/>
      <c r="R20" s="56"/>
      <c r="S20" s="56"/>
      <c r="T20" s="56"/>
      <c r="U20" s="56"/>
      <c r="V20" s="56"/>
      <c r="W20" s="56"/>
    </row>
    <row r="21" spans="1:23" s="23" customFormat="1">
      <c r="A21" s="62">
        <v>17</v>
      </c>
      <c r="B21" s="19">
        <v>1.2</v>
      </c>
      <c r="C21" s="37" t="s">
        <v>417</v>
      </c>
      <c r="D21" s="25" t="s">
        <v>389</v>
      </c>
      <c r="E21" s="60">
        <v>45026.643333333333</v>
      </c>
      <c r="F21" s="49" t="s">
        <v>423</v>
      </c>
      <c r="G21" s="16"/>
      <c r="H21" s="20"/>
      <c r="I21" s="20"/>
      <c r="J21" s="69" t="s">
        <v>445</v>
      </c>
      <c r="K21" s="21">
        <v>45026.643460648149</v>
      </c>
      <c r="L21" s="20" t="s">
        <v>236</v>
      </c>
      <c r="M21" s="69" t="s">
        <v>241</v>
      </c>
      <c r="N21" s="53"/>
      <c r="O21" s="53"/>
      <c r="P21" s="53"/>
      <c r="Q21" s="56"/>
      <c r="R21" s="56"/>
      <c r="S21" s="56"/>
      <c r="T21" s="56"/>
      <c r="U21" s="56"/>
      <c r="V21" s="56"/>
      <c r="W21" s="56"/>
    </row>
    <row r="22" spans="1:23" s="23" customFormat="1" ht="25.5">
      <c r="A22" s="62">
        <v>18</v>
      </c>
      <c r="B22" s="37" t="s">
        <v>449</v>
      </c>
      <c r="C22" s="37" t="s">
        <v>400</v>
      </c>
      <c r="D22" s="25" t="s">
        <v>450</v>
      </c>
      <c r="E22" s="60">
        <v>45104.407592592594</v>
      </c>
      <c r="F22" s="49" t="s">
        <v>451</v>
      </c>
      <c r="G22" s="16"/>
      <c r="H22" s="20"/>
      <c r="I22" s="20"/>
      <c r="J22" s="20" t="s">
        <v>393</v>
      </c>
      <c r="K22" s="21">
        <v>45104.407731481479</v>
      </c>
      <c r="L22" s="20" t="s">
        <v>236</v>
      </c>
      <c r="M22" s="69" t="s">
        <v>241</v>
      </c>
      <c r="N22" s="53"/>
      <c r="O22" s="53"/>
      <c r="P22" s="53"/>
      <c r="Q22" s="56"/>
      <c r="R22" s="56"/>
      <c r="S22" s="56"/>
      <c r="T22" s="56"/>
      <c r="U22" s="56"/>
      <c r="V22" s="56"/>
      <c r="W22" s="56"/>
    </row>
    <row r="23" spans="1:23" s="23" customFormat="1" ht="38.25">
      <c r="A23" s="62">
        <v>19</v>
      </c>
      <c r="B23" s="37" t="s">
        <v>449</v>
      </c>
      <c r="C23" s="37" t="s">
        <v>400</v>
      </c>
      <c r="D23" s="25" t="s">
        <v>452</v>
      </c>
      <c r="E23" s="60">
        <v>45104.408414351848</v>
      </c>
      <c r="F23" s="49" t="s">
        <v>451</v>
      </c>
      <c r="G23" s="25" t="s">
        <v>426</v>
      </c>
      <c r="H23" s="20"/>
      <c r="I23" s="20"/>
      <c r="J23" s="69" t="s">
        <v>393</v>
      </c>
      <c r="K23" s="21">
        <v>45120.473217592589</v>
      </c>
      <c r="L23" s="20" t="s">
        <v>213</v>
      </c>
      <c r="M23" s="69" t="s">
        <v>241</v>
      </c>
      <c r="N23" s="53"/>
      <c r="O23" s="53"/>
      <c r="P23" s="53"/>
      <c r="Q23" s="56"/>
      <c r="R23" s="56"/>
      <c r="S23" s="56"/>
      <c r="T23" s="56"/>
      <c r="U23" s="56"/>
      <c r="V23" s="56"/>
      <c r="W23" s="56"/>
    </row>
    <row r="24" spans="1:23" s="23" customFormat="1" ht="25.5">
      <c r="A24" s="62">
        <v>20</v>
      </c>
      <c r="B24" s="37" t="s">
        <v>455</v>
      </c>
      <c r="C24" s="37" t="s">
        <v>401</v>
      </c>
      <c r="D24" s="25" t="s">
        <v>456</v>
      </c>
      <c r="E24" s="60">
        <v>45104.409780092596</v>
      </c>
      <c r="F24" s="49" t="s">
        <v>451</v>
      </c>
      <c r="G24" s="16"/>
      <c r="H24" s="20"/>
      <c r="I24" s="20"/>
      <c r="J24" s="20" t="s">
        <v>393</v>
      </c>
      <c r="K24" s="21">
        <v>45104.409826388888</v>
      </c>
      <c r="L24" s="20" t="s">
        <v>236</v>
      </c>
      <c r="M24" s="69" t="s">
        <v>241</v>
      </c>
      <c r="N24" s="53"/>
      <c r="O24" s="53"/>
      <c r="P24" s="53"/>
      <c r="Q24" s="56"/>
      <c r="R24" s="56"/>
      <c r="S24" s="56"/>
      <c r="T24" s="56"/>
      <c r="U24" s="56"/>
      <c r="V24" s="56"/>
      <c r="W24" s="56"/>
    </row>
    <row r="25" spans="1:23" s="23" customFormat="1" ht="38.25">
      <c r="A25" s="62">
        <v>21</v>
      </c>
      <c r="B25" s="37" t="s">
        <v>455</v>
      </c>
      <c r="C25" s="37" t="s">
        <v>401</v>
      </c>
      <c r="D25" s="25" t="s">
        <v>457</v>
      </c>
      <c r="E25" s="60">
        <v>45104.431273148148</v>
      </c>
      <c r="F25" s="49" t="s">
        <v>451</v>
      </c>
      <c r="G25" s="25" t="s">
        <v>426</v>
      </c>
      <c r="H25" s="20"/>
      <c r="I25" s="20"/>
      <c r="J25" s="20" t="s">
        <v>393</v>
      </c>
      <c r="K25" s="21">
        <v>45120.473252314812</v>
      </c>
      <c r="L25" s="20" t="s">
        <v>213</v>
      </c>
      <c r="M25" s="69" t="s">
        <v>241</v>
      </c>
      <c r="N25" s="53"/>
      <c r="O25" s="53"/>
      <c r="P25" s="53"/>
      <c r="Q25" s="56"/>
      <c r="R25" s="56"/>
      <c r="S25" s="56"/>
      <c r="T25" s="56"/>
      <c r="U25" s="56"/>
      <c r="V25" s="56"/>
      <c r="W25" s="56"/>
    </row>
    <row r="26" spans="1:23" s="23" customFormat="1" ht="25.5">
      <c r="A26" s="62">
        <v>22</v>
      </c>
      <c r="B26" s="19" t="s">
        <v>458</v>
      </c>
      <c r="C26" s="37" t="s">
        <v>402</v>
      </c>
      <c r="D26" s="25" t="s">
        <v>459</v>
      </c>
      <c r="E26" s="60">
        <v>45104.496111111112</v>
      </c>
      <c r="F26" s="49" t="s">
        <v>451</v>
      </c>
      <c r="G26" s="16"/>
      <c r="H26" s="20"/>
      <c r="I26" s="20"/>
      <c r="J26" s="20" t="s">
        <v>393</v>
      </c>
      <c r="K26" s="21">
        <v>45104.496168981481</v>
      </c>
      <c r="L26" s="20" t="s">
        <v>236</v>
      </c>
      <c r="M26" s="69" t="s">
        <v>241</v>
      </c>
      <c r="N26" s="53"/>
      <c r="O26" s="53"/>
      <c r="P26" s="53"/>
      <c r="Q26" s="56"/>
      <c r="R26" s="56"/>
      <c r="S26" s="56"/>
      <c r="T26" s="56"/>
      <c r="U26" s="56"/>
      <c r="V26" s="56"/>
      <c r="W26" s="56"/>
    </row>
    <row r="27" spans="1:23" s="23" customFormat="1" ht="25.5">
      <c r="A27" s="62">
        <v>23</v>
      </c>
      <c r="B27" s="19" t="s">
        <v>458</v>
      </c>
      <c r="C27" s="37" t="s">
        <v>402</v>
      </c>
      <c r="D27" s="25" t="s">
        <v>389</v>
      </c>
      <c r="E27" s="60">
        <v>45104.506516203706</v>
      </c>
      <c r="F27" s="49" t="s">
        <v>451</v>
      </c>
      <c r="G27" s="16"/>
      <c r="H27" s="20"/>
      <c r="I27" s="20"/>
      <c r="J27" s="20" t="s">
        <v>393</v>
      </c>
      <c r="K27" s="21">
        <v>45104.506620370368</v>
      </c>
      <c r="L27" s="20" t="s">
        <v>236</v>
      </c>
      <c r="M27" s="69" t="s">
        <v>241</v>
      </c>
      <c r="N27" s="53"/>
      <c r="O27" s="53"/>
      <c r="P27" s="53"/>
      <c r="Q27" s="56"/>
      <c r="R27" s="56"/>
      <c r="S27" s="56"/>
      <c r="T27" s="56"/>
      <c r="U27" s="56"/>
      <c r="V27" s="56"/>
      <c r="W27" s="56"/>
    </row>
    <row r="28" spans="1:23" s="23" customFormat="1" ht="25.5">
      <c r="A28" s="62">
        <v>24</v>
      </c>
      <c r="B28" s="37" t="s">
        <v>462</v>
      </c>
      <c r="C28" s="37" t="s">
        <v>400</v>
      </c>
      <c r="D28" s="25" t="s">
        <v>389</v>
      </c>
      <c r="E28" s="60">
        <v>45120.615439814814</v>
      </c>
      <c r="F28" s="49" t="s">
        <v>451</v>
      </c>
      <c r="G28" s="16"/>
      <c r="H28" s="20"/>
      <c r="I28" s="20"/>
      <c r="J28" s="20" t="s">
        <v>393</v>
      </c>
      <c r="K28" s="21">
        <v>45120.615486111114</v>
      </c>
      <c r="L28" s="20" t="s">
        <v>236</v>
      </c>
      <c r="M28" s="69" t="s">
        <v>241</v>
      </c>
      <c r="N28" s="53"/>
      <c r="O28" s="53"/>
      <c r="P28" s="53"/>
      <c r="Q28" s="56"/>
      <c r="R28" s="56"/>
      <c r="S28" s="56"/>
      <c r="T28" s="56"/>
      <c r="U28" s="56"/>
      <c r="V28" s="56"/>
      <c r="W28" s="56"/>
    </row>
    <row r="29" spans="1:23" s="23" customFormat="1" ht="25.5">
      <c r="A29" s="62">
        <v>25</v>
      </c>
      <c r="B29" s="37" t="s">
        <v>463</v>
      </c>
      <c r="C29" s="37" t="s">
        <v>401</v>
      </c>
      <c r="D29" s="25" t="s">
        <v>389</v>
      </c>
      <c r="E29" s="60">
        <v>45120.616157407407</v>
      </c>
      <c r="F29" s="49" t="s">
        <v>451</v>
      </c>
      <c r="G29" s="16"/>
      <c r="H29" s="20"/>
      <c r="I29" s="20"/>
      <c r="J29" s="20" t="s">
        <v>393</v>
      </c>
      <c r="K29" s="21">
        <v>45120.616203703707</v>
      </c>
      <c r="L29" s="20" t="s">
        <v>236</v>
      </c>
      <c r="M29" s="20" t="s">
        <v>241</v>
      </c>
      <c r="N29" s="53"/>
      <c r="O29" s="53"/>
      <c r="P29" s="53"/>
      <c r="Q29" s="56"/>
      <c r="R29" s="56"/>
      <c r="S29" s="56"/>
      <c r="T29" s="56"/>
      <c r="U29" s="56"/>
      <c r="V29" s="56"/>
      <c r="W29" s="56"/>
    </row>
    <row r="30" spans="1:23" s="23" customFormat="1" ht="25.5">
      <c r="A30" s="62">
        <v>26</v>
      </c>
      <c r="B30" s="218" t="s">
        <v>471</v>
      </c>
      <c r="C30" s="219" t="s">
        <v>472</v>
      </c>
      <c r="D30" s="220" t="s">
        <v>389</v>
      </c>
      <c r="E30" s="221">
        <v>45132</v>
      </c>
      <c r="F30" s="219" t="s">
        <v>473</v>
      </c>
      <c r="G30" s="220"/>
      <c r="H30" s="222"/>
      <c r="I30" s="222"/>
      <c r="J30" s="222" t="s">
        <v>474</v>
      </c>
      <c r="K30" s="221">
        <v>45132</v>
      </c>
      <c r="L30" s="223" t="s">
        <v>236</v>
      </c>
      <c r="M30" s="224" t="s">
        <v>241</v>
      </c>
      <c r="N30" s="53"/>
      <c r="O30" s="53"/>
      <c r="P30" s="53"/>
      <c r="Q30" s="56"/>
      <c r="R30" s="56"/>
      <c r="S30" s="56"/>
      <c r="T30" s="56"/>
      <c r="U30" s="56"/>
      <c r="V30" s="56"/>
      <c r="W30" s="56"/>
    </row>
    <row r="31" spans="1:23" s="23" customFormat="1">
      <c r="A31" s="62">
        <v>27</v>
      </c>
      <c r="B31" s="19">
        <v>1.3</v>
      </c>
      <c r="C31" s="37" t="s">
        <v>417</v>
      </c>
      <c r="D31" s="25" t="s">
        <v>389</v>
      </c>
      <c r="E31" s="60">
        <v>45133.505312499998</v>
      </c>
      <c r="F31" s="49" t="s">
        <v>476</v>
      </c>
      <c r="G31" s="16"/>
      <c r="H31" s="222"/>
      <c r="I31" s="20"/>
      <c r="J31" s="20" t="s">
        <v>477</v>
      </c>
      <c r="K31" s="21">
        <v>45133.505486111113</v>
      </c>
      <c r="L31" s="20" t="s">
        <v>236</v>
      </c>
      <c r="M31" s="20" t="s">
        <v>241</v>
      </c>
      <c r="N31" s="53"/>
      <c r="O31" s="53"/>
      <c r="P31" s="53"/>
      <c r="Q31" s="56"/>
      <c r="R31" s="56"/>
      <c r="S31" s="56"/>
      <c r="T31" s="56"/>
      <c r="U31" s="56"/>
      <c r="V31" s="56"/>
      <c r="W31" s="56"/>
    </row>
    <row r="32" spans="1:23" s="23" customFormat="1" ht="25.5">
      <c r="A32" s="62">
        <v>28</v>
      </c>
      <c r="B32" s="218" t="s">
        <v>482</v>
      </c>
      <c r="C32" s="219" t="s">
        <v>472</v>
      </c>
      <c r="D32" s="220" t="s">
        <v>483</v>
      </c>
      <c r="E32" s="221">
        <v>45138</v>
      </c>
      <c r="F32" s="219" t="s">
        <v>473</v>
      </c>
      <c r="G32" s="220"/>
      <c r="H32" s="222"/>
      <c r="I32" s="222"/>
      <c r="J32" s="222" t="s">
        <v>474</v>
      </c>
      <c r="K32" s="221">
        <v>45138</v>
      </c>
      <c r="L32" s="223" t="s">
        <v>236</v>
      </c>
      <c r="M32" s="224" t="s">
        <v>241</v>
      </c>
      <c r="N32" s="53"/>
      <c r="O32" s="53"/>
      <c r="P32" s="53"/>
      <c r="Q32" s="56"/>
      <c r="R32" s="56"/>
      <c r="S32" s="56"/>
      <c r="T32" s="56"/>
      <c r="U32" s="56"/>
      <c r="V32" s="56"/>
      <c r="W32" s="56"/>
    </row>
    <row r="33" spans="1:23" s="23" customFormat="1">
      <c r="A33" s="62">
        <v>29</v>
      </c>
      <c r="B33" s="37"/>
      <c r="C33" s="19"/>
      <c r="D33" s="25"/>
      <c r="E33" s="60"/>
      <c r="F33" s="49"/>
      <c r="G33" s="16"/>
      <c r="H33" s="192"/>
      <c r="I33" s="20"/>
      <c r="J33" s="20"/>
      <c r="K33" s="21"/>
      <c r="L33" s="20"/>
      <c r="M33" s="20"/>
      <c r="N33" s="53"/>
      <c r="O33" s="53"/>
      <c r="P33" s="53"/>
      <c r="Q33" s="56"/>
      <c r="R33" s="56"/>
      <c r="S33" s="56"/>
      <c r="T33" s="56"/>
      <c r="U33" s="56"/>
      <c r="V33" s="56"/>
      <c r="W33" s="56"/>
    </row>
    <row r="34" spans="1:23" s="23" customFormat="1">
      <c r="A34" s="62">
        <v>30</v>
      </c>
      <c r="B34" s="37"/>
      <c r="C34" s="19"/>
      <c r="D34" s="25"/>
      <c r="E34" s="60"/>
      <c r="F34" s="49"/>
      <c r="G34" s="16"/>
      <c r="H34" s="192"/>
      <c r="I34" s="20"/>
      <c r="J34" s="20"/>
      <c r="K34" s="21"/>
      <c r="L34" s="20"/>
      <c r="M34" s="20"/>
      <c r="N34" s="53"/>
      <c r="O34" s="53"/>
      <c r="P34" s="53"/>
      <c r="Q34" s="56"/>
      <c r="R34" s="56"/>
      <c r="S34" s="56"/>
      <c r="T34" s="56"/>
      <c r="U34" s="56"/>
      <c r="V34" s="56"/>
      <c r="W34" s="56"/>
    </row>
    <row r="35" spans="1:23" s="23" customFormat="1">
      <c r="A35" s="62">
        <v>31</v>
      </c>
      <c r="B35" s="19"/>
      <c r="C35" s="37"/>
      <c r="D35" s="25"/>
      <c r="E35" s="60"/>
      <c r="F35" s="49"/>
      <c r="G35" s="16"/>
      <c r="H35" s="192"/>
      <c r="I35" s="20"/>
      <c r="J35" s="20"/>
      <c r="K35" s="21"/>
      <c r="L35" s="20"/>
      <c r="M35" s="20"/>
      <c r="N35" s="53"/>
      <c r="O35" s="53"/>
      <c r="P35" s="53"/>
      <c r="Q35" s="56"/>
      <c r="R35" s="56"/>
      <c r="S35" s="56"/>
      <c r="T35" s="56"/>
      <c r="U35" s="56"/>
      <c r="V35" s="56"/>
      <c r="W35" s="56"/>
    </row>
    <row r="36" spans="1:23" s="23" customFormat="1">
      <c r="A36" s="62">
        <v>32</v>
      </c>
      <c r="B36" s="37"/>
      <c r="C36" s="37"/>
      <c r="D36" s="25"/>
      <c r="E36" s="60"/>
      <c r="F36" s="49"/>
      <c r="G36" s="16"/>
      <c r="H36" s="192"/>
      <c r="I36" s="20"/>
      <c r="J36" s="20"/>
      <c r="K36" s="21"/>
      <c r="L36" s="20"/>
      <c r="M36" s="20"/>
      <c r="N36" s="53"/>
      <c r="O36" s="53"/>
      <c r="P36" s="53"/>
      <c r="Q36" s="56"/>
      <c r="R36" s="56"/>
      <c r="S36" s="56"/>
      <c r="T36" s="56"/>
      <c r="U36" s="56"/>
      <c r="V36" s="56"/>
      <c r="W36" s="56"/>
    </row>
    <row r="37" spans="1:23" s="23" customFormat="1">
      <c r="A37" s="62">
        <v>33</v>
      </c>
      <c r="B37" s="19"/>
      <c r="C37" s="37"/>
      <c r="D37" s="25"/>
      <c r="E37" s="60"/>
      <c r="F37" s="49"/>
      <c r="G37" s="16"/>
      <c r="H37" s="192"/>
      <c r="I37" s="20"/>
      <c r="J37" s="20"/>
      <c r="K37" s="21"/>
      <c r="L37" s="20"/>
      <c r="M37" s="20"/>
      <c r="N37" s="53"/>
      <c r="O37" s="53"/>
      <c r="P37" s="53"/>
      <c r="Q37" s="56"/>
      <c r="R37" s="56"/>
      <c r="S37" s="56"/>
      <c r="T37" s="56"/>
      <c r="U37" s="56"/>
      <c r="V37" s="56"/>
      <c r="W37" s="56"/>
    </row>
    <row r="38" spans="1:23" s="23" customFormat="1">
      <c r="A38" s="62">
        <v>34</v>
      </c>
      <c r="B38" s="37"/>
      <c r="C38" s="37"/>
      <c r="D38" s="25"/>
      <c r="E38" s="60"/>
      <c r="F38" s="49"/>
      <c r="G38" s="25"/>
      <c r="H38" s="193"/>
      <c r="I38" s="20"/>
      <c r="J38" s="20"/>
      <c r="K38" s="21"/>
      <c r="L38" s="20"/>
      <c r="M38" s="20"/>
      <c r="N38" s="53"/>
      <c r="O38" s="53"/>
      <c r="P38" s="53"/>
      <c r="Q38" s="56"/>
      <c r="R38" s="56"/>
      <c r="S38" s="56"/>
      <c r="T38" s="56"/>
      <c r="U38" s="56"/>
      <c r="V38" s="56"/>
      <c r="W38" s="56"/>
    </row>
    <row r="39" spans="1:23" s="23" customFormat="1">
      <c r="A39" s="62">
        <v>35</v>
      </c>
      <c r="B39" s="37"/>
      <c r="C39" s="37"/>
      <c r="D39" s="25"/>
      <c r="E39" s="60"/>
      <c r="F39" s="49"/>
      <c r="G39" s="16"/>
      <c r="H39" s="192"/>
      <c r="I39" s="20"/>
      <c r="J39" s="20"/>
      <c r="K39" s="21"/>
      <c r="L39" s="20"/>
      <c r="M39" s="20"/>
      <c r="N39" s="53"/>
      <c r="O39" s="53"/>
      <c r="P39" s="53"/>
      <c r="Q39" s="56"/>
      <c r="R39" s="56"/>
      <c r="S39" s="56"/>
      <c r="T39" s="56"/>
      <c r="U39" s="56"/>
      <c r="V39" s="56"/>
      <c r="W39" s="56"/>
    </row>
    <row r="40" spans="1:23" s="23" customFormat="1">
      <c r="A40" s="62">
        <v>36</v>
      </c>
      <c r="B40" s="37"/>
      <c r="C40" s="37"/>
      <c r="D40" s="25"/>
      <c r="E40" s="60"/>
      <c r="F40" s="49"/>
      <c r="G40" s="16"/>
      <c r="H40" s="192"/>
      <c r="I40" s="20"/>
      <c r="J40" s="20"/>
      <c r="K40" s="21"/>
      <c r="L40" s="20"/>
      <c r="M40" s="20"/>
      <c r="N40" s="53"/>
      <c r="O40" s="53"/>
      <c r="P40" s="53"/>
      <c r="Q40" s="56"/>
      <c r="R40" s="56"/>
      <c r="S40" s="56"/>
      <c r="T40" s="56"/>
      <c r="U40" s="56"/>
      <c r="V40" s="56"/>
      <c r="W40" s="56"/>
    </row>
    <row r="41" spans="1:23" s="23" customFormat="1">
      <c r="A41" s="62">
        <v>37</v>
      </c>
      <c r="B41" s="37"/>
      <c r="C41" s="37"/>
      <c r="D41" s="25"/>
      <c r="E41" s="60"/>
      <c r="F41" s="49"/>
      <c r="G41" s="16"/>
      <c r="H41" s="192"/>
      <c r="I41" s="20"/>
      <c r="J41" s="20"/>
      <c r="K41" s="21"/>
      <c r="L41" s="20"/>
      <c r="M41" s="20"/>
      <c r="N41" s="53"/>
      <c r="O41" s="53"/>
      <c r="P41" s="53"/>
      <c r="Q41" s="56"/>
      <c r="R41" s="56"/>
      <c r="S41" s="56"/>
      <c r="T41" s="56"/>
      <c r="U41" s="56"/>
      <c r="V41" s="56"/>
      <c r="W41" s="56"/>
    </row>
    <row r="42" spans="1:23" s="23" customFormat="1">
      <c r="A42" s="62">
        <v>38</v>
      </c>
      <c r="B42" s="37"/>
      <c r="C42" s="37"/>
      <c r="D42" s="25"/>
      <c r="E42" s="60"/>
      <c r="F42" s="49"/>
      <c r="G42" s="16"/>
      <c r="H42" s="192"/>
      <c r="I42" s="20"/>
      <c r="J42" s="20"/>
      <c r="K42" s="21"/>
      <c r="L42" s="20"/>
      <c r="M42" s="20"/>
      <c r="N42" s="53"/>
      <c r="O42" s="53"/>
      <c r="P42" s="53"/>
      <c r="Q42" s="56"/>
      <c r="R42" s="56"/>
      <c r="S42" s="56"/>
      <c r="T42" s="56"/>
      <c r="U42" s="56"/>
      <c r="V42" s="56"/>
      <c r="W42" s="56"/>
    </row>
    <row r="43" spans="1:23" s="23" customFormat="1">
      <c r="A43" s="62">
        <v>39</v>
      </c>
      <c r="B43" s="37"/>
      <c r="C43" s="37"/>
      <c r="D43" s="25"/>
      <c r="E43" s="60"/>
      <c r="F43" s="49"/>
      <c r="G43" s="16"/>
      <c r="H43" s="192"/>
      <c r="I43" s="20"/>
      <c r="J43" s="20"/>
      <c r="K43" s="21"/>
      <c r="L43" s="20"/>
      <c r="M43" s="20"/>
      <c r="N43" s="53"/>
      <c r="O43" s="53"/>
      <c r="P43" s="53"/>
      <c r="Q43" s="56"/>
      <c r="R43" s="56"/>
      <c r="S43" s="56"/>
      <c r="T43" s="56"/>
      <c r="U43" s="56"/>
      <c r="V43" s="56"/>
      <c r="W43" s="56"/>
    </row>
    <row r="44" spans="1:23" s="23" customFormat="1">
      <c r="A44" s="62">
        <v>40</v>
      </c>
      <c r="B44" s="37"/>
      <c r="C44" s="37"/>
      <c r="D44" s="25"/>
      <c r="E44" s="60"/>
      <c r="F44" s="49"/>
      <c r="G44" s="16"/>
      <c r="H44" s="192"/>
      <c r="I44" s="20"/>
      <c r="J44" s="20"/>
      <c r="K44" s="21"/>
      <c r="L44" s="20"/>
      <c r="M44" s="20"/>
      <c r="N44" s="53"/>
      <c r="O44" s="53"/>
      <c r="P44" s="53"/>
      <c r="Q44" s="56"/>
      <c r="R44" s="56"/>
      <c r="S44" s="56"/>
      <c r="T44" s="56"/>
      <c r="U44" s="56"/>
      <c r="V44" s="56"/>
      <c r="W44" s="56"/>
    </row>
    <row r="45" spans="1:23" s="23" customFormat="1">
      <c r="A45" s="62">
        <v>41</v>
      </c>
      <c r="B45" s="37"/>
      <c r="C45" s="37"/>
      <c r="D45" s="25"/>
      <c r="E45" s="60"/>
      <c r="F45" s="49"/>
      <c r="G45" s="16"/>
      <c r="H45" s="192"/>
      <c r="I45" s="20"/>
      <c r="J45" s="20"/>
      <c r="K45" s="21"/>
      <c r="L45" s="20"/>
      <c r="M45" s="20"/>
      <c r="N45" s="53"/>
      <c r="O45" s="53"/>
      <c r="P45" s="53"/>
      <c r="Q45" s="56"/>
      <c r="R45" s="56"/>
      <c r="S45" s="56"/>
      <c r="T45" s="56"/>
      <c r="U45" s="56"/>
      <c r="V45" s="56"/>
      <c r="W45" s="56"/>
    </row>
    <row r="46" spans="1:23" s="23" customFormat="1">
      <c r="A46" s="62">
        <v>42</v>
      </c>
      <c r="B46" s="37"/>
      <c r="C46" s="37"/>
      <c r="D46" s="25"/>
      <c r="E46" s="60"/>
      <c r="F46" s="49"/>
      <c r="G46" s="16"/>
      <c r="H46" s="192"/>
      <c r="I46" s="20"/>
      <c r="J46" s="20"/>
      <c r="K46" s="21"/>
      <c r="L46" s="20"/>
      <c r="M46" s="20"/>
      <c r="N46" s="53"/>
      <c r="O46" s="53"/>
      <c r="P46" s="53"/>
      <c r="Q46" s="56"/>
      <c r="R46" s="56"/>
      <c r="S46" s="56"/>
      <c r="T46" s="56"/>
      <c r="U46" s="56"/>
      <c r="V46" s="56"/>
      <c r="W46" s="56"/>
    </row>
    <row r="47" spans="1:23" s="23" customFormat="1">
      <c r="A47" s="62">
        <v>43</v>
      </c>
      <c r="B47" s="19"/>
      <c r="C47" s="37"/>
      <c r="D47" s="25"/>
      <c r="E47" s="60"/>
      <c r="F47" s="49"/>
      <c r="G47" s="16"/>
      <c r="H47" s="20"/>
      <c r="I47" s="69"/>
      <c r="J47" s="20"/>
      <c r="K47" s="21"/>
      <c r="L47" s="20"/>
      <c r="M47" s="20"/>
      <c r="N47" s="53"/>
      <c r="O47" s="53"/>
      <c r="P47" s="53"/>
      <c r="Q47" s="56"/>
      <c r="R47" s="56"/>
      <c r="S47" s="56"/>
      <c r="T47" s="56"/>
      <c r="U47" s="56"/>
      <c r="V47" s="56"/>
      <c r="W47" s="56"/>
    </row>
    <row r="48" spans="1:23" s="23" customFormat="1">
      <c r="A48" s="62">
        <v>44</v>
      </c>
      <c r="B48" s="19"/>
      <c r="C48" s="37"/>
      <c r="D48" s="25"/>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37"/>
      <c r="D49" s="25"/>
      <c r="E49" s="60"/>
      <c r="F49" s="49"/>
      <c r="G49" s="16"/>
      <c r="H49" s="20"/>
      <c r="I49" s="69"/>
      <c r="J49" s="20"/>
      <c r="K49" s="21"/>
      <c r="L49" s="20"/>
      <c r="M49" s="20"/>
      <c r="N49" s="53"/>
      <c r="O49" s="53"/>
      <c r="P49" s="53"/>
      <c r="Q49" s="56"/>
      <c r="R49" s="56"/>
      <c r="S49" s="56"/>
      <c r="T49" s="56"/>
      <c r="U49" s="56"/>
      <c r="V49" s="56"/>
      <c r="W49" s="56"/>
    </row>
    <row r="50" spans="1:23" s="23" customFormat="1">
      <c r="A50" s="62">
        <v>46</v>
      </c>
      <c r="B50" s="19"/>
      <c r="C50" s="37"/>
      <c r="D50" s="25"/>
      <c r="E50" s="60"/>
      <c r="F50" s="49"/>
      <c r="G50" s="16"/>
      <c r="H50" s="20"/>
      <c r="I50" s="69"/>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35" type="noConversion"/>
  <conditionalFormatting sqref="L205:L65536 P1:P2">
    <cfRule type="cellIs" dxfId="1149" priority="232" stopIfTrue="1" operator="equal">
      <formula>"Fixed"</formula>
    </cfRule>
    <cfRule type="cellIs" dxfId="1148" priority="233" stopIfTrue="1" operator="equal">
      <formula>"Open"</formula>
    </cfRule>
  </conditionalFormatting>
  <conditionalFormatting sqref="L4">
    <cfRule type="cellIs" dxfId="1147" priority="234" stopIfTrue="1" operator="equal">
      <formula>"Open"</formula>
    </cfRule>
    <cfRule type="cellIs" dxfId="1146" priority="235" stopIfTrue="1" operator="equal">
      <formula>"Fixed"</formula>
    </cfRule>
  </conditionalFormatting>
  <conditionalFormatting sqref="L16:L19 L51:L204 L21:L28">
    <cfRule type="expression" dxfId="1145" priority="236" stopIfTrue="1">
      <formula>AND($M16="Approved",$L16="Fixed")</formula>
    </cfRule>
    <cfRule type="cellIs" dxfId="1144" priority="237" stopIfTrue="1" operator="equal">
      <formula>"Fixed"</formula>
    </cfRule>
    <cfRule type="cellIs" dxfId="1143" priority="238" stopIfTrue="1" operator="equal">
      <formula>"Open"</formula>
    </cfRule>
  </conditionalFormatting>
  <conditionalFormatting sqref="M51:M204 M16:M19 M21:M28">
    <cfRule type="expression" dxfId="1142" priority="239" stopIfTrue="1">
      <formula>OR(M16="Fixed",M16="Approved")</formula>
    </cfRule>
    <cfRule type="cellIs" dxfId="1141" priority="240" stopIfTrue="1" operator="equal">
      <formula>"Rejected"</formula>
    </cfRule>
  </conditionalFormatting>
  <conditionalFormatting sqref="A3">
    <cfRule type="expression" dxfId="1140" priority="226" stopIfTrue="1">
      <formula>$X$2=1</formula>
    </cfRule>
    <cfRule type="expression" dxfId="1139" priority="227" stopIfTrue="1">
      <formula>$Y$2=1</formula>
    </cfRule>
    <cfRule type="expression" dxfId="1138" priority="229" stopIfTrue="1">
      <formula>$AA$2=1</formula>
    </cfRule>
  </conditionalFormatting>
  <conditionalFormatting sqref="A3:C3">
    <cfRule type="expression" dxfId="1137" priority="228" stopIfTrue="1">
      <formula>$Z$2=1</formula>
    </cfRule>
  </conditionalFormatting>
  <conditionalFormatting sqref="G14:G15 D16:K17 D21:F22 G21:K21 A5:A38 D38:F38 A39:B39 A40 A41:C42 A51:K204 A43:G46 E39:G42 A47:A50 D19:K19 E18:K18 G22:I22 E23:I24 D25:I28 K22:K28">
    <cfRule type="expression" dxfId="1136" priority="410" stopIfTrue="1">
      <formula>AND($M5="Approved",OR($L5=$R$1,$L5=$T$1))</formula>
    </cfRule>
  </conditionalFormatting>
  <conditionalFormatting sqref="B16">
    <cfRule type="expression" dxfId="1135" priority="204" stopIfTrue="1">
      <formula>AND($M16="Approved",OR($L16=$R$1,$L16=$T$1))</formula>
    </cfRule>
  </conditionalFormatting>
  <conditionalFormatting sqref="B17">
    <cfRule type="expression" dxfId="1134" priority="202" stopIfTrue="1">
      <formula>AND($M17="Approved",OR($L17=$R$1,$L17=$T$1))</formula>
    </cfRule>
  </conditionalFormatting>
  <conditionalFormatting sqref="B21">
    <cfRule type="expression" dxfId="1133" priority="194" stopIfTrue="1">
      <formula>AND($M21="Approved",OR($L21=$R$1,$L21=$T$1))</formula>
    </cfRule>
  </conditionalFormatting>
  <conditionalFormatting sqref="C21">
    <cfRule type="expression" dxfId="1132" priority="193" stopIfTrue="1">
      <formula>AND($M21="Approved",OR($L21=$R$1,$L21=$T$1))</formula>
    </cfRule>
  </conditionalFormatting>
  <conditionalFormatting sqref="B22">
    <cfRule type="expression" dxfId="1131" priority="192" stopIfTrue="1">
      <formula>AND($M22="Approved",OR($L22=$R$1,$L22=$T$1))</formula>
    </cfRule>
  </conditionalFormatting>
  <conditionalFormatting sqref="C22">
    <cfRule type="expression" dxfId="1130" priority="191" stopIfTrue="1">
      <formula>AND($M22="Approved",OR($L22=$R$1,$L22=$T$1))</formula>
    </cfRule>
  </conditionalFormatting>
  <conditionalFormatting sqref="D23">
    <cfRule type="expression" dxfId="1129" priority="190" stopIfTrue="1">
      <formula>AND($M23="Approved",OR($L23=$R$1,$L23=$T$1))</formula>
    </cfRule>
  </conditionalFormatting>
  <conditionalFormatting sqref="B23">
    <cfRule type="expression" dxfId="1128" priority="189" stopIfTrue="1">
      <formula>AND($M23="Approved",OR($L23=$R$1,$L23=$T$1))</formula>
    </cfRule>
  </conditionalFormatting>
  <conditionalFormatting sqref="C23">
    <cfRule type="expression" dxfId="1127" priority="188" stopIfTrue="1">
      <formula>AND($M23="Approved",OR($L23=$R$1,$L23=$T$1))</formula>
    </cfRule>
  </conditionalFormatting>
  <conditionalFormatting sqref="D24">
    <cfRule type="expression" dxfId="1126" priority="187" stopIfTrue="1">
      <formula>AND($M24="Approved",OR($L24=$R$1,$L24=$T$1))</formula>
    </cfRule>
  </conditionalFormatting>
  <conditionalFormatting sqref="B24">
    <cfRule type="expression" dxfId="1125" priority="186" stopIfTrue="1">
      <formula>AND($M24="Approved",OR($L24=$R$1,$L24=$T$1))</formula>
    </cfRule>
  </conditionalFormatting>
  <conditionalFormatting sqref="C24">
    <cfRule type="expression" dxfId="1124" priority="185" stopIfTrue="1">
      <formula>AND($M24="Approved",OR($L24=$R$1,$L24=$T$1))</formula>
    </cfRule>
  </conditionalFormatting>
  <conditionalFormatting sqref="B25">
    <cfRule type="expression" dxfId="1123" priority="184" stopIfTrue="1">
      <formula>AND($M25="Approved",OR($L25=$R$1,$L25=$T$1))</formula>
    </cfRule>
  </conditionalFormatting>
  <conditionalFormatting sqref="C25">
    <cfRule type="expression" dxfId="1122" priority="183" stopIfTrue="1">
      <formula>AND($M25="Approved",OR($L25=$R$1,$L25=$T$1))</formula>
    </cfRule>
  </conditionalFormatting>
  <conditionalFormatting sqref="B26">
    <cfRule type="expression" dxfId="1121" priority="182" stopIfTrue="1">
      <formula>AND($M26="Approved",OR($L26=$R$1,$L26=$T$1))</formula>
    </cfRule>
  </conditionalFormatting>
  <conditionalFormatting sqref="C26">
    <cfRule type="expression" dxfId="1120" priority="181" stopIfTrue="1">
      <formula>AND($M26="Approved",OR($L26=$R$1,$L26=$T$1))</formula>
    </cfRule>
  </conditionalFormatting>
  <conditionalFormatting sqref="B27">
    <cfRule type="expression" dxfId="1119" priority="180" stopIfTrue="1">
      <formula>AND($M27="Approved",OR($L27=$R$1,$L27=$T$1))</formula>
    </cfRule>
  </conditionalFormatting>
  <conditionalFormatting sqref="C27">
    <cfRule type="expression" dxfId="1118" priority="179" stopIfTrue="1">
      <formula>AND($M27="Approved",OR($L27=$R$1,$L27=$T$1))</formula>
    </cfRule>
  </conditionalFormatting>
  <conditionalFormatting sqref="B28">
    <cfRule type="expression" dxfId="1117" priority="178" stopIfTrue="1">
      <formula>AND($M28="Approved",OR($L28=$R$1,$L28=$T$1))</formula>
    </cfRule>
  </conditionalFormatting>
  <conditionalFormatting sqref="C28">
    <cfRule type="expression" dxfId="1116" priority="177" stopIfTrue="1">
      <formula>AND($M28="Approved",OR($L28=$R$1,$L28=$T$1))</formula>
    </cfRule>
  </conditionalFormatting>
  <conditionalFormatting sqref="G38">
    <cfRule type="expression" dxfId="1115" priority="122" stopIfTrue="1">
      <formula>AND($M38="Approved",OR($L38=$R$1,$L38=$T$1))</formula>
    </cfRule>
  </conditionalFormatting>
  <conditionalFormatting sqref="L38">
    <cfRule type="expression" dxfId="1114" priority="116" stopIfTrue="1">
      <formula>AND($M38="Approved",$L38="Fixed")</formula>
    </cfRule>
    <cfRule type="cellIs" dxfId="1113" priority="117" stopIfTrue="1" operator="equal">
      <formula>"Fixed"</formula>
    </cfRule>
    <cfRule type="cellIs" dxfId="1112" priority="118" stopIfTrue="1" operator="equal">
      <formula>"Open"</formula>
    </cfRule>
  </conditionalFormatting>
  <conditionalFormatting sqref="M38">
    <cfRule type="expression" dxfId="1111" priority="119" stopIfTrue="1">
      <formula>OR(M38="Fixed",M38="Approved")</formula>
    </cfRule>
    <cfRule type="cellIs" dxfId="1110" priority="120" stopIfTrue="1" operator="equal">
      <formula>"Rejected"</formula>
    </cfRule>
  </conditionalFormatting>
  <conditionalFormatting sqref="I38:K38">
    <cfRule type="expression" dxfId="1109" priority="121" stopIfTrue="1">
      <formula>AND($M38="Approved",OR($L38=$R$1,$L38=$T$1))</formula>
    </cfRule>
  </conditionalFormatting>
  <conditionalFormatting sqref="B38:C38">
    <cfRule type="expression" dxfId="1108" priority="112" stopIfTrue="1">
      <formula>AND($M38="Approved",OR($L38=$R$1,$L38=$T$1))</formula>
    </cfRule>
  </conditionalFormatting>
  <conditionalFormatting sqref="B38:C38">
    <cfRule type="expression" dxfId="1107" priority="113" stopIfTrue="1">
      <formula>AND($M39="Approved",OR($L39=$R$1,$L39=$T$1))</formula>
    </cfRule>
  </conditionalFormatting>
  <conditionalFormatting sqref="C39">
    <cfRule type="expression" dxfId="1106" priority="111" stopIfTrue="1">
      <formula>AND($M40="Approved",OR($L40=$R$1,$L40=$T$1))</formula>
    </cfRule>
  </conditionalFormatting>
  <conditionalFormatting sqref="D39">
    <cfRule type="expression" dxfId="1105" priority="110" stopIfTrue="1">
      <formula>AND($M39="Approved",OR($L39=$R$1,$L39=$T$1))</formula>
    </cfRule>
  </conditionalFormatting>
  <conditionalFormatting sqref="D40">
    <cfRule type="expression" dxfId="1104" priority="109" stopIfTrue="1">
      <formula>AND($M41="Approved",OR($L41=$R$1,$L41=$T$1))</formula>
    </cfRule>
  </conditionalFormatting>
  <conditionalFormatting sqref="L39">
    <cfRule type="expression" dxfId="1103" priority="103" stopIfTrue="1">
      <formula>AND($M39="Approved",$L39="Fixed")</formula>
    </cfRule>
    <cfRule type="cellIs" dxfId="1102" priority="104" stopIfTrue="1" operator="equal">
      <formula>"Fixed"</formula>
    </cfRule>
    <cfRule type="cellIs" dxfId="1101" priority="105" stopIfTrue="1" operator="equal">
      <formula>"Open"</formula>
    </cfRule>
  </conditionalFormatting>
  <conditionalFormatting sqref="M39">
    <cfRule type="expression" dxfId="1100" priority="106" stopIfTrue="1">
      <formula>OR(M39="Fixed",M39="Approved")</formula>
    </cfRule>
    <cfRule type="cellIs" dxfId="1099" priority="107" stopIfTrue="1" operator="equal">
      <formula>"Rejected"</formula>
    </cfRule>
  </conditionalFormatting>
  <conditionalFormatting sqref="I39:K39">
    <cfRule type="expression" dxfId="1098" priority="108" stopIfTrue="1">
      <formula>AND($M39="Approved",OR($L39=$R$1,$L39=$T$1))</formula>
    </cfRule>
  </conditionalFormatting>
  <conditionalFormatting sqref="L40">
    <cfRule type="expression" dxfId="1097" priority="97" stopIfTrue="1">
      <formula>AND($M40="Approved",$L40="Fixed")</formula>
    </cfRule>
    <cfRule type="cellIs" dxfId="1096" priority="98" stopIfTrue="1" operator="equal">
      <formula>"Fixed"</formula>
    </cfRule>
    <cfRule type="cellIs" dxfId="1095" priority="99" stopIfTrue="1" operator="equal">
      <formula>"Open"</formula>
    </cfRule>
  </conditionalFormatting>
  <conditionalFormatting sqref="M40">
    <cfRule type="expression" dxfId="1094" priority="100" stopIfTrue="1">
      <formula>OR(M40="Fixed",M40="Approved")</formula>
    </cfRule>
    <cfRule type="cellIs" dxfId="1093" priority="101" stopIfTrue="1" operator="equal">
      <formula>"Rejected"</formula>
    </cfRule>
  </conditionalFormatting>
  <conditionalFormatting sqref="I40:K40">
    <cfRule type="expression" dxfId="1092" priority="102" stopIfTrue="1">
      <formula>AND($M40="Approved",OR($L40=$R$1,$L40=$T$1))</formula>
    </cfRule>
  </conditionalFormatting>
  <conditionalFormatting sqref="B40">
    <cfRule type="expression" dxfId="1091" priority="96" stopIfTrue="1">
      <formula>AND($M40="Approved",OR($L40=$R$1,$L40=$T$1))</formula>
    </cfRule>
  </conditionalFormatting>
  <conditionalFormatting sqref="C40">
    <cfRule type="expression" dxfId="1090" priority="95" stopIfTrue="1">
      <formula>AND($M41="Approved",OR($L41=$R$1,$L41=$T$1))</formula>
    </cfRule>
  </conditionalFormatting>
  <conditionalFormatting sqref="D41">
    <cfRule type="expression" dxfId="1089" priority="94" stopIfTrue="1">
      <formula>AND($M41="Approved",OR($L41=$R$1,$L41=$T$1))</formula>
    </cfRule>
  </conditionalFormatting>
  <conditionalFormatting sqref="D42">
    <cfRule type="expression" dxfId="1088" priority="93" stopIfTrue="1">
      <formula>AND($M43="Approved",OR($L43=$R$1,$L43=$T$1))</formula>
    </cfRule>
  </conditionalFormatting>
  <conditionalFormatting sqref="H38">
    <cfRule type="expression" dxfId="1087" priority="92" stopIfTrue="1">
      <formula>AND($M38="Approved",OR($L38=$R$1,$L38=$T$1))</formula>
    </cfRule>
  </conditionalFormatting>
  <conditionalFormatting sqref="L41:L46">
    <cfRule type="expression" dxfId="1086" priority="86" stopIfTrue="1">
      <formula>AND($M41="Approved",$L41="Fixed")</formula>
    </cfRule>
    <cfRule type="cellIs" dxfId="1085" priority="87" stopIfTrue="1" operator="equal">
      <formula>"Fixed"</formula>
    </cfRule>
    <cfRule type="cellIs" dxfId="1084" priority="88" stopIfTrue="1" operator="equal">
      <formula>"Open"</formula>
    </cfRule>
  </conditionalFormatting>
  <conditionalFormatting sqref="M41:M46">
    <cfRule type="expression" dxfId="1083" priority="89" stopIfTrue="1">
      <formula>OR(M41="Fixed",M41="Approved")</formula>
    </cfRule>
    <cfRule type="cellIs" dxfId="1082" priority="90" stopIfTrue="1" operator="equal">
      <formula>"Rejected"</formula>
    </cfRule>
  </conditionalFormatting>
  <conditionalFormatting sqref="I41:K46">
    <cfRule type="expression" dxfId="1081" priority="91" stopIfTrue="1">
      <formula>AND($M41="Approved",OR($L41=$R$1,$L41=$T$1))</formula>
    </cfRule>
  </conditionalFormatting>
  <conditionalFormatting sqref="L47:L50">
    <cfRule type="expression" dxfId="1080" priority="80" stopIfTrue="1">
      <formula>AND($M47="Approved",$L47="Fixed")</formula>
    </cfRule>
    <cfRule type="cellIs" dxfId="1079" priority="81" stopIfTrue="1" operator="equal">
      <formula>"Fixed"</formula>
    </cfRule>
    <cfRule type="cellIs" dxfId="1078" priority="82" stopIfTrue="1" operator="equal">
      <formula>"Open"</formula>
    </cfRule>
  </conditionalFormatting>
  <conditionalFormatting sqref="M47:M50">
    <cfRule type="expression" dxfId="1077" priority="83" stopIfTrue="1">
      <formula>OR(M47="Fixed",M47="Approved")</formula>
    </cfRule>
    <cfRule type="cellIs" dxfId="1076" priority="84" stopIfTrue="1" operator="equal">
      <formula>"Rejected"</formula>
    </cfRule>
  </conditionalFormatting>
  <conditionalFormatting sqref="G47 G48:I48 B47:E50 G49:G50 K48">
    <cfRule type="expression" dxfId="1075" priority="85" stopIfTrue="1">
      <formula>AND($M47="Approved",OR($L47=$R$1,$L47=$T$1))</formula>
    </cfRule>
  </conditionalFormatting>
  <conditionalFormatting sqref="H47:I47 K47">
    <cfRule type="expression" dxfId="1074" priority="79" stopIfTrue="1">
      <formula>AND($M47="Approved",OR($L47=$R$1,$L47=$T$1))</formula>
    </cfRule>
  </conditionalFormatting>
  <conditionalFormatting sqref="H49:I49 K49">
    <cfRule type="expression" dxfId="1073" priority="78" stopIfTrue="1">
      <formula>AND($M49="Approved",OR($L49=$R$1,$L49=$T$1))</formula>
    </cfRule>
  </conditionalFormatting>
  <conditionalFormatting sqref="H50:I50 K50">
    <cfRule type="expression" dxfId="1072" priority="77" stopIfTrue="1">
      <formula>AND($M50="Approved",OR($L50=$R$1,$L50=$T$1))</formula>
    </cfRule>
  </conditionalFormatting>
  <conditionalFormatting sqref="F47">
    <cfRule type="expression" dxfId="1071" priority="76" stopIfTrue="1">
      <formula>AND($M47="Approved",OR($L47=$R$1,$L47=$T$1))</formula>
    </cfRule>
  </conditionalFormatting>
  <conditionalFormatting sqref="F48">
    <cfRule type="expression" dxfId="1070" priority="75" stopIfTrue="1">
      <formula>AND($M48="Approved",OR($L48=$R$1,$L48=$T$1))</formula>
    </cfRule>
  </conditionalFormatting>
  <conditionalFormatting sqref="F49">
    <cfRule type="expression" dxfId="1069" priority="74" stopIfTrue="1">
      <formula>AND($M49="Approved",OR($L49=$R$1,$L49=$T$1))</formula>
    </cfRule>
  </conditionalFormatting>
  <conditionalFormatting sqref="F50">
    <cfRule type="expression" dxfId="1068" priority="72" stopIfTrue="1">
      <formula>AND($M50="Approved",OR($L50=$R$1,$L50=$T$1))</formula>
    </cfRule>
  </conditionalFormatting>
  <conditionalFormatting sqref="J47">
    <cfRule type="expression" dxfId="1067" priority="71" stopIfTrue="1">
      <formula>AND($M47="Approved",OR($L47=$R$1,$L47=$T$1))</formula>
    </cfRule>
  </conditionalFormatting>
  <conditionalFormatting sqref="J48">
    <cfRule type="expression" dxfId="1066" priority="70" stopIfTrue="1">
      <formula>AND($M48="Approved",OR($L48=$R$1,$L48=$T$1))</formula>
    </cfRule>
  </conditionalFormatting>
  <conditionalFormatting sqref="J49">
    <cfRule type="expression" dxfId="1065" priority="69" stopIfTrue="1">
      <formula>AND($M49="Approved",OR($L49=$R$1,$L49=$T$1))</formula>
    </cfRule>
  </conditionalFormatting>
  <conditionalFormatting sqref="J50">
    <cfRule type="expression" dxfId="1064" priority="68" stopIfTrue="1">
      <formula>AND($M50="Approved",OR($L50=$R$1,$L50=$T$1))</formula>
    </cfRule>
  </conditionalFormatting>
  <conditionalFormatting sqref="B29:G30 B33:G37 E31:G31">
    <cfRule type="expression" dxfId="1063" priority="67" stopIfTrue="1">
      <formula>AND($M29="Approved",OR($L29=$R$1,$L29=$T$1))</formula>
    </cfRule>
  </conditionalFormatting>
  <conditionalFormatting sqref="L29">
    <cfRule type="expression" dxfId="1061" priority="60" stopIfTrue="1">
      <formula>AND($M29="Approved",$L29="Fixed")</formula>
    </cfRule>
    <cfRule type="cellIs" dxfId="1060" priority="61" stopIfTrue="1" operator="equal">
      <formula>"Fixed"</formula>
    </cfRule>
    <cfRule type="cellIs" dxfId="1059" priority="62" stopIfTrue="1" operator="equal">
      <formula>"Open"</formula>
    </cfRule>
  </conditionalFormatting>
  <conditionalFormatting sqref="M29">
    <cfRule type="expression" dxfId="1058" priority="63" stopIfTrue="1">
      <formula>OR(M29="Fixed",M29="Approved")</formula>
    </cfRule>
    <cfRule type="cellIs" dxfId="1057" priority="64" stopIfTrue="1" operator="equal">
      <formula>"Rejected"</formula>
    </cfRule>
  </conditionalFormatting>
  <conditionalFormatting sqref="I29 K29">
    <cfRule type="expression" dxfId="1056" priority="65" stopIfTrue="1">
      <formula>AND($M29="Approved",OR($L29=$R$1,$L29=$T$1))</formula>
    </cfRule>
  </conditionalFormatting>
  <conditionalFormatting sqref="L30:L31 L33:L37">
    <cfRule type="expression" dxfId="1055" priority="54" stopIfTrue="1">
      <formula>AND($M30="Approved",$L30="Fixed")</formula>
    </cfRule>
    <cfRule type="cellIs" dxfId="1054" priority="55" stopIfTrue="1" operator="equal">
      <formula>"Fixed"</formula>
    </cfRule>
    <cfRule type="cellIs" dxfId="1053" priority="56" stopIfTrue="1" operator="equal">
      <formula>"Open"</formula>
    </cfRule>
  </conditionalFormatting>
  <conditionalFormatting sqref="M30:M31 M33:M37">
    <cfRule type="expression" dxfId="1052" priority="57" stopIfTrue="1">
      <formula>OR(M30="Fixed",M30="Approved")</formula>
    </cfRule>
    <cfRule type="cellIs" dxfId="1051" priority="58" stopIfTrue="1" operator="equal">
      <formula>"Rejected"</formula>
    </cfRule>
  </conditionalFormatting>
  <conditionalFormatting sqref="I30:K31 I33:K37">
    <cfRule type="expression" dxfId="1050" priority="59" stopIfTrue="1">
      <formula>AND($M30="Approved",OR($L30=$R$1,$L30=$T$1))</formula>
    </cfRule>
  </conditionalFormatting>
  <conditionalFormatting sqref="E8:G8 B8:C8 B5:G7 B9:G13">
    <cfRule type="expression" dxfId="1049" priority="53" stopIfTrue="1">
      <formula>AND($M5="Approved",OR($L5=$R$1,$L5=$T$1))</formula>
    </cfRule>
  </conditionalFormatting>
  <conditionalFormatting sqref="D8">
    <cfRule type="expression" dxfId="1048" priority="52" stopIfTrue="1">
      <formula>AND($M8="Approved",OR($L8=$R$1,$L8=$T$1))</formula>
    </cfRule>
  </conditionalFormatting>
  <conditionalFormatting sqref="L5">
    <cfRule type="expression" dxfId="1047" priority="46" stopIfTrue="1">
      <formula>AND($M5="Approved",$L5="Fixed")</formula>
    </cfRule>
    <cfRule type="cellIs" dxfId="1046" priority="47" stopIfTrue="1" operator="equal">
      <formula>"Fixed"</formula>
    </cfRule>
    <cfRule type="cellIs" dxfId="1045" priority="48" stopIfTrue="1" operator="equal">
      <formula>"Open"</formula>
    </cfRule>
  </conditionalFormatting>
  <conditionalFormatting sqref="M5">
    <cfRule type="expression" dxfId="1044" priority="49" stopIfTrue="1">
      <formula>OR(M5="Fixed",M5="Approved")</formula>
    </cfRule>
    <cfRule type="cellIs" dxfId="1043" priority="50" stopIfTrue="1" operator="equal">
      <formula>"Rejected"</formula>
    </cfRule>
  </conditionalFormatting>
  <conditionalFormatting sqref="I5:K5">
    <cfRule type="expression" dxfId="1042" priority="51" stopIfTrue="1">
      <formula>AND($M5="Approved",OR($L5=$R$1,$L5=$T$1))</formula>
    </cfRule>
  </conditionalFormatting>
  <conditionalFormatting sqref="L6:L13">
    <cfRule type="expression" dxfId="1041" priority="40" stopIfTrue="1">
      <formula>AND($M6="Approved",$L6="Fixed")</formula>
    </cfRule>
    <cfRule type="cellIs" dxfId="1040" priority="41" stopIfTrue="1" operator="equal">
      <formula>"Fixed"</formula>
    </cfRule>
    <cfRule type="cellIs" dxfId="1039" priority="42" stopIfTrue="1" operator="equal">
      <formula>"Open"</formula>
    </cfRule>
  </conditionalFormatting>
  <conditionalFormatting sqref="M6:M13">
    <cfRule type="expression" dxfId="1038" priority="43" stopIfTrue="1">
      <formula>OR(M6="Fixed",M6="Approved")</formula>
    </cfRule>
    <cfRule type="cellIs" dxfId="1037" priority="44" stopIfTrue="1" operator="equal">
      <formula>"Rejected"</formula>
    </cfRule>
  </conditionalFormatting>
  <conditionalFormatting sqref="I6:K13">
    <cfRule type="expression" dxfId="1036" priority="45" stopIfTrue="1">
      <formula>AND($M6="Approved",OR($L6=$R$1,$L6=$T$1))</formula>
    </cfRule>
  </conditionalFormatting>
  <conditionalFormatting sqref="B14:F15">
    <cfRule type="expression" dxfId="1035" priority="39" stopIfTrue="1">
      <formula>AND($M14="Approved",OR($L14=$R$1,$L14=$T$1))</formula>
    </cfRule>
  </conditionalFormatting>
  <conditionalFormatting sqref="L14:L15">
    <cfRule type="expression" dxfId="1034" priority="33" stopIfTrue="1">
      <formula>AND($M14="Approved",$L14="Fixed")</formula>
    </cfRule>
    <cfRule type="cellIs" dxfId="1033" priority="34" stopIfTrue="1" operator="equal">
      <formula>"Fixed"</formula>
    </cfRule>
    <cfRule type="cellIs" dxfId="1032" priority="35" stopIfTrue="1" operator="equal">
      <formula>"Open"</formula>
    </cfRule>
  </conditionalFormatting>
  <conditionalFormatting sqref="M14:M15">
    <cfRule type="expression" dxfId="1031" priority="36" stopIfTrue="1">
      <formula>OR(M14="Fixed",M14="Approved")</formula>
    </cfRule>
    <cfRule type="cellIs" dxfId="1030" priority="37" stopIfTrue="1" operator="equal">
      <formula>"Rejected"</formula>
    </cfRule>
  </conditionalFormatting>
  <conditionalFormatting sqref="H14:K15">
    <cfRule type="expression" dxfId="1029" priority="38" stopIfTrue="1">
      <formula>AND($M14="Approved",OR($L14=$R$1,$L14=$T$1))</formula>
    </cfRule>
  </conditionalFormatting>
  <conditionalFormatting sqref="C16">
    <cfRule type="expression" dxfId="1028" priority="30" stopIfTrue="1">
      <formula>AND($M16="Approved",OR($L16=$R$1,$L16=$T$1))</formula>
    </cfRule>
  </conditionalFormatting>
  <conditionalFormatting sqref="C17">
    <cfRule type="expression" dxfId="1027" priority="29" stopIfTrue="1">
      <formula>AND($M17="Approved",OR($L17=$R$1,$L17=$T$1))</formula>
    </cfRule>
  </conditionalFormatting>
  <conditionalFormatting sqref="B18:C18">
    <cfRule type="expression" dxfId="1026" priority="28" stopIfTrue="1">
      <formula>AND($M18="Approved",OR($L18=$R$1,$L18=$T$1))</formula>
    </cfRule>
  </conditionalFormatting>
  <conditionalFormatting sqref="B19:C19">
    <cfRule type="expression" dxfId="1025" priority="27" stopIfTrue="1">
      <formula>AND($M19="Approved",OR($L19=$R$1,$L19=$T$1))</formula>
    </cfRule>
  </conditionalFormatting>
  <conditionalFormatting sqref="B20">
    <cfRule type="expression" dxfId="1024" priority="26" stopIfTrue="1">
      <formula>AND($M20="Approved",OR($L20=$R$1,$L20=$T$1))</formula>
    </cfRule>
  </conditionalFormatting>
  <conditionalFormatting sqref="C20">
    <cfRule type="expression" dxfId="1023" priority="25" stopIfTrue="1">
      <formula>AND($M20="Approved",OR($L20=$R$1,$L20=$T$1))</formula>
    </cfRule>
  </conditionalFormatting>
  <conditionalFormatting sqref="L20">
    <cfRule type="expression" dxfId="1022" priority="19" stopIfTrue="1">
      <formula>AND($M20="Approved",$L20="Fixed")</formula>
    </cfRule>
    <cfRule type="cellIs" dxfId="1021" priority="20" stopIfTrue="1" operator="equal">
      <formula>"Fixed"</formula>
    </cfRule>
    <cfRule type="cellIs" dxfId="1020" priority="21" stopIfTrue="1" operator="equal">
      <formula>"Open"</formula>
    </cfRule>
  </conditionalFormatting>
  <conditionalFormatting sqref="M20">
    <cfRule type="expression" dxfId="1019" priority="22" stopIfTrue="1">
      <formula>OR(M20="Fixed",M20="Approved")</formula>
    </cfRule>
    <cfRule type="cellIs" dxfId="1018" priority="23" stopIfTrue="1" operator="equal">
      <formula>"Rejected"</formula>
    </cfRule>
  </conditionalFormatting>
  <conditionalFormatting sqref="D20:K20">
    <cfRule type="expression" dxfId="1017" priority="24" stopIfTrue="1">
      <formula>AND($M20="Approved",OR($L20=$R$1,$L20=$T$1))</formula>
    </cfRule>
  </conditionalFormatting>
  <conditionalFormatting sqref="J22">
    <cfRule type="expression" dxfId="1016" priority="18" stopIfTrue="1">
      <formula>AND($M22="Approved",OR($L22=$R$1,$L22=$T$1))</formula>
    </cfRule>
  </conditionalFormatting>
  <conditionalFormatting sqref="J24">
    <cfRule type="expression" dxfId="1015" priority="17" stopIfTrue="1">
      <formula>AND($M24="Approved",OR($L24=$R$1,$L24=$T$1))</formula>
    </cfRule>
  </conditionalFormatting>
  <conditionalFormatting sqref="J26">
    <cfRule type="expression" dxfId="1014" priority="16" stopIfTrue="1">
      <formula>AND($M26="Approved",OR($L26=$R$1,$L26=$T$1))</formula>
    </cfRule>
  </conditionalFormatting>
  <conditionalFormatting sqref="J27">
    <cfRule type="expression" dxfId="1013" priority="15" stopIfTrue="1">
      <formula>AND($M27="Approved",OR($L27=$R$1,$L27=$T$1))</formula>
    </cfRule>
  </conditionalFormatting>
  <conditionalFormatting sqref="J23">
    <cfRule type="expression" dxfId="1012" priority="14" stopIfTrue="1">
      <formula>AND($M23="Approved",OR($L23=$R$1,$L23=$T$1))</formula>
    </cfRule>
  </conditionalFormatting>
  <conditionalFormatting sqref="J25">
    <cfRule type="expression" dxfId="1011" priority="13" stopIfTrue="1">
      <formula>AND($M25="Approved",OR($L25=$R$1,$L25=$T$1))</formula>
    </cfRule>
  </conditionalFormatting>
  <conditionalFormatting sqref="J28">
    <cfRule type="expression" dxfId="1010" priority="12" stopIfTrue="1">
      <formula>AND($M28="Approved",OR($L28=$R$1,$L28=$T$1))</formula>
    </cfRule>
  </conditionalFormatting>
  <conditionalFormatting sqref="J29">
    <cfRule type="expression" dxfId="1009" priority="11" stopIfTrue="1">
      <formula>AND($M29="Approved",OR($L29=$R$1,$L29=$T$1))</formula>
    </cfRule>
  </conditionalFormatting>
  <conditionalFormatting sqref="H29">
    <cfRule type="expression" dxfId="1008" priority="10" stopIfTrue="1">
      <formula>AND($M29="Approved",OR($L29=$R$1,$L29=$T$1))</formula>
    </cfRule>
  </conditionalFormatting>
  <conditionalFormatting sqref="D31">
    <cfRule type="expression" dxfId="1007" priority="9" stopIfTrue="1">
      <formula>AND($M31="Approved",OR($L31=$R$1,$L31=$T$1))</formula>
    </cfRule>
  </conditionalFormatting>
  <conditionalFormatting sqref="B31">
    <cfRule type="expression" dxfId="1006" priority="8" stopIfTrue="1">
      <formula>AND($M31="Approved",OR($L31=$R$1,$L31=$T$1))</formula>
    </cfRule>
  </conditionalFormatting>
  <conditionalFormatting sqref="C31">
    <cfRule type="expression" dxfId="1005" priority="7" stopIfTrue="1">
      <formula>AND($M31="Approved",OR($L31=$R$1,$L31=$T$1))</formula>
    </cfRule>
  </conditionalFormatting>
  <conditionalFormatting sqref="L32">
    <cfRule type="expression" dxfId="5" priority="1" stopIfTrue="1">
      <formula>AND($M32="Approved",$L32="Fixed")</formula>
    </cfRule>
    <cfRule type="cellIs" dxfId="4" priority="2" stopIfTrue="1" operator="equal">
      <formula>"Fixed"</formula>
    </cfRule>
    <cfRule type="cellIs" dxfId="3" priority="3" stopIfTrue="1" operator="equal">
      <formula>"Open"</formula>
    </cfRule>
  </conditionalFormatting>
  <conditionalFormatting sqref="M32">
    <cfRule type="expression" dxfId="2" priority="4" stopIfTrue="1">
      <formula>OR(M32="Fixed",M32="Approved")</formula>
    </cfRule>
    <cfRule type="cellIs" dxfId="1" priority="5" stopIfTrue="1" operator="equal">
      <formula>"Rejected"</formula>
    </cfRule>
  </conditionalFormatting>
  <conditionalFormatting sqref="B32:K32">
    <cfRule type="expression" dxfId="0" priority="6" stopIfTrue="1">
      <formula>AND($M32="Approved",OR($L32=$R$1,$L32=$T$1))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13 I16: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G9" sqref="G9"/>
    </sheetView>
  </sheetViews>
  <sheetFormatPr defaultColWidth="9.28515625" defaultRowHeight="12.75" outlineLevelCol="1"/>
  <cols>
    <col min="1" max="1" width="12.85546875" style="145" bestFit="1" customWidth="1"/>
    <col min="2" max="2" width="61" style="144" customWidth="1"/>
    <col min="3" max="5" width="11.42578125" style="143" customWidth="1"/>
    <col min="6" max="6" width="33.7109375" style="143" customWidth="1"/>
    <col min="7" max="8" width="30.7109375" style="143" customWidth="1" outlineLevel="1"/>
    <col min="9" max="16384" width="9.28515625" style="143"/>
  </cols>
  <sheetData>
    <row r="2" spans="1:9" ht="72" customHeight="1">
      <c r="A2" s="168" t="s">
        <v>261</v>
      </c>
      <c r="B2" s="169" t="s">
        <v>290</v>
      </c>
      <c r="C2" s="170" t="s">
        <v>407</v>
      </c>
      <c r="D2" s="170" t="s">
        <v>467</v>
      </c>
      <c r="E2" s="170" t="s">
        <v>481</v>
      </c>
      <c r="F2" s="171" t="s">
        <v>262</v>
      </c>
      <c r="G2" s="332" t="s">
        <v>165</v>
      </c>
      <c r="H2" s="333"/>
    </row>
    <row r="3" spans="1:9" ht="18.75">
      <c r="A3" s="172"/>
      <c r="B3" s="173"/>
      <c r="C3" s="174">
        <f>COUNTIF(Review.ratings,"Yes") / ( COUNTA(Review.QuestionIds) - COUNTIF(Review.ratings,"NA"))</f>
        <v>1</v>
      </c>
      <c r="D3" s="174">
        <f>COUNTIF(Review.ratings,"Yes") / ( COUNTA(Review.QuestionIds) - COUNTIF(Review.ratings,"NA"))</f>
        <v>1</v>
      </c>
      <c r="E3" s="174">
        <f>COUNTIF(Review.ratings,"Yes") / ( COUNTA(Review.QuestionIds) - COUNTIF(Review.ratings,"NA"))</f>
        <v>1</v>
      </c>
      <c r="F3" s="179"/>
      <c r="G3" s="187" t="s">
        <v>263</v>
      </c>
      <c r="H3" s="187" t="s">
        <v>264</v>
      </c>
      <c r="I3" s="180"/>
    </row>
    <row r="4" spans="1:9" ht="36">
      <c r="A4" s="175"/>
      <c r="B4" s="176" t="s">
        <v>265</v>
      </c>
      <c r="C4" s="177"/>
      <c r="D4" s="177"/>
      <c r="E4" s="177"/>
      <c r="F4" s="177"/>
      <c r="G4" s="177"/>
      <c r="H4" s="178"/>
      <c r="I4" s="23"/>
    </row>
    <row r="5" spans="1:9" ht="18.75">
      <c r="A5" s="146"/>
      <c r="B5" s="155" t="s">
        <v>286</v>
      </c>
      <c r="C5" s="147"/>
      <c r="D5" s="147"/>
      <c r="E5" s="147"/>
      <c r="F5" s="147"/>
      <c r="G5" s="187"/>
      <c r="H5" s="187"/>
    </row>
    <row r="6" spans="1:9" ht="38.25">
      <c r="A6" s="149" t="s">
        <v>287</v>
      </c>
      <c r="B6" s="158" t="s">
        <v>288</v>
      </c>
      <c r="C6" s="181" t="s">
        <v>110</v>
      </c>
      <c r="D6" s="181" t="s">
        <v>110</v>
      </c>
      <c r="E6" s="181" t="s">
        <v>110</v>
      </c>
      <c r="F6" s="182"/>
      <c r="G6" s="148"/>
      <c r="H6" s="148"/>
    </row>
    <row r="7" spans="1:9" ht="18.75">
      <c r="A7" s="146"/>
      <c r="B7" s="155" t="s">
        <v>291</v>
      </c>
      <c r="C7" s="147"/>
      <c r="D7" s="147"/>
      <c r="E7" s="147"/>
      <c r="F7" s="147"/>
      <c r="G7" s="187"/>
      <c r="H7" s="187"/>
    </row>
    <row r="8" spans="1:9" ht="38.25">
      <c r="A8" s="149" t="s">
        <v>292</v>
      </c>
      <c r="B8" s="158" t="s">
        <v>293</v>
      </c>
      <c r="C8" s="181" t="s">
        <v>110</v>
      </c>
      <c r="D8" s="181" t="s">
        <v>110</v>
      </c>
      <c r="E8" s="181" t="s">
        <v>110</v>
      </c>
      <c r="F8" s="182"/>
      <c r="G8" s="148"/>
      <c r="H8" s="148"/>
    </row>
    <row r="9" spans="1:9" ht="25.5">
      <c r="A9" s="149" t="s">
        <v>294</v>
      </c>
      <c r="B9" s="158" t="s">
        <v>295</v>
      </c>
      <c r="C9" s="181" t="s">
        <v>110</v>
      </c>
      <c r="D9" s="181" t="s">
        <v>110</v>
      </c>
      <c r="E9" s="181" t="s">
        <v>110</v>
      </c>
      <c r="F9" s="182"/>
      <c r="G9" s="148"/>
      <c r="H9" s="148"/>
    </row>
    <row r="10" spans="1:9" ht="38.25">
      <c r="A10" s="149" t="s">
        <v>296</v>
      </c>
      <c r="B10" s="158" t="s">
        <v>297</v>
      </c>
      <c r="C10" s="181" t="s">
        <v>110</v>
      </c>
      <c r="D10" s="181" t="s">
        <v>110</v>
      </c>
      <c r="E10" s="181" t="s">
        <v>110</v>
      </c>
      <c r="F10" s="182"/>
      <c r="G10" s="148"/>
      <c r="H10" s="148"/>
    </row>
    <row r="11" spans="1:9" ht="25.5">
      <c r="A11" s="149" t="s">
        <v>298</v>
      </c>
      <c r="B11" s="158" t="s">
        <v>299</v>
      </c>
      <c r="C11" s="181" t="s">
        <v>110</v>
      </c>
      <c r="D11" s="181" t="s">
        <v>110</v>
      </c>
      <c r="E11" s="181" t="s">
        <v>110</v>
      </c>
      <c r="F11" s="182"/>
      <c r="G11" s="148"/>
      <c r="H11" s="148"/>
    </row>
    <row r="12" spans="1:9" ht="51">
      <c r="A12" s="149" t="s">
        <v>300</v>
      </c>
      <c r="B12" s="158" t="s">
        <v>301</v>
      </c>
      <c r="C12" s="181" t="s">
        <v>110</v>
      </c>
      <c r="D12" s="181" t="s">
        <v>110</v>
      </c>
      <c r="E12" s="181" t="s">
        <v>110</v>
      </c>
      <c r="F12" s="182"/>
      <c r="G12" s="148"/>
      <c r="H12" s="148"/>
    </row>
    <row r="13" spans="1:9" ht="25.5">
      <c r="A13" s="149" t="s">
        <v>302</v>
      </c>
      <c r="B13" s="158" t="s">
        <v>303</v>
      </c>
      <c r="C13" s="181" t="s">
        <v>110</v>
      </c>
      <c r="D13" s="181" t="s">
        <v>110</v>
      </c>
      <c r="E13" s="181" t="s">
        <v>110</v>
      </c>
      <c r="F13" s="182"/>
      <c r="G13" s="148"/>
      <c r="H13" s="148"/>
    </row>
    <row r="14" spans="1:9" ht="25.5">
      <c r="A14" s="149" t="s">
        <v>304</v>
      </c>
      <c r="B14" s="158" t="s">
        <v>305</v>
      </c>
      <c r="C14" s="181" t="s">
        <v>110</v>
      </c>
      <c r="D14" s="181" t="s">
        <v>110</v>
      </c>
      <c r="E14" s="181" t="s">
        <v>110</v>
      </c>
      <c r="F14" s="182"/>
      <c r="G14" s="148"/>
      <c r="H14" s="148"/>
    </row>
    <row r="15" spans="1:9" ht="38.25">
      <c r="A15" s="149" t="s">
        <v>306</v>
      </c>
      <c r="B15" s="158" t="s">
        <v>307</v>
      </c>
      <c r="C15" s="181" t="s">
        <v>110</v>
      </c>
      <c r="D15" s="181" t="s">
        <v>110</v>
      </c>
      <c r="E15" s="181" t="s">
        <v>110</v>
      </c>
      <c r="F15" s="182"/>
      <c r="G15" s="148"/>
      <c r="H15" s="148"/>
    </row>
    <row r="16" spans="1:9" ht="25.5">
      <c r="A16" s="149" t="s">
        <v>308</v>
      </c>
      <c r="B16" s="158" t="s">
        <v>289</v>
      </c>
      <c r="C16" s="181" t="s">
        <v>110</v>
      </c>
      <c r="D16" s="181" t="s">
        <v>110</v>
      </c>
      <c r="E16" s="181" t="s">
        <v>110</v>
      </c>
      <c r="F16" s="182"/>
      <c r="G16" s="148"/>
      <c r="H16" s="148"/>
    </row>
    <row r="17" spans="1:8" ht="38.25">
      <c r="A17" s="149" t="s">
        <v>309</v>
      </c>
      <c r="B17" s="158" t="s">
        <v>310</v>
      </c>
      <c r="C17" s="181" t="s">
        <v>110</v>
      </c>
      <c r="D17" s="181" t="s">
        <v>110</v>
      </c>
      <c r="E17" s="181" t="s">
        <v>110</v>
      </c>
      <c r="F17" s="182"/>
      <c r="G17" s="148"/>
      <c r="H17" s="148"/>
    </row>
    <row r="18" spans="1:8" ht="38.25">
      <c r="A18" s="149" t="s">
        <v>311</v>
      </c>
      <c r="B18" s="158" t="s">
        <v>312</v>
      </c>
      <c r="C18" s="181" t="s">
        <v>110</v>
      </c>
      <c r="D18" s="181" t="s">
        <v>110</v>
      </c>
      <c r="E18" s="181" t="s">
        <v>110</v>
      </c>
      <c r="F18" s="182"/>
      <c r="G18" s="148"/>
      <c r="H18" s="148"/>
    </row>
    <row r="19" spans="1:8" ht="25.5">
      <c r="A19" s="149" t="s">
        <v>313</v>
      </c>
      <c r="B19" s="158" t="s">
        <v>314</v>
      </c>
      <c r="C19" s="181" t="s">
        <v>110</v>
      </c>
      <c r="D19" s="181" t="s">
        <v>110</v>
      </c>
      <c r="E19" s="181" t="s">
        <v>110</v>
      </c>
      <c r="F19" s="182"/>
      <c r="G19" s="148"/>
      <c r="H19" s="148"/>
    </row>
    <row r="20" spans="1:8" ht="25.5">
      <c r="A20" s="149" t="s">
        <v>315</v>
      </c>
      <c r="B20" s="158" t="s">
        <v>316</v>
      </c>
      <c r="C20" s="181" t="s">
        <v>110</v>
      </c>
      <c r="D20" s="181" t="s">
        <v>110</v>
      </c>
      <c r="E20" s="181" t="s">
        <v>110</v>
      </c>
      <c r="F20" s="182"/>
      <c r="G20" s="148"/>
      <c r="H20" s="148"/>
    </row>
    <row r="21" spans="1:8" ht="38.25">
      <c r="A21" s="149" t="s">
        <v>317</v>
      </c>
      <c r="B21" s="158" t="s">
        <v>318</v>
      </c>
      <c r="C21" s="181" t="s">
        <v>110</v>
      </c>
      <c r="D21" s="181" t="s">
        <v>110</v>
      </c>
      <c r="E21" s="181" t="s">
        <v>110</v>
      </c>
      <c r="F21" s="182"/>
      <c r="G21" s="148"/>
      <c r="H21" s="148"/>
    </row>
    <row r="22" spans="1:8" ht="38.25">
      <c r="A22" s="149" t="s">
        <v>319</v>
      </c>
      <c r="B22" s="158" t="s">
        <v>320</v>
      </c>
      <c r="C22" s="181" t="s">
        <v>110</v>
      </c>
      <c r="D22" s="181" t="s">
        <v>110</v>
      </c>
      <c r="E22" s="181" t="s">
        <v>110</v>
      </c>
      <c r="F22" s="182"/>
      <c r="G22" s="148"/>
      <c r="H22" s="148"/>
    </row>
    <row r="23" spans="1:8" ht="18.75">
      <c r="A23" s="146"/>
      <c r="B23" s="155" t="s">
        <v>266</v>
      </c>
      <c r="C23" s="147"/>
      <c r="D23" s="147"/>
      <c r="E23" s="147"/>
      <c r="F23" s="147"/>
      <c r="G23" s="187"/>
      <c r="H23" s="187"/>
    </row>
    <row r="24" spans="1:8" ht="38.25">
      <c r="A24" s="149" t="s">
        <v>267</v>
      </c>
      <c r="B24" s="158" t="s">
        <v>268</v>
      </c>
      <c r="C24" s="181" t="s">
        <v>112</v>
      </c>
      <c r="D24" s="181" t="s">
        <v>110</v>
      </c>
      <c r="E24" s="181" t="s">
        <v>110</v>
      </c>
      <c r="F24" s="190" t="s">
        <v>395</v>
      </c>
      <c r="G24" s="148"/>
      <c r="H24" s="148"/>
    </row>
    <row r="25" spans="1:8" ht="25.5">
      <c r="A25" s="149" t="s">
        <v>269</v>
      </c>
      <c r="B25" s="158" t="s">
        <v>270</v>
      </c>
      <c r="C25" s="181" t="s">
        <v>110</v>
      </c>
      <c r="D25" s="181" t="s">
        <v>110</v>
      </c>
      <c r="E25" s="181" t="s">
        <v>110</v>
      </c>
      <c r="F25" s="182"/>
      <c r="G25" s="148"/>
      <c r="H25" s="148"/>
    </row>
    <row r="26" spans="1:8" ht="38.25">
      <c r="A26" s="149" t="s">
        <v>271</v>
      </c>
      <c r="B26" s="158" t="s">
        <v>272</v>
      </c>
      <c r="C26" s="181" t="s">
        <v>112</v>
      </c>
      <c r="D26" s="181" t="s">
        <v>110</v>
      </c>
      <c r="E26" s="181" t="s">
        <v>110</v>
      </c>
      <c r="F26" s="190" t="s">
        <v>395</v>
      </c>
      <c r="G26" s="148"/>
      <c r="H26" s="148"/>
    </row>
    <row r="27" spans="1:8" ht="38.25">
      <c r="A27" s="149" t="s">
        <v>273</v>
      </c>
      <c r="B27" s="158" t="s">
        <v>274</v>
      </c>
      <c r="C27" s="181" t="s">
        <v>110</v>
      </c>
      <c r="D27" s="181" t="s">
        <v>110</v>
      </c>
      <c r="E27" s="181" t="s">
        <v>110</v>
      </c>
      <c r="F27" s="182"/>
      <c r="G27" s="148"/>
      <c r="H27" s="148"/>
    </row>
    <row r="28" spans="1:8" ht="18.75">
      <c r="A28" s="146"/>
      <c r="B28" s="155" t="s">
        <v>275</v>
      </c>
      <c r="C28" s="147"/>
      <c r="D28" s="147"/>
      <c r="E28" s="147"/>
      <c r="F28" s="147"/>
      <c r="G28" s="187"/>
      <c r="H28" s="187"/>
    </row>
    <row r="29" spans="1:8" ht="38.25">
      <c r="A29" s="149" t="s">
        <v>276</v>
      </c>
      <c r="B29" s="158" t="s">
        <v>277</v>
      </c>
      <c r="C29" s="181" t="s">
        <v>110</v>
      </c>
      <c r="D29" s="181" t="s">
        <v>110</v>
      </c>
      <c r="E29" s="181" t="s">
        <v>110</v>
      </c>
      <c r="F29" s="182"/>
      <c r="G29" s="148"/>
      <c r="H29" s="148"/>
    </row>
    <row r="30" spans="1:8" ht="38.25">
      <c r="A30" s="149" t="s">
        <v>278</v>
      </c>
      <c r="B30" s="158" t="s">
        <v>279</v>
      </c>
      <c r="C30" s="181" t="s">
        <v>110</v>
      </c>
      <c r="D30" s="181" t="s">
        <v>110</v>
      </c>
      <c r="E30" s="181" t="s">
        <v>110</v>
      </c>
      <c r="F30" s="182"/>
      <c r="G30" s="148"/>
      <c r="H30" s="148"/>
    </row>
    <row r="31" spans="1:8" ht="18.75">
      <c r="A31" s="146"/>
      <c r="B31" s="155" t="s">
        <v>280</v>
      </c>
      <c r="C31" s="147"/>
      <c r="D31" s="147"/>
      <c r="E31" s="147"/>
      <c r="F31" s="147"/>
      <c r="G31" s="187"/>
      <c r="H31" s="187"/>
    </row>
    <row r="32" spans="1:8" ht="51">
      <c r="A32" s="149" t="s">
        <v>281</v>
      </c>
      <c r="B32" s="158" t="s">
        <v>282</v>
      </c>
      <c r="C32" s="181" t="s">
        <v>110</v>
      </c>
      <c r="D32" s="181" t="s">
        <v>110</v>
      </c>
      <c r="E32" s="181" t="s">
        <v>110</v>
      </c>
      <c r="F32" s="182"/>
      <c r="G32" s="148"/>
      <c r="H32" s="148"/>
    </row>
    <row r="33" spans="1:8" ht="18">
      <c r="A33" s="183"/>
      <c r="B33" s="184" t="s">
        <v>283</v>
      </c>
      <c r="C33" s="183"/>
      <c r="D33" s="183"/>
      <c r="E33" s="183"/>
      <c r="F33" s="183"/>
      <c r="G33" s="183"/>
      <c r="H33" s="183"/>
    </row>
    <row r="34" spans="1:8">
      <c r="A34" s="149"/>
      <c r="B34" s="158"/>
    </row>
    <row r="35" spans="1:8" ht="15">
      <c r="A35" s="185"/>
      <c r="B35" s="186" t="s">
        <v>284</v>
      </c>
      <c r="C35" s="185"/>
      <c r="D35" s="185"/>
      <c r="E35" s="185"/>
      <c r="F35" s="185"/>
      <c r="G35" s="185"/>
      <c r="H35" s="185"/>
    </row>
  </sheetData>
  <mergeCells count="1">
    <mergeCell ref="G2:H2"/>
  </mergeCells>
  <conditionalFormatting sqref="C6:E6">
    <cfRule type="cellIs" dxfId="1004" priority="1092" operator="equal">
      <formula>"No"</formula>
    </cfRule>
    <cfRule type="cellIs" dxfId="1003" priority="1093" operator="equal">
      <formula>"NA"</formula>
    </cfRule>
    <cfRule type="cellIs" dxfId="1002" priority="1094" operator="equal">
      <formula>"Yes"</formula>
    </cfRule>
  </conditionalFormatting>
  <conditionalFormatting sqref="E8:E22">
    <cfRule type="cellIs" dxfId="1001" priority="34" operator="equal">
      <formula>"No"</formula>
    </cfRule>
    <cfRule type="cellIs" dxfId="1000" priority="35" operator="equal">
      <formula>"NA"</formula>
    </cfRule>
    <cfRule type="cellIs" dxfId="999" priority="36" operator="equal">
      <formula>"Yes"</formula>
    </cfRule>
  </conditionalFormatting>
  <conditionalFormatting sqref="C24">
    <cfRule type="cellIs" dxfId="998" priority="31" operator="equal">
      <formula>"No"</formula>
    </cfRule>
    <cfRule type="cellIs" dxfId="997" priority="32" operator="equal">
      <formula>"NA"</formula>
    </cfRule>
    <cfRule type="cellIs" dxfId="996" priority="33" operator="equal">
      <formula>"Yes"</formula>
    </cfRule>
  </conditionalFormatting>
  <conditionalFormatting sqref="C25:E25">
    <cfRule type="cellIs" dxfId="995" priority="28" operator="equal">
      <formula>"No"</formula>
    </cfRule>
    <cfRule type="cellIs" dxfId="994" priority="29" operator="equal">
      <formula>"NA"</formula>
    </cfRule>
    <cfRule type="cellIs" dxfId="993" priority="30" operator="equal">
      <formula>"Yes"</formula>
    </cfRule>
  </conditionalFormatting>
  <conditionalFormatting sqref="C26">
    <cfRule type="cellIs" dxfId="992" priority="25" operator="equal">
      <formula>"No"</formula>
    </cfRule>
    <cfRule type="cellIs" dxfId="991" priority="26" operator="equal">
      <formula>"NA"</formula>
    </cfRule>
    <cfRule type="cellIs" dxfId="990" priority="27" operator="equal">
      <formula>"Yes"</formula>
    </cfRule>
  </conditionalFormatting>
  <conditionalFormatting sqref="C27:E27">
    <cfRule type="cellIs" dxfId="989" priority="22" operator="equal">
      <formula>"No"</formula>
    </cfRule>
    <cfRule type="cellIs" dxfId="988" priority="23" operator="equal">
      <formula>"NA"</formula>
    </cfRule>
    <cfRule type="cellIs" dxfId="987" priority="24" operator="equal">
      <formula>"Yes"</formula>
    </cfRule>
  </conditionalFormatting>
  <conditionalFormatting sqref="C29:E29">
    <cfRule type="cellIs" dxfId="986" priority="19" operator="equal">
      <formula>"No"</formula>
    </cfRule>
    <cfRule type="cellIs" dxfId="985" priority="20" operator="equal">
      <formula>"NA"</formula>
    </cfRule>
    <cfRule type="cellIs" dxfId="984" priority="21" operator="equal">
      <formula>"Yes"</formula>
    </cfRule>
  </conditionalFormatting>
  <conditionalFormatting sqref="C30:E30">
    <cfRule type="cellIs" dxfId="983" priority="16" operator="equal">
      <formula>"No"</formula>
    </cfRule>
    <cfRule type="cellIs" dxfId="982" priority="17" operator="equal">
      <formula>"NA"</formula>
    </cfRule>
    <cfRule type="cellIs" dxfId="981" priority="18" operator="equal">
      <formula>"Yes"</formula>
    </cfRule>
  </conditionalFormatting>
  <conditionalFormatting sqref="C32:E32">
    <cfRule type="cellIs" dxfId="980" priority="13" operator="equal">
      <formula>"No"</formula>
    </cfRule>
    <cfRule type="cellIs" dxfId="979" priority="14" operator="equal">
      <formula>"NA"</formula>
    </cfRule>
    <cfRule type="cellIs" dxfId="978" priority="15" operator="equal">
      <formula>"Yes"</formula>
    </cfRule>
  </conditionalFormatting>
  <conditionalFormatting sqref="C8:C22">
    <cfRule type="cellIs" dxfId="977" priority="10" operator="equal">
      <formula>"No"</formula>
    </cfRule>
    <cfRule type="cellIs" dxfId="976" priority="11" operator="equal">
      <formula>"NA"</formula>
    </cfRule>
    <cfRule type="cellIs" dxfId="975" priority="12" operator="equal">
      <formula>"Yes"</formula>
    </cfRule>
  </conditionalFormatting>
  <conditionalFormatting sqref="D26:E26">
    <cfRule type="cellIs" dxfId="974" priority="7" operator="equal">
      <formula>"No"</formula>
    </cfRule>
    <cfRule type="cellIs" dxfId="973" priority="8" operator="equal">
      <formula>"NA"</formula>
    </cfRule>
    <cfRule type="cellIs" dxfId="972" priority="9" operator="equal">
      <formula>"Yes"</formula>
    </cfRule>
  </conditionalFormatting>
  <conditionalFormatting sqref="D24:E24">
    <cfRule type="cellIs" dxfId="971" priority="4" operator="equal">
      <formula>"No"</formula>
    </cfRule>
    <cfRule type="cellIs" dxfId="970" priority="5" operator="equal">
      <formula>"NA"</formula>
    </cfRule>
    <cfRule type="cellIs" dxfId="969" priority="6" operator="equal">
      <formula>"Yes"</formula>
    </cfRule>
  </conditionalFormatting>
  <conditionalFormatting sqref="D8:D22">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4:E27 C32:E32 C8:E22 C29:E30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S36"/>
  <sheetViews>
    <sheetView zoomScale="115" zoomScaleNormal="115" workbookViewId="0">
      <pane xSplit="1" ySplit="3" topLeftCell="B4" activePane="bottomRight" state="frozen"/>
      <selection pane="topRight" activeCell="B1" sqref="B1"/>
      <selection pane="bottomLeft" activeCell="A4" sqref="A4"/>
      <selection pane="bottomRight" activeCell="I2" sqref="I2"/>
    </sheetView>
  </sheetViews>
  <sheetFormatPr defaultColWidth="9.28515625" defaultRowHeight="12.75" outlineLevelCol="1"/>
  <cols>
    <col min="1" max="1" width="13" style="145" bestFit="1" customWidth="1"/>
    <col min="2" max="2" width="61" style="144" customWidth="1"/>
    <col min="3" max="3" width="7.85546875" style="143" customWidth="1"/>
    <col min="4" max="8" width="7.85546875" style="143" bestFit="1" customWidth="1"/>
    <col min="9" max="9" width="7.85546875" style="143" customWidth="1"/>
    <col min="10" max="15" width="7.85546875" style="143" bestFit="1" customWidth="1"/>
    <col min="16" max="16" width="33.7109375" style="143" customWidth="1"/>
    <col min="17" max="18" width="30.7109375" style="143" customWidth="1" outlineLevel="1"/>
    <col min="19" max="16384" width="9.28515625" style="143"/>
  </cols>
  <sheetData>
    <row r="2" spans="1:19" ht="69.75" customHeight="1">
      <c r="A2" s="168" t="s">
        <v>261</v>
      </c>
      <c r="B2" s="169" t="s">
        <v>321</v>
      </c>
      <c r="C2" s="170" t="s">
        <v>403</v>
      </c>
      <c r="D2" s="170" t="s">
        <v>404</v>
      </c>
      <c r="E2" s="170" t="s">
        <v>405</v>
      </c>
      <c r="F2" s="170" t="s">
        <v>406</v>
      </c>
      <c r="G2" s="170" t="s">
        <v>431</v>
      </c>
      <c r="H2" s="170" t="s">
        <v>432</v>
      </c>
      <c r="I2" s="170" t="s">
        <v>441</v>
      </c>
      <c r="J2" s="170" t="s">
        <v>444</v>
      </c>
      <c r="K2" s="170" t="s">
        <v>453</v>
      </c>
      <c r="L2" s="170" t="s">
        <v>460</v>
      </c>
      <c r="M2" s="170" t="s">
        <v>461</v>
      </c>
      <c r="N2" s="170" t="s">
        <v>464</v>
      </c>
      <c r="O2" s="170" t="s">
        <v>465</v>
      </c>
      <c r="P2" s="171" t="s">
        <v>262</v>
      </c>
      <c r="Q2" s="332" t="s">
        <v>165</v>
      </c>
      <c r="R2" s="333"/>
    </row>
    <row r="3" spans="1:19" ht="18.75">
      <c r="A3" s="172"/>
      <c r="B3" s="173"/>
      <c r="C3" s="174">
        <f t="shared" ref="C3:F3" si="0">COUNTIF(C5:C33,"Yes") / ( COUNTA(Review.QuestionIds) - COUNTIF(C5:C33,"NA"))</f>
        <v>1</v>
      </c>
      <c r="D3" s="174">
        <f t="shared" si="0"/>
        <v>1</v>
      </c>
      <c r="E3" s="174">
        <f t="shared" si="0"/>
        <v>0.90909090909090906</v>
      </c>
      <c r="F3" s="174">
        <f t="shared" si="0"/>
        <v>0.90909090909090906</v>
      </c>
      <c r="G3" s="174">
        <f t="shared" ref="G3:I3" si="1">COUNTIF(G5:G33,"Yes") / ( COUNTA(Review.QuestionIds) - COUNTIF(G5:G33,"NA"))</f>
        <v>1</v>
      </c>
      <c r="H3" s="174">
        <f t="shared" si="1"/>
        <v>1</v>
      </c>
      <c r="I3" s="174">
        <f t="shared" si="1"/>
        <v>1</v>
      </c>
      <c r="J3" s="174">
        <f t="shared" ref="J3:L3" si="2">COUNTIF(J5:J33,"Yes") / ( COUNTA(Review.QuestionIds) - COUNTIF(J5:J33,"NA"))</f>
        <v>0.95454545454545459</v>
      </c>
      <c r="K3" s="174">
        <f t="shared" si="2"/>
        <v>1</v>
      </c>
      <c r="L3" s="174">
        <f t="shared" si="2"/>
        <v>0.90909090909090906</v>
      </c>
      <c r="M3" s="174">
        <f t="shared" ref="M3:O3" si="3">COUNTIF(M5:M33,"Yes") / ( COUNTA(Review.QuestionIds) - COUNTIF(M5:M33,"NA"))</f>
        <v>1</v>
      </c>
      <c r="N3" s="174">
        <f t="shared" si="3"/>
        <v>1</v>
      </c>
      <c r="O3" s="174">
        <f t="shared" si="3"/>
        <v>1</v>
      </c>
      <c r="P3" s="179"/>
      <c r="Q3" s="187" t="s">
        <v>263</v>
      </c>
      <c r="R3" s="187" t="s">
        <v>264</v>
      </c>
      <c r="S3" s="180"/>
    </row>
    <row r="4" spans="1:19" ht="36">
      <c r="A4" s="175"/>
      <c r="B4" s="176" t="s">
        <v>265</v>
      </c>
      <c r="C4" s="177"/>
      <c r="D4" s="177"/>
      <c r="E4" s="177"/>
      <c r="F4" s="177"/>
      <c r="G4" s="177"/>
      <c r="H4" s="177"/>
      <c r="I4" s="177"/>
      <c r="J4" s="177"/>
      <c r="K4" s="177"/>
      <c r="L4" s="177"/>
      <c r="M4" s="177"/>
      <c r="N4" s="177"/>
      <c r="O4" s="177"/>
      <c r="P4" s="177"/>
      <c r="Q4" s="177"/>
      <c r="R4" s="178"/>
      <c r="S4" s="23"/>
    </row>
    <row r="5" spans="1:19" ht="18.75">
      <c r="A5" s="146"/>
      <c r="B5" s="155" t="s">
        <v>285</v>
      </c>
      <c r="C5" s="147"/>
      <c r="D5" s="147"/>
      <c r="E5" s="147"/>
      <c r="F5" s="147"/>
      <c r="G5" s="147"/>
      <c r="H5" s="147"/>
      <c r="I5" s="147"/>
      <c r="J5" s="147"/>
      <c r="K5" s="147"/>
      <c r="L5" s="147"/>
      <c r="M5" s="147"/>
      <c r="N5" s="147"/>
      <c r="O5" s="147"/>
      <c r="P5" s="147"/>
      <c r="Q5" s="187"/>
      <c r="R5" s="187"/>
    </row>
    <row r="6" spans="1:19" ht="38.25">
      <c r="A6" s="149" t="s">
        <v>322</v>
      </c>
      <c r="B6" s="158" t="s">
        <v>323</v>
      </c>
      <c r="C6" s="181" t="s">
        <v>110</v>
      </c>
      <c r="D6" s="181" t="s">
        <v>110</v>
      </c>
      <c r="E6" s="181" t="s">
        <v>110</v>
      </c>
      <c r="F6" s="181" t="s">
        <v>110</v>
      </c>
      <c r="G6" s="181" t="s">
        <v>110</v>
      </c>
      <c r="H6" s="181" t="s">
        <v>110</v>
      </c>
      <c r="I6" s="181" t="s">
        <v>110</v>
      </c>
      <c r="J6" s="181" t="s">
        <v>110</v>
      </c>
      <c r="K6" s="181" t="s">
        <v>110</v>
      </c>
      <c r="L6" s="181" t="s">
        <v>110</v>
      </c>
      <c r="M6" s="181" t="s">
        <v>110</v>
      </c>
      <c r="N6" s="181" t="s">
        <v>110</v>
      </c>
      <c r="O6" s="181" t="s">
        <v>110</v>
      </c>
      <c r="P6" s="190"/>
      <c r="Q6" s="148"/>
      <c r="R6" s="148"/>
    </row>
    <row r="7" spans="1:19" ht="38.25">
      <c r="A7" s="149" t="s">
        <v>324</v>
      </c>
      <c r="B7" s="158" t="s">
        <v>325</v>
      </c>
      <c r="C7" s="181" t="s">
        <v>110</v>
      </c>
      <c r="D7" s="181" t="s">
        <v>110</v>
      </c>
      <c r="E7" s="181" t="s">
        <v>110</v>
      </c>
      <c r="F7" s="181" t="s">
        <v>110</v>
      </c>
      <c r="G7" s="181" t="s">
        <v>110</v>
      </c>
      <c r="H7" s="181" t="s">
        <v>110</v>
      </c>
      <c r="I7" s="181" t="s">
        <v>110</v>
      </c>
      <c r="J7" s="181" t="s">
        <v>110</v>
      </c>
      <c r="K7" s="181" t="s">
        <v>110</v>
      </c>
      <c r="L7" s="181" t="s">
        <v>110</v>
      </c>
      <c r="M7" s="181" t="s">
        <v>110</v>
      </c>
      <c r="N7" s="181" t="s">
        <v>110</v>
      </c>
      <c r="O7" s="181" t="s">
        <v>110</v>
      </c>
      <c r="P7" s="182"/>
      <c r="Q7" s="148"/>
      <c r="R7" s="148"/>
    </row>
    <row r="8" spans="1:19" ht="18.75">
      <c r="A8" s="146"/>
      <c r="B8" s="155" t="s">
        <v>291</v>
      </c>
      <c r="C8" s="147"/>
      <c r="D8" s="147"/>
      <c r="E8" s="147"/>
      <c r="F8" s="147"/>
      <c r="G8" s="147"/>
      <c r="H8" s="147"/>
      <c r="I8" s="147"/>
      <c r="J8" s="147"/>
      <c r="K8" s="147"/>
      <c r="L8" s="147"/>
      <c r="M8" s="147"/>
      <c r="N8" s="147"/>
      <c r="O8" s="147"/>
      <c r="P8" s="147"/>
      <c r="Q8" s="187"/>
      <c r="R8" s="187"/>
    </row>
    <row r="9" spans="1:19" ht="25.5">
      <c r="A9" s="149" t="s">
        <v>326</v>
      </c>
      <c r="B9" s="158" t="s">
        <v>327</v>
      </c>
      <c r="C9" s="181" t="s">
        <v>110</v>
      </c>
      <c r="D9" s="181" t="s">
        <v>110</v>
      </c>
      <c r="E9" s="181" t="s">
        <v>112</v>
      </c>
      <c r="F9" s="181" t="s">
        <v>112</v>
      </c>
      <c r="G9" s="181" t="s">
        <v>110</v>
      </c>
      <c r="H9" s="181" t="s">
        <v>110</v>
      </c>
      <c r="I9" s="181" t="s">
        <v>110</v>
      </c>
      <c r="J9" s="181" t="s">
        <v>110</v>
      </c>
      <c r="K9" s="181" t="s">
        <v>110</v>
      </c>
      <c r="L9" s="181" t="s">
        <v>112</v>
      </c>
      <c r="M9" s="181" t="s">
        <v>110</v>
      </c>
      <c r="N9" s="181" t="s">
        <v>110</v>
      </c>
      <c r="O9" s="181" t="s">
        <v>110</v>
      </c>
      <c r="P9" s="190" t="s">
        <v>435</v>
      </c>
      <c r="Q9" s="148"/>
      <c r="R9" s="148"/>
    </row>
    <row r="10" spans="1:19" ht="25.5">
      <c r="A10" s="149" t="s">
        <v>328</v>
      </c>
      <c r="B10" s="158" t="s">
        <v>329</v>
      </c>
      <c r="C10" s="181" t="s">
        <v>110</v>
      </c>
      <c r="D10" s="181" t="s">
        <v>110</v>
      </c>
      <c r="E10" s="181" t="s">
        <v>110</v>
      </c>
      <c r="F10" s="181" t="s">
        <v>110</v>
      </c>
      <c r="G10" s="181" t="s">
        <v>110</v>
      </c>
      <c r="H10" s="181" t="s">
        <v>110</v>
      </c>
      <c r="I10" s="181" t="s">
        <v>110</v>
      </c>
      <c r="J10" s="181" t="s">
        <v>112</v>
      </c>
      <c r="K10" s="181" t="s">
        <v>110</v>
      </c>
      <c r="L10" s="181" t="s">
        <v>112</v>
      </c>
      <c r="M10" s="181" t="s">
        <v>110</v>
      </c>
      <c r="N10" s="181" t="s">
        <v>110</v>
      </c>
      <c r="O10" s="181" t="s">
        <v>110</v>
      </c>
      <c r="P10" s="182"/>
      <c r="Q10" s="148"/>
      <c r="R10" s="148"/>
    </row>
    <row r="11" spans="1:19" ht="38.25">
      <c r="A11" s="149" t="s">
        <v>330</v>
      </c>
      <c r="B11" s="158" t="s">
        <v>331</v>
      </c>
      <c r="C11" s="181" t="s">
        <v>110</v>
      </c>
      <c r="D11" s="181" t="s">
        <v>110</v>
      </c>
      <c r="E11" s="181" t="s">
        <v>110</v>
      </c>
      <c r="F11" s="181" t="s">
        <v>110</v>
      </c>
      <c r="G11" s="181" t="s">
        <v>110</v>
      </c>
      <c r="H11" s="181" t="s">
        <v>110</v>
      </c>
      <c r="I11" s="181" t="s">
        <v>110</v>
      </c>
      <c r="J11" s="181" t="s">
        <v>110</v>
      </c>
      <c r="K11" s="181" t="s">
        <v>110</v>
      </c>
      <c r="L11" s="181" t="s">
        <v>110</v>
      </c>
      <c r="M11" s="181" t="s">
        <v>110</v>
      </c>
      <c r="N11" s="181" t="s">
        <v>110</v>
      </c>
      <c r="O11" s="181" t="s">
        <v>110</v>
      </c>
      <c r="P11" s="182"/>
      <c r="Q11" s="148"/>
      <c r="R11" s="148"/>
    </row>
    <row r="12" spans="1:19" ht="63.75">
      <c r="A12" s="149" t="s">
        <v>332</v>
      </c>
      <c r="B12" s="158" t="s">
        <v>333</v>
      </c>
      <c r="C12" s="181" t="s">
        <v>110</v>
      </c>
      <c r="D12" s="181" t="s">
        <v>110</v>
      </c>
      <c r="E12" s="181" t="s">
        <v>110</v>
      </c>
      <c r="F12" s="181" t="s">
        <v>110</v>
      </c>
      <c r="G12" s="181" t="s">
        <v>110</v>
      </c>
      <c r="H12" s="181" t="s">
        <v>110</v>
      </c>
      <c r="I12" s="181" t="s">
        <v>110</v>
      </c>
      <c r="J12" s="181" t="s">
        <v>110</v>
      </c>
      <c r="K12" s="181" t="s">
        <v>110</v>
      </c>
      <c r="L12" s="181" t="s">
        <v>110</v>
      </c>
      <c r="M12" s="181" t="s">
        <v>110</v>
      </c>
      <c r="N12" s="181" t="s">
        <v>110</v>
      </c>
      <c r="O12" s="181" t="s">
        <v>110</v>
      </c>
      <c r="P12" s="182"/>
      <c r="Q12" s="148"/>
      <c r="R12" s="148"/>
    </row>
    <row r="13" spans="1:19" ht="63.75">
      <c r="A13" s="149" t="s">
        <v>334</v>
      </c>
      <c r="B13" s="158" t="s">
        <v>335</v>
      </c>
      <c r="C13" s="181" t="s">
        <v>110</v>
      </c>
      <c r="D13" s="181" t="s">
        <v>110</v>
      </c>
      <c r="E13" s="181" t="s">
        <v>110</v>
      </c>
      <c r="F13" s="181" t="s">
        <v>110</v>
      </c>
      <c r="G13" s="181" t="s">
        <v>110</v>
      </c>
      <c r="H13" s="181" t="s">
        <v>110</v>
      </c>
      <c r="I13" s="181" t="s">
        <v>110</v>
      </c>
      <c r="J13" s="181" t="s">
        <v>110</v>
      </c>
      <c r="K13" s="181" t="s">
        <v>110</v>
      </c>
      <c r="L13" s="181" t="s">
        <v>110</v>
      </c>
      <c r="M13" s="181" t="s">
        <v>110</v>
      </c>
      <c r="N13" s="181" t="s">
        <v>110</v>
      </c>
      <c r="O13" s="181" t="s">
        <v>110</v>
      </c>
      <c r="P13" s="182"/>
      <c r="Q13" s="148"/>
      <c r="R13" s="148"/>
    </row>
    <row r="14" spans="1:19" ht="25.5">
      <c r="A14" s="149" t="s">
        <v>336</v>
      </c>
      <c r="B14" s="158" t="s">
        <v>337</v>
      </c>
      <c r="C14" s="181" t="s">
        <v>110</v>
      </c>
      <c r="D14" s="181" t="s">
        <v>110</v>
      </c>
      <c r="E14" s="181" t="s">
        <v>110</v>
      </c>
      <c r="F14" s="181" t="s">
        <v>110</v>
      </c>
      <c r="G14" s="181" t="s">
        <v>110</v>
      </c>
      <c r="H14" s="181" t="s">
        <v>110</v>
      </c>
      <c r="I14" s="181" t="s">
        <v>110</v>
      </c>
      <c r="J14" s="181" t="s">
        <v>110</v>
      </c>
      <c r="K14" s="181" t="s">
        <v>110</v>
      </c>
      <c r="L14" s="181" t="s">
        <v>110</v>
      </c>
      <c r="M14" s="181" t="s">
        <v>110</v>
      </c>
      <c r="N14" s="181" t="s">
        <v>110</v>
      </c>
      <c r="O14" s="181" t="s">
        <v>110</v>
      </c>
      <c r="P14" s="182"/>
      <c r="Q14" s="148"/>
      <c r="R14" s="148"/>
    </row>
    <row r="15" spans="1:19" ht="25.5">
      <c r="A15" s="149" t="s">
        <v>338</v>
      </c>
      <c r="B15" s="158" t="s">
        <v>339</v>
      </c>
      <c r="C15" s="181" t="s">
        <v>110</v>
      </c>
      <c r="D15" s="181" t="s">
        <v>110</v>
      </c>
      <c r="E15" s="181" t="s">
        <v>110</v>
      </c>
      <c r="F15" s="181" t="s">
        <v>110</v>
      </c>
      <c r="G15" s="181" t="s">
        <v>110</v>
      </c>
      <c r="H15" s="181" t="s">
        <v>110</v>
      </c>
      <c r="I15" s="181" t="s">
        <v>110</v>
      </c>
      <c r="J15" s="181" t="s">
        <v>110</v>
      </c>
      <c r="K15" s="181" t="s">
        <v>110</v>
      </c>
      <c r="L15" s="181" t="s">
        <v>110</v>
      </c>
      <c r="M15" s="181" t="s">
        <v>110</v>
      </c>
      <c r="N15" s="181" t="s">
        <v>110</v>
      </c>
      <c r="O15" s="181" t="s">
        <v>110</v>
      </c>
      <c r="P15" s="190"/>
      <c r="Q15" s="148"/>
      <c r="R15" s="148"/>
    </row>
    <row r="16" spans="1:19" ht="25.5">
      <c r="A16" s="149" t="s">
        <v>340</v>
      </c>
      <c r="B16" s="158" t="s">
        <v>341</v>
      </c>
      <c r="C16" s="181" t="s">
        <v>110</v>
      </c>
      <c r="D16" s="181" t="s">
        <v>110</v>
      </c>
      <c r="E16" s="181" t="s">
        <v>110</v>
      </c>
      <c r="F16" s="181" t="s">
        <v>110</v>
      </c>
      <c r="G16" s="181" t="s">
        <v>110</v>
      </c>
      <c r="H16" s="181" t="s">
        <v>110</v>
      </c>
      <c r="I16" s="181" t="s">
        <v>110</v>
      </c>
      <c r="J16" s="181" t="s">
        <v>110</v>
      </c>
      <c r="K16" s="181" t="s">
        <v>110</v>
      </c>
      <c r="L16" s="181" t="s">
        <v>110</v>
      </c>
      <c r="M16" s="181" t="s">
        <v>110</v>
      </c>
      <c r="N16" s="181" t="s">
        <v>110</v>
      </c>
      <c r="O16" s="181" t="s">
        <v>110</v>
      </c>
      <c r="P16" s="182"/>
      <c r="Q16" s="148"/>
      <c r="R16" s="148"/>
    </row>
    <row r="17" spans="1:18" ht="51">
      <c r="A17" s="149" t="s">
        <v>342</v>
      </c>
      <c r="B17" s="158" t="s">
        <v>343</v>
      </c>
      <c r="C17" s="181" t="s">
        <v>110</v>
      </c>
      <c r="D17" s="181" t="s">
        <v>110</v>
      </c>
      <c r="E17" s="181" t="s">
        <v>110</v>
      </c>
      <c r="F17" s="181" t="s">
        <v>110</v>
      </c>
      <c r="G17" s="181" t="s">
        <v>110</v>
      </c>
      <c r="H17" s="181" t="s">
        <v>110</v>
      </c>
      <c r="I17" s="181" t="s">
        <v>110</v>
      </c>
      <c r="J17" s="181" t="s">
        <v>110</v>
      </c>
      <c r="K17" s="181" t="s">
        <v>110</v>
      </c>
      <c r="L17" s="181" t="s">
        <v>110</v>
      </c>
      <c r="M17" s="181" t="s">
        <v>110</v>
      </c>
      <c r="N17" s="181" t="s">
        <v>110</v>
      </c>
      <c r="O17" s="181" t="s">
        <v>110</v>
      </c>
      <c r="P17" s="182"/>
      <c r="Q17" s="148"/>
      <c r="R17" s="148"/>
    </row>
    <row r="18" spans="1:18" ht="38.25">
      <c r="A18" s="149" t="s">
        <v>344</v>
      </c>
      <c r="B18" s="158" t="s">
        <v>345</v>
      </c>
      <c r="C18" s="181" t="s">
        <v>110</v>
      </c>
      <c r="D18" s="181" t="s">
        <v>110</v>
      </c>
      <c r="E18" s="181" t="s">
        <v>110</v>
      </c>
      <c r="F18" s="181" t="s">
        <v>110</v>
      </c>
      <c r="G18" s="181" t="s">
        <v>110</v>
      </c>
      <c r="H18" s="181" t="s">
        <v>110</v>
      </c>
      <c r="I18" s="181" t="s">
        <v>110</v>
      </c>
      <c r="J18" s="181" t="s">
        <v>110</v>
      </c>
      <c r="K18" s="181" t="s">
        <v>110</v>
      </c>
      <c r="L18" s="181" t="s">
        <v>110</v>
      </c>
      <c r="M18" s="181" t="s">
        <v>110</v>
      </c>
      <c r="N18" s="181" t="s">
        <v>110</v>
      </c>
      <c r="O18" s="181" t="s">
        <v>110</v>
      </c>
      <c r="P18" s="182"/>
      <c r="Q18" s="148"/>
      <c r="R18" s="148"/>
    </row>
    <row r="19" spans="1:18" ht="51">
      <c r="A19" s="149" t="s">
        <v>346</v>
      </c>
      <c r="B19" s="158" t="s">
        <v>347</v>
      </c>
      <c r="C19" s="181" t="s">
        <v>110</v>
      </c>
      <c r="D19" s="181" t="s">
        <v>110</v>
      </c>
      <c r="E19" s="181" t="s">
        <v>110</v>
      </c>
      <c r="F19" s="181" t="s">
        <v>110</v>
      </c>
      <c r="G19" s="181" t="s">
        <v>110</v>
      </c>
      <c r="H19" s="181" t="s">
        <v>110</v>
      </c>
      <c r="I19" s="181" t="s">
        <v>110</v>
      </c>
      <c r="J19" s="181" t="s">
        <v>110</v>
      </c>
      <c r="K19" s="181" t="s">
        <v>110</v>
      </c>
      <c r="L19" s="181" t="s">
        <v>110</v>
      </c>
      <c r="M19" s="181" t="s">
        <v>110</v>
      </c>
      <c r="N19" s="181" t="s">
        <v>110</v>
      </c>
      <c r="O19" s="181" t="s">
        <v>110</v>
      </c>
      <c r="P19" s="182"/>
      <c r="Q19" s="148"/>
      <c r="R19" s="148"/>
    </row>
    <row r="20" spans="1:18" ht="38.25">
      <c r="A20" s="149" t="s">
        <v>348</v>
      </c>
      <c r="B20" s="158" t="s">
        <v>349</v>
      </c>
      <c r="C20" s="181" t="s">
        <v>110</v>
      </c>
      <c r="D20" s="181" t="s">
        <v>110</v>
      </c>
      <c r="E20" s="181" t="s">
        <v>110</v>
      </c>
      <c r="F20" s="181" t="s">
        <v>110</v>
      </c>
      <c r="G20" s="181" t="s">
        <v>110</v>
      </c>
      <c r="H20" s="181" t="s">
        <v>110</v>
      </c>
      <c r="I20" s="181" t="s">
        <v>110</v>
      </c>
      <c r="J20" s="181" t="s">
        <v>110</v>
      </c>
      <c r="K20" s="181" t="s">
        <v>110</v>
      </c>
      <c r="L20" s="181" t="s">
        <v>110</v>
      </c>
      <c r="M20" s="181" t="s">
        <v>110</v>
      </c>
      <c r="N20" s="181" t="s">
        <v>110</v>
      </c>
      <c r="O20" s="181" t="s">
        <v>110</v>
      </c>
      <c r="P20" s="190"/>
      <c r="Q20" s="148"/>
      <c r="R20" s="148"/>
    </row>
    <row r="21" spans="1:18" ht="25.5">
      <c r="A21" s="149" t="s">
        <v>350</v>
      </c>
      <c r="B21" s="158" t="s">
        <v>351</v>
      </c>
      <c r="C21" s="181" t="s">
        <v>110</v>
      </c>
      <c r="D21" s="181" t="s">
        <v>110</v>
      </c>
      <c r="E21" s="181" t="s">
        <v>110</v>
      </c>
      <c r="F21" s="181" t="s">
        <v>110</v>
      </c>
      <c r="G21" s="181" t="s">
        <v>110</v>
      </c>
      <c r="H21" s="181" t="s">
        <v>110</v>
      </c>
      <c r="I21" s="181" t="s">
        <v>110</v>
      </c>
      <c r="J21" s="181" t="s">
        <v>110</v>
      </c>
      <c r="K21" s="181" t="s">
        <v>110</v>
      </c>
      <c r="L21" s="181" t="s">
        <v>110</v>
      </c>
      <c r="M21" s="181" t="s">
        <v>110</v>
      </c>
      <c r="N21" s="181" t="s">
        <v>110</v>
      </c>
      <c r="O21" s="181" t="s">
        <v>110</v>
      </c>
      <c r="P21" s="182"/>
      <c r="Q21" s="148"/>
      <c r="R21" s="148"/>
    </row>
    <row r="22" spans="1:18" ht="38.25">
      <c r="A22" s="149" t="s">
        <v>352</v>
      </c>
      <c r="B22" s="158" t="s">
        <v>353</v>
      </c>
      <c r="C22" s="181" t="s">
        <v>114</v>
      </c>
      <c r="D22" s="181" t="s">
        <v>114</v>
      </c>
      <c r="E22" s="181" t="s">
        <v>114</v>
      </c>
      <c r="F22" s="181" t="s">
        <v>114</v>
      </c>
      <c r="G22" s="181" t="s">
        <v>114</v>
      </c>
      <c r="H22" s="181" t="s">
        <v>114</v>
      </c>
      <c r="I22" s="181" t="s">
        <v>114</v>
      </c>
      <c r="J22" s="181" t="s">
        <v>114</v>
      </c>
      <c r="K22" s="181" t="s">
        <v>114</v>
      </c>
      <c r="L22" s="181" t="s">
        <v>114</v>
      </c>
      <c r="M22" s="181" t="s">
        <v>114</v>
      </c>
      <c r="N22" s="181" t="s">
        <v>114</v>
      </c>
      <c r="O22" s="181" t="s">
        <v>114</v>
      </c>
      <c r="P22" s="25" t="s">
        <v>356</v>
      </c>
      <c r="Q22" s="148"/>
      <c r="R22" s="148"/>
    </row>
    <row r="23" spans="1:18" ht="25.5">
      <c r="A23" s="149" t="s">
        <v>354</v>
      </c>
      <c r="B23" s="158" t="s">
        <v>355</v>
      </c>
      <c r="C23" s="181" t="s">
        <v>110</v>
      </c>
      <c r="D23" s="181" t="s">
        <v>110</v>
      </c>
      <c r="E23" s="181" t="s">
        <v>110</v>
      </c>
      <c r="F23" s="181" t="s">
        <v>110</v>
      </c>
      <c r="G23" s="181" t="s">
        <v>110</v>
      </c>
      <c r="H23" s="181" t="s">
        <v>110</v>
      </c>
      <c r="I23" s="181" t="s">
        <v>110</v>
      </c>
      <c r="J23" s="181" t="s">
        <v>110</v>
      </c>
      <c r="K23" s="181" t="s">
        <v>110</v>
      </c>
      <c r="L23" s="181" t="s">
        <v>110</v>
      </c>
      <c r="M23" s="181" t="s">
        <v>110</v>
      </c>
      <c r="N23" s="181" t="s">
        <v>110</v>
      </c>
      <c r="O23" s="181" t="s">
        <v>110</v>
      </c>
      <c r="P23" s="182"/>
      <c r="Q23" s="148"/>
      <c r="R23" s="148"/>
    </row>
    <row r="24" spans="1:18" ht="18.75">
      <c r="A24" s="146"/>
      <c r="B24" s="155" t="s">
        <v>266</v>
      </c>
      <c r="C24" s="147"/>
      <c r="D24" s="147"/>
      <c r="E24" s="147"/>
      <c r="F24" s="147"/>
      <c r="G24" s="147"/>
      <c r="H24" s="147"/>
      <c r="I24" s="147"/>
      <c r="J24" s="147"/>
      <c r="K24" s="147"/>
      <c r="L24" s="147"/>
      <c r="M24" s="147"/>
      <c r="N24" s="147"/>
      <c r="O24" s="147"/>
      <c r="P24" s="147"/>
      <c r="Q24" s="187"/>
      <c r="R24" s="187"/>
    </row>
    <row r="25" spans="1:18" ht="38.25">
      <c r="A25" s="149" t="s">
        <v>267</v>
      </c>
      <c r="B25" s="158" t="s">
        <v>268</v>
      </c>
      <c r="C25" s="181" t="s">
        <v>110</v>
      </c>
      <c r="D25" s="181" t="s">
        <v>110</v>
      </c>
      <c r="E25" s="181" t="s">
        <v>112</v>
      </c>
      <c r="F25" s="181" t="s">
        <v>112</v>
      </c>
      <c r="G25" s="181" t="s">
        <v>110</v>
      </c>
      <c r="H25" s="181" t="s">
        <v>110</v>
      </c>
      <c r="I25" s="181" t="s">
        <v>110</v>
      </c>
      <c r="J25" s="181" t="s">
        <v>110</v>
      </c>
      <c r="K25" s="181" t="s">
        <v>110</v>
      </c>
      <c r="L25" s="181" t="s">
        <v>110</v>
      </c>
      <c r="M25" s="181" t="s">
        <v>110</v>
      </c>
      <c r="N25" s="181" t="s">
        <v>110</v>
      </c>
      <c r="O25" s="181" t="s">
        <v>110</v>
      </c>
      <c r="P25" s="190" t="s">
        <v>436</v>
      </c>
      <c r="Q25" s="148"/>
      <c r="R25" s="148"/>
    </row>
    <row r="26" spans="1:18" ht="25.5">
      <c r="A26" s="149" t="s">
        <v>269</v>
      </c>
      <c r="B26" s="158" t="s">
        <v>270</v>
      </c>
      <c r="C26" s="181" t="s">
        <v>110</v>
      </c>
      <c r="D26" s="181" t="s">
        <v>110</v>
      </c>
      <c r="E26" s="181" t="s">
        <v>110</v>
      </c>
      <c r="F26" s="181" t="s">
        <v>110</v>
      </c>
      <c r="G26" s="181" t="s">
        <v>110</v>
      </c>
      <c r="H26" s="181" t="s">
        <v>110</v>
      </c>
      <c r="I26" s="181" t="s">
        <v>110</v>
      </c>
      <c r="J26" s="181" t="s">
        <v>110</v>
      </c>
      <c r="K26" s="181" t="s">
        <v>110</v>
      </c>
      <c r="L26" s="181" t="s">
        <v>110</v>
      </c>
      <c r="M26" s="181" t="s">
        <v>110</v>
      </c>
      <c r="N26" s="181" t="s">
        <v>110</v>
      </c>
      <c r="O26" s="181" t="s">
        <v>110</v>
      </c>
      <c r="P26" s="182"/>
      <c r="Q26" s="148"/>
      <c r="R26" s="148"/>
    </row>
    <row r="27" spans="1:18" ht="38.25">
      <c r="A27" s="149" t="s">
        <v>271</v>
      </c>
      <c r="B27" s="158" t="s">
        <v>272</v>
      </c>
      <c r="C27" s="181" t="s">
        <v>110</v>
      </c>
      <c r="D27" s="181" t="s">
        <v>110</v>
      </c>
      <c r="E27" s="181" t="s">
        <v>110</v>
      </c>
      <c r="F27" s="181" t="s">
        <v>110</v>
      </c>
      <c r="G27" s="181" t="s">
        <v>110</v>
      </c>
      <c r="H27" s="181" t="s">
        <v>110</v>
      </c>
      <c r="I27" s="181" t="s">
        <v>110</v>
      </c>
      <c r="J27" s="181" t="s">
        <v>110</v>
      </c>
      <c r="K27" s="181" t="s">
        <v>110</v>
      </c>
      <c r="L27" s="181" t="s">
        <v>110</v>
      </c>
      <c r="M27" s="181" t="s">
        <v>110</v>
      </c>
      <c r="N27" s="181" t="s">
        <v>110</v>
      </c>
      <c r="O27" s="181" t="s">
        <v>110</v>
      </c>
      <c r="P27" s="182"/>
      <c r="Q27" s="148"/>
      <c r="R27" s="148"/>
    </row>
    <row r="28" spans="1:18" ht="38.25">
      <c r="A28" s="149" t="s">
        <v>273</v>
      </c>
      <c r="B28" s="158" t="s">
        <v>274</v>
      </c>
      <c r="C28" s="181" t="s">
        <v>110</v>
      </c>
      <c r="D28" s="181" t="s">
        <v>110</v>
      </c>
      <c r="E28" s="181" t="s">
        <v>110</v>
      </c>
      <c r="F28" s="181" t="s">
        <v>110</v>
      </c>
      <c r="G28" s="181" t="s">
        <v>110</v>
      </c>
      <c r="H28" s="181" t="s">
        <v>110</v>
      </c>
      <c r="I28" s="181" t="s">
        <v>110</v>
      </c>
      <c r="J28" s="181" t="s">
        <v>110</v>
      </c>
      <c r="K28" s="181" t="s">
        <v>110</v>
      </c>
      <c r="L28" s="181" t="s">
        <v>110</v>
      </c>
      <c r="M28" s="181" t="s">
        <v>110</v>
      </c>
      <c r="N28" s="181" t="s">
        <v>110</v>
      </c>
      <c r="O28" s="181" t="s">
        <v>110</v>
      </c>
      <c r="P28" s="182"/>
      <c r="Q28" s="148"/>
      <c r="R28" s="148"/>
    </row>
    <row r="29" spans="1:18" ht="18.75">
      <c r="A29" s="146"/>
      <c r="B29" s="155" t="s">
        <v>275</v>
      </c>
      <c r="C29" s="147"/>
      <c r="D29" s="147"/>
      <c r="E29" s="147"/>
      <c r="F29" s="147"/>
      <c r="G29" s="147"/>
      <c r="H29" s="147"/>
      <c r="I29" s="147"/>
      <c r="J29" s="147"/>
      <c r="K29" s="147"/>
      <c r="L29" s="147"/>
      <c r="M29" s="147"/>
      <c r="N29" s="147"/>
      <c r="O29" s="147"/>
      <c r="P29" s="147"/>
      <c r="Q29" s="187"/>
      <c r="R29" s="187"/>
    </row>
    <row r="30" spans="1:18" ht="38.25">
      <c r="A30" s="149" t="s">
        <v>276</v>
      </c>
      <c r="B30" s="158" t="s">
        <v>277</v>
      </c>
      <c r="C30" s="181" t="s">
        <v>110</v>
      </c>
      <c r="D30" s="181" t="s">
        <v>110</v>
      </c>
      <c r="E30" s="181" t="s">
        <v>110</v>
      </c>
      <c r="F30" s="181" t="s">
        <v>110</v>
      </c>
      <c r="G30" s="181" t="s">
        <v>110</v>
      </c>
      <c r="H30" s="181" t="s">
        <v>110</v>
      </c>
      <c r="I30" s="181" t="s">
        <v>110</v>
      </c>
      <c r="J30" s="181" t="s">
        <v>110</v>
      </c>
      <c r="K30" s="181" t="s">
        <v>110</v>
      </c>
      <c r="L30" s="181" t="s">
        <v>110</v>
      </c>
      <c r="M30" s="181" t="s">
        <v>110</v>
      </c>
      <c r="N30" s="181" t="s">
        <v>110</v>
      </c>
      <c r="O30" s="181" t="s">
        <v>110</v>
      </c>
      <c r="P30" s="182"/>
      <c r="Q30" s="148"/>
      <c r="R30" s="148"/>
    </row>
    <row r="31" spans="1:18" ht="38.25">
      <c r="A31" s="149" t="s">
        <v>278</v>
      </c>
      <c r="B31" s="158" t="s">
        <v>279</v>
      </c>
      <c r="C31" s="181" t="s">
        <v>110</v>
      </c>
      <c r="D31" s="181" t="s">
        <v>110</v>
      </c>
      <c r="E31" s="181" t="s">
        <v>110</v>
      </c>
      <c r="F31" s="181" t="s">
        <v>110</v>
      </c>
      <c r="G31" s="181" t="s">
        <v>110</v>
      </c>
      <c r="H31" s="181" t="s">
        <v>110</v>
      </c>
      <c r="I31" s="181" t="s">
        <v>110</v>
      </c>
      <c r="J31" s="181" t="s">
        <v>110</v>
      </c>
      <c r="K31" s="181" t="s">
        <v>110</v>
      </c>
      <c r="L31" s="181" t="s">
        <v>110</v>
      </c>
      <c r="M31" s="181" t="s">
        <v>110</v>
      </c>
      <c r="N31" s="181" t="s">
        <v>110</v>
      </c>
      <c r="O31" s="181" t="s">
        <v>110</v>
      </c>
      <c r="P31" s="182"/>
      <c r="Q31" s="148"/>
      <c r="R31" s="148"/>
    </row>
    <row r="32" spans="1:18" ht="18.75">
      <c r="A32" s="146"/>
      <c r="B32" s="155" t="s">
        <v>280</v>
      </c>
      <c r="C32" s="147"/>
      <c r="D32" s="147"/>
      <c r="E32" s="147"/>
      <c r="F32" s="147"/>
      <c r="G32" s="147"/>
      <c r="H32" s="147"/>
      <c r="I32" s="147"/>
      <c r="J32" s="147"/>
      <c r="K32" s="147"/>
      <c r="L32" s="147"/>
      <c r="M32" s="147"/>
      <c r="N32" s="147"/>
      <c r="O32" s="147"/>
      <c r="P32" s="147"/>
      <c r="Q32" s="187"/>
      <c r="R32" s="187"/>
    </row>
    <row r="33" spans="1:18" ht="51">
      <c r="A33" s="149" t="s">
        <v>281</v>
      </c>
      <c r="B33" s="158" t="s">
        <v>282</v>
      </c>
      <c r="C33" s="181" t="s">
        <v>114</v>
      </c>
      <c r="D33" s="181" t="s">
        <v>114</v>
      </c>
      <c r="E33" s="181" t="s">
        <v>114</v>
      </c>
      <c r="F33" s="181" t="s">
        <v>114</v>
      </c>
      <c r="G33" s="181" t="s">
        <v>114</v>
      </c>
      <c r="H33" s="181" t="s">
        <v>114</v>
      </c>
      <c r="I33" s="181" t="s">
        <v>114</v>
      </c>
      <c r="J33" s="181" t="s">
        <v>114</v>
      </c>
      <c r="K33" s="181" t="s">
        <v>114</v>
      </c>
      <c r="L33" s="181" t="s">
        <v>114</v>
      </c>
      <c r="M33" s="181" t="s">
        <v>114</v>
      </c>
      <c r="N33" s="181" t="s">
        <v>114</v>
      </c>
      <c r="O33" s="181" t="s">
        <v>114</v>
      </c>
      <c r="P33" s="25" t="s">
        <v>357</v>
      </c>
      <c r="Q33" s="150" t="s">
        <v>358</v>
      </c>
      <c r="R33" s="148"/>
    </row>
    <row r="34" spans="1:18" ht="18">
      <c r="A34" s="183"/>
      <c r="B34" s="184" t="s">
        <v>283</v>
      </c>
      <c r="C34" s="183"/>
      <c r="D34" s="183"/>
      <c r="E34" s="183"/>
      <c r="F34" s="183"/>
      <c r="G34" s="183"/>
      <c r="H34" s="183"/>
      <c r="I34" s="183"/>
      <c r="J34" s="183"/>
      <c r="K34" s="183"/>
      <c r="L34" s="183"/>
      <c r="M34" s="183"/>
      <c r="N34" s="183"/>
      <c r="O34" s="183"/>
      <c r="P34" s="183"/>
      <c r="Q34" s="183"/>
      <c r="R34" s="183"/>
    </row>
    <row r="35" spans="1:18" ht="15">
      <c r="A35" s="151"/>
      <c r="B35" s="152"/>
      <c r="C35" s="153"/>
      <c r="D35" s="153"/>
      <c r="E35" s="153"/>
      <c r="F35" s="153"/>
      <c r="G35" s="153"/>
      <c r="H35" s="153"/>
      <c r="I35" s="153"/>
      <c r="J35" s="153"/>
      <c r="K35" s="153"/>
      <c r="L35" s="153"/>
      <c r="M35" s="153"/>
      <c r="N35" s="153"/>
      <c r="O35" s="153"/>
      <c r="P35" s="153"/>
      <c r="Q35" s="153"/>
      <c r="R35" s="154"/>
    </row>
    <row r="36" spans="1:18" ht="15">
      <c r="A36" s="188"/>
      <c r="B36" s="189" t="s">
        <v>284</v>
      </c>
      <c r="C36" s="188"/>
      <c r="D36" s="188"/>
      <c r="E36" s="188"/>
      <c r="F36" s="188"/>
      <c r="G36" s="188"/>
      <c r="H36" s="188"/>
      <c r="I36" s="188"/>
      <c r="J36" s="188"/>
      <c r="K36" s="188"/>
      <c r="L36" s="188"/>
      <c r="M36" s="188"/>
      <c r="N36" s="188"/>
      <c r="O36" s="188"/>
      <c r="P36" s="188"/>
      <c r="Q36" s="188"/>
      <c r="R36" s="188"/>
    </row>
  </sheetData>
  <mergeCells count="1">
    <mergeCell ref="Q2:R2"/>
  </mergeCells>
  <conditionalFormatting sqref="C11">
    <cfRule type="cellIs" dxfId="968" priority="1663" operator="equal">
      <formula>"No"</formula>
    </cfRule>
    <cfRule type="cellIs" dxfId="967" priority="1664" operator="equal">
      <formula>"NA"</formula>
    </cfRule>
    <cfRule type="cellIs" dxfId="966" priority="1665" operator="equal">
      <formula>"Yes"</formula>
    </cfRule>
  </conditionalFormatting>
  <conditionalFormatting sqref="C12">
    <cfRule type="cellIs" dxfId="965" priority="1660" operator="equal">
      <formula>"No"</formula>
    </cfRule>
    <cfRule type="cellIs" dxfId="964" priority="1661" operator="equal">
      <formula>"NA"</formula>
    </cfRule>
    <cfRule type="cellIs" dxfId="963" priority="1662" operator="equal">
      <formula>"Yes"</formula>
    </cfRule>
  </conditionalFormatting>
  <conditionalFormatting sqref="C15">
    <cfRule type="cellIs" dxfId="962" priority="1651" operator="equal">
      <formula>"No"</formula>
    </cfRule>
    <cfRule type="cellIs" dxfId="961" priority="1652" operator="equal">
      <formula>"NA"</formula>
    </cfRule>
    <cfRule type="cellIs" dxfId="960" priority="1653" operator="equal">
      <formula>"Yes"</formula>
    </cfRule>
  </conditionalFormatting>
  <conditionalFormatting sqref="C17">
    <cfRule type="cellIs" dxfId="959" priority="1645" operator="equal">
      <formula>"No"</formula>
    </cfRule>
    <cfRule type="cellIs" dxfId="958" priority="1646" operator="equal">
      <formula>"NA"</formula>
    </cfRule>
    <cfRule type="cellIs" dxfId="957" priority="1647" operator="equal">
      <formula>"Yes"</formula>
    </cfRule>
  </conditionalFormatting>
  <conditionalFormatting sqref="C26">
    <cfRule type="cellIs" dxfId="956" priority="1621" operator="equal">
      <formula>"No"</formula>
    </cfRule>
    <cfRule type="cellIs" dxfId="955" priority="1622" operator="equal">
      <formula>"NA"</formula>
    </cfRule>
    <cfRule type="cellIs" dxfId="954" priority="1623" operator="equal">
      <formula>"Yes"</formula>
    </cfRule>
  </conditionalFormatting>
  <conditionalFormatting sqref="C33">
    <cfRule type="cellIs" dxfId="953" priority="1606" operator="equal">
      <formula>"No"</formula>
    </cfRule>
    <cfRule type="cellIs" dxfId="952" priority="1607" operator="equal">
      <formula>"NA"</formula>
    </cfRule>
    <cfRule type="cellIs" dxfId="951" priority="1608" operator="equal">
      <formula>"Yes"</formula>
    </cfRule>
  </conditionalFormatting>
  <conditionalFormatting sqref="E11">
    <cfRule type="cellIs" dxfId="950" priority="1591" operator="equal">
      <formula>"No"</formula>
    </cfRule>
    <cfRule type="cellIs" dxfId="949" priority="1592" operator="equal">
      <formula>"NA"</formula>
    </cfRule>
    <cfRule type="cellIs" dxfId="948" priority="1593" operator="equal">
      <formula>"Yes"</formula>
    </cfRule>
  </conditionalFormatting>
  <conditionalFormatting sqref="F11">
    <cfRule type="cellIs" dxfId="947" priority="1519" operator="equal">
      <formula>"No"</formula>
    </cfRule>
    <cfRule type="cellIs" dxfId="946" priority="1520" operator="equal">
      <formula>"NA"</formula>
    </cfRule>
    <cfRule type="cellIs" dxfId="945" priority="1521" operator="equal">
      <formula>"Yes"</formula>
    </cfRule>
  </conditionalFormatting>
  <conditionalFormatting sqref="D11">
    <cfRule type="cellIs" dxfId="944" priority="1447" operator="equal">
      <formula>"No"</formula>
    </cfRule>
    <cfRule type="cellIs" dxfId="943" priority="1448" operator="equal">
      <formula>"NA"</formula>
    </cfRule>
    <cfRule type="cellIs" dxfId="942" priority="1449" operator="equal">
      <formula>"Yes"</formula>
    </cfRule>
  </conditionalFormatting>
  <conditionalFormatting sqref="D15">
    <cfRule type="cellIs" dxfId="941" priority="1435" operator="equal">
      <formula>"No"</formula>
    </cfRule>
    <cfRule type="cellIs" dxfId="940" priority="1436" operator="equal">
      <formula>"NA"</formula>
    </cfRule>
    <cfRule type="cellIs" dxfId="939" priority="1437" operator="equal">
      <formula>"Yes"</formula>
    </cfRule>
  </conditionalFormatting>
  <conditionalFormatting sqref="E12">
    <cfRule type="cellIs" dxfId="938" priority="1315" operator="equal">
      <formula>"No"</formula>
    </cfRule>
    <cfRule type="cellIs" dxfId="937" priority="1316" operator="equal">
      <formula>"NA"</formula>
    </cfRule>
    <cfRule type="cellIs" dxfId="936" priority="1317" operator="equal">
      <formula>"Yes"</formula>
    </cfRule>
  </conditionalFormatting>
  <conditionalFormatting sqref="F12">
    <cfRule type="cellIs" dxfId="935" priority="1312" operator="equal">
      <formula>"No"</formula>
    </cfRule>
    <cfRule type="cellIs" dxfId="934" priority="1313" operator="equal">
      <formula>"NA"</formula>
    </cfRule>
    <cfRule type="cellIs" dxfId="933" priority="1314" operator="equal">
      <formula>"Yes"</formula>
    </cfRule>
  </conditionalFormatting>
  <conditionalFormatting sqref="D12">
    <cfRule type="cellIs" dxfId="932" priority="1309" operator="equal">
      <formula>"No"</formula>
    </cfRule>
    <cfRule type="cellIs" dxfId="931" priority="1310" operator="equal">
      <formula>"NA"</formula>
    </cfRule>
    <cfRule type="cellIs" dxfId="930" priority="1311" operator="equal">
      <formula>"Yes"</formula>
    </cfRule>
  </conditionalFormatting>
  <conditionalFormatting sqref="C13">
    <cfRule type="cellIs" dxfId="929" priority="1303" operator="equal">
      <formula>"No"</formula>
    </cfRule>
    <cfRule type="cellIs" dxfId="928" priority="1304" operator="equal">
      <formula>"NA"</formula>
    </cfRule>
    <cfRule type="cellIs" dxfId="927" priority="1305" operator="equal">
      <formula>"Yes"</formula>
    </cfRule>
  </conditionalFormatting>
  <conditionalFormatting sqref="D13">
    <cfRule type="cellIs" dxfId="926" priority="1300" operator="equal">
      <formula>"No"</formula>
    </cfRule>
    <cfRule type="cellIs" dxfId="925" priority="1301" operator="equal">
      <formula>"NA"</formula>
    </cfRule>
    <cfRule type="cellIs" dxfId="924" priority="1302" operator="equal">
      <formula>"Yes"</formula>
    </cfRule>
  </conditionalFormatting>
  <conditionalFormatting sqref="E13">
    <cfRule type="cellIs" dxfId="923" priority="1297" operator="equal">
      <formula>"No"</formula>
    </cfRule>
    <cfRule type="cellIs" dxfId="922" priority="1298" operator="equal">
      <formula>"NA"</formula>
    </cfRule>
    <cfRule type="cellIs" dxfId="921" priority="1299" operator="equal">
      <formula>"Yes"</formula>
    </cfRule>
  </conditionalFormatting>
  <conditionalFormatting sqref="F13">
    <cfRule type="cellIs" dxfId="920" priority="1294" operator="equal">
      <formula>"No"</formula>
    </cfRule>
    <cfRule type="cellIs" dxfId="919" priority="1295" operator="equal">
      <formula>"NA"</formula>
    </cfRule>
    <cfRule type="cellIs" dxfId="918" priority="1296" operator="equal">
      <formula>"Yes"</formula>
    </cfRule>
  </conditionalFormatting>
  <conditionalFormatting sqref="C14">
    <cfRule type="cellIs" dxfId="917" priority="1288" operator="equal">
      <formula>"No"</formula>
    </cfRule>
    <cfRule type="cellIs" dxfId="916" priority="1289" operator="equal">
      <formula>"NA"</formula>
    </cfRule>
    <cfRule type="cellIs" dxfId="915" priority="1290" operator="equal">
      <formula>"Yes"</formula>
    </cfRule>
  </conditionalFormatting>
  <conditionalFormatting sqref="D14">
    <cfRule type="cellIs" dxfId="914" priority="1285" operator="equal">
      <formula>"No"</formula>
    </cfRule>
    <cfRule type="cellIs" dxfId="913" priority="1286" operator="equal">
      <formula>"NA"</formula>
    </cfRule>
    <cfRule type="cellIs" dxfId="912" priority="1287" operator="equal">
      <formula>"Yes"</formula>
    </cfRule>
  </conditionalFormatting>
  <conditionalFormatting sqref="E14">
    <cfRule type="cellIs" dxfId="911" priority="1282" operator="equal">
      <formula>"No"</formula>
    </cfRule>
    <cfRule type="cellIs" dxfId="910" priority="1283" operator="equal">
      <formula>"NA"</formula>
    </cfRule>
    <cfRule type="cellIs" dxfId="909" priority="1284" operator="equal">
      <formula>"Yes"</formula>
    </cfRule>
  </conditionalFormatting>
  <conditionalFormatting sqref="F14">
    <cfRule type="cellIs" dxfId="908" priority="1279" operator="equal">
      <formula>"No"</formula>
    </cfRule>
    <cfRule type="cellIs" dxfId="907" priority="1280" operator="equal">
      <formula>"NA"</formula>
    </cfRule>
    <cfRule type="cellIs" dxfId="906" priority="1281" operator="equal">
      <formula>"Yes"</formula>
    </cfRule>
  </conditionalFormatting>
  <conditionalFormatting sqref="E15">
    <cfRule type="cellIs" dxfId="905" priority="1276" operator="equal">
      <formula>"No"</formula>
    </cfRule>
    <cfRule type="cellIs" dxfId="904" priority="1277" operator="equal">
      <formula>"NA"</formula>
    </cfRule>
    <cfRule type="cellIs" dxfId="903" priority="1278" operator="equal">
      <formula>"Yes"</formula>
    </cfRule>
  </conditionalFormatting>
  <conditionalFormatting sqref="F15">
    <cfRule type="cellIs" dxfId="902" priority="1273" operator="equal">
      <formula>"No"</formula>
    </cfRule>
    <cfRule type="cellIs" dxfId="901" priority="1274" operator="equal">
      <formula>"NA"</formula>
    </cfRule>
    <cfRule type="cellIs" dxfId="900" priority="1275" operator="equal">
      <formula>"Yes"</formula>
    </cfRule>
  </conditionalFormatting>
  <conditionalFormatting sqref="C16">
    <cfRule type="cellIs" dxfId="899" priority="1267" operator="equal">
      <formula>"No"</formula>
    </cfRule>
    <cfRule type="cellIs" dxfId="898" priority="1268" operator="equal">
      <formula>"NA"</formula>
    </cfRule>
    <cfRule type="cellIs" dxfId="897" priority="1269" operator="equal">
      <formula>"Yes"</formula>
    </cfRule>
  </conditionalFormatting>
  <conditionalFormatting sqref="D16">
    <cfRule type="cellIs" dxfId="896" priority="1264" operator="equal">
      <formula>"No"</formula>
    </cfRule>
    <cfRule type="cellIs" dxfId="895" priority="1265" operator="equal">
      <formula>"NA"</formula>
    </cfRule>
    <cfRule type="cellIs" dxfId="894" priority="1266" operator="equal">
      <formula>"Yes"</formula>
    </cfRule>
  </conditionalFormatting>
  <conditionalFormatting sqref="E16">
    <cfRule type="cellIs" dxfId="893" priority="1261" operator="equal">
      <formula>"No"</formula>
    </cfRule>
    <cfRule type="cellIs" dxfId="892" priority="1262" operator="equal">
      <formula>"NA"</formula>
    </cfRule>
    <cfRule type="cellIs" dxfId="891" priority="1263" operator="equal">
      <formula>"Yes"</formula>
    </cfRule>
  </conditionalFormatting>
  <conditionalFormatting sqref="F16">
    <cfRule type="cellIs" dxfId="890" priority="1258" operator="equal">
      <formula>"No"</formula>
    </cfRule>
    <cfRule type="cellIs" dxfId="889" priority="1259" operator="equal">
      <formula>"NA"</formula>
    </cfRule>
    <cfRule type="cellIs" dxfId="888" priority="1260" operator="equal">
      <formula>"Yes"</formula>
    </cfRule>
  </conditionalFormatting>
  <conditionalFormatting sqref="C18">
    <cfRule type="cellIs" dxfId="887" priority="1252" operator="equal">
      <formula>"No"</formula>
    </cfRule>
    <cfRule type="cellIs" dxfId="886" priority="1253" operator="equal">
      <formula>"NA"</formula>
    </cfRule>
    <cfRule type="cellIs" dxfId="885" priority="1254" operator="equal">
      <formula>"Yes"</formula>
    </cfRule>
  </conditionalFormatting>
  <conditionalFormatting sqref="D18">
    <cfRule type="cellIs" dxfId="884" priority="1249" operator="equal">
      <formula>"No"</formula>
    </cfRule>
    <cfRule type="cellIs" dxfId="883" priority="1250" operator="equal">
      <formula>"NA"</formula>
    </cfRule>
    <cfRule type="cellIs" dxfId="882" priority="1251" operator="equal">
      <formula>"Yes"</formula>
    </cfRule>
  </conditionalFormatting>
  <conditionalFormatting sqref="E18">
    <cfRule type="cellIs" dxfId="881" priority="1246" operator="equal">
      <formula>"No"</formula>
    </cfRule>
    <cfRule type="cellIs" dxfId="880" priority="1247" operator="equal">
      <formula>"NA"</formula>
    </cfRule>
    <cfRule type="cellIs" dxfId="879" priority="1248" operator="equal">
      <formula>"Yes"</formula>
    </cfRule>
  </conditionalFormatting>
  <conditionalFormatting sqref="F18">
    <cfRule type="cellIs" dxfId="878" priority="1243" operator="equal">
      <formula>"No"</formula>
    </cfRule>
    <cfRule type="cellIs" dxfId="877" priority="1244" operator="equal">
      <formula>"NA"</formula>
    </cfRule>
    <cfRule type="cellIs" dxfId="876" priority="1245" operator="equal">
      <formula>"Yes"</formula>
    </cfRule>
  </conditionalFormatting>
  <conditionalFormatting sqref="C19">
    <cfRule type="cellIs" dxfId="875" priority="1237" operator="equal">
      <formula>"No"</formula>
    </cfRule>
    <cfRule type="cellIs" dxfId="874" priority="1238" operator="equal">
      <formula>"NA"</formula>
    </cfRule>
    <cfRule type="cellIs" dxfId="873" priority="1239" operator="equal">
      <formula>"Yes"</formula>
    </cfRule>
  </conditionalFormatting>
  <conditionalFormatting sqref="D19">
    <cfRule type="cellIs" dxfId="872" priority="1234" operator="equal">
      <formula>"No"</formula>
    </cfRule>
    <cfRule type="cellIs" dxfId="871" priority="1235" operator="equal">
      <formula>"NA"</formula>
    </cfRule>
    <cfRule type="cellIs" dxfId="870" priority="1236" operator="equal">
      <formula>"Yes"</formula>
    </cfRule>
  </conditionalFormatting>
  <conditionalFormatting sqref="E19">
    <cfRule type="cellIs" dxfId="869" priority="1231" operator="equal">
      <formula>"No"</formula>
    </cfRule>
    <cfRule type="cellIs" dxfId="868" priority="1232" operator="equal">
      <formula>"NA"</formula>
    </cfRule>
    <cfRule type="cellIs" dxfId="867" priority="1233" operator="equal">
      <formula>"Yes"</formula>
    </cfRule>
  </conditionalFormatting>
  <conditionalFormatting sqref="F19">
    <cfRule type="cellIs" dxfId="866" priority="1228" operator="equal">
      <formula>"No"</formula>
    </cfRule>
    <cfRule type="cellIs" dxfId="865" priority="1229" operator="equal">
      <formula>"NA"</formula>
    </cfRule>
    <cfRule type="cellIs" dxfId="864" priority="1230" operator="equal">
      <formula>"Yes"</formula>
    </cfRule>
  </conditionalFormatting>
  <conditionalFormatting sqref="C20">
    <cfRule type="cellIs" dxfId="863" priority="1222" operator="equal">
      <formula>"No"</formula>
    </cfRule>
    <cfRule type="cellIs" dxfId="862" priority="1223" operator="equal">
      <formula>"NA"</formula>
    </cfRule>
    <cfRule type="cellIs" dxfId="861" priority="1224" operator="equal">
      <formula>"Yes"</formula>
    </cfRule>
  </conditionalFormatting>
  <conditionalFormatting sqref="D20">
    <cfRule type="cellIs" dxfId="860" priority="1219" operator="equal">
      <formula>"No"</formula>
    </cfRule>
    <cfRule type="cellIs" dxfId="859" priority="1220" operator="equal">
      <formula>"NA"</formula>
    </cfRule>
    <cfRule type="cellIs" dxfId="858" priority="1221" operator="equal">
      <formula>"Yes"</formula>
    </cfRule>
  </conditionalFormatting>
  <conditionalFormatting sqref="E20">
    <cfRule type="cellIs" dxfId="857" priority="1216" operator="equal">
      <formula>"No"</formula>
    </cfRule>
    <cfRule type="cellIs" dxfId="856" priority="1217" operator="equal">
      <formula>"NA"</formula>
    </cfRule>
    <cfRule type="cellIs" dxfId="855" priority="1218" operator="equal">
      <formula>"Yes"</formula>
    </cfRule>
  </conditionalFormatting>
  <conditionalFormatting sqref="F20">
    <cfRule type="cellIs" dxfId="854" priority="1213" operator="equal">
      <formula>"No"</formula>
    </cfRule>
    <cfRule type="cellIs" dxfId="853" priority="1214" operator="equal">
      <formula>"NA"</formula>
    </cfRule>
    <cfRule type="cellIs" dxfId="852" priority="1215" operator="equal">
      <formula>"Yes"</formula>
    </cfRule>
  </conditionalFormatting>
  <conditionalFormatting sqref="C21">
    <cfRule type="cellIs" dxfId="851" priority="1207" operator="equal">
      <formula>"No"</formula>
    </cfRule>
    <cfRule type="cellIs" dxfId="850" priority="1208" operator="equal">
      <formula>"NA"</formula>
    </cfRule>
    <cfRule type="cellIs" dxfId="849" priority="1209" operator="equal">
      <formula>"Yes"</formula>
    </cfRule>
  </conditionalFormatting>
  <conditionalFormatting sqref="D21">
    <cfRule type="cellIs" dxfId="848" priority="1204" operator="equal">
      <formula>"No"</formula>
    </cfRule>
    <cfRule type="cellIs" dxfId="847" priority="1205" operator="equal">
      <formula>"NA"</formula>
    </cfRule>
    <cfRule type="cellIs" dxfId="846" priority="1206" operator="equal">
      <formula>"Yes"</formula>
    </cfRule>
  </conditionalFormatting>
  <conditionalFormatting sqref="E21">
    <cfRule type="cellIs" dxfId="845" priority="1201" operator="equal">
      <formula>"No"</formula>
    </cfRule>
    <cfRule type="cellIs" dxfId="844" priority="1202" operator="equal">
      <formula>"NA"</formula>
    </cfRule>
    <cfRule type="cellIs" dxfId="843" priority="1203" operator="equal">
      <formula>"Yes"</formula>
    </cfRule>
  </conditionalFormatting>
  <conditionalFormatting sqref="F21">
    <cfRule type="cellIs" dxfId="842" priority="1198" operator="equal">
      <formula>"No"</formula>
    </cfRule>
    <cfRule type="cellIs" dxfId="841" priority="1199" operator="equal">
      <formula>"NA"</formula>
    </cfRule>
    <cfRule type="cellIs" dxfId="840" priority="1200" operator="equal">
      <formula>"Yes"</formula>
    </cfRule>
  </conditionalFormatting>
  <conditionalFormatting sqref="C22">
    <cfRule type="cellIs" dxfId="839" priority="1192" operator="equal">
      <formula>"No"</formula>
    </cfRule>
    <cfRule type="cellIs" dxfId="838" priority="1193" operator="equal">
      <formula>"NA"</formula>
    </cfRule>
    <cfRule type="cellIs" dxfId="837" priority="1194" operator="equal">
      <formula>"Yes"</formula>
    </cfRule>
  </conditionalFormatting>
  <conditionalFormatting sqref="D22">
    <cfRule type="cellIs" dxfId="836" priority="1189" operator="equal">
      <formula>"No"</formula>
    </cfRule>
    <cfRule type="cellIs" dxfId="835" priority="1190" operator="equal">
      <formula>"NA"</formula>
    </cfRule>
    <cfRule type="cellIs" dxfId="834" priority="1191" operator="equal">
      <formula>"Yes"</formula>
    </cfRule>
  </conditionalFormatting>
  <conditionalFormatting sqref="E22">
    <cfRule type="cellIs" dxfId="833" priority="1186" operator="equal">
      <formula>"No"</formula>
    </cfRule>
    <cfRule type="cellIs" dxfId="832" priority="1187" operator="equal">
      <formula>"NA"</formula>
    </cfRule>
    <cfRule type="cellIs" dxfId="831" priority="1188" operator="equal">
      <formula>"Yes"</formula>
    </cfRule>
  </conditionalFormatting>
  <conditionalFormatting sqref="F22">
    <cfRule type="cellIs" dxfId="830" priority="1183" operator="equal">
      <formula>"No"</formula>
    </cfRule>
    <cfRule type="cellIs" dxfId="829" priority="1184" operator="equal">
      <formula>"NA"</formula>
    </cfRule>
    <cfRule type="cellIs" dxfId="828" priority="1185" operator="equal">
      <formula>"Yes"</formula>
    </cfRule>
  </conditionalFormatting>
  <conditionalFormatting sqref="C23:F23">
    <cfRule type="cellIs" dxfId="827" priority="1177" operator="equal">
      <formula>"No"</formula>
    </cfRule>
    <cfRule type="cellIs" dxfId="826" priority="1178" operator="equal">
      <formula>"NA"</formula>
    </cfRule>
    <cfRule type="cellIs" dxfId="825" priority="1179" operator="equal">
      <formula>"Yes"</formula>
    </cfRule>
  </conditionalFormatting>
  <conditionalFormatting sqref="E25:F25">
    <cfRule type="cellIs" dxfId="824" priority="1174" operator="equal">
      <formula>"No"</formula>
    </cfRule>
    <cfRule type="cellIs" dxfId="823" priority="1175" operator="equal">
      <formula>"NA"</formula>
    </cfRule>
    <cfRule type="cellIs" dxfId="822" priority="1176" operator="equal">
      <formula>"Yes"</formula>
    </cfRule>
  </conditionalFormatting>
  <conditionalFormatting sqref="D26:F26">
    <cfRule type="cellIs" dxfId="821" priority="1171" operator="equal">
      <formula>"No"</formula>
    </cfRule>
    <cfRule type="cellIs" dxfId="820" priority="1172" operator="equal">
      <formula>"NA"</formula>
    </cfRule>
    <cfRule type="cellIs" dxfId="819" priority="1173" operator="equal">
      <formula>"Yes"</formula>
    </cfRule>
  </conditionalFormatting>
  <conditionalFormatting sqref="C27:F27">
    <cfRule type="cellIs" dxfId="818" priority="1168" operator="equal">
      <formula>"No"</formula>
    </cfRule>
    <cfRule type="cellIs" dxfId="817" priority="1169" operator="equal">
      <formula>"NA"</formula>
    </cfRule>
    <cfRule type="cellIs" dxfId="816" priority="1170" operator="equal">
      <formula>"Yes"</formula>
    </cfRule>
  </conditionalFormatting>
  <conditionalFormatting sqref="C28:F28">
    <cfRule type="cellIs" dxfId="815" priority="1165" operator="equal">
      <formula>"No"</formula>
    </cfRule>
    <cfRule type="cellIs" dxfId="814" priority="1166" operator="equal">
      <formula>"NA"</formula>
    </cfRule>
    <cfRule type="cellIs" dxfId="813" priority="1167" operator="equal">
      <formula>"Yes"</formula>
    </cfRule>
  </conditionalFormatting>
  <conditionalFormatting sqref="C30:F30">
    <cfRule type="cellIs" dxfId="812" priority="1162" operator="equal">
      <formula>"No"</formula>
    </cfRule>
    <cfRule type="cellIs" dxfId="811" priority="1163" operator="equal">
      <formula>"NA"</formula>
    </cfRule>
    <cfRule type="cellIs" dxfId="810" priority="1164" operator="equal">
      <formula>"Yes"</formula>
    </cfRule>
  </conditionalFormatting>
  <conditionalFormatting sqref="C31:F31">
    <cfRule type="cellIs" dxfId="809" priority="1159" operator="equal">
      <formula>"No"</formula>
    </cfRule>
    <cfRule type="cellIs" dxfId="808" priority="1160" operator="equal">
      <formula>"NA"</formula>
    </cfRule>
    <cfRule type="cellIs" dxfId="807" priority="1161" operator="equal">
      <formula>"Yes"</formula>
    </cfRule>
  </conditionalFormatting>
  <conditionalFormatting sqref="D33:F33">
    <cfRule type="cellIs" dxfId="806" priority="1156" operator="equal">
      <formula>"No"</formula>
    </cfRule>
    <cfRule type="cellIs" dxfId="805" priority="1157" operator="equal">
      <formula>"NA"</formula>
    </cfRule>
    <cfRule type="cellIs" dxfId="804" priority="1158" operator="equal">
      <formula>"Yes"</formula>
    </cfRule>
  </conditionalFormatting>
  <conditionalFormatting sqref="C9:F9">
    <cfRule type="cellIs" dxfId="803" priority="1147" operator="equal">
      <formula>"No"</formula>
    </cfRule>
    <cfRule type="cellIs" dxfId="802" priority="1148" operator="equal">
      <formula>"NA"</formula>
    </cfRule>
    <cfRule type="cellIs" dxfId="801" priority="1149" operator="equal">
      <formula>"Yes"</formula>
    </cfRule>
  </conditionalFormatting>
  <conditionalFormatting sqref="C6">
    <cfRule type="cellIs" dxfId="800" priority="673" operator="equal">
      <formula>"No"</formula>
    </cfRule>
    <cfRule type="cellIs" dxfId="799" priority="674" operator="equal">
      <formula>"NA"</formula>
    </cfRule>
    <cfRule type="cellIs" dxfId="798" priority="675" operator="equal">
      <formula>"Yes"</formula>
    </cfRule>
  </conditionalFormatting>
  <conditionalFormatting sqref="D6">
    <cfRule type="cellIs" dxfId="797" priority="670" operator="equal">
      <formula>"No"</formula>
    </cfRule>
    <cfRule type="cellIs" dxfId="796" priority="671" operator="equal">
      <formula>"NA"</formula>
    </cfRule>
    <cfRule type="cellIs" dxfId="795" priority="672" operator="equal">
      <formula>"Yes"</formula>
    </cfRule>
  </conditionalFormatting>
  <conditionalFormatting sqref="E6">
    <cfRule type="cellIs" dxfId="794" priority="667" operator="equal">
      <formula>"No"</formula>
    </cfRule>
    <cfRule type="cellIs" dxfId="793" priority="668" operator="equal">
      <formula>"NA"</formula>
    </cfRule>
    <cfRule type="cellIs" dxfId="792" priority="669" operator="equal">
      <formula>"Yes"</formula>
    </cfRule>
  </conditionalFormatting>
  <conditionalFormatting sqref="F6">
    <cfRule type="cellIs" dxfId="791" priority="664" operator="equal">
      <formula>"No"</formula>
    </cfRule>
    <cfRule type="cellIs" dxfId="790" priority="665" operator="equal">
      <formula>"NA"</formula>
    </cfRule>
    <cfRule type="cellIs" dxfId="789" priority="666" operator="equal">
      <formula>"Yes"</formula>
    </cfRule>
  </conditionalFormatting>
  <conditionalFormatting sqref="C7">
    <cfRule type="cellIs" dxfId="788" priority="661" operator="equal">
      <formula>"No"</formula>
    </cfRule>
    <cfRule type="cellIs" dxfId="787" priority="662" operator="equal">
      <formula>"NA"</formula>
    </cfRule>
    <cfRule type="cellIs" dxfId="786" priority="663" operator="equal">
      <formula>"Yes"</formula>
    </cfRule>
  </conditionalFormatting>
  <conditionalFormatting sqref="D7">
    <cfRule type="cellIs" dxfId="785" priority="658" operator="equal">
      <formula>"No"</formula>
    </cfRule>
    <cfRule type="cellIs" dxfId="784" priority="659" operator="equal">
      <formula>"NA"</formula>
    </cfRule>
    <cfRule type="cellIs" dxfId="783" priority="660" operator="equal">
      <formula>"Yes"</formula>
    </cfRule>
  </conditionalFormatting>
  <conditionalFormatting sqref="E7">
    <cfRule type="cellIs" dxfId="782" priority="655" operator="equal">
      <formula>"No"</formula>
    </cfRule>
    <cfRule type="cellIs" dxfId="781" priority="656" operator="equal">
      <formula>"NA"</formula>
    </cfRule>
    <cfRule type="cellIs" dxfId="780" priority="657" operator="equal">
      <formula>"Yes"</formula>
    </cfRule>
  </conditionalFormatting>
  <conditionalFormatting sqref="F7">
    <cfRule type="cellIs" dxfId="779" priority="652" operator="equal">
      <formula>"No"</formula>
    </cfRule>
    <cfRule type="cellIs" dxfId="778" priority="653" operator="equal">
      <formula>"NA"</formula>
    </cfRule>
    <cfRule type="cellIs" dxfId="777" priority="654" operator="equal">
      <formula>"Yes"</formula>
    </cfRule>
  </conditionalFormatting>
  <conditionalFormatting sqref="C10">
    <cfRule type="cellIs" dxfId="776" priority="649" operator="equal">
      <formula>"No"</formula>
    </cfRule>
    <cfRule type="cellIs" dxfId="775" priority="650" operator="equal">
      <formula>"NA"</formula>
    </cfRule>
    <cfRule type="cellIs" dxfId="774" priority="651" operator="equal">
      <formula>"Yes"</formula>
    </cfRule>
  </conditionalFormatting>
  <conditionalFormatting sqref="D10">
    <cfRule type="cellIs" dxfId="773" priority="643" operator="equal">
      <formula>"No"</formula>
    </cfRule>
    <cfRule type="cellIs" dxfId="772" priority="644" operator="equal">
      <formula>"NA"</formula>
    </cfRule>
    <cfRule type="cellIs" dxfId="771" priority="645" operator="equal">
      <formula>"Yes"</formula>
    </cfRule>
  </conditionalFormatting>
  <conditionalFormatting sqref="E10">
    <cfRule type="cellIs" dxfId="770" priority="640" operator="equal">
      <formula>"No"</formula>
    </cfRule>
    <cfRule type="cellIs" dxfId="769" priority="641" operator="equal">
      <formula>"NA"</formula>
    </cfRule>
    <cfRule type="cellIs" dxfId="768" priority="642" operator="equal">
      <formula>"Yes"</formula>
    </cfRule>
  </conditionalFormatting>
  <conditionalFormatting sqref="F10">
    <cfRule type="cellIs" dxfId="767" priority="637" operator="equal">
      <formula>"No"</formula>
    </cfRule>
    <cfRule type="cellIs" dxfId="766" priority="638" operator="equal">
      <formula>"NA"</formula>
    </cfRule>
    <cfRule type="cellIs" dxfId="765" priority="639" operator="equal">
      <formula>"Yes"</formula>
    </cfRule>
  </conditionalFormatting>
  <conditionalFormatting sqref="D17">
    <cfRule type="cellIs" dxfId="764" priority="634" operator="equal">
      <formula>"No"</formula>
    </cfRule>
    <cfRule type="cellIs" dxfId="763" priority="635" operator="equal">
      <formula>"NA"</formula>
    </cfRule>
    <cfRule type="cellIs" dxfId="762" priority="636" operator="equal">
      <formula>"Yes"</formula>
    </cfRule>
  </conditionalFormatting>
  <conditionalFormatting sqref="E17">
    <cfRule type="cellIs" dxfId="761" priority="631" operator="equal">
      <formula>"No"</formula>
    </cfRule>
    <cfRule type="cellIs" dxfId="760" priority="632" operator="equal">
      <formula>"NA"</formula>
    </cfRule>
    <cfRule type="cellIs" dxfId="759" priority="633" operator="equal">
      <formula>"Yes"</formula>
    </cfRule>
  </conditionalFormatting>
  <conditionalFormatting sqref="F17">
    <cfRule type="cellIs" dxfId="758" priority="628" operator="equal">
      <formula>"No"</formula>
    </cfRule>
    <cfRule type="cellIs" dxfId="757" priority="629" operator="equal">
      <formula>"NA"</formula>
    </cfRule>
    <cfRule type="cellIs" dxfId="756" priority="630" operator="equal">
      <formula>"Yes"</formula>
    </cfRule>
  </conditionalFormatting>
  <conditionalFormatting sqref="C25">
    <cfRule type="cellIs" dxfId="755" priority="625" operator="equal">
      <formula>"No"</formula>
    </cfRule>
    <cfRule type="cellIs" dxfId="754" priority="626" operator="equal">
      <formula>"NA"</formula>
    </cfRule>
    <cfRule type="cellIs" dxfId="753" priority="627" operator="equal">
      <formula>"Yes"</formula>
    </cfRule>
  </conditionalFormatting>
  <conditionalFormatting sqref="D25">
    <cfRule type="cellIs" dxfId="752" priority="622" operator="equal">
      <formula>"No"</formula>
    </cfRule>
    <cfRule type="cellIs" dxfId="751" priority="623" operator="equal">
      <formula>"NA"</formula>
    </cfRule>
    <cfRule type="cellIs" dxfId="750" priority="624" operator="equal">
      <formula>"Yes"</formula>
    </cfRule>
  </conditionalFormatting>
  <conditionalFormatting sqref="G11">
    <cfRule type="cellIs" dxfId="749" priority="619" operator="equal">
      <formula>"No"</formula>
    </cfRule>
    <cfRule type="cellIs" dxfId="748" priority="620" operator="equal">
      <formula>"NA"</formula>
    </cfRule>
    <cfRule type="cellIs" dxfId="747" priority="621" operator="equal">
      <formula>"Yes"</formula>
    </cfRule>
  </conditionalFormatting>
  <conditionalFormatting sqref="H11">
    <cfRule type="cellIs" dxfId="746" priority="616" operator="equal">
      <formula>"No"</formula>
    </cfRule>
    <cfRule type="cellIs" dxfId="745" priority="617" operator="equal">
      <formula>"NA"</formula>
    </cfRule>
    <cfRule type="cellIs" dxfId="744" priority="618" operator="equal">
      <formula>"Yes"</formula>
    </cfRule>
  </conditionalFormatting>
  <conditionalFormatting sqref="G12">
    <cfRule type="cellIs" dxfId="743" priority="613" operator="equal">
      <formula>"No"</formula>
    </cfRule>
    <cfRule type="cellIs" dxfId="742" priority="614" operator="equal">
      <formula>"NA"</formula>
    </cfRule>
    <cfRule type="cellIs" dxfId="741" priority="615" operator="equal">
      <formula>"Yes"</formula>
    </cfRule>
  </conditionalFormatting>
  <conditionalFormatting sqref="H12">
    <cfRule type="cellIs" dxfId="740" priority="610" operator="equal">
      <formula>"No"</formula>
    </cfRule>
    <cfRule type="cellIs" dxfId="739" priority="611" operator="equal">
      <formula>"NA"</formula>
    </cfRule>
    <cfRule type="cellIs" dxfId="738" priority="612" operator="equal">
      <formula>"Yes"</formula>
    </cfRule>
  </conditionalFormatting>
  <conditionalFormatting sqref="G13">
    <cfRule type="cellIs" dxfId="737" priority="607" operator="equal">
      <formula>"No"</formula>
    </cfRule>
    <cfRule type="cellIs" dxfId="736" priority="608" operator="equal">
      <formula>"NA"</formula>
    </cfRule>
    <cfRule type="cellIs" dxfId="735" priority="609" operator="equal">
      <formula>"Yes"</formula>
    </cfRule>
  </conditionalFormatting>
  <conditionalFormatting sqref="H13">
    <cfRule type="cellIs" dxfId="734" priority="604" operator="equal">
      <formula>"No"</formula>
    </cfRule>
    <cfRule type="cellIs" dxfId="733" priority="605" operator="equal">
      <formula>"NA"</formula>
    </cfRule>
    <cfRule type="cellIs" dxfId="732" priority="606" operator="equal">
      <formula>"Yes"</formula>
    </cfRule>
  </conditionalFormatting>
  <conditionalFormatting sqref="G14">
    <cfRule type="cellIs" dxfId="731" priority="601" operator="equal">
      <formula>"No"</formula>
    </cfRule>
    <cfRule type="cellIs" dxfId="730" priority="602" operator="equal">
      <formula>"NA"</formula>
    </cfRule>
    <cfRule type="cellIs" dxfId="729" priority="603" operator="equal">
      <formula>"Yes"</formula>
    </cfRule>
  </conditionalFormatting>
  <conditionalFormatting sqref="H14">
    <cfRule type="cellIs" dxfId="728" priority="598" operator="equal">
      <formula>"No"</formula>
    </cfRule>
    <cfRule type="cellIs" dxfId="727" priority="599" operator="equal">
      <formula>"NA"</formula>
    </cfRule>
    <cfRule type="cellIs" dxfId="726" priority="600" operator="equal">
      <formula>"Yes"</formula>
    </cfRule>
  </conditionalFormatting>
  <conditionalFormatting sqref="G15">
    <cfRule type="cellIs" dxfId="725" priority="595" operator="equal">
      <formula>"No"</formula>
    </cfRule>
    <cfRule type="cellIs" dxfId="724" priority="596" operator="equal">
      <formula>"NA"</formula>
    </cfRule>
    <cfRule type="cellIs" dxfId="723" priority="597" operator="equal">
      <formula>"Yes"</formula>
    </cfRule>
  </conditionalFormatting>
  <conditionalFormatting sqref="H15">
    <cfRule type="cellIs" dxfId="722" priority="592" operator="equal">
      <formula>"No"</formula>
    </cfRule>
    <cfRule type="cellIs" dxfId="721" priority="593" operator="equal">
      <formula>"NA"</formula>
    </cfRule>
    <cfRule type="cellIs" dxfId="720" priority="594" operator="equal">
      <formula>"Yes"</formula>
    </cfRule>
  </conditionalFormatting>
  <conditionalFormatting sqref="G16">
    <cfRule type="cellIs" dxfId="719" priority="589" operator="equal">
      <formula>"No"</formula>
    </cfRule>
    <cfRule type="cellIs" dxfId="718" priority="590" operator="equal">
      <formula>"NA"</formula>
    </cfRule>
    <cfRule type="cellIs" dxfId="717" priority="591" operator="equal">
      <formula>"Yes"</formula>
    </cfRule>
  </conditionalFormatting>
  <conditionalFormatting sqref="H16">
    <cfRule type="cellIs" dxfId="716" priority="586" operator="equal">
      <formula>"No"</formula>
    </cfRule>
    <cfRule type="cellIs" dxfId="715" priority="587" operator="equal">
      <formula>"NA"</formula>
    </cfRule>
    <cfRule type="cellIs" dxfId="714" priority="588" operator="equal">
      <formula>"Yes"</formula>
    </cfRule>
  </conditionalFormatting>
  <conditionalFormatting sqref="G18">
    <cfRule type="cellIs" dxfId="713" priority="583" operator="equal">
      <formula>"No"</formula>
    </cfRule>
    <cfRule type="cellIs" dxfId="712" priority="584" operator="equal">
      <formula>"NA"</formula>
    </cfRule>
    <cfRule type="cellIs" dxfId="711" priority="585" operator="equal">
      <formula>"Yes"</formula>
    </cfRule>
  </conditionalFormatting>
  <conditionalFormatting sqref="H18">
    <cfRule type="cellIs" dxfId="710" priority="580" operator="equal">
      <formula>"No"</formula>
    </cfRule>
    <cfRule type="cellIs" dxfId="709" priority="581" operator="equal">
      <formula>"NA"</formula>
    </cfRule>
    <cfRule type="cellIs" dxfId="708" priority="582" operator="equal">
      <formula>"Yes"</formula>
    </cfRule>
  </conditionalFormatting>
  <conditionalFormatting sqref="G19">
    <cfRule type="cellIs" dxfId="707" priority="577" operator="equal">
      <formula>"No"</formula>
    </cfRule>
    <cfRule type="cellIs" dxfId="706" priority="578" operator="equal">
      <formula>"NA"</formula>
    </cfRule>
    <cfRule type="cellIs" dxfId="705" priority="579" operator="equal">
      <formula>"Yes"</formula>
    </cfRule>
  </conditionalFormatting>
  <conditionalFormatting sqref="H19">
    <cfRule type="cellIs" dxfId="704" priority="574" operator="equal">
      <formula>"No"</formula>
    </cfRule>
    <cfRule type="cellIs" dxfId="703" priority="575" operator="equal">
      <formula>"NA"</formula>
    </cfRule>
    <cfRule type="cellIs" dxfId="702" priority="576" operator="equal">
      <formula>"Yes"</formula>
    </cfRule>
  </conditionalFormatting>
  <conditionalFormatting sqref="G20">
    <cfRule type="cellIs" dxfId="701" priority="571" operator="equal">
      <formula>"No"</formula>
    </cfRule>
    <cfRule type="cellIs" dxfId="700" priority="572" operator="equal">
      <formula>"NA"</formula>
    </cfRule>
    <cfRule type="cellIs" dxfId="699" priority="573" operator="equal">
      <formula>"Yes"</formula>
    </cfRule>
  </conditionalFormatting>
  <conditionalFormatting sqref="H20">
    <cfRule type="cellIs" dxfId="698" priority="568" operator="equal">
      <formula>"No"</formula>
    </cfRule>
    <cfRule type="cellIs" dxfId="697" priority="569" operator="equal">
      <formula>"NA"</formula>
    </cfRule>
    <cfRule type="cellIs" dxfId="696" priority="570" operator="equal">
      <formula>"Yes"</formula>
    </cfRule>
  </conditionalFormatting>
  <conditionalFormatting sqref="G21">
    <cfRule type="cellIs" dxfId="695" priority="565" operator="equal">
      <formula>"No"</formula>
    </cfRule>
    <cfRule type="cellIs" dxfId="694" priority="566" operator="equal">
      <formula>"NA"</formula>
    </cfRule>
    <cfRule type="cellIs" dxfId="693" priority="567" operator="equal">
      <formula>"Yes"</formula>
    </cfRule>
  </conditionalFormatting>
  <conditionalFormatting sqref="H21">
    <cfRule type="cellIs" dxfId="692" priority="562" operator="equal">
      <formula>"No"</formula>
    </cfRule>
    <cfRule type="cellIs" dxfId="691" priority="563" operator="equal">
      <formula>"NA"</formula>
    </cfRule>
    <cfRule type="cellIs" dxfId="690" priority="564" operator="equal">
      <formula>"Yes"</formula>
    </cfRule>
  </conditionalFormatting>
  <conditionalFormatting sqref="G22">
    <cfRule type="cellIs" dxfId="689" priority="559" operator="equal">
      <formula>"No"</formula>
    </cfRule>
    <cfRule type="cellIs" dxfId="688" priority="560" operator="equal">
      <formula>"NA"</formula>
    </cfRule>
    <cfRule type="cellIs" dxfId="687" priority="561" operator="equal">
      <formula>"Yes"</formula>
    </cfRule>
  </conditionalFormatting>
  <conditionalFormatting sqref="H22">
    <cfRule type="cellIs" dxfId="686" priority="556" operator="equal">
      <formula>"No"</formula>
    </cfRule>
    <cfRule type="cellIs" dxfId="685" priority="557" operator="equal">
      <formula>"NA"</formula>
    </cfRule>
    <cfRule type="cellIs" dxfId="684" priority="558" operator="equal">
      <formula>"Yes"</formula>
    </cfRule>
  </conditionalFormatting>
  <conditionalFormatting sqref="G23:H23">
    <cfRule type="cellIs" dxfId="683" priority="553" operator="equal">
      <formula>"No"</formula>
    </cfRule>
    <cfRule type="cellIs" dxfId="682" priority="554" operator="equal">
      <formula>"NA"</formula>
    </cfRule>
    <cfRule type="cellIs" dxfId="681" priority="555" operator="equal">
      <formula>"Yes"</formula>
    </cfRule>
  </conditionalFormatting>
  <conditionalFormatting sqref="G25:H25">
    <cfRule type="cellIs" dxfId="680" priority="550" operator="equal">
      <formula>"No"</formula>
    </cfRule>
    <cfRule type="cellIs" dxfId="679" priority="551" operator="equal">
      <formula>"NA"</formula>
    </cfRule>
    <cfRule type="cellIs" dxfId="678" priority="552" operator="equal">
      <formula>"Yes"</formula>
    </cfRule>
  </conditionalFormatting>
  <conditionalFormatting sqref="G26:H26">
    <cfRule type="cellIs" dxfId="677" priority="547" operator="equal">
      <formula>"No"</formula>
    </cfRule>
    <cfRule type="cellIs" dxfId="676" priority="548" operator="equal">
      <formula>"NA"</formula>
    </cfRule>
    <cfRule type="cellIs" dxfId="675" priority="549" operator="equal">
      <formula>"Yes"</formula>
    </cfRule>
  </conditionalFormatting>
  <conditionalFormatting sqref="G27:H27">
    <cfRule type="cellIs" dxfId="674" priority="544" operator="equal">
      <formula>"No"</formula>
    </cfRule>
    <cfRule type="cellIs" dxfId="673" priority="545" operator="equal">
      <formula>"NA"</formula>
    </cfRule>
    <cfRule type="cellIs" dxfId="672" priority="546" operator="equal">
      <formula>"Yes"</formula>
    </cfRule>
  </conditionalFormatting>
  <conditionalFormatting sqref="G28:H28">
    <cfRule type="cellIs" dxfId="671" priority="541" operator="equal">
      <formula>"No"</formula>
    </cfRule>
    <cfRule type="cellIs" dxfId="670" priority="542" operator="equal">
      <formula>"NA"</formula>
    </cfRule>
    <cfRule type="cellIs" dxfId="669" priority="543" operator="equal">
      <formula>"Yes"</formula>
    </cfRule>
  </conditionalFormatting>
  <conditionalFormatting sqref="G30:H30">
    <cfRule type="cellIs" dxfId="668" priority="538" operator="equal">
      <formula>"No"</formula>
    </cfRule>
    <cfRule type="cellIs" dxfId="667" priority="539" operator="equal">
      <formula>"NA"</formula>
    </cfRule>
    <cfRule type="cellIs" dxfId="666" priority="540" operator="equal">
      <formula>"Yes"</formula>
    </cfRule>
  </conditionalFormatting>
  <conditionalFormatting sqref="G31:H31">
    <cfRule type="cellIs" dxfId="665" priority="535" operator="equal">
      <formula>"No"</formula>
    </cfRule>
    <cfRule type="cellIs" dxfId="664" priority="536" operator="equal">
      <formula>"NA"</formula>
    </cfRule>
    <cfRule type="cellIs" dxfId="663" priority="537" operator="equal">
      <formula>"Yes"</formula>
    </cfRule>
  </conditionalFormatting>
  <conditionalFormatting sqref="G33:H33">
    <cfRule type="cellIs" dxfId="662" priority="532" operator="equal">
      <formula>"No"</formula>
    </cfRule>
    <cfRule type="cellIs" dxfId="661" priority="533" operator="equal">
      <formula>"NA"</formula>
    </cfRule>
    <cfRule type="cellIs" dxfId="660" priority="534" operator="equal">
      <formula>"Yes"</formula>
    </cfRule>
  </conditionalFormatting>
  <conditionalFormatting sqref="G9:H9">
    <cfRule type="cellIs" dxfId="659" priority="529" operator="equal">
      <formula>"No"</formula>
    </cfRule>
    <cfRule type="cellIs" dxfId="658" priority="530" operator="equal">
      <formula>"NA"</formula>
    </cfRule>
    <cfRule type="cellIs" dxfId="657" priority="531" operator="equal">
      <formula>"Yes"</formula>
    </cfRule>
  </conditionalFormatting>
  <conditionalFormatting sqref="G6">
    <cfRule type="cellIs" dxfId="656" priority="526" operator="equal">
      <formula>"No"</formula>
    </cfRule>
    <cfRule type="cellIs" dxfId="655" priority="527" operator="equal">
      <formula>"NA"</formula>
    </cfRule>
    <cfRule type="cellIs" dxfId="654" priority="528" operator="equal">
      <formula>"Yes"</formula>
    </cfRule>
  </conditionalFormatting>
  <conditionalFormatting sqref="H6">
    <cfRule type="cellIs" dxfId="653" priority="523" operator="equal">
      <formula>"No"</formula>
    </cfRule>
    <cfRule type="cellIs" dxfId="652" priority="524" operator="equal">
      <formula>"NA"</formula>
    </cfRule>
    <cfRule type="cellIs" dxfId="651" priority="525" operator="equal">
      <formula>"Yes"</formula>
    </cfRule>
  </conditionalFormatting>
  <conditionalFormatting sqref="G7">
    <cfRule type="cellIs" dxfId="650" priority="520" operator="equal">
      <formula>"No"</formula>
    </cfRule>
    <cfRule type="cellIs" dxfId="649" priority="521" operator="equal">
      <formula>"NA"</formula>
    </cfRule>
    <cfRule type="cellIs" dxfId="648" priority="522" operator="equal">
      <formula>"Yes"</formula>
    </cfRule>
  </conditionalFormatting>
  <conditionalFormatting sqref="H7">
    <cfRule type="cellIs" dxfId="647" priority="517" operator="equal">
      <formula>"No"</formula>
    </cfRule>
    <cfRule type="cellIs" dxfId="646" priority="518" operator="equal">
      <formula>"NA"</formula>
    </cfRule>
    <cfRule type="cellIs" dxfId="645" priority="519" operator="equal">
      <formula>"Yes"</formula>
    </cfRule>
  </conditionalFormatting>
  <conditionalFormatting sqref="G10">
    <cfRule type="cellIs" dxfId="644" priority="514" operator="equal">
      <formula>"No"</formula>
    </cfRule>
    <cfRule type="cellIs" dxfId="643" priority="515" operator="equal">
      <formula>"NA"</formula>
    </cfRule>
    <cfRule type="cellIs" dxfId="642" priority="516" operator="equal">
      <formula>"Yes"</formula>
    </cfRule>
  </conditionalFormatting>
  <conditionalFormatting sqref="H10">
    <cfRule type="cellIs" dxfId="641" priority="511" operator="equal">
      <formula>"No"</formula>
    </cfRule>
    <cfRule type="cellIs" dxfId="640" priority="512" operator="equal">
      <formula>"NA"</formula>
    </cfRule>
    <cfRule type="cellIs" dxfId="639" priority="513" operator="equal">
      <formula>"Yes"</formula>
    </cfRule>
  </conditionalFormatting>
  <conditionalFormatting sqref="G17">
    <cfRule type="cellIs" dxfId="638" priority="508" operator="equal">
      <formula>"No"</formula>
    </cfRule>
    <cfRule type="cellIs" dxfId="637" priority="509" operator="equal">
      <formula>"NA"</formula>
    </cfRule>
    <cfRule type="cellIs" dxfId="636" priority="510" operator="equal">
      <formula>"Yes"</formula>
    </cfRule>
  </conditionalFormatting>
  <conditionalFormatting sqref="H17">
    <cfRule type="cellIs" dxfId="635" priority="505" operator="equal">
      <formula>"No"</formula>
    </cfRule>
    <cfRule type="cellIs" dxfId="634" priority="506" operator="equal">
      <formula>"NA"</formula>
    </cfRule>
    <cfRule type="cellIs" dxfId="633" priority="507" operator="equal">
      <formula>"Yes"</formula>
    </cfRule>
  </conditionalFormatting>
  <conditionalFormatting sqref="I11">
    <cfRule type="cellIs" dxfId="632" priority="502" operator="equal">
      <formula>"No"</formula>
    </cfRule>
    <cfRule type="cellIs" dxfId="631" priority="503" operator="equal">
      <formula>"NA"</formula>
    </cfRule>
    <cfRule type="cellIs" dxfId="630" priority="504" operator="equal">
      <formula>"Yes"</formula>
    </cfRule>
  </conditionalFormatting>
  <conditionalFormatting sqref="I12">
    <cfRule type="cellIs" dxfId="629" priority="499" operator="equal">
      <formula>"No"</formula>
    </cfRule>
    <cfRule type="cellIs" dxfId="628" priority="500" operator="equal">
      <formula>"NA"</formula>
    </cfRule>
    <cfRule type="cellIs" dxfId="627" priority="501" operator="equal">
      <formula>"Yes"</formula>
    </cfRule>
  </conditionalFormatting>
  <conditionalFormatting sqref="I15">
    <cfRule type="cellIs" dxfId="626" priority="496" operator="equal">
      <formula>"No"</formula>
    </cfRule>
    <cfRule type="cellIs" dxfId="625" priority="497" operator="equal">
      <formula>"NA"</formula>
    </cfRule>
    <cfRule type="cellIs" dxfId="624" priority="498" operator="equal">
      <formula>"Yes"</formula>
    </cfRule>
  </conditionalFormatting>
  <conditionalFormatting sqref="I17">
    <cfRule type="cellIs" dxfId="623" priority="493" operator="equal">
      <formula>"No"</formula>
    </cfRule>
    <cfRule type="cellIs" dxfId="622" priority="494" operator="equal">
      <formula>"NA"</formula>
    </cfRule>
    <cfRule type="cellIs" dxfId="621" priority="495" operator="equal">
      <formula>"Yes"</formula>
    </cfRule>
  </conditionalFormatting>
  <conditionalFormatting sqref="I26">
    <cfRule type="cellIs" dxfId="620" priority="490" operator="equal">
      <formula>"No"</formula>
    </cfRule>
    <cfRule type="cellIs" dxfId="619" priority="491" operator="equal">
      <formula>"NA"</formula>
    </cfRule>
    <cfRule type="cellIs" dxfId="618" priority="492" operator="equal">
      <formula>"Yes"</formula>
    </cfRule>
  </conditionalFormatting>
  <conditionalFormatting sqref="I33">
    <cfRule type="cellIs" dxfId="617" priority="487" operator="equal">
      <formula>"No"</formula>
    </cfRule>
    <cfRule type="cellIs" dxfId="616" priority="488" operator="equal">
      <formula>"NA"</formula>
    </cfRule>
    <cfRule type="cellIs" dxfId="615" priority="489" operator="equal">
      <formula>"Yes"</formula>
    </cfRule>
  </conditionalFormatting>
  <conditionalFormatting sqref="I13">
    <cfRule type="cellIs" dxfId="614" priority="484" operator="equal">
      <formula>"No"</formula>
    </cfRule>
    <cfRule type="cellIs" dxfId="613" priority="485" operator="equal">
      <formula>"NA"</formula>
    </cfRule>
    <cfRule type="cellIs" dxfId="612" priority="486" operator="equal">
      <formula>"Yes"</formula>
    </cfRule>
  </conditionalFormatting>
  <conditionalFormatting sqref="I14">
    <cfRule type="cellIs" dxfId="611" priority="481" operator="equal">
      <formula>"No"</formula>
    </cfRule>
    <cfRule type="cellIs" dxfId="610" priority="482" operator="equal">
      <formula>"NA"</formula>
    </cfRule>
    <cfRule type="cellIs" dxfId="609" priority="483" operator="equal">
      <formula>"Yes"</formula>
    </cfRule>
  </conditionalFormatting>
  <conditionalFormatting sqref="I16">
    <cfRule type="cellIs" dxfId="608" priority="478" operator="equal">
      <formula>"No"</formula>
    </cfRule>
    <cfRule type="cellIs" dxfId="607" priority="479" operator="equal">
      <formula>"NA"</formula>
    </cfRule>
    <cfRule type="cellIs" dxfId="606" priority="480" operator="equal">
      <formula>"Yes"</formula>
    </cfRule>
  </conditionalFormatting>
  <conditionalFormatting sqref="I18">
    <cfRule type="cellIs" dxfId="605" priority="475" operator="equal">
      <formula>"No"</formula>
    </cfRule>
    <cfRule type="cellIs" dxfId="604" priority="476" operator="equal">
      <formula>"NA"</formula>
    </cfRule>
    <cfRule type="cellIs" dxfId="603" priority="477" operator="equal">
      <formula>"Yes"</formula>
    </cfRule>
  </conditionalFormatting>
  <conditionalFormatting sqref="I19">
    <cfRule type="cellIs" dxfId="602" priority="472" operator="equal">
      <formula>"No"</formula>
    </cfRule>
    <cfRule type="cellIs" dxfId="601" priority="473" operator="equal">
      <formula>"NA"</formula>
    </cfRule>
    <cfRule type="cellIs" dxfId="600" priority="474" operator="equal">
      <formula>"Yes"</formula>
    </cfRule>
  </conditionalFormatting>
  <conditionalFormatting sqref="I20">
    <cfRule type="cellIs" dxfId="599" priority="469" operator="equal">
      <formula>"No"</formula>
    </cfRule>
    <cfRule type="cellIs" dxfId="598" priority="470" operator="equal">
      <formula>"NA"</formula>
    </cfRule>
    <cfRule type="cellIs" dxfId="597" priority="471" operator="equal">
      <formula>"Yes"</formula>
    </cfRule>
  </conditionalFormatting>
  <conditionalFormatting sqref="I21">
    <cfRule type="cellIs" dxfId="596" priority="466" operator="equal">
      <formula>"No"</formula>
    </cfRule>
    <cfRule type="cellIs" dxfId="595" priority="467" operator="equal">
      <formula>"NA"</formula>
    </cfRule>
    <cfRule type="cellIs" dxfId="594" priority="468" operator="equal">
      <formula>"Yes"</formula>
    </cfRule>
  </conditionalFormatting>
  <conditionalFormatting sqref="I22">
    <cfRule type="cellIs" dxfId="593" priority="463" operator="equal">
      <formula>"No"</formula>
    </cfRule>
    <cfRule type="cellIs" dxfId="592" priority="464" operator="equal">
      <formula>"NA"</formula>
    </cfRule>
    <cfRule type="cellIs" dxfId="591" priority="465" operator="equal">
      <formula>"Yes"</formula>
    </cfRule>
  </conditionalFormatting>
  <conditionalFormatting sqref="I23">
    <cfRule type="cellIs" dxfId="590" priority="460" operator="equal">
      <formula>"No"</formula>
    </cfRule>
    <cfRule type="cellIs" dxfId="589" priority="461" operator="equal">
      <formula>"NA"</formula>
    </cfRule>
    <cfRule type="cellIs" dxfId="588" priority="462" operator="equal">
      <formula>"Yes"</formula>
    </cfRule>
  </conditionalFormatting>
  <conditionalFormatting sqref="I27">
    <cfRule type="cellIs" dxfId="587" priority="457" operator="equal">
      <formula>"No"</formula>
    </cfRule>
    <cfRule type="cellIs" dxfId="586" priority="458" operator="equal">
      <formula>"NA"</formula>
    </cfRule>
    <cfRule type="cellIs" dxfId="585" priority="459" operator="equal">
      <formula>"Yes"</formula>
    </cfRule>
  </conditionalFormatting>
  <conditionalFormatting sqref="I28">
    <cfRule type="cellIs" dxfId="584" priority="454" operator="equal">
      <formula>"No"</formula>
    </cfRule>
    <cfRule type="cellIs" dxfId="583" priority="455" operator="equal">
      <formula>"NA"</formula>
    </cfRule>
    <cfRule type="cellIs" dxfId="582" priority="456" operator="equal">
      <formula>"Yes"</formula>
    </cfRule>
  </conditionalFormatting>
  <conditionalFormatting sqref="I30">
    <cfRule type="cellIs" dxfId="581" priority="451" operator="equal">
      <formula>"No"</formula>
    </cfRule>
    <cfRule type="cellIs" dxfId="580" priority="452" operator="equal">
      <formula>"NA"</formula>
    </cfRule>
    <cfRule type="cellIs" dxfId="579" priority="453" operator="equal">
      <formula>"Yes"</formula>
    </cfRule>
  </conditionalFormatting>
  <conditionalFormatting sqref="I31">
    <cfRule type="cellIs" dxfId="578" priority="448" operator="equal">
      <formula>"No"</formula>
    </cfRule>
    <cfRule type="cellIs" dxfId="577" priority="449" operator="equal">
      <formula>"NA"</formula>
    </cfRule>
    <cfRule type="cellIs" dxfId="576" priority="450" operator="equal">
      <formula>"Yes"</formula>
    </cfRule>
  </conditionalFormatting>
  <conditionalFormatting sqref="I9">
    <cfRule type="cellIs" dxfId="575" priority="445" operator="equal">
      <formula>"No"</formula>
    </cfRule>
    <cfRule type="cellIs" dxfId="574" priority="446" operator="equal">
      <formula>"NA"</formula>
    </cfRule>
    <cfRule type="cellIs" dxfId="573" priority="447" operator="equal">
      <formula>"Yes"</formula>
    </cfRule>
  </conditionalFormatting>
  <conditionalFormatting sqref="I6">
    <cfRule type="cellIs" dxfId="572" priority="442" operator="equal">
      <formula>"No"</formula>
    </cfRule>
    <cfRule type="cellIs" dxfId="571" priority="443" operator="equal">
      <formula>"NA"</formula>
    </cfRule>
    <cfRule type="cellIs" dxfId="570" priority="444" operator="equal">
      <formula>"Yes"</formula>
    </cfRule>
  </conditionalFormatting>
  <conditionalFormatting sqref="I7">
    <cfRule type="cellIs" dxfId="569" priority="439" operator="equal">
      <formula>"No"</formula>
    </cfRule>
    <cfRule type="cellIs" dxfId="568" priority="440" operator="equal">
      <formula>"NA"</formula>
    </cfRule>
    <cfRule type="cellIs" dxfId="567" priority="441" operator="equal">
      <formula>"Yes"</formula>
    </cfRule>
  </conditionalFormatting>
  <conditionalFormatting sqref="I10">
    <cfRule type="cellIs" dxfId="566" priority="436" operator="equal">
      <formula>"No"</formula>
    </cfRule>
    <cfRule type="cellIs" dxfId="565" priority="437" operator="equal">
      <formula>"NA"</formula>
    </cfRule>
    <cfRule type="cellIs" dxfId="564" priority="438" operator="equal">
      <formula>"Yes"</formula>
    </cfRule>
  </conditionalFormatting>
  <conditionalFormatting sqref="I25">
    <cfRule type="cellIs" dxfId="563" priority="433" operator="equal">
      <formula>"No"</formula>
    </cfRule>
    <cfRule type="cellIs" dxfId="562" priority="434" operator="equal">
      <formula>"NA"</formula>
    </cfRule>
    <cfRule type="cellIs" dxfId="561" priority="435" operator="equal">
      <formula>"Yes"</formula>
    </cfRule>
  </conditionalFormatting>
  <conditionalFormatting sqref="J11">
    <cfRule type="cellIs" dxfId="560" priority="430" operator="equal">
      <formula>"No"</formula>
    </cfRule>
    <cfRule type="cellIs" dxfId="559" priority="431" operator="equal">
      <formula>"NA"</formula>
    </cfRule>
    <cfRule type="cellIs" dxfId="558" priority="432" operator="equal">
      <formula>"Yes"</formula>
    </cfRule>
  </conditionalFormatting>
  <conditionalFormatting sqref="J12">
    <cfRule type="cellIs" dxfId="557" priority="427" operator="equal">
      <formula>"No"</formula>
    </cfRule>
    <cfRule type="cellIs" dxfId="556" priority="428" operator="equal">
      <formula>"NA"</formula>
    </cfRule>
    <cfRule type="cellIs" dxfId="555" priority="429" operator="equal">
      <formula>"Yes"</formula>
    </cfRule>
  </conditionalFormatting>
  <conditionalFormatting sqref="J13">
    <cfRule type="cellIs" dxfId="554" priority="424" operator="equal">
      <formula>"No"</formula>
    </cfRule>
    <cfRule type="cellIs" dxfId="553" priority="425" operator="equal">
      <formula>"NA"</formula>
    </cfRule>
    <cfRule type="cellIs" dxfId="552" priority="426" operator="equal">
      <formula>"Yes"</formula>
    </cfRule>
  </conditionalFormatting>
  <conditionalFormatting sqref="J14">
    <cfRule type="cellIs" dxfId="551" priority="421" operator="equal">
      <formula>"No"</formula>
    </cfRule>
    <cfRule type="cellIs" dxfId="550" priority="422" operator="equal">
      <formula>"NA"</formula>
    </cfRule>
    <cfRule type="cellIs" dxfId="549" priority="423" operator="equal">
      <formula>"Yes"</formula>
    </cfRule>
  </conditionalFormatting>
  <conditionalFormatting sqref="J15">
    <cfRule type="cellIs" dxfId="548" priority="418" operator="equal">
      <formula>"No"</formula>
    </cfRule>
    <cfRule type="cellIs" dxfId="547" priority="419" operator="equal">
      <formula>"NA"</formula>
    </cfRule>
    <cfRule type="cellIs" dxfId="546" priority="420" operator="equal">
      <formula>"Yes"</formula>
    </cfRule>
  </conditionalFormatting>
  <conditionalFormatting sqref="J16">
    <cfRule type="cellIs" dxfId="545" priority="415" operator="equal">
      <formula>"No"</formula>
    </cfRule>
    <cfRule type="cellIs" dxfId="544" priority="416" operator="equal">
      <formula>"NA"</formula>
    </cfRule>
    <cfRule type="cellIs" dxfId="543" priority="417" operator="equal">
      <formula>"Yes"</formula>
    </cfRule>
  </conditionalFormatting>
  <conditionalFormatting sqref="J18">
    <cfRule type="cellIs" dxfId="542" priority="412" operator="equal">
      <formula>"No"</formula>
    </cfRule>
    <cfRule type="cellIs" dxfId="541" priority="413" operator="equal">
      <formula>"NA"</formula>
    </cfRule>
    <cfRule type="cellIs" dxfId="540" priority="414" operator="equal">
      <formula>"Yes"</formula>
    </cfRule>
  </conditionalFormatting>
  <conditionalFormatting sqref="J19">
    <cfRule type="cellIs" dxfId="539" priority="409" operator="equal">
      <formula>"No"</formula>
    </cfRule>
    <cfRule type="cellIs" dxfId="538" priority="410" operator="equal">
      <formula>"NA"</formula>
    </cfRule>
    <cfRule type="cellIs" dxfId="537" priority="411" operator="equal">
      <formula>"Yes"</formula>
    </cfRule>
  </conditionalFormatting>
  <conditionalFormatting sqref="J20">
    <cfRule type="cellIs" dxfId="536" priority="406" operator="equal">
      <formula>"No"</formula>
    </cfRule>
    <cfRule type="cellIs" dxfId="535" priority="407" operator="equal">
      <formula>"NA"</formula>
    </cfRule>
    <cfRule type="cellIs" dxfId="534" priority="408" operator="equal">
      <formula>"Yes"</formula>
    </cfRule>
  </conditionalFormatting>
  <conditionalFormatting sqref="J21">
    <cfRule type="cellIs" dxfId="533" priority="403" operator="equal">
      <formula>"No"</formula>
    </cfRule>
    <cfRule type="cellIs" dxfId="532" priority="404" operator="equal">
      <formula>"NA"</formula>
    </cfRule>
    <cfRule type="cellIs" dxfId="531" priority="405" operator="equal">
      <formula>"Yes"</formula>
    </cfRule>
  </conditionalFormatting>
  <conditionalFormatting sqref="J22">
    <cfRule type="cellIs" dxfId="530" priority="400" operator="equal">
      <formula>"No"</formula>
    </cfRule>
    <cfRule type="cellIs" dxfId="529" priority="401" operator="equal">
      <formula>"NA"</formula>
    </cfRule>
    <cfRule type="cellIs" dxfId="528" priority="402" operator="equal">
      <formula>"Yes"</formula>
    </cfRule>
  </conditionalFormatting>
  <conditionalFormatting sqref="J23">
    <cfRule type="cellIs" dxfId="527" priority="397" operator="equal">
      <formula>"No"</formula>
    </cfRule>
    <cfRule type="cellIs" dxfId="526" priority="398" operator="equal">
      <formula>"NA"</formula>
    </cfRule>
    <cfRule type="cellIs" dxfId="525" priority="399" operator="equal">
      <formula>"Yes"</formula>
    </cfRule>
  </conditionalFormatting>
  <conditionalFormatting sqref="J25">
    <cfRule type="cellIs" dxfId="524" priority="394" operator="equal">
      <formula>"No"</formula>
    </cfRule>
    <cfRule type="cellIs" dxfId="523" priority="395" operator="equal">
      <formula>"NA"</formula>
    </cfRule>
    <cfRule type="cellIs" dxfId="522" priority="396" operator="equal">
      <formula>"Yes"</formula>
    </cfRule>
  </conditionalFormatting>
  <conditionalFormatting sqref="J26">
    <cfRule type="cellIs" dxfId="521" priority="391" operator="equal">
      <formula>"No"</formula>
    </cfRule>
    <cfRule type="cellIs" dxfId="520" priority="392" operator="equal">
      <formula>"NA"</formula>
    </cfRule>
    <cfRule type="cellIs" dxfId="519" priority="393" operator="equal">
      <formula>"Yes"</formula>
    </cfRule>
  </conditionalFormatting>
  <conditionalFormatting sqref="J27">
    <cfRule type="cellIs" dxfId="518" priority="388" operator="equal">
      <formula>"No"</formula>
    </cfRule>
    <cfRule type="cellIs" dxfId="517" priority="389" operator="equal">
      <formula>"NA"</formula>
    </cfRule>
    <cfRule type="cellIs" dxfId="516" priority="390" operator="equal">
      <formula>"Yes"</formula>
    </cfRule>
  </conditionalFormatting>
  <conditionalFormatting sqref="J28">
    <cfRule type="cellIs" dxfId="515" priority="385" operator="equal">
      <formula>"No"</formula>
    </cfRule>
    <cfRule type="cellIs" dxfId="514" priority="386" operator="equal">
      <formula>"NA"</formula>
    </cfRule>
    <cfRule type="cellIs" dxfId="513" priority="387" operator="equal">
      <formula>"Yes"</formula>
    </cfRule>
  </conditionalFormatting>
  <conditionalFormatting sqref="J30">
    <cfRule type="cellIs" dxfId="512" priority="382" operator="equal">
      <formula>"No"</formula>
    </cfRule>
    <cfRule type="cellIs" dxfId="511" priority="383" operator="equal">
      <formula>"NA"</formula>
    </cfRule>
    <cfRule type="cellIs" dxfId="510" priority="384" operator="equal">
      <formula>"Yes"</formula>
    </cfRule>
  </conditionalFormatting>
  <conditionalFormatting sqref="J31">
    <cfRule type="cellIs" dxfId="509" priority="379" operator="equal">
      <formula>"No"</formula>
    </cfRule>
    <cfRule type="cellIs" dxfId="508" priority="380" operator="equal">
      <formula>"NA"</formula>
    </cfRule>
    <cfRule type="cellIs" dxfId="507" priority="381" operator="equal">
      <formula>"Yes"</formula>
    </cfRule>
  </conditionalFormatting>
  <conditionalFormatting sqref="J33">
    <cfRule type="cellIs" dxfId="506" priority="376" operator="equal">
      <formula>"No"</formula>
    </cfRule>
    <cfRule type="cellIs" dxfId="505" priority="377" operator="equal">
      <formula>"NA"</formula>
    </cfRule>
    <cfRule type="cellIs" dxfId="504" priority="378" operator="equal">
      <formula>"Yes"</formula>
    </cfRule>
  </conditionalFormatting>
  <conditionalFormatting sqref="J9">
    <cfRule type="cellIs" dxfId="503" priority="373" operator="equal">
      <formula>"No"</formula>
    </cfRule>
    <cfRule type="cellIs" dxfId="502" priority="374" operator="equal">
      <formula>"NA"</formula>
    </cfRule>
    <cfRule type="cellIs" dxfId="501" priority="375" operator="equal">
      <formula>"Yes"</formula>
    </cfRule>
  </conditionalFormatting>
  <conditionalFormatting sqref="J6">
    <cfRule type="cellIs" dxfId="500" priority="370" operator="equal">
      <formula>"No"</formula>
    </cfRule>
    <cfRule type="cellIs" dxfId="499" priority="371" operator="equal">
      <formula>"NA"</formula>
    </cfRule>
    <cfRule type="cellIs" dxfId="498" priority="372" operator="equal">
      <formula>"Yes"</formula>
    </cfRule>
  </conditionalFormatting>
  <conditionalFormatting sqref="J7">
    <cfRule type="cellIs" dxfId="497" priority="367" operator="equal">
      <formula>"No"</formula>
    </cfRule>
    <cfRule type="cellIs" dxfId="496" priority="368" operator="equal">
      <formula>"NA"</formula>
    </cfRule>
    <cfRule type="cellIs" dxfId="495" priority="369" operator="equal">
      <formula>"Yes"</formula>
    </cfRule>
  </conditionalFormatting>
  <conditionalFormatting sqref="J10">
    <cfRule type="cellIs" dxfId="494" priority="364" operator="equal">
      <formula>"No"</formula>
    </cfRule>
    <cfRule type="cellIs" dxfId="493" priority="365" operator="equal">
      <formula>"NA"</formula>
    </cfRule>
    <cfRule type="cellIs" dxfId="492" priority="366" operator="equal">
      <formula>"Yes"</formula>
    </cfRule>
  </conditionalFormatting>
  <conditionalFormatting sqref="J17">
    <cfRule type="cellIs" dxfId="491" priority="361" operator="equal">
      <formula>"No"</formula>
    </cfRule>
    <cfRule type="cellIs" dxfId="490" priority="362" operator="equal">
      <formula>"NA"</formula>
    </cfRule>
    <cfRule type="cellIs" dxfId="489" priority="363" operator="equal">
      <formula>"Yes"</formula>
    </cfRule>
  </conditionalFormatting>
  <conditionalFormatting sqref="K11">
    <cfRule type="cellIs" dxfId="488" priority="358" operator="equal">
      <formula>"No"</formula>
    </cfRule>
    <cfRule type="cellIs" dxfId="487" priority="359" operator="equal">
      <formula>"NA"</formula>
    </cfRule>
    <cfRule type="cellIs" dxfId="486" priority="360" operator="equal">
      <formula>"Yes"</formula>
    </cfRule>
  </conditionalFormatting>
  <conditionalFormatting sqref="K15">
    <cfRule type="cellIs" dxfId="485" priority="355" operator="equal">
      <formula>"No"</formula>
    </cfRule>
    <cfRule type="cellIs" dxfId="484" priority="356" operator="equal">
      <formula>"NA"</formula>
    </cfRule>
    <cfRule type="cellIs" dxfId="483" priority="357" operator="equal">
      <formula>"Yes"</formula>
    </cfRule>
  </conditionalFormatting>
  <conditionalFormatting sqref="K12">
    <cfRule type="cellIs" dxfId="482" priority="352" operator="equal">
      <formula>"No"</formula>
    </cfRule>
    <cfRule type="cellIs" dxfId="481" priority="353" operator="equal">
      <formula>"NA"</formula>
    </cfRule>
    <cfRule type="cellIs" dxfId="480" priority="354" operator="equal">
      <formula>"Yes"</formula>
    </cfRule>
  </conditionalFormatting>
  <conditionalFormatting sqref="K13">
    <cfRule type="cellIs" dxfId="479" priority="349" operator="equal">
      <formula>"No"</formula>
    </cfRule>
    <cfRule type="cellIs" dxfId="478" priority="350" operator="equal">
      <formula>"NA"</formula>
    </cfRule>
    <cfRule type="cellIs" dxfId="477" priority="351" operator="equal">
      <formula>"Yes"</formula>
    </cfRule>
  </conditionalFormatting>
  <conditionalFormatting sqref="K14">
    <cfRule type="cellIs" dxfId="476" priority="346" operator="equal">
      <formula>"No"</formula>
    </cfRule>
    <cfRule type="cellIs" dxfId="475" priority="347" operator="equal">
      <formula>"NA"</formula>
    </cfRule>
    <cfRule type="cellIs" dxfId="474" priority="348" operator="equal">
      <formula>"Yes"</formula>
    </cfRule>
  </conditionalFormatting>
  <conditionalFormatting sqref="K16">
    <cfRule type="cellIs" dxfId="473" priority="343" operator="equal">
      <formula>"No"</formula>
    </cfRule>
    <cfRule type="cellIs" dxfId="472" priority="344" operator="equal">
      <formula>"NA"</formula>
    </cfRule>
    <cfRule type="cellIs" dxfId="471" priority="345" operator="equal">
      <formula>"Yes"</formula>
    </cfRule>
  </conditionalFormatting>
  <conditionalFormatting sqref="K18">
    <cfRule type="cellIs" dxfId="470" priority="340" operator="equal">
      <formula>"No"</formula>
    </cfRule>
    <cfRule type="cellIs" dxfId="469" priority="341" operator="equal">
      <formula>"NA"</formula>
    </cfRule>
    <cfRule type="cellIs" dxfId="468" priority="342" operator="equal">
      <formula>"Yes"</formula>
    </cfRule>
  </conditionalFormatting>
  <conditionalFormatting sqref="K19">
    <cfRule type="cellIs" dxfId="467" priority="337" operator="equal">
      <formula>"No"</formula>
    </cfRule>
    <cfRule type="cellIs" dxfId="466" priority="338" operator="equal">
      <formula>"NA"</formula>
    </cfRule>
    <cfRule type="cellIs" dxfId="465" priority="339" operator="equal">
      <formula>"Yes"</formula>
    </cfRule>
  </conditionalFormatting>
  <conditionalFormatting sqref="K20">
    <cfRule type="cellIs" dxfId="464" priority="334" operator="equal">
      <formula>"No"</formula>
    </cfRule>
    <cfRule type="cellIs" dxfId="463" priority="335" operator="equal">
      <formula>"NA"</formula>
    </cfRule>
    <cfRule type="cellIs" dxfId="462" priority="336" operator="equal">
      <formula>"Yes"</formula>
    </cfRule>
  </conditionalFormatting>
  <conditionalFormatting sqref="K21">
    <cfRule type="cellIs" dxfId="461" priority="331" operator="equal">
      <formula>"No"</formula>
    </cfRule>
    <cfRule type="cellIs" dxfId="460" priority="332" operator="equal">
      <formula>"NA"</formula>
    </cfRule>
    <cfRule type="cellIs" dxfId="459" priority="333" operator="equal">
      <formula>"Yes"</formula>
    </cfRule>
  </conditionalFormatting>
  <conditionalFormatting sqref="K22">
    <cfRule type="cellIs" dxfId="458" priority="328" operator="equal">
      <formula>"No"</formula>
    </cfRule>
    <cfRule type="cellIs" dxfId="457" priority="329" operator="equal">
      <formula>"NA"</formula>
    </cfRule>
    <cfRule type="cellIs" dxfId="456" priority="330" operator="equal">
      <formula>"Yes"</formula>
    </cfRule>
  </conditionalFormatting>
  <conditionalFormatting sqref="K23">
    <cfRule type="cellIs" dxfId="455" priority="325" operator="equal">
      <formula>"No"</formula>
    </cfRule>
    <cfRule type="cellIs" dxfId="454" priority="326" operator="equal">
      <formula>"NA"</formula>
    </cfRule>
    <cfRule type="cellIs" dxfId="453" priority="327" operator="equal">
      <formula>"Yes"</formula>
    </cfRule>
  </conditionalFormatting>
  <conditionalFormatting sqref="K26">
    <cfRule type="cellIs" dxfId="452" priority="322" operator="equal">
      <formula>"No"</formula>
    </cfRule>
    <cfRule type="cellIs" dxfId="451" priority="323" operator="equal">
      <formula>"NA"</formula>
    </cfRule>
    <cfRule type="cellIs" dxfId="450" priority="324" operator="equal">
      <formula>"Yes"</formula>
    </cfRule>
  </conditionalFormatting>
  <conditionalFormatting sqref="K27">
    <cfRule type="cellIs" dxfId="449" priority="319" operator="equal">
      <formula>"No"</formula>
    </cfRule>
    <cfRule type="cellIs" dxfId="448" priority="320" operator="equal">
      <formula>"NA"</formula>
    </cfRule>
    <cfRule type="cellIs" dxfId="447" priority="321" operator="equal">
      <formula>"Yes"</formula>
    </cfRule>
  </conditionalFormatting>
  <conditionalFormatting sqref="K28">
    <cfRule type="cellIs" dxfId="446" priority="316" operator="equal">
      <formula>"No"</formula>
    </cfRule>
    <cfRule type="cellIs" dxfId="445" priority="317" operator="equal">
      <formula>"NA"</formula>
    </cfRule>
    <cfRule type="cellIs" dxfId="444" priority="318" operator="equal">
      <formula>"Yes"</formula>
    </cfRule>
  </conditionalFormatting>
  <conditionalFormatting sqref="K30">
    <cfRule type="cellIs" dxfId="443" priority="313" operator="equal">
      <formula>"No"</formula>
    </cfRule>
    <cfRule type="cellIs" dxfId="442" priority="314" operator="equal">
      <formula>"NA"</formula>
    </cfRule>
    <cfRule type="cellIs" dxfId="441" priority="315" operator="equal">
      <formula>"Yes"</formula>
    </cfRule>
  </conditionalFormatting>
  <conditionalFormatting sqref="K31">
    <cfRule type="cellIs" dxfId="440" priority="310" operator="equal">
      <formula>"No"</formula>
    </cfRule>
    <cfRule type="cellIs" dxfId="439" priority="311" operator="equal">
      <formula>"NA"</formula>
    </cfRule>
    <cfRule type="cellIs" dxfId="438" priority="312" operator="equal">
      <formula>"Yes"</formula>
    </cfRule>
  </conditionalFormatting>
  <conditionalFormatting sqref="K33">
    <cfRule type="cellIs" dxfId="437" priority="307" operator="equal">
      <formula>"No"</formula>
    </cfRule>
    <cfRule type="cellIs" dxfId="436" priority="308" operator="equal">
      <formula>"NA"</formula>
    </cfRule>
    <cfRule type="cellIs" dxfId="435" priority="309" operator="equal">
      <formula>"Yes"</formula>
    </cfRule>
  </conditionalFormatting>
  <conditionalFormatting sqref="K9">
    <cfRule type="cellIs" dxfId="434" priority="304" operator="equal">
      <formula>"No"</formula>
    </cfRule>
    <cfRule type="cellIs" dxfId="433" priority="305" operator="equal">
      <formula>"NA"</formula>
    </cfRule>
    <cfRule type="cellIs" dxfId="432" priority="306" operator="equal">
      <formula>"Yes"</formula>
    </cfRule>
  </conditionalFormatting>
  <conditionalFormatting sqref="K6">
    <cfRule type="cellIs" dxfId="431" priority="301" operator="equal">
      <formula>"No"</formula>
    </cfRule>
    <cfRule type="cellIs" dxfId="430" priority="302" operator="equal">
      <formula>"NA"</formula>
    </cfRule>
    <cfRule type="cellIs" dxfId="429" priority="303" operator="equal">
      <formula>"Yes"</formula>
    </cfRule>
  </conditionalFormatting>
  <conditionalFormatting sqref="K7">
    <cfRule type="cellIs" dxfId="428" priority="298" operator="equal">
      <formula>"No"</formula>
    </cfRule>
    <cfRule type="cellIs" dxfId="427" priority="299" operator="equal">
      <formula>"NA"</formula>
    </cfRule>
    <cfRule type="cellIs" dxfId="426" priority="300" operator="equal">
      <formula>"Yes"</formula>
    </cfRule>
  </conditionalFormatting>
  <conditionalFormatting sqref="K10">
    <cfRule type="cellIs" dxfId="425" priority="295" operator="equal">
      <formula>"No"</formula>
    </cfRule>
    <cfRule type="cellIs" dxfId="424" priority="296" operator="equal">
      <formula>"NA"</formula>
    </cfRule>
    <cfRule type="cellIs" dxfId="423" priority="297" operator="equal">
      <formula>"Yes"</formula>
    </cfRule>
  </conditionalFormatting>
  <conditionalFormatting sqref="K17">
    <cfRule type="cellIs" dxfId="422" priority="292" operator="equal">
      <formula>"No"</formula>
    </cfRule>
    <cfRule type="cellIs" dxfId="421" priority="293" operator="equal">
      <formula>"NA"</formula>
    </cfRule>
    <cfRule type="cellIs" dxfId="420" priority="294" operator="equal">
      <formula>"Yes"</formula>
    </cfRule>
  </conditionalFormatting>
  <conditionalFormatting sqref="K25">
    <cfRule type="cellIs" dxfId="419" priority="289" operator="equal">
      <formula>"No"</formula>
    </cfRule>
    <cfRule type="cellIs" dxfId="418" priority="290" operator="equal">
      <formula>"NA"</formula>
    </cfRule>
    <cfRule type="cellIs" dxfId="417" priority="291" operator="equal">
      <formula>"Yes"</formula>
    </cfRule>
  </conditionalFormatting>
  <conditionalFormatting sqref="L11">
    <cfRule type="cellIs" dxfId="416" priority="286" operator="equal">
      <formula>"No"</formula>
    </cfRule>
    <cfRule type="cellIs" dxfId="415" priority="287" operator="equal">
      <formula>"NA"</formula>
    </cfRule>
    <cfRule type="cellIs" dxfId="414" priority="288" operator="equal">
      <formula>"Yes"</formula>
    </cfRule>
  </conditionalFormatting>
  <conditionalFormatting sqref="L12">
    <cfRule type="cellIs" dxfId="413" priority="283" operator="equal">
      <formula>"No"</formula>
    </cfRule>
    <cfRule type="cellIs" dxfId="412" priority="284" operator="equal">
      <formula>"NA"</formula>
    </cfRule>
    <cfRule type="cellIs" dxfId="411" priority="285" operator="equal">
      <formula>"Yes"</formula>
    </cfRule>
  </conditionalFormatting>
  <conditionalFormatting sqref="L13">
    <cfRule type="cellIs" dxfId="410" priority="280" operator="equal">
      <formula>"No"</formula>
    </cfRule>
    <cfRule type="cellIs" dxfId="409" priority="281" operator="equal">
      <formula>"NA"</formula>
    </cfRule>
    <cfRule type="cellIs" dxfId="408" priority="282" operator="equal">
      <formula>"Yes"</formula>
    </cfRule>
  </conditionalFormatting>
  <conditionalFormatting sqref="L14">
    <cfRule type="cellIs" dxfId="407" priority="277" operator="equal">
      <formula>"No"</formula>
    </cfRule>
    <cfRule type="cellIs" dxfId="406" priority="278" operator="equal">
      <formula>"NA"</formula>
    </cfRule>
    <cfRule type="cellIs" dxfId="405" priority="279" operator="equal">
      <formula>"Yes"</formula>
    </cfRule>
  </conditionalFormatting>
  <conditionalFormatting sqref="L15">
    <cfRule type="cellIs" dxfId="404" priority="274" operator="equal">
      <formula>"No"</formula>
    </cfRule>
    <cfRule type="cellIs" dxfId="403" priority="275" operator="equal">
      <formula>"NA"</formula>
    </cfRule>
    <cfRule type="cellIs" dxfId="402" priority="276" operator="equal">
      <formula>"Yes"</formula>
    </cfRule>
  </conditionalFormatting>
  <conditionalFormatting sqref="L16">
    <cfRule type="cellIs" dxfId="401" priority="271" operator="equal">
      <formula>"No"</formula>
    </cfRule>
    <cfRule type="cellIs" dxfId="400" priority="272" operator="equal">
      <formula>"NA"</formula>
    </cfRule>
    <cfRule type="cellIs" dxfId="399" priority="273" operator="equal">
      <formula>"Yes"</formula>
    </cfRule>
  </conditionalFormatting>
  <conditionalFormatting sqref="L18">
    <cfRule type="cellIs" dxfId="398" priority="268" operator="equal">
      <formula>"No"</formula>
    </cfRule>
    <cfRule type="cellIs" dxfId="397" priority="269" operator="equal">
      <formula>"NA"</formula>
    </cfRule>
    <cfRule type="cellIs" dxfId="396" priority="270" operator="equal">
      <formula>"Yes"</formula>
    </cfRule>
  </conditionalFormatting>
  <conditionalFormatting sqref="L19">
    <cfRule type="cellIs" dxfId="395" priority="265" operator="equal">
      <formula>"No"</formula>
    </cfRule>
    <cfRule type="cellIs" dxfId="394" priority="266" operator="equal">
      <formula>"NA"</formula>
    </cfRule>
    <cfRule type="cellIs" dxfId="393" priority="267" operator="equal">
      <formula>"Yes"</formula>
    </cfRule>
  </conditionalFormatting>
  <conditionalFormatting sqref="L20">
    <cfRule type="cellIs" dxfId="392" priority="262" operator="equal">
      <formula>"No"</formula>
    </cfRule>
    <cfRule type="cellIs" dxfId="391" priority="263" operator="equal">
      <formula>"NA"</formula>
    </cfRule>
    <cfRule type="cellIs" dxfId="390" priority="264" operator="equal">
      <formula>"Yes"</formula>
    </cfRule>
  </conditionalFormatting>
  <conditionalFormatting sqref="L21">
    <cfRule type="cellIs" dxfId="389" priority="259" operator="equal">
      <formula>"No"</formula>
    </cfRule>
    <cfRule type="cellIs" dxfId="388" priority="260" operator="equal">
      <formula>"NA"</formula>
    </cfRule>
    <cfRule type="cellIs" dxfId="387" priority="261" operator="equal">
      <formula>"Yes"</formula>
    </cfRule>
  </conditionalFormatting>
  <conditionalFormatting sqref="L22">
    <cfRule type="cellIs" dxfId="386" priority="256" operator="equal">
      <formula>"No"</formula>
    </cfRule>
    <cfRule type="cellIs" dxfId="385" priority="257" operator="equal">
      <formula>"NA"</formula>
    </cfRule>
    <cfRule type="cellIs" dxfId="384" priority="258" operator="equal">
      <formula>"Yes"</formula>
    </cfRule>
  </conditionalFormatting>
  <conditionalFormatting sqref="L23">
    <cfRule type="cellIs" dxfId="383" priority="253" operator="equal">
      <formula>"No"</formula>
    </cfRule>
    <cfRule type="cellIs" dxfId="382" priority="254" operator="equal">
      <formula>"NA"</formula>
    </cfRule>
    <cfRule type="cellIs" dxfId="381" priority="255" operator="equal">
      <formula>"Yes"</formula>
    </cfRule>
  </conditionalFormatting>
  <conditionalFormatting sqref="L25">
    <cfRule type="cellIs" dxfId="380" priority="250" operator="equal">
      <formula>"No"</formula>
    </cfRule>
    <cfRule type="cellIs" dxfId="379" priority="251" operator="equal">
      <formula>"NA"</formula>
    </cfRule>
    <cfRule type="cellIs" dxfId="378" priority="252" operator="equal">
      <formula>"Yes"</formula>
    </cfRule>
  </conditionalFormatting>
  <conditionalFormatting sqref="L26">
    <cfRule type="cellIs" dxfId="377" priority="247" operator="equal">
      <formula>"No"</formula>
    </cfRule>
    <cfRule type="cellIs" dxfId="376" priority="248" operator="equal">
      <formula>"NA"</formula>
    </cfRule>
    <cfRule type="cellIs" dxfId="375" priority="249" operator="equal">
      <formula>"Yes"</formula>
    </cfRule>
  </conditionalFormatting>
  <conditionalFormatting sqref="L27">
    <cfRule type="cellIs" dxfId="374" priority="244" operator="equal">
      <formula>"No"</formula>
    </cfRule>
    <cfRule type="cellIs" dxfId="373" priority="245" operator="equal">
      <formula>"NA"</formula>
    </cfRule>
    <cfRule type="cellIs" dxfId="372" priority="246" operator="equal">
      <formula>"Yes"</formula>
    </cfRule>
  </conditionalFormatting>
  <conditionalFormatting sqref="L28">
    <cfRule type="cellIs" dxfId="371" priority="241" operator="equal">
      <formula>"No"</formula>
    </cfRule>
    <cfRule type="cellIs" dxfId="370" priority="242" operator="equal">
      <formula>"NA"</formula>
    </cfRule>
    <cfRule type="cellIs" dxfId="369" priority="243" operator="equal">
      <formula>"Yes"</formula>
    </cfRule>
  </conditionalFormatting>
  <conditionalFormatting sqref="L30">
    <cfRule type="cellIs" dxfId="368" priority="238" operator="equal">
      <formula>"No"</formula>
    </cfRule>
    <cfRule type="cellIs" dxfId="367" priority="239" operator="equal">
      <formula>"NA"</formula>
    </cfRule>
    <cfRule type="cellIs" dxfId="366" priority="240" operator="equal">
      <formula>"Yes"</formula>
    </cfRule>
  </conditionalFormatting>
  <conditionalFormatting sqref="L31">
    <cfRule type="cellIs" dxfId="365" priority="235" operator="equal">
      <formula>"No"</formula>
    </cfRule>
    <cfRule type="cellIs" dxfId="364" priority="236" operator="equal">
      <formula>"NA"</formula>
    </cfRule>
    <cfRule type="cellIs" dxfId="363" priority="237" operator="equal">
      <formula>"Yes"</formula>
    </cfRule>
  </conditionalFormatting>
  <conditionalFormatting sqref="L33">
    <cfRule type="cellIs" dxfId="362" priority="232" operator="equal">
      <formula>"No"</formula>
    </cfRule>
    <cfRule type="cellIs" dxfId="361" priority="233" operator="equal">
      <formula>"NA"</formula>
    </cfRule>
    <cfRule type="cellIs" dxfId="360" priority="234" operator="equal">
      <formula>"Yes"</formula>
    </cfRule>
  </conditionalFormatting>
  <conditionalFormatting sqref="L9">
    <cfRule type="cellIs" dxfId="359" priority="229" operator="equal">
      <formula>"No"</formula>
    </cfRule>
    <cfRule type="cellIs" dxfId="358" priority="230" operator="equal">
      <formula>"NA"</formula>
    </cfRule>
    <cfRule type="cellIs" dxfId="357" priority="231" operator="equal">
      <formula>"Yes"</formula>
    </cfRule>
  </conditionalFormatting>
  <conditionalFormatting sqref="L6">
    <cfRule type="cellIs" dxfId="356" priority="226" operator="equal">
      <formula>"No"</formula>
    </cfRule>
    <cfRule type="cellIs" dxfId="355" priority="227" operator="equal">
      <formula>"NA"</formula>
    </cfRule>
    <cfRule type="cellIs" dxfId="354" priority="228" operator="equal">
      <formula>"Yes"</formula>
    </cfRule>
  </conditionalFormatting>
  <conditionalFormatting sqref="L7">
    <cfRule type="cellIs" dxfId="353" priority="223" operator="equal">
      <formula>"No"</formula>
    </cfRule>
    <cfRule type="cellIs" dxfId="352" priority="224" operator="equal">
      <formula>"NA"</formula>
    </cfRule>
    <cfRule type="cellIs" dxfId="351" priority="225" operator="equal">
      <formula>"Yes"</formula>
    </cfRule>
  </conditionalFormatting>
  <conditionalFormatting sqref="L10">
    <cfRule type="cellIs" dxfId="350" priority="220" operator="equal">
      <formula>"No"</formula>
    </cfRule>
    <cfRule type="cellIs" dxfId="349" priority="221" operator="equal">
      <formula>"NA"</formula>
    </cfRule>
    <cfRule type="cellIs" dxfId="348" priority="222" operator="equal">
      <formula>"Yes"</formula>
    </cfRule>
  </conditionalFormatting>
  <conditionalFormatting sqref="L17">
    <cfRule type="cellIs" dxfId="347" priority="217" operator="equal">
      <formula>"No"</formula>
    </cfRule>
    <cfRule type="cellIs" dxfId="346" priority="218" operator="equal">
      <formula>"NA"</formula>
    </cfRule>
    <cfRule type="cellIs" dxfId="345" priority="219" operator="equal">
      <formula>"Yes"</formula>
    </cfRule>
  </conditionalFormatting>
  <conditionalFormatting sqref="M11">
    <cfRule type="cellIs" dxfId="344" priority="214" operator="equal">
      <formula>"No"</formula>
    </cfRule>
    <cfRule type="cellIs" dxfId="343" priority="215" operator="equal">
      <formula>"NA"</formula>
    </cfRule>
    <cfRule type="cellIs" dxfId="342" priority="216" operator="equal">
      <formula>"Yes"</formula>
    </cfRule>
  </conditionalFormatting>
  <conditionalFormatting sqref="M12">
    <cfRule type="cellIs" dxfId="341" priority="211" operator="equal">
      <formula>"No"</formula>
    </cfRule>
    <cfRule type="cellIs" dxfId="340" priority="212" operator="equal">
      <formula>"NA"</formula>
    </cfRule>
    <cfRule type="cellIs" dxfId="339" priority="213" operator="equal">
      <formula>"Yes"</formula>
    </cfRule>
  </conditionalFormatting>
  <conditionalFormatting sqref="M13">
    <cfRule type="cellIs" dxfId="338" priority="208" operator="equal">
      <formula>"No"</formula>
    </cfRule>
    <cfRule type="cellIs" dxfId="337" priority="209" operator="equal">
      <formula>"NA"</formula>
    </cfRule>
    <cfRule type="cellIs" dxfId="336" priority="210" operator="equal">
      <formula>"Yes"</formula>
    </cfRule>
  </conditionalFormatting>
  <conditionalFormatting sqref="M14">
    <cfRule type="cellIs" dxfId="335" priority="205" operator="equal">
      <formula>"No"</formula>
    </cfRule>
    <cfRule type="cellIs" dxfId="334" priority="206" operator="equal">
      <formula>"NA"</formula>
    </cfRule>
    <cfRule type="cellIs" dxfId="333" priority="207" operator="equal">
      <formula>"Yes"</formula>
    </cfRule>
  </conditionalFormatting>
  <conditionalFormatting sqref="M15">
    <cfRule type="cellIs" dxfId="332" priority="202" operator="equal">
      <formula>"No"</formula>
    </cfRule>
    <cfRule type="cellIs" dxfId="331" priority="203" operator="equal">
      <formula>"NA"</formula>
    </cfRule>
    <cfRule type="cellIs" dxfId="330" priority="204" operator="equal">
      <formula>"Yes"</formula>
    </cfRule>
  </conditionalFormatting>
  <conditionalFormatting sqref="M16">
    <cfRule type="cellIs" dxfId="329" priority="199" operator="equal">
      <formula>"No"</formula>
    </cfRule>
    <cfRule type="cellIs" dxfId="328" priority="200" operator="equal">
      <formula>"NA"</formula>
    </cfRule>
    <cfRule type="cellIs" dxfId="327" priority="201" operator="equal">
      <formula>"Yes"</formula>
    </cfRule>
  </conditionalFormatting>
  <conditionalFormatting sqref="M18">
    <cfRule type="cellIs" dxfId="326" priority="196" operator="equal">
      <formula>"No"</formula>
    </cfRule>
    <cfRule type="cellIs" dxfId="325" priority="197" operator="equal">
      <formula>"NA"</formula>
    </cfRule>
    <cfRule type="cellIs" dxfId="324" priority="198" operator="equal">
      <formula>"Yes"</formula>
    </cfRule>
  </conditionalFormatting>
  <conditionalFormatting sqref="M19">
    <cfRule type="cellIs" dxfId="323" priority="193" operator="equal">
      <formula>"No"</formula>
    </cfRule>
    <cfRule type="cellIs" dxfId="322" priority="194" operator="equal">
      <formula>"NA"</formula>
    </cfRule>
    <cfRule type="cellIs" dxfId="321" priority="195" operator="equal">
      <formula>"Yes"</formula>
    </cfRule>
  </conditionalFormatting>
  <conditionalFormatting sqref="M20">
    <cfRule type="cellIs" dxfId="320" priority="190" operator="equal">
      <formula>"No"</formula>
    </cfRule>
    <cfRule type="cellIs" dxfId="319" priority="191" operator="equal">
      <formula>"NA"</formula>
    </cfRule>
    <cfRule type="cellIs" dxfId="318" priority="192" operator="equal">
      <formula>"Yes"</formula>
    </cfRule>
  </conditionalFormatting>
  <conditionalFormatting sqref="M21">
    <cfRule type="cellIs" dxfId="317" priority="187" operator="equal">
      <formula>"No"</formula>
    </cfRule>
    <cfRule type="cellIs" dxfId="316" priority="188" operator="equal">
      <formula>"NA"</formula>
    </cfRule>
    <cfRule type="cellIs" dxfId="315" priority="189" operator="equal">
      <formula>"Yes"</formula>
    </cfRule>
  </conditionalFormatting>
  <conditionalFormatting sqref="M22">
    <cfRule type="cellIs" dxfId="314" priority="184" operator="equal">
      <formula>"No"</formula>
    </cfRule>
    <cfRule type="cellIs" dxfId="313" priority="185" operator="equal">
      <formula>"NA"</formula>
    </cfRule>
    <cfRule type="cellIs" dxfId="312" priority="186" operator="equal">
      <formula>"Yes"</formula>
    </cfRule>
  </conditionalFormatting>
  <conditionalFormatting sqref="M23">
    <cfRule type="cellIs" dxfId="311" priority="181" operator="equal">
      <formula>"No"</formula>
    </cfRule>
    <cfRule type="cellIs" dxfId="310" priority="182" operator="equal">
      <formula>"NA"</formula>
    </cfRule>
    <cfRule type="cellIs" dxfId="309" priority="183" operator="equal">
      <formula>"Yes"</formula>
    </cfRule>
  </conditionalFormatting>
  <conditionalFormatting sqref="M25">
    <cfRule type="cellIs" dxfId="308" priority="178" operator="equal">
      <formula>"No"</formula>
    </cfRule>
    <cfRule type="cellIs" dxfId="307" priority="179" operator="equal">
      <formula>"NA"</formula>
    </cfRule>
    <cfRule type="cellIs" dxfId="306" priority="180" operator="equal">
      <formula>"Yes"</formula>
    </cfRule>
  </conditionalFormatting>
  <conditionalFormatting sqref="M26">
    <cfRule type="cellIs" dxfId="305" priority="175" operator="equal">
      <formula>"No"</formula>
    </cfRule>
    <cfRule type="cellIs" dxfId="304" priority="176" operator="equal">
      <formula>"NA"</formula>
    </cfRule>
    <cfRule type="cellIs" dxfId="303" priority="177" operator="equal">
      <formula>"Yes"</formula>
    </cfRule>
  </conditionalFormatting>
  <conditionalFormatting sqref="M27">
    <cfRule type="cellIs" dxfId="302" priority="172" operator="equal">
      <formula>"No"</formula>
    </cfRule>
    <cfRule type="cellIs" dxfId="301" priority="173" operator="equal">
      <formula>"NA"</formula>
    </cfRule>
    <cfRule type="cellIs" dxfId="300" priority="174" operator="equal">
      <formula>"Yes"</formula>
    </cfRule>
  </conditionalFormatting>
  <conditionalFormatting sqref="M28">
    <cfRule type="cellIs" dxfId="299" priority="169" operator="equal">
      <formula>"No"</formula>
    </cfRule>
    <cfRule type="cellIs" dxfId="298" priority="170" operator="equal">
      <formula>"NA"</formula>
    </cfRule>
    <cfRule type="cellIs" dxfId="297" priority="171" operator="equal">
      <formula>"Yes"</formula>
    </cfRule>
  </conditionalFormatting>
  <conditionalFormatting sqref="M30">
    <cfRule type="cellIs" dxfId="296" priority="166" operator="equal">
      <formula>"No"</formula>
    </cfRule>
    <cfRule type="cellIs" dxfId="295" priority="167" operator="equal">
      <formula>"NA"</formula>
    </cfRule>
    <cfRule type="cellIs" dxfId="294" priority="168" operator="equal">
      <formula>"Yes"</formula>
    </cfRule>
  </conditionalFormatting>
  <conditionalFormatting sqref="M31">
    <cfRule type="cellIs" dxfId="293" priority="163" operator="equal">
      <formula>"No"</formula>
    </cfRule>
    <cfRule type="cellIs" dxfId="292" priority="164" operator="equal">
      <formula>"NA"</formula>
    </cfRule>
    <cfRule type="cellIs" dxfId="291" priority="165" operator="equal">
      <formula>"Yes"</formula>
    </cfRule>
  </conditionalFormatting>
  <conditionalFormatting sqref="M33">
    <cfRule type="cellIs" dxfId="290" priority="160" operator="equal">
      <formula>"No"</formula>
    </cfRule>
    <cfRule type="cellIs" dxfId="289" priority="161" operator="equal">
      <formula>"NA"</formula>
    </cfRule>
    <cfRule type="cellIs" dxfId="288" priority="162" operator="equal">
      <formula>"Yes"</formula>
    </cfRule>
  </conditionalFormatting>
  <conditionalFormatting sqref="M9">
    <cfRule type="cellIs" dxfId="287" priority="157" operator="equal">
      <formula>"No"</formula>
    </cfRule>
    <cfRule type="cellIs" dxfId="286" priority="158" operator="equal">
      <formula>"NA"</formula>
    </cfRule>
    <cfRule type="cellIs" dxfId="285" priority="159" operator="equal">
      <formula>"Yes"</formula>
    </cfRule>
  </conditionalFormatting>
  <conditionalFormatting sqref="M6">
    <cfRule type="cellIs" dxfId="284" priority="154" operator="equal">
      <formula>"No"</formula>
    </cfRule>
    <cfRule type="cellIs" dxfId="283" priority="155" operator="equal">
      <formula>"NA"</formula>
    </cfRule>
    <cfRule type="cellIs" dxfId="282" priority="156" operator="equal">
      <formula>"Yes"</formula>
    </cfRule>
  </conditionalFormatting>
  <conditionalFormatting sqref="M7">
    <cfRule type="cellIs" dxfId="281" priority="151" operator="equal">
      <formula>"No"</formula>
    </cfRule>
    <cfRule type="cellIs" dxfId="280" priority="152" operator="equal">
      <formula>"NA"</formula>
    </cfRule>
    <cfRule type="cellIs" dxfId="279" priority="153" operator="equal">
      <formula>"Yes"</formula>
    </cfRule>
  </conditionalFormatting>
  <conditionalFormatting sqref="M10">
    <cfRule type="cellIs" dxfId="278" priority="148" operator="equal">
      <formula>"No"</formula>
    </cfRule>
    <cfRule type="cellIs" dxfId="277" priority="149" operator="equal">
      <formula>"NA"</formula>
    </cfRule>
    <cfRule type="cellIs" dxfId="276" priority="150" operator="equal">
      <formula>"Yes"</formula>
    </cfRule>
  </conditionalFormatting>
  <conditionalFormatting sqref="M17">
    <cfRule type="cellIs" dxfId="275" priority="145" operator="equal">
      <formula>"No"</formula>
    </cfRule>
    <cfRule type="cellIs" dxfId="274" priority="146" operator="equal">
      <formula>"NA"</formula>
    </cfRule>
    <cfRule type="cellIs" dxfId="273" priority="147" operator="equal">
      <formula>"Yes"</formula>
    </cfRule>
  </conditionalFormatting>
  <conditionalFormatting sqref="N11">
    <cfRule type="cellIs" dxfId="272" priority="142" operator="equal">
      <formula>"No"</formula>
    </cfRule>
    <cfRule type="cellIs" dxfId="271" priority="143" operator="equal">
      <formula>"NA"</formula>
    </cfRule>
    <cfRule type="cellIs" dxfId="270" priority="144" operator="equal">
      <formula>"Yes"</formula>
    </cfRule>
  </conditionalFormatting>
  <conditionalFormatting sqref="N15">
    <cfRule type="cellIs" dxfId="269" priority="139" operator="equal">
      <formula>"No"</formula>
    </cfRule>
    <cfRule type="cellIs" dxfId="268" priority="140" operator="equal">
      <formula>"NA"</formula>
    </cfRule>
    <cfRule type="cellIs" dxfId="267" priority="141" operator="equal">
      <formula>"Yes"</formula>
    </cfRule>
  </conditionalFormatting>
  <conditionalFormatting sqref="N12">
    <cfRule type="cellIs" dxfId="266" priority="136" operator="equal">
      <formula>"No"</formula>
    </cfRule>
    <cfRule type="cellIs" dxfId="265" priority="137" operator="equal">
      <formula>"NA"</formula>
    </cfRule>
    <cfRule type="cellIs" dxfId="264" priority="138" operator="equal">
      <formula>"Yes"</formula>
    </cfRule>
  </conditionalFormatting>
  <conditionalFormatting sqref="N13">
    <cfRule type="cellIs" dxfId="263" priority="133" operator="equal">
      <formula>"No"</formula>
    </cfRule>
    <cfRule type="cellIs" dxfId="262" priority="134" operator="equal">
      <formula>"NA"</formula>
    </cfRule>
    <cfRule type="cellIs" dxfId="261" priority="135" operator="equal">
      <formula>"Yes"</formula>
    </cfRule>
  </conditionalFormatting>
  <conditionalFormatting sqref="N14">
    <cfRule type="cellIs" dxfId="260" priority="130" operator="equal">
      <formula>"No"</formula>
    </cfRule>
    <cfRule type="cellIs" dxfId="259" priority="131" operator="equal">
      <formula>"NA"</formula>
    </cfRule>
    <cfRule type="cellIs" dxfId="258" priority="132" operator="equal">
      <formula>"Yes"</formula>
    </cfRule>
  </conditionalFormatting>
  <conditionalFormatting sqref="N16">
    <cfRule type="cellIs" dxfId="257" priority="127" operator="equal">
      <formula>"No"</formula>
    </cfRule>
    <cfRule type="cellIs" dxfId="256" priority="128" operator="equal">
      <formula>"NA"</formula>
    </cfRule>
    <cfRule type="cellIs" dxfId="255" priority="129" operator="equal">
      <formula>"Yes"</formula>
    </cfRule>
  </conditionalFormatting>
  <conditionalFormatting sqref="N18">
    <cfRule type="cellIs" dxfId="254" priority="124" operator="equal">
      <formula>"No"</formula>
    </cfRule>
    <cfRule type="cellIs" dxfId="253" priority="125" operator="equal">
      <formula>"NA"</formula>
    </cfRule>
    <cfRule type="cellIs" dxfId="252" priority="126" operator="equal">
      <formula>"Yes"</formula>
    </cfRule>
  </conditionalFormatting>
  <conditionalFormatting sqref="N19">
    <cfRule type="cellIs" dxfId="251" priority="121" operator="equal">
      <formula>"No"</formula>
    </cfRule>
    <cfRule type="cellIs" dxfId="250" priority="122" operator="equal">
      <formula>"NA"</formula>
    </cfRule>
    <cfRule type="cellIs" dxfId="249" priority="123" operator="equal">
      <formula>"Yes"</formula>
    </cfRule>
  </conditionalFormatting>
  <conditionalFormatting sqref="N20">
    <cfRule type="cellIs" dxfId="248" priority="118" operator="equal">
      <formula>"No"</formula>
    </cfRule>
    <cfRule type="cellIs" dxfId="247" priority="119" operator="equal">
      <formula>"NA"</formula>
    </cfRule>
    <cfRule type="cellIs" dxfId="246" priority="120" operator="equal">
      <formula>"Yes"</formula>
    </cfRule>
  </conditionalFormatting>
  <conditionalFormatting sqref="N21">
    <cfRule type="cellIs" dxfId="245" priority="115" operator="equal">
      <formula>"No"</formula>
    </cfRule>
    <cfRule type="cellIs" dxfId="244" priority="116" operator="equal">
      <formula>"NA"</formula>
    </cfRule>
    <cfRule type="cellIs" dxfId="243" priority="117" operator="equal">
      <formula>"Yes"</formula>
    </cfRule>
  </conditionalFormatting>
  <conditionalFormatting sqref="N22">
    <cfRule type="cellIs" dxfId="242" priority="112" operator="equal">
      <formula>"No"</formula>
    </cfRule>
    <cfRule type="cellIs" dxfId="241" priority="113" operator="equal">
      <formula>"NA"</formula>
    </cfRule>
    <cfRule type="cellIs" dxfId="240" priority="114" operator="equal">
      <formula>"Yes"</formula>
    </cfRule>
  </conditionalFormatting>
  <conditionalFormatting sqref="N23">
    <cfRule type="cellIs" dxfId="239" priority="109" operator="equal">
      <formula>"No"</formula>
    </cfRule>
    <cfRule type="cellIs" dxfId="238" priority="110" operator="equal">
      <formula>"NA"</formula>
    </cfRule>
    <cfRule type="cellIs" dxfId="237" priority="111" operator="equal">
      <formula>"Yes"</formula>
    </cfRule>
  </conditionalFormatting>
  <conditionalFormatting sqref="N26">
    <cfRule type="cellIs" dxfId="236" priority="106" operator="equal">
      <formula>"No"</formula>
    </cfRule>
    <cfRule type="cellIs" dxfId="235" priority="107" operator="equal">
      <formula>"NA"</formula>
    </cfRule>
    <cfRule type="cellIs" dxfId="234" priority="108" operator="equal">
      <formula>"Yes"</formula>
    </cfRule>
  </conditionalFormatting>
  <conditionalFormatting sqref="N27">
    <cfRule type="cellIs" dxfId="233" priority="103" operator="equal">
      <formula>"No"</formula>
    </cfRule>
    <cfRule type="cellIs" dxfId="232" priority="104" operator="equal">
      <formula>"NA"</formula>
    </cfRule>
    <cfRule type="cellIs" dxfId="231" priority="105" operator="equal">
      <formula>"Yes"</formula>
    </cfRule>
  </conditionalFormatting>
  <conditionalFormatting sqref="N28">
    <cfRule type="cellIs" dxfId="230" priority="100" operator="equal">
      <formula>"No"</formula>
    </cfRule>
    <cfRule type="cellIs" dxfId="229" priority="101" operator="equal">
      <formula>"NA"</formula>
    </cfRule>
    <cfRule type="cellIs" dxfId="228" priority="102" operator="equal">
      <formula>"Yes"</formula>
    </cfRule>
  </conditionalFormatting>
  <conditionalFormatting sqref="N30">
    <cfRule type="cellIs" dxfId="227" priority="97" operator="equal">
      <formula>"No"</formula>
    </cfRule>
    <cfRule type="cellIs" dxfId="226" priority="98" operator="equal">
      <formula>"NA"</formula>
    </cfRule>
    <cfRule type="cellIs" dxfId="225" priority="99" operator="equal">
      <formula>"Yes"</formula>
    </cfRule>
  </conditionalFormatting>
  <conditionalFormatting sqref="N31">
    <cfRule type="cellIs" dxfId="224" priority="94" operator="equal">
      <formula>"No"</formula>
    </cfRule>
    <cfRule type="cellIs" dxfId="223" priority="95" operator="equal">
      <formula>"NA"</formula>
    </cfRule>
    <cfRule type="cellIs" dxfId="222" priority="96" operator="equal">
      <formula>"Yes"</formula>
    </cfRule>
  </conditionalFormatting>
  <conditionalFormatting sqref="N33">
    <cfRule type="cellIs" dxfId="221" priority="91" operator="equal">
      <formula>"No"</formula>
    </cfRule>
    <cfRule type="cellIs" dxfId="220" priority="92" operator="equal">
      <formula>"NA"</formula>
    </cfRule>
    <cfRule type="cellIs" dxfId="219" priority="93" operator="equal">
      <formula>"Yes"</formula>
    </cfRule>
  </conditionalFormatting>
  <conditionalFormatting sqref="N9">
    <cfRule type="cellIs" dxfId="218" priority="88" operator="equal">
      <formula>"No"</formula>
    </cfRule>
    <cfRule type="cellIs" dxfId="217" priority="89" operator="equal">
      <formula>"NA"</formula>
    </cfRule>
    <cfRule type="cellIs" dxfId="216" priority="90" operator="equal">
      <formula>"Yes"</formula>
    </cfRule>
  </conditionalFormatting>
  <conditionalFormatting sqref="N6">
    <cfRule type="cellIs" dxfId="215" priority="85" operator="equal">
      <formula>"No"</formula>
    </cfRule>
    <cfRule type="cellIs" dxfId="214" priority="86" operator="equal">
      <formula>"NA"</formula>
    </cfRule>
    <cfRule type="cellIs" dxfId="213" priority="87" operator="equal">
      <formula>"Yes"</formula>
    </cfRule>
  </conditionalFormatting>
  <conditionalFormatting sqref="N7">
    <cfRule type="cellIs" dxfId="212" priority="82" operator="equal">
      <formula>"No"</formula>
    </cfRule>
    <cfRule type="cellIs" dxfId="211" priority="83" operator="equal">
      <formula>"NA"</formula>
    </cfRule>
    <cfRule type="cellIs" dxfId="210" priority="84" operator="equal">
      <formula>"Yes"</formula>
    </cfRule>
  </conditionalFormatting>
  <conditionalFormatting sqref="N10">
    <cfRule type="cellIs" dxfId="209" priority="79" operator="equal">
      <formula>"No"</formula>
    </cfRule>
    <cfRule type="cellIs" dxfId="208" priority="80" operator="equal">
      <formula>"NA"</formula>
    </cfRule>
    <cfRule type="cellIs" dxfId="207" priority="81" operator="equal">
      <formula>"Yes"</formula>
    </cfRule>
  </conditionalFormatting>
  <conditionalFormatting sqref="N17">
    <cfRule type="cellIs" dxfId="206" priority="76" operator="equal">
      <formula>"No"</formula>
    </cfRule>
    <cfRule type="cellIs" dxfId="205" priority="77" operator="equal">
      <formula>"NA"</formula>
    </cfRule>
    <cfRule type="cellIs" dxfId="204" priority="78" operator="equal">
      <formula>"Yes"</formula>
    </cfRule>
  </conditionalFormatting>
  <conditionalFormatting sqref="N25">
    <cfRule type="cellIs" dxfId="203" priority="73" operator="equal">
      <formula>"No"</formula>
    </cfRule>
    <cfRule type="cellIs" dxfId="202" priority="74" operator="equal">
      <formula>"NA"</formula>
    </cfRule>
    <cfRule type="cellIs" dxfId="201" priority="75" operator="equal">
      <formula>"Yes"</formula>
    </cfRule>
  </conditionalFormatting>
  <conditionalFormatting sqref="O11">
    <cfRule type="cellIs" dxfId="200" priority="70" operator="equal">
      <formula>"No"</formula>
    </cfRule>
    <cfRule type="cellIs" dxfId="199" priority="71" operator="equal">
      <formula>"NA"</formula>
    </cfRule>
    <cfRule type="cellIs" dxfId="198" priority="72" operator="equal">
      <formula>"Yes"</formula>
    </cfRule>
  </conditionalFormatting>
  <conditionalFormatting sqref="O12">
    <cfRule type="cellIs" dxfId="197" priority="67" operator="equal">
      <formula>"No"</formula>
    </cfRule>
    <cfRule type="cellIs" dxfId="196" priority="68" operator="equal">
      <formula>"NA"</formula>
    </cfRule>
    <cfRule type="cellIs" dxfId="195" priority="69" operator="equal">
      <formula>"Yes"</formula>
    </cfRule>
  </conditionalFormatting>
  <conditionalFormatting sqref="O13">
    <cfRule type="cellIs" dxfId="194" priority="64" operator="equal">
      <formula>"No"</formula>
    </cfRule>
    <cfRule type="cellIs" dxfId="193" priority="65" operator="equal">
      <formula>"NA"</formula>
    </cfRule>
    <cfRule type="cellIs" dxfId="192" priority="66" operator="equal">
      <formula>"Yes"</formula>
    </cfRule>
  </conditionalFormatting>
  <conditionalFormatting sqref="O14">
    <cfRule type="cellIs" dxfId="191" priority="61" operator="equal">
      <formula>"No"</formula>
    </cfRule>
    <cfRule type="cellIs" dxfId="190" priority="62" operator="equal">
      <formula>"NA"</formula>
    </cfRule>
    <cfRule type="cellIs" dxfId="189" priority="63" operator="equal">
      <formula>"Yes"</formula>
    </cfRule>
  </conditionalFormatting>
  <conditionalFormatting sqref="O15">
    <cfRule type="cellIs" dxfId="188" priority="58" operator="equal">
      <formula>"No"</formula>
    </cfRule>
    <cfRule type="cellIs" dxfId="187" priority="59" operator="equal">
      <formula>"NA"</formula>
    </cfRule>
    <cfRule type="cellIs" dxfId="186" priority="60" operator="equal">
      <formula>"Yes"</formula>
    </cfRule>
  </conditionalFormatting>
  <conditionalFormatting sqref="O16">
    <cfRule type="cellIs" dxfId="185" priority="55" operator="equal">
      <formula>"No"</formula>
    </cfRule>
    <cfRule type="cellIs" dxfId="184" priority="56" operator="equal">
      <formula>"NA"</formula>
    </cfRule>
    <cfRule type="cellIs" dxfId="183" priority="57" operator="equal">
      <formula>"Yes"</formula>
    </cfRule>
  </conditionalFormatting>
  <conditionalFormatting sqref="O18">
    <cfRule type="cellIs" dxfId="182" priority="52" operator="equal">
      <formula>"No"</formula>
    </cfRule>
    <cfRule type="cellIs" dxfId="181" priority="53" operator="equal">
      <formula>"NA"</formula>
    </cfRule>
    <cfRule type="cellIs" dxfId="180" priority="54" operator="equal">
      <formula>"Yes"</formula>
    </cfRule>
  </conditionalFormatting>
  <conditionalFormatting sqref="O19">
    <cfRule type="cellIs" dxfId="179" priority="49" operator="equal">
      <formula>"No"</formula>
    </cfRule>
    <cfRule type="cellIs" dxfId="178" priority="50" operator="equal">
      <formula>"NA"</formula>
    </cfRule>
    <cfRule type="cellIs" dxfId="177" priority="51" operator="equal">
      <formula>"Yes"</formula>
    </cfRule>
  </conditionalFormatting>
  <conditionalFormatting sqref="O20">
    <cfRule type="cellIs" dxfId="176" priority="46" operator="equal">
      <formula>"No"</formula>
    </cfRule>
    <cfRule type="cellIs" dxfId="175" priority="47" operator="equal">
      <formula>"NA"</formula>
    </cfRule>
    <cfRule type="cellIs" dxfId="174" priority="48" operator="equal">
      <formula>"Yes"</formula>
    </cfRule>
  </conditionalFormatting>
  <conditionalFormatting sqref="O21">
    <cfRule type="cellIs" dxfId="173" priority="43" operator="equal">
      <formula>"No"</formula>
    </cfRule>
    <cfRule type="cellIs" dxfId="172" priority="44" operator="equal">
      <formula>"NA"</formula>
    </cfRule>
    <cfRule type="cellIs" dxfId="171" priority="45" operator="equal">
      <formula>"Yes"</formula>
    </cfRule>
  </conditionalFormatting>
  <conditionalFormatting sqref="O22">
    <cfRule type="cellIs" dxfId="170" priority="40" operator="equal">
      <formula>"No"</formula>
    </cfRule>
    <cfRule type="cellIs" dxfId="169" priority="41" operator="equal">
      <formula>"NA"</formula>
    </cfRule>
    <cfRule type="cellIs" dxfId="168" priority="42" operator="equal">
      <formula>"Yes"</formula>
    </cfRule>
  </conditionalFormatting>
  <conditionalFormatting sqref="O23">
    <cfRule type="cellIs" dxfId="167" priority="37" operator="equal">
      <formula>"No"</formula>
    </cfRule>
    <cfRule type="cellIs" dxfId="166" priority="38" operator="equal">
      <formula>"NA"</formula>
    </cfRule>
    <cfRule type="cellIs" dxfId="165" priority="39" operator="equal">
      <formula>"Yes"</formula>
    </cfRule>
  </conditionalFormatting>
  <conditionalFormatting sqref="O25">
    <cfRule type="cellIs" dxfId="164" priority="34" operator="equal">
      <formula>"No"</formula>
    </cfRule>
    <cfRule type="cellIs" dxfId="163" priority="35" operator="equal">
      <formula>"NA"</formula>
    </cfRule>
    <cfRule type="cellIs" dxfId="162" priority="36" operator="equal">
      <formula>"Yes"</formula>
    </cfRule>
  </conditionalFormatting>
  <conditionalFormatting sqref="O26">
    <cfRule type="cellIs" dxfId="161" priority="31" operator="equal">
      <formula>"No"</formula>
    </cfRule>
    <cfRule type="cellIs" dxfId="160" priority="32" operator="equal">
      <formula>"NA"</formula>
    </cfRule>
    <cfRule type="cellIs" dxfId="159" priority="33" operator="equal">
      <formula>"Yes"</formula>
    </cfRule>
  </conditionalFormatting>
  <conditionalFormatting sqref="O27">
    <cfRule type="cellIs" dxfId="158" priority="28" operator="equal">
      <formula>"No"</formula>
    </cfRule>
    <cfRule type="cellIs" dxfId="157" priority="29" operator="equal">
      <formula>"NA"</formula>
    </cfRule>
    <cfRule type="cellIs" dxfId="156" priority="30" operator="equal">
      <formula>"Yes"</formula>
    </cfRule>
  </conditionalFormatting>
  <conditionalFormatting sqref="O28">
    <cfRule type="cellIs" dxfId="155" priority="25" operator="equal">
      <formula>"No"</formula>
    </cfRule>
    <cfRule type="cellIs" dxfId="154" priority="26" operator="equal">
      <formula>"NA"</formula>
    </cfRule>
    <cfRule type="cellIs" dxfId="153" priority="27" operator="equal">
      <formula>"Yes"</formula>
    </cfRule>
  </conditionalFormatting>
  <conditionalFormatting sqref="O30">
    <cfRule type="cellIs" dxfId="152" priority="22" operator="equal">
      <formula>"No"</formula>
    </cfRule>
    <cfRule type="cellIs" dxfId="151" priority="23" operator="equal">
      <formula>"NA"</formula>
    </cfRule>
    <cfRule type="cellIs" dxfId="150" priority="24" operator="equal">
      <formula>"Yes"</formula>
    </cfRule>
  </conditionalFormatting>
  <conditionalFormatting sqref="O31">
    <cfRule type="cellIs" dxfId="149" priority="19" operator="equal">
      <formula>"No"</formula>
    </cfRule>
    <cfRule type="cellIs" dxfId="148" priority="20" operator="equal">
      <formula>"NA"</formula>
    </cfRule>
    <cfRule type="cellIs" dxfId="147" priority="21" operator="equal">
      <formula>"Yes"</formula>
    </cfRule>
  </conditionalFormatting>
  <conditionalFormatting sqref="O33">
    <cfRule type="cellIs" dxfId="146" priority="16" operator="equal">
      <formula>"No"</formula>
    </cfRule>
    <cfRule type="cellIs" dxfId="145" priority="17" operator="equal">
      <formula>"NA"</formula>
    </cfRule>
    <cfRule type="cellIs" dxfId="144" priority="18" operator="equal">
      <formula>"Yes"</formula>
    </cfRule>
  </conditionalFormatting>
  <conditionalFormatting sqref="O9">
    <cfRule type="cellIs" dxfId="143" priority="13" operator="equal">
      <formula>"No"</formula>
    </cfRule>
    <cfRule type="cellIs" dxfId="142" priority="14" operator="equal">
      <formula>"NA"</formula>
    </cfRule>
    <cfRule type="cellIs" dxfId="141" priority="15" operator="equal">
      <formula>"Yes"</formula>
    </cfRule>
  </conditionalFormatting>
  <conditionalFormatting sqref="O6">
    <cfRule type="cellIs" dxfId="140" priority="10" operator="equal">
      <formula>"No"</formula>
    </cfRule>
    <cfRule type="cellIs" dxfId="139" priority="11" operator="equal">
      <formula>"NA"</formula>
    </cfRule>
    <cfRule type="cellIs" dxfId="138" priority="12" operator="equal">
      <formula>"Yes"</formula>
    </cfRule>
  </conditionalFormatting>
  <conditionalFormatting sqref="O7">
    <cfRule type="cellIs" dxfId="137" priority="7" operator="equal">
      <formula>"No"</formula>
    </cfRule>
    <cfRule type="cellIs" dxfId="136" priority="8" operator="equal">
      <formula>"NA"</formula>
    </cfRule>
    <cfRule type="cellIs" dxfId="135" priority="9" operator="equal">
      <formula>"Yes"</formula>
    </cfRule>
  </conditionalFormatting>
  <conditionalFormatting sqref="O10">
    <cfRule type="cellIs" dxfId="134" priority="4" operator="equal">
      <formula>"No"</formula>
    </cfRule>
    <cfRule type="cellIs" dxfId="133" priority="5" operator="equal">
      <formula>"NA"</formula>
    </cfRule>
    <cfRule type="cellIs" dxfId="132" priority="6" operator="equal">
      <formula>"Yes"</formula>
    </cfRule>
  </conditionalFormatting>
  <conditionalFormatting sqref="O17">
    <cfRule type="cellIs" dxfId="131" priority="1" operator="equal">
      <formula>"No"</formula>
    </cfRule>
    <cfRule type="cellIs" dxfId="130" priority="2" operator="equal">
      <formula>"NA"</formula>
    </cfRule>
    <cfRule type="cellIs" dxfId="129" priority="3" operator="equal">
      <formula>"Yes"</formula>
    </cfRule>
  </conditionalFormatting>
  <dataValidations count="1">
    <dataValidation type="list" allowBlank="1" showInputMessage="1" showErrorMessage="1" sqref="C6:O7 C25:O28 C30:O31 C9:O23 C33:O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9F62C-D37E-4A45-828A-BC3C7C0EB8EC}">
  <sheetPr>
    <tabColor theme="7" tint="0.39997558519241921"/>
  </sheetPr>
  <dimension ref="A2:H33"/>
  <sheetViews>
    <sheetView workbookViewId="0">
      <selection activeCell="E2" sqref="E2"/>
    </sheetView>
  </sheetViews>
  <sheetFormatPr defaultRowHeight="12.75" outlineLevelCol="1"/>
  <cols>
    <col min="1" max="1" width="12.5703125" style="145" bestFit="1" customWidth="1"/>
    <col min="2" max="2" width="61" style="144" customWidth="1"/>
    <col min="3" max="5" width="6.28515625" style="143" bestFit="1" customWidth="1"/>
    <col min="6" max="6" width="33.7109375" style="143" customWidth="1"/>
    <col min="7" max="8" width="30.7109375" style="143" customWidth="1" outlineLevel="1"/>
  </cols>
  <sheetData>
    <row r="2" spans="1:8" ht="69.75">
      <c r="A2" s="168" t="s">
        <v>261</v>
      </c>
      <c r="B2" s="169" t="s">
        <v>359</v>
      </c>
      <c r="C2" s="170" t="s">
        <v>424</v>
      </c>
      <c r="D2" s="170" t="s">
        <v>447</v>
      </c>
      <c r="E2" s="170" t="s">
        <v>475</v>
      </c>
      <c r="F2" s="171" t="s">
        <v>262</v>
      </c>
      <c r="G2" s="332" t="s">
        <v>165</v>
      </c>
      <c r="H2" s="333"/>
    </row>
    <row r="3" spans="1:8" ht="18.75">
      <c r="A3" s="172"/>
      <c r="B3" s="173"/>
      <c r="C3" s="174">
        <f>COUNTIF(Review.ratings,"Yes") / ( COUNTA(Review.QuestionIds) - COUNTIF(Review.ratings,"NA"))</f>
        <v>0.95</v>
      </c>
      <c r="D3" s="174">
        <f>COUNTIF(D6:D30,"Yes") / ( COUNTA(Review.QuestionIds) - COUNTIF(Review.ratings,"NA"))</f>
        <v>1</v>
      </c>
      <c r="E3" s="174">
        <f>COUNTIF(E6:E30,"Yes") / ( COUNTA(Review.QuestionIds) - COUNTIF(Review.ratings,"NA"))</f>
        <v>1</v>
      </c>
      <c r="F3" s="179"/>
      <c r="G3" s="187" t="s">
        <v>263</v>
      </c>
      <c r="H3" s="187" t="s">
        <v>264</v>
      </c>
    </row>
    <row r="4" spans="1:8" ht="36">
      <c r="A4" s="175"/>
      <c r="B4" s="176" t="s">
        <v>265</v>
      </c>
      <c r="C4" s="177"/>
      <c r="D4" s="177"/>
      <c r="E4" s="177"/>
      <c r="F4" s="177"/>
      <c r="G4" s="177"/>
      <c r="H4" s="178"/>
    </row>
    <row r="5" spans="1:8" ht="18.75">
      <c r="A5" s="146"/>
      <c r="B5" s="155" t="s">
        <v>360</v>
      </c>
      <c r="C5" s="147"/>
      <c r="D5" s="147"/>
      <c r="E5" s="147"/>
      <c r="F5" s="147"/>
      <c r="G5" s="187"/>
      <c r="H5" s="187"/>
    </row>
    <row r="6" spans="1:8" ht="25.5">
      <c r="A6" s="149" t="s">
        <v>361</v>
      </c>
      <c r="B6" s="158" t="s">
        <v>362</v>
      </c>
      <c r="C6" s="196" t="s">
        <v>110</v>
      </c>
      <c r="D6" s="196" t="s">
        <v>110</v>
      </c>
      <c r="E6" s="196" t="s">
        <v>110</v>
      </c>
      <c r="F6" s="197"/>
      <c r="G6" s="148"/>
      <c r="H6" s="148"/>
    </row>
    <row r="7" spans="1:8" ht="38.25">
      <c r="A7" s="149" t="s">
        <v>363</v>
      </c>
      <c r="B7" s="158" t="s">
        <v>364</v>
      </c>
      <c r="C7" s="196" t="s">
        <v>110</v>
      </c>
      <c r="D7" s="196" t="s">
        <v>110</v>
      </c>
      <c r="E7" s="196" t="s">
        <v>110</v>
      </c>
      <c r="F7" s="197"/>
      <c r="G7" s="150" t="s">
        <v>365</v>
      </c>
      <c r="H7" s="148"/>
    </row>
    <row r="8" spans="1:8" ht="25.5">
      <c r="A8" s="149" t="s">
        <v>366</v>
      </c>
      <c r="B8" s="158" t="s">
        <v>367</v>
      </c>
      <c r="C8" s="196" t="s">
        <v>110</v>
      </c>
      <c r="D8" s="196" t="s">
        <v>110</v>
      </c>
      <c r="E8" s="196" t="s">
        <v>110</v>
      </c>
      <c r="F8" s="197"/>
      <c r="G8" s="148"/>
      <c r="H8" s="148"/>
    </row>
    <row r="9" spans="1:8" ht="25.5">
      <c r="A9" s="149" t="s">
        <v>368</v>
      </c>
      <c r="B9" s="158" t="s">
        <v>369</v>
      </c>
      <c r="C9" s="196" t="s">
        <v>110</v>
      </c>
      <c r="D9" s="196" t="s">
        <v>110</v>
      </c>
      <c r="E9" s="196" t="s">
        <v>110</v>
      </c>
      <c r="F9" s="197"/>
      <c r="G9" s="148"/>
      <c r="H9" s="148"/>
    </row>
    <row r="10" spans="1:8" ht="38.25">
      <c r="A10" s="149" t="s">
        <v>370</v>
      </c>
      <c r="B10" s="158" t="s">
        <v>371</v>
      </c>
      <c r="C10" s="196" t="s">
        <v>110</v>
      </c>
      <c r="D10" s="196" t="s">
        <v>110</v>
      </c>
      <c r="E10" s="196" t="s">
        <v>110</v>
      </c>
      <c r="F10" s="197"/>
      <c r="G10" s="148"/>
      <c r="H10" s="148"/>
    </row>
    <row r="11" spans="1:8" ht="18.75">
      <c r="A11" s="146"/>
      <c r="B11" s="155" t="s">
        <v>372</v>
      </c>
      <c r="C11" s="147"/>
      <c r="D11" s="147"/>
      <c r="E11" s="147"/>
      <c r="F11" s="147"/>
      <c r="G11" s="187"/>
      <c r="H11" s="187"/>
    </row>
    <row r="12" spans="1:8" ht="38.25">
      <c r="A12" s="149" t="s">
        <v>373</v>
      </c>
      <c r="B12" s="158" t="s">
        <v>374</v>
      </c>
      <c r="C12" s="196" t="s">
        <v>110</v>
      </c>
      <c r="D12" s="196" t="s">
        <v>110</v>
      </c>
      <c r="E12" s="196" t="s">
        <v>110</v>
      </c>
      <c r="F12" s="197"/>
      <c r="G12" s="148"/>
      <c r="H12" s="148"/>
    </row>
    <row r="13" spans="1:8" ht="76.5">
      <c r="A13" s="149" t="s">
        <v>375</v>
      </c>
      <c r="B13" s="158" t="s">
        <v>376</v>
      </c>
      <c r="C13" s="196" t="s">
        <v>112</v>
      </c>
      <c r="D13" s="196" t="s">
        <v>110</v>
      </c>
      <c r="E13" s="196" t="s">
        <v>110</v>
      </c>
      <c r="F13" s="197" t="s">
        <v>448</v>
      </c>
      <c r="G13" s="148"/>
      <c r="H13" s="148"/>
    </row>
    <row r="14" spans="1:8" ht="18.75">
      <c r="A14" s="146"/>
      <c r="B14" s="155" t="s">
        <v>291</v>
      </c>
      <c r="C14" s="147"/>
      <c r="D14" s="147"/>
      <c r="E14" s="147"/>
      <c r="F14" s="147"/>
      <c r="G14" s="187"/>
      <c r="H14" s="187"/>
    </row>
    <row r="15" spans="1:8" ht="51">
      <c r="A15" s="149" t="s">
        <v>377</v>
      </c>
      <c r="B15" s="158" t="s">
        <v>378</v>
      </c>
      <c r="C15" s="196" t="s">
        <v>110</v>
      </c>
      <c r="D15" s="196" t="s">
        <v>110</v>
      </c>
      <c r="E15" s="196" t="s">
        <v>110</v>
      </c>
      <c r="F15" s="197"/>
      <c r="G15" s="148"/>
      <c r="H15" s="148"/>
    </row>
    <row r="16" spans="1:8" ht="51">
      <c r="A16" s="149" t="s">
        <v>379</v>
      </c>
      <c r="B16" s="158" t="s">
        <v>380</v>
      </c>
      <c r="C16" s="196" t="s">
        <v>110</v>
      </c>
      <c r="D16" s="196" t="s">
        <v>110</v>
      </c>
      <c r="E16" s="196" t="s">
        <v>110</v>
      </c>
      <c r="F16" s="197"/>
      <c r="G16" s="148"/>
      <c r="H16" s="148"/>
    </row>
    <row r="17" spans="1:8" ht="51">
      <c r="A17" s="149" t="s">
        <v>381</v>
      </c>
      <c r="B17" s="158" t="s">
        <v>382</v>
      </c>
      <c r="C17" s="196" t="s">
        <v>110</v>
      </c>
      <c r="D17" s="196" t="s">
        <v>110</v>
      </c>
      <c r="E17" s="196" t="s">
        <v>110</v>
      </c>
      <c r="F17" s="197"/>
      <c r="G17" s="148"/>
      <c r="H17" s="148"/>
    </row>
    <row r="18" spans="1:8" ht="25.5">
      <c r="A18" s="149" t="s">
        <v>383</v>
      </c>
      <c r="B18" s="158" t="s">
        <v>384</v>
      </c>
      <c r="C18" s="196" t="s">
        <v>110</v>
      </c>
      <c r="D18" s="196" t="s">
        <v>110</v>
      </c>
      <c r="E18" s="196" t="s">
        <v>110</v>
      </c>
      <c r="F18" s="197"/>
      <c r="G18" s="148"/>
      <c r="H18" s="148"/>
    </row>
    <row r="19" spans="1:8" ht="51">
      <c r="A19" s="149" t="s">
        <v>385</v>
      </c>
      <c r="B19" s="158" t="s">
        <v>386</v>
      </c>
      <c r="C19" s="196" t="s">
        <v>110</v>
      </c>
      <c r="D19" s="196" t="s">
        <v>110</v>
      </c>
      <c r="E19" s="196" t="s">
        <v>110</v>
      </c>
      <c r="F19" s="197"/>
      <c r="G19" s="148"/>
      <c r="H19" s="148"/>
    </row>
    <row r="20" spans="1:8" ht="25.5">
      <c r="A20" s="149" t="s">
        <v>387</v>
      </c>
      <c r="B20" s="158" t="s">
        <v>388</v>
      </c>
      <c r="C20" s="196" t="s">
        <v>110</v>
      </c>
      <c r="D20" s="196" t="s">
        <v>110</v>
      </c>
      <c r="E20" s="196" t="s">
        <v>110</v>
      </c>
      <c r="F20" s="197"/>
      <c r="G20" s="148"/>
      <c r="H20" s="148"/>
    </row>
    <row r="21" spans="1:8" ht="18.75">
      <c r="A21" s="146"/>
      <c r="B21" s="155" t="s">
        <v>266</v>
      </c>
      <c r="C21" s="147"/>
      <c r="D21" s="147"/>
      <c r="E21" s="147"/>
      <c r="F21" s="147"/>
      <c r="G21" s="187"/>
      <c r="H21" s="187"/>
    </row>
    <row r="22" spans="1:8" ht="38.25">
      <c r="A22" s="149" t="s">
        <v>267</v>
      </c>
      <c r="B22" s="158" t="s">
        <v>268</v>
      </c>
      <c r="C22" s="196" t="s">
        <v>110</v>
      </c>
      <c r="D22" s="196" t="s">
        <v>110</v>
      </c>
      <c r="E22" s="196" t="s">
        <v>110</v>
      </c>
      <c r="F22" s="197"/>
      <c r="G22" s="148"/>
      <c r="H22" s="148"/>
    </row>
    <row r="23" spans="1:8" ht="25.5">
      <c r="A23" s="149" t="s">
        <v>269</v>
      </c>
      <c r="B23" s="158" t="s">
        <v>270</v>
      </c>
      <c r="C23" s="196" t="s">
        <v>110</v>
      </c>
      <c r="D23" s="196" t="s">
        <v>110</v>
      </c>
      <c r="E23" s="196" t="s">
        <v>110</v>
      </c>
      <c r="F23" s="197"/>
      <c r="G23" s="148"/>
      <c r="H23" s="148"/>
    </row>
    <row r="24" spans="1:8" ht="38.25">
      <c r="A24" s="149" t="s">
        <v>271</v>
      </c>
      <c r="B24" s="158" t="s">
        <v>272</v>
      </c>
      <c r="C24" s="196" t="s">
        <v>110</v>
      </c>
      <c r="D24" s="196" t="s">
        <v>110</v>
      </c>
      <c r="E24" s="196" t="s">
        <v>110</v>
      </c>
      <c r="F24" s="197"/>
      <c r="G24" s="148"/>
      <c r="H24" s="148"/>
    </row>
    <row r="25" spans="1:8" ht="38.25">
      <c r="A25" s="149" t="s">
        <v>273</v>
      </c>
      <c r="B25" s="158" t="s">
        <v>274</v>
      </c>
      <c r="C25" s="196" t="s">
        <v>110</v>
      </c>
      <c r="D25" s="196" t="s">
        <v>110</v>
      </c>
      <c r="E25" s="196" t="s">
        <v>110</v>
      </c>
      <c r="F25" s="197"/>
      <c r="G25" s="148"/>
      <c r="H25" s="148"/>
    </row>
    <row r="26" spans="1:8" ht="18.75">
      <c r="A26" s="146"/>
      <c r="B26" s="155" t="s">
        <v>275</v>
      </c>
      <c r="C26" s="147"/>
      <c r="D26" s="147"/>
      <c r="E26" s="147"/>
      <c r="F26" s="147"/>
      <c r="G26" s="187"/>
      <c r="H26" s="187"/>
    </row>
    <row r="27" spans="1:8" ht="38.25">
      <c r="A27" s="149" t="s">
        <v>276</v>
      </c>
      <c r="B27" s="158" t="s">
        <v>277</v>
      </c>
      <c r="C27" s="196" t="s">
        <v>110</v>
      </c>
      <c r="D27" s="196" t="s">
        <v>110</v>
      </c>
      <c r="E27" s="196" t="s">
        <v>110</v>
      </c>
      <c r="F27" s="197"/>
      <c r="G27" s="148"/>
      <c r="H27" s="148"/>
    </row>
    <row r="28" spans="1:8" ht="38.25">
      <c r="A28" s="149" t="s">
        <v>278</v>
      </c>
      <c r="B28" s="158" t="s">
        <v>279</v>
      </c>
      <c r="C28" s="196" t="s">
        <v>110</v>
      </c>
      <c r="D28" s="196" t="s">
        <v>110</v>
      </c>
      <c r="E28" s="196" t="s">
        <v>110</v>
      </c>
      <c r="F28" s="197"/>
      <c r="G28" s="148"/>
      <c r="H28" s="148"/>
    </row>
    <row r="29" spans="1:8" ht="18.75">
      <c r="A29" s="146"/>
      <c r="B29" s="155" t="s">
        <v>280</v>
      </c>
      <c r="C29" s="147"/>
      <c r="D29" s="147"/>
      <c r="E29" s="147"/>
      <c r="F29" s="147"/>
      <c r="G29" s="187"/>
      <c r="H29" s="187"/>
    </row>
    <row r="30" spans="1:8" ht="51">
      <c r="A30" s="149" t="s">
        <v>281</v>
      </c>
      <c r="B30" s="158" t="s">
        <v>282</v>
      </c>
      <c r="C30" s="196" t="s">
        <v>110</v>
      </c>
      <c r="D30" s="196" t="s">
        <v>110</v>
      </c>
      <c r="E30" s="196" t="s">
        <v>110</v>
      </c>
      <c r="F30" s="197"/>
      <c r="G30" s="148"/>
      <c r="H30" s="148"/>
    </row>
    <row r="31" spans="1:8" ht="18">
      <c r="A31" s="183"/>
      <c r="B31" s="184" t="s">
        <v>283</v>
      </c>
      <c r="C31" s="183"/>
      <c r="D31" s="183"/>
      <c r="E31" s="183"/>
      <c r="F31" s="183"/>
      <c r="G31" s="183"/>
      <c r="H31" s="183"/>
    </row>
    <row r="32" spans="1:8">
      <c r="A32" s="149"/>
      <c r="B32" s="158"/>
    </row>
    <row r="33" spans="1:8" ht="15">
      <c r="A33" s="185"/>
      <c r="B33" s="186" t="s">
        <v>284</v>
      </c>
      <c r="C33" s="185"/>
      <c r="D33" s="185"/>
      <c r="E33" s="185"/>
      <c r="F33" s="185"/>
      <c r="G33" s="185"/>
      <c r="H33" s="185"/>
    </row>
  </sheetData>
  <mergeCells count="1">
    <mergeCell ref="G2:H2"/>
  </mergeCells>
  <conditionalFormatting sqref="C6">
    <cfRule type="cellIs" dxfId="128" priority="142" operator="equal">
      <formula>"No"</formula>
    </cfRule>
    <cfRule type="cellIs" dxfId="127" priority="143" operator="equal">
      <formula>"NA"</formula>
    </cfRule>
    <cfRule type="cellIs" dxfId="126" priority="144" operator="equal">
      <formula>"Yes"</formula>
    </cfRule>
  </conditionalFormatting>
  <conditionalFormatting sqref="C7">
    <cfRule type="cellIs" dxfId="125" priority="139" operator="equal">
      <formula>"No"</formula>
    </cfRule>
    <cfRule type="cellIs" dxfId="124" priority="140" operator="equal">
      <formula>"NA"</formula>
    </cfRule>
    <cfRule type="cellIs" dxfId="123" priority="141" operator="equal">
      <formula>"Yes"</formula>
    </cfRule>
  </conditionalFormatting>
  <conditionalFormatting sqref="C8">
    <cfRule type="cellIs" dxfId="122" priority="136" operator="equal">
      <formula>"No"</formula>
    </cfRule>
    <cfRule type="cellIs" dxfId="121" priority="137" operator="equal">
      <formula>"NA"</formula>
    </cfRule>
    <cfRule type="cellIs" dxfId="120" priority="138" operator="equal">
      <formula>"Yes"</formula>
    </cfRule>
  </conditionalFormatting>
  <conditionalFormatting sqref="C9">
    <cfRule type="cellIs" dxfId="119" priority="133" operator="equal">
      <formula>"No"</formula>
    </cfRule>
    <cfRule type="cellIs" dxfId="118" priority="134" operator="equal">
      <formula>"NA"</formula>
    </cfRule>
    <cfRule type="cellIs" dxfId="117" priority="135" operator="equal">
      <formula>"Yes"</formula>
    </cfRule>
  </conditionalFormatting>
  <conditionalFormatting sqref="C10">
    <cfRule type="cellIs" dxfId="116" priority="130" operator="equal">
      <formula>"No"</formula>
    </cfRule>
    <cfRule type="cellIs" dxfId="115" priority="131" operator="equal">
      <formula>"NA"</formula>
    </cfRule>
    <cfRule type="cellIs" dxfId="114" priority="132" operator="equal">
      <formula>"Yes"</formula>
    </cfRule>
  </conditionalFormatting>
  <conditionalFormatting sqref="C12">
    <cfRule type="cellIs" dxfId="113" priority="115" operator="equal">
      <formula>"No"</formula>
    </cfRule>
    <cfRule type="cellIs" dxfId="112" priority="116" operator="equal">
      <formula>"NA"</formula>
    </cfRule>
    <cfRule type="cellIs" dxfId="111" priority="117" operator="equal">
      <formula>"Yes"</formula>
    </cfRule>
  </conditionalFormatting>
  <conditionalFormatting sqref="C13">
    <cfRule type="cellIs" dxfId="110" priority="112" operator="equal">
      <formula>"No"</formula>
    </cfRule>
    <cfRule type="cellIs" dxfId="109" priority="113" operator="equal">
      <formula>"NA"</formula>
    </cfRule>
    <cfRule type="cellIs" dxfId="108" priority="114" operator="equal">
      <formula>"Yes"</formula>
    </cfRule>
  </conditionalFormatting>
  <conditionalFormatting sqref="C15">
    <cfRule type="cellIs" dxfId="107" priority="109" operator="equal">
      <formula>"No"</formula>
    </cfRule>
    <cfRule type="cellIs" dxfId="106" priority="110" operator="equal">
      <formula>"NA"</formula>
    </cfRule>
    <cfRule type="cellIs" dxfId="105" priority="111" operator="equal">
      <formula>"Yes"</formula>
    </cfRule>
  </conditionalFormatting>
  <conditionalFormatting sqref="C16">
    <cfRule type="cellIs" dxfId="104" priority="106" operator="equal">
      <formula>"No"</formula>
    </cfRule>
    <cfRule type="cellIs" dxfId="103" priority="107" operator="equal">
      <formula>"NA"</formula>
    </cfRule>
    <cfRule type="cellIs" dxfId="102" priority="108" operator="equal">
      <formula>"Yes"</formula>
    </cfRule>
  </conditionalFormatting>
  <conditionalFormatting sqref="C17">
    <cfRule type="cellIs" dxfId="101" priority="103" operator="equal">
      <formula>"No"</formula>
    </cfRule>
    <cfRule type="cellIs" dxfId="100" priority="104" operator="equal">
      <formula>"NA"</formula>
    </cfRule>
    <cfRule type="cellIs" dxfId="99" priority="105" operator="equal">
      <formula>"Yes"</formula>
    </cfRule>
  </conditionalFormatting>
  <conditionalFormatting sqref="C18">
    <cfRule type="cellIs" dxfId="98" priority="100" operator="equal">
      <formula>"No"</formula>
    </cfRule>
    <cfRule type="cellIs" dxfId="97" priority="101" operator="equal">
      <formula>"NA"</formula>
    </cfRule>
    <cfRule type="cellIs" dxfId="96" priority="102" operator="equal">
      <formula>"Yes"</formula>
    </cfRule>
  </conditionalFormatting>
  <conditionalFormatting sqref="C19">
    <cfRule type="cellIs" dxfId="95" priority="97" operator="equal">
      <formula>"No"</formula>
    </cfRule>
    <cfRule type="cellIs" dxfId="94" priority="98" operator="equal">
      <formula>"NA"</formula>
    </cfRule>
    <cfRule type="cellIs" dxfId="93" priority="99" operator="equal">
      <formula>"Yes"</formula>
    </cfRule>
  </conditionalFormatting>
  <conditionalFormatting sqref="C20">
    <cfRule type="cellIs" dxfId="92" priority="94" operator="equal">
      <formula>"No"</formula>
    </cfRule>
    <cfRule type="cellIs" dxfId="91" priority="95" operator="equal">
      <formula>"NA"</formula>
    </cfRule>
    <cfRule type="cellIs" dxfId="90" priority="96" operator="equal">
      <formula>"Yes"</formula>
    </cfRule>
  </conditionalFormatting>
  <conditionalFormatting sqref="C22">
    <cfRule type="cellIs" dxfId="89" priority="91" operator="equal">
      <formula>"No"</formula>
    </cfRule>
    <cfRule type="cellIs" dxfId="88" priority="92" operator="equal">
      <formula>"NA"</formula>
    </cfRule>
    <cfRule type="cellIs" dxfId="87" priority="93" operator="equal">
      <formula>"Yes"</formula>
    </cfRule>
  </conditionalFormatting>
  <conditionalFormatting sqref="C23">
    <cfRule type="cellIs" dxfId="86" priority="88" operator="equal">
      <formula>"No"</formula>
    </cfRule>
    <cfRule type="cellIs" dxfId="85" priority="89" operator="equal">
      <formula>"NA"</formula>
    </cfRule>
    <cfRule type="cellIs" dxfId="84" priority="90" operator="equal">
      <formula>"Yes"</formula>
    </cfRule>
  </conditionalFormatting>
  <conditionalFormatting sqref="C24">
    <cfRule type="cellIs" dxfId="83" priority="85" operator="equal">
      <formula>"No"</formula>
    </cfRule>
    <cfRule type="cellIs" dxfId="82" priority="86" operator="equal">
      <formula>"NA"</formula>
    </cfRule>
    <cfRule type="cellIs" dxfId="81" priority="87" operator="equal">
      <formula>"Yes"</formula>
    </cfRule>
  </conditionalFormatting>
  <conditionalFormatting sqref="C25">
    <cfRule type="cellIs" dxfId="80" priority="82" operator="equal">
      <formula>"No"</formula>
    </cfRule>
    <cfRule type="cellIs" dxfId="79" priority="83" operator="equal">
      <formula>"NA"</formula>
    </cfRule>
    <cfRule type="cellIs" dxfId="78" priority="84" operator="equal">
      <formula>"Yes"</formula>
    </cfRule>
  </conditionalFormatting>
  <conditionalFormatting sqref="C27">
    <cfRule type="cellIs" dxfId="77" priority="79" operator="equal">
      <formula>"No"</formula>
    </cfRule>
    <cfRule type="cellIs" dxfId="76" priority="80" operator="equal">
      <formula>"NA"</formula>
    </cfRule>
    <cfRule type="cellIs" dxfId="75" priority="81" operator="equal">
      <formula>"Yes"</formula>
    </cfRule>
  </conditionalFormatting>
  <conditionalFormatting sqref="C28">
    <cfRule type="cellIs" dxfId="74" priority="76" operator="equal">
      <formula>"No"</formula>
    </cfRule>
    <cfRule type="cellIs" dxfId="73" priority="77" operator="equal">
      <formula>"NA"</formula>
    </cfRule>
    <cfRule type="cellIs" dxfId="72" priority="78" operator="equal">
      <formula>"Yes"</formula>
    </cfRule>
  </conditionalFormatting>
  <conditionalFormatting sqref="C30">
    <cfRule type="cellIs" dxfId="71" priority="73" operator="equal">
      <formula>"No"</formula>
    </cfRule>
    <cfRule type="cellIs" dxfId="70" priority="74" operator="equal">
      <formula>"NA"</formula>
    </cfRule>
    <cfRule type="cellIs" dxfId="69" priority="75" operator="equal">
      <formula>"Yes"</formula>
    </cfRule>
  </conditionalFormatting>
  <conditionalFormatting sqref="D6:E6">
    <cfRule type="cellIs" dxfId="68" priority="70" operator="equal">
      <formula>"No"</formula>
    </cfRule>
    <cfRule type="cellIs" dxfId="67" priority="71" operator="equal">
      <formula>"NA"</formula>
    </cfRule>
    <cfRule type="cellIs" dxfId="66" priority="72" operator="equal">
      <formula>"Yes"</formula>
    </cfRule>
  </conditionalFormatting>
  <conditionalFormatting sqref="D7:E7">
    <cfRule type="cellIs" dxfId="65" priority="67" operator="equal">
      <formula>"No"</formula>
    </cfRule>
    <cfRule type="cellIs" dxfId="64" priority="68" operator="equal">
      <formula>"NA"</formula>
    </cfRule>
    <cfRule type="cellIs" dxfId="63" priority="69" operator="equal">
      <formula>"Yes"</formula>
    </cfRule>
  </conditionalFormatting>
  <conditionalFormatting sqref="D8:E8">
    <cfRule type="cellIs" dxfId="62" priority="64" operator="equal">
      <formula>"No"</formula>
    </cfRule>
    <cfRule type="cellIs" dxfId="61" priority="65" operator="equal">
      <formula>"NA"</formula>
    </cfRule>
    <cfRule type="cellIs" dxfId="60" priority="66" operator="equal">
      <formula>"Yes"</formula>
    </cfRule>
  </conditionalFormatting>
  <conditionalFormatting sqref="D9:E9">
    <cfRule type="cellIs" dxfId="59" priority="61" operator="equal">
      <formula>"No"</formula>
    </cfRule>
    <cfRule type="cellIs" dxfId="58" priority="62" operator="equal">
      <formula>"NA"</formula>
    </cfRule>
    <cfRule type="cellIs" dxfId="57" priority="63" operator="equal">
      <formula>"Yes"</formula>
    </cfRule>
  </conditionalFormatting>
  <conditionalFormatting sqref="D10:E10">
    <cfRule type="cellIs" dxfId="56" priority="58" operator="equal">
      <formula>"No"</formula>
    </cfRule>
    <cfRule type="cellIs" dxfId="55" priority="59" operator="equal">
      <formula>"NA"</formula>
    </cfRule>
    <cfRule type="cellIs" dxfId="54" priority="60" operator="equal">
      <formula>"Yes"</formula>
    </cfRule>
  </conditionalFormatting>
  <conditionalFormatting sqref="D12:E12">
    <cfRule type="cellIs" dxfId="53" priority="43" operator="equal">
      <formula>"No"</formula>
    </cfRule>
    <cfRule type="cellIs" dxfId="52" priority="44" operator="equal">
      <formula>"NA"</formula>
    </cfRule>
    <cfRule type="cellIs" dxfId="51" priority="45" operator="equal">
      <formula>"Yes"</formula>
    </cfRule>
  </conditionalFormatting>
  <conditionalFormatting sqref="D13:E13">
    <cfRule type="cellIs" dxfId="50" priority="40" operator="equal">
      <formula>"No"</formula>
    </cfRule>
    <cfRule type="cellIs" dxfId="49" priority="41" operator="equal">
      <formula>"NA"</formula>
    </cfRule>
    <cfRule type="cellIs" dxfId="48" priority="42" operator="equal">
      <formula>"Yes"</formula>
    </cfRule>
  </conditionalFormatting>
  <conditionalFormatting sqref="D15:E15">
    <cfRule type="cellIs" dxfId="47" priority="37" operator="equal">
      <formula>"No"</formula>
    </cfRule>
    <cfRule type="cellIs" dxfId="46" priority="38" operator="equal">
      <formula>"NA"</formula>
    </cfRule>
    <cfRule type="cellIs" dxfId="45" priority="39" operator="equal">
      <formula>"Yes"</formula>
    </cfRule>
  </conditionalFormatting>
  <conditionalFormatting sqref="D16:E16">
    <cfRule type="cellIs" dxfId="44" priority="34" operator="equal">
      <formula>"No"</formula>
    </cfRule>
    <cfRule type="cellIs" dxfId="43" priority="35" operator="equal">
      <formula>"NA"</formula>
    </cfRule>
    <cfRule type="cellIs" dxfId="42" priority="36" operator="equal">
      <formula>"Yes"</formula>
    </cfRule>
  </conditionalFormatting>
  <conditionalFormatting sqref="D17:E17">
    <cfRule type="cellIs" dxfId="41" priority="31" operator="equal">
      <formula>"No"</formula>
    </cfRule>
    <cfRule type="cellIs" dxfId="40" priority="32" operator="equal">
      <formula>"NA"</formula>
    </cfRule>
    <cfRule type="cellIs" dxfId="39" priority="33" operator="equal">
      <formula>"Yes"</formula>
    </cfRule>
  </conditionalFormatting>
  <conditionalFormatting sqref="D18:E18">
    <cfRule type="cellIs" dxfId="38" priority="28" operator="equal">
      <formula>"No"</formula>
    </cfRule>
    <cfRule type="cellIs" dxfId="37" priority="29" operator="equal">
      <formula>"NA"</formula>
    </cfRule>
    <cfRule type="cellIs" dxfId="36" priority="30" operator="equal">
      <formula>"Yes"</formula>
    </cfRule>
  </conditionalFormatting>
  <conditionalFormatting sqref="D19:E19">
    <cfRule type="cellIs" dxfId="35" priority="25" operator="equal">
      <formula>"No"</formula>
    </cfRule>
    <cfRule type="cellIs" dxfId="34" priority="26" operator="equal">
      <formula>"NA"</formula>
    </cfRule>
    <cfRule type="cellIs" dxfId="33" priority="27" operator="equal">
      <formula>"Yes"</formula>
    </cfRule>
  </conditionalFormatting>
  <conditionalFormatting sqref="D20:E20">
    <cfRule type="cellIs" dxfId="32" priority="22" operator="equal">
      <formula>"No"</formula>
    </cfRule>
    <cfRule type="cellIs" dxfId="31" priority="23" operator="equal">
      <formula>"NA"</formula>
    </cfRule>
    <cfRule type="cellIs" dxfId="30" priority="24" operator="equal">
      <formula>"Yes"</formula>
    </cfRule>
  </conditionalFormatting>
  <conditionalFormatting sqref="D22:E22">
    <cfRule type="cellIs" dxfId="29" priority="19" operator="equal">
      <formula>"No"</formula>
    </cfRule>
    <cfRule type="cellIs" dxfId="28" priority="20" operator="equal">
      <formula>"NA"</formula>
    </cfRule>
    <cfRule type="cellIs" dxfId="27" priority="21" operator="equal">
      <formula>"Yes"</formula>
    </cfRule>
  </conditionalFormatting>
  <conditionalFormatting sqref="D23:E23">
    <cfRule type="cellIs" dxfId="26" priority="16" operator="equal">
      <formula>"No"</formula>
    </cfRule>
    <cfRule type="cellIs" dxfId="25" priority="17" operator="equal">
      <formula>"NA"</formula>
    </cfRule>
    <cfRule type="cellIs" dxfId="24" priority="18" operator="equal">
      <formula>"Yes"</formula>
    </cfRule>
  </conditionalFormatting>
  <conditionalFormatting sqref="D24:E24">
    <cfRule type="cellIs" dxfId="23" priority="13" operator="equal">
      <formula>"No"</formula>
    </cfRule>
    <cfRule type="cellIs" dxfId="22" priority="14" operator="equal">
      <formula>"NA"</formula>
    </cfRule>
    <cfRule type="cellIs" dxfId="21" priority="15" operator="equal">
      <formula>"Yes"</formula>
    </cfRule>
  </conditionalFormatting>
  <conditionalFormatting sqref="D25:E25">
    <cfRule type="cellIs" dxfId="20" priority="10" operator="equal">
      <formula>"No"</formula>
    </cfRule>
    <cfRule type="cellIs" dxfId="19" priority="11" operator="equal">
      <formula>"NA"</formula>
    </cfRule>
    <cfRule type="cellIs" dxfId="18" priority="12" operator="equal">
      <formula>"Yes"</formula>
    </cfRule>
  </conditionalFormatting>
  <conditionalFormatting sqref="D27:E27">
    <cfRule type="cellIs" dxfId="17" priority="7" operator="equal">
      <formula>"No"</formula>
    </cfRule>
    <cfRule type="cellIs" dxfId="16" priority="8" operator="equal">
      <formula>"NA"</formula>
    </cfRule>
    <cfRule type="cellIs" dxfId="15" priority="9" operator="equal">
      <formula>"Yes"</formula>
    </cfRule>
  </conditionalFormatting>
  <conditionalFormatting sqref="D28:E28">
    <cfRule type="cellIs" dxfId="14" priority="4" operator="equal">
      <formula>"No"</formula>
    </cfRule>
    <cfRule type="cellIs" dxfId="13" priority="5" operator="equal">
      <formula>"NA"</formula>
    </cfRule>
    <cfRule type="cellIs" dxfId="12" priority="6" operator="equal">
      <formula>"Yes"</formula>
    </cfRule>
  </conditionalFormatting>
  <conditionalFormatting sqref="D30:E30">
    <cfRule type="cellIs" dxfId="11" priority="1" operator="equal">
      <formula>"No"</formula>
    </cfRule>
    <cfRule type="cellIs" dxfId="10" priority="2" operator="equal">
      <formula>"NA"</formula>
    </cfRule>
    <cfRule type="cellIs" dxfId="9" priority="3" operator="equal">
      <formula>"Yes"</formula>
    </cfRule>
  </conditionalFormatting>
  <dataValidations count="1">
    <dataValidation type="list" allowBlank="1" showInputMessage="1" showErrorMessage="1" sqref="C6:E10 C30:E30 C22:E25 C15:E20 C27:E28 C12:E13" xr:uid="{1583C3AC-90ED-4CE4-8B89-76420E9B2591}">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http://schemas.microsoft.com/office/2006/metadata/properties"/>
    <ds:schemaRef ds:uri="http://schemas.microsoft.com/office/infopath/2007/PartnerControls"/>
    <ds:schemaRef ds:uri="http://schemas.microsoft.com/sharepoint/v3"/>
    <ds:schemaRef ds:uri="34c9bd9a-5a71-426a-ab93-6fe2caeb5e9e"/>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67</vt:i4>
      </vt:variant>
    </vt:vector>
  </HeadingPairs>
  <TitlesOfParts>
    <vt:vector size="76"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'SDD checklist'!Title.Checklist.Rate</vt:lpstr>
      <vt:lpstr>'CODE checklist'!TitleRow</vt:lpstr>
      <vt:lpstr>'SDD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Lucian Ardeleanu</cp:lastModifiedBy>
  <cp:revision/>
  <dcterms:created xsi:type="dcterms:W3CDTF">1996-10-21T11:03:58Z</dcterms:created>
  <dcterms:modified xsi:type="dcterms:W3CDTF">2023-07-31T11:53:45Z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