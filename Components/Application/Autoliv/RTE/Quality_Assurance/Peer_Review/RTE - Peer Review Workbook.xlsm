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threadedComments/threadedComment4.xml" ContentType="application/vnd.ms-excel.threaded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showInkAnnotation="0" updateLinks="never" codeName="ThisWorkbook" defaultThemeVersion="124226"/>
  <mc:AlternateContent xmlns:mc="http://schemas.openxmlformats.org/markup-compatibility/2006">
    <mc:Choice Requires="x15">
      <x15ac:absPath xmlns:x15ac="http://schemas.microsoft.com/office/spreadsheetml/2010/11/ac" url="C:\Data\S32K_FramePlatform_VD\Components\Application\Autoliv\AdcIf\Quality_Assurance\Peer_Review\"/>
    </mc:Choice>
  </mc:AlternateContent>
  <xr:revisionPtr revIDLastSave="0" documentId="13_ncr:1_{6DF2DBD1-6BB8-4FB3-A7EC-15D0415E78C2}" xr6:coauthVersionLast="45" xr6:coauthVersionMax="45" xr10:uidLastSave="{00000000-0000-0000-0000-000000000000}"/>
  <bookViews>
    <workbookView xWindow="-110" yWindow="-110" windowWidth="19420" windowHeight="10420" tabRatio="750" activeTab="10" xr2:uid="{00000000-000D-0000-FFFF-FFFF00000000}"/>
  </bookViews>
  <sheets>
    <sheet name="FrontPage" sheetId="38" r:id="rId1"/>
    <sheet name="General info" sheetId="39" r:id="rId2"/>
    <sheet name="Help" sheetId="15" r:id="rId3"/>
    <sheet name="Synthesis Charts" sheetId="16" r:id="rId4"/>
    <sheet name="Overview" sheetId="42" r:id="rId5"/>
    <sheet name="Code Review" sheetId="18" r:id="rId6"/>
    <sheet name="Design Review" sheetId="205" r:id="rId7"/>
    <sheet name="MBD checklist" sheetId="197" r:id="rId8"/>
    <sheet name="SDD checklist" sheetId="198" r:id="rId9"/>
    <sheet name="CODE checklist" sheetId="199" r:id="rId10"/>
    <sheet name="UTSR checklist" sheetId="201" r:id="rId11"/>
  </sheets>
  <functionGroups builtInGroupCount="19"/>
  <externalReferences>
    <externalReference r:id="rId12"/>
    <externalReference r:id="rId13"/>
    <externalReference r:id="rId14"/>
  </externalReferences>
  <definedNames>
    <definedName name="_xlnm._FilterDatabase" localSheetId="5" hidden="1">'Code Review'!$A$4:$M$204</definedName>
    <definedName name="_xlnm._FilterDatabase" localSheetId="6" hidden="1">'Design Review'!$A$4:$M$204</definedName>
    <definedName name="Acronyms_Disciplines">'[1]General info'!$AI$73:$AJ$83</definedName>
    <definedName name="Acronyms_Process">'[1]General info'!$AR$73:$AS$91</definedName>
    <definedName name="Acronyms_TypeOfChecks">'[1]General info'!$AL$73:$AM$77</definedName>
    <definedName name="ActorName" localSheetId="6">'Design Review'!$J$4</definedName>
    <definedName name="ActorName">'Code Review'!$J$4</definedName>
    <definedName name="ApprovalStatus">'Synthesis Charts'!$C$40</definedName>
    <definedName name="AuditFilename">'[1]Generate checklists'!$J$23</definedName>
    <definedName name="AuthorStatus" localSheetId="6">'Design Review'!$L$4</definedName>
    <definedName name="AuthorStatus">'Code Review'!$L$4</definedName>
    <definedName name="Autofill" localSheetId="6">'Design Review'!$AX$1</definedName>
    <definedName name="Autofill">'Code Review'!$AX$1</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 localSheetId="6">'Design Review'!$D$4</definedName>
    <definedName name="Description">'Code Review'!$D$4</definedName>
    <definedName name="FileName">FrontPage!$AD$3</definedName>
    <definedName name="Identifier" localSheetId="6">'Design Review'!$A$4</definedName>
    <definedName name="Identifier">'Code Review'!$A$4</definedName>
    <definedName name="Issue_to_treat" localSheetId="5">'Code Review'!$X$2</definedName>
    <definedName name="Issue_to_treat" localSheetId="6">'Design Review'!$X$2</definedName>
    <definedName name="IssuerName" localSheetId="6">'Design Review'!$F$4</definedName>
    <definedName name="IssuerName">'Code Review'!$F$4</definedName>
    <definedName name="Issues_postponed" localSheetId="5">'Code Review'!$Z$2</definedName>
    <definedName name="Issues_postponed" localSheetId="6">'Design Review'!$Z$2</definedName>
    <definedName name="Issues_to_approve" localSheetId="5">'Code Review'!$Y$2</definedName>
    <definedName name="Issues_to_approve" localSheetId="6">'Design Review'!$Y$2</definedName>
    <definedName name="List_ProductFamily">'[1]General info.Milestone'!$C$204:$N$206</definedName>
    <definedName name="ManualFill" localSheetId="6">'Design Review'!$AY$1</definedName>
    <definedName name="ManualFill">'Code Review'!$AY$1</definedName>
    <definedName name="MilestoneFilename">'[1]Generate checklists'!$C$23</definedName>
    <definedName name="MXActual_state_Released" localSheetId="9">[1]FrontPage!$AB$5</definedName>
    <definedName name="MXActual_state_Released" localSheetId="7">[1]FrontPage!$AB$5</definedName>
    <definedName name="MXActual_state_Released" localSheetId="8">[1]FrontPage!$AB$5</definedName>
    <definedName name="MXActual_state_Released" localSheetId="10">[1]FrontPage!$AB$5</definedName>
    <definedName name="MXActual_state_Released">FrontPage!$AB$5</definedName>
    <definedName name="MXAuthority" localSheetId="9">[1]FrontPage!$A$5</definedName>
    <definedName name="MXAuthority" localSheetId="7">[1]FrontPage!$A$5</definedName>
    <definedName name="MXAuthority" localSheetId="8">[1]FrontPage!$A$5</definedName>
    <definedName name="MXAuthority" localSheetId="10">[1]FrontPage!$A$5</definedName>
    <definedName name="MXAuthority">FrontPage!$A$5</definedName>
    <definedName name="MXCurrent.Localized" localSheetId="9">[1]FrontPage!$W$5</definedName>
    <definedName name="MXCurrent.Localized" localSheetId="7">[1]FrontPage!$W$5</definedName>
    <definedName name="MXCurrent.Localized" localSheetId="8">[1]FrontPage!$W$5</definedName>
    <definedName name="MXCurrent.Localized" localSheetId="10">[1]FrontPage!$W$5</definedName>
    <definedName name="MXCurrent.Localized">FrontPage!$W$5</definedName>
    <definedName name="MXName" localSheetId="9">[1]FrontPage!$A$7</definedName>
    <definedName name="MXName" localSheetId="7">[1]FrontPage!$A$7</definedName>
    <definedName name="MXName" localSheetId="8">[1]FrontPage!$A$7</definedName>
    <definedName name="MXName" localSheetId="10">[1]FrontPage!$A$7</definedName>
    <definedName name="MXName">FrontPage!$A$7</definedName>
    <definedName name="MXRevision" localSheetId="9">[1]FrontPage!$AB$7</definedName>
    <definedName name="MXRevision" localSheetId="7">[1]FrontPage!$AB$7</definedName>
    <definedName name="MXRevision" localSheetId="8">[1]FrontPage!$AB$7</definedName>
    <definedName name="MXRevision" localSheetId="10">[1]FrontPage!$AB$7</definedName>
    <definedName name="MXRevision">FrontPage!$AB$7</definedName>
    <definedName name="MXTitle" localSheetId="9">[1]FrontPage!$E$7</definedName>
    <definedName name="MXTitle" localSheetId="7">[1]FrontPage!$E$7</definedName>
    <definedName name="MXTitle" localSheetId="8">[1]FrontPage!$E$7</definedName>
    <definedName name="MXTitle" localSheetId="10">[1]FrontPage!$E$7</definedName>
    <definedName name="MXTitle">FrontPage!$E$7</definedName>
    <definedName name="MXVersion" localSheetId="9">[1]FrontPage!$AE$7</definedName>
    <definedName name="MXVersion" localSheetId="7">[1]FrontPage!$AE$7</definedName>
    <definedName name="MXVersion" localSheetId="8">[1]FrontPage!$AE$7</definedName>
    <definedName name="MXVersion" localSheetId="10">[1]FrontPage!$AE$7</definedName>
    <definedName name="MXVersion">FrontPage!$AE$7</definedName>
    <definedName name="NbOfApprovedIssues" localSheetId="5">'Code Review'!$AH$2</definedName>
    <definedName name="NbOfApprovedIssues" localSheetId="6">'Design Review'!$AH$2</definedName>
    <definedName name="NbOfNotApprovedAndPostponedIssues" localSheetId="5">'Code Review'!$O$2</definedName>
    <definedName name="NbOfNotApprovedAndPostponedIssues" localSheetId="6">'Design Review'!$O$2</definedName>
    <definedName name="NbOfNotApprovedIssues" localSheetId="5">'Code Review'!$N$2</definedName>
    <definedName name="NbOfNotApprovedIssues" localSheetId="6">'Design Review'!$N$2</definedName>
    <definedName name="NbOfNotTreatedIssues" localSheetId="6">'Design Review'!$L$2</definedName>
    <definedName name="NbOfNotTreatedIssues">'Code Review'!$L$2</definedName>
    <definedName name="NbOfRejectedIssues" localSheetId="6">'Design Review'!$M$2</definedName>
    <definedName name="NbOfRejectedIssues">'Code Review'!$M$2</definedName>
    <definedName name="NextAvailableQuestionId">'[1]General info'!$B$73</definedName>
    <definedName name="OpenDate" localSheetId="6">'Design Review'!$E$4</definedName>
    <definedName name="OpenDate">'Code Review'!$E$4</definedName>
    <definedName name="option_discipline">'[1]General info'!$AI$73:$AI$83</definedName>
    <definedName name="Option_MilestoneName">'[1]General info'!$AO$73:$AO$94</definedName>
    <definedName name="Option_Process">'[1]General info'!$AR$73:$AR$91</definedName>
    <definedName name="Option_ReviewEvaluationScale" localSheetId="9">'[1]General info'!$BG$73:$BG$77</definedName>
    <definedName name="Option_ReviewEvaluationScale" localSheetId="7">'[1]General info'!$BG$73:$BG$77</definedName>
    <definedName name="Option_ReviewEvaluationScale" localSheetId="8">'[1]General info'!$BG$73:$BG$77</definedName>
    <definedName name="Option_ReviewEvaluationScale" localSheetId="10">'[1]General info'!$BG$73:$BG$77</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 localSheetId="6">'Design Review'!$M$4</definedName>
    <definedName name="ReviewerStatus">'Code Review'!$M$4</definedName>
    <definedName name="ReviewFilename">'[1]Generate checklists'!$Q$23</definedName>
    <definedName name="Sheet.ReviewTempate" localSheetId="9">'CODE checklist'!$A$1</definedName>
    <definedName name="Sheet.ReviewTempate" localSheetId="7">'MBD checklist'!$A$1</definedName>
    <definedName name="Sheet.ReviewTempate" localSheetId="8">'SDD checklist'!$A$1</definedName>
    <definedName name="Sheet.ReviewTempate" localSheetId="10">'UTSR checklist'!$A$1</definedName>
    <definedName name="Sheet.ReviewTempate">#REF!</definedName>
    <definedName name="SoftwareReleaseTarget">'[1]General info.Milestone'!$C$210:$C$212</definedName>
    <definedName name="Status_OK" localSheetId="5">'Code Review'!$AA$2</definedName>
    <definedName name="Status_OK" localSheetId="6">'Design Review'!$AA$2</definedName>
    <definedName name="StatusFixed" localSheetId="5">'Code Review'!$R$2</definedName>
    <definedName name="StatusFixed" localSheetId="6">'Design Review'!$R$2</definedName>
    <definedName name="StatusOpen" localSheetId="5">'Code Review'!$U$2</definedName>
    <definedName name="StatusOpen" localSheetId="6">'Design Review'!$U$2</definedName>
    <definedName name="StatusPostponed" localSheetId="5">'Code Review'!$S$2</definedName>
    <definedName name="StatusPostponed" localSheetId="6">'Design Review'!$S$2</definedName>
    <definedName name="StatusToBeFixed" localSheetId="5">'Code Review'!$Q$2</definedName>
    <definedName name="StatusToBeFixed" localSheetId="6">'Design Review'!$Q$2</definedName>
    <definedName name="StatusWillNotBeFixed" localSheetId="5">'Code Review'!$T$2</definedName>
    <definedName name="StatusWillNotBeFixed" localSheetId="6">'Design Review'!$T$2</definedName>
    <definedName name="Synthesis_ConformityTitle">'Synthesis Charts'!$D$24</definedName>
    <definedName name="Synthesis_Status">'Synthesis Charts'!$C$31</definedName>
    <definedName name="TargetDate" localSheetId="6">'Design Review'!$K$4</definedName>
    <definedName name="TargetDate">'Code Review'!$K$4</definedName>
    <definedName name="Template.Name" localSheetId="9">'CODE checklist'!$B$2</definedName>
    <definedName name="Template.Name" localSheetId="7">'MBD checklist'!$B$2</definedName>
    <definedName name="Template.Name" localSheetId="8">'SDD checklist'!$B$2</definedName>
    <definedName name="Template.Name" localSheetId="10">'UTSR checklist'!$B$2</definedName>
    <definedName name="Template.Question" localSheetId="9">'CODE checklist'!#REF!</definedName>
    <definedName name="Template.Question" localSheetId="7">'MBD checklist'!#REF!</definedName>
    <definedName name="Template.Question" localSheetId="8">'SDD checklist'!#REF!</definedName>
    <definedName name="Template.Question" localSheetId="10">'UTSR checklist'!#REF!</definedName>
    <definedName name="Template.Section" localSheetId="9">'CODE checklist'!#REF!</definedName>
    <definedName name="Template.Section" localSheetId="7">'MBD checklist'!#REF!</definedName>
    <definedName name="Template.Section" localSheetId="8">'SDD checklist'!#REF!</definedName>
    <definedName name="Template.Section" localSheetId="10">'UTSR checklist'!#REF!</definedName>
    <definedName name="TemplateColumn">'Synthesis Charts'!$B:$B</definedName>
    <definedName name="TemplateRef" localSheetId="9">[1]FrontPage!$W$7</definedName>
    <definedName name="TemplateRef" localSheetId="7">[1]FrontPage!$W$7</definedName>
    <definedName name="TemplateRef" localSheetId="8">[1]FrontPage!$W$7</definedName>
    <definedName name="TemplateRef" localSheetId="10">[1]FrontPage!$W$7</definedName>
    <definedName name="TemplateRef">FrontPage!$W$7</definedName>
    <definedName name="Text.Released">'[1]General info'!$BJ$75</definedName>
    <definedName name="Title.Checklist.Guide.HowToRate" localSheetId="9">'CODE checklist'!$F$3</definedName>
    <definedName name="Title.Checklist.Guide.HowToRate" localSheetId="7">'MBD checklist'!$F$3</definedName>
    <definedName name="Title.Checklist.Guide.HowToRate" localSheetId="8">'SDD checklist'!$F$3</definedName>
    <definedName name="Title.Checklist.Guide.HowToRate" localSheetId="10">'UTSR checklist'!$F$3</definedName>
    <definedName name="Title.Checklist.Guide.WhatToCheck" localSheetId="9">'CODE checklist'!$E$3</definedName>
    <definedName name="Title.Checklist.Guide.WhatToCheck" localSheetId="7">'MBD checklist'!$E$3</definedName>
    <definedName name="Title.Checklist.Guide.WhatToCheck" localSheetId="8">'SDD checklist'!$E$3</definedName>
    <definedName name="Title.Checklist.Guide.WhatToCheck" localSheetId="10">'UTSR checklist'!$E$3</definedName>
    <definedName name="Title.Checklist.ManualQuestion" localSheetId="9">'CODE checklist'!$B$32</definedName>
    <definedName name="Title.Checklist.ManualQuestion" localSheetId="7">'MBD checklist'!$B$48</definedName>
    <definedName name="Title.Checklist.ManualQuestion" localSheetId="8">'SDD checklist'!$B$33</definedName>
    <definedName name="Title.Checklist.ManualQuestion" localSheetId="10">'UTSR checklist'!$B$36</definedName>
    <definedName name="Title.Checklist.NoteForAuditor" localSheetId="9">'CODE checklist'!$E$2</definedName>
    <definedName name="Title.Checklist.NoteForAuditor" localSheetId="7">'MBD checklist'!$E$2</definedName>
    <definedName name="Title.Checklist.NoteForAuditor" localSheetId="8">'SDD checklist'!$E$2</definedName>
    <definedName name="Title.Checklist.NoteForAuditor" localSheetId="10">'UTSR checklist'!$E$2</definedName>
    <definedName name="Title.Checklist.Question" localSheetId="9">'CODE checklist'!$B$4</definedName>
    <definedName name="Title.Checklist.Question" localSheetId="7">'MBD checklist'!$B$4</definedName>
    <definedName name="Title.Checklist.Question" localSheetId="8">'SDD checklist'!$B$4</definedName>
    <definedName name="Title.Checklist.Question" localSheetId="10">'UTSR checklist'!$B$4</definedName>
    <definedName name="Title.Checklist.QuestionReference" localSheetId="9">'CODE checklist'!$A$2</definedName>
    <definedName name="Title.Checklist.QuestionReference" localSheetId="7">'MBD checklist'!$A$2</definedName>
    <definedName name="Title.Checklist.QuestionReference" localSheetId="8">'SDD checklist'!$A$2</definedName>
    <definedName name="Title.Checklist.QuestionReference" localSheetId="10">'UTSR checklist'!$A$2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_Review_QualityPart" localSheetId="9">'CODE checklist'!#REF!</definedName>
    <definedName name="Title_Review_QualityPart" localSheetId="7">'MBD checklist'!#REF!</definedName>
    <definedName name="Title_Review_QualityPart" localSheetId="8">'SDD checklist'!#REF!</definedName>
    <definedName name="Title_Review_QualityPart" localSheetId="10">'UTSR checklist'!#REF!</definedName>
    <definedName name="Title_Review_QualityPart">#REF!</definedName>
    <definedName name="TitleRow" localSheetId="9">'CODE checklist'!$2:$2</definedName>
    <definedName name="TitleRow" localSheetId="7">'MBD checklist'!$2:$2</definedName>
    <definedName name="TitleRow" localSheetId="8">'SDD checklist'!$2:$2</definedName>
    <definedName name="TitleRow" localSheetId="10">'UTSR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2" i="205" l="1"/>
  <c r="AI2" i="205"/>
  <c r="AH2" i="205"/>
  <c r="U2" i="205"/>
  <c r="T2" i="205"/>
  <c r="S2" i="205"/>
  <c r="R2" i="205"/>
  <c r="Q2" i="205"/>
  <c r="O2" i="205"/>
  <c r="N2" i="205"/>
  <c r="M2" i="205"/>
  <c r="L2" i="205"/>
  <c r="X2" i="205" s="1"/>
  <c r="E7" i="38"/>
  <c r="X27" i="16"/>
  <c r="W27" i="16"/>
  <c r="V27" i="16"/>
  <c r="U27" i="16"/>
  <c r="T27" i="16"/>
  <c r="S27" i="16"/>
  <c r="R27" i="16"/>
  <c r="Q27" i="16"/>
  <c r="P27" i="16"/>
  <c r="O27" i="16"/>
  <c r="N27" i="16"/>
  <c r="M27" i="16"/>
  <c r="L27" i="16"/>
  <c r="K27" i="16"/>
  <c r="J27" i="16"/>
  <c r="I27" i="16"/>
  <c r="H27" i="16"/>
  <c r="G27" i="16"/>
  <c r="F27" i="16"/>
  <c r="E27" i="16"/>
  <c r="W5" i="38"/>
  <c r="Y2" i="205" l="1"/>
  <c r="Z2" i="205" s="1"/>
  <c r="AA2" i="205" l="1"/>
  <c r="A3" i="205"/>
  <c r="W7" i="38" l="1"/>
  <c r="A7" i="38"/>
  <c r="AB5" i="38"/>
  <c r="AE7" i="38"/>
  <c r="AB7" i="38"/>
  <c r="A5" i="38"/>
  <c r="C3" i="201" l="1"/>
  <c r="C3" i="199"/>
  <c r="C3" i="198"/>
  <c r="C3" i="197"/>
  <c r="Z27" i="16" l="1"/>
  <c r="Y27" i="16"/>
  <c r="E3" i="42"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AEM_PROCESS_1.14.00
Last change : AEM_PROCESS_1.14.00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I78" authorId="5" shapeId="0" xr:uid="{F17275A0-61EC-48C5-83D6-7710F1FB268A}">
      <text>
        <r>
          <rPr>
            <b/>
            <sz val="9"/>
            <color indexed="81"/>
            <rFont val="Tahoma"/>
            <family val="2"/>
          </rPr>
          <t>Don't change this cell</t>
        </r>
      </text>
    </comment>
    <comment ref="AI82" authorId="5" shapeId="0" xr:uid="{7EBCCB23-C7DD-49AE-A0C3-608CFE3FF3EB}">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tc={4F07D554-8883-424C-8AAE-3311ED8AC009}</author>
    <author>tc={9F1E263E-74BA-42AA-9DC1-0CE46D8D4B15}</author>
    <author>tc={5A6DEF0A-2534-4678-912D-8D88DD3F6528}</author>
    <author>tc={FFB859C3-7E8D-4BBA-BA76-67BBFAC7043A}</author>
    <author>tc={6075C51B-B0B9-43A9-AFDE-7E5C40969AD4}</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I5" authorId="5" shapeId="0" xr:uid="{4F07D554-8883-424C-8AAE-3311ED8AC009}">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5" authorId="6" shapeId="0" xr:uid="{9F1E263E-74BA-42AA-9DC1-0CE46D8D4B15}">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L5" authorId="7" shapeId="0" xr:uid="{5A6DEF0A-2534-4678-912D-8D88DD3F6528}">
      <text>
        <t>[Threaded comment]
Your version of Excel allows you to read this threaded comment; however, any edits to it will get removed if the file is opened in a newer version of Excel. Learn more: https://go.microsoft.com/fwlink/?linkid=870924
Comment:
    If no comment from the reviewer, is it necessary to fill in the column" comments" with "no remark/no comment"? If yes, which status to be selected in"status" column?
Reply:
    if no comment =&gt; nothing to change =&gt;will not be fixed
Reply:
    better to have this point noted in the notes
Reply:
    if no comment, filling the " will not be fixed" by author and "agreement(reviewer)" by reviewer are waste of effort.  if not filled, will have one open item in red,which is not reasonable.</t>
      </text>
    </comment>
    <comment ref="I6" authorId="8" shapeId="0" xr:uid="{FFB859C3-7E8D-4BBA-BA76-67BBFAC7043A}">
      <text>
        <t>[Threaded comment]
Your version of Excel allows you to read this threaded comment; however, any edits to it will get removed if the file is opened in a newer version of Excel. Learn more: https://go.microsoft.com/fwlink/?linkid=870924
Comment:
    As a reviewer, how to select the priority for his comments? the slection criterial or guideline shall be provided.
Reply:
    Agree with you</t>
      </text>
    </comment>
    <comment ref="L6" authorId="9" shapeId="0" xr:uid="{6075C51B-B0B9-43A9-AFDE-7E5C40969AD4}">
      <text>
        <t>[Threaded comment]
Your version of Excel allows you to read this threaded comment; however, any edits to it will get removed if the file is opened in a newer version of Excel. Learn more: https://go.microsoft.com/fwlink/?linkid=870924
Comment:
    I would propose that the column of "status"not to be filled in by reviewer; If the reviewer select the status,e.g." will not be fixed", then the "Actor name" will be automatically filled with reviewer's name, which is not good, reviewer=actor;
Reply:
    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
Reply:
    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tc={494CCE40-B27D-4966-AAD9-98F9E5F6A20F}</author>
    <author>tc={F3124478-4AE4-4935-B08F-9AF3C50CD84E}</author>
    <author>tc={10D85564-CDE7-46E5-95C6-FE4D4EE6F8C8}</author>
    <author>tc={F68DCEEE-D877-42E9-9657-A7293B116C15}</author>
    <author>tc={C9940AC0-B186-4350-A940-C8BC2798F778}</author>
  </authors>
  <commentList>
    <comment ref="X1" authorId="0" shapeId="0" xr:uid="{AED6884B-064F-463E-A393-4456EF91C07A}">
      <text>
        <r>
          <rPr>
            <sz val="9"/>
            <color indexed="81"/>
            <rFont val="Tahoma"/>
            <family val="2"/>
          </rPr>
          <t>Detection of :
o Open issues
o To be fixed issues
o Rejected issues</t>
        </r>
      </text>
    </comment>
    <comment ref="L2" authorId="0" shapeId="0" xr:uid="{673638B2-A1A6-48B8-9C3A-6E1994D26011}">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DBA2482C-C550-478C-A8FE-BA363D6CCBDD}">
      <text>
        <r>
          <rPr>
            <b/>
            <sz val="9"/>
            <color indexed="81"/>
            <rFont val="Tahoma"/>
            <family val="2"/>
          </rPr>
          <t>Issues not yet approved</t>
        </r>
        <r>
          <rPr>
            <sz val="9"/>
            <color indexed="81"/>
            <rFont val="Tahoma"/>
            <family val="2"/>
          </rPr>
          <t xml:space="preserve">
</t>
        </r>
      </text>
    </comment>
    <comment ref="A3" authorId="0" shapeId="0" xr:uid="{31DECACB-896B-4FE8-BD92-5C857607FFD4}">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95029D87-0DC7-407B-9C82-85F9805C329D}">
      <text>
        <r>
          <rPr>
            <b/>
            <sz val="12"/>
            <color indexed="10"/>
            <rFont val="Tahoma"/>
            <family val="2"/>
          </rPr>
          <t>Mandatory</t>
        </r>
        <r>
          <rPr>
            <b/>
            <sz val="12"/>
            <color indexed="81"/>
            <rFont val="Tahoma"/>
            <family val="2"/>
          </rPr>
          <t>,
automatically filled by VBA macros.
Open Issue Number
Do not modify it</t>
        </r>
      </text>
    </comment>
    <comment ref="B4" authorId="2" shapeId="0" xr:uid="{D9E509DE-2339-450B-9BA2-FBDDEFCC37DC}">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EA27D25B-EA87-4794-B905-D9EE33E1A8EB}">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68487873-4393-44F3-9669-FC68522AB8AD}">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4564DC1C-46EE-4314-B502-154876ECBC58}">
      <text>
        <r>
          <rPr>
            <b/>
            <sz val="12"/>
            <color indexed="10"/>
            <rFont val="Tahoma"/>
            <family val="2"/>
          </rPr>
          <t>Mandatory</t>
        </r>
        <r>
          <rPr>
            <b/>
            <sz val="12"/>
            <color indexed="81"/>
            <rFont val="Tahoma"/>
            <family val="2"/>
          </rPr>
          <t>,
automatically filled by VBA macros
date of the remark creation</t>
        </r>
      </text>
    </comment>
    <comment ref="F4" authorId="1" shapeId="0" xr:uid="{86AD5A80-F443-4C50-814C-4F9B53470004}">
      <text>
        <r>
          <rPr>
            <b/>
            <sz val="12"/>
            <color indexed="10"/>
            <rFont val="Tahoma"/>
            <family val="2"/>
          </rPr>
          <t>Mandatory</t>
        </r>
        <r>
          <rPr>
            <b/>
            <sz val="12"/>
            <color indexed="81"/>
            <rFont val="Tahoma"/>
            <family val="2"/>
          </rPr>
          <t>,
automatically filled in by VBA macros
Identification of the reviewer</t>
        </r>
      </text>
    </comment>
    <comment ref="G4" authorId="2" shapeId="0" xr:uid="{7293BF0B-8EFF-4646-B5F6-3720857F2ED4}">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76EE9529-9F16-4B51-A13F-D2A1CA6159DC}">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14C1BCFA-B27D-4690-9F94-A9AC9ED67DEE}">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870E4F07-CC3E-4A5B-A454-6AB0C13F9B24}">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A80156E5-0787-4642-A1B9-EF0D4790A7AF}">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9C5D37EA-AA12-4329-A282-E14CEEB966FB}">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72874EF2-233B-46D9-8176-1150F5AD8D44}">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I5" authorId="5" shapeId="0" xr:uid="{494CCE40-B27D-4966-AAD9-98F9E5F6A20F}">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5" authorId="6" shapeId="0" xr:uid="{F3124478-4AE4-4935-B08F-9AF3C50CD84E}">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L5" authorId="7" shapeId="0" xr:uid="{10D85564-CDE7-46E5-95C6-FE4D4EE6F8C8}">
      <text>
        <t>[Threaded comment]
Your version of Excel allows you to read this threaded comment; however, any edits to it will get removed if the file is opened in a newer version of Excel. Learn more: https://go.microsoft.com/fwlink/?linkid=870924
Comment:
    If no comment from the reviewer, is it necessary to fill in the column" comments" with "no remark/no comment"? If yes, which status to be selected in"status" column?
Reply:
    if no comment =&gt; nothing to change =&gt;will not be fixed
Reply:
    better to have this point noted in the notes
Reply:
    if no comment, filling the " will not be fixed" by author and "agreement(reviewer)" by reviewer are waste of effort.  if not filled, will have one open item in red,which is not reasonable.</t>
      </text>
    </comment>
    <comment ref="I6" authorId="8" shapeId="0" xr:uid="{F68DCEEE-D877-42E9-9657-A7293B116C15}">
      <text>
        <t>[Threaded comment]
Your version of Excel allows you to read this threaded comment; however, any edits to it will get removed if the file is opened in a newer version of Excel. Learn more: https://go.microsoft.com/fwlink/?linkid=870924
Comment:
    As a reviewer, how to select the priority for his comments? the slection criterial or guideline shall be provided.
Reply:
    Agree with you</t>
      </text>
    </comment>
    <comment ref="L6" authorId="9" shapeId="0" xr:uid="{C9940AC0-B186-4350-A940-C8BC2798F778}">
      <text>
        <t>[Threaded comment]
Your version of Excel allows you to read this threaded comment; however, any edits to it will get removed if the file is opened in a newer version of Excel. Learn more: https://go.microsoft.com/fwlink/?linkid=870924
Comment:
    I would propose that the column of "status"not to be filled in by reviewer; If the reviewer select the status,e.g." will not be fixed", then the "Actor name" will be automatically filled with reviewer's name, which is not good, reviewer=actor;
Reply:
    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
Reply:
    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44FBC768-E97D-4675-A529-DEC354B0B8DB}">
      <text>
        <r>
          <rPr>
            <sz val="9"/>
            <color indexed="81"/>
            <rFont val="Tahoma"/>
            <family val="2"/>
          </rPr>
          <t>This row is mandatory to force the VBA script to generate the checklist</t>
        </r>
      </text>
    </comment>
    <comment ref="B48" authorId="0" shapeId="0" xr:uid="{B3D60BA5-490C-4884-9CBD-E74C492CEEF1}">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<sst xmlns="http://schemas.openxmlformats.org/spreadsheetml/2006/main" count="752" uniqueCount="443">
  <si>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</si>
  <si>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</si>
  <si>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</si>
  <si>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</si>
  <si>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</si>
  <si>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</si>
  <si>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</si>
  <si>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</si>
  <si>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</si>
  <si>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</si>
  <si>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</si>
  <si>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</si>
  <si>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</si>
  <si>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</si>
  <si>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</si>
  <si>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</si>
  <si>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</si>
  <si>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</si>
  <si>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</si>
  <si>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</si>
  <si>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</si>
  <si>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</si>
  <si>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</si>
  <si>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</si>
  <si>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</si>
  <si>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</si>
  <si>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</si>
  <si>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</si>
  <si>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</si>
  <si>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</si>
  <si>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</si>
  <si>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</si>
  <si>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</si>
  <si>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</si>
  <si>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</si>
  <si>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</si>
  <si>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</si>
  <si>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</si>
  <si>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</si>
  <si>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</si>
  <si>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</si>
  <si>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</si>
  <si>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</si>
  <si>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</si>
  <si>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</si>
  <si>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</si>
  <si>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</si>
  <si>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</si>
  <si>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</si>
  <si>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</si>
  <si>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</si>
  <si>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</si>
  <si>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</si>
  <si>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</si>
  <si>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</si>
  <si>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</si>
  <si>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</si>
  <si>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</si>
  <si>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</si>
  <si>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</si>
  <si>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</si>
  <si>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</si>
  <si>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</si>
  <si>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</si>
  <si>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</si>
  <si>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</si>
  <si>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</si>
  <si>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</si>
  <si>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</si>
  <si>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</si>
  <si>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</si>
  <si>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</si>
  <si>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</si>
  <si>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</si>
  <si>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</si>
  <si>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</si>
  <si>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</si>
  <si>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</si>
  <si>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</si>
  <si>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</si>
  <si>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</si>
  <si>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</si>
  <si>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</si>
  <si>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</si>
  <si>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</si>
  <si>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</si>
  <si>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</si>
  <si>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</si>
  <si>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</si>
  <si>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</si>
  <si>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</si>
  <si>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</si>
  <si>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</si>
  <si>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</si>
  <si>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</si>
  <si>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</si>
  <si>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</si>
  <si>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</si>
  <si>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</si>
  <si>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</si>
  <si>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</si>
  <si>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</si>
  <si>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</si>
  <si>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</si>
  <si>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</si>
  <si>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</si>
  <si>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</si>
  <si>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</si>
  <si>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</si>
  <si>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</si>
  <si>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</si>
  <si>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</si>
  <si>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</si>
  <si>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</si>
  <si>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</si>
  <si>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</si>
  <si>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</si>
  <si>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</si>
  <si>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</si>
  <si>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</si>
  <si>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</si>
  <si>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</si>
  <si>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</si>
  <si>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</si>
  <si>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</si>
  <si>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</si>
  <si>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</si>
  <si>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</si>
  <si>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</si>
  <si>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</si>
  <si>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</si>
  <si>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</si>
  <si>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</si>
  <si>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</si>
  <si>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</si>
  <si>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</si>
  <si>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</si>
  <si>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</si>
  <si>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</si>
  <si>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</si>
  <si>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</si>
  <si>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</si>
  <si>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</si>
  <si>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</si>
  <si>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</si>
  <si>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</si>
  <si>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</si>
  <si>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</si>
  <si>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</si>
  <si>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</si>
  <si>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</si>
  <si>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</si>
  <si>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</si>
  <si>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</si>
  <si>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</si>
  <si>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</si>
  <si>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</si>
  <si>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</si>
  <si>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</si>
  <si>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</si>
  <si>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</si>
  <si>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</si>
  <si>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</si>
  <si>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</si>
  <si>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</si>
  <si>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</si>
  <si>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</si>
  <si>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</si>
  <si>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</si>
  <si>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</si>
  <si>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</si>
  <si>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</si>
  <si>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</si>
  <si>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</si>
  <si>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</si>
  <si>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</si>
  <si>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</si>
  <si>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</si>
  <si>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</si>
  <si>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</si>
  <si>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</si>
  <si>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</si>
  <si>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</si>
  <si>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</si>
  <si>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</si>
  <si>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</si>
  <si>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</si>
  <si>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</si>
  <si>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</si>
  <si>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</si>
  <si>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</si>
  <si>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</si>
  <si>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</si>
  <si>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</si>
  <si>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</si>
  <si>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</si>
  <si>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</si>
  <si>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</si>
  <si>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</si>
  <si>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</si>
  <si>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</si>
  <si>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</si>
  <si>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</si>
  <si>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</si>
  <si>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</si>
  <si>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</si>
  <si>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</si>
  <si>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</si>
  <si>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</si>
  <si>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</si>
  <si>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</si>
  <si>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</si>
  <si>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</si>
  <si>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</si>
  <si>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</si>
  <si>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</si>
  <si>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</si>
  <si>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</si>
  <si>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</si>
  <si>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</si>
  <si>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</si>
  <si>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</si>
  <si>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</si>
  <si>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</si>
  <si>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</si>
  <si>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</si>
  <si>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</si>
  <si>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</si>
  <si>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</si>
  <si>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</si>
  <si>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</si>
  <si>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</si>
  <si>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</si>
  <si>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</si>
  <si>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</si>
  <si>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</si>
  <si>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</si>
  <si>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</si>
  <si>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</si>
  <si>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</si>
  <si>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</si>
  <si>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</si>
  <si>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</si>
  <si>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</si>
  <si>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</si>
  <si>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</si>
  <si>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</si>
  <si>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</si>
  <si>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</si>
  <si>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</si>
  <si>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</si>
  <si>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</si>
  <si>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</si>
  <si>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</si>
  <si>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</si>
  <si>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</si>
  <si>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</si>
  <si>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</si>
  <si>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</si>
  <si>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</si>
  <si>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</si>
  <si>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</si>
  <si>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</si>
  <si>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</si>
  <si>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</si>
  <si>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</si>
  <si>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</si>
  <si>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</si>
  <si>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</si>
  <si>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</si>
  <si>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</si>
  <si>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</si>
  <si>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</si>
  <si>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</si>
  <si>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</si>
  <si>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</si>
  <si>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</si>
  <si>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</si>
  <si>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</si>
  <si>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</si>
  <si>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</si>
  <si>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</si>
  <si>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</si>
  <si>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</si>
  <si>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</si>
  <si>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</si>
  <si>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</si>
  <si>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</si>
  <si>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</si>
  <si>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</si>
  <si>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</si>
  <si>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</si>
  <si>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</si>
  <si>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</si>
  <si>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</si>
  <si>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</si>
  <si>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</si>
  <si>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</si>
  <si>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</si>
  <si>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</si>
  <si>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</si>
  <si>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</si>
  <si>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</si>
  <si>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</si>
  <si>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AEF1007 - Peer Review Workbook (PRWB).xlsm</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</si>
  <si>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</si>
  <si>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</si>
  <si>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</si>
  <si>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</si>
  <si>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</si>
  <si>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</si>
  <si>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</si>
  <si>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</si>
  <si>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</si>
  <si>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</si>
  <si>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</si>
  <si>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</si>
  <si>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</si>
  <si>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</si>
  <si>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</si>
  <si>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</si>
  <si>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</si>
  <si>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</si>
  <si>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</si>
  <si>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</si>
  <si>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</si>
  <si>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</si>
  <si>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</si>
  <si>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</si>
  <si>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</si>
  <si>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</si>
  <si>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</si>
  <si>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</si>
  <si>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</si>
  <si>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</si>
  <si>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</si>
  <si>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</si>
  <si>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</si>
  <si>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</si>
  <si>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</si>
  <si>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</si>
  <si>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</si>
  <si>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</si>
  <si>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</si>
  <si>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SW-R-COD-783</t>
  </si>
  <si>
    <r>
      <rPr>
        <b/>
        <sz val="10"/>
        <rFont val="Arial"/>
        <family val="2"/>
      </rPr>
      <t>Static analysis</t>
    </r>
    <r>
      <rPr>
        <sz val="10"/>
        <rFont val="Arial"/>
        <family val="2"/>
      </rPr>
      <t xml:space="preserve">
Is static analysis performed and warnings corrected or justified?</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</si>
  <si>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</si>
  <si>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</si>
  <si>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</si>
  <si>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</si>
  <si>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</si>
  <si>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</si>
  <si>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</si>
  <si>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</si>
  <si>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</si>
  <si>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</si>
  <si>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</si>
  <si>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</si>
  <si>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</si>
  <si>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</si>
  <si>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</si>
  <si>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</si>
  <si>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</si>
  <si>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</si>
  <si>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</si>
  <si>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</si>
  <si>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</si>
  <si>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</si>
  <si>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</si>
  <si>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</si>
  <si>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</si>
  <si>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</si>
  <si>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</si>
  <si>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</si>
  <si>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</si>
  <si>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</si>
  <si>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</si>
  <si>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</si>
  <si>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</si>
  <si>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</si>
  <si>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Common model rules</t>
  </si>
  <si>
    <t>SW-R-REV-924</t>
  </si>
  <si>
    <r>
      <rPr>
        <b/>
        <sz val="10"/>
        <rFont val="Arial"/>
        <family val="2"/>
      </rPr>
      <t>Tool Version</t>
    </r>
    <r>
      <rPr>
        <sz val="10"/>
        <rFont val="Arial"/>
        <family val="2"/>
      </rPr>
      <t xml:space="preserve">
Is the tool version consistent with the one selected by the project ?</t>
    </r>
  </si>
  <si>
    <t>SW-R-REV-925</t>
  </si>
  <si>
    <r>
      <rPr>
        <b/>
        <sz val="10"/>
        <rFont val="Arial"/>
        <family val="2"/>
      </rPr>
      <t>Data Dictionary</t>
    </r>
    <r>
      <rPr>
        <sz val="10"/>
        <rFont val="Arial"/>
        <family val="2"/>
      </rPr>
      <t xml:space="preserve">
Does either a data dictionary associated to the model, or a file creating the workspace, exist ?</t>
    </r>
  </si>
  <si>
    <t>SW-R-REV-926</t>
  </si>
  <si>
    <r>
      <rPr>
        <b/>
        <sz val="10"/>
        <rFont val="Arial"/>
        <family val="2"/>
      </rPr>
      <t>Naming and prefix</t>
    </r>
    <r>
      <rPr>
        <sz val="10"/>
        <rFont val="Arial"/>
        <family val="2"/>
      </rPr>
      <t xml:space="preserve">
Do the model and its associated files have a name containing the same unique prefix of the component ?</t>
    </r>
  </si>
  <si>
    <t>SW-R-REV-927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</si>
  <si>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</si>
  <si>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</si>
  <si>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</si>
  <si>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</si>
  <si>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SW-R-REV-929</t>
  </si>
  <si>
    <r>
      <rPr>
        <b/>
        <sz val="10"/>
        <rFont val="Arial"/>
        <family val="2"/>
      </rPr>
      <t>Functional Design</t>
    </r>
    <r>
      <rPr>
        <sz val="10"/>
        <rFont val="Arial"/>
        <family val="2"/>
      </rPr>
      <t xml:space="preserve">
Is the sub system containing the functional design atomic ?</t>
    </r>
  </si>
  <si>
    <t>SW-R-REV-930</t>
  </si>
  <si>
    <r>
      <rPr>
        <b/>
        <sz val="10"/>
        <rFont val="Arial"/>
        <family val="2"/>
      </rPr>
      <t>Test environment</t>
    </r>
    <r>
      <rPr>
        <sz val="10"/>
        <rFont val="Arial"/>
        <family val="2"/>
      </rPr>
      <t xml:space="preserve">
Is a test environment associated to the design model available ?</t>
    </r>
  </si>
  <si>
    <t>SW-R-REV-931</t>
  </si>
  <si>
    <r>
      <rPr>
        <b/>
        <sz val="10"/>
        <rFont val="Arial"/>
        <family val="2"/>
      </rPr>
      <t>Naming</t>
    </r>
    <r>
      <rPr>
        <sz val="10"/>
        <rFont val="Arial"/>
        <family val="2"/>
      </rPr>
      <t xml:space="preserve">
Does each important or complex sub system have an explicit name in relation with its role and a note to explain this role ?</t>
    </r>
  </si>
  <si>
    <t>SW-R-REV-932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</si>
  <si>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</si>
  <si>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</si>
  <si>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SW-R-REV-933</t>
  </si>
  <si>
    <r>
      <rPr>
        <b/>
        <sz val="10"/>
        <rFont val="Arial"/>
        <family val="2"/>
      </rPr>
      <t>Interfaces</t>
    </r>
    <r>
      <rPr>
        <sz val="10"/>
        <rFont val="Arial"/>
        <family val="2"/>
      </rPr>
      <t xml:space="preserve">
Are the Autosar interfaces consistent with the official architecture .arxml file ?</t>
    </r>
  </si>
  <si>
    <t>SW-R-REV-934</t>
  </si>
  <si>
    <r>
      <rPr>
        <b/>
        <sz val="10"/>
        <rFont val="Arial"/>
        <family val="2"/>
      </rPr>
      <t>Generated Code</t>
    </r>
    <r>
      <rPr>
        <sz val="10"/>
        <rFont val="Arial"/>
        <family val="2"/>
      </rPr>
      <t xml:space="preserve">
Is the generated code exclusively production embedded code ?</t>
    </r>
  </si>
  <si>
    <t>SW-R-REV-935</t>
  </si>
  <si>
    <r>
      <rPr>
        <b/>
        <sz val="10"/>
        <rFont val="Arial"/>
        <family val="2"/>
      </rPr>
      <t>Configuration</t>
    </r>
    <r>
      <rPr>
        <sz val="10"/>
        <rFont val="Arial"/>
        <family val="2"/>
      </rPr>
      <t xml:space="preserve">
Is it possible to configure the SW component with separated and manually updatable files, independant from the functional code ?</t>
    </r>
  </si>
  <si>
    <t>SW-R-REV-936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</si>
  <si>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</si>
  <si>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SW-R-REV-937</t>
  </si>
  <si>
    <r>
      <rPr>
        <b/>
        <sz val="10"/>
        <rFont val="Arial"/>
        <family val="2"/>
      </rPr>
      <t>Compliance</t>
    </r>
    <r>
      <rPr>
        <sz val="10"/>
        <rFont val="Arial"/>
        <family val="2"/>
      </rPr>
      <t xml:space="preserve">
Does the production code complexicity comply with AS150 expectations (check the STCYC rule)?</t>
    </r>
  </si>
  <si>
    <t>SW-R-REV-938</t>
  </si>
  <si>
    <r>
      <rPr>
        <b/>
        <sz val="10"/>
        <rFont val="Arial"/>
        <family val="2"/>
      </rPr>
      <t>Compliance</t>
    </r>
    <r>
      <rPr>
        <sz val="10"/>
        <rFont val="Arial"/>
        <family val="2"/>
      </rPr>
      <t xml:space="preserve">
If a C function is shared between different models, is it either a referenced model or a S-function?</t>
    </r>
  </si>
  <si>
    <t>SW-R-REV-939</t>
  </si>
  <si>
    <r>
      <rPr>
        <b/>
        <sz val="10"/>
        <rFont val="Arial"/>
        <family val="2"/>
      </rPr>
      <t>Comments</t>
    </r>
    <r>
      <rPr>
        <sz val="10"/>
        <rFont val="Arial"/>
        <family val="2"/>
      </rPr>
      <t xml:space="preserve">
Do the generated functions contain a comment to describe their role?</t>
    </r>
  </si>
  <si>
    <t>Test of the model</t>
  </si>
  <si>
    <t>SW-R-REV-940</t>
  </si>
  <si>
    <r>
      <rPr>
        <b/>
        <sz val="10"/>
        <rFont val="Arial"/>
        <family val="2"/>
      </rPr>
      <t>Test scenario</t>
    </r>
    <r>
      <rPr>
        <sz val="10"/>
        <rFont val="Arial"/>
        <family val="2"/>
      </rPr>
      <t xml:space="preserve">
Does the document contain the test scenario and results ?</t>
    </r>
  </si>
  <si>
    <t>SW-R-REV-941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</si>
  <si>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</si>
  <si>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SW-R-REV-942</t>
  </si>
  <si>
    <r>
      <rPr>
        <b/>
        <sz val="10"/>
        <rFont val="Arial"/>
        <family val="2"/>
      </rPr>
      <t>Deviation</t>
    </r>
    <r>
      <rPr>
        <sz val="10"/>
        <rFont val="Arial"/>
        <family val="2"/>
      </rPr>
      <t xml:space="preserve">
Is any deviation to the Autoliv MBD test process documented ?</t>
    </r>
  </si>
  <si>
    <t>SW-R-REV-943</t>
  </si>
  <si>
    <r>
      <rPr>
        <b/>
        <sz val="10"/>
        <rFont val="Arial"/>
        <family val="2"/>
      </rPr>
      <t>Revision</t>
    </r>
    <r>
      <rPr>
        <sz val="10"/>
        <rFont val="Arial"/>
        <family val="2"/>
      </rPr>
      <t xml:space="preserve">
Is the revision used to pass the MBD tests noticed in the results file ? </t>
    </r>
  </si>
  <si>
    <t>SW-R-REV-944</t>
  </si>
  <si>
    <r>
      <rPr>
        <b/>
        <sz val="10"/>
        <rFont val="Arial"/>
        <family val="2"/>
      </rPr>
      <t>Robustness</t>
    </r>
    <r>
      <rPr>
        <sz val="10"/>
        <rFont val="Arial"/>
        <family val="2"/>
      </rPr>
      <t xml:space="preserve">
Is the robustness of the model design tested ?</t>
    </r>
  </si>
  <si>
    <t>SW-R-REV-945</t>
  </si>
  <si>
    <r>
      <rPr>
        <b/>
        <sz val="10"/>
        <rFont val="Arial"/>
        <family val="2"/>
      </rPr>
      <t>Test Environment</t>
    </r>
    <r>
      <rPr>
        <sz val="10"/>
        <rFont val="Arial"/>
        <family val="2"/>
      </rPr>
      <t xml:space="preserve">
Is the test environment consistent with the application real time scheduling ?</t>
    </r>
  </si>
  <si>
    <t>Delivery</t>
  </si>
  <si>
    <t>SW-R-REV-946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</si>
  <si>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</si>
  <si>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SW-R-REV-947</t>
  </si>
  <si>
    <r>
      <rPr>
        <b/>
        <sz val="10"/>
        <rFont val="Arial"/>
        <family val="2"/>
      </rPr>
      <t xml:space="preserve">Traceability </t>
    </r>
    <r>
      <rPr>
        <sz val="10"/>
        <rFont val="Arial"/>
        <family val="2"/>
      </rPr>
      <t xml:space="preserve">
Do elements of the model cover SW functional requirements using indirect and/or direct traceability ?
</t>
    </r>
  </si>
  <si>
    <t>SW-R-REV-948</t>
  </si>
  <si>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</si>
  <si>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</si>
  <si>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</si>
  <si>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</si>
  <si>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</si>
  <si>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</si>
  <si>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</si>
  <si>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No approval needed</t>
  </si>
  <si>
    <t>A. Diankouika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</si>
</sst>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9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0">
    <xf numFmtId="0" fontId="0" fillId="0" borderId="0"/>
    <xf numFmtId="0" fontId="49" fillId="6" borderId="14" applyNumberFormat="0" applyAlignment="0" applyProtection="0"/>
    <xf numFmtId="0" fontId="50" fillId="0" borderId="0" applyNumberFormat="0" applyFill="0" applyBorder="0" applyAlignment="0" applyProtection="0"/>
    <xf numFmtId="0" fontId="19" fillId="0" borderId="0"/>
    <xf numFmtId="0" fontId="44" fillId="0" borderId="0"/>
    <xf numFmtId="0" fontId="48" fillId="0" borderId="0"/>
    <xf numFmtId="0" fontId="19" fillId="0" borderId="0"/>
    <xf numFmtId="0" fontId="26" fillId="0" borderId="0"/>
    <xf numFmtId="0" fontId="52" fillId="6" borderId="15" applyNumberFormat="0" applyAlignment="0" applyProtection="0"/>
    <xf numFmtId="0" fontId="18" fillId="0" borderId="0"/>
    <xf numFmtId="0" fontId="17" fillId="0" borderId="0"/>
    <xf numFmtId="0" fontId="16" fillId="0" borderId="0"/>
    <xf numFmtId="0" fontId="77" fillId="25" borderId="14" applyNumberFormat="0" applyAlignment="0" applyProtection="0"/>
    <xf numFmtId="0" fontId="78" fillId="26" borderId="0" applyNumberFormat="0" applyBorder="0" applyAlignment="0" applyProtection="0"/>
    <xf numFmtId="0" fontId="15" fillId="27" borderId="0" applyNumberFormat="0" applyBorder="0" applyAlignment="0" applyProtection="0"/>
    <xf numFmtId="0" fontId="19" fillId="0" borderId="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0" borderId="0"/>
    <xf numFmtId="0" fontId="2" fillId="27" borderId="0" applyNumberFormat="0" applyBorder="0" applyAlignment="0" applyProtection="0"/>
    <xf numFmtId="0" fontId="1" fillId="27" borderId="0" applyNumberFormat="0" applyBorder="0" applyAlignment="0" applyProtection="0"/>
  </cellStyleXfs>
  <cellXfs count="299">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0" fillId="3" borderId="12" xfId="0" applyFont="1" applyFill="1" applyBorder="1" applyAlignment="1">
      <alignment horizontal="center" wrapText="1"/>
    </xf>
    <xf numFmtId="0" fontId="0" fillId="2" borderId="0" xfId="0" applyFill="1" applyAlignment="1">
      <alignment horizontal="center"/>
    </xf>
    <xf numFmtId="0" fontId="20"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19" fillId="0" borderId="1" xfId="0" applyFont="1" applyBorder="1" applyAlignment="1">
      <alignment vertical="center" wrapText="1"/>
    </xf>
    <xf numFmtId="0" fontId="19" fillId="3" borderId="1" xfId="0" applyFont="1" applyFill="1" applyBorder="1" applyAlignment="1">
      <alignment horizontal="center" vertical="center" wrapText="1"/>
    </xf>
    <xf numFmtId="0" fontId="19" fillId="2" borderId="0" xfId="0" applyFont="1" applyFill="1" applyBorder="1" applyAlignment="1">
      <alignment wrapText="1"/>
    </xf>
    <xf numFmtId="0" fontId="53" fillId="7" borderId="0" xfId="0" applyFont="1" applyFill="1" applyBorder="1" applyAlignment="1">
      <alignment horizontal="center" vertical="center" wrapText="1"/>
    </xf>
    <xf numFmtId="0" fontId="20" fillId="3" borderId="12" xfId="0" applyFont="1" applyFill="1" applyBorder="1" applyAlignment="1">
      <alignment horizontal="center" vertical="center" wrapText="1"/>
    </xf>
    <xf numFmtId="0" fontId="53" fillId="0" borderId="0" xfId="0" applyFont="1" applyFill="1" applyBorder="1" applyAlignment="1">
      <alignment horizontal="center" vertical="center" wrapText="1"/>
    </xf>
    <xf numFmtId="0" fontId="53" fillId="0" borderId="0" xfId="0" applyFont="1" applyFill="1" applyAlignment="1">
      <alignment vertical="center"/>
    </xf>
    <xf numFmtId="0" fontId="53" fillId="0" borderId="0" xfId="0" applyFont="1" applyFill="1" applyBorder="1" applyAlignment="1">
      <alignment vertical="center" wrapText="1"/>
    </xf>
    <xf numFmtId="0" fontId="41" fillId="2" borderId="2" xfId="0" applyFont="1" applyFill="1" applyBorder="1"/>
    <xf numFmtId="0" fontId="19" fillId="2" borderId="0" xfId="0" applyFont="1" applyFill="1" applyAlignment="1">
      <alignment horizontal="center"/>
    </xf>
    <xf numFmtId="0" fontId="0" fillId="8" borderId="0" xfId="0" applyFill="1" applyAlignment="1">
      <alignment horizontal="center"/>
    </xf>
    <xf numFmtId="0" fontId="19" fillId="2" borderId="1" xfId="0" applyFont="1" applyFill="1" applyBorder="1" applyAlignment="1">
      <alignment horizontal="center" wrapText="1"/>
    </xf>
    <xf numFmtId="0" fontId="19" fillId="2" borderId="1"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0" fillId="2" borderId="5" xfId="0" applyFill="1" applyBorder="1" applyAlignment="1">
      <alignment wrapText="1"/>
    </xf>
    <xf numFmtId="0" fontId="19" fillId="2" borderId="0" xfId="0" applyFont="1" applyFill="1" applyBorder="1"/>
    <xf numFmtId="0" fontId="20" fillId="9" borderId="1" xfId="0" applyFont="1" applyFill="1" applyBorder="1" applyAlignment="1">
      <alignment horizontal="center" vertical="center" wrapText="1"/>
    </xf>
    <xf numFmtId="0" fontId="19" fillId="2" borderId="10" xfId="0" applyFont="1" applyFill="1" applyBorder="1"/>
    <xf numFmtId="0" fontId="53"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19" fillId="8" borderId="0" xfId="0" applyFont="1" applyFill="1" applyBorder="1" applyAlignment="1">
      <alignment horizontal="center" vertical="center"/>
    </xf>
    <xf numFmtId="0" fontId="19" fillId="8" borderId="1" xfId="0" applyFont="1" applyFill="1" applyBorder="1" applyAlignment="1">
      <alignment horizontal="center" vertical="center"/>
    </xf>
    <xf numFmtId="0" fontId="19" fillId="13" borderId="1" xfId="0" applyFont="1" applyFill="1" applyBorder="1" applyAlignment="1">
      <alignment horizontal="center" vertical="center" wrapText="1"/>
    </xf>
    <xf numFmtId="0" fontId="20" fillId="3" borderId="16" xfId="0" applyFont="1" applyFill="1" applyBorder="1" applyAlignment="1">
      <alignment horizontal="center" vertical="center" wrapText="1"/>
    </xf>
    <xf numFmtId="0" fontId="19"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3" fillId="8" borderId="0" xfId="0" applyFont="1" applyFill="1" applyBorder="1" applyAlignment="1">
      <alignment horizontal="center" vertical="center" wrapText="1"/>
    </xf>
    <xf numFmtId="0" fontId="53" fillId="8" borderId="0" xfId="0" applyFont="1" applyFill="1" applyAlignment="1">
      <alignment horizontal="center" vertical="center" wrapText="1"/>
    </xf>
    <xf numFmtId="0" fontId="53"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2" fillId="14" borderId="1" xfId="0" applyFont="1" applyFill="1" applyBorder="1" applyAlignment="1">
      <alignment horizontal="center" vertical="center" wrapText="1"/>
    </xf>
    <xf numFmtId="0" fontId="53"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wrapText="1"/>
    </xf>
    <xf numFmtId="0" fontId="0" fillId="0" borderId="0" xfId="0" applyFill="1" applyBorder="1" applyAlignment="1">
      <alignment horizontal="center"/>
    </xf>
    <xf numFmtId="0" fontId="19" fillId="13" borderId="1" xfId="0" applyFont="1" applyFill="1" applyBorder="1" applyAlignment="1">
      <alignment horizontal="center" vertical="center"/>
    </xf>
    <xf numFmtId="0" fontId="0" fillId="13" borderId="1" xfId="0" applyFill="1" applyBorder="1" applyAlignment="1">
      <alignment horizontal="center" vertical="center"/>
    </xf>
    <xf numFmtId="0" fontId="19" fillId="2" borderId="5" xfId="0" applyFont="1" applyFill="1" applyBorder="1" applyAlignment="1">
      <alignment wrapText="1"/>
    </xf>
    <xf numFmtId="0" fontId="19" fillId="10" borderId="0" xfId="0" applyFont="1" applyFill="1" applyBorder="1" applyAlignment="1">
      <alignment horizontal="left" vertical="center"/>
    </xf>
    <xf numFmtId="0" fontId="19" fillId="12" borderId="0" xfId="0" applyFont="1" applyFill="1" applyBorder="1" applyAlignment="1">
      <alignment horizontal="left" vertical="center"/>
    </xf>
    <xf numFmtId="0" fontId="19" fillId="15" borderId="0" xfId="0" applyFont="1" applyFill="1" applyBorder="1" applyAlignment="1">
      <alignment horizontal="left" vertical="center"/>
    </xf>
    <xf numFmtId="0" fontId="19" fillId="13" borderId="0" xfId="0" applyFont="1" applyFill="1" applyBorder="1" applyAlignment="1">
      <alignment horizontal="left" vertical="center"/>
    </xf>
    <xf numFmtId="0" fontId="19" fillId="2" borderId="1" xfId="0" applyFont="1" applyFill="1" applyBorder="1"/>
    <xf numFmtId="0" fontId="19" fillId="0" borderId="1" xfId="0" applyFont="1" applyBorder="1" applyAlignment="1">
      <alignment horizontal="center" vertical="center"/>
    </xf>
    <xf numFmtId="14" fontId="19"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49" fillId="6" borderId="16" xfId="1" applyBorder="1" applyAlignment="1">
      <alignment horizontal="center" vertical="center"/>
    </xf>
    <xf numFmtId="0" fontId="19" fillId="3" borderId="12" xfId="0" applyFont="1" applyFill="1" applyBorder="1" applyAlignment="1">
      <alignment horizontal="center" vertical="center" wrapText="1"/>
    </xf>
    <xf numFmtId="0" fontId="49" fillId="6" borderId="1" xfId="1" applyFont="1" applyBorder="1" applyAlignment="1">
      <alignment horizontal="center"/>
    </xf>
    <xf numFmtId="0" fontId="54" fillId="6" borderId="15" xfId="8" applyFont="1" applyAlignment="1">
      <alignment horizontal="center"/>
    </xf>
    <xf numFmtId="0" fontId="54" fillId="6" borderId="17" xfId="8" applyFont="1" applyBorder="1" applyAlignment="1">
      <alignment horizontal="center"/>
    </xf>
    <xf numFmtId="0" fontId="49" fillId="6" borderId="1" xfId="1" applyBorder="1" applyAlignment="1">
      <alignment horizontal="center" vertical="center"/>
    </xf>
    <xf numFmtId="0" fontId="51" fillId="6" borderId="16" xfId="1" applyFont="1" applyBorder="1" applyAlignment="1">
      <alignment horizontal="center" vertical="center"/>
    </xf>
    <xf numFmtId="0" fontId="20" fillId="3" borderId="1" xfId="0" applyFont="1" applyFill="1" applyBorder="1" applyAlignment="1">
      <alignment horizontal="center" vertical="center" wrapText="1"/>
    </xf>
    <xf numFmtId="0" fontId="19" fillId="2" borderId="1" xfId="0" applyFont="1" applyFill="1" applyBorder="1" applyAlignment="1">
      <alignment horizontal="center"/>
    </xf>
    <xf numFmtId="0" fontId="19"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19" fillId="2" borderId="8" xfId="0" applyFont="1" applyFill="1" applyBorder="1" applyAlignment="1">
      <alignment wrapText="1" shrinkToFit="1"/>
    </xf>
    <xf numFmtId="0" fontId="19" fillId="2" borderId="0" xfId="0" applyFont="1" applyFill="1"/>
    <xf numFmtId="0" fontId="19" fillId="2" borderId="0" xfId="0" applyFont="1" applyFill="1" applyAlignment="1">
      <alignment vertical="top"/>
    </xf>
    <xf numFmtId="0" fontId="19" fillId="0" borderId="0" xfId="3" applyAlignment="1">
      <alignment vertical="center"/>
    </xf>
    <xf numFmtId="0" fontId="23" fillId="0" borderId="0" xfId="3" applyFont="1" applyAlignment="1">
      <alignment vertical="center" wrapText="1"/>
    </xf>
    <xf numFmtId="164" fontId="23" fillId="0" borderId="0" xfId="3" applyNumberFormat="1" applyFont="1" applyAlignment="1">
      <alignment horizontal="center" vertical="center" wrapText="1"/>
    </xf>
    <xf numFmtId="20" fontId="23" fillId="0" borderId="0" xfId="3" applyNumberFormat="1" applyFont="1" applyAlignment="1">
      <alignment vertical="center" wrapText="1"/>
    </xf>
    <xf numFmtId="0" fontId="23" fillId="0" borderId="0" xfId="3" applyFont="1" applyAlignment="1">
      <alignment horizontal="left" vertical="center" wrapText="1"/>
    </xf>
    <xf numFmtId="0" fontId="55" fillId="0" borderId="0" xfId="3" quotePrefix="1" applyFont="1" applyAlignment="1">
      <alignment horizontal="right" vertical="center"/>
    </xf>
    <xf numFmtId="0" fontId="24" fillId="0" borderId="0" xfId="3" applyFont="1" applyAlignment="1">
      <alignment horizontal="left" vertical="center" wrapText="1"/>
    </xf>
    <xf numFmtId="0" fontId="19" fillId="0" borderId="0" xfId="3" applyAlignment="1">
      <alignment vertical="center" shrinkToFit="1"/>
    </xf>
    <xf numFmtId="0" fontId="57" fillId="0" borderId="0" xfId="3" applyFont="1" applyAlignment="1">
      <alignment horizontal="left" vertical="center" shrinkToFit="1"/>
    </xf>
    <xf numFmtId="0" fontId="20" fillId="0" borderId="0" xfId="3" applyFont="1" applyAlignment="1">
      <alignment horizontal="left" vertical="center" shrinkToFit="1"/>
    </xf>
    <xf numFmtId="0" fontId="19" fillId="0" borderId="0" xfId="3" applyAlignment="1" applyProtection="1">
      <alignment vertical="center"/>
      <protection locked="0"/>
    </xf>
    <xf numFmtId="0" fontId="19" fillId="0" borderId="0" xfId="3" applyAlignment="1" applyProtection="1">
      <alignment vertical="center" shrinkToFit="1"/>
      <protection locked="0"/>
    </xf>
    <xf numFmtId="0" fontId="62" fillId="0" borderId="2" xfId="3" applyFont="1" applyBorder="1" applyAlignment="1" applyProtection="1">
      <alignment horizontal="left" vertical="center" wrapText="1" shrinkToFit="1"/>
      <protection locked="0"/>
    </xf>
    <xf numFmtId="0" fontId="63" fillId="0" borderId="0" xfId="3" applyFont="1" applyAlignment="1" applyProtection="1">
      <alignment horizontal="left" vertical="center" shrinkToFit="1"/>
      <protection locked="0"/>
    </xf>
    <xf numFmtId="0" fontId="62" fillId="0" borderId="0" xfId="3" applyFont="1" applyAlignment="1" applyProtection="1">
      <alignment horizontal="left" vertical="center" wrapText="1" shrinkToFit="1"/>
      <protection locked="0"/>
    </xf>
    <xf numFmtId="0" fontId="63" fillId="0" borderId="3" xfId="3" applyFont="1" applyBorder="1" applyAlignment="1" applyProtection="1">
      <alignment horizontal="left" vertical="center" shrinkToFit="1"/>
      <protection locked="0"/>
    </xf>
    <xf numFmtId="0" fontId="66" fillId="0" borderId="0" xfId="3" applyFont="1" applyAlignment="1" applyProtection="1">
      <alignment vertical="center"/>
      <protection locked="0"/>
    </xf>
    <xf numFmtId="0" fontId="67" fillId="0" borderId="0" xfId="3" applyFont="1" applyAlignment="1" applyProtection="1">
      <alignment horizontal="center" vertical="center"/>
      <protection locked="0"/>
    </xf>
    <xf numFmtId="0" fontId="18" fillId="8" borderId="0" xfId="9" applyFill="1"/>
    <xf numFmtId="0" fontId="68" fillId="0" borderId="0" xfId="3" applyFont="1" applyAlignment="1">
      <alignment horizontal="right" vertical="center"/>
    </xf>
    <xf numFmtId="0" fontId="69" fillId="0" borderId="18" xfId="3" applyFont="1" applyBorder="1" applyAlignment="1" applyProtection="1">
      <alignment vertical="center"/>
      <protection locked="0"/>
    </xf>
    <xf numFmtId="0" fontId="19" fillId="0" borderId="18" xfId="3" applyBorder="1" applyAlignment="1" applyProtection="1">
      <alignment vertical="center"/>
      <protection locked="0"/>
    </xf>
    <xf numFmtId="0" fontId="70" fillId="0" borderId="0" xfId="3" applyFont="1" applyAlignment="1" applyProtection="1">
      <alignment horizontal="left" vertical="center"/>
      <protection locked="0"/>
    </xf>
    <xf numFmtId="0" fontId="28" fillId="0" borderId="0" xfId="3" applyFont="1" applyAlignment="1" applyProtection="1">
      <alignment horizontal="left" vertical="center"/>
      <protection locked="0"/>
    </xf>
    <xf numFmtId="0" fontId="47" fillId="0" borderId="0" xfId="3" applyFont="1" applyAlignment="1" applyProtection="1">
      <alignment vertical="center"/>
      <protection locked="0"/>
    </xf>
    <xf numFmtId="0" fontId="20" fillId="0" borderId="0" xfId="3" applyFont="1" applyAlignment="1" applyProtection="1">
      <alignment vertical="center"/>
      <protection locked="0"/>
    </xf>
    <xf numFmtId="49" fontId="71" fillId="0" borderId="0" xfId="3" applyNumberFormat="1" applyFont="1" applyAlignment="1" applyProtection="1">
      <alignment horizontal="left" vertical="center"/>
      <protection locked="0"/>
    </xf>
    <xf numFmtId="49" fontId="19" fillId="0" borderId="0" xfId="3" applyNumberFormat="1" applyAlignment="1">
      <alignment horizontal="center" vertical="center" wrapText="1"/>
    </xf>
    <xf numFmtId="49" fontId="19" fillId="0" borderId="0" xfId="3" applyNumberFormat="1" applyAlignment="1" applyProtection="1">
      <alignment horizontal="left" vertical="center" wrapText="1"/>
      <protection locked="0"/>
    </xf>
    <xf numFmtId="49" fontId="19" fillId="0" borderId="0" xfId="3" applyNumberFormat="1" applyAlignment="1">
      <alignment horizontal="left" vertical="center" wrapText="1"/>
    </xf>
    <xf numFmtId="14" fontId="19" fillId="0" borderId="0" xfId="3" applyNumberFormat="1" applyAlignment="1" applyProtection="1">
      <alignment vertical="center"/>
      <protection locked="0"/>
    </xf>
    <xf numFmtId="0" fontId="72" fillId="0" borderId="0" xfId="3" applyFont="1" applyAlignment="1" applyProtection="1">
      <alignment horizontal="left" vertical="center"/>
      <protection locked="0"/>
    </xf>
    <xf numFmtId="0" fontId="19" fillId="0" borderId="0" xfId="3" applyAlignment="1">
      <alignment horizontal="left" vertical="center" wrapText="1"/>
    </xf>
    <xf numFmtId="0" fontId="69" fillId="0" borderId="5" xfId="3" applyFont="1" applyBorder="1" applyAlignment="1" applyProtection="1">
      <alignment vertical="center"/>
      <protection locked="0"/>
    </xf>
    <xf numFmtId="49" fontId="19" fillId="0" borderId="5" xfId="3" applyNumberFormat="1" applyBorder="1" applyAlignment="1" applyProtection="1">
      <alignment horizontal="left" vertical="center" wrapText="1"/>
      <protection locked="0"/>
    </xf>
    <xf numFmtId="0" fontId="19" fillId="0" borderId="5" xfId="3" applyBorder="1" applyAlignment="1">
      <alignment horizontal="left" vertical="center" wrapText="1"/>
    </xf>
    <xf numFmtId="0" fontId="69" fillId="0" borderId="0" xfId="3" applyFont="1" applyAlignment="1" applyProtection="1">
      <alignment vertical="center"/>
      <protection locked="0"/>
    </xf>
    <xf numFmtId="49" fontId="19" fillId="0" borderId="0" xfId="3" applyNumberFormat="1" applyAlignment="1" applyProtection="1">
      <alignment horizontal="left" vertical="center"/>
      <protection locked="0"/>
    </xf>
    <xf numFmtId="0" fontId="19" fillId="0" borderId="0" xfId="3" applyAlignment="1">
      <alignment horizontal="left" vertical="center"/>
    </xf>
    <xf numFmtId="0" fontId="20" fillId="2" borderId="1" xfId="0" applyNumberFormat="1" applyFont="1" applyFill="1" applyBorder="1" applyAlignment="1">
      <alignment horizontal="center" vertical="center"/>
    </xf>
    <xf numFmtId="0" fontId="19" fillId="21" borderId="0" xfId="0" applyFont="1" applyFill="1" applyBorder="1" applyAlignment="1">
      <alignment horizontal="left" vertical="top" wrapText="1"/>
    </xf>
    <xf numFmtId="0" fontId="19" fillId="21" borderId="0" xfId="0" applyFont="1" applyFill="1" applyBorder="1" applyAlignment="1">
      <alignment wrapText="1"/>
    </xf>
    <xf numFmtId="0" fontId="0" fillId="21" borderId="0" xfId="0" applyFill="1" applyBorder="1" applyAlignment="1">
      <alignment wrapText="1"/>
    </xf>
    <xf numFmtId="0" fontId="19" fillId="9" borderId="0" xfId="0" applyFont="1" applyFill="1" applyBorder="1" applyAlignment="1">
      <alignment wrapText="1"/>
    </xf>
    <xf numFmtId="0" fontId="0" fillId="9" borderId="0" xfId="0" applyFill="1" applyBorder="1" applyAlignment="1">
      <alignment wrapText="1"/>
    </xf>
    <xf numFmtId="0" fontId="19" fillId="2" borderId="2" xfId="0" applyFont="1" applyFill="1" applyBorder="1" applyAlignment="1">
      <alignment horizontal="right"/>
    </xf>
    <xf numFmtId="0" fontId="0" fillId="2" borderId="4" xfId="0" applyFill="1" applyBorder="1" applyAlignment="1">
      <alignment horizontal="right"/>
    </xf>
    <xf numFmtId="0" fontId="16" fillId="0" borderId="0" xfId="11"/>
    <xf numFmtId="0" fontId="22" fillId="10" borderId="1" xfId="0" applyFont="1" applyFill="1" applyBorder="1" applyAlignment="1">
      <alignment horizontal="center" vertical="center" wrapText="1"/>
    </xf>
    <xf numFmtId="0" fontId="79" fillId="12"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14" fontId="22" fillId="11" borderId="1" xfId="0" applyNumberFormat="1" applyFont="1" applyFill="1" applyBorder="1" applyAlignment="1">
      <alignment horizontal="center" vertical="center" wrapText="1"/>
    </xf>
    <xf numFmtId="0" fontId="43" fillId="8" borderId="0" xfId="0" applyFont="1" applyFill="1" applyAlignment="1">
      <alignment horizontal="center" vertical="center"/>
    </xf>
    <xf numFmtId="0" fontId="43" fillId="8" borderId="0" xfId="0" applyFont="1" applyFill="1" applyAlignment="1">
      <alignment vertical="center"/>
    </xf>
    <xf numFmtId="0" fontId="43" fillId="0" borderId="0" xfId="0" applyFont="1" applyAlignment="1">
      <alignment vertical="center"/>
    </xf>
    <xf numFmtId="0" fontId="22" fillId="0" borderId="0" xfId="0" applyFont="1" applyFill="1" applyAlignment="1">
      <alignment vertical="center"/>
    </xf>
    <xf numFmtId="0" fontId="49" fillId="6" borderId="14" xfId="1"/>
    <xf numFmtId="0" fontId="81" fillId="29" borderId="20" xfId="14" applyFont="1" applyFill="1" applyBorder="1" applyAlignment="1" applyProtection="1">
      <alignment horizontal="center" vertical="center" wrapText="1"/>
      <protection locked="0"/>
    </xf>
    <xf numFmtId="0" fontId="82" fillId="13" borderId="20" xfId="14" applyFont="1" applyFill="1" applyBorder="1" applyAlignment="1" applyProtection="1">
      <alignment horizontal="center" vertical="center" wrapText="1"/>
    </xf>
    <xf numFmtId="0" fontId="81" fillId="7" borderId="1" xfId="14" applyFont="1" applyFill="1" applyBorder="1" applyAlignment="1">
      <alignment horizontal="left" vertical="center"/>
    </xf>
    <xf numFmtId="0" fontId="77" fillId="25" borderId="14" xfId="12" applyAlignment="1">
      <alignment horizontal="center" vertical="center"/>
    </xf>
    <xf numFmtId="0" fontId="81" fillId="7" borderId="1" xfId="14" applyFont="1" applyFill="1" applyBorder="1" applyAlignment="1">
      <alignment horizontal="center" vertical="center"/>
    </xf>
    <xf numFmtId="0" fontId="19" fillId="5" borderId="0" xfId="15" applyFill="1" applyAlignment="1">
      <alignment vertical="center"/>
    </xf>
    <xf numFmtId="0" fontId="19" fillId="5" borderId="0" xfId="15" applyFill="1" applyAlignment="1">
      <alignment vertical="center" wrapText="1"/>
    </xf>
    <xf numFmtId="0" fontId="19" fillId="0" borderId="1" xfId="3" applyBorder="1" applyAlignment="1">
      <alignment vertical="center"/>
    </xf>
    <xf numFmtId="0" fontId="21" fillId="5" borderId="0" xfId="15" applyFont="1" applyFill="1" applyAlignment="1">
      <alignment vertical="center"/>
    </xf>
    <xf numFmtId="0" fontId="58" fillId="30" borderId="10" xfId="15" applyFont="1" applyFill="1" applyBorder="1" applyAlignment="1">
      <alignment vertical="center"/>
    </xf>
    <xf numFmtId="0" fontId="87" fillId="30" borderId="19" xfId="15" applyFont="1" applyFill="1" applyBorder="1" applyAlignment="1">
      <alignment vertical="center" wrapText="1"/>
    </xf>
    <xf numFmtId="0" fontId="87" fillId="30" borderId="11" xfId="15" applyFont="1" applyFill="1" applyBorder="1" applyAlignment="1">
      <alignment vertical="center" wrapText="1"/>
    </xf>
    <xf numFmtId="0" fontId="19" fillId="5" borderId="1" xfId="15" applyFill="1" applyBorder="1" applyAlignment="1">
      <alignment vertical="center"/>
    </xf>
    <xf numFmtId="0" fontId="19" fillId="0" borderId="12" xfId="3" applyBorder="1" applyAlignment="1">
      <alignment vertical="center"/>
    </xf>
    <xf numFmtId="0" fontId="19" fillId="0" borderId="7" xfId="3" applyBorder="1" applyAlignment="1">
      <alignment vertical="center"/>
    </xf>
    <xf numFmtId="0" fontId="88" fillId="5" borderId="1" xfId="15" applyFont="1" applyFill="1" applyBorder="1" applyAlignment="1">
      <alignment horizontal="center" vertical="center"/>
    </xf>
    <xf numFmtId="0" fontId="19" fillId="5" borderId="1" xfId="15" applyFill="1" applyBorder="1" applyAlignment="1">
      <alignment vertical="center" wrapText="1"/>
    </xf>
    <xf numFmtId="0" fontId="58" fillId="32" borderId="10" xfId="15" applyFont="1" applyFill="1" applyBorder="1" applyAlignment="1">
      <alignment vertical="center"/>
    </xf>
    <xf numFmtId="0" fontId="29" fillId="32" borderId="8" xfId="15" applyFont="1" applyFill="1" applyBorder="1" applyAlignment="1">
      <alignment horizontal="center" vertical="center" wrapText="1"/>
    </xf>
    <xf numFmtId="0" fontId="87" fillId="32" borderId="19" xfId="15" applyFont="1" applyFill="1" applyBorder="1" applyAlignment="1">
      <alignment vertical="center" wrapText="1"/>
    </xf>
    <xf numFmtId="0" fontId="87" fillId="32" borderId="11" xfId="15" applyFont="1" applyFill="1" applyBorder="1" applyAlignment="1">
      <alignment vertical="center" wrapText="1"/>
    </xf>
    <xf numFmtId="0" fontId="58" fillId="33" borderId="1" xfId="15" applyFont="1" applyFill="1" applyBorder="1" applyAlignment="1">
      <alignment horizontal="center" vertical="center" textRotation="45" wrapText="1"/>
    </xf>
    <xf numFmtId="0" fontId="85" fillId="33" borderId="1" xfId="15" applyFont="1" applyFill="1" applyBorder="1" applyAlignment="1">
      <alignment horizontal="center" vertical="center" wrapText="1"/>
    </xf>
    <xf numFmtId="0" fontId="73" fillId="33" borderId="1" xfId="15" applyFont="1" applyFill="1" applyBorder="1" applyAlignment="1">
      <alignment horizontal="center" vertical="center" textRotation="45"/>
    </xf>
    <xf numFmtId="0" fontId="73" fillId="33" borderId="1" xfId="15" applyFont="1" applyFill="1" applyBorder="1" applyAlignment="1">
      <alignment horizontal="center" vertical="center" wrapText="1"/>
    </xf>
    <xf numFmtId="0" fontId="58" fillId="33" borderId="13" xfId="15" applyFont="1" applyFill="1" applyBorder="1" applyAlignment="1">
      <alignment horizontal="center" vertical="center"/>
    </xf>
    <xf numFmtId="0" fontId="86" fillId="33" borderId="13" xfId="15" applyFont="1" applyFill="1" applyBorder="1" applyAlignment="1">
      <alignment horizontal="center" vertical="center" wrapText="1"/>
    </xf>
    <xf numFmtId="0" fontId="58" fillId="24" borderId="7" xfId="15" applyFont="1" applyFill="1" applyBorder="1" applyAlignment="1">
      <alignment horizontal="center" vertical="center"/>
    </xf>
    <xf numFmtId="0" fontId="89" fillId="24" borderId="8" xfId="15" applyFont="1" applyFill="1" applyBorder="1" applyAlignment="1">
      <alignment horizontal="center" vertical="center" wrapText="1"/>
    </xf>
    <xf numFmtId="0" fontId="86" fillId="24" borderId="8" xfId="15" applyFont="1" applyFill="1" applyBorder="1" applyAlignment="1">
      <alignment horizontal="center" vertical="center" wrapText="1"/>
    </xf>
    <xf numFmtId="0" fontId="86" fillId="24" borderId="9" xfId="15" applyFont="1" applyFill="1" applyBorder="1" applyAlignment="1">
      <alignment horizontal="center" vertical="center" wrapText="1"/>
    </xf>
    <xf numFmtId="0" fontId="29" fillId="30" borderId="19" xfId="15" applyFont="1" applyFill="1" applyBorder="1" applyAlignment="1">
      <alignment vertical="center" wrapText="1"/>
    </xf>
    <xf numFmtId="0" fontId="0" fillId="0" borderId="0" xfId="0" applyAlignment="1" applyProtection="1">
      <alignment vertical="center"/>
      <protection locked="0"/>
    </xf>
    <xf numFmtId="0" fontId="70" fillId="0" borderId="0" xfId="0" applyFont="1" applyAlignment="1" applyProtection="1">
      <alignment horizontal="left" vertical="center"/>
      <protection locked="0"/>
    </xf>
    <xf numFmtId="0" fontId="19" fillId="0" borderId="1" xfId="15" applyBorder="1" applyAlignment="1">
      <alignment vertical="center" wrapText="1"/>
    </xf>
    <xf numFmtId="0" fontId="29" fillId="31" borderId="0" xfId="3" applyFont="1" applyFill="1" applyAlignment="1">
      <alignment horizontal="center" wrapText="1"/>
    </xf>
    <xf numFmtId="0" fontId="41" fillId="31" borderId="0" xfId="3" applyFont="1" applyFill="1" applyAlignment="1">
      <alignment horizontal="center" wrapText="1"/>
    </xf>
    <xf numFmtId="0" fontId="81" fillId="29" borderId="12" xfId="29" applyFont="1" applyFill="1" applyBorder="1" applyAlignment="1">
      <alignment horizontal="center" vertical="center" wrapText="1"/>
    </xf>
    <xf numFmtId="0" fontId="94" fillId="0" borderId="2" xfId="0" applyFont="1" applyBorder="1" applyAlignment="1">
      <alignment horizontal="right" vertical="center"/>
    </xf>
    <xf numFmtId="0" fontId="96" fillId="0" borderId="0" xfId="0" applyFont="1" applyBorder="1" applyAlignment="1">
      <alignment wrapText="1"/>
    </xf>
    <xf numFmtId="0" fontId="67" fillId="0" borderId="0" xfId="3" applyFont="1" applyAlignment="1" applyProtection="1">
      <alignment horizontal="center" vertical="center" wrapText="1"/>
      <protection locked="0"/>
    </xf>
    <xf numFmtId="0" fontId="19" fillId="0" borderId="0" xfId="3" applyAlignment="1">
      <alignment vertical="center" wrapText="1"/>
    </xf>
    <xf numFmtId="0" fontId="58" fillId="16" borderId="2" xfId="3" applyFont="1" applyFill="1" applyBorder="1" applyAlignment="1" applyProtection="1">
      <alignment horizontal="center" vertical="center" shrinkToFit="1"/>
      <protection locked="0"/>
    </xf>
    <xf numFmtId="0" fontId="58" fillId="16" borderId="0" xfId="3" applyFont="1" applyFill="1" applyAlignment="1" applyProtection="1">
      <alignment horizontal="center" vertical="center" shrinkToFit="1"/>
      <protection locked="0"/>
    </xf>
    <xf numFmtId="0" fontId="58" fillId="16" borderId="3" xfId="3" applyFont="1" applyFill="1" applyBorder="1" applyAlignment="1" applyProtection="1">
      <alignment horizontal="center" vertical="center" shrinkToFit="1"/>
      <protection locked="0"/>
    </xf>
    <xf numFmtId="0" fontId="19" fillId="0" borderId="4" xfId="3" applyBorder="1" applyAlignment="1" applyProtection="1">
      <alignment horizontal="right" vertical="top" wrapText="1" shrinkToFit="1"/>
      <protection locked="0"/>
    </xf>
    <xf numFmtId="0" fontId="19" fillId="0" borderId="5" xfId="3" applyBorder="1" applyAlignment="1" applyProtection="1">
      <alignment horizontal="right" vertical="top" wrapText="1" shrinkToFit="1"/>
      <protection locked="0"/>
    </xf>
    <xf numFmtId="0" fontId="59" fillId="0" borderId="5" xfId="0" applyFont="1" applyBorder="1" applyAlignment="1" applyProtection="1">
      <alignment horizontal="left" vertical="top" wrapText="1" shrinkToFit="1"/>
      <protection locked="0"/>
    </xf>
    <xf numFmtId="0" fontId="59" fillId="0" borderId="6" xfId="0" applyFont="1" applyBorder="1" applyAlignment="1" applyProtection="1">
      <alignment horizontal="left" vertical="top" wrapText="1" shrinkToFit="1"/>
      <protection locked="0"/>
    </xf>
    <xf numFmtId="0" fontId="21" fillId="0" borderId="5" xfId="3" applyFont="1" applyBorder="1" applyAlignment="1" applyProtection="1">
      <alignment horizontal="left" vertical="top" wrapText="1" shrinkToFit="1"/>
      <protection locked="0"/>
    </xf>
    <xf numFmtId="0" fontId="61" fillId="0" borderId="5" xfId="3" applyFont="1" applyBorder="1" applyAlignment="1" applyProtection="1">
      <alignment horizontal="left" vertical="top" shrinkToFit="1"/>
      <protection locked="0"/>
    </xf>
    <xf numFmtId="0" fontId="61" fillId="0" borderId="6" xfId="3" applyFont="1" applyBorder="1" applyAlignment="1" applyProtection="1">
      <alignment horizontal="left" vertical="top" shrinkToFit="1"/>
      <protection locked="0"/>
    </xf>
    <xf numFmtId="0" fontId="58" fillId="16" borderId="7" xfId="3" applyFont="1" applyFill="1" applyBorder="1" applyAlignment="1" applyProtection="1">
      <alignment horizontal="center" vertical="center" shrinkToFit="1"/>
      <protection locked="0"/>
    </xf>
    <xf numFmtId="0" fontId="58" fillId="16" borderId="8" xfId="3" applyFont="1" applyFill="1" applyBorder="1" applyAlignment="1" applyProtection="1">
      <alignment horizontal="center" vertical="center" shrinkToFit="1"/>
      <protection locked="0"/>
    </xf>
    <xf numFmtId="0" fontId="58" fillId="16" borderId="9" xfId="3" applyFont="1" applyFill="1" applyBorder="1" applyAlignment="1" applyProtection="1">
      <alignment horizontal="center" vertical="center" shrinkToFit="1"/>
      <protection locked="0"/>
    </xf>
    <xf numFmtId="0" fontId="19" fillId="0" borderId="4" xfId="3" applyBorder="1" applyAlignment="1" applyProtection="1">
      <alignment horizontal="center" vertical="top" wrapText="1" shrinkToFit="1"/>
      <protection locked="0"/>
    </xf>
    <xf numFmtId="0" fontId="19" fillId="0" borderId="5" xfId="3" applyBorder="1" applyAlignment="1" applyProtection="1">
      <alignment horizontal="center" vertical="top" wrapText="1" shrinkToFit="1"/>
      <protection locked="0"/>
    </xf>
    <xf numFmtId="0" fontId="19" fillId="0" borderId="6" xfId="3" applyBorder="1" applyAlignment="1" applyProtection="1">
      <alignment horizontal="center" vertical="top" wrapText="1" shrinkToFit="1"/>
      <protection locked="0"/>
    </xf>
    <xf numFmtId="0" fontId="58" fillId="16" borderId="8" xfId="3" applyFont="1" applyFill="1" applyBorder="1" applyAlignment="1" applyProtection="1">
      <alignment horizontal="center" vertical="center" wrapText="1"/>
      <protection locked="0"/>
    </xf>
    <xf numFmtId="0" fontId="58" fillId="16" borderId="0" xfId="3" applyFont="1" applyFill="1" applyAlignment="1" applyProtection="1">
      <alignment horizontal="center" vertical="center" wrapText="1"/>
      <protection locked="0"/>
    </xf>
    <xf numFmtId="0" fontId="19" fillId="0" borderId="7" xfId="3" applyBorder="1" applyAlignment="1" applyProtection="1">
      <alignment horizontal="left" vertical="top"/>
      <protection locked="0"/>
    </xf>
    <xf numFmtId="0" fontId="19" fillId="0" borderId="8" xfId="3" applyBorder="1" applyAlignment="1" applyProtection="1">
      <alignment horizontal="left" vertical="top"/>
      <protection locked="0"/>
    </xf>
    <xf numFmtId="0" fontId="19" fillId="0" borderId="9" xfId="3" applyBorder="1" applyAlignment="1" applyProtection="1">
      <alignment horizontal="left" vertical="top"/>
      <protection locked="0"/>
    </xf>
    <xf numFmtId="0" fontId="19" fillId="0" borderId="4" xfId="3" applyBorder="1" applyAlignment="1" applyProtection="1">
      <alignment horizontal="left" vertical="top"/>
      <protection locked="0"/>
    </xf>
    <xf numFmtId="0" fontId="19" fillId="0" borderId="5" xfId="3" applyBorder="1" applyAlignment="1" applyProtection="1">
      <alignment horizontal="left" vertical="top"/>
      <protection locked="0"/>
    </xf>
    <xf numFmtId="0" fontId="19" fillId="0" borderId="6" xfId="3" applyBorder="1" applyAlignment="1" applyProtection="1">
      <alignment horizontal="left" vertical="top"/>
      <protection locked="0"/>
    </xf>
    <xf numFmtId="0" fontId="24" fillId="0" borderId="7" xfId="3" applyFont="1" applyBorder="1" applyAlignment="1">
      <alignment horizontal="left" vertical="center" wrapText="1"/>
    </xf>
    <xf numFmtId="0" fontId="24" fillId="0" borderId="8" xfId="3" applyFont="1" applyBorder="1" applyAlignment="1">
      <alignment horizontal="left" vertical="center" wrapText="1"/>
    </xf>
    <xf numFmtId="0" fontId="24" fillId="0" borderId="9" xfId="3" applyFont="1" applyBorder="1" applyAlignment="1">
      <alignment horizontal="left" vertical="center" wrapText="1"/>
    </xf>
    <xf numFmtId="0" fontId="24" fillId="0" borderId="7" xfId="3" applyFont="1" applyBorder="1" applyAlignment="1">
      <alignment horizontal="left" vertical="center" shrinkToFit="1"/>
    </xf>
    <xf numFmtId="0" fontId="24" fillId="0" borderId="8" xfId="3" applyFont="1" applyBorder="1" applyAlignment="1">
      <alignment horizontal="left" vertical="center" shrinkToFit="1"/>
    </xf>
    <xf numFmtId="0" fontId="24" fillId="0" borderId="9" xfId="3" applyFont="1" applyBorder="1" applyAlignment="1">
      <alignment horizontal="left" vertical="center" shrinkToFit="1"/>
    </xf>
    <xf numFmtId="0" fontId="56" fillId="0" borderId="4" xfId="0" applyFont="1" applyBorder="1" applyAlignment="1">
      <alignment horizontal="left" vertical="center" shrinkToFit="1"/>
    </xf>
    <xf numFmtId="0" fontId="56" fillId="0" borderId="5" xfId="0" applyFont="1" applyBorder="1" applyAlignment="1">
      <alignment horizontal="left" vertical="center" shrinkToFit="1"/>
    </xf>
    <xf numFmtId="0" fontId="56" fillId="0" borderId="6" xfId="0" applyFont="1" applyBorder="1" applyAlignment="1">
      <alignment horizontal="left" vertical="center" shrinkToFit="1"/>
    </xf>
    <xf numFmtId="0" fontId="56" fillId="0" borderId="4" xfId="3" applyFont="1" applyBorder="1" applyAlignment="1">
      <alignment horizontal="left" vertical="center" shrinkToFit="1"/>
    </xf>
    <xf numFmtId="0" fontId="56" fillId="0" borderId="5" xfId="3" applyFont="1" applyBorder="1" applyAlignment="1">
      <alignment horizontal="left" vertical="center" shrinkToFit="1"/>
    </xf>
    <xf numFmtId="0" fontId="56" fillId="0" borderId="6" xfId="3" applyFont="1" applyBorder="1" applyAlignment="1">
      <alignment horizontal="left" vertical="center" shrinkToFit="1"/>
    </xf>
    <xf numFmtId="49" fontId="19" fillId="0" borderId="10" xfId="3" applyNumberFormat="1" applyBorder="1" applyAlignment="1" applyProtection="1">
      <alignment horizontal="center" vertical="center" wrapText="1"/>
      <protection locked="0"/>
    </xf>
    <xf numFmtId="49" fontId="19" fillId="0" borderId="19" xfId="3" applyNumberFormat="1" applyBorder="1" applyAlignment="1" applyProtection="1">
      <alignment horizontal="center" vertical="center" wrapText="1"/>
      <protection locked="0"/>
    </xf>
    <xf numFmtId="49" fontId="19" fillId="0" borderId="11" xfId="3" applyNumberFormat="1" applyBorder="1" applyAlignment="1" applyProtection="1">
      <alignment horizontal="center" vertical="center" wrapText="1"/>
      <protection locked="0"/>
    </xf>
    <xf numFmtId="0" fontId="19" fillId="0" borderId="10" xfId="3" applyBorder="1" applyAlignment="1">
      <alignment horizontal="left" vertical="center" wrapText="1"/>
    </xf>
    <xf numFmtId="0" fontId="19" fillId="0" borderId="19" xfId="3" applyBorder="1" applyAlignment="1">
      <alignment horizontal="left" vertical="center" wrapText="1"/>
    </xf>
    <xf numFmtId="0" fontId="19" fillId="0" borderId="11" xfId="3" applyBorder="1" applyAlignment="1">
      <alignment horizontal="left" vertical="center" wrapText="1"/>
    </xf>
    <xf numFmtId="0" fontId="50" fillId="0" borderId="10" xfId="2" applyBorder="1" applyAlignment="1">
      <alignment horizontal="left" vertical="center" wrapText="1"/>
    </xf>
    <xf numFmtId="0" fontId="38" fillId="18" borderId="1" xfId="3" applyFont="1" applyFill="1" applyBorder="1" applyAlignment="1" applyProtection="1">
      <alignment horizontal="center" vertical="center" wrapText="1"/>
      <protection locked="0"/>
    </xf>
    <xf numFmtId="0" fontId="73" fillId="20" borderId="1" xfId="3" applyFont="1" applyFill="1" applyBorder="1" applyAlignment="1">
      <alignment horizontal="center" vertical="center" wrapText="1"/>
    </xf>
    <xf numFmtId="49" fontId="19" fillId="0" borderId="1" xfId="3" applyNumberFormat="1" applyBorder="1" applyAlignment="1" applyProtection="1">
      <alignment vertical="center" wrapText="1"/>
      <protection locked="0"/>
    </xf>
    <xf numFmtId="49" fontId="19" fillId="0" borderId="1" xfId="3" applyNumberFormat="1" applyBorder="1" applyAlignment="1" applyProtection="1">
      <alignment horizontal="left" vertical="center" wrapText="1"/>
      <protection locked="0"/>
    </xf>
    <xf numFmtId="0" fontId="19" fillId="0" borderId="1" xfId="3" applyBorder="1" applyAlignment="1">
      <alignment horizontal="left" vertical="center" wrapText="1"/>
    </xf>
    <xf numFmtId="0" fontId="19" fillId="0" borderId="1" xfId="3" applyBorder="1" applyAlignment="1">
      <alignment horizontal="center" vertical="center" wrapText="1"/>
    </xf>
    <xf numFmtId="14" fontId="19" fillId="0" borderId="10" xfId="3" applyNumberFormat="1" applyBorder="1" applyAlignment="1" applyProtection="1">
      <alignment horizontal="left" vertical="center" wrapText="1"/>
      <protection locked="0"/>
    </xf>
    <xf numFmtId="14" fontId="19" fillId="0" borderId="19" xfId="3" applyNumberFormat="1" applyBorder="1" applyAlignment="1" applyProtection="1">
      <alignment horizontal="left" vertical="center" wrapText="1"/>
      <protection locked="0"/>
    </xf>
    <xf numFmtId="14" fontId="19" fillId="0" borderId="11" xfId="3" applyNumberFormat="1" applyBorder="1" applyAlignment="1" applyProtection="1">
      <alignment horizontal="left" vertical="center" wrapText="1"/>
      <protection locked="0"/>
    </xf>
    <xf numFmtId="49" fontId="19" fillId="0" borderId="1" xfId="3" applyNumberFormat="1" applyBorder="1" applyAlignment="1">
      <alignment horizontal="left" vertical="center" wrapText="1"/>
    </xf>
    <xf numFmtId="49" fontId="19" fillId="0" borderId="1" xfId="3" applyNumberFormat="1" applyBorder="1" applyAlignment="1" applyProtection="1">
      <alignment horizontal="center" vertical="center" wrapText="1"/>
      <protection locked="0"/>
    </xf>
    <xf numFmtId="49" fontId="19" fillId="0" borderId="1" xfId="3" applyNumberFormat="1" applyBorder="1" applyAlignment="1">
      <alignment horizontal="center" vertical="center" wrapText="1"/>
    </xf>
    <xf numFmtId="49" fontId="19" fillId="22" borderId="1" xfId="3" applyNumberFormat="1" applyFill="1" applyBorder="1" applyAlignment="1" applyProtection="1">
      <alignment horizontal="center" vertical="center" wrapText="1"/>
      <protection locked="0"/>
    </xf>
    <xf numFmtId="49" fontId="19" fillId="34" borderId="1" xfId="3" applyNumberFormat="1" applyFont="1" applyFill="1" applyBorder="1" applyAlignment="1" applyProtection="1">
      <alignment horizontal="center" vertical="center" wrapText="1"/>
      <protection locked="0"/>
    </xf>
    <xf numFmtId="49" fontId="53" fillId="24" borderId="1" xfId="3" applyNumberFormat="1" applyFont="1" applyFill="1" applyBorder="1" applyAlignment="1" applyProtection="1">
      <alignment horizontal="center" vertical="center" wrapText="1"/>
      <protection locked="0"/>
    </xf>
    <xf numFmtId="0" fontId="24" fillId="17" borderId="7" xfId="3" applyFont="1" applyFill="1" applyBorder="1" applyAlignment="1">
      <alignment horizontal="left" vertical="center" shrinkToFit="1"/>
    </xf>
    <xf numFmtId="0" fontId="24" fillId="17" borderId="8" xfId="3" applyFont="1" applyFill="1" applyBorder="1" applyAlignment="1">
      <alignment horizontal="left" vertical="center" shrinkToFit="1"/>
    </xf>
    <xf numFmtId="0" fontId="24" fillId="17" borderId="9" xfId="3" applyFont="1" applyFill="1" applyBorder="1" applyAlignment="1">
      <alignment horizontal="left" vertical="center" shrinkToFit="1"/>
    </xf>
    <xf numFmtId="0" fontId="57" fillId="17" borderId="4" xfId="3" applyFont="1" applyFill="1" applyBorder="1" applyAlignment="1">
      <alignment horizontal="left" vertical="center" shrinkToFit="1"/>
    </xf>
    <xf numFmtId="0" fontId="57" fillId="17" borderId="5" xfId="3" applyFont="1" applyFill="1" applyBorder="1" applyAlignment="1">
      <alignment horizontal="left" vertical="center" shrinkToFit="1"/>
    </xf>
    <xf numFmtId="0" fontId="57" fillId="17" borderId="6" xfId="3" applyFont="1" applyFill="1" applyBorder="1" applyAlignment="1">
      <alignment horizontal="left" vertical="center" shrinkToFit="1"/>
    </xf>
    <xf numFmtId="0" fontId="19" fillId="18" borderId="1" xfId="3" applyFill="1" applyBorder="1" applyAlignment="1" applyProtection="1">
      <alignment horizontal="center" vertical="center" wrapText="1"/>
      <protection locked="0"/>
    </xf>
    <xf numFmtId="49" fontId="19" fillId="19" borderId="1" xfId="3" applyNumberFormat="1" applyFill="1" applyBorder="1" applyAlignment="1" applyProtection="1">
      <alignment horizontal="center" vertical="center" wrapText="1"/>
      <protection locked="0"/>
    </xf>
    <xf numFmtId="0" fontId="24" fillId="17" borderId="7" xfId="3" applyFont="1" applyFill="1" applyBorder="1" applyAlignment="1">
      <alignment horizontal="left" vertical="center" wrapText="1"/>
    </xf>
    <xf numFmtId="0" fontId="24" fillId="17" borderId="8" xfId="3" applyFont="1" applyFill="1" applyBorder="1" applyAlignment="1">
      <alignment horizontal="left" vertical="center" wrapText="1"/>
    </xf>
    <xf numFmtId="0" fontId="24" fillId="17" borderId="9" xfId="3" applyFont="1" applyFill="1" applyBorder="1" applyAlignment="1">
      <alignment horizontal="left" vertical="center" wrapText="1"/>
    </xf>
    <xf numFmtId="0" fontId="56" fillId="17" borderId="4" xfId="3" applyFont="1" applyFill="1" applyBorder="1" applyAlignment="1">
      <alignment horizontal="left" vertical="center" shrinkToFit="1"/>
    </xf>
    <xf numFmtId="0" fontId="56" fillId="17" borderId="5" xfId="3" applyFont="1" applyFill="1" applyBorder="1" applyAlignment="1">
      <alignment horizontal="left" vertical="center" shrinkToFit="1"/>
    </xf>
    <xf numFmtId="0" fontId="56" fillId="17" borderId="6" xfId="3" applyFont="1" applyFill="1" applyBorder="1" applyAlignment="1">
      <alignment horizontal="left" vertical="center" shrinkToFit="1"/>
    </xf>
    <xf numFmtId="49" fontId="19" fillId="23" borderId="1" xfId="3" applyNumberFormat="1" applyFill="1" applyBorder="1" applyAlignment="1" applyProtection="1">
      <alignment horizontal="center" vertical="center" wrapText="1"/>
      <protection locked="0"/>
    </xf>
    <xf numFmtId="0" fontId="91" fillId="2" borderId="10" xfId="7" applyFont="1" applyFill="1" applyBorder="1" applyAlignment="1">
      <alignment horizontal="center" vertical="center"/>
    </xf>
    <xf numFmtId="0" fontId="91" fillId="2" borderId="19" xfId="7" applyFont="1" applyFill="1" applyBorder="1" applyAlignment="1">
      <alignment horizontal="center" vertical="center"/>
    </xf>
    <xf numFmtId="0" fontId="91" fillId="2" borderId="11" xfId="7" applyFont="1" applyFill="1" applyBorder="1" applyAlignment="1">
      <alignment horizontal="center" vertical="center"/>
    </xf>
    <xf numFmtId="0" fontId="26" fillId="2" borderId="10" xfId="7" applyFill="1" applyBorder="1" applyAlignment="1">
      <alignment horizontal="justify" vertical="center" wrapText="1"/>
    </xf>
    <xf numFmtId="0" fontId="26" fillId="2" borderId="19" xfId="7" applyFill="1" applyBorder="1" applyAlignment="1">
      <alignment horizontal="justify" vertical="center" wrapText="1"/>
    </xf>
    <xf numFmtId="0" fontId="26" fillId="2" borderId="11" xfId="7" applyFill="1" applyBorder="1" applyAlignment="1">
      <alignment horizontal="justify" vertical="center" wrapText="1"/>
    </xf>
    <xf numFmtId="0" fontId="20" fillId="21" borderId="2" xfId="0" applyFont="1" applyFill="1" applyBorder="1" applyAlignment="1">
      <alignment horizontal="center" vertical="top" textRotation="45"/>
    </xf>
    <xf numFmtId="0" fontId="20" fillId="9" borderId="2" xfId="0" applyFont="1" applyFill="1" applyBorder="1" applyAlignment="1">
      <alignment horizontal="center" vertical="center" textRotation="45"/>
    </xf>
    <xf numFmtId="0" fontId="27" fillId="3" borderId="7" xfId="7" applyFont="1" applyFill="1" applyBorder="1" applyAlignment="1">
      <alignment horizontal="center" vertical="distributed"/>
    </xf>
    <xf numFmtId="0" fontId="27" fillId="3" borderId="8" xfId="7" applyFont="1" applyFill="1" applyBorder="1" applyAlignment="1">
      <alignment horizontal="center" vertical="distributed"/>
    </xf>
    <xf numFmtId="0" fontId="27" fillId="3" borderId="9" xfId="7" applyFont="1" applyFill="1" applyBorder="1" applyAlignment="1">
      <alignment horizontal="center" vertical="distributed"/>
    </xf>
    <xf numFmtId="0" fontId="20" fillId="3" borderId="7" xfId="0" applyFont="1" applyFill="1" applyBorder="1" applyAlignment="1">
      <alignment horizontal="center" wrapText="1"/>
    </xf>
    <xf numFmtId="0" fontId="20" fillId="3" borderId="8" xfId="0" applyFont="1" applyFill="1" applyBorder="1" applyAlignment="1">
      <alignment horizontal="center" wrapText="1"/>
    </xf>
    <xf numFmtId="0" fontId="20" fillId="3" borderId="9" xfId="0" applyFont="1" applyFill="1" applyBorder="1" applyAlignment="1">
      <alignment horizontal="center" wrapText="1"/>
    </xf>
    <xf numFmtId="0" fontId="19" fillId="2" borderId="10" xfId="0" applyFont="1" applyFill="1" applyBorder="1" applyAlignment="1">
      <alignment horizontal="left" vertical="center" wrapText="1" shrinkToFit="1"/>
    </xf>
    <xf numFmtId="0" fontId="19" fillId="2" borderId="11" xfId="0" applyFont="1" applyFill="1" applyBorder="1" applyAlignment="1">
      <alignment horizontal="left" vertical="center" wrapText="1" shrinkToFit="1"/>
    </xf>
    <xf numFmtId="0" fontId="80" fillId="28" borderId="4" xfId="13" applyFont="1" applyFill="1" applyBorder="1" applyAlignment="1" applyProtection="1">
      <alignment horizontal="center" vertical="center" wrapText="1"/>
      <protection locked="0"/>
    </xf>
    <xf numFmtId="0" fontId="80" fillId="28" borderId="5" xfId="13" applyFont="1" applyFill="1" applyBorder="1" applyAlignment="1" applyProtection="1">
      <alignment horizontal="center" vertical="center" wrapText="1"/>
      <protection locked="0"/>
    </xf>
    <xf numFmtId="0" fontId="80" fillId="28" borderId="6" xfId="13" applyFont="1" applyFill="1" applyBorder="1" applyAlignment="1" applyProtection="1">
      <alignment horizontal="center" vertical="center" wrapText="1"/>
      <protection locked="0"/>
    </xf>
    <xf numFmtId="0" fontId="80" fillId="16" borderId="4" xfId="13" applyFont="1" applyFill="1" applyBorder="1" applyAlignment="1" applyProtection="1">
      <alignment horizontal="center" vertical="center" wrapText="1"/>
    </xf>
    <xf numFmtId="0" fontId="80" fillId="16" borderId="5" xfId="13" applyFont="1" applyFill="1" applyBorder="1" applyAlignment="1" applyProtection="1">
      <alignment horizontal="center" vertical="center" wrapText="1"/>
    </xf>
    <xf numFmtId="0" fontId="77" fillId="25" borderId="14" xfId="12" applyAlignment="1">
      <alignment horizontal="left" vertical="center"/>
    </xf>
    <xf numFmtId="0" fontId="29" fillId="8" borderId="5" xfId="0" applyFont="1" applyFill="1" applyBorder="1" applyAlignment="1">
      <alignment horizontal="center" vertical="center"/>
    </xf>
    <xf numFmtId="0" fontId="29" fillId="8" borderId="6" xfId="0" applyFont="1" applyFill="1" applyBorder="1" applyAlignment="1">
      <alignment horizontal="center" vertical="center"/>
    </xf>
    <xf numFmtId="0" fontId="85" fillId="28" borderId="10" xfId="2" applyFont="1" applyFill="1" applyBorder="1" applyAlignment="1" applyProtection="1">
      <alignment horizontal="center" vertical="center" wrapText="1"/>
      <protection locked="0"/>
    </xf>
    <xf numFmtId="0" fontId="85" fillId="28" borderId="11" xfId="2" applyFont="1" applyFill="1" applyBorder="1" applyAlignment="1" applyProtection="1">
      <alignment horizontal="center" vertical="center" wrapText="1"/>
      <protection locked="0"/>
    </xf>
  </cellXfs>
  <cellStyles count="30">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s>
  <dxfs count="44">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fr-FR"/>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fr-FR"/>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fr-F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fr-FR"/>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fr-F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47625</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28575</xdr:colOff>
      <xdr:row>2</xdr:row>
      <xdr:rowOff>97645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6527800</xdr:colOff>
          <xdr:row>117</xdr:row>
          <xdr:rowOff>50800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yril.jouhannea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3">
          <cell r="AD3" t="str">
            <v>AEF1007 - Peer Review Workbook.xlsm</v>
          </cell>
        </row>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603</v>
          </cell>
        </row>
        <row r="74">
          <cell r="AI74" t="str">
            <v>Hardware</v>
          </cell>
          <cell r="AJ74" t="str">
            <v>HW</v>
          </cell>
          <cell r="AL74" t="str">
            <v>Milestone</v>
          </cell>
          <cell r="AM74" t="str">
            <v>M</v>
          </cell>
          <cell r="AO74" t="str">
            <v>All milestones</v>
          </cell>
          <cell r="AR74" t="str">
            <v>All</v>
          </cell>
          <cell r="AS74" t="str">
            <v>ALL</v>
          </cell>
          <cell r="AU74" t="str">
            <v>software development plan</v>
          </cell>
          <cell r="BA74" t="str">
            <v>High</v>
          </cell>
          <cell r="BG74" t="str">
            <v>Yes</v>
          </cell>
          <cell r="BJ74" t="str">
            <v>Draft</v>
          </cell>
        </row>
        <row r="75">
          <cell r="AI75" t="str">
            <v>Functional safety</v>
          </cell>
          <cell r="AJ75" t="str">
            <v>SA</v>
          </cell>
          <cell r="AL75" t="str">
            <v>Audit</v>
          </cell>
          <cell r="AM75" t="str">
            <v>A</v>
          </cell>
          <cell r="AO75" t="str">
            <v>SW - Planning (M0)</v>
          </cell>
          <cell r="AR75" t="str">
            <v>Architecture</v>
          </cell>
          <cell r="AS75" t="str">
            <v>ARC</v>
          </cell>
          <cell r="AU75" t="str">
            <v>software Project Schedule</v>
          </cell>
          <cell r="BA75" t="str">
            <v>Medium</v>
          </cell>
          <cell r="BG75" t="str">
            <v>No</v>
          </cell>
          <cell r="BJ75" t="str">
            <v>Released</v>
          </cell>
        </row>
        <row r="76">
          <cell r="AI76" t="str">
            <v>Mechanical</v>
          </cell>
          <cell r="AJ76" t="str">
            <v>ME</v>
          </cell>
          <cell r="AL76" t="str">
            <v>Review</v>
          </cell>
          <cell r="AM76" t="str">
            <v>R</v>
          </cell>
          <cell r="AO76" t="str">
            <v>SW - Qualification preparation (M1)</v>
          </cell>
          <cell r="AR76" t="str">
            <v>Configuration management</v>
          </cell>
          <cell r="AS76" t="str">
            <v>CM</v>
          </cell>
          <cell r="AU76" t="str">
            <v>Quality assurance plan</v>
          </cell>
          <cell r="BA76" t="str">
            <v>Low</v>
          </cell>
          <cell r="BG76" t="str">
            <v>NA</v>
          </cell>
        </row>
        <row r="77">
          <cell r="AI77" t="str">
            <v>Product</v>
          </cell>
          <cell r="AJ77" t="str">
            <v>PD</v>
          </cell>
          <cell r="AO77" t="str">
            <v>SW - Qualification execution (M2)</v>
          </cell>
          <cell r="AR77" t="str">
            <v>Construction</v>
          </cell>
          <cell r="AS77" t="str">
            <v>COD</v>
          </cell>
          <cell r="AU77" t="str">
            <v>Integration test plan (SW/SYS)</v>
          </cell>
        </row>
        <row r="78">
          <cell r="AI78" t="str">
            <v>Project</v>
          </cell>
          <cell r="AJ78" t="str">
            <v>PJ</v>
          </cell>
          <cell r="AO78" t="str">
            <v>SW - End of release (M3)</v>
          </cell>
          <cell r="AR78" t="str">
            <v>Release and delivery</v>
          </cell>
          <cell r="AS78" t="str">
            <v>DLV</v>
          </cell>
          <cell r="AU78" t="str">
            <v>Requirements</v>
          </cell>
        </row>
        <row r="79">
          <cell r="AI79" t="str">
            <v>Quality assurance</v>
          </cell>
          <cell r="AJ79" t="str">
            <v>QA</v>
          </cell>
          <cell r="AO79" t="str">
            <v>SYS - Delivery (MD)</v>
          </cell>
          <cell r="AR79" t="str">
            <v>Design</v>
          </cell>
          <cell r="AS79" t="str">
            <v>DSG</v>
          </cell>
          <cell r="AU79" t="str">
            <v>System architecture</v>
          </cell>
        </row>
        <row r="80">
          <cell r="AI80" t="str">
            <v>Software</v>
          </cell>
          <cell r="AJ80" t="str">
            <v>SW</v>
          </cell>
          <cell r="AO80" t="str">
            <v>SYS - Planning (MP)</v>
          </cell>
          <cell r="AR80" t="str">
            <v>Integration tests</v>
          </cell>
          <cell r="AS80" t="str">
            <v>INT</v>
          </cell>
          <cell r="AU80" t="str">
            <v>Software architecture</v>
          </cell>
        </row>
        <row r="81">
          <cell r="AI81" t="str">
            <v>System</v>
          </cell>
          <cell r="AJ81" t="str">
            <v>SY</v>
          </cell>
          <cell r="AO81" t="str">
            <v>SYS - End of release (MR)</v>
          </cell>
          <cell r="AR81" t="str">
            <v>Project management</v>
          </cell>
          <cell r="AS81" t="str">
            <v>PM</v>
          </cell>
          <cell r="AU81" t="str">
            <v>Reuse strategy definition / reuse plan</v>
          </cell>
        </row>
        <row r="82">
          <cell r="AI82" t="str">
            <v>System</v>
          </cell>
          <cell r="AJ82" t="str">
            <v>SY</v>
          </cell>
          <cell r="AO82" t="str">
            <v>SYS - End of release (MR)</v>
          </cell>
          <cell r="AR82" t="str">
            <v>Qualification</v>
          </cell>
          <cell r="AS82" t="str">
            <v>QAF</v>
          </cell>
          <cell r="AU82" t="str">
            <v>Qualification plan (SW/SYS)</v>
          </cell>
        </row>
        <row r="83">
          <cell r="AR83" t="str">
            <v>Quality assurance</v>
          </cell>
          <cell r="AS83" t="str">
            <v>QA</v>
          </cell>
          <cell r="AU83" t="str">
            <v>Qualification Schedule (SW/SYS)</v>
          </cell>
        </row>
        <row r="84">
          <cell r="AO84" t="str">
            <v>Major milestone 1.1</v>
          </cell>
          <cell r="AR84" t="str">
            <v>Requirement management</v>
          </cell>
          <cell r="AS84" t="str">
            <v>RQM</v>
          </cell>
          <cell r="AU84" t="str">
            <v>Design project schedule</v>
          </cell>
        </row>
        <row r="85">
          <cell r="AO85" t="str">
            <v>Major milestone 1.2</v>
          </cell>
          <cell r="AR85" t="str">
            <v>ReUse</v>
          </cell>
          <cell r="AS85" t="str">
            <v>REU</v>
          </cell>
          <cell r="AU85" t="str">
            <v>Project Schedule</v>
          </cell>
        </row>
        <row r="86">
          <cell r="AI86" t="str">
            <v>Software</v>
          </cell>
          <cell r="AO86" t="str">
            <v>Major milestone 2.1</v>
          </cell>
          <cell r="AR86" t="str">
            <v>Review</v>
          </cell>
          <cell r="AS86" t="str">
            <v>REV</v>
          </cell>
          <cell r="AU86" t="str">
            <v>Model-Based Design</v>
          </cell>
        </row>
        <row r="87">
          <cell r="AO87" t="str">
            <v>Major milestone 2.2</v>
          </cell>
          <cell r="AR87" t="str">
            <v>Risk Management</v>
          </cell>
          <cell r="AS87" t="str">
            <v>RSK</v>
          </cell>
          <cell r="AU87" t="str">
            <v>Code</v>
          </cell>
        </row>
        <row r="88">
          <cell r="AO88" t="str">
            <v>Major milestone 3.1</v>
          </cell>
          <cell r="AR88" t="str">
            <v>Supplier Management</v>
          </cell>
          <cell r="AS88" t="str">
            <v>SM</v>
          </cell>
          <cell r="AU88" t="str">
            <v>Software detailed design</v>
          </cell>
        </row>
        <row r="89">
          <cell r="AO89" t="str">
            <v>Major milestone 3.2</v>
          </cell>
          <cell r="AR89" t="str">
            <v>Unit verification</v>
          </cell>
          <cell r="AS89" t="str">
            <v>UV</v>
          </cell>
          <cell r="AU89" t="str">
            <v>Unit Test specifications and report</v>
          </cell>
        </row>
        <row r="90">
          <cell r="AR90" t="str">
            <v>Unit verification</v>
          </cell>
          <cell r="AS90" t="str">
            <v>UV</v>
          </cell>
          <cell r="AU90" t="str">
            <v>Integration tests specifications and report</v>
          </cell>
        </row>
        <row r="91">
          <cell r="AO91" t="str">
            <v>FUSA - Planning</v>
          </cell>
          <cell r="AU91" t="str">
            <v>Unit Test specifications and report</v>
          </cell>
        </row>
        <row r="92">
          <cell r="AO92" t="str">
            <v>FUSA - Qualification execution</v>
          </cell>
        </row>
        <row r="93">
          <cell r="AO93" t="str">
            <v>FUSA - End of release</v>
          </cell>
        </row>
        <row r="94">
          <cell r="AU94" t="str">
            <v>Process assets (procedure, method and template)</v>
          </cell>
        </row>
        <row r="96">
          <cell r="AU96" t="str">
            <v>Other documents (when no specific checklist exists)</v>
          </cell>
        </row>
        <row r="97">
          <cell r="AO97" t="str">
            <v>SYS - End of release</v>
          </cell>
        </row>
        <row r="98">
          <cell r="AO98" t="str">
            <v>sysMR</v>
          </cell>
        </row>
        <row r="100">
          <cell r="AU100" t="str">
            <v>Process assets (procedure, method and template)</v>
          </cell>
        </row>
        <row r="101">
          <cell r="AU101" t="str">
            <v>PA</v>
          </cell>
        </row>
      </sheetData>
      <sheetData sheetId="2">
        <row r="184">
          <cell r="C184" t="str">
            <v>OK (remaining actions will be followed)</v>
          </cell>
        </row>
        <row r="185">
          <cell r="C185" t="str">
            <v>NOK (the rejected reason must be described in comment cell)</v>
          </cell>
        </row>
        <row r="186">
          <cell r="C186" t="str">
            <v>No response has been given</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sheetData sheetId="6">
        <row r="10">
          <cell r="H10" t="str">
            <v>no additional recommandation</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refreshError="1"/>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Sue Liu" id="{AAD8775F-29BE-4E36-BA32-F1E128D72632}" userId="S::sue.liu@autoliv.com::ba361916-f96b-4efc-9b86-2df143bc14db" providerId="AD"/>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30" headerRowBorderDxfId="29" tableBorderDxfId="28"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SUM(F3:O3)</calculatedColumnFormula>
    </tableColum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I5" dT="2019-10-24T09:46:13.12" personId="{0C880BA8-B73D-4DFE-83DD-D2EA884542F3}" id="{4F07D554-8883-424C-8AAE-3311ED8AC009}">
    <text>KGAS "For all deviations identified in reviews, severity must be documented (e.g. critical for project, mediocre deviation, minor deviation)."</text>
  </threadedComment>
  <threadedComment ref="I5" dT="2021-04-28T12:17:04.16" personId="{4410F425-F88D-409E-83B0-3808B2D0FE08}" id="{2CD644E0-66D2-4A31-B2C2-F58B713BF687}" parentId="{4F07D554-8883-424C-8AAE-3311ED8AC009}">
    <text>Interesting =&gt; To be discussed</text>
  </threadedComment>
  <threadedComment ref="J5" dT="2021-04-25T08:26:49.07" personId="{AAD8775F-29BE-4E36-BA32-F1E128D72632}" id="{9F1E263E-74BA-42AA-9DC1-0CE46D8D4B15}">
    <text>These "fill in colors"for the Row 4, are not consistant with legend defined in sheet "Help"; reviewer will get lost as he/she have to fill many cells fill in  green/blue/pink,etc...</text>
  </threadedComment>
  <threadedComment ref="J5" dT="2021-04-28T12:22:12.19" personId="{4410F425-F88D-409E-83B0-3808B2D0FE08}" id="{295C7353-D43E-423B-A539-A07B5F171ECB}" parentId="{9F1E263E-74BA-42AA-9DC1-0CE46D8D4B15}">
    <text>Correct
In the same time, I wander who should write the priority, actor name and target. For me this is the responsible.
Suggestion to discuss about it</text>
  </threadedComment>
  <threadedComment ref="L5" dT="2021-04-25T08:20:08.13" personId="{AAD8775F-29BE-4E36-BA32-F1E128D72632}" id="{5A6DEF0A-2534-4678-912D-8D88DD3F6528}">
    <text>If no comment from the reviewer, is it necessary to fill in the column" comments" with "no remark/no comment"? If yes, which status to be selected in"status" column?</text>
  </threadedComment>
  <threadedComment ref="L5" dT="2021-04-28T12:22:54.75" personId="{4410F425-F88D-409E-83B0-3808B2D0FE08}" id="{256AE285-E340-486D-9368-9E66243E2547}" parentId="{5A6DEF0A-2534-4678-912D-8D88DD3F6528}">
    <text>if no comment =&gt; nothing to change =&gt;will not be fixed</text>
  </threadedComment>
  <threadedComment ref="L5" dT="2021-04-29T05:53:42.32" personId="{AAD8775F-29BE-4E36-BA32-F1E128D72632}" id="{DAE2900E-436C-459B-8885-15EB333AD819}" parentId="{5A6DEF0A-2534-4678-912D-8D88DD3F6528}">
    <text>better to have this point noted in the notes</text>
  </threadedComment>
  <threadedComment ref="L5" dT="2021-04-29T06:05:33.90" personId="{AAD8775F-29BE-4E36-BA32-F1E128D72632}" id="{0D764A13-081D-4B2A-B3B4-4210B85619BB}" parentId="{5A6DEF0A-2534-4678-912D-8D88DD3F6528}">
    <text>if no comment, filling the " will not be fixed" by author and "agreement(reviewer)" by reviewer are waste of effort.  if not filled, will have one open item in red,which is not reasonable.</text>
  </threadedComment>
  <threadedComment ref="I6" dT="2021-04-25T08:23:40.00" personId="{AAD8775F-29BE-4E36-BA32-F1E128D72632}" id="{FFB859C3-7E8D-4BBA-BA76-67BBFAC7043A}">
    <text>As a reviewer, how to select the priority for his comments? the slection criterial or guideline shall be provided.</text>
  </threadedComment>
  <threadedComment ref="I6" dT="2021-04-28T10:55:31.63" personId="{4410F425-F88D-409E-83B0-3808B2D0FE08}" id="{45067CF2-2ABB-4B00-B906-E603A5D869C5}" parentId="{FFB859C3-7E8D-4BBA-BA76-67BBFAC7043A}">
    <text>Agree with you</text>
  </threadedComment>
  <threadedComment ref="L6" dT="2021-04-25T08:22:08.22" personId="{AAD8775F-29BE-4E36-BA32-F1E128D72632}" id="{6075C51B-B0B9-43A9-AFDE-7E5C40969AD4}">
    <text>I would propose that the column of "status"not to be filled in by reviewer; If the reviewer select the status,e.g." will not be fixed", then the "Actor name" will be automatically filled with reviewer's name, which is not good, reviewer=actor;</text>
  </threadedComment>
  <threadedComment ref="L6" dT="2021-04-28T12:27:14.81" personId="{4410F425-F88D-409E-83B0-3808B2D0FE08}" id="{7F42F0A9-188A-414D-8E5E-A5919CAE33DE}" parentId="{6075C51B-B0B9-43A9-AFDE-7E5C40969AD4}">
    <text>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text>
  </threadedComment>
  <threadedComment ref="L6" dT="2021-04-29T05:56:48.93" personId="{AAD8775F-29BE-4E36-BA32-F1E128D72632}" id="{EAF3D4CB-32F1-4921-8139-61A36973831D}" parentId="{6075C51B-B0B9-43A9-AFDE-7E5C40969AD4}">
    <text>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ext>
  </threadedComment>
</ThreadedComments>
</file>

<file path=xl/threadedComments/threadedComment4.xml><?xml version="1.0" encoding="utf-8"?>
<ThreadedComments xmlns="http://schemas.microsoft.com/office/spreadsheetml/2018/threadedcomments" xmlns:x="http://schemas.openxmlformats.org/spreadsheetml/2006/main">
  <threadedComment ref="I5" dT="2019-10-24T09:46:13.12" personId="{0C880BA8-B73D-4DFE-83DD-D2EA884542F3}" id="{494CCE40-B27D-4966-AAD9-98F9E5F6A20F}">
    <text>KGAS "For all deviations identified in reviews, severity must be documented (e.g. critical for project, mediocre deviation, minor deviation)."</text>
  </threadedComment>
  <threadedComment ref="I5" dT="2021-04-28T12:17:04.16" personId="{4410F425-F88D-409E-83B0-3808B2D0FE08}" id="{332A9ADD-CC88-4BD3-9B66-D2E554223C2E}" parentId="{494CCE40-B27D-4966-AAD9-98F9E5F6A20F}">
    <text>Interesting =&gt; To be discussed</text>
  </threadedComment>
  <threadedComment ref="J5" dT="2021-04-25T08:26:49.07" personId="{AAD8775F-29BE-4E36-BA32-F1E128D72632}" id="{F3124478-4AE4-4935-B08F-9AF3C50CD84E}">
    <text>These "fill in colors"for the Row 4, are not consistant with legend defined in sheet "Help"; reviewer will get lost as he/she have to fill many cells fill in  green/blue/pink,etc...</text>
  </threadedComment>
  <threadedComment ref="J5" dT="2021-04-28T12:22:12.19" personId="{4410F425-F88D-409E-83B0-3808B2D0FE08}" id="{90F3915B-4CD2-44AA-912D-43F028634A4C}" parentId="{F3124478-4AE4-4935-B08F-9AF3C50CD84E}">
    <text>Correct
In the same time, I wander who should write the priority, actor name and target. For me this is the responsible.
Suggestion to discuss about it</text>
  </threadedComment>
  <threadedComment ref="L5" dT="2021-04-25T08:20:08.13" personId="{AAD8775F-29BE-4E36-BA32-F1E128D72632}" id="{10D85564-CDE7-46E5-95C6-FE4D4EE6F8C8}">
    <text>If no comment from the reviewer, is it necessary to fill in the column" comments" with "no remark/no comment"? If yes, which status to be selected in"status" column?</text>
  </threadedComment>
  <threadedComment ref="L5" dT="2021-04-28T12:22:54.75" personId="{4410F425-F88D-409E-83B0-3808B2D0FE08}" id="{D169063A-4699-41DE-86E0-97E6EC83B127}" parentId="{10D85564-CDE7-46E5-95C6-FE4D4EE6F8C8}">
    <text>if no comment =&gt; nothing to change =&gt;will not be fixed</text>
  </threadedComment>
  <threadedComment ref="L5" dT="2021-04-29T05:53:42.32" personId="{AAD8775F-29BE-4E36-BA32-F1E128D72632}" id="{D6EDA3BF-3BD2-491E-96B8-25608B333306}" parentId="{10D85564-CDE7-46E5-95C6-FE4D4EE6F8C8}">
    <text>better to have this point noted in the notes</text>
  </threadedComment>
  <threadedComment ref="L5" dT="2021-04-29T06:05:33.90" personId="{AAD8775F-29BE-4E36-BA32-F1E128D72632}" id="{2ABD686F-8369-443D-ACED-E0E4C8FC8C28}" parentId="{10D85564-CDE7-46E5-95C6-FE4D4EE6F8C8}">
    <text>if no comment, filling the " will not be fixed" by author and "agreement(reviewer)" by reviewer are waste of effort.  if not filled, will have one open item in red,which is not reasonable.</text>
  </threadedComment>
  <threadedComment ref="I6" dT="2021-04-25T08:23:40.00" personId="{AAD8775F-29BE-4E36-BA32-F1E128D72632}" id="{F68DCEEE-D877-42E9-9657-A7293B116C15}">
    <text>As a reviewer, how to select the priority for his comments? the slection criterial or guideline shall be provided.</text>
  </threadedComment>
  <threadedComment ref="I6" dT="2021-04-28T10:55:31.63" personId="{4410F425-F88D-409E-83B0-3808B2D0FE08}" id="{B445CA0D-E7E3-47C4-A41C-FC1FC74E34B3}" parentId="{F68DCEEE-D877-42E9-9657-A7293B116C15}">
    <text>Agree with you</text>
  </threadedComment>
  <threadedComment ref="L6" dT="2021-04-25T08:22:08.22" personId="{AAD8775F-29BE-4E36-BA32-F1E128D72632}" id="{C9940AC0-B186-4350-A940-C8BC2798F778}">
    <text>I would propose that the column of "status"not to be filled in by reviewer; If the reviewer select the status,e.g." will not be fixed", then the "Actor name" will be automatically filled with reviewer's name, which is not good, reviewer=actor;</text>
  </threadedComment>
  <threadedComment ref="L6" dT="2021-04-28T12:27:14.81" personId="{4410F425-F88D-409E-83B0-3808B2D0FE08}" id="{9AEA2C8B-72DB-4532-A87C-2861926010A4}" parentId="{C9940AC0-B186-4350-A940-C8BC2798F778}">
    <text>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text>
  </threadedComment>
  <threadedComment ref="L6" dT="2021-04-29T05:56:48.93" personId="{AAD8775F-29BE-4E36-BA32-F1E128D72632}" id="{E41793E1-2293-4F11-B02A-05BD6C86405E}" parentId="{C9940AC0-B186-4350-A940-C8BC2798F778}">
    <text>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Sheet1">
    <tabColor theme="9" tint="0.59999389629810485"/>
  </sheetPr>
  <dimension ref="A1:BH116"/>
  <sheetViews>
    <sheetView showGridLines="0" topLeftCell="A3" zoomScale="130" zoomScaleNormal="130" workbookViewId="0">
      <selection activeCell="E7" sqref="E7:V7"/>
    </sheetView>
  </sheetViews>
  <sheetFormatPr defaultColWidth="0" defaultRowHeight="12.75" customHeight="1" zeroHeight="1"/>
  <cols>
    <col min="1" max="33" width="2.81640625" style="111" customWidth="1"/>
    <col min="34" max="34" width="1.26953125" style="111" customWidth="1"/>
    <col min="35" max="60" width="3.26953125" style="111" hidden="1" customWidth="1"/>
    <col min="61" max="16384" width="0" style="111" hidden="1"/>
  </cols>
  <sheetData>
    <row r="1" spans="1:37" s="101" customFormat="1" ht="12.5">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2.5"/>
    <row r="3" spans="1:37" s="101" customFormat="1" ht="12.5">
      <c r="AD3" s="106" t="s">
        <v>304</v>
      </c>
    </row>
    <row r="4" spans="1:37" s="101" customFormat="1" ht="11.15" customHeight="1">
      <c r="A4" s="227" t="s">
        <v>5</v>
      </c>
      <c r="B4" s="228"/>
      <c r="C4" s="228"/>
      <c r="D4" s="228"/>
      <c r="E4" s="228"/>
      <c r="F4" s="228"/>
      <c r="G4" s="228"/>
      <c r="H4" s="228"/>
      <c r="I4" s="228"/>
      <c r="J4" s="228"/>
      <c r="K4" s="228"/>
      <c r="L4" s="228"/>
      <c r="M4" s="228"/>
      <c r="N4" s="228"/>
      <c r="O4" s="228"/>
      <c r="P4" s="228"/>
      <c r="Q4" s="229"/>
      <c r="R4" s="224" t="s">
        <v>12</v>
      </c>
      <c r="S4" s="225"/>
      <c r="T4" s="225"/>
      <c r="U4" s="225"/>
      <c r="V4" s="226"/>
      <c r="W4" s="224" t="s">
        <v>6</v>
      </c>
      <c r="X4" s="225"/>
      <c r="Y4" s="225"/>
      <c r="Z4" s="225"/>
      <c r="AA4" s="226"/>
      <c r="AB4" s="227" t="s">
        <v>137</v>
      </c>
      <c r="AC4" s="228"/>
      <c r="AD4" s="228"/>
      <c r="AE4" s="228"/>
      <c r="AF4" s="228"/>
      <c r="AG4" s="229"/>
      <c r="AH4" s="107"/>
      <c r="AI4" s="107"/>
      <c r="AJ4" s="107"/>
    </row>
    <row r="5" spans="1:37" s="108" customFormat="1" ht="12.75" customHeight="1">
      <c r="A5" s="230" t="str">
        <f ca="1" xml:space="preserve"> IFERROR(IF([2]!alvDocProperty("MXAuthority")="","Process and method",[2]!alvDocProperty("MXAuthority")),"Process and method")</f>
        <v>Process and method</v>
      </c>
      <c r="B5" s="231"/>
      <c r="C5" s="231"/>
      <c r="D5" s="231"/>
      <c r="E5" s="231"/>
      <c r="F5" s="231"/>
      <c r="G5" s="231"/>
      <c r="H5" s="231"/>
      <c r="I5" s="231"/>
      <c r="J5" s="231"/>
      <c r="K5" s="231"/>
      <c r="L5" s="231"/>
      <c r="M5" s="231"/>
      <c r="N5" s="231"/>
      <c r="O5" s="231"/>
      <c r="P5" s="231"/>
      <c r="Q5" s="232"/>
      <c r="R5" s="230" t="s">
        <v>138</v>
      </c>
      <c r="S5" s="231"/>
      <c r="T5" s="231"/>
      <c r="U5" s="231"/>
      <c r="V5" s="232"/>
      <c r="W5" s="230" t="str">
        <f ca="1" xml:space="preserve"> IFERROR(IF([2]!alvDocProperty("MXCurrent.Localized")="","Template released",[2]!alvDocProperty("MXCurrent.Localized")),"Template released")</f>
        <v>Template released</v>
      </c>
      <c r="X5" s="231"/>
      <c r="Y5" s="231"/>
      <c r="Z5" s="231"/>
      <c r="AA5" s="232"/>
      <c r="AB5" s="230" t="str">
        <f ca="1" xml:space="preserve"> IFERROR(IF([2]!alvDocProperty("MXActual_state_Released")="","TBD",[2]!alvDocProperty("MXActual_state_Released")),"TBD")</f>
        <v>TBD</v>
      </c>
      <c r="AC5" s="231"/>
      <c r="AD5" s="231"/>
      <c r="AE5" s="231"/>
      <c r="AF5" s="231"/>
      <c r="AG5" s="232"/>
    </row>
    <row r="6" spans="1:37" s="101" customFormat="1" ht="11.15" customHeight="1">
      <c r="A6" s="224" t="s">
        <v>7</v>
      </c>
      <c r="B6" s="225"/>
      <c r="C6" s="225"/>
      <c r="D6" s="226"/>
      <c r="E6" s="224" t="s">
        <v>8</v>
      </c>
      <c r="F6" s="225"/>
      <c r="G6" s="225"/>
      <c r="H6" s="225"/>
      <c r="I6" s="225"/>
      <c r="J6" s="225"/>
      <c r="K6" s="225"/>
      <c r="L6" s="225"/>
      <c r="M6" s="225"/>
      <c r="N6" s="225"/>
      <c r="O6" s="225"/>
      <c r="P6" s="225"/>
      <c r="Q6" s="225"/>
      <c r="R6" s="225"/>
      <c r="S6" s="225"/>
      <c r="T6" s="225"/>
      <c r="U6" s="225"/>
      <c r="V6" s="226"/>
      <c r="W6" s="227" t="s">
        <v>10</v>
      </c>
      <c r="X6" s="228"/>
      <c r="Y6" s="228"/>
      <c r="Z6" s="228"/>
      <c r="AA6" s="229"/>
      <c r="AB6" s="224" t="s">
        <v>34</v>
      </c>
      <c r="AC6" s="225"/>
      <c r="AD6" s="226"/>
      <c r="AE6" s="224" t="s">
        <v>9</v>
      </c>
      <c r="AF6" s="225"/>
      <c r="AG6" s="226"/>
    </row>
    <row r="7" spans="1:37" s="108" customFormat="1" ht="12.75" customHeight="1">
      <c r="A7" s="230" t="str">
        <f ca="1" xml:space="preserve"> IFERROR(IF([2]!alvDocProperty("MXName")="","TBD",[2]!alvDocProperty("MXName")),"TBD")</f>
        <v>TBD</v>
      </c>
      <c r="B7" s="231"/>
      <c r="C7" s="231"/>
      <c r="D7" s="232"/>
      <c r="E7" s="230" t="str">
        <f ca="1" xml:space="preserve"> IFERROR(IF([2]!alvDocProperty("MXTitle")="","Peer Review Workbook (PRWB)",[2]!alvDocProperty("MXTitle")),"Peer Review Workbook (PRWB)")</f>
        <v>Peer Review Workbook (PRWB)</v>
      </c>
      <c r="F7" s="231"/>
      <c r="G7" s="231"/>
      <c r="H7" s="231"/>
      <c r="I7" s="231"/>
      <c r="J7" s="231"/>
      <c r="K7" s="231"/>
      <c r="L7" s="231"/>
      <c r="M7" s="231"/>
      <c r="N7" s="231"/>
      <c r="O7" s="231"/>
      <c r="P7" s="231"/>
      <c r="Q7" s="231"/>
      <c r="R7" s="231"/>
      <c r="S7" s="231"/>
      <c r="T7" s="231"/>
      <c r="U7" s="231"/>
      <c r="V7" s="232"/>
      <c r="W7" s="233" t="str">
        <f ca="1" xml:space="preserve"> IFERROR(IF([2]!alvDocProperty("MXDocTemplate_Name")="","AEF1007",[2]!alvDocProperty("MXDocTemplate_Name")),"AEF1007")</f>
        <v>AEF1007</v>
      </c>
      <c r="X7" s="234"/>
      <c r="Y7" s="234"/>
      <c r="Z7" s="234"/>
      <c r="AA7" s="235"/>
      <c r="AB7" s="230" t="str">
        <f ca="1" xml:space="preserve"> IFERROR(IF([2]!alvDocProperty("MXRevision")="","TBD",[2]!alvDocProperty("MXRevision")),"TBD")</f>
        <v>TBD</v>
      </c>
      <c r="AC7" s="231"/>
      <c r="AD7" s="232"/>
      <c r="AE7" s="230" t="str">
        <f ca="1" xml:space="preserve"> IFERROR(IF([2]!alvDocProperty("MXVersion")="","TBD",[2]!alvDocProperty("MXVersion")),"TBD")</f>
        <v>TBD</v>
      </c>
      <c r="AF7" s="231"/>
      <c r="AG7" s="232"/>
    </row>
    <row r="8" spans="1:37" s="108" customFormat="1" ht="13">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5" customHeight="1">
      <c r="A9" s="200" t="s">
        <v>61</v>
      </c>
      <c r="B9" s="201"/>
      <c r="C9" s="201"/>
      <c r="D9" s="201"/>
      <c r="E9" s="201"/>
      <c r="F9" s="201"/>
      <c r="G9" s="201"/>
      <c r="H9" s="201"/>
      <c r="I9" s="201"/>
      <c r="J9" s="201"/>
      <c r="K9" s="202"/>
      <c r="L9" s="200" t="s">
        <v>12</v>
      </c>
      <c r="M9" s="201"/>
      <c r="N9" s="201"/>
      <c r="O9" s="201"/>
      <c r="P9" s="201"/>
      <c r="Q9" s="201"/>
      <c r="R9" s="201"/>
      <c r="S9" s="201"/>
      <c r="T9" s="201"/>
      <c r="U9" s="201"/>
      <c r="V9" s="202"/>
      <c r="W9" s="200" t="s">
        <v>17</v>
      </c>
      <c r="X9" s="201"/>
      <c r="Y9" s="201"/>
      <c r="Z9" s="201"/>
      <c r="AA9" s="201"/>
      <c r="AB9" s="201"/>
      <c r="AC9" s="201"/>
      <c r="AD9" s="201"/>
      <c r="AE9" s="201"/>
      <c r="AF9" s="201"/>
      <c r="AG9" s="202"/>
    </row>
    <row r="10" spans="1:37" s="112" customFormat="1" ht="39" customHeight="1">
      <c r="A10" s="203" t="s">
        <v>139</v>
      </c>
      <c r="B10" s="204"/>
      <c r="C10" s="204"/>
      <c r="D10" s="204"/>
      <c r="E10" s="204"/>
      <c r="F10" s="205" t="s">
        <v>442</v>
      </c>
      <c r="G10" s="205"/>
      <c r="H10" s="205"/>
      <c r="I10" s="205"/>
      <c r="J10" s="205"/>
      <c r="K10" s="206"/>
      <c r="L10" s="207" t="s">
        <v>140</v>
      </c>
      <c r="M10" s="208"/>
      <c r="N10" s="208"/>
      <c r="O10" s="208"/>
      <c r="P10" s="208"/>
      <c r="Q10" s="208"/>
      <c r="R10" s="208"/>
      <c r="S10" s="208"/>
      <c r="T10" s="208"/>
      <c r="U10" s="208"/>
      <c r="V10" s="209"/>
      <c r="W10" s="207" t="s">
        <v>441</v>
      </c>
      <c r="X10" s="208"/>
      <c r="Y10" s="208"/>
      <c r="Z10" s="208"/>
      <c r="AA10" s="208"/>
      <c r="AB10" s="208"/>
      <c r="AC10" s="208"/>
      <c r="AD10" s="208"/>
      <c r="AE10" s="208"/>
      <c r="AF10" s="208"/>
      <c r="AG10" s="209"/>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5" customHeight="1">
      <c r="A12" s="210" t="s">
        <v>141</v>
      </c>
      <c r="B12" s="211"/>
      <c r="C12" s="211"/>
      <c r="D12" s="211"/>
      <c r="E12" s="211"/>
      <c r="F12" s="211"/>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2"/>
    </row>
    <row r="13" spans="1:37" s="112" customFormat="1" ht="28.5" customHeight="1">
      <c r="A13" s="213" t="s">
        <v>142</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5"/>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16" t="s">
        <v>143</v>
      </c>
      <c r="B15" s="216"/>
      <c r="C15" s="216"/>
      <c r="D15" s="216"/>
      <c r="E15" s="218"/>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20"/>
    </row>
    <row r="16" spans="1:37" ht="37.5" customHeight="1">
      <c r="A16" s="217"/>
      <c r="B16" s="217"/>
      <c r="C16" s="217"/>
      <c r="D16" s="217"/>
      <c r="E16" s="221"/>
      <c r="F16" s="222"/>
      <c r="G16" s="222"/>
      <c r="H16" s="222"/>
      <c r="I16" s="222"/>
      <c r="J16" s="222"/>
      <c r="K16" s="222"/>
      <c r="L16" s="222"/>
      <c r="M16" s="222"/>
      <c r="N16" s="222"/>
      <c r="O16" s="222"/>
      <c r="P16" s="222"/>
      <c r="Q16" s="222"/>
      <c r="R16" s="222"/>
      <c r="S16" s="222"/>
      <c r="T16" s="222"/>
      <c r="U16" s="222"/>
      <c r="V16" s="222"/>
      <c r="W16" s="222"/>
      <c r="X16" s="222"/>
      <c r="Y16" s="222"/>
      <c r="Z16" s="222"/>
      <c r="AA16" s="222"/>
      <c r="AB16" s="222"/>
      <c r="AC16" s="222"/>
      <c r="AD16" s="222"/>
      <c r="AE16" s="222"/>
      <c r="AF16" s="222"/>
      <c r="AG16" s="223"/>
    </row>
    <row r="17" spans="1:33" ht="12.5">
      <c r="A17" s="117"/>
    </row>
    <row r="18" spans="1:33" ht="12.5"/>
    <row r="19" spans="1:33" ht="12.5"/>
    <row r="20" spans="1:33" ht="12.5"/>
    <row r="21" spans="1:33" ht="15.75" customHeight="1">
      <c r="Q21" s="118"/>
    </row>
    <row r="22" spans="1:33" ht="12" customHeight="1">
      <c r="Q22" s="118"/>
    </row>
    <row r="23" spans="1:33" ht="60" customHeight="1">
      <c r="A23" s="198" t="str">
        <f ca="1">MXTitle</f>
        <v>Peer Review Workbook (PRWB)</v>
      </c>
      <c r="B23" s="199"/>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99"/>
      <c r="AA23" s="199"/>
      <c r="AB23" s="199"/>
      <c r="AC23" s="199"/>
      <c r="AD23" s="199"/>
      <c r="AE23" s="199"/>
      <c r="AF23" s="199"/>
      <c r="AG23" s="199"/>
    </row>
    <row r="24" spans="1:33" ht="25">
      <c r="Q24" s="118"/>
    </row>
    <row r="25" spans="1:33" ht="12.5"/>
    <row r="26" spans="1:33" ht="12.5"/>
    <row r="27" spans="1:33" ht="12.5" hidden="1"/>
    <row r="28" spans="1:33" ht="12.5" hidden="1"/>
    <row r="29" spans="1:33" ht="12.5" hidden="1"/>
    <row r="30" spans="1:33" ht="12.5" hidden="1"/>
    <row r="31" spans="1:33" ht="12.5" hidden="1"/>
    <row r="32" spans="1:33" ht="12.5" hidden="1"/>
    <row r="33" ht="12.5" hidden="1"/>
    <row r="34" ht="12.5" hidden="1"/>
    <row r="35" ht="12.5" hidden="1"/>
    <row r="36" ht="12.5" hidden="1"/>
    <row r="37" ht="12.5" hidden="1"/>
    <row r="38" ht="12.5" hidden="1"/>
    <row r="39" ht="12.5" hidden="1"/>
    <row r="40" ht="12.5" hidden="1"/>
    <row r="41" ht="12.5" hidden="1"/>
    <row r="42" ht="12.5" hidden="1"/>
    <row r="43" ht="12.5" hidden="1"/>
    <row r="44" ht="12.5" hidden="1"/>
    <row r="45" ht="12.5" hidden="1"/>
    <row r="46" ht="12.5" hidden="1"/>
    <row r="47" ht="12.5" hidden="1"/>
    <row r="48" ht="12.5" hidden="1"/>
    <row r="49" ht="12.5" hidden="1"/>
    <row r="50" ht="12.5" hidden="1"/>
    <row r="51" ht="12.5" hidden="1"/>
    <row r="52" ht="12.5" hidden="1"/>
    <row r="53" ht="12.5" hidden="1"/>
    <row r="54" ht="12.5" hidden="1"/>
    <row r="55" ht="12.5" hidden="1"/>
    <row r="56" ht="12.5" hidden="1"/>
    <row r="57" ht="12.5" hidden="1"/>
    <row r="58" ht="12.5" hidden="1"/>
    <row r="59" ht="12.5" hidden="1"/>
    <row r="60" ht="12.5" hidden="1"/>
    <row r="61" ht="12.5" hidden="1"/>
    <row r="62" ht="12.5" hidden="1"/>
    <row r="63" ht="12.5" hidden="1"/>
    <row r="64" ht="12.5" hidden="1"/>
    <row r="65" ht="12.5" hidden="1"/>
    <row r="66" ht="12.5" hidden="1"/>
    <row r="67" ht="12.5" hidden="1"/>
    <row r="68" ht="12.5" hidden="1"/>
    <row r="69" ht="12.5" hidden="1"/>
    <row r="70" ht="12.5" hidden="1"/>
    <row r="71" ht="12.5" hidden="1"/>
    <row r="72" ht="12.5" hidden="1"/>
    <row r="73" ht="12.5" hidden="1"/>
    <row r="74" ht="12.5" hidden="1"/>
    <row r="75" ht="12.5" hidden="1"/>
    <row r="76" ht="12.5" hidden="1"/>
    <row r="77" ht="12.5" hidden="1"/>
    <row r="78" ht="12.5" hidden="1"/>
    <row r="79" ht="12.5" hidden="1"/>
    <row r="80"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hidden="1"/>
    <row r="96" ht="12.5" hidden="1"/>
    <row r="97" ht="12.5" hidden="1"/>
    <row r="98" ht="12.5" hidden="1"/>
    <row r="99" ht="12.5" hidden="1"/>
    <row r="100" ht="12.5" hidden="1"/>
    <row r="101" ht="12.5" hidden="1"/>
    <row r="102" ht="12.5" hidden="1"/>
    <row r="103" ht="12.5" hidden="1"/>
    <row r="104" ht="12.5" hidden="1"/>
    <row r="105" ht="12.5" hidden="1"/>
    <row r="106" ht="12.5" hidden="1"/>
    <row r="107" ht="12.5" hidden="1"/>
    <row r="108" ht="12.5" hidden="1"/>
    <row r="109" ht="12.5" hidden="1"/>
    <row r="110" ht="12.5" hidden="1"/>
    <row r="111" ht="12.5" hidden="1"/>
    <row r="112" ht="12.5" hidden="1"/>
    <row r="113" ht="12.5" hidden="1"/>
    <row r="114" ht="12.5" hidden="1"/>
    <row r="115" ht="12.5" hidden="1"/>
    <row r="116" ht="12.5" hidden="1"/>
  </sheetData>
  <sheetProtection formatCells="0" formatRows="0" insertColumns="0" insertRows="0" insertHyperlinks="0" deleteRows="0" selectLockedCells="1" sort="0" autoFilter="0" pivotTables="0"/>
  <dataConsolidate/>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phoneticPr fontId="74" type="noConversion"/>
  <conditionalFormatting sqref="W5">
    <cfRule type="cellIs" dxfId="43" priority="13" operator="equal">
      <formula>"draft"</formula>
    </cfRule>
  </conditionalFormatting>
  <conditionalFormatting sqref="W5:AA5">
    <cfRule type="cellIs" dxfId="42" priority="7" operator="equal">
      <formula>"In-Work"</formula>
    </cfRule>
    <cfRule type="cellIs" dxfId="41" priority="8" stopIfTrue="1" operator="equal">
      <formula>"draft"</formula>
    </cfRule>
    <cfRule type="cellIs" dxfId="40" priority="9" operator="equal">
      <formula>"In-Work"</formula>
    </cfRule>
    <cfRule type="cellIs" dxfId="39" priority="10" stopIfTrue="1" operator="equal">
      <formula>"draft"</formula>
    </cfRule>
    <cfRule type="cellIs" dxfId="38" priority="11" operator="equal">
      <formula>"In-Work"</formula>
    </cfRule>
    <cfRule type="cellIs" dxfId="37" priority="12" stopIfTrue="1" operator="equal">
      <formula>"draft"</formula>
    </cfRule>
    <cfRule type="cellIs" dxfId="36" priority="6" stopIfTrue="1" operator="equal">
      <formula>"draft"</formula>
    </cfRule>
    <cfRule type="cellIs" dxfId="35" priority="5" operator="equal">
      <formula>"In-Work"</formula>
    </cfRule>
    <cfRule type="cellIs" dxfId="34" priority="4" stopIfTrue="1" operator="equal">
      <formula>"draft"</formula>
    </cfRule>
    <cfRule type="cellIs" dxfId="33" priority="3" operator="equal">
      <formula>"In-Work"</formula>
    </cfRule>
    <cfRule type="cellIs" dxfId="32" priority="2" stopIfTrue="1" operator="equal">
      <formula>"draft"</formula>
    </cfRule>
    <cfRule type="cellIs" dxfId="31" priority="1" operator="equal">
      <formula>"In-Work"</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I84"/>
  <sheetViews>
    <sheetView showGridLines="0" topLeftCell="A34" zoomScaleNormal="100" workbookViewId="0">
      <selection activeCell="A5" sqref="A5:V5"/>
    </sheetView>
  </sheetViews>
  <sheetFormatPr defaultColWidth="9.1796875" defaultRowHeight="14.5"/>
  <cols>
    <col min="1" max="34" width="2.81640625" style="119" customWidth="1"/>
    <col min="35" max="16384" width="9.179687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AEF1007 - Peer Review Workbook (PRWB).xlsm</v>
      </c>
      <c r="AE3" s="101"/>
      <c r="AF3" s="101"/>
      <c r="AG3" s="101"/>
      <c r="AH3" s="101"/>
    </row>
    <row r="4" spans="1:34">
      <c r="A4" s="227" t="s">
        <v>5</v>
      </c>
      <c r="B4" s="228"/>
      <c r="C4" s="228"/>
      <c r="D4" s="228"/>
      <c r="E4" s="228"/>
      <c r="F4" s="228"/>
      <c r="G4" s="228"/>
      <c r="H4" s="228"/>
      <c r="I4" s="228"/>
      <c r="J4" s="228"/>
      <c r="K4" s="228"/>
      <c r="L4" s="228"/>
      <c r="M4" s="228"/>
      <c r="N4" s="228"/>
      <c r="O4" s="228"/>
      <c r="P4" s="228"/>
      <c r="Q4" s="228"/>
      <c r="R4" s="228"/>
      <c r="S4" s="228"/>
      <c r="T4" s="228"/>
      <c r="U4" s="228"/>
      <c r="V4" s="229"/>
      <c r="W4" s="266" t="s">
        <v>6</v>
      </c>
      <c r="X4" s="267"/>
      <c r="Y4" s="267"/>
      <c r="Z4" s="267"/>
      <c r="AA4" s="268"/>
      <c r="AB4" s="227" t="s">
        <v>137</v>
      </c>
      <c r="AC4" s="228"/>
      <c r="AD4" s="228"/>
      <c r="AE4" s="228"/>
      <c r="AF4" s="228"/>
      <c r="AG4" s="229"/>
      <c r="AH4" s="107"/>
    </row>
    <row r="5" spans="1:34">
      <c r="A5" s="233" t="s">
        <v>214</v>
      </c>
      <c r="B5" s="234"/>
      <c r="C5" s="234"/>
      <c r="D5" s="234"/>
      <c r="E5" s="234"/>
      <c r="F5" s="234"/>
      <c r="G5" s="234"/>
      <c r="H5" s="234"/>
      <c r="I5" s="234"/>
      <c r="J5" s="234"/>
      <c r="K5" s="234"/>
      <c r="L5" s="234"/>
      <c r="M5" s="234"/>
      <c r="N5" s="234"/>
      <c r="O5" s="234"/>
      <c r="P5" s="234"/>
      <c r="Q5" s="234"/>
      <c r="R5" s="234"/>
      <c r="S5" s="234"/>
      <c r="T5" s="234"/>
      <c r="U5" s="234"/>
      <c r="V5" s="235"/>
      <c r="W5" s="269" t="s">
        <v>213</v>
      </c>
      <c r="X5" s="270"/>
      <c r="Y5" s="270"/>
      <c r="Z5" s="270"/>
      <c r="AA5" s="271"/>
      <c r="AB5" s="233" t="s">
        <v>212</v>
      </c>
      <c r="AC5" s="234"/>
      <c r="AD5" s="234"/>
      <c r="AE5" s="234"/>
      <c r="AF5" s="234"/>
      <c r="AG5" s="235"/>
      <c r="AH5" s="108"/>
    </row>
    <row r="6" spans="1:34">
      <c r="A6" s="258" t="s">
        <v>7</v>
      </c>
      <c r="B6" s="259"/>
      <c r="C6" s="259"/>
      <c r="D6" s="260"/>
      <c r="E6" s="258" t="s">
        <v>8</v>
      </c>
      <c r="F6" s="259"/>
      <c r="G6" s="259"/>
      <c r="H6" s="259"/>
      <c r="I6" s="259"/>
      <c r="J6" s="259"/>
      <c r="K6" s="259"/>
      <c r="L6" s="259"/>
      <c r="M6" s="259"/>
      <c r="N6" s="259"/>
      <c r="O6" s="259"/>
      <c r="P6" s="259"/>
      <c r="Q6" s="259"/>
      <c r="R6" s="259"/>
      <c r="S6" s="259"/>
      <c r="T6" s="259"/>
      <c r="U6" s="259"/>
      <c r="V6" s="260"/>
      <c r="W6" s="227" t="s">
        <v>10</v>
      </c>
      <c r="X6" s="228"/>
      <c r="Y6" s="228"/>
      <c r="Z6" s="228"/>
      <c r="AA6" s="229"/>
      <c r="AB6" s="266" t="s">
        <v>34</v>
      </c>
      <c r="AC6" s="267"/>
      <c r="AD6" s="268"/>
      <c r="AE6" s="266" t="s">
        <v>9</v>
      </c>
      <c r="AF6" s="267"/>
      <c r="AG6" s="268"/>
      <c r="AH6" s="101"/>
    </row>
    <row r="7" spans="1:34">
      <c r="A7" s="269" t="s">
        <v>211</v>
      </c>
      <c r="B7" s="270"/>
      <c r="C7" s="270"/>
      <c r="D7" s="271"/>
      <c r="E7" s="269" t="s">
        <v>216</v>
      </c>
      <c r="F7" s="270"/>
      <c r="G7" s="270"/>
      <c r="H7" s="270"/>
      <c r="I7" s="270"/>
      <c r="J7" s="270"/>
      <c r="K7" s="270"/>
      <c r="L7" s="270"/>
      <c r="M7" s="270"/>
      <c r="N7" s="270"/>
      <c r="O7" s="270"/>
      <c r="P7" s="270"/>
      <c r="Q7" s="270"/>
      <c r="R7" s="270"/>
      <c r="S7" s="270"/>
      <c r="T7" s="270"/>
      <c r="U7" s="270"/>
      <c r="V7" s="271"/>
      <c r="W7" s="269" t="str">
        <f ca="1">TemplateRef</f>
        <v>AEF1007</v>
      </c>
      <c r="X7" s="270"/>
      <c r="Y7" s="270"/>
      <c r="Z7" s="270"/>
      <c r="AA7" s="271"/>
      <c r="AB7" s="269" t="s">
        <v>215</v>
      </c>
      <c r="AC7" s="270"/>
      <c r="AD7" s="271"/>
      <c r="AE7" s="269" t="s">
        <v>215</v>
      </c>
      <c r="AF7" s="270"/>
      <c r="AG7" s="271"/>
      <c r="AH7" s="108"/>
    </row>
    <row r="8" spans="1:34">
      <c r="A8" s="258" t="s">
        <v>144</v>
      </c>
      <c r="B8" s="259"/>
      <c r="C8" s="259"/>
      <c r="D8" s="259"/>
      <c r="E8" s="259"/>
      <c r="F8" s="259"/>
      <c r="G8" s="259"/>
      <c r="H8" s="259"/>
      <c r="I8" s="259"/>
      <c r="J8" s="259"/>
      <c r="K8" s="259"/>
      <c r="L8" s="259"/>
      <c r="M8" s="259"/>
      <c r="N8" s="259"/>
      <c r="O8" s="259"/>
      <c r="P8" s="259"/>
      <c r="Q8" s="259"/>
      <c r="R8" s="259"/>
      <c r="S8" s="259"/>
      <c r="T8" s="259"/>
      <c r="U8" s="259"/>
      <c r="V8" s="259"/>
      <c r="W8" s="259"/>
      <c r="X8" s="259"/>
      <c r="Y8" s="259"/>
      <c r="Z8" s="259"/>
      <c r="AA8" s="259"/>
      <c r="AB8" s="259"/>
      <c r="AC8" s="259"/>
      <c r="AD8" s="259"/>
      <c r="AE8" s="259"/>
      <c r="AF8" s="259"/>
      <c r="AG8" s="260"/>
      <c r="AH8" s="111"/>
    </row>
    <row r="9" spans="1:34">
      <c r="A9" s="261" t="s">
        <v>145</v>
      </c>
      <c r="B9" s="26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3"/>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5">
      <c r="A12" s="111"/>
      <c r="B12" s="121" t="s">
        <v>146</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
      <c r="A14" s="111"/>
      <c r="B14" s="123" t="s">
        <v>147</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43" t="s">
        <v>148</v>
      </c>
      <c r="C15" s="264"/>
      <c r="D15" s="264"/>
      <c r="E15" s="264"/>
      <c r="F15" s="264"/>
      <c r="G15" s="243" t="s">
        <v>149</v>
      </c>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111"/>
      <c r="AH15" s="111"/>
    </row>
    <row r="16" spans="1:34" ht="55.5" customHeight="1">
      <c r="A16" s="111"/>
      <c r="B16" s="265" t="s">
        <v>150</v>
      </c>
      <c r="C16" s="265"/>
      <c r="D16" s="265"/>
      <c r="E16" s="265"/>
      <c r="F16" s="265"/>
      <c r="G16" s="246" t="s">
        <v>151</v>
      </c>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111"/>
      <c r="AH16" s="111"/>
    </row>
    <row r="17" spans="1:34">
      <c r="A17" s="111"/>
      <c r="B17" s="265" t="s">
        <v>152</v>
      </c>
      <c r="C17" s="265"/>
      <c r="D17" s="265"/>
      <c r="E17" s="265"/>
      <c r="F17" s="265"/>
      <c r="G17" s="246" t="s">
        <v>153</v>
      </c>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111"/>
      <c r="AH17" s="111"/>
    </row>
    <row r="18" spans="1:34" ht="15" customHeight="1">
      <c r="A18" s="111"/>
      <c r="B18" s="265" t="s">
        <v>15</v>
      </c>
      <c r="C18" s="265"/>
      <c r="D18" s="265"/>
      <c r="E18" s="265"/>
      <c r="F18" s="265"/>
      <c r="G18" s="246" t="s">
        <v>154</v>
      </c>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111"/>
      <c r="AH18" s="111"/>
    </row>
    <row r="19" spans="1:34" ht="24" customHeight="1">
      <c r="A19" s="111"/>
      <c r="B19" s="255" t="s">
        <v>189</v>
      </c>
      <c r="C19" s="255"/>
      <c r="D19" s="255"/>
      <c r="E19" s="255"/>
      <c r="F19" s="255"/>
      <c r="G19" s="246" t="s">
        <v>154</v>
      </c>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111"/>
      <c r="AH19" s="111"/>
    </row>
    <row r="20" spans="1:34">
      <c r="A20" s="111"/>
      <c r="B20" s="272" t="s">
        <v>190</v>
      </c>
      <c r="C20" s="272"/>
      <c r="D20" s="272"/>
      <c r="E20" s="272"/>
      <c r="F20" s="272"/>
      <c r="G20" s="246" t="s">
        <v>154</v>
      </c>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111"/>
      <c r="AH20" s="111"/>
    </row>
    <row r="21" spans="1:34" ht="35.25" customHeight="1">
      <c r="A21" s="111"/>
      <c r="B21" s="256" t="s">
        <v>305</v>
      </c>
      <c r="C21" s="256"/>
      <c r="D21" s="256"/>
      <c r="E21" s="256"/>
      <c r="F21" s="256"/>
      <c r="G21" s="246" t="s">
        <v>306</v>
      </c>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111"/>
      <c r="AH21" s="111"/>
    </row>
    <row r="22" spans="1:34" ht="28.5" customHeight="1">
      <c r="A22" s="111"/>
      <c r="B22" s="256" t="s">
        <v>307</v>
      </c>
      <c r="C22" s="256"/>
      <c r="D22" s="256"/>
      <c r="E22" s="256"/>
      <c r="F22" s="256"/>
      <c r="G22" s="246" t="s">
        <v>308</v>
      </c>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111"/>
      <c r="AH22" s="111"/>
    </row>
    <row r="23" spans="1:34" ht="22.5" customHeight="1">
      <c r="A23" s="111"/>
      <c r="B23" s="256" t="s">
        <v>309</v>
      </c>
      <c r="C23" s="256"/>
      <c r="D23" s="256"/>
      <c r="E23" s="256"/>
      <c r="F23" s="256"/>
      <c r="G23" s="246" t="s">
        <v>310</v>
      </c>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111"/>
      <c r="AH23" s="111"/>
    </row>
    <row r="24" spans="1:34" ht="45" customHeight="1">
      <c r="A24" s="111"/>
      <c r="B24" s="257" t="s">
        <v>191</v>
      </c>
      <c r="C24" s="257"/>
      <c r="D24" s="257"/>
      <c r="E24" s="257"/>
      <c r="F24" s="257"/>
      <c r="G24" s="246" t="s">
        <v>440</v>
      </c>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
      <c r="A26" s="123"/>
      <c r="B26" s="123" t="s">
        <v>155</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43" t="s">
        <v>34</v>
      </c>
      <c r="C27" s="248"/>
      <c r="D27" s="248"/>
      <c r="E27" s="243" t="s">
        <v>93</v>
      </c>
      <c r="F27" s="243"/>
      <c r="G27" s="243"/>
      <c r="H27" s="243"/>
      <c r="I27" s="243" t="s">
        <v>156</v>
      </c>
      <c r="J27" s="248"/>
      <c r="K27" s="248"/>
      <c r="L27" s="248"/>
      <c r="M27" s="248"/>
      <c r="N27" s="248"/>
      <c r="O27" s="248"/>
      <c r="P27" s="248"/>
      <c r="Q27" s="248"/>
      <c r="R27" s="243" t="s">
        <v>157</v>
      </c>
      <c r="S27" s="243"/>
      <c r="T27" s="243"/>
      <c r="U27" s="243"/>
      <c r="V27" s="243"/>
      <c r="W27" s="243"/>
      <c r="X27" s="243"/>
      <c r="Y27" s="243"/>
      <c r="Z27" s="243"/>
      <c r="AA27" s="243"/>
      <c r="AB27" s="243"/>
      <c r="AC27" s="243"/>
      <c r="AD27" s="243"/>
      <c r="AE27" s="243"/>
      <c r="AF27" s="243"/>
      <c r="AG27" s="111"/>
      <c r="AH27" s="111"/>
    </row>
    <row r="28" spans="1:34" ht="40.5" customHeight="1">
      <c r="A28" s="111"/>
      <c r="B28" s="236" t="s">
        <v>3</v>
      </c>
      <c r="C28" s="237" t="s">
        <v>3</v>
      </c>
      <c r="D28" s="238" t="s">
        <v>3</v>
      </c>
      <c r="E28" s="249"/>
      <c r="F28" s="250"/>
      <c r="G28" s="250"/>
      <c r="H28" s="251"/>
      <c r="I28" s="246"/>
      <c r="J28" s="252"/>
      <c r="K28" s="252"/>
      <c r="L28" s="252"/>
      <c r="M28" s="252"/>
      <c r="N28" s="252"/>
      <c r="O28" s="252"/>
      <c r="P28" s="252"/>
      <c r="Q28" s="252"/>
      <c r="R28" s="246" t="s">
        <v>14</v>
      </c>
      <c r="S28" s="246" t="s">
        <v>14</v>
      </c>
      <c r="T28" s="246" t="s">
        <v>14</v>
      </c>
      <c r="U28" s="246" t="s">
        <v>14</v>
      </c>
      <c r="V28" s="246" t="s">
        <v>14</v>
      </c>
      <c r="W28" s="246" t="s">
        <v>14</v>
      </c>
      <c r="X28" s="246" t="s">
        <v>14</v>
      </c>
      <c r="Y28" s="246" t="s">
        <v>14</v>
      </c>
      <c r="Z28" s="246" t="s">
        <v>14</v>
      </c>
      <c r="AA28" s="246" t="s">
        <v>14</v>
      </c>
      <c r="AB28" s="246" t="s">
        <v>14</v>
      </c>
      <c r="AC28" s="246" t="s">
        <v>14</v>
      </c>
      <c r="AD28" s="246" t="s">
        <v>14</v>
      </c>
      <c r="AE28" s="246" t="s">
        <v>14</v>
      </c>
      <c r="AF28" s="246" t="s">
        <v>14</v>
      </c>
      <c r="AG28" s="111"/>
      <c r="AH28" s="111"/>
    </row>
    <row r="29" spans="1:34" ht="60" customHeight="1">
      <c r="A29" s="111"/>
      <c r="B29" s="236" t="s">
        <v>18</v>
      </c>
      <c r="C29" s="237" t="s">
        <v>18</v>
      </c>
      <c r="D29" s="238" t="s">
        <v>18</v>
      </c>
      <c r="E29" s="249">
        <v>40591.490486111114</v>
      </c>
      <c r="F29" s="250">
        <v>40591.490486111114</v>
      </c>
      <c r="G29" s="250">
        <v>40591.490486111114</v>
      </c>
      <c r="H29" s="251">
        <v>40591.490486111114</v>
      </c>
      <c r="I29" s="246" t="s">
        <v>4</v>
      </c>
      <c r="J29" s="252" t="s">
        <v>4</v>
      </c>
      <c r="K29" s="252" t="s">
        <v>4</v>
      </c>
      <c r="L29" s="252" t="s">
        <v>4</v>
      </c>
      <c r="M29" s="252" t="s">
        <v>4</v>
      </c>
      <c r="N29" s="252" t="s">
        <v>4</v>
      </c>
      <c r="O29" s="252" t="s">
        <v>4</v>
      </c>
      <c r="P29" s="252" t="s">
        <v>4</v>
      </c>
      <c r="Q29" s="252" t="s">
        <v>4</v>
      </c>
      <c r="R29" s="246" t="s">
        <v>35</v>
      </c>
      <c r="S29" s="246" t="s">
        <v>35</v>
      </c>
      <c r="T29" s="246" t="s">
        <v>35</v>
      </c>
      <c r="U29" s="246" t="s">
        <v>35</v>
      </c>
      <c r="V29" s="246" t="s">
        <v>35</v>
      </c>
      <c r="W29" s="246" t="s">
        <v>35</v>
      </c>
      <c r="X29" s="246" t="s">
        <v>35</v>
      </c>
      <c r="Y29" s="246" t="s">
        <v>35</v>
      </c>
      <c r="Z29" s="246" t="s">
        <v>35</v>
      </c>
      <c r="AA29" s="246" t="s">
        <v>35</v>
      </c>
      <c r="AB29" s="246" t="s">
        <v>35</v>
      </c>
      <c r="AC29" s="246" t="s">
        <v>35</v>
      </c>
      <c r="AD29" s="246" t="s">
        <v>35</v>
      </c>
      <c r="AE29" s="246" t="s">
        <v>35</v>
      </c>
      <c r="AF29" s="246" t="s">
        <v>35</v>
      </c>
      <c r="AG29" s="111"/>
      <c r="AH29" s="111"/>
    </row>
    <row r="30" spans="1:34" ht="291" customHeight="1">
      <c r="A30" s="111"/>
      <c r="B30" s="236" t="s">
        <v>99</v>
      </c>
      <c r="C30" s="237" t="s">
        <v>99</v>
      </c>
      <c r="D30" s="238" t="s">
        <v>99</v>
      </c>
      <c r="E30" s="249">
        <v>41071.656145833331</v>
      </c>
      <c r="F30" s="250">
        <v>41071.656145833331</v>
      </c>
      <c r="G30" s="250">
        <v>41071.656145833331</v>
      </c>
      <c r="H30" s="251">
        <v>41071.656145833331</v>
      </c>
      <c r="I30" s="246" t="s">
        <v>4</v>
      </c>
      <c r="J30" s="252" t="s">
        <v>4</v>
      </c>
      <c r="K30" s="252" t="s">
        <v>4</v>
      </c>
      <c r="L30" s="252" t="s">
        <v>4</v>
      </c>
      <c r="M30" s="252" t="s">
        <v>4</v>
      </c>
      <c r="N30" s="252" t="s">
        <v>4</v>
      </c>
      <c r="O30" s="252" t="s">
        <v>4</v>
      </c>
      <c r="P30" s="252" t="s">
        <v>4</v>
      </c>
      <c r="Q30" s="252" t="s">
        <v>4</v>
      </c>
      <c r="R30" s="246" t="s">
        <v>130</v>
      </c>
      <c r="S30" s="246" t="s">
        <v>130</v>
      </c>
      <c r="T30" s="246" t="s">
        <v>130</v>
      </c>
      <c r="U30" s="246" t="s">
        <v>130</v>
      </c>
      <c r="V30" s="246" t="s">
        <v>130</v>
      </c>
      <c r="W30" s="246" t="s">
        <v>130</v>
      </c>
      <c r="X30" s="246" t="s">
        <v>130</v>
      </c>
      <c r="Y30" s="246" t="s">
        <v>130</v>
      </c>
      <c r="Z30" s="246" t="s">
        <v>130</v>
      </c>
      <c r="AA30" s="246" t="s">
        <v>130</v>
      </c>
      <c r="AB30" s="246" t="s">
        <v>130</v>
      </c>
      <c r="AC30" s="246" t="s">
        <v>130</v>
      </c>
      <c r="AD30" s="246" t="s">
        <v>130</v>
      </c>
      <c r="AE30" s="246" t="s">
        <v>130</v>
      </c>
      <c r="AF30" s="246" t="s">
        <v>130</v>
      </c>
      <c r="AG30" s="111"/>
      <c r="AH30" s="111"/>
    </row>
    <row r="31" spans="1:34" ht="40.5" customHeight="1">
      <c r="A31" s="111"/>
      <c r="B31" s="236" t="s">
        <v>87</v>
      </c>
      <c r="C31" s="237" t="s">
        <v>87</v>
      </c>
      <c r="D31" s="238" t="s">
        <v>87</v>
      </c>
      <c r="E31" s="249">
        <v>41071.656145833331</v>
      </c>
      <c r="F31" s="250">
        <v>41071.656145833331</v>
      </c>
      <c r="G31" s="250">
        <v>41071.656145833331</v>
      </c>
      <c r="H31" s="251">
        <v>41071.656145833331</v>
      </c>
      <c r="I31" s="246" t="s">
        <v>88</v>
      </c>
      <c r="J31" s="252" t="s">
        <v>88</v>
      </c>
      <c r="K31" s="252" t="s">
        <v>88</v>
      </c>
      <c r="L31" s="252" t="s">
        <v>88</v>
      </c>
      <c r="M31" s="252" t="s">
        <v>88</v>
      </c>
      <c r="N31" s="252" t="s">
        <v>88</v>
      </c>
      <c r="O31" s="252" t="s">
        <v>88</v>
      </c>
      <c r="P31" s="252" t="s">
        <v>88</v>
      </c>
      <c r="Q31" s="252" t="s">
        <v>88</v>
      </c>
      <c r="R31" s="246" t="s">
        <v>101</v>
      </c>
      <c r="S31" s="246" t="s">
        <v>101</v>
      </c>
      <c r="T31" s="246" t="s">
        <v>101</v>
      </c>
      <c r="U31" s="246" t="s">
        <v>101</v>
      </c>
      <c r="V31" s="246" t="s">
        <v>101</v>
      </c>
      <c r="W31" s="246" t="s">
        <v>101</v>
      </c>
      <c r="X31" s="246" t="s">
        <v>101</v>
      </c>
      <c r="Y31" s="246" t="s">
        <v>101</v>
      </c>
      <c r="Z31" s="246" t="s">
        <v>101</v>
      </c>
      <c r="AA31" s="246" t="s">
        <v>101</v>
      </c>
      <c r="AB31" s="246" t="s">
        <v>101</v>
      </c>
      <c r="AC31" s="246" t="s">
        <v>101</v>
      </c>
      <c r="AD31" s="246" t="s">
        <v>101</v>
      </c>
      <c r="AE31" s="246" t="s">
        <v>101</v>
      </c>
      <c r="AF31" s="246" t="s">
        <v>101</v>
      </c>
      <c r="AG31" s="111"/>
      <c r="AH31" s="111"/>
    </row>
    <row r="32" spans="1:34" ht="121.5" customHeight="1">
      <c r="A32" s="111"/>
      <c r="B32" s="236"/>
      <c r="C32" s="237"/>
      <c r="D32" s="238"/>
      <c r="E32" s="249">
        <v>42195</v>
      </c>
      <c r="F32" s="250">
        <v>42195</v>
      </c>
      <c r="G32" s="250">
        <v>42195</v>
      </c>
      <c r="H32" s="251">
        <v>42195</v>
      </c>
      <c r="I32" s="246" t="s">
        <v>100</v>
      </c>
      <c r="J32" s="252" t="s">
        <v>100</v>
      </c>
      <c r="K32" s="252" t="s">
        <v>100</v>
      </c>
      <c r="L32" s="252" t="s">
        <v>100</v>
      </c>
      <c r="M32" s="252" t="s">
        <v>100</v>
      </c>
      <c r="N32" s="252" t="s">
        <v>100</v>
      </c>
      <c r="O32" s="252" t="s">
        <v>100</v>
      </c>
      <c r="P32" s="252" t="s">
        <v>100</v>
      </c>
      <c r="Q32" s="252" t="s">
        <v>100</v>
      </c>
      <c r="R32" s="246" t="s">
        <v>103</v>
      </c>
      <c r="S32" s="246" t="s">
        <v>103</v>
      </c>
      <c r="T32" s="246" t="s">
        <v>103</v>
      </c>
      <c r="U32" s="246" t="s">
        <v>103</v>
      </c>
      <c r="V32" s="246" t="s">
        <v>103</v>
      </c>
      <c r="W32" s="246" t="s">
        <v>103</v>
      </c>
      <c r="X32" s="246" t="s">
        <v>103</v>
      </c>
      <c r="Y32" s="246" t="s">
        <v>103</v>
      </c>
      <c r="Z32" s="246" t="s">
        <v>103</v>
      </c>
      <c r="AA32" s="246" t="s">
        <v>103</v>
      </c>
      <c r="AB32" s="246" t="s">
        <v>103</v>
      </c>
      <c r="AC32" s="246" t="s">
        <v>103</v>
      </c>
      <c r="AD32" s="246" t="s">
        <v>103</v>
      </c>
      <c r="AE32" s="246" t="s">
        <v>103</v>
      </c>
      <c r="AF32" s="246" t="s">
        <v>103</v>
      </c>
      <c r="AG32" s="111"/>
      <c r="AH32" s="111"/>
    </row>
    <row r="33" spans="1:34" ht="114" customHeight="1">
      <c r="A33" s="111"/>
      <c r="B33" s="236" t="s">
        <v>104</v>
      </c>
      <c r="C33" s="237" t="s">
        <v>104</v>
      </c>
      <c r="D33" s="238" t="s">
        <v>104</v>
      </c>
      <c r="E33" s="249">
        <v>42391.634837962964</v>
      </c>
      <c r="F33" s="250">
        <v>42391.634837962964</v>
      </c>
      <c r="G33" s="250">
        <v>42391.634837962964</v>
      </c>
      <c r="H33" s="251">
        <v>42391.634837962964</v>
      </c>
      <c r="I33" s="246" t="s">
        <v>105</v>
      </c>
      <c r="J33" s="252" t="s">
        <v>105</v>
      </c>
      <c r="K33" s="252" t="s">
        <v>105</v>
      </c>
      <c r="L33" s="252" t="s">
        <v>105</v>
      </c>
      <c r="M33" s="252" t="s">
        <v>105</v>
      </c>
      <c r="N33" s="252" t="s">
        <v>105</v>
      </c>
      <c r="O33" s="252" t="s">
        <v>105</v>
      </c>
      <c r="P33" s="252" t="s">
        <v>105</v>
      </c>
      <c r="Q33" s="252" t="s">
        <v>105</v>
      </c>
      <c r="R33" s="246" t="s">
        <v>129</v>
      </c>
      <c r="S33" s="246" t="s">
        <v>129</v>
      </c>
      <c r="T33" s="246" t="s">
        <v>129</v>
      </c>
      <c r="U33" s="246" t="s">
        <v>129</v>
      </c>
      <c r="V33" s="246" t="s">
        <v>129</v>
      </c>
      <c r="W33" s="246" t="s">
        <v>129</v>
      </c>
      <c r="X33" s="246" t="s">
        <v>129</v>
      </c>
      <c r="Y33" s="246" t="s">
        <v>129</v>
      </c>
      <c r="Z33" s="246" t="s">
        <v>129</v>
      </c>
      <c r="AA33" s="246" t="s">
        <v>129</v>
      </c>
      <c r="AB33" s="246" t="s">
        <v>129</v>
      </c>
      <c r="AC33" s="246" t="s">
        <v>129</v>
      </c>
      <c r="AD33" s="246" t="s">
        <v>129</v>
      </c>
      <c r="AE33" s="246" t="s">
        <v>129</v>
      </c>
      <c r="AF33" s="246" t="s">
        <v>129</v>
      </c>
      <c r="AG33" s="111"/>
      <c r="AH33" s="111"/>
    </row>
    <row r="34" spans="1:34" ht="40.5" customHeight="1">
      <c r="A34" s="111"/>
      <c r="B34" s="253" t="s">
        <v>192</v>
      </c>
      <c r="C34" s="254"/>
      <c r="D34" s="254"/>
      <c r="E34" s="249"/>
      <c r="F34" s="250"/>
      <c r="G34" s="250"/>
      <c r="H34" s="251"/>
      <c r="I34" s="246"/>
      <c r="J34" s="252"/>
      <c r="K34" s="252"/>
      <c r="L34" s="252"/>
      <c r="M34" s="252"/>
      <c r="N34" s="252"/>
      <c r="O34" s="252"/>
      <c r="P34" s="252"/>
      <c r="Q34" s="252"/>
      <c r="R34" s="246" t="s">
        <v>193</v>
      </c>
      <c r="S34" s="246"/>
      <c r="T34" s="246"/>
      <c r="U34" s="246"/>
      <c r="V34" s="246"/>
      <c r="W34" s="246"/>
      <c r="X34" s="246"/>
      <c r="Y34" s="246"/>
      <c r="Z34" s="246"/>
      <c r="AA34" s="246"/>
      <c r="AB34" s="246"/>
      <c r="AC34" s="246"/>
      <c r="AD34" s="246"/>
      <c r="AE34" s="246"/>
      <c r="AF34" s="246"/>
      <c r="AG34" s="111"/>
      <c r="AH34" s="111"/>
    </row>
    <row r="35" spans="1:34">
      <c r="A35" s="111"/>
      <c r="B35" s="127" t="s">
        <v>158</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
      <c r="A38" s="111"/>
      <c r="B38" s="123" t="s">
        <v>159</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7.5">
      <c r="A39" s="111"/>
      <c r="B39" s="132" t="s">
        <v>160</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43" t="s">
        <v>161</v>
      </c>
      <c r="C40" s="243"/>
      <c r="D40" s="243"/>
      <c r="E40" s="243" t="s">
        <v>162</v>
      </c>
      <c r="F40" s="248"/>
      <c r="G40" s="248"/>
      <c r="H40" s="248"/>
      <c r="I40" s="248"/>
      <c r="J40" s="248"/>
      <c r="K40" s="248"/>
      <c r="L40" s="248"/>
      <c r="M40" s="248"/>
      <c r="N40" s="248"/>
      <c r="O40" s="248"/>
      <c r="P40" s="248"/>
      <c r="Q40" s="248"/>
      <c r="R40" s="248"/>
      <c r="S40" s="248"/>
      <c r="T40" s="248"/>
      <c r="U40" s="248"/>
      <c r="V40" s="248"/>
      <c r="W40" s="248"/>
      <c r="X40" s="248"/>
      <c r="Y40" s="243" t="s">
        <v>163</v>
      </c>
      <c r="Z40" s="243"/>
      <c r="AA40" s="243"/>
      <c r="AB40" s="243"/>
      <c r="AC40" s="243"/>
      <c r="AD40" s="243"/>
      <c r="AE40" s="243"/>
      <c r="AF40" s="243"/>
      <c r="AG40" s="111"/>
      <c r="AH40" s="111"/>
    </row>
    <row r="41" spans="1:34">
      <c r="A41" s="111"/>
      <c r="B41" s="245"/>
      <c r="C41" s="245"/>
      <c r="D41" s="245"/>
      <c r="E41" s="246"/>
      <c r="F41" s="247"/>
      <c r="G41" s="247"/>
      <c r="H41" s="247"/>
      <c r="I41" s="247"/>
      <c r="J41" s="247"/>
      <c r="K41" s="247"/>
      <c r="L41" s="247"/>
      <c r="M41" s="247"/>
      <c r="N41" s="247"/>
      <c r="O41" s="247"/>
      <c r="P41" s="247"/>
      <c r="Q41" s="247"/>
      <c r="R41" s="247"/>
      <c r="S41" s="247"/>
      <c r="T41" s="247"/>
      <c r="U41" s="247"/>
      <c r="V41" s="247"/>
      <c r="W41" s="247"/>
      <c r="X41" s="247"/>
      <c r="Y41" s="246"/>
      <c r="Z41" s="247"/>
      <c r="AA41" s="247"/>
      <c r="AB41" s="247"/>
      <c r="AC41" s="247"/>
      <c r="AD41" s="247"/>
      <c r="AE41" s="247"/>
      <c r="AF41" s="247"/>
      <c r="AG41" s="111"/>
      <c r="AH41" s="111"/>
    </row>
    <row r="42" spans="1:34">
      <c r="A42" s="111"/>
      <c r="B42" s="245"/>
      <c r="C42" s="245"/>
      <c r="D42" s="245"/>
      <c r="E42" s="246"/>
      <c r="F42" s="247"/>
      <c r="G42" s="247"/>
      <c r="H42" s="247"/>
      <c r="I42" s="247"/>
      <c r="J42" s="247"/>
      <c r="K42" s="247"/>
      <c r="L42" s="247"/>
      <c r="M42" s="247"/>
      <c r="N42" s="247"/>
      <c r="O42" s="247"/>
      <c r="P42" s="247"/>
      <c r="Q42" s="247"/>
      <c r="R42" s="247"/>
      <c r="S42" s="247"/>
      <c r="T42" s="247"/>
      <c r="U42" s="247"/>
      <c r="V42" s="247"/>
      <c r="W42" s="247"/>
      <c r="X42" s="247"/>
      <c r="Y42" s="246"/>
      <c r="Z42" s="247"/>
      <c r="AA42" s="247"/>
      <c r="AB42" s="247"/>
      <c r="AC42" s="247"/>
      <c r="AD42" s="247"/>
      <c r="AE42" s="247"/>
      <c r="AF42" s="247"/>
      <c r="AG42" s="111"/>
      <c r="AH42" s="111"/>
    </row>
    <row r="43" spans="1:34">
      <c r="A43" s="111"/>
      <c r="B43" s="245"/>
      <c r="C43" s="245"/>
      <c r="D43" s="245"/>
      <c r="E43" s="246"/>
      <c r="F43" s="247"/>
      <c r="G43" s="247"/>
      <c r="H43" s="247"/>
      <c r="I43" s="247"/>
      <c r="J43" s="247"/>
      <c r="K43" s="247"/>
      <c r="L43" s="247"/>
      <c r="M43" s="247"/>
      <c r="N43" s="247"/>
      <c r="O43" s="247"/>
      <c r="P43" s="247"/>
      <c r="Q43" s="247"/>
      <c r="R43" s="247"/>
      <c r="S43" s="247"/>
      <c r="T43" s="247"/>
      <c r="U43" s="247"/>
      <c r="V43" s="247"/>
      <c r="W43" s="247"/>
      <c r="X43" s="247"/>
      <c r="Y43" s="246"/>
      <c r="Z43" s="247"/>
      <c r="AA43" s="247"/>
      <c r="AB43" s="247"/>
      <c r="AC43" s="247"/>
      <c r="AD43" s="247"/>
      <c r="AE43" s="247"/>
      <c r="AF43" s="247"/>
      <c r="AG43" s="111"/>
      <c r="AH43" s="111"/>
    </row>
    <row r="44" spans="1:34">
      <c r="A44" s="111"/>
      <c r="B44" s="245"/>
      <c r="C44" s="245"/>
      <c r="D44" s="245"/>
      <c r="E44" s="246"/>
      <c r="F44" s="247"/>
      <c r="G44" s="247"/>
      <c r="H44" s="247"/>
      <c r="I44" s="247"/>
      <c r="J44" s="247"/>
      <c r="K44" s="247"/>
      <c r="L44" s="247"/>
      <c r="M44" s="247"/>
      <c r="N44" s="247"/>
      <c r="O44" s="247"/>
      <c r="P44" s="247"/>
      <c r="Q44" s="247"/>
      <c r="R44" s="247"/>
      <c r="S44" s="247"/>
      <c r="T44" s="247"/>
      <c r="U44" s="247"/>
      <c r="V44" s="247"/>
      <c r="W44" s="247"/>
      <c r="X44" s="247"/>
      <c r="Y44" s="246"/>
      <c r="Z44" s="247"/>
      <c r="AA44" s="247"/>
      <c r="AB44" s="247"/>
      <c r="AC44" s="247"/>
      <c r="AD44" s="247"/>
      <c r="AE44" s="247"/>
      <c r="AF44" s="247"/>
      <c r="AG44" s="111"/>
      <c r="AH44" s="111"/>
    </row>
    <row r="45" spans="1:34" ht="17.5">
      <c r="A45" s="111"/>
      <c r="B45" s="132" t="s">
        <v>164</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43" t="s">
        <v>161</v>
      </c>
      <c r="C46" s="243"/>
      <c r="D46" s="243"/>
      <c r="E46" s="243" t="s">
        <v>162</v>
      </c>
      <c r="F46" s="248"/>
      <c r="G46" s="248"/>
      <c r="H46" s="248"/>
      <c r="I46" s="248"/>
      <c r="J46" s="248"/>
      <c r="K46" s="248"/>
      <c r="L46" s="248"/>
      <c r="M46" s="248"/>
      <c r="N46" s="248"/>
      <c r="O46" s="248"/>
      <c r="P46" s="248"/>
      <c r="Q46" s="248"/>
      <c r="R46" s="248"/>
      <c r="S46" s="248"/>
      <c r="T46" s="248"/>
      <c r="U46" s="248"/>
      <c r="V46" s="248"/>
      <c r="W46" s="248"/>
      <c r="X46" s="248"/>
      <c r="Y46" s="243" t="s">
        <v>163</v>
      </c>
      <c r="Z46" s="243"/>
      <c r="AA46" s="243"/>
      <c r="AB46" s="243"/>
      <c r="AC46" s="243"/>
      <c r="AD46" s="243"/>
      <c r="AE46" s="243"/>
      <c r="AF46" s="243"/>
      <c r="AG46" s="111"/>
      <c r="AH46" s="111"/>
    </row>
    <row r="47" spans="1:34">
      <c r="A47" s="111"/>
      <c r="B47" s="245"/>
      <c r="C47" s="245"/>
      <c r="D47" s="245"/>
      <c r="E47" s="246"/>
      <c r="F47" s="247"/>
      <c r="G47" s="247"/>
      <c r="H47" s="247"/>
      <c r="I47" s="247"/>
      <c r="J47" s="247"/>
      <c r="K47" s="247"/>
      <c r="L47" s="247"/>
      <c r="M47" s="247"/>
      <c r="N47" s="247"/>
      <c r="O47" s="247"/>
      <c r="P47" s="247"/>
      <c r="Q47" s="247"/>
      <c r="R47" s="247"/>
      <c r="S47" s="247"/>
      <c r="T47" s="247"/>
      <c r="U47" s="247"/>
      <c r="V47" s="247"/>
      <c r="W47" s="247"/>
      <c r="X47" s="247"/>
      <c r="Y47" s="246"/>
      <c r="Z47" s="247"/>
      <c r="AA47" s="247"/>
      <c r="AB47" s="247"/>
      <c r="AC47" s="247"/>
      <c r="AD47" s="247"/>
      <c r="AE47" s="247"/>
      <c r="AF47" s="247"/>
      <c r="AG47" s="111"/>
      <c r="AH47" s="111"/>
    </row>
    <row r="48" spans="1:34">
      <c r="A48" s="111"/>
      <c r="B48" s="245"/>
      <c r="C48" s="245"/>
      <c r="D48" s="245"/>
      <c r="E48" s="246"/>
      <c r="F48" s="247"/>
      <c r="G48" s="247"/>
      <c r="H48" s="247"/>
      <c r="I48" s="247"/>
      <c r="J48" s="247"/>
      <c r="K48" s="247"/>
      <c r="L48" s="247"/>
      <c r="M48" s="247"/>
      <c r="N48" s="247"/>
      <c r="O48" s="247"/>
      <c r="P48" s="247"/>
      <c r="Q48" s="247"/>
      <c r="R48" s="247"/>
      <c r="S48" s="247"/>
      <c r="T48" s="247"/>
      <c r="U48" s="247"/>
      <c r="V48" s="247"/>
      <c r="W48" s="247"/>
      <c r="X48" s="247"/>
      <c r="Y48" s="246"/>
      <c r="Z48" s="247"/>
      <c r="AA48" s="247"/>
      <c r="AB48" s="247"/>
      <c r="AC48" s="247"/>
      <c r="AD48" s="247"/>
      <c r="AE48" s="247"/>
      <c r="AF48" s="247"/>
      <c r="AG48" s="111"/>
      <c r="AH48" s="111"/>
    </row>
    <row r="49" spans="1:34">
      <c r="A49" s="111"/>
      <c r="B49" s="245"/>
      <c r="C49" s="245"/>
      <c r="D49" s="245"/>
      <c r="E49" s="246"/>
      <c r="F49" s="247"/>
      <c r="G49" s="247"/>
      <c r="H49" s="247"/>
      <c r="I49" s="247"/>
      <c r="J49" s="247"/>
      <c r="K49" s="247"/>
      <c r="L49" s="247"/>
      <c r="M49" s="247"/>
      <c r="N49" s="247"/>
      <c r="O49" s="247"/>
      <c r="P49" s="247"/>
      <c r="Q49" s="247"/>
      <c r="R49" s="247"/>
      <c r="S49" s="247"/>
      <c r="T49" s="247"/>
      <c r="U49" s="247"/>
      <c r="V49" s="247"/>
      <c r="W49" s="247"/>
      <c r="X49" s="247"/>
      <c r="Y49" s="246"/>
      <c r="Z49" s="247"/>
      <c r="AA49" s="247"/>
      <c r="AB49" s="247"/>
      <c r="AC49" s="247"/>
      <c r="AD49" s="247"/>
      <c r="AE49" s="247"/>
      <c r="AF49" s="247"/>
      <c r="AG49" s="111"/>
      <c r="AH49" s="111"/>
    </row>
    <row r="50" spans="1:34">
      <c r="A50" s="111"/>
      <c r="B50" s="245"/>
      <c r="C50" s="245"/>
      <c r="D50" s="245"/>
      <c r="E50" s="246"/>
      <c r="F50" s="247"/>
      <c r="G50" s="247"/>
      <c r="H50" s="247"/>
      <c r="I50" s="247"/>
      <c r="J50" s="247"/>
      <c r="K50" s="247"/>
      <c r="L50" s="247"/>
      <c r="M50" s="247"/>
      <c r="N50" s="247"/>
      <c r="O50" s="247"/>
      <c r="P50" s="247"/>
      <c r="Q50" s="247"/>
      <c r="R50" s="247"/>
      <c r="S50" s="247"/>
      <c r="T50" s="247"/>
      <c r="U50" s="247"/>
      <c r="V50" s="247"/>
      <c r="W50" s="247"/>
      <c r="X50" s="247"/>
      <c r="Y50" s="246"/>
      <c r="Z50" s="247"/>
      <c r="AA50" s="247"/>
      <c r="AB50" s="247"/>
      <c r="AC50" s="247"/>
      <c r="AD50" s="247"/>
      <c r="AE50" s="247"/>
      <c r="AF50" s="247"/>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
      <c r="A52" s="111"/>
      <c r="B52" s="123" t="s">
        <v>165</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43" t="s">
        <v>166</v>
      </c>
      <c r="C53" s="243"/>
      <c r="D53" s="243"/>
      <c r="E53" s="243"/>
      <c r="F53" s="243"/>
      <c r="G53" s="243"/>
      <c r="H53" s="244"/>
      <c r="I53" s="244"/>
      <c r="J53" s="244"/>
      <c r="K53" s="244"/>
      <c r="L53" s="244"/>
      <c r="M53" s="244"/>
      <c r="N53" s="244"/>
      <c r="O53" s="244"/>
      <c r="P53" s="244"/>
      <c r="Q53" s="244"/>
      <c r="R53" s="244"/>
      <c r="S53" s="244"/>
      <c r="T53" s="244"/>
      <c r="U53" s="244"/>
      <c r="V53" s="244"/>
      <c r="W53" s="244"/>
      <c r="X53" s="244"/>
      <c r="Y53" s="244"/>
      <c r="Z53" s="244"/>
      <c r="AA53" s="244"/>
      <c r="AB53" s="244"/>
      <c r="AC53" s="244"/>
      <c r="AD53" s="244"/>
      <c r="AE53" s="244"/>
      <c r="AF53" s="244"/>
      <c r="AG53" s="111"/>
      <c r="AH53" s="111"/>
    </row>
    <row r="54" spans="1:34" ht="27.75" customHeight="1">
      <c r="A54" s="111"/>
      <c r="B54" s="236" t="s">
        <v>167</v>
      </c>
      <c r="C54" s="237"/>
      <c r="D54" s="237"/>
      <c r="E54" s="237"/>
      <c r="F54" s="237"/>
      <c r="G54" s="238"/>
      <c r="H54" s="242" t="s">
        <v>168</v>
      </c>
      <c r="I54" s="240"/>
      <c r="J54" s="240"/>
      <c r="K54" s="240"/>
      <c r="L54" s="240"/>
      <c r="M54" s="240"/>
      <c r="N54" s="240"/>
      <c r="O54" s="240"/>
      <c r="P54" s="240"/>
      <c r="Q54" s="240"/>
      <c r="R54" s="240"/>
      <c r="S54" s="240"/>
      <c r="T54" s="240"/>
      <c r="U54" s="240"/>
      <c r="V54" s="240"/>
      <c r="W54" s="240"/>
      <c r="X54" s="240"/>
      <c r="Y54" s="240"/>
      <c r="Z54" s="240"/>
      <c r="AA54" s="240"/>
      <c r="AB54" s="240"/>
      <c r="AC54" s="240"/>
      <c r="AD54" s="240"/>
      <c r="AE54" s="240"/>
      <c r="AF54" s="241"/>
      <c r="AG54" s="111"/>
      <c r="AH54" s="111"/>
    </row>
    <row r="55" spans="1:34">
      <c r="A55" s="111"/>
      <c r="B55" s="236"/>
      <c r="C55" s="237"/>
      <c r="D55" s="237"/>
      <c r="E55" s="237"/>
      <c r="F55" s="237"/>
      <c r="G55" s="238"/>
      <c r="H55" s="239"/>
      <c r="I55" s="240"/>
      <c r="J55" s="240"/>
      <c r="K55" s="240"/>
      <c r="L55" s="240"/>
      <c r="M55" s="240"/>
      <c r="N55" s="240"/>
      <c r="O55" s="240"/>
      <c r="P55" s="240"/>
      <c r="Q55" s="240"/>
      <c r="R55" s="240"/>
      <c r="S55" s="240"/>
      <c r="T55" s="240"/>
      <c r="U55" s="240"/>
      <c r="V55" s="240"/>
      <c r="W55" s="240"/>
      <c r="X55" s="240"/>
      <c r="Y55" s="240"/>
      <c r="Z55" s="240"/>
      <c r="AA55" s="240"/>
      <c r="AB55" s="240"/>
      <c r="AC55" s="240"/>
      <c r="AD55" s="240"/>
      <c r="AE55" s="240"/>
      <c r="AF55" s="241"/>
      <c r="AG55" s="111"/>
      <c r="AH55" s="111"/>
    </row>
    <row r="56" spans="1:34">
      <c r="A56" s="111"/>
      <c r="B56" s="236"/>
      <c r="C56" s="237"/>
      <c r="D56" s="237"/>
      <c r="E56" s="237"/>
      <c r="F56" s="237"/>
      <c r="G56" s="238"/>
      <c r="H56" s="239"/>
      <c r="I56" s="240"/>
      <c r="J56" s="240"/>
      <c r="K56" s="240"/>
      <c r="L56" s="240"/>
      <c r="M56" s="240"/>
      <c r="N56" s="240"/>
      <c r="O56" s="240"/>
      <c r="P56" s="240"/>
      <c r="Q56" s="240"/>
      <c r="R56" s="240"/>
      <c r="S56" s="240"/>
      <c r="T56" s="240"/>
      <c r="U56" s="240"/>
      <c r="V56" s="240"/>
      <c r="W56" s="240"/>
      <c r="X56" s="240"/>
      <c r="Y56" s="240"/>
      <c r="Z56" s="240"/>
      <c r="AA56" s="240"/>
      <c r="AB56" s="240"/>
      <c r="AC56" s="240"/>
      <c r="AD56" s="240"/>
      <c r="AE56" s="240"/>
      <c r="AF56" s="241"/>
      <c r="AG56" s="111"/>
      <c r="AH56" s="111"/>
    </row>
    <row r="57" spans="1:34">
      <c r="A57" s="111"/>
      <c r="B57" s="236"/>
      <c r="C57" s="237"/>
      <c r="D57" s="237"/>
      <c r="E57" s="237"/>
      <c r="F57" s="237"/>
      <c r="G57" s="238"/>
      <c r="H57" s="239"/>
      <c r="I57" s="240"/>
      <c r="J57" s="240"/>
      <c r="K57" s="240"/>
      <c r="L57" s="240"/>
      <c r="M57" s="240"/>
      <c r="N57" s="240"/>
      <c r="O57" s="240"/>
      <c r="P57" s="240"/>
      <c r="Q57" s="240"/>
      <c r="R57" s="240"/>
      <c r="S57" s="240"/>
      <c r="T57" s="240"/>
      <c r="U57" s="240"/>
      <c r="V57" s="240"/>
      <c r="W57" s="240"/>
      <c r="X57" s="240"/>
      <c r="Y57" s="240"/>
      <c r="Z57" s="240"/>
      <c r="AA57" s="240"/>
      <c r="AB57" s="240"/>
      <c r="AC57" s="240"/>
      <c r="AD57" s="240"/>
      <c r="AE57" s="240"/>
      <c r="AF57" s="241"/>
      <c r="AG57" s="111"/>
      <c r="AH57" s="111"/>
    </row>
    <row r="58" spans="1:34">
      <c r="A58" s="111"/>
      <c r="B58" s="236"/>
      <c r="C58" s="237"/>
      <c r="D58" s="237"/>
      <c r="E58" s="237"/>
      <c r="F58" s="237"/>
      <c r="G58" s="238"/>
      <c r="H58" s="239"/>
      <c r="I58" s="240"/>
      <c r="J58" s="240"/>
      <c r="K58" s="240"/>
      <c r="L58" s="240"/>
      <c r="M58" s="240"/>
      <c r="N58" s="240"/>
      <c r="O58" s="240"/>
      <c r="P58" s="240"/>
      <c r="Q58" s="240"/>
      <c r="R58" s="240"/>
      <c r="S58" s="240"/>
      <c r="T58" s="240"/>
      <c r="U58" s="240"/>
      <c r="V58" s="240"/>
      <c r="W58" s="240"/>
      <c r="X58" s="240"/>
      <c r="Y58" s="240"/>
      <c r="Z58" s="240"/>
      <c r="AA58" s="240"/>
      <c r="AB58" s="240"/>
      <c r="AC58" s="240"/>
      <c r="AD58" s="240"/>
      <c r="AE58" s="240"/>
      <c r="AF58" s="241"/>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5">
      <c r="A61" s="111"/>
      <c r="B61" s="134" t="s">
        <v>169</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5">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90" customFormat="1" ht="20">
      <c r="B63" s="191" t="s">
        <v>284</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5" ht="52.5" customHeight="1">
      <c r="A65" s="111"/>
      <c r="B65" s="273" t="s">
        <v>280</v>
      </c>
      <c r="C65" s="274"/>
      <c r="D65" s="274"/>
      <c r="E65" s="274"/>
      <c r="F65" s="274"/>
      <c r="G65" s="275"/>
      <c r="H65" s="276" t="s">
        <v>275</v>
      </c>
      <c r="I65" s="277"/>
      <c r="J65" s="277"/>
      <c r="K65" s="277"/>
      <c r="L65" s="277"/>
      <c r="M65" s="277"/>
      <c r="N65" s="277"/>
      <c r="O65" s="277"/>
      <c r="P65" s="277"/>
      <c r="Q65" s="277"/>
      <c r="R65" s="277"/>
      <c r="S65" s="277"/>
      <c r="T65" s="277"/>
      <c r="U65" s="277"/>
      <c r="V65" s="277"/>
      <c r="W65" s="277"/>
      <c r="X65" s="277"/>
      <c r="Y65" s="277"/>
      <c r="Z65" s="277"/>
      <c r="AA65" s="277"/>
      <c r="AB65" s="277"/>
      <c r="AC65" s="277"/>
      <c r="AD65" s="277"/>
      <c r="AE65" s="277"/>
      <c r="AF65" s="278"/>
      <c r="AG65" s="111"/>
      <c r="AH65" s="111"/>
    </row>
    <row r="66" spans="1:35" ht="111" customHeight="1">
      <c r="A66" s="111"/>
      <c r="B66" s="273" t="s">
        <v>281</v>
      </c>
      <c r="C66" s="274"/>
      <c r="D66" s="274"/>
      <c r="E66" s="274"/>
      <c r="F66" s="274"/>
      <c r="G66" s="275"/>
      <c r="H66" s="276" t="s">
        <v>277</v>
      </c>
      <c r="I66" s="277"/>
      <c r="J66" s="277"/>
      <c r="K66" s="277"/>
      <c r="L66" s="277"/>
      <c r="M66" s="277"/>
      <c r="N66" s="277"/>
      <c r="O66" s="277"/>
      <c r="P66" s="277"/>
      <c r="Q66" s="277"/>
      <c r="R66" s="277"/>
      <c r="S66" s="277"/>
      <c r="T66" s="277"/>
      <c r="U66" s="277"/>
      <c r="V66" s="277"/>
      <c r="W66" s="277"/>
      <c r="X66" s="277"/>
      <c r="Y66" s="277"/>
      <c r="Z66" s="277"/>
      <c r="AA66" s="277"/>
      <c r="AB66" s="277"/>
      <c r="AC66" s="277"/>
      <c r="AD66" s="277"/>
      <c r="AE66" s="277"/>
      <c r="AF66" s="278"/>
      <c r="AG66" s="111"/>
      <c r="AH66" s="111"/>
    </row>
    <row r="67" spans="1:35" ht="52.5" customHeight="1">
      <c r="A67" s="111"/>
      <c r="B67" s="273" t="s">
        <v>282</v>
      </c>
      <c r="C67" s="274"/>
      <c r="D67" s="274"/>
      <c r="E67" s="274"/>
      <c r="F67" s="274"/>
      <c r="G67" s="275"/>
      <c r="H67" s="276" t="s">
        <v>285</v>
      </c>
      <c r="I67" s="277"/>
      <c r="J67" s="277"/>
      <c r="K67" s="277"/>
      <c r="L67" s="277"/>
      <c r="M67" s="277"/>
      <c r="N67" s="277"/>
      <c r="O67" s="277"/>
      <c r="P67" s="277"/>
      <c r="Q67" s="277"/>
      <c r="R67" s="277"/>
      <c r="S67" s="277"/>
      <c r="T67" s="277"/>
      <c r="U67" s="277"/>
      <c r="V67" s="277"/>
      <c r="W67" s="277"/>
      <c r="X67" s="277"/>
      <c r="Y67" s="277"/>
      <c r="Z67" s="277"/>
      <c r="AA67" s="277"/>
      <c r="AB67" s="277"/>
      <c r="AC67" s="277"/>
      <c r="AD67" s="277"/>
      <c r="AE67" s="277"/>
      <c r="AF67" s="278"/>
      <c r="AG67" s="111"/>
      <c r="AH67" s="111"/>
    </row>
    <row r="68" spans="1:35" ht="52.5" customHeight="1">
      <c r="A68" s="111"/>
      <c r="B68" s="273" t="s">
        <v>274</v>
      </c>
      <c r="C68" s="274"/>
      <c r="D68" s="274"/>
      <c r="E68" s="274"/>
      <c r="F68" s="274"/>
      <c r="G68" s="275"/>
      <c r="H68" s="276" t="s">
        <v>278</v>
      </c>
      <c r="I68" s="277"/>
      <c r="J68" s="277"/>
      <c r="K68" s="277"/>
      <c r="L68" s="277"/>
      <c r="M68" s="277"/>
      <c r="N68" s="277"/>
      <c r="O68" s="277"/>
      <c r="P68" s="277"/>
      <c r="Q68" s="277"/>
      <c r="R68" s="277"/>
      <c r="S68" s="277"/>
      <c r="T68" s="277"/>
      <c r="U68" s="277"/>
      <c r="V68" s="277"/>
      <c r="W68" s="277"/>
      <c r="X68" s="277"/>
      <c r="Y68" s="277"/>
      <c r="Z68" s="277"/>
      <c r="AA68" s="277"/>
      <c r="AB68" s="277"/>
      <c r="AC68" s="277"/>
      <c r="AD68" s="277"/>
      <c r="AE68" s="277"/>
      <c r="AF68" s="278"/>
      <c r="AG68" s="111"/>
      <c r="AH68" s="111"/>
    </row>
    <row r="69" spans="1:35" ht="81" customHeight="1">
      <c r="A69" s="111"/>
      <c r="B69" s="273" t="s">
        <v>283</v>
      </c>
      <c r="C69" s="274"/>
      <c r="D69" s="274"/>
      <c r="E69" s="274"/>
      <c r="F69" s="274"/>
      <c r="G69" s="275"/>
      <c r="H69" s="276" t="s">
        <v>286</v>
      </c>
      <c r="I69" s="277"/>
      <c r="J69" s="277"/>
      <c r="K69" s="277"/>
      <c r="L69" s="277"/>
      <c r="M69" s="277"/>
      <c r="N69" s="277"/>
      <c r="O69" s="277"/>
      <c r="P69" s="277"/>
      <c r="Q69" s="277"/>
      <c r="R69" s="277"/>
      <c r="S69" s="277"/>
      <c r="T69" s="277"/>
      <c r="U69" s="277"/>
      <c r="V69" s="277"/>
      <c r="W69" s="277"/>
      <c r="X69" s="277"/>
      <c r="Y69" s="277"/>
      <c r="Z69" s="277"/>
      <c r="AA69" s="277"/>
      <c r="AB69" s="277"/>
      <c r="AC69" s="277"/>
      <c r="AD69" s="277"/>
      <c r="AE69" s="277"/>
      <c r="AF69" s="278"/>
      <c r="AG69" s="111"/>
      <c r="AH69" s="111"/>
    </row>
    <row r="70" spans="1:35" ht="97.5" customHeight="1">
      <c r="A70" s="111"/>
      <c r="B70" s="273" t="s">
        <v>276</v>
      </c>
      <c r="C70" s="274"/>
      <c r="D70" s="274"/>
      <c r="E70" s="274"/>
      <c r="F70" s="274"/>
      <c r="G70" s="275"/>
      <c r="H70" s="276" t="s">
        <v>279</v>
      </c>
      <c r="I70" s="277"/>
      <c r="J70" s="277"/>
      <c r="K70" s="277"/>
      <c r="L70" s="277"/>
      <c r="M70" s="277"/>
      <c r="N70" s="277"/>
      <c r="O70" s="277"/>
      <c r="P70" s="277"/>
      <c r="Q70" s="277"/>
      <c r="R70" s="277"/>
      <c r="S70" s="277"/>
      <c r="T70" s="277"/>
      <c r="U70" s="277"/>
      <c r="V70" s="277"/>
      <c r="W70" s="277"/>
      <c r="X70" s="277"/>
      <c r="Y70" s="277"/>
      <c r="Z70" s="277"/>
      <c r="AA70" s="277"/>
      <c r="AB70" s="277"/>
      <c r="AC70" s="277"/>
      <c r="AD70" s="277"/>
      <c r="AE70" s="277"/>
      <c r="AF70" s="278"/>
      <c r="AG70" s="111"/>
      <c r="AH70" s="111"/>
    </row>
    <row r="71" spans="1:35">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5">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5">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5" ht="25">
      <c r="A74" s="111"/>
      <c r="B74" s="134" t="s">
        <v>170</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5">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5">
      <c r="A76" s="111"/>
      <c r="B76" s="138" t="s">
        <v>171</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5">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row>
    <row r="78" spans="1:35" ht="18.5">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row>
    <row r="79" spans="1:35">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227</v>
      </c>
    </row>
    <row r="80" spans="1:35">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row>
    <row r="81" spans="1:35">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row>
    <row r="82" spans="1:35" ht="18.5">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row>
    <row r="83" spans="1:35">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row>
    <row r="84" spans="1:35">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74"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activeCell="B12" sqref="B12:D12"/>
    </sheetView>
  </sheetViews>
  <sheetFormatPr defaultColWidth="9.1796875" defaultRowHeight="12.5"/>
  <cols>
    <col min="1" max="1" width="3.7265625" style="1" customWidth="1"/>
    <col min="2" max="2" width="19.453125" style="1" customWidth="1"/>
    <col min="3" max="3" width="100.7265625" style="1" customWidth="1"/>
    <col min="4" max="16384" width="9.1796875" style="1"/>
  </cols>
  <sheetData>
    <row r="1" spans="1:8" ht="18">
      <c r="A1" s="281" t="s">
        <v>15</v>
      </c>
      <c r="B1" s="282"/>
      <c r="C1" s="282"/>
      <c r="D1" s="283"/>
    </row>
    <row r="3" spans="1:8" ht="13">
      <c r="B3" s="284" t="s">
        <v>16</v>
      </c>
      <c r="C3" s="285"/>
      <c r="D3" s="286"/>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ht="13">
      <c r="B12" s="284" t="s">
        <v>185</v>
      </c>
      <c r="C12" s="285"/>
      <c r="D12" s="286"/>
    </row>
    <row r="13" spans="1:8" ht="24.75" customHeight="1">
      <c r="B13" s="140" t="s">
        <v>180</v>
      </c>
      <c r="C13" s="287" t="s">
        <v>182</v>
      </c>
      <c r="D13" s="288"/>
    </row>
    <row r="14" spans="1:8" ht="25.5" customHeight="1">
      <c r="B14" s="140" t="s">
        <v>107</v>
      </c>
      <c r="C14" s="287" t="s">
        <v>183</v>
      </c>
      <c r="D14" s="288"/>
      <c r="E14" s="95"/>
      <c r="F14" s="95"/>
      <c r="G14" s="95"/>
      <c r="H14" s="95"/>
    </row>
    <row r="15" spans="1:8" ht="49.5" customHeight="1">
      <c r="B15" s="140" t="s">
        <v>181</v>
      </c>
      <c r="C15" s="287" t="s">
        <v>184</v>
      </c>
      <c r="D15" s="288"/>
      <c r="F15" s="99" t="s">
        <v>136</v>
      </c>
    </row>
    <row r="17" spans="2:6" ht="13">
      <c r="B17" s="284" t="s">
        <v>13</v>
      </c>
      <c r="C17" s="285"/>
      <c r="D17" s="286"/>
    </row>
    <row r="18" spans="2:6">
      <c r="B18" s="2"/>
      <c r="C18" s="3"/>
      <c r="D18" s="4"/>
      <c r="F18" s="99" t="s">
        <v>133</v>
      </c>
    </row>
    <row r="19" spans="2:6" s="96" customFormat="1" ht="37.5">
      <c r="B19" s="279" t="s">
        <v>186</v>
      </c>
      <c r="C19" s="141" t="s">
        <v>108</v>
      </c>
      <c r="D19" s="97"/>
      <c r="F19" s="100" t="s">
        <v>134</v>
      </c>
    </row>
    <row r="20" spans="2:6">
      <c r="B20" s="279"/>
      <c r="C20" s="142"/>
      <c r="D20" s="4"/>
      <c r="F20" s="99" t="s">
        <v>135</v>
      </c>
    </row>
    <row r="21" spans="2:6" ht="25">
      <c r="B21" s="279"/>
      <c r="C21" s="143" t="s">
        <v>109</v>
      </c>
      <c r="D21" s="4"/>
    </row>
    <row r="22" spans="2:6" ht="25">
      <c r="B22" s="279"/>
      <c r="C22" s="143" t="s">
        <v>0</v>
      </c>
      <c r="D22" s="4"/>
    </row>
    <row r="23" spans="2:6">
      <c r="B23" s="279"/>
      <c r="C23" s="143" t="s">
        <v>1</v>
      </c>
      <c r="D23" s="4"/>
    </row>
    <row r="24" spans="2:6">
      <c r="B24" s="2"/>
      <c r="C24" s="27"/>
      <c r="D24" s="4"/>
    </row>
    <row r="25" spans="2:6">
      <c r="B25" s="280" t="s">
        <v>187</v>
      </c>
      <c r="C25" s="144" t="s">
        <v>57</v>
      </c>
      <c r="D25" s="4"/>
    </row>
    <row r="26" spans="2:6" ht="25">
      <c r="B26" s="280"/>
      <c r="C26" s="145" t="s">
        <v>2</v>
      </c>
      <c r="D26" s="4"/>
    </row>
    <row r="27" spans="2:6">
      <c r="B27" s="280"/>
      <c r="C27" s="144" t="s">
        <v>131</v>
      </c>
      <c r="D27" s="4"/>
    </row>
    <row r="28" spans="2:6">
      <c r="B28" s="2"/>
      <c r="C28" s="27"/>
      <c r="D28" s="4"/>
    </row>
    <row r="29" spans="2:6">
      <c r="B29" s="5"/>
      <c r="C29" s="6"/>
      <c r="D29" s="7"/>
    </row>
    <row r="30" spans="2:6">
      <c r="B30" s="3"/>
      <c r="C30" s="3"/>
      <c r="D30" s="3"/>
    </row>
    <row r="32" spans="2:6" ht="13">
      <c r="B32" s="15" t="s">
        <v>52</v>
      </c>
    </row>
    <row r="33" spans="2:4">
      <c r="B33" s="8"/>
      <c r="C33" s="9"/>
      <c r="D33" s="10"/>
    </row>
    <row r="34" spans="2:4" ht="18">
      <c r="B34" s="37" t="s">
        <v>55</v>
      </c>
      <c r="C34" s="3"/>
      <c r="D34" s="4"/>
    </row>
    <row r="35" spans="2:4" ht="25">
      <c r="B35" s="2"/>
      <c r="C35" s="31" t="s">
        <v>53</v>
      </c>
      <c r="D35" s="4"/>
    </row>
    <row r="36" spans="2:4">
      <c r="B36" s="5"/>
      <c r="C36" s="76"/>
      <c r="D36" s="7"/>
    </row>
    <row r="37" spans="2:4">
      <c r="B37" s="2"/>
      <c r="C37" s="31"/>
      <c r="D37" s="4"/>
    </row>
    <row r="38" spans="2:4" ht="18">
      <c r="B38" s="37" t="s">
        <v>89</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6" t="s">
        <v>438</v>
      </c>
      <c r="C50" s="197" t="s">
        <v>439</v>
      </c>
      <c r="D50" s="4"/>
    </row>
    <row r="51" spans="2:4">
      <c r="B51" s="5"/>
      <c r="C51" s="43"/>
      <c r="D51" s="7"/>
    </row>
    <row r="52" spans="2:4">
      <c r="B52" s="2"/>
      <c r="C52" s="31"/>
      <c r="D52" s="4"/>
    </row>
    <row r="53" spans="2:4" ht="18">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8">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ht="13">
      <c r="B122" s="15" t="s">
        <v>110</v>
      </c>
    </row>
    <row r="123" spans="2:4" ht="37.5">
      <c r="B123" s="8"/>
      <c r="C123" s="98" t="s">
        <v>112</v>
      </c>
      <c r="D123" s="10"/>
    </row>
    <row r="124" spans="2:4">
      <c r="B124" s="146" t="s">
        <v>188</v>
      </c>
      <c r="C124" s="1" t="s">
        <v>111</v>
      </c>
      <c r="D124" s="4"/>
    </row>
    <row r="125" spans="2:4">
      <c r="B125" s="146" t="s">
        <v>188</v>
      </c>
      <c r="C125" s="31" t="s">
        <v>115</v>
      </c>
      <c r="D125" s="4"/>
    </row>
    <row r="126" spans="2:4">
      <c r="B126" s="146" t="s">
        <v>188</v>
      </c>
      <c r="C126" s="27" t="s">
        <v>116</v>
      </c>
      <c r="D126" s="4"/>
    </row>
    <row r="127" spans="2:4">
      <c r="B127" s="146" t="s">
        <v>188</v>
      </c>
      <c r="C127" s="27" t="s">
        <v>117</v>
      </c>
      <c r="D127" s="4"/>
    </row>
    <row r="128" spans="2:4">
      <c r="B128" s="146" t="s">
        <v>188</v>
      </c>
      <c r="C128" s="27" t="s">
        <v>118</v>
      </c>
      <c r="D128" s="4"/>
    </row>
    <row r="129" spans="2:4">
      <c r="B129" s="146" t="s">
        <v>188</v>
      </c>
      <c r="C129" s="27" t="s">
        <v>122</v>
      </c>
      <c r="D129" s="4"/>
    </row>
    <row r="130" spans="2:4">
      <c r="B130" s="146" t="s">
        <v>188</v>
      </c>
      <c r="C130" s="27" t="s">
        <v>123</v>
      </c>
      <c r="D130" s="4"/>
    </row>
    <row r="131" spans="2:4">
      <c r="B131" s="146" t="s">
        <v>188</v>
      </c>
      <c r="C131" s="31" t="s">
        <v>125</v>
      </c>
      <c r="D131" s="4"/>
    </row>
    <row r="132" spans="2:4">
      <c r="B132" s="146" t="s">
        <v>188</v>
      </c>
      <c r="C132" s="31" t="s">
        <v>126</v>
      </c>
      <c r="D132" s="4"/>
    </row>
    <row r="133" spans="2:4">
      <c r="B133" s="146" t="s">
        <v>188</v>
      </c>
      <c r="C133" s="1" t="s">
        <v>124</v>
      </c>
      <c r="D133" s="4"/>
    </row>
    <row r="134" spans="2:4">
      <c r="B134" s="146" t="s">
        <v>188</v>
      </c>
      <c r="C134" s="27" t="s">
        <v>119</v>
      </c>
      <c r="D134" s="4"/>
    </row>
    <row r="135" spans="2:4">
      <c r="B135" s="146" t="s">
        <v>188</v>
      </c>
      <c r="C135" s="27" t="s">
        <v>114</v>
      </c>
      <c r="D135" s="4"/>
    </row>
    <row r="136" spans="2:4">
      <c r="B136" s="146" t="s">
        <v>188</v>
      </c>
      <c r="C136" s="31" t="s">
        <v>120</v>
      </c>
      <c r="D136" s="4"/>
    </row>
    <row r="137" spans="2:4">
      <c r="B137" s="146" t="s">
        <v>188</v>
      </c>
      <c r="C137" s="31" t="s">
        <v>128</v>
      </c>
      <c r="D137" s="4"/>
    </row>
    <row r="138" spans="2:4">
      <c r="B138" s="146" t="s">
        <v>188</v>
      </c>
      <c r="C138" s="31" t="s">
        <v>113</v>
      </c>
      <c r="D138" s="4"/>
    </row>
    <row r="139" spans="2:4">
      <c r="B139" s="146" t="s">
        <v>188</v>
      </c>
      <c r="C139" s="31" t="s">
        <v>127</v>
      </c>
      <c r="D139" s="4"/>
    </row>
    <row r="140" spans="2:4">
      <c r="B140" s="147" t="s">
        <v>188</v>
      </c>
      <c r="C140" s="6" t="s">
        <v>121</v>
      </c>
      <c r="D140" s="7"/>
    </row>
  </sheetData>
  <mergeCells count="9">
    <mergeCell ref="B19:B23"/>
    <mergeCell ref="B25:B27"/>
    <mergeCell ref="A1:D1"/>
    <mergeCell ref="B17:D17"/>
    <mergeCell ref="B3:D3"/>
    <mergeCell ref="B12:D12"/>
    <mergeCell ref="C14:D14"/>
    <mergeCell ref="C15:D15"/>
    <mergeCell ref="C13:D13"/>
  </mergeCells>
  <phoneticPr fontId="21"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6527800</xdr:colOff>
                    <xdr:row>117</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5" activePane="bottomLeft" state="frozen"/>
      <selection pane="bottomLeft" activeCell="X24" sqref="X24:X27"/>
    </sheetView>
  </sheetViews>
  <sheetFormatPr defaultColWidth="9.1796875" defaultRowHeight="12.5" outlineLevelCol="1"/>
  <cols>
    <col min="1" max="1" width="9.1796875" style="16" collapsed="1"/>
    <col min="2" max="2" width="9.1796875" style="16" hidden="1" customWidth="1" outlineLevel="1"/>
    <col min="3" max="3" width="24" style="16" bestFit="1" customWidth="1"/>
    <col min="4" max="4" width="14.81640625" style="16" customWidth="1"/>
    <col min="5" max="5" width="10.1796875" style="16" customWidth="1"/>
    <col min="6" max="6" width="11.453125" style="16" customWidth="1"/>
    <col min="7" max="7" width="9.1796875" style="16" customWidth="1"/>
    <col min="8" max="8" width="10.54296875" style="16" customWidth="1"/>
    <col min="9" max="9" width="12.81640625" style="16" customWidth="1"/>
    <col min="10" max="10" width="13.54296875" style="16" customWidth="1"/>
    <col min="11" max="11" width="9.1796875" style="16" customWidth="1"/>
    <col min="12" max="12" width="12.1796875" style="16" customWidth="1"/>
    <col min="13" max="13" width="12.26953125" style="16" customWidth="1"/>
    <col min="14" max="14" width="10.54296875" style="16" customWidth="1"/>
    <col min="15" max="15" width="9.26953125" style="16" customWidth="1"/>
    <col min="16" max="16" width="10.1796875" style="16" customWidth="1"/>
    <col min="17" max="18" width="10" style="16" bestFit="1" customWidth="1"/>
    <col min="19" max="19" width="11.1796875" style="16" customWidth="1"/>
    <col min="20" max="16384" width="9.179687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62.5">
      <c r="B24" s="86" t="s">
        <v>90</v>
      </c>
      <c r="C24" s="33" t="s">
        <v>51</v>
      </c>
      <c r="D24" s="55" t="s">
        <v>69</v>
      </c>
      <c r="E24" s="86" t="s">
        <v>172</v>
      </c>
      <c r="F24" s="86" t="s">
        <v>174</v>
      </c>
      <c r="G24" s="86" t="s">
        <v>229</v>
      </c>
      <c r="H24" s="86" t="s">
        <v>175</v>
      </c>
      <c r="I24" s="86" t="s">
        <v>292</v>
      </c>
      <c r="J24" s="86" t="s">
        <v>173</v>
      </c>
      <c r="K24" s="86" t="s">
        <v>233</v>
      </c>
      <c r="L24" s="86" t="s">
        <v>293</v>
      </c>
      <c r="M24" s="86" t="s">
        <v>294</v>
      </c>
      <c r="N24" s="86" t="s">
        <v>295</v>
      </c>
      <c r="O24" s="86" t="s">
        <v>296</v>
      </c>
      <c r="P24" s="86" t="s">
        <v>302</v>
      </c>
      <c r="Q24" s="86" t="s">
        <v>176</v>
      </c>
      <c r="R24" s="86" t="s">
        <v>297</v>
      </c>
      <c r="S24" s="86" t="s">
        <v>298</v>
      </c>
      <c r="T24" s="86" t="s">
        <v>299</v>
      </c>
      <c r="U24" s="86" t="s">
        <v>300</v>
      </c>
      <c r="V24" s="86" t="s">
        <v>301</v>
      </c>
      <c r="W24" s="86" t="s">
        <v>177</v>
      </c>
      <c r="X24" s="86" t="s">
        <v>303</v>
      </c>
      <c r="Y24" s="86" t="s">
        <v>173</v>
      </c>
      <c r="Z24" s="86" t="s">
        <v>233</v>
      </c>
    </row>
    <row r="25" spans="2:52" ht="14.5">
      <c r="B25" s="88"/>
      <c r="C25" s="40" t="s">
        <v>77</v>
      </c>
      <c r="D25" s="85">
        <f>SUM(E25:AA25)</f>
        <v>1</v>
      </c>
      <c r="E25" s="88">
        <v>0</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5">
      <c r="B26" s="89"/>
      <c r="C26" s="41" t="s">
        <v>78</v>
      </c>
      <c r="D26" s="85">
        <f>SUM(E26:AA26)</f>
        <v>0</v>
      </c>
      <c r="E26" s="89">
        <v>0</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5">
      <c r="B27" s="87">
        <f>B25+B26</f>
        <v>0</v>
      </c>
      <c r="C27" s="45" t="s">
        <v>22</v>
      </c>
      <c r="D27" s="87">
        <f t="shared" ref="D27" si="0">D25+D26</f>
        <v>1</v>
      </c>
      <c r="E27" s="87">
        <f t="shared" ref="E27:X27" si="1">E25+E26</f>
        <v>0</v>
      </c>
      <c r="F27" s="87">
        <f t="shared" si="1"/>
        <v>0</v>
      </c>
      <c r="G27" s="87">
        <f t="shared" si="1"/>
        <v>0</v>
      </c>
      <c r="H27" s="87">
        <f t="shared" si="1"/>
        <v>0</v>
      </c>
      <c r="I27" s="87">
        <f t="shared" si="1"/>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91</v>
      </c>
      <c r="C31" s="33" t="s">
        <v>47</v>
      </c>
      <c r="D31" s="55" t="s">
        <v>69</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5">
      <c r="B32" s="88"/>
      <c r="C32" s="41" t="s">
        <v>19</v>
      </c>
      <c r="D32" s="91">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5">
      <c r="B33" s="89"/>
      <c r="C33" s="41" t="s">
        <v>44</v>
      </c>
      <c r="D33" s="91">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5">
      <c r="B34" s="89"/>
      <c r="C34" s="41" t="s">
        <v>20</v>
      </c>
      <c r="D34" s="91">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5">
      <c r="B35" s="89"/>
      <c r="C35" s="41" t="s">
        <v>21</v>
      </c>
      <c r="D35" s="91">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5">
      <c r="B36" s="89"/>
      <c r="C36" s="41" t="s">
        <v>79</v>
      </c>
      <c r="D36" s="91">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5">
      <c r="B37" s="90">
        <f>SUM(B32:B36)</f>
        <v>0</v>
      </c>
      <c r="C37" s="45" t="s">
        <v>22</v>
      </c>
      <c r="D37" s="90">
        <f>SUM(D32:D36)</f>
        <v>0</v>
      </c>
    </row>
    <row r="38" spans="2:52">
      <c r="H38" s="38"/>
    </row>
    <row r="39" spans="2:52">
      <c r="H39" s="38"/>
    </row>
    <row r="40" spans="2:52" s="84" customFormat="1" ht="62.5">
      <c r="B40" s="86" t="s">
        <v>91</v>
      </c>
      <c r="C40" s="33" t="s">
        <v>68</v>
      </c>
      <c r="D40" s="55" t="s">
        <v>69</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5">
      <c r="B41" s="89"/>
      <c r="C41" s="41" t="s">
        <v>76</v>
      </c>
      <c r="D41" s="91">
        <f>SUM(E41:AA41)</f>
        <v>0</v>
      </c>
    </row>
    <row r="42" spans="2:52" ht="14.5">
      <c r="B42" s="89"/>
      <c r="C42" s="41" t="s">
        <v>75</v>
      </c>
      <c r="D42" s="91">
        <f>SUM(E42:AA42)</f>
        <v>0</v>
      </c>
    </row>
    <row r="43" spans="2:52" s="17" customFormat="1" ht="14.5">
      <c r="B43" s="89"/>
      <c r="C43" s="41" t="s">
        <v>102</v>
      </c>
      <c r="D43" s="91">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5">
      <c r="B44" s="90">
        <f>SUM(B41:B43)</f>
        <v>0</v>
      </c>
      <c r="C44" s="45" t="s">
        <v>22</v>
      </c>
      <c r="D44" s="90">
        <f>SUM(D41:D43)</f>
        <v>0</v>
      </c>
    </row>
    <row r="47" spans="2:52" ht="25">
      <c r="C47" s="92" t="s">
        <v>60</v>
      </c>
      <c r="D47" s="30" t="s">
        <v>93</v>
      </c>
      <c r="E47" s="30" t="s">
        <v>92</v>
      </c>
    </row>
    <row r="48" spans="2:52">
      <c r="C48" s="93" t="s">
        <v>94</v>
      </c>
      <c r="D48" s="93" t="s">
        <v>95</v>
      </c>
      <c r="E48" s="93" t="s">
        <v>96</v>
      </c>
    </row>
  </sheetData>
  <phoneticPr fontId="21"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
  <sheetViews>
    <sheetView showGridLines="0" zoomScaleNormal="100" workbookViewId="0">
      <selection sqref="A1:E1"/>
    </sheetView>
  </sheetViews>
  <sheetFormatPr defaultColWidth="8.81640625" defaultRowHeight="14.5" outlineLevelCol="1"/>
  <cols>
    <col min="1" max="2" width="31.54296875" style="148" customWidth="1"/>
    <col min="3" max="3" width="43.26953125" style="148" customWidth="1"/>
    <col min="4" max="4" width="13.453125" style="148" customWidth="1"/>
    <col min="5" max="5" width="18.1796875" style="148" customWidth="1"/>
    <col min="6" max="14" width="15.26953125" style="148" customWidth="1" outlineLevel="1"/>
    <col min="15" max="15" width="16.7265625" style="148" customWidth="1" outlineLevel="1"/>
    <col min="16" max="16384" width="8.81640625" style="148"/>
  </cols>
  <sheetData>
    <row r="1" spans="1:15" ht="21" customHeight="1">
      <c r="A1" s="289" t="s">
        <v>195</v>
      </c>
      <c r="B1" s="290"/>
      <c r="C1" s="290"/>
      <c r="D1" s="290"/>
      <c r="E1" s="291"/>
      <c r="F1" s="292" t="s">
        <v>210</v>
      </c>
      <c r="G1" s="293"/>
      <c r="H1" s="293"/>
      <c r="I1" s="293"/>
      <c r="J1" s="293"/>
      <c r="K1" s="293"/>
      <c r="L1" s="293"/>
      <c r="M1" s="293"/>
      <c r="N1" s="293"/>
      <c r="O1" s="293"/>
    </row>
    <row r="2" spans="1:15" ht="18.5">
      <c r="A2" s="158" t="s">
        <v>198</v>
      </c>
      <c r="B2" s="158" t="s">
        <v>194</v>
      </c>
      <c r="C2" s="158" t="s">
        <v>196</v>
      </c>
      <c r="D2" s="158" t="s">
        <v>197</v>
      </c>
      <c r="E2" s="158" t="s">
        <v>199</v>
      </c>
      <c r="F2" s="159" t="s">
        <v>200</v>
      </c>
      <c r="G2" s="159" t="s">
        <v>201</v>
      </c>
      <c r="H2" s="159" t="s">
        <v>202</v>
      </c>
      <c r="I2" s="159" t="s">
        <v>203</v>
      </c>
      <c r="J2" s="159" t="s">
        <v>204</v>
      </c>
      <c r="K2" s="159" t="s">
        <v>205</v>
      </c>
      <c r="L2" s="159" t="s">
        <v>206</v>
      </c>
      <c r="M2" s="159" t="s">
        <v>207</v>
      </c>
      <c r="N2" s="159" t="s">
        <v>208</v>
      </c>
      <c r="O2" s="159" t="s">
        <v>209</v>
      </c>
    </row>
    <row r="3" spans="1:15">
      <c r="E3" s="157">
        <f>SUM(F3:O3)</f>
        <v>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A9" sqref="A9"/>
    </sheetView>
  </sheetViews>
  <sheetFormatPr defaultRowHeight="12.5" outlineLevelRow="1" outlineLevelCol="1"/>
  <cols>
    <col min="1" max="1" width="5.26953125" style="73" customWidth="1"/>
    <col min="2" max="2" width="9.81640625" style="48" customWidth="1"/>
    <col min="3" max="3" width="12.1796875" style="48" customWidth="1"/>
    <col min="4" max="4" width="42.1796875" style="49" customWidth="1"/>
    <col min="5" max="5" width="11" style="69" customWidth="1" outlineLevel="1"/>
    <col min="6" max="6" width="14.54296875" style="70" customWidth="1" outlineLevel="1"/>
    <col min="7" max="7" width="33.7265625" style="49" customWidth="1"/>
    <col min="8" max="9" width="11.26953125" style="48" customWidth="1" outlineLevel="1"/>
    <col min="10" max="10" width="18.26953125" style="48" customWidth="1" outlineLevel="1"/>
    <col min="11" max="11" width="12.54296875" style="50" customWidth="1"/>
    <col min="12" max="12" width="13.7265625" style="51" customWidth="1"/>
    <col min="13" max="13" width="13.1796875" style="51" customWidth="1"/>
    <col min="14" max="14" width="12" style="39" bestFit="1" customWidth="1"/>
    <col min="15" max="15" width="20.81640625" style="39" bestFit="1" customWidth="1"/>
    <col min="16" max="16" width="13.26953125" style="39" bestFit="1" customWidth="1"/>
    <col min="17" max="22" width="11.453125" style="64" customWidth="1"/>
    <col min="23" max="23" width="11.81640625" style="64" bestFit="1" customWidth="1"/>
    <col min="24" max="24" width="15.54296875" bestFit="1" customWidth="1"/>
    <col min="25" max="25" width="15" bestFit="1" customWidth="1"/>
    <col min="26" max="26" width="9.7265625" bestFit="1" customWidth="1"/>
  </cols>
  <sheetData>
    <row r="1" spans="1:46" s="24" customFormat="1" ht="50"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0</v>
      </c>
      <c r="P2" s="60"/>
      <c r="Q2" s="54">
        <f>COUNTIF($L5:$L500,"=" &amp; Q1)</f>
        <v>0</v>
      </c>
      <c r="R2" s="54">
        <f>COUNTIF($L5:$L500,"=" &amp; R1)</f>
        <v>0</v>
      </c>
      <c r="S2" s="54">
        <f>COUNTIF($L5:$L500,"=" &amp; S1)</f>
        <v>0</v>
      </c>
      <c r="T2" s="54">
        <f>COUNTIF($L5:$L500,"=" &amp; T1)</f>
        <v>0</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0</v>
      </c>
      <c r="AA2" s="54">
        <f>IF(AND(Issue_to_treat=0,Issues_to_approve=0,Issues_postponed=0),1,0)</f>
        <v>1</v>
      </c>
      <c r="AB2" s="34"/>
      <c r="AC2" s="34"/>
      <c r="AD2" s="34"/>
      <c r="AE2" s="34"/>
      <c r="AF2" s="34"/>
      <c r="AH2" s="54">
        <f>COUNTIF($M5:$M500,"=" &amp; AH1)</f>
        <v>0</v>
      </c>
      <c r="AI2" s="54">
        <f>COUNTIF($M5:$M500,"=" &amp; AI1)</f>
        <v>0</v>
      </c>
      <c r="AJ2" s="54">
        <f>COUNTIF($M5:$M500,"=" &amp; AJ1)</f>
        <v>0</v>
      </c>
      <c r="AM2" s="34"/>
      <c r="AN2" s="34"/>
      <c r="AO2" s="34"/>
      <c r="AP2" s="36"/>
      <c r="AQ2" s="36"/>
      <c r="AR2" s="34"/>
      <c r="AS2" s="36"/>
      <c r="AT2" s="36"/>
    </row>
    <row r="3" spans="1:46" s="53" customFormat="1" ht="25.5" customHeight="1" outlineLevel="1">
      <c r="A3" s="295" t="str">
        <f>IF(Issue_to_treat=1,NbOfNotTreatedIssues+NbOfRejectedIssues&amp;" issue(s) to treat",IF(Issues_to_approve=1,NbOfNotApprovedIssues&amp;" issue(s) to approve",IF(Issues_postponed=1,NbOfNotApprovedAndPostponedIssues&amp;" issue(s) postponed","Status OK")))</f>
        <v>Status OK</v>
      </c>
      <c r="B3" s="295"/>
      <c r="C3" s="296"/>
      <c r="D3" s="67" t="s">
        <v>64</v>
      </c>
      <c r="E3" s="294" t="s">
        <v>82</v>
      </c>
      <c r="F3" s="294"/>
      <c r="G3" s="294"/>
      <c r="H3" s="52"/>
      <c r="I3" s="52"/>
      <c r="J3" s="52"/>
      <c r="K3" s="52"/>
      <c r="L3" s="52"/>
      <c r="M3" s="52"/>
      <c r="N3" s="59"/>
      <c r="O3" s="59"/>
      <c r="P3" s="59"/>
      <c r="Q3" s="63"/>
      <c r="R3" s="63"/>
      <c r="S3" s="63"/>
      <c r="T3" s="63"/>
      <c r="U3" s="63"/>
      <c r="V3" s="63"/>
      <c r="W3" s="63"/>
      <c r="X3" s="25"/>
      <c r="Y3" s="25"/>
      <c r="Z3" s="25"/>
      <c r="AA3" s="25"/>
      <c r="AB3" s="25"/>
    </row>
    <row r="4" spans="1:46" s="156" customFormat="1" ht="31">
      <c r="A4" s="149" t="s">
        <v>30</v>
      </c>
      <c r="B4" s="149" t="s">
        <v>9</v>
      </c>
      <c r="C4" s="149" t="s">
        <v>32</v>
      </c>
      <c r="D4" s="149" t="s">
        <v>178</v>
      </c>
      <c r="E4" s="149" t="s">
        <v>70</v>
      </c>
      <c r="F4" s="149" t="s">
        <v>31</v>
      </c>
      <c r="G4" s="150" t="s">
        <v>46</v>
      </c>
      <c r="H4" s="151" t="s">
        <v>48</v>
      </c>
      <c r="I4" s="151" t="s">
        <v>106</v>
      </c>
      <c r="J4" s="151" t="s">
        <v>33</v>
      </c>
      <c r="K4" s="152" t="s">
        <v>49</v>
      </c>
      <c r="L4" s="151" t="s">
        <v>47</v>
      </c>
      <c r="M4" s="149" t="s">
        <v>179</v>
      </c>
      <c r="N4" s="153"/>
      <c r="O4" s="153"/>
      <c r="P4" s="153"/>
      <c r="Q4" s="154"/>
      <c r="R4" s="154"/>
      <c r="S4" s="154"/>
      <c r="T4" s="154"/>
      <c r="U4" s="154"/>
      <c r="V4" s="154"/>
      <c r="W4" s="154"/>
      <c r="X4" s="155"/>
      <c r="Y4" s="155"/>
      <c r="Z4" s="155"/>
      <c r="AA4" s="155"/>
      <c r="AB4" s="155"/>
    </row>
    <row r="5" spans="1:46" s="25" customFormat="1">
      <c r="A5" s="74">
        <v>1</v>
      </c>
      <c r="B5" s="28"/>
      <c r="C5" s="28"/>
      <c r="D5" s="29"/>
      <c r="E5" s="71"/>
      <c r="F5" s="72"/>
      <c r="G5" s="18"/>
      <c r="H5" s="22"/>
      <c r="I5" s="22"/>
      <c r="J5" s="22"/>
      <c r="K5" s="23"/>
      <c r="L5" s="22"/>
      <c r="M5" s="82"/>
      <c r="N5" s="59"/>
      <c r="O5" s="59"/>
      <c r="P5" s="59"/>
      <c r="Q5" s="63"/>
      <c r="R5" s="63"/>
      <c r="S5" s="63"/>
      <c r="T5" s="63"/>
      <c r="U5" s="63"/>
      <c r="V5" s="63"/>
      <c r="W5" s="63"/>
    </row>
    <row r="6" spans="1:46" s="25" customFormat="1">
      <c r="A6" s="75">
        <v>2</v>
      </c>
      <c r="B6" s="28"/>
      <c r="C6" s="28"/>
      <c r="D6" s="29"/>
      <c r="E6" s="71"/>
      <c r="F6" s="72"/>
      <c r="G6" s="18"/>
      <c r="H6" s="22"/>
      <c r="I6" s="22"/>
      <c r="J6" s="82"/>
      <c r="K6" s="23"/>
      <c r="L6" s="22"/>
      <c r="M6" s="22"/>
      <c r="N6" s="59"/>
      <c r="O6" s="59"/>
      <c r="P6" s="59"/>
      <c r="Q6" s="63"/>
      <c r="R6" s="63"/>
      <c r="S6" s="63"/>
      <c r="T6" s="63"/>
      <c r="U6" s="63"/>
      <c r="V6" s="63"/>
      <c r="W6" s="63"/>
    </row>
    <row r="7" spans="1:46" s="25" customFormat="1">
      <c r="A7" s="75">
        <v>3</v>
      </c>
      <c r="B7" s="28"/>
      <c r="C7" s="28"/>
      <c r="D7" s="29"/>
      <c r="E7" s="71"/>
      <c r="F7" s="72"/>
      <c r="G7" s="18"/>
      <c r="H7" s="22"/>
      <c r="I7" s="22"/>
      <c r="J7" s="82"/>
      <c r="K7" s="23"/>
      <c r="L7" s="22"/>
      <c r="M7" s="22"/>
      <c r="N7" s="59"/>
      <c r="O7" s="59"/>
      <c r="P7" s="59"/>
      <c r="Q7" s="63"/>
      <c r="R7" s="63"/>
      <c r="S7" s="63"/>
      <c r="T7" s="63"/>
      <c r="U7" s="63"/>
      <c r="V7" s="63"/>
      <c r="W7" s="63"/>
    </row>
    <row r="8" spans="1:46" s="25" customFormat="1">
      <c r="A8" s="75">
        <v>4</v>
      </c>
      <c r="B8" s="28"/>
      <c r="C8" s="28"/>
      <c r="D8" s="29"/>
      <c r="E8" s="71"/>
      <c r="F8" s="72"/>
      <c r="G8" s="18"/>
      <c r="H8" s="22"/>
      <c r="I8" s="22"/>
      <c r="J8" s="82"/>
      <c r="K8" s="23"/>
      <c r="L8" s="22"/>
      <c r="M8" s="22"/>
      <c r="N8" s="59"/>
      <c r="O8" s="59"/>
      <c r="P8" s="59"/>
      <c r="Q8" s="63"/>
      <c r="R8" s="63"/>
      <c r="S8" s="63"/>
      <c r="T8" s="63"/>
      <c r="U8" s="63"/>
      <c r="V8" s="63"/>
      <c r="W8" s="63"/>
    </row>
    <row r="9" spans="1:46" s="25" customFormat="1">
      <c r="A9" s="75">
        <v>5</v>
      </c>
      <c r="B9" s="28"/>
      <c r="C9" s="28"/>
      <c r="D9" s="29"/>
      <c r="E9" s="71"/>
      <c r="F9" s="72"/>
      <c r="G9" s="18"/>
      <c r="H9" s="22"/>
      <c r="I9" s="22"/>
      <c r="J9" s="82"/>
      <c r="K9" s="23"/>
      <c r="L9" s="22"/>
      <c r="M9" s="22"/>
      <c r="N9" s="59"/>
      <c r="O9" s="59"/>
      <c r="P9" s="59"/>
      <c r="Q9" s="63"/>
      <c r="R9" s="63"/>
      <c r="S9" s="63"/>
      <c r="T9" s="63"/>
      <c r="U9" s="63"/>
      <c r="V9" s="63"/>
      <c r="W9" s="63"/>
    </row>
    <row r="10" spans="1:46" s="25" customFormat="1">
      <c r="A10" s="75">
        <v>6</v>
      </c>
      <c r="B10" s="28"/>
      <c r="C10" s="42"/>
      <c r="D10" s="29"/>
      <c r="E10" s="71"/>
      <c r="F10" s="72"/>
      <c r="G10" s="18"/>
      <c r="H10" s="22"/>
      <c r="I10" s="22"/>
      <c r="J10" s="22"/>
      <c r="K10" s="23"/>
      <c r="L10" s="22"/>
      <c r="M10" s="22"/>
      <c r="N10" s="59"/>
      <c r="O10" s="59"/>
      <c r="P10" s="59"/>
      <c r="Q10" s="63"/>
      <c r="R10" s="63"/>
      <c r="S10" s="63"/>
      <c r="T10" s="63"/>
      <c r="U10" s="63"/>
      <c r="V10" s="63"/>
      <c r="W10" s="63"/>
    </row>
    <row r="11" spans="1:46" s="25" customFormat="1">
      <c r="A11" s="75">
        <v>7</v>
      </c>
      <c r="B11" s="28"/>
      <c r="C11" s="42"/>
      <c r="D11" s="29"/>
      <c r="E11" s="71"/>
      <c r="F11" s="72"/>
      <c r="G11" s="18"/>
      <c r="H11" s="22"/>
      <c r="I11" s="22"/>
      <c r="J11" s="22"/>
      <c r="K11" s="83"/>
      <c r="L11" s="22"/>
      <c r="M11" s="22"/>
      <c r="N11" s="59"/>
      <c r="O11" s="59"/>
      <c r="P11" s="59"/>
      <c r="Q11" s="63"/>
      <c r="R11" s="63"/>
      <c r="S11" s="63"/>
      <c r="T11" s="63"/>
      <c r="U11" s="63"/>
      <c r="V11" s="63"/>
      <c r="W11" s="63"/>
    </row>
    <row r="12" spans="1:46" s="25" customFormat="1">
      <c r="A12" s="75">
        <v>8</v>
      </c>
      <c r="B12" s="28"/>
      <c r="C12" s="28"/>
      <c r="D12" s="29"/>
      <c r="E12" s="71"/>
      <c r="F12" s="72"/>
      <c r="G12" s="18"/>
      <c r="H12" s="22"/>
      <c r="I12" s="22"/>
      <c r="J12" s="22"/>
      <c r="K12" s="23"/>
      <c r="L12" s="22"/>
      <c r="M12" s="22"/>
      <c r="N12" s="59"/>
      <c r="O12" s="59"/>
      <c r="P12" s="59"/>
      <c r="Q12" s="63"/>
      <c r="R12" s="63"/>
      <c r="S12" s="63"/>
      <c r="T12" s="63"/>
      <c r="U12" s="63"/>
      <c r="V12" s="63"/>
      <c r="W12" s="63"/>
    </row>
    <row r="13" spans="1:46" s="25" customFormat="1">
      <c r="A13" s="75">
        <v>9</v>
      </c>
      <c r="B13" s="28"/>
      <c r="C13" s="28"/>
      <c r="D13" s="29"/>
      <c r="E13" s="71"/>
      <c r="F13" s="72"/>
      <c r="G13" s="18"/>
      <c r="H13" s="22"/>
      <c r="I13" s="22"/>
      <c r="J13" s="22"/>
      <c r="K13" s="23"/>
      <c r="L13" s="22"/>
      <c r="M13" s="22"/>
      <c r="N13" s="59"/>
      <c r="O13" s="59"/>
      <c r="P13" s="59"/>
      <c r="Q13" s="63"/>
      <c r="R13" s="63"/>
      <c r="S13" s="63"/>
      <c r="T13" s="63"/>
      <c r="U13" s="63"/>
      <c r="V13" s="63"/>
      <c r="W13" s="63"/>
    </row>
    <row r="14" spans="1:46" s="25" customFormat="1">
      <c r="A14" s="75">
        <v>10</v>
      </c>
      <c r="B14" s="28"/>
      <c r="C14" s="28"/>
      <c r="D14" s="18"/>
      <c r="E14" s="71"/>
      <c r="F14" s="72"/>
      <c r="G14" s="18"/>
      <c r="H14" s="22"/>
      <c r="I14" s="22"/>
      <c r="J14" s="22"/>
      <c r="K14" s="23"/>
      <c r="L14" s="22"/>
      <c r="M14" s="22"/>
      <c r="N14" s="59"/>
      <c r="O14" s="59"/>
      <c r="P14" s="59"/>
      <c r="Q14" s="63"/>
      <c r="R14" s="63"/>
      <c r="S14" s="63"/>
      <c r="T14" s="63"/>
      <c r="U14" s="63"/>
      <c r="V14" s="63"/>
      <c r="W14" s="63"/>
    </row>
    <row r="15" spans="1:46" s="25" customFormat="1">
      <c r="A15" s="75">
        <v>11</v>
      </c>
      <c r="B15" s="28"/>
      <c r="C15" s="28"/>
      <c r="D15" s="18"/>
      <c r="E15" s="71"/>
      <c r="F15" s="72"/>
      <c r="G15" s="18"/>
      <c r="H15" s="22"/>
      <c r="I15" s="22"/>
      <c r="J15" s="22"/>
      <c r="K15" s="23"/>
      <c r="L15" s="22"/>
      <c r="M15" s="22"/>
      <c r="N15" s="59"/>
      <c r="O15" s="59"/>
      <c r="P15" s="59"/>
      <c r="Q15" s="63"/>
      <c r="R15" s="63"/>
      <c r="S15" s="63"/>
      <c r="T15" s="63"/>
      <c r="U15" s="63"/>
      <c r="V15" s="63"/>
      <c r="W15" s="63"/>
    </row>
    <row r="16" spans="1:46" s="25" customFormat="1">
      <c r="A16" s="75">
        <v>12</v>
      </c>
      <c r="B16" s="28"/>
      <c r="C16" s="28"/>
      <c r="D16" s="18"/>
      <c r="E16" s="71"/>
      <c r="F16" s="72"/>
      <c r="G16" s="18"/>
      <c r="H16" s="22"/>
      <c r="I16" s="22"/>
      <c r="J16" s="22"/>
      <c r="K16" s="23"/>
      <c r="L16" s="22"/>
      <c r="M16" s="22"/>
      <c r="N16" s="59"/>
      <c r="O16" s="59"/>
      <c r="P16" s="59"/>
      <c r="Q16" s="63"/>
      <c r="R16" s="63"/>
      <c r="S16" s="63"/>
      <c r="T16" s="63"/>
      <c r="U16" s="63"/>
      <c r="V16" s="63"/>
      <c r="W16" s="63"/>
    </row>
    <row r="17" spans="1:23" s="25" customFormat="1">
      <c r="A17" s="75">
        <v>13</v>
      </c>
      <c r="B17" s="28"/>
      <c r="C17" s="28"/>
      <c r="D17" s="18"/>
      <c r="E17" s="71"/>
      <c r="F17" s="72"/>
      <c r="G17" s="18"/>
      <c r="H17" s="22"/>
      <c r="I17" s="22"/>
      <c r="J17" s="22"/>
      <c r="K17" s="23"/>
      <c r="L17" s="22"/>
      <c r="M17" s="22"/>
      <c r="N17" s="59"/>
      <c r="O17" s="59"/>
      <c r="P17" s="59"/>
      <c r="Q17" s="63"/>
      <c r="R17" s="63"/>
      <c r="S17" s="63"/>
      <c r="T17" s="63"/>
      <c r="U17" s="63"/>
      <c r="V17" s="63"/>
      <c r="W17" s="63"/>
    </row>
    <row r="18" spans="1:23" s="25" customFormat="1">
      <c r="A18" s="75">
        <v>14</v>
      </c>
      <c r="B18" s="28"/>
      <c r="C18" s="28"/>
      <c r="D18" s="18"/>
      <c r="E18" s="71"/>
      <c r="F18" s="72"/>
      <c r="G18" s="18"/>
      <c r="H18" s="22"/>
      <c r="I18" s="22"/>
      <c r="J18" s="22"/>
      <c r="K18" s="23"/>
      <c r="L18" s="22"/>
      <c r="M18" s="22"/>
      <c r="N18" s="59"/>
      <c r="O18" s="59"/>
      <c r="P18" s="59"/>
      <c r="Q18" s="63"/>
      <c r="R18" s="63"/>
      <c r="S18" s="63"/>
      <c r="T18" s="63"/>
      <c r="U18" s="63"/>
      <c r="V18" s="63"/>
      <c r="W18" s="63"/>
    </row>
    <row r="19" spans="1:23" s="25" customFormat="1">
      <c r="A19" s="75">
        <v>15</v>
      </c>
      <c r="B19" s="28"/>
      <c r="C19" s="28"/>
      <c r="D19" s="18"/>
      <c r="E19" s="71"/>
      <c r="F19" s="72"/>
      <c r="G19" s="18"/>
      <c r="H19" s="22"/>
      <c r="I19" s="22"/>
      <c r="J19" s="22"/>
      <c r="K19" s="23"/>
      <c r="L19" s="22"/>
      <c r="M19" s="22"/>
      <c r="N19" s="59"/>
      <c r="O19" s="59"/>
      <c r="P19" s="59"/>
      <c r="Q19" s="63"/>
      <c r="R19" s="63"/>
      <c r="S19" s="63"/>
      <c r="T19" s="63"/>
      <c r="U19" s="63"/>
      <c r="V19" s="63"/>
      <c r="W19" s="63"/>
    </row>
    <row r="20" spans="1:23" s="25" customFormat="1">
      <c r="A20" s="75">
        <v>16</v>
      </c>
      <c r="B20" s="28"/>
      <c r="C20" s="28"/>
      <c r="D20" s="18"/>
      <c r="E20" s="71"/>
      <c r="F20" s="72"/>
      <c r="G20" s="18"/>
      <c r="H20" s="22"/>
      <c r="I20" s="22"/>
      <c r="J20" s="22"/>
      <c r="K20" s="23"/>
      <c r="L20" s="22"/>
      <c r="M20" s="22"/>
      <c r="N20" s="59"/>
      <c r="O20" s="59"/>
      <c r="P20" s="59"/>
      <c r="Q20" s="63"/>
      <c r="R20" s="63"/>
      <c r="S20" s="63"/>
      <c r="T20" s="63"/>
      <c r="U20" s="63"/>
      <c r="V20" s="63"/>
      <c r="W20" s="63"/>
    </row>
    <row r="21" spans="1:23" s="25" customFormat="1">
      <c r="A21" s="75">
        <v>17</v>
      </c>
      <c r="B21" s="28"/>
      <c r="C21" s="28"/>
      <c r="D21" s="18"/>
      <c r="E21" s="71"/>
      <c r="F21" s="72"/>
      <c r="G21" s="18"/>
      <c r="H21" s="22"/>
      <c r="I21" s="22"/>
      <c r="J21" s="22"/>
      <c r="K21" s="23"/>
      <c r="L21" s="22"/>
      <c r="M21" s="22"/>
      <c r="N21" s="59"/>
      <c r="O21" s="59"/>
      <c r="P21" s="59"/>
      <c r="Q21" s="63"/>
      <c r="R21" s="63"/>
      <c r="S21" s="63"/>
      <c r="T21" s="63"/>
      <c r="U21" s="63"/>
      <c r="V21" s="63"/>
      <c r="W21" s="63"/>
    </row>
    <row r="22" spans="1:23" s="25" customFormat="1">
      <c r="A22" s="75">
        <v>18</v>
      </c>
      <c r="B22" s="28"/>
      <c r="C22" s="28"/>
      <c r="D22" s="18"/>
      <c r="E22" s="71"/>
      <c r="F22" s="72"/>
      <c r="G22" s="18"/>
      <c r="H22" s="22"/>
      <c r="I22" s="22"/>
      <c r="J22" s="22"/>
      <c r="K22" s="23"/>
      <c r="L22" s="22"/>
      <c r="M22" s="22"/>
      <c r="N22" s="59"/>
      <c r="O22" s="59"/>
      <c r="P22" s="59"/>
      <c r="Q22" s="63"/>
      <c r="R22" s="63"/>
      <c r="S22" s="63"/>
      <c r="T22" s="63"/>
      <c r="U22" s="63"/>
      <c r="V22" s="63"/>
      <c r="W22" s="63"/>
    </row>
    <row r="23" spans="1:23" s="25" customFormat="1">
      <c r="A23" s="75">
        <v>19</v>
      </c>
      <c r="B23" s="28"/>
      <c r="C23" s="28"/>
      <c r="D23" s="18"/>
      <c r="E23" s="71"/>
      <c r="F23" s="72"/>
      <c r="G23" s="18"/>
      <c r="H23" s="22"/>
      <c r="I23" s="22"/>
      <c r="J23" s="22"/>
      <c r="K23" s="23"/>
      <c r="L23" s="22"/>
      <c r="M23" s="22"/>
      <c r="N23" s="59"/>
      <c r="O23" s="59"/>
      <c r="P23" s="59"/>
      <c r="Q23" s="63"/>
      <c r="R23" s="63"/>
      <c r="S23" s="63"/>
      <c r="T23" s="63"/>
      <c r="U23" s="63"/>
      <c r="V23" s="63"/>
      <c r="W23" s="63"/>
    </row>
    <row r="24" spans="1:23" s="25" customFormat="1">
      <c r="A24" s="75">
        <v>20</v>
      </c>
      <c r="B24" s="28"/>
      <c r="C24" s="28"/>
      <c r="D24" s="18"/>
      <c r="E24" s="71"/>
      <c r="F24" s="72"/>
      <c r="G24" s="18"/>
      <c r="H24" s="22"/>
      <c r="I24" s="22"/>
      <c r="J24" s="22"/>
      <c r="K24" s="23"/>
      <c r="L24" s="22"/>
      <c r="M24" s="22"/>
      <c r="N24" s="59"/>
      <c r="O24" s="59"/>
      <c r="P24" s="59"/>
      <c r="Q24" s="63"/>
      <c r="R24" s="63"/>
      <c r="S24" s="63"/>
      <c r="T24" s="63"/>
      <c r="U24" s="63"/>
      <c r="V24" s="63"/>
      <c r="W24" s="63"/>
    </row>
    <row r="25" spans="1:23" s="25" customFormat="1">
      <c r="A25" s="75">
        <v>21</v>
      </c>
      <c r="B25" s="28"/>
      <c r="C25" s="28"/>
      <c r="D25" s="18"/>
      <c r="E25" s="71"/>
      <c r="F25" s="72"/>
      <c r="G25" s="18"/>
      <c r="H25" s="22"/>
      <c r="I25" s="22"/>
      <c r="J25" s="22"/>
      <c r="K25" s="23"/>
      <c r="L25" s="22"/>
      <c r="M25" s="22"/>
      <c r="N25" s="59"/>
      <c r="O25" s="59"/>
      <c r="P25" s="59"/>
      <c r="Q25" s="63"/>
      <c r="R25" s="63"/>
      <c r="S25" s="63"/>
      <c r="T25" s="63"/>
      <c r="U25" s="63"/>
      <c r="V25" s="63"/>
      <c r="W25" s="63"/>
    </row>
    <row r="26" spans="1:23" s="25" customFormat="1">
      <c r="A26" s="75">
        <v>22</v>
      </c>
      <c r="B26" s="28"/>
      <c r="C26" s="28"/>
      <c r="D26" s="18"/>
      <c r="E26" s="71"/>
      <c r="F26" s="72"/>
      <c r="G26" s="18"/>
      <c r="H26" s="22"/>
      <c r="I26" s="22"/>
      <c r="J26" s="22"/>
      <c r="K26" s="23"/>
      <c r="L26" s="22"/>
      <c r="M26" s="22"/>
      <c r="N26" s="59"/>
      <c r="O26" s="59"/>
      <c r="P26" s="59"/>
      <c r="Q26" s="63"/>
      <c r="R26" s="63"/>
      <c r="S26" s="63"/>
      <c r="T26" s="63"/>
      <c r="U26" s="63"/>
      <c r="V26" s="63"/>
      <c r="W26" s="63"/>
    </row>
    <row r="27" spans="1:23" s="25" customFormat="1">
      <c r="A27" s="75">
        <v>23</v>
      </c>
      <c r="B27" s="28"/>
      <c r="C27" s="28"/>
      <c r="D27" s="18"/>
      <c r="E27" s="71"/>
      <c r="F27" s="72"/>
      <c r="G27" s="18"/>
      <c r="H27" s="22"/>
      <c r="I27" s="22"/>
      <c r="J27" s="22"/>
      <c r="K27" s="23"/>
      <c r="L27" s="22"/>
      <c r="M27" s="22"/>
      <c r="N27" s="59"/>
      <c r="O27" s="59"/>
      <c r="P27" s="59"/>
      <c r="Q27" s="63"/>
      <c r="R27" s="63"/>
      <c r="S27" s="63"/>
      <c r="T27" s="63"/>
      <c r="U27" s="63"/>
      <c r="V27" s="63"/>
      <c r="W27" s="63"/>
    </row>
    <row r="28" spans="1:23" s="25" customFormat="1">
      <c r="A28" s="75">
        <v>24</v>
      </c>
      <c r="B28" s="28"/>
      <c r="C28" s="28"/>
      <c r="D28" s="18"/>
      <c r="E28" s="71"/>
      <c r="F28" s="72"/>
      <c r="G28" s="18"/>
      <c r="H28" s="22"/>
      <c r="I28" s="22"/>
      <c r="J28" s="22"/>
      <c r="K28" s="23"/>
      <c r="L28" s="22"/>
      <c r="M28" s="22"/>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1" type="noConversion"/>
  <conditionalFormatting sqref="L205:L65536 P1:P2">
    <cfRule type="cellIs" dxfId="27" priority="7" stopIfTrue="1" operator="equal">
      <formula>"Fixed"</formula>
    </cfRule>
    <cfRule type="cellIs" dxfId="26" priority="8" stopIfTrue="1" operator="equal">
      <formula>"Open"</formula>
    </cfRule>
  </conditionalFormatting>
  <conditionalFormatting sqref="L4">
    <cfRule type="cellIs" dxfId="25" priority="9" stopIfTrue="1" operator="equal">
      <formula>"Open"</formula>
    </cfRule>
    <cfRule type="cellIs" dxfId="24" priority="10" stopIfTrue="1" operator="equal">
      <formula>"Fixed"</formula>
    </cfRule>
  </conditionalFormatting>
  <conditionalFormatting sqref="L5:L204">
    <cfRule type="expression" dxfId="23" priority="11" stopIfTrue="1">
      <formula>AND($M5="Approved",$L5="Fixed")</formula>
    </cfRule>
    <cfRule type="cellIs" dxfId="22" priority="12" stopIfTrue="1" operator="equal">
      <formula>"Fixed"</formula>
    </cfRule>
    <cfRule type="cellIs" dxfId="21" priority="13" stopIfTrue="1" operator="equal">
      <formula>"Open"</formula>
    </cfRule>
  </conditionalFormatting>
  <conditionalFormatting sqref="M5:M204">
    <cfRule type="expression" dxfId="20" priority="14" stopIfTrue="1">
      <formula>OR(M5="Fixed",M5="Approved")</formula>
    </cfRule>
    <cfRule type="cellIs" dxfId="19" priority="15" stopIfTrue="1" operator="equal">
      <formula>"Rejected"</formula>
    </cfRule>
  </conditionalFormatting>
  <conditionalFormatting sqref="A3">
    <cfRule type="expression" dxfId="18" priority="1" stopIfTrue="1">
      <formula>$X$2=1</formula>
    </cfRule>
    <cfRule type="expression" dxfId="17" priority="2" stopIfTrue="1">
      <formula>$Y$2=1</formula>
    </cfRule>
    <cfRule type="expression" dxfId="16" priority="4" stopIfTrue="1">
      <formula>$AA$2=1</formula>
    </cfRule>
  </conditionalFormatting>
  <conditionalFormatting sqref="A3:C3">
    <cfRule type="expression" dxfId="15" priority="3" stopIfTrue="1">
      <formula>$Z$2=1</formula>
    </cfRule>
  </conditionalFormatting>
  <conditionalFormatting sqref="A5:K204">
    <cfRule type="expression" dxfId="14"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764AB-259B-46CD-8387-D95C88A18E8A}">
  <sheetPr codeName="Review2">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D19" sqref="D19"/>
    </sheetView>
  </sheetViews>
  <sheetFormatPr defaultRowHeight="12.5" outlineLevelRow="1" outlineLevelCol="1"/>
  <cols>
    <col min="1" max="1" width="5.26953125" style="73" customWidth="1"/>
    <col min="2" max="2" width="9.81640625" style="48" customWidth="1"/>
    <col min="3" max="3" width="12.1796875" style="48" customWidth="1"/>
    <col min="4" max="4" width="42.1796875" style="49" customWidth="1"/>
    <col min="5" max="5" width="11" style="69" customWidth="1" outlineLevel="1"/>
    <col min="6" max="6" width="14.54296875" style="70" customWidth="1" outlineLevel="1"/>
    <col min="7" max="7" width="33.7265625" style="49" customWidth="1"/>
    <col min="8" max="9" width="11.26953125" style="48" customWidth="1" outlineLevel="1"/>
    <col min="10" max="10" width="18.26953125" style="48" customWidth="1" outlineLevel="1"/>
    <col min="11" max="11" width="12.54296875" style="50" customWidth="1"/>
    <col min="12" max="12" width="13.7265625" style="51" customWidth="1"/>
    <col min="13" max="13" width="13.1796875" style="51" customWidth="1"/>
    <col min="14" max="14" width="12" style="39" bestFit="1" customWidth="1"/>
    <col min="15" max="15" width="20.81640625" style="39" bestFit="1" customWidth="1"/>
    <col min="16" max="16" width="13.26953125" style="39" bestFit="1" customWidth="1"/>
    <col min="17" max="22" width="11.453125" style="64" customWidth="1"/>
    <col min="23" max="23" width="11.81640625" style="64" bestFit="1" customWidth="1"/>
    <col min="24" max="24" width="15.54296875" bestFit="1" customWidth="1"/>
    <col min="25" max="25" width="15" bestFit="1" customWidth="1"/>
    <col min="26" max="26" width="9.7265625" bestFit="1" customWidth="1"/>
  </cols>
  <sheetData>
    <row r="1" spans="1:46" s="24" customFormat="1" ht="50"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0</v>
      </c>
      <c r="P2" s="60"/>
      <c r="Q2" s="54">
        <f>COUNTIF($L5:$L500,"=" &amp; Q1)</f>
        <v>0</v>
      </c>
      <c r="R2" s="54">
        <f>COUNTIF($L5:$L500,"=" &amp; R1)</f>
        <v>0</v>
      </c>
      <c r="S2" s="54">
        <f>COUNTIF($L5:$L500,"=" &amp; S1)</f>
        <v>0</v>
      </c>
      <c r="T2" s="54">
        <f>COUNTIF($L5:$L500,"=" &amp; T1)</f>
        <v>0</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0</v>
      </c>
      <c r="AA2" s="54">
        <f>IF(AND(Issue_to_treat=0,Issues_to_approve=0,Issues_postponed=0),1,0)</f>
        <v>1</v>
      </c>
      <c r="AB2" s="34"/>
      <c r="AC2" s="34"/>
      <c r="AD2" s="34"/>
      <c r="AE2" s="34"/>
      <c r="AF2" s="34"/>
      <c r="AH2" s="54">
        <f>COUNTIF($M5:$M500,"=" &amp; AH1)</f>
        <v>0</v>
      </c>
      <c r="AI2" s="54">
        <f>COUNTIF($M5:$M500,"=" &amp; AI1)</f>
        <v>0</v>
      </c>
      <c r="AJ2" s="54">
        <f>COUNTIF($M5:$M500,"=" &amp; AJ1)</f>
        <v>0</v>
      </c>
      <c r="AM2" s="34"/>
      <c r="AN2" s="34"/>
      <c r="AO2" s="34"/>
      <c r="AP2" s="36"/>
      <c r="AQ2" s="36"/>
      <c r="AR2" s="34"/>
      <c r="AS2" s="36"/>
      <c r="AT2" s="36"/>
    </row>
    <row r="3" spans="1:46" s="53" customFormat="1" ht="25.5" customHeight="1" outlineLevel="1">
      <c r="A3" s="295" t="str">
        <f>IF(Issue_to_treat=1,NbOfNotTreatedIssues+NbOfRejectedIssues&amp;" issue(s) to treat",IF(Issues_to_approve=1,NbOfNotApprovedIssues&amp;" issue(s) to approve",IF(Issues_postponed=1,NbOfNotApprovedAndPostponedIssues&amp;" issue(s) postponed","Status OK")))</f>
        <v>Status OK</v>
      </c>
      <c r="B3" s="295"/>
      <c r="C3" s="296"/>
      <c r="D3" s="67" t="s">
        <v>64</v>
      </c>
      <c r="E3" s="294" t="s">
        <v>82</v>
      </c>
      <c r="F3" s="294"/>
      <c r="G3" s="294"/>
      <c r="H3" s="52"/>
      <c r="I3" s="52"/>
      <c r="J3" s="52"/>
      <c r="K3" s="52"/>
      <c r="L3" s="52"/>
      <c r="M3" s="52"/>
      <c r="N3" s="59"/>
      <c r="O3" s="59"/>
      <c r="P3" s="59"/>
      <c r="Q3" s="63"/>
      <c r="R3" s="63"/>
      <c r="S3" s="63"/>
      <c r="T3" s="63"/>
      <c r="U3" s="63"/>
      <c r="V3" s="63"/>
      <c r="W3" s="63"/>
      <c r="X3" s="25"/>
      <c r="Y3" s="25"/>
      <c r="Z3" s="25"/>
      <c r="AA3" s="25"/>
      <c r="AB3" s="25"/>
    </row>
    <row r="4" spans="1:46" s="156" customFormat="1" ht="31">
      <c r="A4" s="149" t="s">
        <v>30</v>
      </c>
      <c r="B4" s="149" t="s">
        <v>9</v>
      </c>
      <c r="C4" s="149" t="s">
        <v>32</v>
      </c>
      <c r="D4" s="149" t="s">
        <v>178</v>
      </c>
      <c r="E4" s="149" t="s">
        <v>70</v>
      </c>
      <c r="F4" s="149" t="s">
        <v>31</v>
      </c>
      <c r="G4" s="150" t="s">
        <v>46</v>
      </c>
      <c r="H4" s="151" t="s">
        <v>48</v>
      </c>
      <c r="I4" s="151" t="s">
        <v>106</v>
      </c>
      <c r="J4" s="151" t="s">
        <v>33</v>
      </c>
      <c r="K4" s="152" t="s">
        <v>49</v>
      </c>
      <c r="L4" s="151" t="s">
        <v>47</v>
      </c>
      <c r="M4" s="149" t="s">
        <v>179</v>
      </c>
      <c r="N4" s="153"/>
      <c r="O4" s="153"/>
      <c r="P4" s="153"/>
      <c r="Q4" s="154"/>
      <c r="R4" s="154"/>
      <c r="S4" s="154"/>
      <c r="T4" s="154"/>
      <c r="U4" s="154"/>
      <c r="V4" s="154"/>
      <c r="W4" s="154"/>
      <c r="X4" s="155"/>
      <c r="Y4" s="155"/>
      <c r="Z4" s="155"/>
      <c r="AA4" s="155"/>
      <c r="AB4" s="155"/>
    </row>
    <row r="5" spans="1:46" s="25" customFormat="1">
      <c r="A5" s="74">
        <v>1</v>
      </c>
      <c r="B5" s="28"/>
      <c r="C5" s="28"/>
      <c r="D5" s="29"/>
      <c r="E5" s="71"/>
      <c r="F5" s="72"/>
      <c r="G5" s="18"/>
      <c r="H5" s="22"/>
      <c r="I5" s="22"/>
      <c r="J5" s="22"/>
      <c r="K5" s="23"/>
      <c r="L5" s="22"/>
      <c r="M5" s="82"/>
      <c r="N5" s="59"/>
      <c r="O5" s="59"/>
      <c r="P5" s="59"/>
      <c r="Q5" s="63"/>
      <c r="R5" s="63"/>
      <c r="S5" s="63"/>
      <c r="T5" s="63"/>
      <c r="U5" s="63"/>
      <c r="V5" s="63"/>
      <c r="W5" s="63"/>
    </row>
    <row r="6" spans="1:46" s="25" customFormat="1">
      <c r="A6" s="75">
        <v>2</v>
      </c>
      <c r="B6" s="28"/>
      <c r="C6" s="28"/>
      <c r="D6" s="29"/>
      <c r="E6" s="71"/>
      <c r="F6" s="72"/>
      <c r="G6" s="18"/>
      <c r="H6" s="22"/>
      <c r="I6" s="22"/>
      <c r="J6" s="82"/>
      <c r="K6" s="23"/>
      <c r="L6" s="22"/>
      <c r="M6" s="22"/>
      <c r="N6" s="59"/>
      <c r="O6" s="59"/>
      <c r="P6" s="59"/>
      <c r="Q6" s="63"/>
      <c r="R6" s="63"/>
      <c r="S6" s="63"/>
      <c r="T6" s="63"/>
      <c r="U6" s="63"/>
      <c r="V6" s="63"/>
      <c r="W6" s="63"/>
    </row>
    <row r="7" spans="1:46" s="25" customFormat="1">
      <c r="A7" s="75">
        <v>3</v>
      </c>
      <c r="B7" s="28"/>
      <c r="C7" s="28"/>
      <c r="D7" s="29"/>
      <c r="E7" s="71"/>
      <c r="F7" s="72"/>
      <c r="G7" s="18"/>
      <c r="H7" s="22"/>
      <c r="I7" s="22"/>
      <c r="J7" s="82"/>
      <c r="K7" s="23"/>
      <c r="L7" s="22"/>
      <c r="M7" s="22"/>
      <c r="N7" s="59"/>
      <c r="O7" s="59"/>
      <c r="P7" s="59"/>
      <c r="Q7" s="63"/>
      <c r="R7" s="63"/>
      <c r="S7" s="63"/>
      <c r="T7" s="63"/>
      <c r="U7" s="63"/>
      <c r="V7" s="63"/>
      <c r="W7" s="63"/>
    </row>
    <row r="8" spans="1:46" s="25" customFormat="1">
      <c r="A8" s="75">
        <v>4</v>
      </c>
      <c r="B8" s="28"/>
      <c r="C8" s="28"/>
      <c r="D8" s="29"/>
      <c r="E8" s="71"/>
      <c r="F8" s="72"/>
      <c r="G8" s="18"/>
      <c r="H8" s="22"/>
      <c r="I8" s="22"/>
      <c r="J8" s="82"/>
      <c r="K8" s="23"/>
      <c r="L8" s="22"/>
      <c r="M8" s="22"/>
      <c r="N8" s="59"/>
      <c r="O8" s="59"/>
      <c r="P8" s="59"/>
      <c r="Q8" s="63"/>
      <c r="R8" s="63"/>
      <c r="S8" s="63"/>
      <c r="T8" s="63"/>
      <c r="U8" s="63"/>
      <c r="V8" s="63"/>
      <c r="W8" s="63"/>
    </row>
    <row r="9" spans="1:46" s="25" customFormat="1">
      <c r="A9" s="75">
        <v>5</v>
      </c>
      <c r="B9" s="28"/>
      <c r="C9" s="28"/>
      <c r="D9" s="29"/>
      <c r="E9" s="71"/>
      <c r="F9" s="72"/>
      <c r="G9" s="18"/>
      <c r="H9" s="22"/>
      <c r="I9" s="22"/>
      <c r="J9" s="82"/>
      <c r="K9" s="23"/>
      <c r="L9" s="22"/>
      <c r="M9" s="22"/>
      <c r="N9" s="59"/>
      <c r="O9" s="59"/>
      <c r="P9" s="59"/>
      <c r="Q9" s="63"/>
      <c r="R9" s="63"/>
      <c r="S9" s="63"/>
      <c r="T9" s="63"/>
      <c r="U9" s="63"/>
      <c r="V9" s="63"/>
      <c r="W9" s="63"/>
    </row>
    <row r="10" spans="1:46" s="25" customFormat="1">
      <c r="A10" s="75">
        <v>6</v>
      </c>
      <c r="B10" s="28"/>
      <c r="C10" s="42"/>
      <c r="D10" s="29"/>
      <c r="E10" s="71"/>
      <c r="F10" s="72"/>
      <c r="G10" s="18"/>
      <c r="H10" s="22"/>
      <c r="I10" s="22"/>
      <c r="J10" s="22"/>
      <c r="K10" s="23"/>
      <c r="L10" s="22"/>
      <c r="M10" s="22"/>
      <c r="N10" s="59"/>
      <c r="O10" s="59"/>
      <c r="P10" s="59"/>
      <c r="Q10" s="63"/>
      <c r="R10" s="63"/>
      <c r="S10" s="63"/>
      <c r="T10" s="63"/>
      <c r="U10" s="63"/>
      <c r="V10" s="63"/>
      <c r="W10" s="63"/>
    </row>
    <row r="11" spans="1:46" s="25" customFormat="1">
      <c r="A11" s="75">
        <v>7</v>
      </c>
      <c r="B11" s="28"/>
      <c r="C11" s="42"/>
      <c r="D11" s="29"/>
      <c r="E11" s="71"/>
      <c r="F11" s="72"/>
      <c r="G11" s="18"/>
      <c r="H11" s="22"/>
      <c r="I11" s="22"/>
      <c r="J11" s="22"/>
      <c r="K11" s="83"/>
      <c r="L11" s="22"/>
      <c r="M11" s="22"/>
      <c r="N11" s="59"/>
      <c r="O11" s="59"/>
      <c r="P11" s="59"/>
      <c r="Q11" s="63"/>
      <c r="R11" s="63"/>
      <c r="S11" s="63"/>
      <c r="T11" s="63"/>
      <c r="U11" s="63"/>
      <c r="V11" s="63"/>
      <c r="W11" s="63"/>
    </row>
    <row r="12" spans="1:46" s="25" customFormat="1">
      <c r="A12" s="75">
        <v>8</v>
      </c>
      <c r="B12" s="28"/>
      <c r="C12" s="28"/>
      <c r="D12" s="29"/>
      <c r="E12" s="71"/>
      <c r="F12" s="72"/>
      <c r="G12" s="18"/>
      <c r="H12" s="22"/>
      <c r="I12" s="22"/>
      <c r="J12" s="22"/>
      <c r="K12" s="23"/>
      <c r="L12" s="22"/>
      <c r="M12" s="22"/>
      <c r="N12" s="59"/>
      <c r="O12" s="59"/>
      <c r="P12" s="59"/>
      <c r="Q12" s="63"/>
      <c r="R12" s="63"/>
      <c r="S12" s="63"/>
      <c r="T12" s="63"/>
      <c r="U12" s="63"/>
      <c r="V12" s="63"/>
      <c r="W12" s="63"/>
    </row>
    <row r="13" spans="1:46" s="25" customFormat="1">
      <c r="A13" s="75">
        <v>9</v>
      </c>
      <c r="B13" s="28"/>
      <c r="C13" s="28"/>
      <c r="D13" s="29"/>
      <c r="E13" s="71"/>
      <c r="F13" s="72"/>
      <c r="G13" s="18"/>
      <c r="H13" s="22"/>
      <c r="I13" s="22"/>
      <c r="J13" s="22"/>
      <c r="K13" s="23"/>
      <c r="L13" s="22"/>
      <c r="M13" s="22"/>
      <c r="N13" s="59"/>
      <c r="O13" s="59"/>
      <c r="P13" s="59"/>
      <c r="Q13" s="63"/>
      <c r="R13" s="63"/>
      <c r="S13" s="63"/>
      <c r="T13" s="63"/>
      <c r="U13" s="63"/>
      <c r="V13" s="63"/>
      <c r="W13" s="63"/>
    </row>
    <row r="14" spans="1:46" s="25" customFormat="1">
      <c r="A14" s="75">
        <v>10</v>
      </c>
      <c r="B14" s="28"/>
      <c r="C14" s="28"/>
      <c r="D14" s="18"/>
      <c r="E14" s="71"/>
      <c r="F14" s="72"/>
      <c r="G14" s="18"/>
      <c r="H14" s="22"/>
      <c r="I14" s="22"/>
      <c r="J14" s="22"/>
      <c r="K14" s="23"/>
      <c r="L14" s="22"/>
      <c r="M14" s="22"/>
      <c r="N14" s="59"/>
      <c r="O14" s="59"/>
      <c r="P14" s="59"/>
      <c r="Q14" s="63"/>
      <c r="R14" s="63"/>
      <c r="S14" s="63"/>
      <c r="T14" s="63"/>
      <c r="U14" s="63"/>
      <c r="V14" s="63"/>
      <c r="W14" s="63"/>
    </row>
    <row r="15" spans="1:46" s="25" customFormat="1">
      <c r="A15" s="75">
        <v>11</v>
      </c>
      <c r="B15" s="28"/>
      <c r="C15" s="28"/>
      <c r="D15" s="18"/>
      <c r="E15" s="71"/>
      <c r="F15" s="72"/>
      <c r="G15" s="18"/>
      <c r="H15" s="22"/>
      <c r="I15" s="22"/>
      <c r="J15" s="22"/>
      <c r="K15" s="23"/>
      <c r="L15" s="22"/>
      <c r="M15" s="22"/>
      <c r="N15" s="59"/>
      <c r="O15" s="59"/>
      <c r="P15" s="59"/>
      <c r="Q15" s="63"/>
      <c r="R15" s="63"/>
      <c r="S15" s="63"/>
      <c r="T15" s="63"/>
      <c r="U15" s="63"/>
      <c r="V15" s="63"/>
      <c r="W15" s="63"/>
    </row>
    <row r="16" spans="1:46" s="25" customFormat="1">
      <c r="A16" s="75">
        <v>12</v>
      </c>
      <c r="B16" s="28"/>
      <c r="C16" s="28"/>
      <c r="D16" s="18"/>
      <c r="E16" s="71"/>
      <c r="F16" s="72"/>
      <c r="G16" s="18"/>
      <c r="H16" s="22"/>
      <c r="I16" s="22"/>
      <c r="J16" s="22"/>
      <c r="K16" s="23"/>
      <c r="L16" s="22"/>
      <c r="M16" s="22"/>
      <c r="N16" s="59"/>
      <c r="O16" s="59"/>
      <c r="P16" s="59"/>
      <c r="Q16" s="63"/>
      <c r="R16" s="63"/>
      <c r="S16" s="63"/>
      <c r="T16" s="63"/>
      <c r="U16" s="63"/>
      <c r="V16" s="63"/>
      <c r="W16" s="63"/>
    </row>
    <row r="17" spans="1:23" s="25" customFormat="1">
      <c r="A17" s="75">
        <v>13</v>
      </c>
      <c r="B17" s="28"/>
      <c r="C17" s="28"/>
      <c r="D17" s="18"/>
      <c r="E17" s="71"/>
      <c r="F17" s="72"/>
      <c r="G17" s="18"/>
      <c r="H17" s="22"/>
      <c r="I17" s="22"/>
      <c r="J17" s="22"/>
      <c r="K17" s="23"/>
      <c r="L17" s="22"/>
      <c r="M17" s="22"/>
      <c r="N17" s="59"/>
      <c r="O17" s="59"/>
      <c r="P17" s="59"/>
      <c r="Q17" s="63"/>
      <c r="R17" s="63"/>
      <c r="S17" s="63"/>
      <c r="T17" s="63"/>
      <c r="U17" s="63"/>
      <c r="V17" s="63"/>
      <c r="W17" s="63"/>
    </row>
    <row r="18" spans="1:23" s="25" customFormat="1">
      <c r="A18" s="75">
        <v>14</v>
      </c>
      <c r="B18" s="28"/>
      <c r="C18" s="28"/>
      <c r="D18" s="18"/>
      <c r="E18" s="71"/>
      <c r="F18" s="72"/>
      <c r="G18" s="18"/>
      <c r="H18" s="22"/>
      <c r="I18" s="22"/>
      <c r="J18" s="22"/>
      <c r="K18" s="23"/>
      <c r="L18" s="22"/>
      <c r="M18" s="22"/>
      <c r="N18" s="59"/>
      <c r="O18" s="59"/>
      <c r="P18" s="59"/>
      <c r="Q18" s="63"/>
      <c r="R18" s="63"/>
      <c r="S18" s="63"/>
      <c r="T18" s="63"/>
      <c r="U18" s="63"/>
      <c r="V18" s="63"/>
      <c r="W18" s="63"/>
    </row>
    <row r="19" spans="1:23" s="25" customFormat="1">
      <c r="A19" s="75">
        <v>15</v>
      </c>
      <c r="B19" s="28"/>
      <c r="C19" s="28"/>
      <c r="D19" s="18"/>
      <c r="E19" s="71"/>
      <c r="F19" s="72"/>
      <c r="G19" s="18"/>
      <c r="H19" s="22"/>
      <c r="I19" s="22"/>
      <c r="J19" s="22"/>
      <c r="K19" s="23"/>
      <c r="L19" s="22"/>
      <c r="M19" s="22"/>
      <c r="N19" s="59"/>
      <c r="O19" s="59"/>
      <c r="P19" s="59"/>
      <c r="Q19" s="63"/>
      <c r="R19" s="63"/>
      <c r="S19" s="63"/>
      <c r="T19" s="63"/>
      <c r="U19" s="63"/>
      <c r="V19" s="63"/>
      <c r="W19" s="63"/>
    </row>
    <row r="20" spans="1:23" s="25" customFormat="1">
      <c r="A20" s="75">
        <v>16</v>
      </c>
      <c r="B20" s="28"/>
      <c r="C20" s="28"/>
      <c r="D20" s="18"/>
      <c r="E20" s="71"/>
      <c r="F20" s="72"/>
      <c r="G20" s="18"/>
      <c r="H20" s="22"/>
      <c r="I20" s="22"/>
      <c r="J20" s="22"/>
      <c r="K20" s="23"/>
      <c r="L20" s="22"/>
      <c r="M20" s="22"/>
      <c r="N20" s="59"/>
      <c r="O20" s="59"/>
      <c r="P20" s="59"/>
      <c r="Q20" s="63"/>
      <c r="R20" s="63"/>
      <c r="S20" s="63"/>
      <c r="T20" s="63"/>
      <c r="U20" s="63"/>
      <c r="V20" s="63"/>
      <c r="W20" s="63"/>
    </row>
    <row r="21" spans="1:23" s="25" customFormat="1">
      <c r="A21" s="75">
        <v>17</v>
      </c>
      <c r="B21" s="28"/>
      <c r="C21" s="28"/>
      <c r="D21" s="18"/>
      <c r="E21" s="71"/>
      <c r="F21" s="72"/>
      <c r="G21" s="18"/>
      <c r="H21" s="22"/>
      <c r="I21" s="22"/>
      <c r="J21" s="22"/>
      <c r="K21" s="23"/>
      <c r="L21" s="22"/>
      <c r="M21" s="22"/>
      <c r="N21" s="59"/>
      <c r="O21" s="59"/>
      <c r="P21" s="59"/>
      <c r="Q21" s="63"/>
      <c r="R21" s="63"/>
      <c r="S21" s="63"/>
      <c r="T21" s="63"/>
      <c r="U21" s="63"/>
      <c r="V21" s="63"/>
      <c r="W21" s="63"/>
    </row>
    <row r="22" spans="1:23" s="25" customFormat="1">
      <c r="A22" s="75">
        <v>18</v>
      </c>
      <c r="B22" s="28"/>
      <c r="C22" s="28"/>
      <c r="D22" s="18"/>
      <c r="E22" s="71"/>
      <c r="F22" s="72"/>
      <c r="G22" s="18"/>
      <c r="H22" s="22"/>
      <c r="I22" s="22"/>
      <c r="J22" s="22"/>
      <c r="K22" s="23"/>
      <c r="L22" s="22"/>
      <c r="M22" s="22"/>
      <c r="N22" s="59"/>
      <c r="O22" s="59"/>
      <c r="P22" s="59"/>
      <c r="Q22" s="63"/>
      <c r="R22" s="63"/>
      <c r="S22" s="63"/>
      <c r="T22" s="63"/>
      <c r="U22" s="63"/>
      <c r="V22" s="63"/>
      <c r="W22" s="63"/>
    </row>
    <row r="23" spans="1:23" s="25" customFormat="1">
      <c r="A23" s="75">
        <v>19</v>
      </c>
      <c r="B23" s="28"/>
      <c r="C23" s="28"/>
      <c r="D23" s="18"/>
      <c r="E23" s="71"/>
      <c r="F23" s="72"/>
      <c r="G23" s="18"/>
      <c r="H23" s="22"/>
      <c r="I23" s="22"/>
      <c r="J23" s="22"/>
      <c r="K23" s="23"/>
      <c r="L23" s="22"/>
      <c r="M23" s="22"/>
      <c r="N23" s="59"/>
      <c r="O23" s="59"/>
      <c r="P23" s="59"/>
      <c r="Q23" s="63"/>
      <c r="R23" s="63"/>
      <c r="S23" s="63"/>
      <c r="T23" s="63"/>
      <c r="U23" s="63"/>
      <c r="V23" s="63"/>
      <c r="W23" s="63"/>
    </row>
    <row r="24" spans="1:23" s="25" customFormat="1">
      <c r="A24" s="75">
        <v>20</v>
      </c>
      <c r="B24" s="28"/>
      <c r="C24" s="28"/>
      <c r="D24" s="18"/>
      <c r="E24" s="71"/>
      <c r="F24" s="72"/>
      <c r="G24" s="18"/>
      <c r="H24" s="22"/>
      <c r="I24" s="22"/>
      <c r="J24" s="22"/>
      <c r="K24" s="23"/>
      <c r="L24" s="22"/>
      <c r="M24" s="22"/>
      <c r="N24" s="59"/>
      <c r="O24" s="59"/>
      <c r="P24" s="59"/>
      <c r="Q24" s="63"/>
      <c r="R24" s="63"/>
      <c r="S24" s="63"/>
      <c r="T24" s="63"/>
      <c r="U24" s="63"/>
      <c r="V24" s="63"/>
      <c r="W24" s="63"/>
    </row>
    <row r="25" spans="1:23" s="25" customFormat="1">
      <c r="A25" s="75">
        <v>21</v>
      </c>
      <c r="B25" s="28"/>
      <c r="C25" s="28"/>
      <c r="D25" s="18"/>
      <c r="E25" s="71"/>
      <c r="F25" s="72"/>
      <c r="G25" s="18"/>
      <c r="H25" s="22"/>
      <c r="I25" s="22"/>
      <c r="J25" s="22"/>
      <c r="K25" s="23"/>
      <c r="L25" s="22"/>
      <c r="M25" s="22"/>
      <c r="N25" s="59"/>
      <c r="O25" s="59"/>
      <c r="P25" s="59"/>
      <c r="Q25" s="63"/>
      <c r="R25" s="63"/>
      <c r="S25" s="63"/>
      <c r="T25" s="63"/>
      <c r="U25" s="63"/>
      <c r="V25" s="63"/>
      <c r="W25" s="63"/>
    </row>
    <row r="26" spans="1:23" s="25" customFormat="1">
      <c r="A26" s="75">
        <v>22</v>
      </c>
      <c r="B26" s="28"/>
      <c r="C26" s="28"/>
      <c r="D26" s="18"/>
      <c r="E26" s="71"/>
      <c r="F26" s="72"/>
      <c r="G26" s="18"/>
      <c r="H26" s="22"/>
      <c r="I26" s="22"/>
      <c r="J26" s="22"/>
      <c r="K26" s="23"/>
      <c r="L26" s="22"/>
      <c r="M26" s="22"/>
      <c r="N26" s="59"/>
      <c r="O26" s="59"/>
      <c r="P26" s="59"/>
      <c r="Q26" s="63"/>
      <c r="R26" s="63"/>
      <c r="S26" s="63"/>
      <c r="T26" s="63"/>
      <c r="U26" s="63"/>
      <c r="V26" s="63"/>
      <c r="W26" s="63"/>
    </row>
    <row r="27" spans="1:23" s="25" customFormat="1">
      <c r="A27" s="75">
        <v>23</v>
      </c>
      <c r="B27" s="28"/>
      <c r="C27" s="28"/>
      <c r="D27" s="18"/>
      <c r="E27" s="71"/>
      <c r="F27" s="72"/>
      <c r="G27" s="18"/>
      <c r="H27" s="22"/>
      <c r="I27" s="22"/>
      <c r="J27" s="22"/>
      <c r="K27" s="23"/>
      <c r="L27" s="22"/>
      <c r="M27" s="22"/>
      <c r="N27" s="59"/>
      <c r="O27" s="59"/>
      <c r="P27" s="59"/>
      <c r="Q27" s="63"/>
      <c r="R27" s="63"/>
      <c r="S27" s="63"/>
      <c r="T27" s="63"/>
      <c r="U27" s="63"/>
      <c r="V27" s="63"/>
      <c r="W27" s="63"/>
    </row>
    <row r="28" spans="1:23" s="25" customFormat="1">
      <c r="A28" s="75">
        <v>24</v>
      </c>
      <c r="B28" s="28"/>
      <c r="C28" s="28"/>
      <c r="D28" s="18"/>
      <c r="E28" s="71"/>
      <c r="F28" s="72"/>
      <c r="G28" s="18"/>
      <c r="H28" s="22"/>
      <c r="I28" s="22"/>
      <c r="J28" s="22"/>
      <c r="K28" s="23"/>
      <c r="L28" s="22"/>
      <c r="M28" s="22"/>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A3:C3"/>
    <mergeCell ref="E3:G3"/>
  </mergeCells>
  <conditionalFormatting sqref="L205:L65536 P1:P2">
    <cfRule type="cellIs" dxfId="13" priority="5" stopIfTrue="1" operator="equal">
      <formula>"Fixed"</formula>
    </cfRule>
    <cfRule type="cellIs" dxfId="12" priority="6" stopIfTrue="1" operator="equal">
      <formula>"Open"</formula>
    </cfRule>
  </conditionalFormatting>
  <conditionalFormatting sqref="L4">
    <cfRule type="cellIs" dxfId="11" priority="7" stopIfTrue="1" operator="equal">
      <formula>"Open"</formula>
    </cfRule>
    <cfRule type="cellIs" dxfId="10" priority="8" stopIfTrue="1" operator="equal">
      <formula>"Fixed"</formula>
    </cfRule>
  </conditionalFormatting>
  <conditionalFormatting sqref="L5:L204">
    <cfRule type="expression" dxfId="9" priority="9" stopIfTrue="1">
      <formula>AND($M5="Approved",$L5="Fixed")</formula>
    </cfRule>
    <cfRule type="cellIs" dxfId="8" priority="10" stopIfTrue="1" operator="equal">
      <formula>"Fixed"</formula>
    </cfRule>
    <cfRule type="cellIs" dxfId="7" priority="11" stopIfTrue="1" operator="equal">
      <formula>"Open"</formula>
    </cfRule>
  </conditionalFormatting>
  <conditionalFormatting sqref="M5:M204">
    <cfRule type="expression" dxfId="6" priority="12" stopIfTrue="1">
      <formula>OR(M5="Fixed",M5="Approved")</formula>
    </cfRule>
    <cfRule type="cellIs" dxfId="5" priority="13" stopIfTrue="1" operator="equal">
      <formula>"Rejected"</formula>
    </cfRule>
  </conditionalFormatting>
  <conditionalFormatting sqref="A3">
    <cfRule type="expression" dxfId="4" priority="1" stopIfTrue="1">
      <formula>$X$2=1</formula>
    </cfRule>
    <cfRule type="expression" dxfId="3" priority="2" stopIfTrue="1">
      <formula>$Y$2=1</formula>
    </cfRule>
    <cfRule type="expression" dxfId="2" priority="4" stopIfTrue="1">
      <formula>$AA$2=1</formula>
    </cfRule>
  </conditionalFormatting>
  <conditionalFormatting sqref="A3:C3">
    <cfRule type="expression" dxfId="1" priority="3" stopIfTrue="1">
      <formula>$Z$2=1</formula>
    </cfRule>
  </conditionalFormatting>
  <conditionalFormatting sqref="A5:K204">
    <cfRule type="expression" dxfId="0" priority="14" stopIfTrue="1">
      <formula>AND($M5="Approved",OR($L5=$R$1,$L5=$T$1))</formula>
    </cfRule>
  </conditionalFormatting>
  <dataValidations count="3">
    <dataValidation type="list" allowBlank="1" showInputMessage="1" showErrorMessage="1" sqref="I5:I204" xr:uid="{1E226EDE-1BDA-4D7B-9D2A-0F73B2214892}">
      <formula1>"Low,medium,high"</formula1>
    </dataValidation>
    <dataValidation type="list" allowBlank="1" showInputMessage="1" showErrorMessage="1" sqref="M5:M204" xr:uid="{F6C13F9F-C643-4BD7-8E33-446AC2C89811}">
      <formula1>$AH$1:$AI$1</formula1>
    </dataValidation>
    <dataValidation type="list" allowBlank="1" showInputMessage="1" showErrorMessage="1" sqref="L5:L204" xr:uid="{C319C26C-1DCF-499E-A15C-C2D0A2110EBC}">
      <formula1>$Q$1:$U$1</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7FE85-4289-4B38-AA5E-91C57865A133}">
  <sheetPr codeName="Feuil33">
    <tabColor theme="7"/>
    <pageSetUpPr fitToPage="1"/>
  </sheetPr>
  <dimension ref="A2:G48"/>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6953125" defaultRowHeight="12.5"/>
  <cols>
    <col min="1" max="1" width="10.81640625" style="166" bestFit="1" customWidth="1"/>
    <col min="2" max="2" width="61" style="164" customWidth="1"/>
    <col min="3" max="3" width="4.453125" style="163" bestFit="1" customWidth="1"/>
    <col min="4" max="6" width="30.7265625" style="163" customWidth="1"/>
    <col min="7" max="16384" width="9.26953125" style="163"/>
  </cols>
  <sheetData>
    <row r="2" spans="1:7" ht="46">
      <c r="A2" s="179" t="s">
        <v>228</v>
      </c>
      <c r="B2" s="180" t="s">
        <v>258</v>
      </c>
      <c r="C2" s="181" t="s">
        <v>217</v>
      </c>
      <c r="D2" s="182" t="s">
        <v>243</v>
      </c>
      <c r="E2" s="297" t="s">
        <v>187</v>
      </c>
      <c r="F2" s="298"/>
    </row>
    <row r="3" spans="1:7" ht="18.5">
      <c r="A3" s="183"/>
      <c r="B3" s="184"/>
      <c r="C3" s="184">
        <f>COUNTIF(C5:C48,"Yes")</f>
        <v>0</v>
      </c>
      <c r="D3" s="171"/>
      <c r="E3" s="195" t="s">
        <v>234</v>
      </c>
      <c r="F3" s="195" t="s">
        <v>235</v>
      </c>
      <c r="G3" s="172"/>
    </row>
    <row r="4" spans="1:7" ht="18">
      <c r="A4" s="185"/>
      <c r="B4" s="186" t="s">
        <v>247</v>
      </c>
      <c r="C4" s="187"/>
      <c r="D4" s="187"/>
      <c r="E4" s="187"/>
      <c r="F4" s="188"/>
      <c r="G4" s="101"/>
    </row>
    <row r="5" spans="1:7" ht="14">
      <c r="A5" s="167"/>
      <c r="B5" s="189" t="s">
        <v>246</v>
      </c>
      <c r="C5" s="168"/>
      <c r="D5" s="168"/>
      <c r="E5" s="168"/>
      <c r="F5" s="169"/>
    </row>
    <row r="6" spans="1:7" ht="38">
      <c r="A6" s="173" t="s">
        <v>245</v>
      </c>
      <c r="B6" s="192" t="s">
        <v>257</v>
      </c>
      <c r="C6" s="165"/>
      <c r="D6" s="165"/>
      <c r="E6" s="170"/>
      <c r="F6" s="170"/>
    </row>
    <row r="7" spans="1:7" ht="14">
      <c r="A7" s="167"/>
      <c r="B7" s="189" t="s">
        <v>380</v>
      </c>
      <c r="C7" s="168"/>
      <c r="D7" s="168"/>
      <c r="E7" s="168"/>
      <c r="F7" s="169"/>
    </row>
    <row r="8" spans="1:7" ht="25.5">
      <c r="A8" s="173" t="s">
        <v>381</v>
      </c>
      <c r="B8" s="192" t="s">
        <v>382</v>
      </c>
      <c r="C8" s="165"/>
      <c r="D8" s="165"/>
      <c r="E8" s="170"/>
      <c r="F8" s="170"/>
    </row>
    <row r="9" spans="1:7" ht="38">
      <c r="A9" s="173" t="s">
        <v>383</v>
      </c>
      <c r="B9" s="192" t="s">
        <v>384</v>
      </c>
      <c r="C9" s="165"/>
      <c r="D9" s="165"/>
      <c r="E9" s="170"/>
      <c r="F9" s="170"/>
    </row>
    <row r="10" spans="1:7" ht="38">
      <c r="A10" s="173" t="s">
        <v>385</v>
      </c>
      <c r="B10" s="192" t="s">
        <v>386</v>
      </c>
      <c r="C10" s="165"/>
      <c r="D10" s="165"/>
      <c r="E10" s="170"/>
      <c r="F10" s="170"/>
    </row>
    <row r="11" spans="1:7" ht="38">
      <c r="A11" s="173" t="s">
        <v>387</v>
      </c>
      <c r="B11" s="192" t="s">
        <v>388</v>
      </c>
      <c r="C11" s="165"/>
      <c r="D11" s="165"/>
      <c r="E11" s="170"/>
      <c r="F11" s="170"/>
    </row>
    <row r="12" spans="1:7" ht="38">
      <c r="A12" s="173" t="s">
        <v>389</v>
      </c>
      <c r="B12" s="192" t="s">
        <v>390</v>
      </c>
      <c r="C12" s="165"/>
      <c r="D12" s="165"/>
      <c r="E12" s="170"/>
      <c r="F12" s="170"/>
    </row>
    <row r="13" spans="1:7" ht="14">
      <c r="A13" s="167"/>
      <c r="B13" s="189" t="s">
        <v>391</v>
      </c>
      <c r="C13" s="168"/>
      <c r="D13" s="168"/>
      <c r="E13" s="168"/>
      <c r="F13" s="169"/>
    </row>
    <row r="14" spans="1:7" ht="25.5">
      <c r="A14" s="173" t="s">
        <v>392</v>
      </c>
      <c r="B14" s="192" t="s">
        <v>393</v>
      </c>
      <c r="C14" s="165"/>
      <c r="D14" s="165"/>
      <c r="E14" s="170"/>
      <c r="F14" s="170"/>
    </row>
    <row r="15" spans="1:7" ht="25.5">
      <c r="A15" s="173" t="s">
        <v>394</v>
      </c>
      <c r="B15" s="192" t="s">
        <v>395</v>
      </c>
      <c r="C15" s="165"/>
      <c r="D15" s="165"/>
      <c r="E15" s="170"/>
      <c r="F15" s="170"/>
    </row>
    <row r="16" spans="1:7" ht="38">
      <c r="A16" s="173" t="s">
        <v>396</v>
      </c>
      <c r="B16" s="192" t="s">
        <v>397</v>
      </c>
      <c r="C16" s="165"/>
      <c r="D16" s="165"/>
      <c r="E16" s="170"/>
      <c r="F16" s="170"/>
    </row>
    <row r="17" spans="1:6" ht="50.5">
      <c r="A17" s="173" t="s">
        <v>398</v>
      </c>
      <c r="B17" s="192" t="s">
        <v>399</v>
      </c>
      <c r="C17" s="165"/>
      <c r="D17" s="165"/>
      <c r="E17" s="170"/>
      <c r="F17" s="170"/>
    </row>
    <row r="18" spans="1:6" ht="14">
      <c r="A18" s="167"/>
      <c r="B18" s="189" t="s">
        <v>400</v>
      </c>
      <c r="C18" s="168"/>
      <c r="D18" s="168"/>
      <c r="E18" s="168"/>
      <c r="F18" s="169"/>
    </row>
    <row r="19" spans="1:6" ht="38">
      <c r="A19" s="173" t="s">
        <v>401</v>
      </c>
      <c r="B19" s="192" t="s">
        <v>402</v>
      </c>
      <c r="C19" s="165"/>
      <c r="D19" s="165"/>
      <c r="E19" s="170"/>
      <c r="F19" s="170"/>
    </row>
    <row r="20" spans="1:6" ht="25.5">
      <c r="A20" s="173" t="s">
        <v>403</v>
      </c>
      <c r="B20" s="192" t="s">
        <v>404</v>
      </c>
      <c r="C20" s="165"/>
      <c r="D20" s="165"/>
      <c r="E20" s="170"/>
      <c r="F20" s="170"/>
    </row>
    <row r="21" spans="1:6" ht="38">
      <c r="A21" s="173" t="s">
        <v>405</v>
      </c>
      <c r="B21" s="192" t="s">
        <v>406</v>
      </c>
      <c r="C21" s="165"/>
      <c r="D21" s="165"/>
      <c r="E21" s="170"/>
      <c r="F21" s="170"/>
    </row>
    <row r="22" spans="1:6" ht="38">
      <c r="A22" s="173" t="s">
        <v>407</v>
      </c>
      <c r="B22" s="192" t="s">
        <v>408</v>
      </c>
      <c r="C22" s="165"/>
      <c r="D22" s="165"/>
      <c r="E22" s="170"/>
      <c r="F22" s="170"/>
    </row>
    <row r="23" spans="1:6" ht="38">
      <c r="A23" s="173" t="s">
        <v>409</v>
      </c>
      <c r="B23" s="192" t="s">
        <v>410</v>
      </c>
      <c r="C23" s="165"/>
      <c r="D23" s="165"/>
      <c r="E23" s="170"/>
      <c r="F23" s="170"/>
    </row>
    <row r="24" spans="1:6" ht="38">
      <c r="A24" s="173" t="s">
        <v>411</v>
      </c>
      <c r="B24" s="192" t="s">
        <v>412</v>
      </c>
      <c r="C24" s="165"/>
      <c r="D24" s="165"/>
      <c r="E24" s="170"/>
      <c r="F24" s="170"/>
    </row>
    <row r="25" spans="1:6" ht="25.5">
      <c r="A25" s="173" t="s">
        <v>413</v>
      </c>
      <c r="B25" s="192" t="s">
        <v>414</v>
      </c>
      <c r="C25" s="165"/>
      <c r="D25" s="165"/>
      <c r="E25" s="170"/>
      <c r="F25" s="170"/>
    </row>
    <row r="26" spans="1:6" ht="14">
      <c r="A26" s="167"/>
      <c r="B26" s="189" t="s">
        <v>415</v>
      </c>
      <c r="C26" s="168"/>
      <c r="D26" s="168"/>
      <c r="E26" s="168"/>
      <c r="F26" s="169"/>
    </row>
    <row r="27" spans="1:6" ht="25.5">
      <c r="A27" s="173" t="s">
        <v>416</v>
      </c>
      <c r="B27" s="192" t="s">
        <v>417</v>
      </c>
      <c r="C27" s="165"/>
      <c r="D27" s="165"/>
      <c r="E27" s="170"/>
      <c r="F27" s="170"/>
    </row>
    <row r="28" spans="1:6" ht="38">
      <c r="A28" s="173" t="s">
        <v>418</v>
      </c>
      <c r="B28" s="192" t="s">
        <v>419</v>
      </c>
      <c r="C28" s="165"/>
      <c r="D28" s="165"/>
      <c r="E28" s="170"/>
      <c r="F28" s="170"/>
    </row>
    <row r="29" spans="1:6" ht="25.5">
      <c r="A29" s="173" t="s">
        <v>420</v>
      </c>
      <c r="B29" s="192" t="s">
        <v>421</v>
      </c>
      <c r="C29" s="165"/>
      <c r="D29" s="165"/>
      <c r="E29" s="170"/>
      <c r="F29" s="170"/>
    </row>
    <row r="30" spans="1:6" ht="25.5">
      <c r="A30" s="173" t="s">
        <v>422</v>
      </c>
      <c r="B30" s="192" t="s">
        <v>423</v>
      </c>
      <c r="C30" s="165"/>
      <c r="D30" s="165"/>
      <c r="E30" s="170"/>
      <c r="F30" s="170"/>
    </row>
    <row r="31" spans="1:6" ht="25.5">
      <c r="A31" s="173" t="s">
        <v>424</v>
      </c>
      <c r="B31" s="192" t="s">
        <v>425</v>
      </c>
      <c r="C31" s="165"/>
      <c r="D31" s="165"/>
      <c r="E31" s="170"/>
      <c r="F31" s="170"/>
    </row>
    <row r="32" spans="1:6" ht="38">
      <c r="A32" s="173" t="s">
        <v>426</v>
      </c>
      <c r="B32" s="192" t="s">
        <v>427</v>
      </c>
      <c r="C32" s="165"/>
      <c r="D32" s="165"/>
      <c r="E32" s="170"/>
      <c r="F32" s="170"/>
    </row>
    <row r="33" spans="1:6" ht="14">
      <c r="A33" s="167"/>
      <c r="B33" s="189" t="s">
        <v>428</v>
      </c>
      <c r="C33" s="168"/>
      <c r="D33" s="168"/>
      <c r="E33" s="168"/>
      <c r="F33" s="169"/>
    </row>
    <row r="34" spans="1:6" ht="63">
      <c r="A34" s="173" t="s">
        <v>429</v>
      </c>
      <c r="B34" s="192" t="s">
        <v>430</v>
      </c>
      <c r="C34" s="165"/>
      <c r="D34" s="165"/>
      <c r="E34" s="170"/>
      <c r="F34" s="170"/>
    </row>
    <row r="35" spans="1:6" ht="14">
      <c r="A35" s="167"/>
      <c r="B35" s="189" t="s">
        <v>273</v>
      </c>
      <c r="C35" s="168"/>
      <c r="D35" s="168"/>
      <c r="E35" s="168"/>
      <c r="F35" s="169"/>
    </row>
    <row r="36" spans="1:6" ht="75.5">
      <c r="A36" s="173" t="s">
        <v>431</v>
      </c>
      <c r="B36" s="192" t="s">
        <v>432</v>
      </c>
      <c r="C36" s="165"/>
      <c r="D36" s="165"/>
      <c r="E36" s="170"/>
      <c r="F36" s="170"/>
    </row>
    <row r="37" spans="1:6" ht="25.5">
      <c r="A37" s="173" t="s">
        <v>433</v>
      </c>
      <c r="B37" s="192" t="s">
        <v>329</v>
      </c>
      <c r="C37" s="165"/>
      <c r="D37" s="165"/>
      <c r="E37" s="170"/>
      <c r="F37" s="170"/>
    </row>
    <row r="38" spans="1:6" ht="14">
      <c r="A38" s="167"/>
      <c r="B38" s="189" t="s">
        <v>231</v>
      </c>
      <c r="C38" s="168"/>
      <c r="D38" s="168"/>
      <c r="E38" s="168"/>
      <c r="F38" s="169"/>
    </row>
    <row r="39" spans="1:6" ht="38">
      <c r="A39" s="173" t="s">
        <v>236</v>
      </c>
      <c r="B39" s="192" t="s">
        <v>221</v>
      </c>
      <c r="C39" s="165"/>
      <c r="D39" s="165"/>
      <c r="E39" s="170"/>
      <c r="F39" s="170"/>
    </row>
    <row r="40" spans="1:6" ht="25.5">
      <c r="A40" s="173" t="s">
        <v>237</v>
      </c>
      <c r="B40" s="192" t="s">
        <v>222</v>
      </c>
      <c r="C40" s="165"/>
      <c r="D40" s="165"/>
      <c r="E40" s="170"/>
      <c r="F40" s="170"/>
    </row>
    <row r="41" spans="1:6" ht="38">
      <c r="A41" s="173" t="s">
        <v>238</v>
      </c>
      <c r="B41" s="192" t="s">
        <v>223</v>
      </c>
      <c r="C41" s="165"/>
      <c r="D41" s="165"/>
      <c r="E41" s="170"/>
      <c r="F41" s="170"/>
    </row>
    <row r="42" spans="1:6" ht="38">
      <c r="A42" s="173" t="s">
        <v>239</v>
      </c>
      <c r="B42" s="192" t="s">
        <v>224</v>
      </c>
      <c r="C42" s="165"/>
      <c r="D42" s="165"/>
      <c r="E42" s="170"/>
      <c r="F42" s="170"/>
    </row>
    <row r="43" spans="1:6" ht="14">
      <c r="A43" s="167"/>
      <c r="B43" s="189" t="s">
        <v>232</v>
      </c>
      <c r="C43" s="168"/>
      <c r="D43" s="168"/>
      <c r="E43" s="168"/>
      <c r="F43" s="169"/>
    </row>
    <row r="44" spans="1:6" ht="38">
      <c r="A44" s="173" t="s">
        <v>240</v>
      </c>
      <c r="B44" s="192" t="s">
        <v>225</v>
      </c>
      <c r="C44" s="165"/>
      <c r="D44" s="165"/>
      <c r="E44" s="170"/>
      <c r="F44" s="170"/>
    </row>
    <row r="45" spans="1:6" ht="38">
      <c r="A45" s="173" t="s">
        <v>241</v>
      </c>
      <c r="B45" s="192" t="s">
        <v>226</v>
      </c>
      <c r="C45" s="165"/>
      <c r="D45" s="165"/>
      <c r="E45" s="170"/>
      <c r="F45" s="170"/>
    </row>
    <row r="46" spans="1:6" ht="14">
      <c r="A46" s="167"/>
      <c r="B46" s="189" t="s">
        <v>218</v>
      </c>
      <c r="C46" s="168"/>
      <c r="D46" s="168"/>
      <c r="E46" s="168"/>
      <c r="F46" s="169"/>
    </row>
    <row r="47" spans="1:6" ht="50.5">
      <c r="A47" s="173" t="s">
        <v>219</v>
      </c>
      <c r="B47" s="192" t="s">
        <v>220</v>
      </c>
      <c r="C47" s="165"/>
      <c r="D47" s="165"/>
      <c r="E47" s="170"/>
      <c r="F47" s="170"/>
    </row>
    <row r="48" spans="1:6" ht="18">
      <c r="A48" s="193"/>
      <c r="B48" s="194" t="s">
        <v>242</v>
      </c>
      <c r="C48" s="193"/>
      <c r="D48" s="193"/>
      <c r="E48" s="193"/>
      <c r="F48" s="193"/>
    </row>
  </sheetData>
  <mergeCells count="1">
    <mergeCell ref="E2:F2"/>
  </mergeCells>
  <dataValidations count="1">
    <dataValidation type="list" allowBlank="1" showInputMessage="1" showErrorMessage="1" sqref="C6 C8:C12 C14:C17 C19:C25 C27:C32 C34 C36:C37 C39:C42 C44:C45 C47" xr:uid="{28FBDC9D-9D9C-4DF7-9400-2F5E93F4B32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G33"/>
  <sheetViews>
    <sheetView zoomScale="80" zoomScaleNormal="80" workbookViewId="0">
      <pane xSplit="1" ySplit="3" topLeftCell="B4" activePane="bottomRight" state="frozen"/>
      <selection pane="topRight" activeCell="B1" sqref="B1"/>
      <selection pane="bottomLeft" activeCell="A4" sqref="A4"/>
      <selection pane="bottomRight" activeCell="B16" sqref="B16"/>
    </sheetView>
  </sheetViews>
  <sheetFormatPr defaultColWidth="9.26953125" defaultRowHeight="12.5"/>
  <cols>
    <col min="1" max="1" width="11" style="166" bestFit="1" customWidth="1"/>
    <col min="2" max="2" width="61" style="164" customWidth="1"/>
    <col min="3" max="3" width="4.453125" style="163" bestFit="1" customWidth="1"/>
    <col min="4" max="6" width="30.7265625" style="163" customWidth="1"/>
    <col min="7" max="16384" width="9.26953125" style="163"/>
  </cols>
  <sheetData>
    <row r="2" spans="1:7" ht="46">
      <c r="A2" s="179" t="s">
        <v>228</v>
      </c>
      <c r="B2" s="180" t="s">
        <v>259</v>
      </c>
      <c r="C2" s="181" t="s">
        <v>217</v>
      </c>
      <c r="D2" s="182" t="s">
        <v>243</v>
      </c>
      <c r="E2" s="297" t="s">
        <v>187</v>
      </c>
      <c r="F2" s="298"/>
    </row>
    <row r="3" spans="1:7" ht="18.5">
      <c r="A3" s="183"/>
      <c r="B3" s="184"/>
      <c r="C3" s="184">
        <f>COUNTIF(C5:C33,"Yes")</f>
        <v>0</v>
      </c>
      <c r="D3" s="171"/>
      <c r="E3" s="195" t="s">
        <v>234</v>
      </c>
      <c r="F3" s="195" t="s">
        <v>235</v>
      </c>
      <c r="G3" s="172"/>
    </row>
    <row r="4" spans="1:7" ht="18">
      <c r="A4" s="185"/>
      <c r="B4" s="186" t="s">
        <v>247</v>
      </c>
      <c r="C4" s="187"/>
      <c r="D4" s="187"/>
      <c r="E4" s="187"/>
      <c r="F4" s="188"/>
      <c r="G4" s="101"/>
    </row>
    <row r="5" spans="1:7" ht="14">
      <c r="A5" s="167"/>
      <c r="B5" s="189" t="s">
        <v>246</v>
      </c>
      <c r="C5" s="168"/>
      <c r="D5" s="168"/>
      <c r="E5" s="168"/>
      <c r="F5" s="169"/>
    </row>
    <row r="6" spans="1:7" ht="38">
      <c r="A6" s="173" t="s">
        <v>245</v>
      </c>
      <c r="B6" s="192" t="s">
        <v>257</v>
      </c>
      <c r="C6" s="165"/>
      <c r="D6" s="165"/>
      <c r="E6" s="170"/>
      <c r="F6" s="170"/>
    </row>
    <row r="7" spans="1:7" ht="14">
      <c r="A7" s="167"/>
      <c r="B7" s="189" t="s">
        <v>311</v>
      </c>
      <c r="C7" s="168"/>
      <c r="D7" s="168"/>
      <c r="E7" s="168"/>
      <c r="F7" s="169"/>
    </row>
    <row r="8" spans="1:7" ht="38">
      <c r="A8" s="173" t="s">
        <v>312</v>
      </c>
      <c r="B8" s="192" t="s">
        <v>313</v>
      </c>
      <c r="C8" s="165"/>
      <c r="D8" s="165"/>
      <c r="E8" s="170"/>
      <c r="F8" s="170"/>
    </row>
    <row r="9" spans="1:7" ht="25.5">
      <c r="A9" s="173" t="s">
        <v>314</v>
      </c>
      <c r="B9" s="192" t="s">
        <v>315</v>
      </c>
      <c r="C9" s="165"/>
      <c r="D9" s="165"/>
      <c r="E9" s="170"/>
      <c r="F9" s="170"/>
    </row>
    <row r="10" spans="1:7" ht="38">
      <c r="A10" s="173" t="s">
        <v>316</v>
      </c>
      <c r="B10" s="192" t="s">
        <v>317</v>
      </c>
      <c r="C10" s="165"/>
      <c r="D10" s="165"/>
      <c r="E10" s="170"/>
      <c r="F10" s="170"/>
    </row>
    <row r="11" spans="1:7" ht="25.5">
      <c r="A11" s="173" t="s">
        <v>318</v>
      </c>
      <c r="B11" s="192" t="s">
        <v>319</v>
      </c>
      <c r="C11" s="165"/>
      <c r="D11" s="165"/>
      <c r="E11" s="170"/>
      <c r="F11" s="170"/>
    </row>
    <row r="12" spans="1:7" ht="50.5">
      <c r="A12" s="173" t="s">
        <v>320</v>
      </c>
      <c r="B12" s="192" t="s">
        <v>321</v>
      </c>
      <c r="C12" s="165"/>
      <c r="D12" s="165"/>
      <c r="E12" s="170"/>
      <c r="F12" s="170"/>
    </row>
    <row r="13" spans="1:7" ht="25.5">
      <c r="A13" s="173" t="s">
        <v>322</v>
      </c>
      <c r="B13" s="192" t="s">
        <v>323</v>
      </c>
      <c r="C13" s="165"/>
      <c r="D13" s="165"/>
      <c r="E13" s="170"/>
      <c r="F13" s="170"/>
    </row>
    <row r="14" spans="1:7" ht="25.5">
      <c r="A14" s="173" t="s">
        <v>324</v>
      </c>
      <c r="B14" s="192" t="s">
        <v>325</v>
      </c>
      <c r="C14" s="165"/>
      <c r="D14" s="165"/>
      <c r="E14" s="170"/>
      <c r="F14" s="170"/>
    </row>
    <row r="15" spans="1:7" ht="38">
      <c r="A15" s="173" t="s">
        <v>326</v>
      </c>
      <c r="B15" s="192" t="s">
        <v>327</v>
      </c>
      <c r="C15" s="165"/>
      <c r="D15" s="165"/>
      <c r="E15" s="170"/>
      <c r="F15" s="170"/>
    </row>
    <row r="16" spans="1:7" ht="25.5">
      <c r="A16" s="173" t="s">
        <v>328</v>
      </c>
      <c r="B16" s="192" t="s">
        <v>329</v>
      </c>
      <c r="C16" s="165"/>
      <c r="D16" s="165"/>
      <c r="E16" s="170"/>
      <c r="F16" s="170"/>
    </row>
    <row r="17" spans="1:6" ht="38">
      <c r="A17" s="173" t="s">
        <v>330</v>
      </c>
      <c r="B17" s="192" t="s">
        <v>331</v>
      </c>
      <c r="C17" s="165"/>
      <c r="D17" s="165"/>
      <c r="E17" s="170"/>
      <c r="F17" s="170"/>
    </row>
    <row r="18" spans="1:6" ht="38">
      <c r="A18" s="173" t="s">
        <v>332</v>
      </c>
      <c r="B18" s="192" t="s">
        <v>333</v>
      </c>
      <c r="C18" s="165"/>
      <c r="D18" s="165"/>
      <c r="E18" s="170"/>
      <c r="F18" s="170"/>
    </row>
    <row r="19" spans="1:6" ht="25.5">
      <c r="A19" s="173" t="s">
        <v>334</v>
      </c>
      <c r="B19" s="192" t="s">
        <v>335</v>
      </c>
      <c r="C19" s="165"/>
      <c r="D19" s="165"/>
      <c r="E19" s="170"/>
      <c r="F19" s="170"/>
    </row>
    <row r="20" spans="1:6" ht="25.5">
      <c r="A20" s="173" t="s">
        <v>336</v>
      </c>
      <c r="B20" s="192" t="s">
        <v>337</v>
      </c>
      <c r="C20" s="165"/>
      <c r="D20" s="165"/>
      <c r="E20" s="170"/>
      <c r="F20" s="170"/>
    </row>
    <row r="21" spans="1:6" ht="38">
      <c r="A21" s="173" t="s">
        <v>338</v>
      </c>
      <c r="B21" s="192" t="s">
        <v>339</v>
      </c>
      <c r="C21" s="165"/>
      <c r="D21" s="165"/>
      <c r="E21" s="170"/>
      <c r="F21" s="170"/>
    </row>
    <row r="22" spans="1:6" ht="38">
      <c r="A22" s="173" t="s">
        <v>340</v>
      </c>
      <c r="B22" s="192" t="s">
        <v>341</v>
      </c>
      <c r="C22" s="165"/>
      <c r="D22" s="165"/>
      <c r="E22" s="170"/>
      <c r="F22" s="170"/>
    </row>
    <row r="23" spans="1:6" ht="14">
      <c r="A23" s="167"/>
      <c r="B23" s="189" t="s">
        <v>231</v>
      </c>
      <c r="C23" s="168"/>
      <c r="D23" s="168"/>
      <c r="E23" s="168"/>
      <c r="F23" s="169"/>
    </row>
    <row r="24" spans="1:6" ht="38">
      <c r="A24" s="173" t="s">
        <v>236</v>
      </c>
      <c r="B24" s="192" t="s">
        <v>221</v>
      </c>
      <c r="C24" s="165"/>
      <c r="D24" s="165"/>
      <c r="E24" s="170"/>
      <c r="F24" s="170"/>
    </row>
    <row r="25" spans="1:6" ht="25.5">
      <c r="A25" s="173" t="s">
        <v>237</v>
      </c>
      <c r="B25" s="192" t="s">
        <v>222</v>
      </c>
      <c r="C25" s="165"/>
      <c r="D25" s="165"/>
      <c r="E25" s="170"/>
      <c r="F25" s="170"/>
    </row>
    <row r="26" spans="1:6" ht="38">
      <c r="A26" s="173" t="s">
        <v>238</v>
      </c>
      <c r="B26" s="192" t="s">
        <v>223</v>
      </c>
      <c r="C26" s="165"/>
      <c r="D26" s="165"/>
      <c r="E26" s="170"/>
      <c r="F26" s="170"/>
    </row>
    <row r="27" spans="1:6" ht="38">
      <c r="A27" s="173" t="s">
        <v>239</v>
      </c>
      <c r="B27" s="192" t="s">
        <v>224</v>
      </c>
      <c r="C27" s="165"/>
      <c r="D27" s="165"/>
      <c r="E27" s="170"/>
      <c r="F27" s="170"/>
    </row>
    <row r="28" spans="1:6" ht="14">
      <c r="A28" s="167"/>
      <c r="B28" s="189" t="s">
        <v>232</v>
      </c>
      <c r="C28" s="168"/>
      <c r="D28" s="168"/>
      <c r="E28" s="168"/>
      <c r="F28" s="169"/>
    </row>
    <row r="29" spans="1:6" ht="38">
      <c r="A29" s="173" t="s">
        <v>240</v>
      </c>
      <c r="B29" s="192" t="s">
        <v>225</v>
      </c>
      <c r="C29" s="165"/>
      <c r="D29" s="165"/>
      <c r="E29" s="170"/>
      <c r="F29" s="170"/>
    </row>
    <row r="30" spans="1:6" ht="38">
      <c r="A30" s="173" t="s">
        <v>241</v>
      </c>
      <c r="B30" s="192" t="s">
        <v>226</v>
      </c>
      <c r="C30" s="165"/>
      <c r="D30" s="165"/>
      <c r="E30" s="170"/>
      <c r="F30" s="170"/>
    </row>
    <row r="31" spans="1:6" ht="14">
      <c r="A31" s="167"/>
      <c r="B31" s="189" t="s">
        <v>218</v>
      </c>
      <c r="C31" s="168"/>
      <c r="D31" s="168"/>
      <c r="E31" s="168"/>
      <c r="F31" s="169"/>
    </row>
    <row r="32" spans="1:6" ht="50.5">
      <c r="A32" s="173" t="s">
        <v>219</v>
      </c>
      <c r="B32" s="192" t="s">
        <v>220</v>
      </c>
      <c r="C32" s="165"/>
      <c r="D32" s="165"/>
      <c r="E32" s="170"/>
      <c r="F32" s="170"/>
    </row>
    <row r="33" spans="1:6" ht="18">
      <c r="A33" s="193"/>
      <c r="B33" s="194" t="s">
        <v>242</v>
      </c>
      <c r="C33" s="193"/>
      <c r="D33" s="193"/>
      <c r="E33" s="193"/>
      <c r="F33" s="193"/>
    </row>
  </sheetData>
  <mergeCells count="1">
    <mergeCell ref="E2:F2"/>
  </mergeCells>
  <dataValidations count="1">
    <dataValidation type="list" allowBlank="1" showInputMessage="1" showErrorMessage="1" sqref="C6 C8:C22 C24:C27 C29:C30 C32"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G33"/>
  <sheetViews>
    <sheetView zoomScale="80" zoomScaleNormal="80" workbookViewId="0">
      <pane xSplit="1" ySplit="3" topLeftCell="B4" activePane="bottomRight" state="frozen"/>
      <selection pane="topRight" activeCell="B1" sqref="B1"/>
      <selection pane="bottomLeft" activeCell="A4" sqref="A4"/>
      <selection pane="bottomRight" sqref="A1:A1048576"/>
    </sheetView>
  </sheetViews>
  <sheetFormatPr defaultColWidth="9.26953125" defaultRowHeight="12.5"/>
  <cols>
    <col min="1" max="1" width="11" style="166" bestFit="1" customWidth="1"/>
    <col min="2" max="2" width="61" style="164" customWidth="1"/>
    <col min="3" max="3" width="4.453125" style="163" bestFit="1" customWidth="1"/>
    <col min="4" max="6" width="30.7265625" style="163" customWidth="1"/>
    <col min="7" max="16384" width="9.26953125" style="163"/>
  </cols>
  <sheetData>
    <row r="2" spans="1:7" ht="46">
      <c r="A2" s="179" t="s">
        <v>228</v>
      </c>
      <c r="B2" s="180" t="s">
        <v>260</v>
      </c>
      <c r="C2" s="181" t="s">
        <v>217</v>
      </c>
      <c r="D2" s="182" t="s">
        <v>243</v>
      </c>
      <c r="E2" s="297" t="s">
        <v>187</v>
      </c>
      <c r="F2" s="298"/>
    </row>
    <row r="3" spans="1:7" ht="18.5">
      <c r="A3" s="183"/>
      <c r="B3" s="184"/>
      <c r="C3" s="184">
        <f>COUNTIF(C5:C32,"Yes")</f>
        <v>0</v>
      </c>
      <c r="D3" s="171"/>
      <c r="E3" s="195" t="s">
        <v>234</v>
      </c>
      <c r="F3" s="195" t="s">
        <v>235</v>
      </c>
      <c r="G3" s="172"/>
    </row>
    <row r="4" spans="1:7" ht="18">
      <c r="A4" s="185"/>
      <c r="B4" s="186" t="s">
        <v>247</v>
      </c>
      <c r="C4" s="187"/>
      <c r="D4" s="187"/>
      <c r="E4" s="187"/>
      <c r="F4" s="188"/>
      <c r="G4" s="101"/>
    </row>
    <row r="5" spans="1:7" ht="14">
      <c r="A5" s="167"/>
      <c r="B5" s="189" t="s">
        <v>230</v>
      </c>
      <c r="C5" s="168"/>
      <c r="D5" s="168"/>
      <c r="E5" s="168"/>
      <c r="F5" s="169"/>
    </row>
    <row r="6" spans="1:7" ht="25.5">
      <c r="A6" s="173" t="s">
        <v>261</v>
      </c>
      <c r="B6" s="192" t="s">
        <v>262</v>
      </c>
      <c r="C6" s="165"/>
      <c r="D6" s="165"/>
      <c r="E6" s="170"/>
      <c r="F6" s="170"/>
    </row>
    <row r="7" spans="1:7" ht="25.5">
      <c r="A7" s="173" t="s">
        <v>263</v>
      </c>
      <c r="B7" s="192" t="s">
        <v>264</v>
      </c>
      <c r="C7" s="165"/>
      <c r="D7" s="165"/>
      <c r="E7" s="170"/>
      <c r="F7" s="170"/>
    </row>
    <row r="8" spans="1:7" ht="14">
      <c r="A8" s="167"/>
      <c r="B8" s="189" t="s">
        <v>311</v>
      </c>
      <c r="C8" s="168"/>
      <c r="D8" s="168"/>
      <c r="E8" s="168"/>
      <c r="F8" s="169"/>
    </row>
    <row r="9" spans="1:7" ht="25.5">
      <c r="A9" s="173" t="s">
        <v>342</v>
      </c>
      <c r="B9" s="192" t="s">
        <v>343</v>
      </c>
      <c r="C9" s="165"/>
      <c r="D9" s="165"/>
      <c r="E9" s="170"/>
      <c r="F9" s="170"/>
    </row>
    <row r="10" spans="1:7" ht="25.5">
      <c r="A10" s="173" t="s">
        <v>344</v>
      </c>
      <c r="B10" s="192" t="s">
        <v>345</v>
      </c>
      <c r="C10" s="165"/>
      <c r="D10" s="165"/>
      <c r="E10" s="170"/>
      <c r="F10" s="170"/>
    </row>
    <row r="11" spans="1:7" ht="38">
      <c r="A11" s="173" t="s">
        <v>346</v>
      </c>
      <c r="B11" s="192" t="s">
        <v>347</v>
      </c>
      <c r="C11" s="165"/>
      <c r="D11" s="165"/>
      <c r="E11" s="170"/>
      <c r="F11" s="170"/>
    </row>
    <row r="12" spans="1:7" ht="25.5">
      <c r="A12" s="173" t="s">
        <v>348</v>
      </c>
      <c r="B12" s="192" t="s">
        <v>349</v>
      </c>
      <c r="C12" s="165"/>
      <c r="D12" s="165"/>
      <c r="E12" s="170"/>
      <c r="F12" s="170"/>
    </row>
    <row r="13" spans="1:7" ht="25.5">
      <c r="A13" s="173" t="s">
        <v>350</v>
      </c>
      <c r="B13" s="192" t="s">
        <v>351</v>
      </c>
      <c r="C13" s="165"/>
      <c r="D13" s="165"/>
      <c r="E13" s="170"/>
      <c r="F13" s="170"/>
    </row>
    <row r="14" spans="1:7" ht="25.5">
      <c r="A14" s="173" t="s">
        <v>352</v>
      </c>
      <c r="B14" s="192" t="s">
        <v>353</v>
      </c>
      <c r="C14" s="165"/>
      <c r="D14" s="165"/>
      <c r="E14" s="170"/>
      <c r="F14" s="170"/>
    </row>
    <row r="15" spans="1:7" ht="50.5">
      <c r="A15" s="173" t="s">
        <v>354</v>
      </c>
      <c r="B15" s="192" t="s">
        <v>355</v>
      </c>
      <c r="C15" s="165"/>
      <c r="D15" s="165"/>
      <c r="E15" s="170"/>
      <c r="F15" s="170"/>
    </row>
    <row r="16" spans="1:7" ht="38">
      <c r="A16" s="173" t="s">
        <v>356</v>
      </c>
      <c r="B16" s="192" t="s">
        <v>357</v>
      </c>
      <c r="C16" s="165"/>
      <c r="D16" s="165"/>
      <c r="E16" s="170"/>
      <c r="F16" s="170"/>
    </row>
    <row r="17" spans="1:6" ht="50.5">
      <c r="A17" s="173" t="s">
        <v>358</v>
      </c>
      <c r="B17" s="192" t="s">
        <v>359</v>
      </c>
      <c r="C17" s="165"/>
      <c r="D17" s="165"/>
      <c r="E17" s="170"/>
      <c r="F17" s="170"/>
    </row>
    <row r="18" spans="1:6" ht="38">
      <c r="A18" s="173" t="s">
        <v>360</v>
      </c>
      <c r="B18" s="192" t="s">
        <v>361</v>
      </c>
      <c r="C18" s="165"/>
      <c r="D18" s="165"/>
      <c r="E18" s="170"/>
      <c r="F18" s="170"/>
    </row>
    <row r="19" spans="1:6" ht="25.5">
      <c r="A19" s="173" t="s">
        <v>362</v>
      </c>
      <c r="B19" s="192" t="s">
        <v>363</v>
      </c>
      <c r="C19" s="165"/>
      <c r="D19" s="165"/>
      <c r="E19" s="170"/>
      <c r="F19" s="170"/>
    </row>
    <row r="20" spans="1:6" ht="38">
      <c r="A20" s="173" t="s">
        <v>434</v>
      </c>
      <c r="B20" s="192" t="s">
        <v>435</v>
      </c>
      <c r="C20" s="165"/>
      <c r="D20" s="165"/>
      <c r="E20" s="170"/>
      <c r="F20" s="170"/>
    </row>
    <row r="21" spans="1:6" ht="25.5">
      <c r="A21" s="173" t="s">
        <v>436</v>
      </c>
      <c r="B21" s="192" t="s">
        <v>437</v>
      </c>
      <c r="C21" s="165"/>
      <c r="D21" s="165"/>
      <c r="E21" s="170"/>
      <c r="F21" s="170"/>
    </row>
    <row r="22" spans="1:6" ht="14">
      <c r="A22" s="167"/>
      <c r="B22" s="189" t="s">
        <v>231</v>
      </c>
      <c r="C22" s="168"/>
      <c r="D22" s="168"/>
      <c r="E22" s="168"/>
      <c r="F22" s="169"/>
    </row>
    <row r="23" spans="1:6" ht="38">
      <c r="A23" s="173" t="s">
        <v>236</v>
      </c>
      <c r="B23" s="192" t="s">
        <v>221</v>
      </c>
      <c r="C23" s="165"/>
      <c r="D23" s="165"/>
      <c r="E23" s="170"/>
      <c r="F23" s="170"/>
    </row>
    <row r="24" spans="1:6" ht="25.5">
      <c r="A24" s="173" t="s">
        <v>237</v>
      </c>
      <c r="B24" s="192" t="s">
        <v>222</v>
      </c>
      <c r="C24" s="165"/>
      <c r="D24" s="165"/>
      <c r="E24" s="170"/>
      <c r="F24" s="170"/>
    </row>
    <row r="25" spans="1:6" ht="38">
      <c r="A25" s="173" t="s">
        <v>238</v>
      </c>
      <c r="B25" s="192" t="s">
        <v>223</v>
      </c>
      <c r="C25" s="165"/>
      <c r="D25" s="165"/>
      <c r="E25" s="170"/>
      <c r="F25" s="170"/>
    </row>
    <row r="26" spans="1:6" ht="38">
      <c r="A26" s="173" t="s">
        <v>239</v>
      </c>
      <c r="B26" s="192" t="s">
        <v>224</v>
      </c>
      <c r="C26" s="165"/>
      <c r="D26" s="165"/>
      <c r="E26" s="170"/>
      <c r="F26" s="170"/>
    </row>
    <row r="27" spans="1:6" ht="14">
      <c r="A27" s="167"/>
      <c r="B27" s="189" t="s">
        <v>232</v>
      </c>
      <c r="C27" s="168"/>
      <c r="D27" s="168"/>
      <c r="E27" s="168"/>
      <c r="F27" s="169"/>
    </row>
    <row r="28" spans="1:6" ht="38">
      <c r="A28" s="173" t="s">
        <v>240</v>
      </c>
      <c r="B28" s="192" t="s">
        <v>225</v>
      </c>
      <c r="C28" s="165"/>
      <c r="D28" s="165"/>
      <c r="E28" s="170"/>
      <c r="F28" s="170"/>
    </row>
    <row r="29" spans="1:6" ht="38">
      <c r="A29" s="173" t="s">
        <v>241</v>
      </c>
      <c r="B29" s="192" t="s">
        <v>226</v>
      </c>
      <c r="C29" s="165"/>
      <c r="D29" s="165"/>
      <c r="E29" s="170"/>
      <c r="F29" s="170"/>
    </row>
    <row r="30" spans="1:6" ht="14">
      <c r="A30" s="167"/>
      <c r="B30" s="189" t="s">
        <v>218</v>
      </c>
      <c r="C30" s="168"/>
      <c r="D30" s="168"/>
      <c r="E30" s="168"/>
      <c r="F30" s="169"/>
    </row>
    <row r="31" spans="1:6" ht="50.5">
      <c r="A31" s="173" t="s">
        <v>219</v>
      </c>
      <c r="B31" s="192" t="s">
        <v>220</v>
      </c>
      <c r="C31" s="165"/>
      <c r="D31" s="165"/>
      <c r="E31" s="170"/>
      <c r="F31" s="170"/>
    </row>
    <row r="32" spans="1:6" ht="18">
      <c r="A32" s="193"/>
      <c r="B32" s="194" t="s">
        <v>242</v>
      </c>
      <c r="C32" s="193"/>
      <c r="D32" s="193"/>
      <c r="E32" s="193"/>
      <c r="F32" s="193"/>
    </row>
    <row r="33" spans="1:6" ht="14">
      <c r="A33" s="175"/>
      <c r="B33" s="176" t="s">
        <v>244</v>
      </c>
      <c r="C33" s="177"/>
      <c r="D33" s="177"/>
      <c r="E33" s="177"/>
      <c r="F33" s="178"/>
    </row>
  </sheetData>
  <mergeCells count="1">
    <mergeCell ref="E2:F2"/>
  </mergeCells>
  <dataValidations count="1">
    <dataValidation type="list" allowBlank="1" showInputMessage="1" showErrorMessage="1" sqref="C6:C7 C9:C21 C23:C26 C28:C29 C31"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G36"/>
  <sheetViews>
    <sheetView tabSelected="1" zoomScale="90" zoomScaleNormal="90" workbookViewId="0">
      <pane xSplit="1" ySplit="3" topLeftCell="B4" activePane="bottomRight" state="frozen"/>
      <selection pane="topRight" activeCell="B1" sqref="B1"/>
      <selection pane="bottomLeft" activeCell="A4" sqref="A4"/>
      <selection pane="bottomRight" sqref="A1:A1048576"/>
    </sheetView>
  </sheetViews>
  <sheetFormatPr defaultColWidth="9.26953125" defaultRowHeight="12.5"/>
  <cols>
    <col min="1" max="1" width="10.81640625" style="166" bestFit="1" customWidth="1"/>
    <col min="2" max="2" width="61" style="164" customWidth="1"/>
    <col min="3" max="3" width="4.453125" style="163" bestFit="1" customWidth="1"/>
    <col min="4" max="6" width="30.7265625" style="163" customWidth="1"/>
    <col min="7" max="16384" width="9.26953125" style="163"/>
  </cols>
  <sheetData>
    <row r="2" spans="1:7" ht="69">
      <c r="A2" s="179" t="s">
        <v>228</v>
      </c>
      <c r="B2" s="180" t="s">
        <v>272</v>
      </c>
      <c r="C2" s="181" t="s">
        <v>217</v>
      </c>
      <c r="D2" s="182" t="s">
        <v>243</v>
      </c>
      <c r="E2" s="297" t="s">
        <v>187</v>
      </c>
      <c r="F2" s="298"/>
    </row>
    <row r="3" spans="1:7" ht="18.5">
      <c r="A3" s="183"/>
      <c r="B3" s="184"/>
      <c r="C3" s="184">
        <f>COUNTIF(C5:C36,"Yes")</f>
        <v>0</v>
      </c>
      <c r="D3" s="171"/>
      <c r="E3" s="195" t="s">
        <v>234</v>
      </c>
      <c r="F3" s="195" t="s">
        <v>235</v>
      </c>
      <c r="G3" s="172"/>
    </row>
    <row r="4" spans="1:7" ht="18">
      <c r="A4" s="185"/>
      <c r="B4" s="186" t="s">
        <v>247</v>
      </c>
      <c r="C4" s="187"/>
      <c r="D4" s="187"/>
      <c r="E4" s="187"/>
      <c r="F4" s="188"/>
      <c r="G4" s="101"/>
    </row>
    <row r="5" spans="1:7" ht="14">
      <c r="A5" s="167"/>
      <c r="B5" s="189" t="s">
        <v>248</v>
      </c>
      <c r="C5" s="168"/>
      <c r="D5" s="168"/>
      <c r="E5" s="168"/>
      <c r="F5" s="169"/>
    </row>
    <row r="6" spans="1:7" ht="25.5">
      <c r="A6" s="173" t="s">
        <v>265</v>
      </c>
      <c r="B6" s="192" t="s">
        <v>250</v>
      </c>
      <c r="C6" s="165"/>
      <c r="D6" s="165"/>
      <c r="E6" s="170"/>
      <c r="F6" s="170"/>
    </row>
    <row r="7" spans="1:7" ht="38">
      <c r="A7" s="173" t="s">
        <v>266</v>
      </c>
      <c r="B7" s="192" t="s">
        <v>287</v>
      </c>
      <c r="C7" s="165"/>
      <c r="D7" s="165"/>
      <c r="E7" s="174" t="s">
        <v>288</v>
      </c>
      <c r="F7" s="170"/>
    </row>
    <row r="8" spans="1:7" ht="25.5">
      <c r="A8" s="173" t="s">
        <v>267</v>
      </c>
      <c r="B8" s="192" t="s">
        <v>251</v>
      </c>
      <c r="C8" s="165"/>
      <c r="D8" s="165"/>
      <c r="E8" s="170"/>
      <c r="F8" s="170"/>
    </row>
    <row r="9" spans="1:7" ht="25.5">
      <c r="A9" s="173" t="s">
        <v>268</v>
      </c>
      <c r="B9" s="192" t="s">
        <v>289</v>
      </c>
      <c r="C9" s="165"/>
      <c r="D9" s="165"/>
      <c r="E9" s="170"/>
      <c r="F9" s="170"/>
    </row>
    <row r="10" spans="1:7" ht="38">
      <c r="A10" s="173" t="s">
        <v>290</v>
      </c>
      <c r="B10" s="192" t="s">
        <v>291</v>
      </c>
      <c r="C10" s="165"/>
      <c r="D10" s="165"/>
      <c r="E10" s="170"/>
      <c r="F10" s="170"/>
    </row>
    <row r="11" spans="1:7" ht="14">
      <c r="A11" s="167"/>
      <c r="B11" s="189" t="s">
        <v>249</v>
      </c>
      <c r="C11" s="168"/>
      <c r="D11" s="168"/>
      <c r="E11" s="168"/>
      <c r="F11" s="169"/>
    </row>
    <row r="12" spans="1:7" ht="63">
      <c r="A12" s="173" t="s">
        <v>269</v>
      </c>
      <c r="B12" s="192" t="s">
        <v>252</v>
      </c>
      <c r="C12" s="165"/>
      <c r="D12" s="165"/>
      <c r="E12" s="170"/>
      <c r="F12" s="170"/>
    </row>
    <row r="13" spans="1:7" ht="63">
      <c r="A13" s="173" t="s">
        <v>254</v>
      </c>
      <c r="B13" s="192" t="s">
        <v>253</v>
      </c>
      <c r="C13" s="165"/>
      <c r="D13" s="165"/>
      <c r="E13" s="170"/>
      <c r="F13" s="170"/>
    </row>
    <row r="14" spans="1:7" ht="50.5">
      <c r="A14" s="173" t="s">
        <v>270</v>
      </c>
      <c r="B14" s="192" t="s">
        <v>271</v>
      </c>
      <c r="C14" s="165"/>
      <c r="D14" s="165"/>
      <c r="E14" s="170"/>
      <c r="F14" s="170"/>
    </row>
    <row r="15" spans="1:7" ht="25.5">
      <c r="A15" s="173" t="s">
        <v>255</v>
      </c>
      <c r="B15" s="192" t="s">
        <v>256</v>
      </c>
      <c r="C15" s="165"/>
      <c r="D15" s="165"/>
      <c r="E15" s="170"/>
      <c r="F15" s="170"/>
    </row>
    <row r="16" spans="1:7" ht="14">
      <c r="A16" s="167"/>
      <c r="B16" s="189" t="s">
        <v>273</v>
      </c>
      <c r="C16" s="168"/>
      <c r="D16" s="168"/>
      <c r="E16" s="168"/>
      <c r="F16" s="169"/>
    </row>
    <row r="17" spans="1:6" ht="38">
      <c r="A17" s="173" t="s">
        <v>365</v>
      </c>
      <c r="B17" s="192" t="s">
        <v>366</v>
      </c>
      <c r="C17" s="165"/>
      <c r="D17" s="165"/>
      <c r="E17" s="170"/>
      <c r="F17" s="170"/>
    </row>
    <row r="18" spans="1:6" ht="75.5">
      <c r="A18" s="173" t="s">
        <v>367</v>
      </c>
      <c r="B18" s="192" t="s">
        <v>368</v>
      </c>
      <c r="C18" s="165"/>
      <c r="D18" s="165"/>
      <c r="E18" s="170"/>
      <c r="F18" s="170"/>
    </row>
    <row r="19" spans="1:6" ht="14">
      <c r="A19" s="167"/>
      <c r="B19" s="189" t="s">
        <v>311</v>
      </c>
      <c r="C19" s="168"/>
      <c r="D19" s="168"/>
      <c r="E19" s="168"/>
      <c r="F19" s="169"/>
    </row>
    <row r="20" spans="1:6" ht="50.5">
      <c r="A20" s="173" t="s">
        <v>369</v>
      </c>
      <c r="B20" s="192" t="s">
        <v>364</v>
      </c>
      <c r="C20" s="165"/>
      <c r="D20" s="165"/>
      <c r="E20" s="170"/>
      <c r="F20" s="170"/>
    </row>
    <row r="21" spans="1:6" ht="50.5">
      <c r="A21" s="173" t="s">
        <v>370</v>
      </c>
      <c r="B21" s="192" t="s">
        <v>371</v>
      </c>
      <c r="C21" s="165"/>
      <c r="D21" s="165"/>
      <c r="E21" s="170"/>
      <c r="F21" s="170"/>
    </row>
    <row r="22" spans="1:6" ht="50.5">
      <c r="A22" s="173" t="s">
        <v>372</v>
      </c>
      <c r="B22" s="192" t="s">
        <v>373</v>
      </c>
      <c r="C22" s="165"/>
      <c r="D22" s="165"/>
      <c r="E22" s="170"/>
      <c r="F22" s="170"/>
    </row>
    <row r="23" spans="1:6" ht="25.5">
      <c r="A23" s="173" t="s">
        <v>374</v>
      </c>
      <c r="B23" s="192" t="s">
        <v>375</v>
      </c>
      <c r="C23" s="165"/>
      <c r="D23" s="165"/>
      <c r="E23" s="170"/>
      <c r="F23" s="170"/>
    </row>
    <row r="24" spans="1:6" ht="50.5">
      <c r="A24" s="173" t="s">
        <v>376</v>
      </c>
      <c r="B24" s="192" t="s">
        <v>377</v>
      </c>
      <c r="C24" s="165"/>
      <c r="D24" s="165"/>
      <c r="E24" s="170"/>
      <c r="F24" s="170"/>
    </row>
    <row r="25" spans="1:6" ht="25.5">
      <c r="A25" s="173" t="s">
        <v>378</v>
      </c>
      <c r="B25" s="192" t="s">
        <v>379</v>
      </c>
      <c r="C25" s="165"/>
      <c r="D25" s="165"/>
      <c r="E25" s="170"/>
      <c r="F25" s="170"/>
    </row>
    <row r="26" spans="1:6" ht="14">
      <c r="A26" s="167"/>
      <c r="B26" s="189" t="s">
        <v>231</v>
      </c>
      <c r="C26" s="168"/>
      <c r="D26" s="168"/>
      <c r="E26" s="168"/>
      <c r="F26" s="169"/>
    </row>
    <row r="27" spans="1:6" ht="38">
      <c r="A27" s="173" t="s">
        <v>236</v>
      </c>
      <c r="B27" s="192" t="s">
        <v>221</v>
      </c>
      <c r="C27" s="165"/>
      <c r="D27" s="165"/>
      <c r="E27" s="170"/>
      <c r="F27" s="170"/>
    </row>
    <row r="28" spans="1:6" ht="25.5">
      <c r="A28" s="173" t="s">
        <v>237</v>
      </c>
      <c r="B28" s="192" t="s">
        <v>222</v>
      </c>
      <c r="C28" s="165"/>
      <c r="D28" s="165"/>
      <c r="E28" s="170"/>
      <c r="F28" s="170"/>
    </row>
    <row r="29" spans="1:6" ht="38">
      <c r="A29" s="173" t="s">
        <v>238</v>
      </c>
      <c r="B29" s="192" t="s">
        <v>223</v>
      </c>
      <c r="C29" s="165"/>
      <c r="D29" s="165"/>
      <c r="E29" s="170"/>
      <c r="F29" s="170"/>
    </row>
    <row r="30" spans="1:6" ht="38">
      <c r="A30" s="173" t="s">
        <v>239</v>
      </c>
      <c r="B30" s="192" t="s">
        <v>224</v>
      </c>
      <c r="C30" s="165"/>
      <c r="D30" s="165"/>
      <c r="E30" s="170"/>
      <c r="F30" s="170"/>
    </row>
    <row r="31" spans="1:6" ht="14">
      <c r="A31" s="167"/>
      <c r="B31" s="189" t="s">
        <v>232</v>
      </c>
      <c r="C31" s="168"/>
      <c r="D31" s="168"/>
      <c r="E31" s="168"/>
      <c r="F31" s="169"/>
    </row>
    <row r="32" spans="1:6" ht="38">
      <c r="A32" s="173" t="s">
        <v>240</v>
      </c>
      <c r="B32" s="192" t="s">
        <v>225</v>
      </c>
      <c r="C32" s="165"/>
      <c r="D32" s="165"/>
      <c r="E32" s="170"/>
      <c r="F32" s="170"/>
    </row>
    <row r="33" spans="1:6" ht="38">
      <c r="A33" s="173" t="s">
        <v>241</v>
      </c>
      <c r="B33" s="192" t="s">
        <v>226</v>
      </c>
      <c r="C33" s="165"/>
      <c r="D33" s="165"/>
      <c r="E33" s="170"/>
      <c r="F33" s="170"/>
    </row>
    <row r="34" spans="1:6" ht="14">
      <c r="A34" s="167"/>
      <c r="B34" s="189" t="s">
        <v>218</v>
      </c>
      <c r="C34" s="168"/>
      <c r="D34" s="168"/>
      <c r="E34" s="168"/>
      <c r="F34" s="169"/>
    </row>
    <row r="35" spans="1:6" ht="50.5">
      <c r="A35" s="173" t="s">
        <v>219</v>
      </c>
      <c r="B35" s="192" t="s">
        <v>220</v>
      </c>
      <c r="C35" s="165"/>
      <c r="D35" s="165"/>
      <c r="E35" s="170"/>
      <c r="F35" s="170"/>
    </row>
    <row r="36" spans="1:6" ht="18">
      <c r="A36" s="193"/>
      <c r="B36" s="194" t="s">
        <v>242</v>
      </c>
      <c r="C36" s="193"/>
      <c r="D36" s="193"/>
      <c r="E36" s="193"/>
      <c r="F36" s="193"/>
    </row>
  </sheetData>
  <mergeCells count="1">
    <mergeCell ref="E2:F2"/>
  </mergeCells>
  <dataValidations count="1">
    <dataValidation type="list" allowBlank="1" showInputMessage="1" showErrorMessage="1" sqref="C6:C10 C12:C15 C17:C18 C20:C25 C27:C30 C32:C33 C35"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
    <ds:schemaRef ds:uri="http://schemas.openxmlformats.org/package/2006/metadata/core-properties"/>
    <ds:schemaRef ds:uri="http://purl.org/dc/terms/"/>
    <ds:schemaRef ds:uri="46fc4dd3-b727-4544-ab7c-0ad95d465289"/>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98</vt:i4>
      </vt:variant>
    </vt:vector>
  </HeadingPairs>
  <TitlesOfParts>
    <vt:vector size="109" baseType="lpstr">
      <vt:lpstr>FrontPage</vt:lpstr>
      <vt:lpstr>General info</vt:lpstr>
      <vt:lpstr>Help</vt:lpstr>
      <vt:lpstr>Synthesis Charts</vt:lpstr>
      <vt:lpstr>Overview</vt:lpstr>
      <vt:lpstr>Code Review</vt:lpstr>
      <vt:lpstr>Design Review</vt:lpstr>
      <vt:lpstr>MBD checklist</vt:lpstr>
      <vt:lpstr>SDD checklist</vt:lpstr>
      <vt:lpstr>CODE checklist</vt:lpstr>
      <vt:lpstr>UTSR checklist</vt:lpstr>
      <vt:lpstr>'Design Review'!ActorName</vt:lpstr>
      <vt:lpstr>ActorName</vt:lpstr>
      <vt:lpstr>ApprovalStatus</vt:lpstr>
      <vt:lpstr>'Design Review'!AuthorStatus</vt:lpstr>
      <vt:lpstr>AuthorStatus</vt:lpstr>
      <vt:lpstr>'Design Review'!Autofill</vt:lpstr>
      <vt:lpstr>Autofill</vt:lpstr>
      <vt:lpstr>'Design Review'!Description</vt:lpstr>
      <vt:lpstr>Description</vt:lpstr>
      <vt:lpstr>FileName</vt:lpstr>
      <vt:lpstr>'Design Review'!Identifier</vt:lpstr>
      <vt:lpstr>Identifier</vt:lpstr>
      <vt:lpstr>'Code Review'!Issue_to_treat</vt:lpstr>
      <vt:lpstr>'Design Review'!Issue_to_treat</vt:lpstr>
      <vt:lpstr>'Design Review'!IssuerName</vt:lpstr>
      <vt:lpstr>IssuerName</vt:lpstr>
      <vt:lpstr>'Code Review'!Issues_postponed</vt:lpstr>
      <vt:lpstr>'Design Review'!Issues_postponed</vt:lpstr>
      <vt:lpstr>'Code Review'!Issues_to_approve</vt:lpstr>
      <vt:lpstr>'Design Review'!Issues_to_approve</vt:lpstr>
      <vt:lpstr>'Design Review'!ManualFill</vt:lpstr>
      <vt:lpstr>ManualFill</vt:lpstr>
      <vt:lpstr>MXActual_state_Released</vt:lpstr>
      <vt:lpstr>MXAuthority</vt:lpstr>
      <vt:lpstr>MXCurrent.Localized</vt:lpstr>
      <vt:lpstr>MXName</vt:lpstr>
      <vt:lpstr>MXRevision</vt:lpstr>
      <vt:lpstr>MXTitle</vt:lpstr>
      <vt:lpstr>MXVersion</vt:lpstr>
      <vt:lpstr>'Code Review'!NbOfApprovedIssues</vt:lpstr>
      <vt:lpstr>'Design Review'!NbOfApprovedIssues</vt:lpstr>
      <vt:lpstr>'Code Review'!NbOfNotApprovedAndPostponedIssues</vt:lpstr>
      <vt:lpstr>'Design Review'!NbOfNotApprovedAndPostponedIssues</vt:lpstr>
      <vt:lpstr>'Code Review'!NbOfNotApprovedIssues</vt:lpstr>
      <vt:lpstr>'Design Review'!NbOfNotApprovedIssues</vt:lpstr>
      <vt:lpstr>'Design Review'!NbOfNotTreatedIssues</vt:lpstr>
      <vt:lpstr>NbOfNotTreatedIssues</vt:lpstr>
      <vt:lpstr>'Design Review'!NbOfRejectedIssues</vt:lpstr>
      <vt:lpstr>NbOfRejectedIssues</vt:lpstr>
      <vt:lpstr>'Design Review'!OpenDate</vt:lpstr>
      <vt:lpstr>OpenDate</vt:lpstr>
      <vt:lpstr>Option_ReviewEvaluationScale</vt:lpstr>
      <vt:lpstr>'Design Review'!ReviewerStatus</vt:lpstr>
      <vt:lpstr>ReviewerStatus</vt:lpstr>
      <vt:lpstr>'CODE checklist'!Sheet.ReviewTempate</vt:lpstr>
      <vt:lpstr>'MBD checklist'!Sheet.ReviewTempate</vt:lpstr>
      <vt:lpstr>'SDD checklist'!Sheet.ReviewTempate</vt:lpstr>
      <vt:lpstr>'UTSR checklist'!Sheet.ReviewTempate</vt:lpstr>
      <vt:lpstr>'Code Review'!Status_OK</vt:lpstr>
      <vt:lpstr>'Design Review'!Status_OK</vt:lpstr>
      <vt:lpstr>'Code Review'!StatusFixed</vt:lpstr>
      <vt:lpstr>'Design Review'!StatusFixed</vt:lpstr>
      <vt:lpstr>'Code Review'!StatusOpen</vt:lpstr>
      <vt:lpstr>'Design Review'!StatusOpen</vt:lpstr>
      <vt:lpstr>'Code Review'!StatusPostponed</vt:lpstr>
      <vt:lpstr>'Design Review'!StatusPostponed</vt:lpstr>
      <vt:lpstr>'Code Review'!StatusToBeFixed</vt:lpstr>
      <vt:lpstr>'Design Review'!StatusToBeFixed</vt:lpstr>
      <vt:lpstr>'Code Review'!StatusWillNotBeFixed</vt:lpstr>
      <vt:lpstr>'Design Review'!StatusWillNotBeFixed</vt:lpstr>
      <vt:lpstr>Synthesis_ConformityTitle</vt:lpstr>
      <vt:lpstr>Synthesis_Status</vt:lpstr>
      <vt:lpstr>'Design Review'!TargetDate</vt:lpstr>
      <vt:lpstr>TargetDate</vt:lpstr>
      <vt:lpstr>'CODE checklist'!Template.Name</vt:lpstr>
      <vt:lpstr>'MBD checklist'!Template.Name</vt:lpstr>
      <vt:lpstr>'SDD checklist'!Template.Name</vt:lpstr>
      <vt:lpstr>'UTSR checklist'!Template.Name</vt:lpstr>
      <vt:lpstr>TemplateColumn</vt:lpstr>
      <vt:lpstr>TemplateRef</vt:lpstr>
      <vt:lpstr>'CODE checklist'!Title.Checklist.Guide.HowToRate</vt:lpstr>
      <vt:lpstr>'MBD checklist'!Title.Checklist.Guide.HowToRate</vt:lpstr>
      <vt:lpstr>'SDD checklist'!Title.Checklist.Guide.HowToRate</vt:lpstr>
      <vt:lpstr>'UTSR checklist'!Title.Checklist.Guide.HowToRate</vt:lpstr>
      <vt:lpstr>'CODE checklist'!Title.Checklist.Guide.WhatToCheck</vt:lpstr>
      <vt:lpstr>'MBD checklist'!Title.Checklist.Guide.WhatToCheck</vt:lpstr>
      <vt:lpstr>'SDD checklist'!Title.Checklist.Guide.WhatToCheck</vt:lpstr>
      <vt:lpstr>'UTSR checklist'!Title.Checklist.Guide.WhatToCheck</vt:lpstr>
      <vt:lpstr>'CODE checklist'!Title.Checklist.ManualQuestion</vt:lpstr>
      <vt:lpstr>'MBD checklist'!Title.Checklist.ManualQuestion</vt:lpstr>
      <vt:lpstr>'SDD checklist'!Title.Checklist.ManualQuestion</vt:lpstr>
      <vt:lpstr>'UTSR checklist'!Title.Checklist.ManualQuestion</vt:lpstr>
      <vt:lpstr>'CODE checklist'!Title.Checklist.NoteForAuditor</vt:lpstr>
      <vt:lpstr>'MBD checklist'!Title.Checklist.NoteForAuditor</vt:lpstr>
      <vt:lpstr>'SDD checklist'!Title.Checklist.NoteForAuditor</vt:lpstr>
      <vt:lpstr>'UTSR checklist'!Title.Checklist.NoteForAuditor</vt:lpstr>
      <vt:lpstr>'CODE checklist'!Title.Checklist.Question</vt:lpstr>
      <vt:lpstr>'MBD checklist'!Title.Checklist.Question</vt:lpstr>
      <vt:lpstr>'SDD checklist'!Title.Checklist.Question</vt:lpstr>
      <vt:lpstr>'UTSR checklist'!Title.Checklist.Question</vt:lpstr>
      <vt:lpstr>'CODE checklist'!Title.Checklist.QuestionReference</vt:lpstr>
      <vt:lpstr>'MBD checklist'!Title.Checklist.QuestionReference</vt:lpstr>
      <vt:lpstr>'SDD checklist'!Title.Checklist.QuestionReference</vt:lpstr>
      <vt:lpstr>'UTSR checklist'!Title.Checklist.QuestionReference</vt:lpstr>
      <vt:lpstr>'CODE checklist'!TitleRow</vt:lpstr>
      <vt:lpstr>'MBD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Aymeric Diankouika</cp:lastModifiedBy>
  <dcterms:created xsi:type="dcterms:W3CDTF">1996-10-21T11:03:58Z</dcterms:created>
  <dcterms:modified xsi:type="dcterms:W3CDTF">2021-06-30T11:54:53Z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